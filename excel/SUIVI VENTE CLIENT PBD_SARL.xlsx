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drawings/drawing11.xml" ContentType="application/vnd.openxmlformats-officedocument.drawing+xml"/>
  <Override PartName="/xl/tables/table10.xml" ContentType="application/vnd.openxmlformats-officedocument.spreadsheetml.table+xml"/>
  <Override PartName="/xl/drawings/drawing12.xml" ContentType="application/vnd.openxmlformats-officedocument.drawing+xml"/>
  <Override PartName="/xl/tables/table11.xml" ContentType="application/vnd.openxmlformats-officedocument.spreadsheetml.table+xml"/>
  <Override PartName="/xl/drawings/drawing13.xml" ContentType="application/vnd.openxmlformats-officedocument.drawing+xml"/>
  <Override PartName="/xl/tables/table12.xml" ContentType="application/vnd.openxmlformats-officedocument.spreadsheetml.table+xml"/>
  <Override PartName="/xl/drawings/drawing14.xml" ContentType="application/vnd.openxmlformats-officedocument.drawing+xml"/>
  <Override PartName="/xl/tables/table13.xml" ContentType="application/vnd.openxmlformats-officedocument.spreadsheetml.table+xml"/>
  <Override PartName="/xl/drawings/drawing15.xml" ContentType="application/vnd.openxmlformats-officedocument.drawing+xml"/>
  <Override PartName="/xl/tables/table14.xml" ContentType="application/vnd.openxmlformats-officedocument.spreadsheetml.table+xml"/>
  <Override PartName="/xl/drawings/drawing16.xml" ContentType="application/vnd.openxmlformats-officedocument.drawing+xml"/>
  <Override PartName="/xl/tables/table15.xml" ContentType="application/vnd.openxmlformats-officedocument.spreadsheetml.table+xml"/>
  <Override PartName="/xl/drawings/drawing17.xml" ContentType="application/vnd.openxmlformats-officedocument.drawing+xml"/>
  <Override PartName="/xl/tables/table16.xml" ContentType="application/vnd.openxmlformats-officedocument.spreadsheetml.table+xml"/>
  <Override PartName="/xl/drawings/drawing18.xml" ContentType="application/vnd.openxmlformats-officedocument.drawing+xml"/>
  <Override PartName="/xl/tables/table17.xml" ContentType="application/vnd.openxmlformats-officedocument.spreadsheetml.table+xml"/>
  <Override PartName="/xl/drawings/drawing19.xml" ContentType="application/vnd.openxmlformats-officedocument.drawing+xml"/>
  <Override PartName="/xl/tables/table18.xml" ContentType="application/vnd.openxmlformats-officedocument.spreadsheetml.table+xml"/>
  <Override PartName="/xl/drawings/drawing20.xml" ContentType="application/vnd.openxmlformats-officedocument.drawing+xml"/>
  <Override PartName="/xl/tables/table19.xml" ContentType="application/vnd.openxmlformats-officedocument.spreadsheetml.table+xml"/>
  <Override PartName="/xl/drawings/drawing21.xml" ContentType="application/vnd.openxmlformats-officedocument.drawing+xml"/>
  <Override PartName="/xl/tables/table20.xml" ContentType="application/vnd.openxmlformats-officedocument.spreadsheetml.table+xml"/>
  <Override PartName="/xl/drawings/drawing22.xml" ContentType="application/vnd.openxmlformats-officedocument.drawing+xml"/>
  <Override PartName="/xl/tables/table21.xml" ContentType="application/vnd.openxmlformats-officedocument.spreadsheetml.table+xml"/>
  <Override PartName="/xl/drawings/drawing23.xml" ContentType="application/vnd.openxmlformats-officedocument.drawing+xml"/>
  <Override PartName="/xl/tables/table22.xml" ContentType="application/vnd.openxmlformats-officedocument.spreadsheetml.table+xml"/>
  <Override PartName="/xl/drawings/drawing24.xml" ContentType="application/vnd.openxmlformats-officedocument.drawing+xml"/>
  <Override PartName="/xl/tables/table23.xml" ContentType="application/vnd.openxmlformats-officedocument.spreadsheetml.table+xml"/>
  <Override PartName="/xl/drawings/drawing25.xml" ContentType="application/vnd.openxmlformats-officedocument.drawing+xml"/>
  <Override PartName="/xl/tables/table24.xml" ContentType="application/vnd.openxmlformats-officedocument.spreadsheetml.table+xml"/>
  <Override PartName="/xl/drawings/drawing26.xml" ContentType="application/vnd.openxmlformats-officedocument.drawing+xml"/>
  <Override PartName="/xl/tables/table25.xml" ContentType="application/vnd.openxmlformats-officedocument.spreadsheetml.table+xml"/>
  <Override PartName="/xl/drawings/drawing27.xml" ContentType="application/vnd.openxmlformats-officedocument.drawing+xml"/>
  <Override PartName="/xl/tables/table26.xml" ContentType="application/vnd.openxmlformats-officedocument.spreadsheetml.table+xml"/>
  <Override PartName="/xl/drawings/drawing28.xml" ContentType="application/vnd.openxmlformats-officedocument.drawing+xml"/>
  <Override PartName="/xl/tables/table27.xml" ContentType="application/vnd.openxmlformats-officedocument.spreadsheetml.table+xml"/>
  <Override PartName="/xl/drawings/drawing29.xml" ContentType="application/vnd.openxmlformats-officedocument.drawing+xml"/>
  <Override PartName="/xl/tables/table28.xml" ContentType="application/vnd.openxmlformats-officedocument.spreadsheetml.table+xml"/>
  <Override PartName="/xl/drawings/drawing30.xml" ContentType="application/vnd.openxmlformats-officedocument.drawing+xml"/>
  <Override PartName="/xl/tables/table29.xml" ContentType="application/vnd.openxmlformats-officedocument.spreadsheetml.table+xml"/>
  <Override PartName="/xl/drawings/drawing31.xml" ContentType="application/vnd.openxmlformats-officedocument.drawing+xml"/>
  <Override PartName="/xl/tables/table30.xml" ContentType="application/vnd.openxmlformats-officedocument.spreadsheetml.table+xml"/>
  <Override PartName="/xl/drawings/drawing32.xml" ContentType="application/vnd.openxmlformats-officedocument.drawing+xml"/>
  <Override PartName="/xl/tables/table31.xml" ContentType="application/vnd.openxmlformats-officedocument.spreadsheetml.table+xml"/>
  <Override PartName="/xl/drawings/drawing33.xml" ContentType="application/vnd.openxmlformats-officedocument.drawing+xml"/>
  <Override PartName="/xl/tables/table32.xml" ContentType="application/vnd.openxmlformats-officedocument.spreadsheetml.table+xml"/>
  <Override PartName="/xl/drawings/drawing34.xml" ContentType="application/vnd.openxmlformats-officedocument.drawing+xml"/>
  <Override PartName="/xl/tables/table33.xml" ContentType="application/vnd.openxmlformats-officedocument.spreadsheetml.table+xml"/>
  <Override PartName="/xl/drawings/drawing35.xml" ContentType="application/vnd.openxmlformats-officedocument.drawing+xml"/>
  <Override PartName="/xl/tables/table34.xml" ContentType="application/vnd.openxmlformats-officedocument.spreadsheetml.table+xml"/>
  <Override PartName="/xl/drawings/drawing36.xml" ContentType="application/vnd.openxmlformats-officedocument.drawing+xml"/>
  <Override PartName="/xl/tables/table35.xml" ContentType="application/vnd.openxmlformats-officedocument.spreadsheetml.table+xml"/>
  <Override PartName="/xl/drawings/drawing37.xml" ContentType="application/vnd.openxmlformats-officedocument.drawing+xml"/>
  <Override PartName="/xl/tables/table36.xml" ContentType="application/vnd.openxmlformats-officedocument.spreadsheetml.table+xml"/>
  <Override PartName="/xl/drawings/drawing38.xml" ContentType="application/vnd.openxmlformats-officedocument.drawing+xml"/>
  <Override PartName="/xl/tables/table37.xml" ContentType="application/vnd.openxmlformats-officedocument.spreadsheetml.table+xml"/>
  <Override PartName="/xl/drawings/drawing39.xml" ContentType="application/vnd.openxmlformats-officedocument.drawing+xml"/>
  <Override PartName="/xl/tables/table38.xml" ContentType="application/vnd.openxmlformats-officedocument.spreadsheetml.table+xml"/>
  <Override PartName="/xl/drawings/drawing40.xml" ContentType="application/vnd.openxmlformats-officedocument.drawing+xml"/>
  <Override PartName="/xl/tables/table39.xml" ContentType="application/vnd.openxmlformats-officedocument.spreadsheetml.table+xml"/>
  <Override PartName="/xl/drawings/drawing41.xml" ContentType="application/vnd.openxmlformats-officedocument.drawing+xml"/>
  <Override PartName="/xl/tables/table40.xml" ContentType="application/vnd.openxmlformats-officedocument.spreadsheetml.table+xml"/>
  <Override PartName="/xl/drawings/drawing42.xml" ContentType="application/vnd.openxmlformats-officedocument.drawing+xml"/>
  <Override PartName="/xl/tables/table41.xml" ContentType="application/vnd.openxmlformats-officedocument.spreadsheetml.table+xml"/>
  <Override PartName="/xl/drawings/drawing43.xml" ContentType="application/vnd.openxmlformats-officedocument.drawing+xml"/>
  <Override PartName="/xl/tables/table42.xml" ContentType="application/vnd.openxmlformats-officedocument.spreadsheetml.table+xml"/>
  <Override PartName="/xl/drawings/drawing44.xml" ContentType="application/vnd.openxmlformats-officedocument.drawing+xml"/>
  <Override PartName="/xl/tables/table43.xml" ContentType="application/vnd.openxmlformats-officedocument.spreadsheetml.table+xml"/>
  <Override PartName="/xl/drawings/drawing45.xml" ContentType="application/vnd.openxmlformats-officedocument.drawing+xml"/>
  <Override PartName="/xl/tables/table44.xml" ContentType="application/vnd.openxmlformats-officedocument.spreadsheetml.table+xml"/>
  <Override PartName="/xl/drawings/drawing46.xml" ContentType="application/vnd.openxmlformats-officedocument.drawing+xml"/>
  <Override PartName="/xl/tables/table45.xml" ContentType="application/vnd.openxmlformats-officedocument.spreadsheetml.table+xml"/>
  <Override PartName="/xl/drawings/drawing47.xml" ContentType="application/vnd.openxmlformats-officedocument.drawing+xml"/>
  <Override PartName="/xl/tables/table46.xml" ContentType="application/vnd.openxmlformats-officedocument.spreadsheetml.table+xml"/>
  <Override PartName="/xl/drawings/drawing48.xml" ContentType="application/vnd.openxmlformats-officedocument.drawing+xml"/>
  <Override PartName="/xl/tables/table47.xml" ContentType="application/vnd.openxmlformats-officedocument.spreadsheetml.table+xml"/>
  <Override PartName="/xl/drawings/drawing49.xml" ContentType="application/vnd.openxmlformats-officedocument.drawing+xml"/>
  <Override PartName="/xl/tables/table48.xml" ContentType="application/vnd.openxmlformats-officedocument.spreadsheetml.table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HP\Desktop\COMPTES FOURNISSEURS - CLIENTS\"/>
    </mc:Choice>
  </mc:AlternateContent>
  <bookViews>
    <workbookView xWindow="-108" yWindow="-108" windowWidth="19416" windowHeight="10416"/>
  </bookViews>
  <sheets>
    <sheet name="TABLEAU" sheetId="1" r:id="rId1"/>
    <sheet name="YOUBA ADZOPE" sheetId="48" r:id="rId2"/>
    <sheet name="NETCOM" sheetId="49" r:id="rId3"/>
    <sheet name="FIDAA" sheetId="2" r:id="rId4"/>
    <sheet name="SOLO" sheetId="38" r:id="rId5"/>
    <sheet name="SENAT BL" sheetId="40" r:id="rId6"/>
    <sheet name="PETIT SOLO" sheetId="39" r:id="rId7"/>
    <sheet name="SEINA" sheetId="25" r:id="rId8"/>
    <sheet name="SAMFO" sheetId="36" r:id="rId9"/>
    <sheet name="FBD" sheetId="37" r:id="rId10"/>
    <sheet name="ARTCI" sheetId="3" r:id="rId11"/>
    <sheet name="AFCHEM-SOFACO" sheetId="4" r:id="rId12"/>
    <sheet name="MAN TPS" sheetId="5" r:id="rId13"/>
    <sheet name="HACHICH INDIEN" sheetId="6" r:id="rId14"/>
    <sheet name="DIVERS CLIENT" sheetId="7" r:id="rId15"/>
    <sheet name="SOGODO" sheetId="8" r:id="rId16"/>
    <sheet name="ALI CHERRI" sheetId="9" r:id="rId17"/>
    <sheet name="KONE MOUSTAPHA" sheetId="10" r:id="rId18"/>
    <sheet name="DSC BATIME" sheetId="11" r:id="rId19"/>
    <sheet name="SIDI MOHAMAD " sheetId="12" r:id="rId20"/>
    <sheet name="SAMAKE KEBE" sheetId="13" r:id="rId21"/>
    <sheet name="ADAM AFRIQUE " sheetId="14" r:id="rId22"/>
    <sheet name="BILAL BIG MAT" sheetId="15" r:id="rId23"/>
    <sheet name="ATL" sheetId="16" r:id="rId24"/>
    <sheet name="SALIF KONE " sheetId="17" r:id="rId25"/>
    <sheet name="ABBAS ZALZALE" sheetId="18" r:id="rId26"/>
    <sheet name="GMS GAKOU" sheetId="19" r:id="rId27"/>
    <sheet name="AEC" sheetId="20" r:id="rId28"/>
    <sheet name="AYOKI" sheetId="21" r:id="rId29"/>
    <sheet name="AGS AFRIQUE GROUPE SERVICE" sheetId="22" r:id="rId30"/>
    <sheet name="BERNARD" sheetId="23" r:id="rId31"/>
    <sheet name="MR KOUAME ASSOUA LUDOVIC" sheetId="24" r:id="rId32"/>
    <sheet name="ALI JOMAA" sheetId="26" r:id="rId33"/>
    <sheet name="MEHDY MADY" sheetId="29" r:id="rId34"/>
    <sheet name="ADNAN PRIME PRESTIGE" sheetId="27" r:id="rId35"/>
    <sheet name="ABBAS ABDUL REDA" sheetId="28" r:id="rId36"/>
    <sheet name="A.H GROUPE" sheetId="30" r:id="rId37"/>
    <sheet name="WAEL" sheetId="31" r:id="rId38"/>
    <sheet name="CFAO" sheetId="35" r:id="rId39"/>
    <sheet name="CABF ALLCC" sheetId="32" r:id="rId40"/>
    <sheet name="MR. KEBE" sheetId="33" r:id="rId41"/>
    <sheet name="BATIPLUS" sheetId="41" r:id="rId42"/>
    <sheet name="NAFCO" sheetId="42" r:id="rId43"/>
    <sheet name="ABDALLAH KDOUH " sheetId="43" r:id="rId44"/>
    <sheet name="DISTRICT DU ZANZAN" sheetId="44" r:id="rId45"/>
    <sheet name="EZONE" sheetId="46" r:id="rId46"/>
    <sheet name="KOBEISSI" sheetId="47" r:id="rId47"/>
    <sheet name="AUTO RAY(CLIENT)" sheetId="45" r:id="rId48"/>
    <sheet name="ALM" sheetId="50" r:id="rId49"/>
    <sheet name="REPORTING" sheetId="34" r:id="rId50"/>
  </sheets>
  <definedNames>
    <definedName name="_xlnm.Print_Area" localSheetId="45">EZONE!$A$2:$G$7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40" l="1"/>
  <c r="E11" i="40"/>
  <c r="E12" i="40"/>
  <c r="E13" i="40"/>
  <c r="E14" i="40"/>
  <c r="E15" i="40"/>
  <c r="G4" i="45" l="1"/>
  <c r="E12" i="38" l="1"/>
  <c r="G12" i="38" s="1"/>
  <c r="E382" i="32" l="1"/>
  <c r="E9" i="40" l="1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34" i="40"/>
  <c r="E35" i="40"/>
  <c r="E36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290" i="5" l="1"/>
  <c r="F4" i="23" l="1"/>
  <c r="F4" i="22"/>
  <c r="F4" i="21"/>
  <c r="F4" i="20"/>
  <c r="F4" i="19"/>
  <c r="F4" i="18"/>
  <c r="F4" i="17"/>
  <c r="F4" i="16"/>
  <c r="F4" i="15"/>
  <c r="F4" i="14"/>
  <c r="F4" i="13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F4" i="12"/>
  <c r="F4" i="11"/>
  <c r="F4" i="10"/>
  <c r="F4" i="8"/>
  <c r="H35" i="7"/>
  <c r="F4" i="7"/>
  <c r="F4" i="6"/>
  <c r="F4" i="5"/>
  <c r="F4" i="37"/>
  <c r="F4" i="25"/>
  <c r="F4" i="2"/>
  <c r="F4" i="48"/>
  <c r="F4" i="24"/>
  <c r="F4" i="26"/>
  <c r="F4" i="9"/>
  <c r="F4" i="50"/>
  <c r="E4" i="47"/>
  <c r="F4" i="46"/>
  <c r="F4" i="43"/>
  <c r="F4" i="42"/>
  <c r="F4" i="41"/>
  <c r="H10" i="33"/>
  <c r="H11" i="33"/>
  <c r="H12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33" i="33"/>
  <c r="H34" i="33"/>
  <c r="H35" i="33"/>
  <c r="H36" i="33"/>
  <c r="H37" i="33"/>
  <c r="H38" i="33"/>
  <c r="H39" i="33"/>
  <c r="H40" i="33"/>
  <c r="H41" i="33"/>
  <c r="H42" i="33"/>
  <c r="H43" i="33"/>
  <c r="H44" i="33"/>
  <c r="H45" i="33"/>
  <c r="H46" i="33"/>
  <c r="H47" i="33"/>
  <c r="H48" i="33"/>
  <c r="H49" i="33"/>
  <c r="H50" i="33"/>
  <c r="H51" i="33"/>
  <c r="H52" i="33"/>
  <c r="H53" i="33"/>
  <c r="H54" i="33"/>
  <c r="H55" i="33"/>
  <c r="H56" i="33"/>
  <c r="H57" i="33"/>
  <c r="H58" i="33"/>
  <c r="H59" i="33"/>
  <c r="H60" i="33"/>
  <c r="H61" i="33"/>
  <c r="H62" i="33"/>
  <c r="H63" i="33"/>
  <c r="H64" i="33"/>
  <c r="H65" i="33"/>
  <c r="H66" i="33"/>
  <c r="H67" i="33"/>
  <c r="H68" i="33"/>
  <c r="H69" i="33"/>
  <c r="H70" i="33"/>
  <c r="H71" i="33"/>
  <c r="H72" i="33"/>
  <c r="H73" i="33"/>
  <c r="H74" i="33"/>
  <c r="H75" i="33"/>
  <c r="H76" i="33"/>
  <c r="H77" i="33"/>
  <c r="H78" i="33"/>
  <c r="H79" i="33"/>
  <c r="H80" i="33"/>
  <c r="H81" i="33"/>
  <c r="H82" i="33"/>
  <c r="H83" i="33"/>
  <c r="H84" i="33"/>
  <c r="H85" i="33"/>
  <c r="H86" i="33"/>
  <c r="H87" i="33"/>
  <c r="H88" i="33"/>
  <c r="H89" i="33"/>
  <c r="H90" i="33"/>
  <c r="H91" i="33"/>
  <c r="H92" i="33"/>
  <c r="H93" i="33"/>
  <c r="H94" i="33"/>
  <c r="H95" i="33"/>
  <c r="H96" i="33"/>
  <c r="H97" i="33"/>
  <c r="H98" i="33"/>
  <c r="H99" i="33"/>
  <c r="H100" i="33"/>
  <c r="H101" i="33"/>
  <c r="H102" i="33"/>
  <c r="H103" i="33"/>
  <c r="H104" i="33"/>
  <c r="H105" i="33"/>
  <c r="H106" i="33"/>
  <c r="H107" i="33"/>
  <c r="H108" i="33"/>
  <c r="H109" i="33"/>
  <c r="H110" i="33"/>
  <c r="H111" i="33"/>
  <c r="H112" i="33"/>
  <c r="H113" i="33"/>
  <c r="H114" i="33"/>
  <c r="H115" i="33"/>
  <c r="H116" i="33"/>
  <c r="H117" i="33"/>
  <c r="H118" i="33"/>
  <c r="H119" i="33"/>
  <c r="H120" i="33"/>
  <c r="H121" i="33"/>
  <c r="H122" i="33"/>
  <c r="H123" i="33"/>
  <c r="H124" i="33"/>
  <c r="H125" i="33"/>
  <c r="H126" i="33"/>
  <c r="H127" i="33"/>
  <c r="H128" i="33"/>
  <c r="H129" i="33"/>
  <c r="H130" i="33"/>
  <c r="H131" i="33"/>
  <c r="H132" i="33"/>
  <c r="H133" i="33"/>
  <c r="H134" i="33"/>
  <c r="H135" i="33"/>
  <c r="H136" i="33"/>
  <c r="H137" i="33"/>
  <c r="H138" i="33"/>
  <c r="H139" i="33"/>
  <c r="H140" i="33"/>
  <c r="H141" i="33"/>
  <c r="H142" i="33"/>
  <c r="H143" i="33"/>
  <c r="H144" i="33"/>
  <c r="H145" i="33"/>
  <c r="H146" i="33"/>
  <c r="H147" i="33"/>
  <c r="H148" i="33"/>
  <c r="H149" i="33"/>
  <c r="H150" i="33"/>
  <c r="H151" i="33"/>
  <c r="H152" i="33"/>
  <c r="H153" i="33"/>
  <c r="H154" i="33"/>
  <c r="H155" i="33"/>
  <c r="H156" i="33"/>
  <c r="H157" i="33"/>
  <c r="H158" i="33"/>
  <c r="H159" i="33"/>
  <c r="H160" i="33"/>
  <c r="H161" i="33"/>
  <c r="H162" i="33"/>
  <c r="H163" i="33"/>
  <c r="H164" i="33"/>
  <c r="H165" i="33"/>
  <c r="H166" i="33"/>
  <c r="H167" i="33"/>
  <c r="H168" i="33"/>
  <c r="H169" i="33"/>
  <c r="H170" i="33"/>
  <c r="H171" i="33"/>
  <c r="H172" i="33"/>
  <c r="H173" i="33"/>
  <c r="H174" i="33"/>
  <c r="H175" i="33"/>
  <c r="H176" i="33"/>
  <c r="H177" i="33"/>
  <c r="H178" i="33"/>
  <c r="H179" i="33"/>
  <c r="H180" i="33"/>
  <c r="H181" i="33"/>
  <c r="H182" i="33"/>
  <c r="H183" i="33"/>
  <c r="H184" i="33"/>
  <c r="H185" i="33"/>
  <c r="H186" i="33"/>
  <c r="H187" i="33"/>
  <c r="H188" i="33"/>
  <c r="H189" i="33"/>
  <c r="H190" i="33"/>
  <c r="H191" i="33"/>
  <c r="H192" i="33"/>
  <c r="H193" i="33"/>
  <c r="H194" i="33"/>
  <c r="H195" i="33"/>
  <c r="H196" i="33"/>
  <c r="H197" i="33"/>
  <c r="H198" i="33"/>
  <c r="H199" i="33"/>
  <c r="H200" i="33"/>
  <c r="H201" i="33"/>
  <c r="H202" i="33"/>
  <c r="H203" i="33"/>
  <c r="H204" i="33"/>
  <c r="H205" i="33"/>
  <c r="H206" i="33"/>
  <c r="H207" i="33"/>
  <c r="H208" i="33"/>
  <c r="H209" i="33"/>
  <c r="H210" i="33"/>
  <c r="H211" i="33"/>
  <c r="H212" i="33"/>
  <c r="H213" i="33"/>
  <c r="H214" i="33"/>
  <c r="H215" i="33"/>
  <c r="H216" i="33"/>
  <c r="H217" i="33"/>
  <c r="H218" i="33"/>
  <c r="H219" i="33"/>
  <c r="H220" i="33"/>
  <c r="H221" i="33"/>
  <c r="H222" i="33"/>
  <c r="H223" i="33"/>
  <c r="H224" i="33"/>
  <c r="H225" i="33"/>
  <c r="H226" i="33"/>
  <c r="H227" i="33"/>
  <c r="H228" i="33"/>
  <c r="H229" i="33"/>
  <c r="H230" i="33"/>
  <c r="H231" i="33"/>
  <c r="H232" i="33"/>
  <c r="H233" i="33"/>
  <c r="H234" i="33"/>
  <c r="H235" i="33"/>
  <c r="H236" i="33"/>
  <c r="H237" i="33"/>
  <c r="H238" i="33"/>
  <c r="H239" i="33"/>
  <c r="H240" i="33"/>
  <c r="H241" i="33"/>
  <c r="H242" i="33"/>
  <c r="H243" i="33"/>
  <c r="H244" i="33"/>
  <c r="H245" i="33"/>
  <c r="H246" i="33"/>
  <c r="H247" i="33"/>
  <c r="H248" i="33"/>
  <c r="H249" i="33"/>
  <c r="H250" i="33"/>
  <c r="H251" i="33"/>
  <c r="H252" i="33"/>
  <c r="H253" i="33"/>
  <c r="H254" i="33"/>
  <c r="H255" i="33"/>
  <c r="H256" i="33"/>
  <c r="H257" i="33"/>
  <c r="H258" i="33"/>
  <c r="H259" i="33"/>
  <c r="H260" i="33"/>
  <c r="H261" i="33"/>
  <c r="H262" i="33"/>
  <c r="H263" i="33"/>
  <c r="H264" i="33"/>
  <c r="H265" i="33"/>
  <c r="H266" i="33"/>
  <c r="H267" i="33"/>
  <c r="H268" i="33"/>
  <c r="H269" i="33"/>
  <c r="H270" i="33"/>
  <c r="H271" i="33"/>
  <c r="H272" i="33"/>
  <c r="H273" i="33"/>
  <c r="H274" i="33"/>
  <c r="H275" i="33"/>
  <c r="H276" i="33"/>
  <c r="H277" i="33"/>
  <c r="H278" i="33"/>
  <c r="H279" i="33"/>
  <c r="H280" i="33"/>
  <c r="H281" i="33"/>
  <c r="H282" i="33"/>
  <c r="H283" i="33"/>
  <c r="H284" i="33"/>
  <c r="H285" i="33"/>
  <c r="H286" i="33"/>
  <c r="H287" i="33"/>
  <c r="H288" i="33"/>
  <c r="H289" i="33"/>
  <c r="H290" i="33"/>
  <c r="H291" i="33"/>
  <c r="H292" i="33"/>
  <c r="H293" i="33"/>
  <c r="H294" i="33"/>
  <c r="H295" i="33"/>
  <c r="H296" i="33"/>
  <c r="H297" i="33"/>
  <c r="H298" i="33"/>
  <c r="H299" i="33"/>
  <c r="H300" i="33"/>
  <c r="H301" i="33"/>
  <c r="H302" i="33"/>
  <c r="H303" i="33"/>
  <c r="H304" i="33"/>
  <c r="H305" i="33"/>
  <c r="H306" i="33"/>
  <c r="H307" i="33"/>
  <c r="H308" i="33"/>
  <c r="H309" i="33"/>
  <c r="H310" i="33"/>
  <c r="H311" i="33"/>
  <c r="H312" i="33"/>
  <c r="H313" i="33"/>
  <c r="H314" i="33"/>
  <c r="H315" i="33"/>
  <c r="H316" i="33"/>
  <c r="H317" i="33"/>
  <c r="H318" i="33"/>
  <c r="H319" i="33"/>
  <c r="H320" i="33"/>
  <c r="H321" i="33"/>
  <c r="H322" i="33"/>
  <c r="H323" i="33"/>
  <c r="H324" i="33"/>
  <c r="H325" i="33"/>
  <c r="H326" i="33"/>
  <c r="H327" i="33"/>
  <c r="H328" i="33"/>
  <c r="H329" i="33"/>
  <c r="H330" i="33"/>
  <c r="H331" i="33"/>
  <c r="H332" i="33"/>
  <c r="H333" i="33"/>
  <c r="H334" i="33"/>
  <c r="H335" i="33"/>
  <c r="H336" i="33"/>
  <c r="H337" i="33"/>
  <c r="H338" i="33"/>
  <c r="H339" i="33"/>
  <c r="H340" i="33"/>
  <c r="H341" i="33"/>
  <c r="H342" i="33"/>
  <c r="H343" i="33"/>
  <c r="H344" i="33"/>
  <c r="H345" i="33"/>
  <c r="H346" i="33"/>
  <c r="H347" i="33"/>
  <c r="H348" i="33"/>
  <c r="H349" i="33"/>
  <c r="H350" i="33"/>
  <c r="H351" i="33"/>
  <c r="H352" i="33"/>
  <c r="H353" i="33"/>
  <c r="H354" i="33"/>
  <c r="H355" i="33"/>
  <c r="H356" i="33"/>
  <c r="H357" i="33"/>
  <c r="H358" i="33"/>
  <c r="H359" i="33"/>
  <c r="H360" i="33"/>
  <c r="H361" i="33"/>
  <c r="H362" i="33"/>
  <c r="H363" i="33"/>
  <c r="H364" i="33"/>
  <c r="H365" i="33"/>
  <c r="H366" i="33"/>
  <c r="H367" i="33"/>
  <c r="H368" i="33"/>
  <c r="H369" i="33"/>
  <c r="H370" i="33"/>
  <c r="H371" i="33"/>
  <c r="H372" i="33"/>
  <c r="H373" i="33"/>
  <c r="H374" i="33"/>
  <c r="H375" i="33"/>
  <c r="H376" i="33"/>
  <c r="H377" i="33"/>
  <c r="H378" i="33"/>
  <c r="H379" i="33"/>
  <c r="H380" i="33"/>
  <c r="H381" i="33"/>
  <c r="H382" i="33"/>
  <c r="H383" i="33"/>
  <c r="H384" i="33"/>
  <c r="H385" i="33"/>
  <c r="H386" i="33"/>
  <c r="H387" i="33"/>
  <c r="H388" i="33"/>
  <c r="H389" i="33"/>
  <c r="H390" i="33"/>
  <c r="H391" i="33"/>
  <c r="H392" i="33"/>
  <c r="H393" i="33"/>
  <c r="H394" i="33"/>
  <c r="H395" i="33"/>
  <c r="H396" i="33"/>
  <c r="H397" i="33"/>
  <c r="H398" i="33"/>
  <c r="H399" i="33"/>
  <c r="H400" i="33"/>
  <c r="H401" i="33"/>
  <c r="H402" i="33"/>
  <c r="H403" i="33"/>
  <c r="H404" i="33"/>
  <c r="H405" i="33"/>
  <c r="H406" i="33"/>
  <c r="H407" i="33"/>
  <c r="H408" i="33"/>
  <c r="H409" i="33"/>
  <c r="H410" i="33"/>
  <c r="H411" i="33"/>
  <c r="H412" i="33"/>
  <c r="H413" i="33"/>
  <c r="H414" i="33"/>
  <c r="H415" i="33"/>
  <c r="H416" i="33"/>
  <c r="H417" i="33"/>
  <c r="H418" i="33"/>
  <c r="H419" i="33"/>
  <c r="H420" i="33"/>
  <c r="H421" i="33"/>
  <c r="H422" i="33"/>
  <c r="H423" i="33"/>
  <c r="H424" i="33"/>
  <c r="H425" i="33"/>
  <c r="H426" i="33"/>
  <c r="H427" i="33"/>
  <c r="H428" i="33"/>
  <c r="H429" i="33"/>
  <c r="H430" i="33"/>
  <c r="H431" i="33"/>
  <c r="H432" i="33"/>
  <c r="H433" i="33"/>
  <c r="H434" i="33"/>
  <c r="H435" i="33"/>
  <c r="H436" i="33"/>
  <c r="H437" i="33"/>
  <c r="H438" i="33"/>
  <c r="H439" i="33"/>
  <c r="H440" i="33"/>
  <c r="H441" i="33"/>
  <c r="H442" i="33"/>
  <c r="H443" i="33"/>
  <c r="H444" i="33"/>
  <c r="H445" i="33"/>
  <c r="H446" i="33"/>
  <c r="H447" i="33"/>
  <c r="H448" i="33"/>
  <c r="H449" i="33"/>
  <c r="H450" i="33"/>
  <c r="H451" i="33"/>
  <c r="H452" i="33"/>
  <c r="H453" i="33"/>
  <c r="H454" i="33"/>
  <c r="H455" i="33"/>
  <c r="H456" i="33"/>
  <c r="H457" i="33"/>
  <c r="H458" i="33"/>
  <c r="H459" i="33"/>
  <c r="H460" i="33"/>
  <c r="H461" i="33"/>
  <c r="H462" i="33"/>
  <c r="H463" i="33"/>
  <c r="H464" i="33"/>
  <c r="H465" i="33"/>
  <c r="H466" i="33"/>
  <c r="H467" i="33"/>
  <c r="H468" i="33"/>
  <c r="H469" i="33"/>
  <c r="H470" i="33"/>
  <c r="H471" i="33"/>
  <c r="H472" i="33"/>
  <c r="H473" i="33"/>
  <c r="H474" i="33"/>
  <c r="H475" i="33"/>
  <c r="H476" i="33"/>
  <c r="H477" i="33"/>
  <c r="H478" i="33"/>
  <c r="H479" i="33"/>
  <c r="H480" i="33"/>
  <c r="H481" i="33"/>
  <c r="H482" i="33"/>
  <c r="H483" i="33"/>
  <c r="H484" i="33"/>
  <c r="H485" i="33"/>
  <c r="H486" i="33"/>
  <c r="H487" i="33"/>
  <c r="H488" i="33"/>
  <c r="H489" i="33"/>
  <c r="H490" i="33"/>
  <c r="H491" i="33"/>
  <c r="H492" i="33"/>
  <c r="H493" i="33"/>
  <c r="H494" i="33"/>
  <c r="H495" i="33"/>
  <c r="H496" i="33"/>
  <c r="H497" i="33"/>
  <c r="H498" i="33"/>
  <c r="H499" i="33"/>
  <c r="H500" i="33"/>
  <c r="H501" i="33"/>
  <c r="H502" i="33"/>
  <c r="H503" i="33"/>
  <c r="H504" i="33"/>
  <c r="H505" i="33"/>
  <c r="H506" i="33"/>
  <c r="H507" i="33"/>
  <c r="H508" i="33"/>
  <c r="H509" i="33"/>
  <c r="H510" i="33"/>
  <c r="H511" i="33"/>
  <c r="H512" i="33"/>
  <c r="H513" i="33"/>
  <c r="H514" i="33"/>
  <c r="H515" i="33"/>
  <c r="H516" i="33"/>
  <c r="H517" i="33"/>
  <c r="H518" i="33"/>
  <c r="H519" i="33"/>
  <c r="H520" i="33"/>
  <c r="H521" i="33"/>
  <c r="H522" i="33"/>
  <c r="H523" i="33"/>
  <c r="H524" i="33"/>
  <c r="H525" i="33"/>
  <c r="H526" i="33"/>
  <c r="H527" i="33"/>
  <c r="H528" i="33"/>
  <c r="H529" i="33"/>
  <c r="H530" i="33"/>
  <c r="H531" i="33"/>
  <c r="H532" i="33"/>
  <c r="H533" i="33"/>
  <c r="H534" i="33"/>
  <c r="H535" i="33"/>
  <c r="H536" i="33"/>
  <c r="H537" i="33"/>
  <c r="H538" i="33"/>
  <c r="H539" i="33"/>
  <c r="H540" i="33"/>
  <c r="H541" i="33"/>
  <c r="H542" i="33"/>
  <c r="H543" i="33"/>
  <c r="H544" i="33"/>
  <c r="H545" i="33"/>
  <c r="H546" i="33"/>
  <c r="H547" i="33"/>
  <c r="H548" i="33"/>
  <c r="H549" i="33"/>
  <c r="H550" i="33"/>
  <c r="H551" i="33"/>
  <c r="H552" i="33"/>
  <c r="H553" i="33"/>
  <c r="H554" i="33"/>
  <c r="H555" i="33"/>
  <c r="H556" i="33"/>
  <c r="H557" i="33"/>
  <c r="H558" i="33"/>
  <c r="H559" i="33"/>
  <c r="H560" i="33"/>
  <c r="H561" i="33"/>
  <c r="H562" i="33"/>
  <c r="H563" i="33"/>
  <c r="H564" i="33"/>
  <c r="H565" i="33"/>
  <c r="H566" i="33"/>
  <c r="H567" i="33"/>
  <c r="H568" i="33"/>
  <c r="H569" i="33"/>
  <c r="H570" i="33"/>
  <c r="H571" i="33"/>
  <c r="H572" i="33"/>
  <c r="H573" i="33"/>
  <c r="H574" i="33"/>
  <c r="H575" i="33"/>
  <c r="H576" i="33"/>
  <c r="H577" i="33"/>
  <c r="H578" i="33"/>
  <c r="H579" i="33"/>
  <c r="H580" i="33"/>
  <c r="H581" i="33"/>
  <c r="H582" i="33"/>
  <c r="H583" i="33"/>
  <c r="H584" i="33"/>
  <c r="H585" i="33"/>
  <c r="H586" i="33"/>
  <c r="H587" i="33"/>
  <c r="H588" i="33"/>
  <c r="H589" i="33"/>
  <c r="H590" i="33"/>
  <c r="H591" i="33"/>
  <c r="H592" i="33"/>
  <c r="H593" i="33"/>
  <c r="H594" i="33"/>
  <c r="H595" i="33"/>
  <c r="H596" i="33"/>
  <c r="H597" i="33"/>
  <c r="H598" i="33"/>
  <c r="H599" i="33"/>
  <c r="H600" i="33"/>
  <c r="H601" i="33"/>
  <c r="H602" i="33"/>
  <c r="H603" i="33"/>
  <c r="H604" i="33"/>
  <c r="H605" i="33"/>
  <c r="H606" i="33"/>
  <c r="H607" i="33"/>
  <c r="H608" i="33"/>
  <c r="H609" i="33"/>
  <c r="H610" i="33"/>
  <c r="H611" i="33"/>
  <c r="H612" i="33"/>
  <c r="H613" i="33"/>
  <c r="H614" i="33"/>
  <c r="H615" i="33"/>
  <c r="H616" i="33"/>
  <c r="H617" i="33"/>
  <c r="H618" i="33"/>
  <c r="H619" i="33"/>
  <c r="H620" i="33"/>
  <c r="H621" i="33"/>
  <c r="H622" i="33"/>
  <c r="H623" i="33"/>
  <c r="H624" i="33"/>
  <c r="H625" i="33"/>
  <c r="H626" i="33"/>
  <c r="H627" i="33"/>
  <c r="H628" i="33"/>
  <c r="H629" i="33"/>
  <c r="H630" i="33"/>
  <c r="H631" i="33"/>
  <c r="H632" i="33"/>
  <c r="H633" i="33"/>
  <c r="H634" i="33"/>
  <c r="H635" i="33"/>
  <c r="H636" i="33"/>
  <c r="H637" i="33"/>
  <c r="H638" i="33"/>
  <c r="H639" i="33"/>
  <c r="H640" i="33"/>
  <c r="H641" i="33"/>
  <c r="H642" i="33"/>
  <c r="H643" i="33"/>
  <c r="H644" i="33"/>
  <c r="H645" i="33"/>
  <c r="H646" i="33"/>
  <c r="H647" i="33"/>
  <c r="H648" i="33"/>
  <c r="H649" i="33"/>
  <c r="H650" i="33"/>
  <c r="H651" i="33"/>
  <c r="H652" i="33"/>
  <c r="H653" i="33"/>
  <c r="H654" i="33"/>
  <c r="H655" i="33"/>
  <c r="H656" i="33"/>
  <c r="H657" i="33"/>
  <c r="H658" i="33"/>
  <c r="H659" i="33"/>
  <c r="H660" i="33"/>
  <c r="H661" i="33"/>
  <c r="H662" i="33"/>
  <c r="H663" i="33"/>
  <c r="H664" i="33"/>
  <c r="H665" i="33"/>
  <c r="H666" i="33"/>
  <c r="H667" i="33"/>
  <c r="H668" i="33"/>
  <c r="H669" i="33"/>
  <c r="H670" i="33"/>
  <c r="H671" i="33"/>
  <c r="H672" i="33"/>
  <c r="H673" i="33"/>
  <c r="H674" i="33"/>
  <c r="H675" i="33"/>
  <c r="H676" i="33"/>
  <c r="H677" i="33"/>
  <c r="H678" i="33"/>
  <c r="H679" i="33"/>
  <c r="H680" i="33"/>
  <c r="H681" i="33"/>
  <c r="H682" i="33"/>
  <c r="H683" i="33"/>
  <c r="H684" i="33"/>
  <c r="H685" i="33"/>
  <c r="H686" i="33"/>
  <c r="H687" i="33"/>
  <c r="H688" i="33"/>
  <c r="H689" i="33"/>
  <c r="H690" i="33"/>
  <c r="H691" i="33"/>
  <c r="H692" i="33"/>
  <c r="H693" i="33"/>
  <c r="H694" i="33"/>
  <c r="H695" i="33"/>
  <c r="H696" i="33"/>
  <c r="H697" i="33"/>
  <c r="H698" i="33"/>
  <c r="H699" i="33"/>
  <c r="H700" i="33"/>
  <c r="H701" i="33"/>
  <c r="H702" i="33"/>
  <c r="H703" i="33"/>
  <c r="H704" i="33"/>
  <c r="H705" i="33"/>
  <c r="H706" i="33"/>
  <c r="H707" i="33"/>
  <c r="H708" i="33"/>
  <c r="H709" i="33"/>
  <c r="H710" i="33"/>
  <c r="H711" i="33"/>
  <c r="H712" i="33"/>
  <c r="H713" i="33"/>
  <c r="H714" i="33"/>
  <c r="H715" i="33"/>
  <c r="H716" i="33"/>
  <c r="H717" i="33"/>
  <c r="H718" i="33"/>
  <c r="H719" i="33"/>
  <c r="H720" i="33"/>
  <c r="H721" i="33"/>
  <c r="H722" i="33"/>
  <c r="H723" i="33"/>
  <c r="H724" i="33"/>
  <c r="H725" i="33"/>
  <c r="H726" i="33"/>
  <c r="H727" i="33"/>
  <c r="H728" i="33"/>
  <c r="H729" i="33"/>
  <c r="H730" i="33"/>
  <c r="H731" i="33"/>
  <c r="H732" i="33"/>
  <c r="H733" i="33"/>
  <c r="H734" i="33"/>
  <c r="H735" i="33"/>
  <c r="H736" i="33"/>
  <c r="H737" i="33"/>
  <c r="H738" i="33"/>
  <c r="H739" i="33"/>
  <c r="H740" i="33"/>
  <c r="H741" i="33"/>
  <c r="H742" i="33"/>
  <c r="H743" i="33"/>
  <c r="H744" i="33"/>
  <c r="H745" i="33"/>
  <c r="H746" i="33"/>
  <c r="H747" i="33"/>
  <c r="H748" i="33"/>
  <c r="H749" i="33"/>
  <c r="H750" i="33"/>
  <c r="H751" i="33"/>
  <c r="H752" i="33"/>
  <c r="H753" i="33"/>
  <c r="H754" i="33"/>
  <c r="H755" i="33"/>
  <c r="H756" i="33"/>
  <c r="H757" i="33"/>
  <c r="H758" i="33"/>
  <c r="H759" i="33"/>
  <c r="H760" i="33"/>
  <c r="H761" i="33"/>
  <c r="H762" i="33"/>
  <c r="H763" i="33"/>
  <c r="H764" i="33"/>
  <c r="H765" i="33"/>
  <c r="H766" i="33"/>
  <c r="H767" i="33"/>
  <c r="H768" i="33"/>
  <c r="H769" i="33"/>
  <c r="H770" i="33"/>
  <c r="H771" i="33"/>
  <c r="H772" i="33"/>
  <c r="H773" i="33"/>
  <c r="H774" i="33"/>
  <c r="H775" i="33"/>
  <c r="H776" i="33"/>
  <c r="H777" i="33"/>
  <c r="H778" i="33"/>
  <c r="H779" i="33"/>
  <c r="H780" i="33"/>
  <c r="H781" i="33"/>
  <c r="H782" i="33"/>
  <c r="H783" i="33"/>
  <c r="H784" i="33"/>
  <c r="H785" i="33"/>
  <c r="H786" i="33"/>
  <c r="H787" i="33"/>
  <c r="H788" i="33"/>
  <c r="H789" i="33"/>
  <c r="H790" i="33"/>
  <c r="H791" i="33"/>
  <c r="H792" i="33"/>
  <c r="H793" i="33"/>
  <c r="H794" i="33"/>
  <c r="H795" i="33"/>
  <c r="H796" i="33"/>
  <c r="H797" i="33"/>
  <c r="H798" i="33"/>
  <c r="H799" i="33"/>
  <c r="H800" i="33"/>
  <c r="H801" i="33"/>
  <c r="H802" i="33"/>
  <c r="H803" i="33"/>
  <c r="H804" i="33"/>
  <c r="H805" i="33"/>
  <c r="H806" i="33"/>
  <c r="H807" i="33"/>
  <c r="H808" i="33"/>
  <c r="H809" i="33"/>
  <c r="H810" i="33"/>
  <c r="H811" i="33"/>
  <c r="H812" i="33"/>
  <c r="H813" i="33"/>
  <c r="H814" i="33"/>
  <c r="H815" i="33"/>
  <c r="H816" i="33"/>
  <c r="H817" i="33"/>
  <c r="H818" i="33"/>
  <c r="H819" i="33"/>
  <c r="H820" i="33"/>
  <c r="H821" i="33"/>
  <c r="H822" i="33"/>
  <c r="H823" i="33"/>
  <c r="H824" i="33"/>
  <c r="H825" i="33"/>
  <c r="H826" i="33"/>
  <c r="H827" i="33"/>
  <c r="H828" i="33"/>
  <c r="H829" i="33"/>
  <c r="H830" i="33"/>
  <c r="H831" i="33"/>
  <c r="H832" i="33"/>
  <c r="H833" i="33"/>
  <c r="H834" i="33"/>
  <c r="H835" i="33"/>
  <c r="H836" i="33"/>
  <c r="H837" i="33"/>
  <c r="H838" i="33"/>
  <c r="H839" i="33"/>
  <c r="H840" i="33"/>
  <c r="H841" i="33"/>
  <c r="H842" i="33"/>
  <c r="H843" i="33"/>
  <c r="H844" i="33"/>
  <c r="H845" i="33"/>
  <c r="H846" i="33"/>
  <c r="H847" i="33"/>
  <c r="H848" i="33"/>
  <c r="H849" i="33"/>
  <c r="H850" i="33"/>
  <c r="H851" i="33"/>
  <c r="H852" i="33"/>
  <c r="H853" i="33"/>
  <c r="H854" i="33"/>
  <c r="H855" i="33"/>
  <c r="H856" i="33"/>
  <c r="H857" i="33"/>
  <c r="H858" i="33"/>
  <c r="H859" i="33"/>
  <c r="H860" i="33"/>
  <c r="H861" i="33"/>
  <c r="H862" i="33"/>
  <c r="H863" i="33"/>
  <c r="H864" i="33"/>
  <c r="H865" i="33"/>
  <c r="H866" i="33"/>
  <c r="H867" i="33"/>
  <c r="H868" i="33"/>
  <c r="H869" i="33"/>
  <c r="H870" i="33"/>
  <c r="H871" i="33"/>
  <c r="H872" i="33"/>
  <c r="H873" i="33"/>
  <c r="H874" i="33"/>
  <c r="H875" i="33"/>
  <c r="H876" i="33"/>
  <c r="H877" i="33"/>
  <c r="H878" i="33"/>
  <c r="H879" i="33"/>
  <c r="H880" i="33"/>
  <c r="H881" i="33"/>
  <c r="H882" i="33"/>
  <c r="H883" i="33"/>
  <c r="H884" i="33"/>
  <c r="H885" i="33"/>
  <c r="H886" i="33"/>
  <c r="H887" i="33"/>
  <c r="H888" i="33"/>
  <c r="H889" i="33"/>
  <c r="H890" i="33"/>
  <c r="H891" i="33"/>
  <c r="H892" i="33"/>
  <c r="H893" i="33"/>
  <c r="H894" i="33"/>
  <c r="H895" i="33"/>
  <c r="H896" i="33"/>
  <c r="H897" i="33"/>
  <c r="H898" i="33"/>
  <c r="H899" i="33"/>
  <c r="H900" i="33"/>
  <c r="H901" i="33"/>
  <c r="H902" i="33"/>
  <c r="H903" i="33"/>
  <c r="H904" i="33"/>
  <c r="H905" i="33"/>
  <c r="H906" i="33"/>
  <c r="H907" i="33"/>
  <c r="H908" i="33"/>
  <c r="H909" i="33"/>
  <c r="H910" i="33"/>
  <c r="H911" i="33"/>
  <c r="H912" i="33"/>
  <c r="H913" i="33"/>
  <c r="H914" i="33"/>
  <c r="H915" i="33"/>
  <c r="H916" i="33"/>
  <c r="H917" i="33"/>
  <c r="H918" i="33"/>
  <c r="H919" i="33"/>
  <c r="H920" i="33"/>
  <c r="H921" i="33"/>
  <c r="H922" i="33"/>
  <c r="H923" i="33"/>
  <c r="H924" i="33"/>
  <c r="H925" i="33"/>
  <c r="H926" i="33"/>
  <c r="H927" i="33"/>
  <c r="H928" i="33"/>
  <c r="H929" i="33"/>
  <c r="H930" i="33"/>
  <c r="H931" i="33"/>
  <c r="H932" i="33"/>
  <c r="H933" i="33"/>
  <c r="H934" i="33"/>
  <c r="H935" i="33"/>
  <c r="H936" i="33"/>
  <c r="H937" i="33"/>
  <c r="H938" i="33"/>
  <c r="H939" i="33"/>
  <c r="H940" i="33"/>
  <c r="H941" i="33"/>
  <c r="H942" i="33"/>
  <c r="H943" i="33"/>
  <c r="H944" i="33"/>
  <c r="H945" i="33"/>
  <c r="H946" i="33"/>
  <c r="H947" i="33"/>
  <c r="H948" i="33"/>
  <c r="H949" i="33"/>
  <c r="H950" i="33"/>
  <c r="H951" i="33"/>
  <c r="H952" i="33"/>
  <c r="H953" i="33"/>
  <c r="H954" i="33"/>
  <c r="H955" i="33"/>
  <c r="H956" i="33"/>
  <c r="H957" i="33"/>
  <c r="H958" i="33"/>
  <c r="H959" i="33"/>
  <c r="H960" i="33"/>
  <c r="H961" i="33"/>
  <c r="H962" i="33"/>
  <c r="H963" i="33"/>
  <c r="H964" i="33"/>
  <c r="H965" i="33"/>
  <c r="H966" i="33"/>
  <c r="H967" i="33"/>
  <c r="H968" i="33"/>
  <c r="H969" i="33"/>
  <c r="H970" i="33"/>
  <c r="H971" i="33"/>
  <c r="H972" i="33"/>
  <c r="H973" i="33"/>
  <c r="H974" i="33"/>
  <c r="H975" i="33"/>
  <c r="H976" i="33"/>
  <c r="H977" i="33"/>
  <c r="H978" i="33"/>
  <c r="H979" i="33"/>
  <c r="H980" i="33"/>
  <c r="H981" i="33"/>
  <c r="H982" i="33"/>
  <c r="H983" i="33"/>
  <c r="H984" i="33"/>
  <c r="H985" i="33"/>
  <c r="H986" i="33"/>
  <c r="H987" i="33"/>
  <c r="H988" i="33"/>
  <c r="H989" i="33"/>
  <c r="H990" i="33"/>
  <c r="H991" i="33"/>
  <c r="H992" i="33"/>
  <c r="H993" i="33"/>
  <c r="H994" i="33"/>
  <c r="H995" i="33"/>
  <c r="H996" i="33"/>
  <c r="H997" i="33"/>
  <c r="H998" i="33"/>
  <c r="H999" i="33"/>
  <c r="H1000" i="33"/>
  <c r="H1001" i="33"/>
  <c r="H1002" i="33"/>
  <c r="H1003" i="33"/>
  <c r="H1004" i="33"/>
  <c r="H1005" i="33"/>
  <c r="H1006" i="33"/>
  <c r="H1007" i="33"/>
  <c r="H1008" i="33"/>
  <c r="H1009" i="33"/>
  <c r="H1010" i="33"/>
  <c r="H1011" i="33"/>
  <c r="H1012" i="33"/>
  <c r="H1013" i="33"/>
  <c r="H1014" i="33"/>
  <c r="H1015" i="33"/>
  <c r="H1016" i="33"/>
  <c r="H1017" i="33"/>
  <c r="H1018" i="33"/>
  <c r="H1019" i="33"/>
  <c r="H1020" i="33"/>
  <c r="H1021" i="33"/>
  <c r="H1022" i="33"/>
  <c r="H1023" i="33"/>
  <c r="H1024" i="33"/>
  <c r="H1025" i="33"/>
  <c r="H1026" i="33"/>
  <c r="H1027" i="33"/>
  <c r="H1028" i="33"/>
  <c r="H1029" i="33"/>
  <c r="H1030" i="33"/>
  <c r="H1031" i="33"/>
  <c r="H1032" i="33"/>
  <c r="H1033" i="33"/>
  <c r="H1034" i="33"/>
  <c r="H1035" i="33"/>
  <c r="H1036" i="33"/>
  <c r="H1037" i="33"/>
  <c r="H1038" i="33"/>
  <c r="H1039" i="33"/>
  <c r="H1040" i="33"/>
  <c r="H1041" i="33"/>
  <c r="H1042" i="33"/>
  <c r="H1043" i="33"/>
  <c r="H1044" i="33"/>
  <c r="H1045" i="33"/>
  <c r="H1046" i="33"/>
  <c r="H1047" i="33"/>
  <c r="H1048" i="33"/>
  <c r="H1049" i="33"/>
  <c r="H1050" i="33"/>
  <c r="H1051" i="33"/>
  <c r="H1052" i="33"/>
  <c r="H1053" i="33"/>
  <c r="H1054" i="33"/>
  <c r="H1055" i="33"/>
  <c r="H1056" i="33"/>
  <c r="H1057" i="33"/>
  <c r="H1058" i="33"/>
  <c r="H1059" i="33"/>
  <c r="H1060" i="33"/>
  <c r="H1061" i="33"/>
  <c r="H1062" i="33"/>
  <c r="H1063" i="33"/>
  <c r="H1064" i="33"/>
  <c r="H1065" i="33"/>
  <c r="H1066" i="33"/>
  <c r="H1067" i="33"/>
  <c r="H1068" i="33"/>
  <c r="H1069" i="33"/>
  <c r="H1070" i="33"/>
  <c r="H1071" i="33"/>
  <c r="H1072" i="33"/>
  <c r="H1073" i="33"/>
  <c r="H1074" i="33"/>
  <c r="H1075" i="33"/>
  <c r="H1076" i="33"/>
  <c r="H1077" i="33"/>
  <c r="H1078" i="33"/>
  <c r="H1079" i="33"/>
  <c r="H1080" i="33"/>
  <c r="H1081" i="33"/>
  <c r="H1082" i="33"/>
  <c r="H1083" i="33"/>
  <c r="H1084" i="33"/>
  <c r="H1085" i="33"/>
  <c r="H1086" i="33"/>
  <c r="H1087" i="33"/>
  <c r="H1088" i="33"/>
  <c r="H1089" i="33"/>
  <c r="H1090" i="33"/>
  <c r="H1091" i="33"/>
  <c r="H1092" i="33"/>
  <c r="H1093" i="33"/>
  <c r="H1094" i="33"/>
  <c r="H1095" i="33"/>
  <c r="H1096" i="33"/>
  <c r="H1097" i="33"/>
  <c r="H1098" i="33"/>
  <c r="H1099" i="33"/>
  <c r="H1100" i="33"/>
  <c r="H1101" i="33"/>
  <c r="H1102" i="33"/>
  <c r="H1103" i="33"/>
  <c r="H1104" i="33"/>
  <c r="H1105" i="33"/>
  <c r="H1106" i="33"/>
  <c r="H1107" i="33"/>
  <c r="H1108" i="33"/>
  <c r="H1109" i="33"/>
  <c r="H1110" i="33"/>
  <c r="H1111" i="33"/>
  <c r="H1112" i="33"/>
  <c r="H1113" i="33"/>
  <c r="H1114" i="33"/>
  <c r="H1115" i="33"/>
  <c r="H1116" i="33"/>
  <c r="H1117" i="33"/>
  <c r="H1118" i="33"/>
  <c r="H1119" i="33"/>
  <c r="H1120" i="33"/>
  <c r="H1121" i="33"/>
  <c r="H1122" i="33"/>
  <c r="H1123" i="33"/>
  <c r="H1124" i="33"/>
  <c r="H1125" i="33"/>
  <c r="H1126" i="33"/>
  <c r="H1127" i="33"/>
  <c r="H1128" i="33"/>
  <c r="H1129" i="33"/>
  <c r="H1130" i="33"/>
  <c r="H1131" i="33"/>
  <c r="H1132" i="33"/>
  <c r="H1133" i="33"/>
  <c r="H1134" i="33"/>
  <c r="H1135" i="33"/>
  <c r="H1136" i="33"/>
  <c r="H1137" i="33"/>
  <c r="H1138" i="33"/>
  <c r="H1139" i="33"/>
  <c r="H1140" i="33"/>
  <c r="H1141" i="33"/>
  <c r="H1142" i="33"/>
  <c r="H1143" i="33"/>
  <c r="H1144" i="33"/>
  <c r="H1145" i="33"/>
  <c r="H1146" i="33"/>
  <c r="H1147" i="33"/>
  <c r="H1148" i="33"/>
  <c r="H1149" i="33"/>
  <c r="H1150" i="33"/>
  <c r="H1151" i="33"/>
  <c r="H1152" i="33"/>
  <c r="H1153" i="33"/>
  <c r="H1154" i="33"/>
  <c r="H1155" i="33"/>
  <c r="H1156" i="33"/>
  <c r="H1157" i="33"/>
  <c r="H1158" i="33"/>
  <c r="H1159" i="33"/>
  <c r="H1160" i="33"/>
  <c r="H1161" i="33"/>
  <c r="H1162" i="33"/>
  <c r="H1163" i="33"/>
  <c r="H1164" i="33"/>
  <c r="H1165" i="33"/>
  <c r="H1166" i="33"/>
  <c r="H1167" i="33"/>
  <c r="H1168" i="33"/>
  <c r="H1169" i="33"/>
  <c r="H1170" i="33"/>
  <c r="H1171" i="33"/>
  <c r="H1172" i="33"/>
  <c r="H1173" i="33"/>
  <c r="H1174" i="33"/>
  <c r="H1175" i="33"/>
  <c r="H1176" i="33"/>
  <c r="H1177" i="33"/>
  <c r="H1178" i="33"/>
  <c r="H1179" i="33"/>
  <c r="H1180" i="33"/>
  <c r="H1181" i="33"/>
  <c r="H1182" i="33"/>
  <c r="H1183" i="33"/>
  <c r="H1184" i="33"/>
  <c r="H1185" i="33"/>
  <c r="H1186" i="33"/>
  <c r="H1187" i="33"/>
  <c r="H1188" i="33"/>
  <c r="H1189" i="33"/>
  <c r="H1190" i="33"/>
  <c r="H1191" i="33"/>
  <c r="H1192" i="33"/>
  <c r="H1193" i="33"/>
  <c r="H1194" i="33"/>
  <c r="H1195" i="33"/>
  <c r="H1196" i="33"/>
  <c r="H1197" i="33"/>
  <c r="H1198" i="33"/>
  <c r="H1199" i="33"/>
  <c r="H1200" i="33"/>
  <c r="H1201" i="33"/>
  <c r="H1202" i="33"/>
  <c r="H1203" i="33"/>
  <c r="H1204" i="33"/>
  <c r="H1205" i="33"/>
  <c r="H1206" i="33"/>
  <c r="H1207" i="33"/>
  <c r="H1208" i="33"/>
  <c r="H1209" i="33"/>
  <c r="H1210" i="33"/>
  <c r="H1211" i="33"/>
  <c r="H1212" i="33"/>
  <c r="H1213" i="33"/>
  <c r="H1214" i="33"/>
  <c r="H1215" i="33"/>
  <c r="H1216" i="33"/>
  <c r="H1217" i="33"/>
  <c r="H1218" i="33"/>
  <c r="H1219" i="33"/>
  <c r="H1220" i="33"/>
  <c r="H1221" i="33"/>
  <c r="H1222" i="33"/>
  <c r="H1223" i="33"/>
  <c r="H1224" i="33"/>
  <c r="H1225" i="33"/>
  <c r="H1226" i="33"/>
  <c r="H1227" i="33"/>
  <c r="H1228" i="33"/>
  <c r="H1229" i="33"/>
  <c r="H1230" i="33"/>
  <c r="H1231" i="33"/>
  <c r="H1232" i="33"/>
  <c r="H1233" i="33"/>
  <c r="H1234" i="33"/>
  <c r="H1235" i="33"/>
  <c r="H1236" i="33"/>
  <c r="H1237" i="33"/>
  <c r="H1238" i="33"/>
  <c r="H1239" i="33"/>
  <c r="H1240" i="33"/>
  <c r="H1241" i="33"/>
  <c r="H1242" i="33"/>
  <c r="H1243" i="33"/>
  <c r="H1244" i="33"/>
  <c r="H1245" i="33"/>
  <c r="H1246" i="33"/>
  <c r="H1247" i="33"/>
  <c r="H1248" i="33"/>
  <c r="H1249" i="33"/>
  <c r="H1250" i="33"/>
  <c r="H1251" i="33"/>
  <c r="H1252" i="33"/>
  <c r="H1253" i="33"/>
  <c r="H1254" i="33"/>
  <c r="H1255" i="33"/>
  <c r="H1256" i="33"/>
  <c r="H1257" i="33"/>
  <c r="H1258" i="33"/>
  <c r="H1259" i="33"/>
  <c r="H1260" i="33"/>
  <c r="H1261" i="33"/>
  <c r="H1262" i="33"/>
  <c r="H1263" i="33"/>
  <c r="H1264" i="33"/>
  <c r="H1265" i="33"/>
  <c r="H1266" i="33"/>
  <c r="H1267" i="33"/>
  <c r="H1268" i="33"/>
  <c r="H1269" i="33"/>
  <c r="H1270" i="33"/>
  <c r="H1271" i="33"/>
  <c r="H1272" i="33"/>
  <c r="H1273" i="33"/>
  <c r="H1274" i="33"/>
  <c r="H1275" i="33"/>
  <c r="H1276" i="33"/>
  <c r="H1277" i="33"/>
  <c r="H1278" i="33"/>
  <c r="H1279" i="33"/>
  <c r="H1280" i="33"/>
  <c r="H1281" i="33"/>
  <c r="H1282" i="33"/>
  <c r="H1283" i="33"/>
  <c r="H1284" i="33"/>
  <c r="H1285" i="33"/>
  <c r="H1286" i="33"/>
  <c r="H1287" i="33"/>
  <c r="H1288" i="33"/>
  <c r="H1289" i="33"/>
  <c r="H1290" i="33"/>
  <c r="H1291" i="33"/>
  <c r="H1292" i="33"/>
  <c r="H1293" i="33"/>
  <c r="H1294" i="33"/>
  <c r="H1295" i="33"/>
  <c r="H1296" i="33"/>
  <c r="H1297" i="33"/>
  <c r="H1298" i="33"/>
  <c r="H1299" i="33"/>
  <c r="H1300" i="33"/>
  <c r="H1301" i="33"/>
  <c r="H1302" i="33"/>
  <c r="H1303" i="33"/>
  <c r="H1304" i="33"/>
  <c r="H1305" i="33"/>
  <c r="H1306" i="33"/>
  <c r="H1307" i="33"/>
  <c r="H1308" i="33"/>
  <c r="H1309" i="33"/>
  <c r="H1310" i="33"/>
  <c r="H1311" i="33"/>
  <c r="H1312" i="33"/>
  <c r="H1313" i="33"/>
  <c r="H1314" i="33"/>
  <c r="H1315" i="33"/>
  <c r="H1316" i="33"/>
  <c r="H1317" i="33"/>
  <c r="H1318" i="33"/>
  <c r="H1319" i="33"/>
  <c r="H1320" i="33"/>
  <c r="H1321" i="33"/>
  <c r="H1322" i="33"/>
  <c r="H1323" i="33"/>
  <c r="H1324" i="33"/>
  <c r="H1325" i="33"/>
  <c r="H1326" i="33"/>
  <c r="H1327" i="33"/>
  <c r="H1328" i="33"/>
  <c r="H1329" i="33"/>
  <c r="H1330" i="33"/>
  <c r="H1331" i="33"/>
  <c r="H1332" i="33"/>
  <c r="H1333" i="33"/>
  <c r="H1334" i="33"/>
  <c r="H1335" i="33"/>
  <c r="H1336" i="33"/>
  <c r="H1337" i="33"/>
  <c r="H1338" i="33"/>
  <c r="H1339" i="33"/>
  <c r="H1340" i="33"/>
  <c r="H1341" i="33"/>
  <c r="H1342" i="33"/>
  <c r="H1343" i="33"/>
  <c r="H1344" i="33"/>
  <c r="H1345" i="33"/>
  <c r="H1346" i="33"/>
  <c r="H1347" i="33"/>
  <c r="H1348" i="33"/>
  <c r="H1349" i="33"/>
  <c r="H1350" i="33"/>
  <c r="H1351" i="33"/>
  <c r="H1352" i="33"/>
  <c r="H1353" i="33"/>
  <c r="H1354" i="33"/>
  <c r="H1355" i="33"/>
  <c r="H1356" i="33"/>
  <c r="H1357" i="33"/>
  <c r="H1358" i="33"/>
  <c r="H1359" i="33"/>
  <c r="H1360" i="33"/>
  <c r="H1361" i="33"/>
  <c r="H1362" i="33"/>
  <c r="H1363" i="33"/>
  <c r="H1364" i="33"/>
  <c r="H1365" i="33"/>
  <c r="H1366" i="33"/>
  <c r="H1367" i="33"/>
  <c r="H1368" i="33"/>
  <c r="H1369" i="33"/>
  <c r="H1370" i="33"/>
  <c r="H1371" i="33"/>
  <c r="H1372" i="33"/>
  <c r="H1373" i="33"/>
  <c r="H1374" i="33"/>
  <c r="H1375" i="33"/>
  <c r="H1376" i="33"/>
  <c r="H1377" i="33"/>
  <c r="H1378" i="33"/>
  <c r="H1379" i="33"/>
  <c r="H1380" i="33"/>
  <c r="H1381" i="33"/>
  <c r="H1382" i="33"/>
  <c r="H1383" i="33"/>
  <c r="H1384" i="33"/>
  <c r="H1385" i="33"/>
  <c r="H1386" i="33"/>
  <c r="H1387" i="33"/>
  <c r="H1388" i="33"/>
  <c r="H1389" i="33"/>
  <c r="H1390" i="33"/>
  <c r="H1391" i="33"/>
  <c r="H1392" i="33"/>
  <c r="H1393" i="33"/>
  <c r="H1394" i="33"/>
  <c r="H1395" i="33"/>
  <c r="H1396" i="33"/>
  <c r="H1397" i="33"/>
  <c r="H1398" i="33"/>
  <c r="H1399" i="33"/>
  <c r="H1400" i="33"/>
  <c r="H1401" i="33"/>
  <c r="H1402" i="33"/>
  <c r="H1403" i="33"/>
  <c r="H1404" i="33"/>
  <c r="H1405" i="33"/>
  <c r="H1406" i="33"/>
  <c r="H1407" i="33"/>
  <c r="H1408" i="33"/>
  <c r="H1409" i="33"/>
  <c r="H1410" i="33"/>
  <c r="H1411" i="33"/>
  <c r="H1412" i="33"/>
  <c r="H1413" i="33"/>
  <c r="H1414" i="33"/>
  <c r="H1415" i="33"/>
  <c r="H1416" i="33"/>
  <c r="H1417" i="33"/>
  <c r="H1418" i="33"/>
  <c r="H1419" i="33"/>
  <c r="H1420" i="33"/>
  <c r="H1421" i="33"/>
  <c r="H1422" i="33"/>
  <c r="H1423" i="33"/>
  <c r="H1424" i="33"/>
  <c r="H1425" i="33"/>
  <c r="H1426" i="33"/>
  <c r="H1427" i="33"/>
  <c r="H1428" i="33"/>
  <c r="H1429" i="33"/>
  <c r="H1430" i="33"/>
  <c r="H1431" i="33"/>
  <c r="H1432" i="33"/>
  <c r="H1433" i="33"/>
  <c r="H1434" i="33"/>
  <c r="H1435" i="33"/>
  <c r="H1436" i="33"/>
  <c r="H1437" i="33"/>
  <c r="H1438" i="33"/>
  <c r="H1439" i="33"/>
  <c r="H1440" i="33"/>
  <c r="H1441" i="33"/>
  <c r="H1442" i="33"/>
  <c r="H1443" i="33"/>
  <c r="H1444" i="33"/>
  <c r="H1445" i="33"/>
  <c r="H1446" i="33"/>
  <c r="H1447" i="33"/>
  <c r="H1448" i="33"/>
  <c r="H1449" i="33"/>
  <c r="H1450" i="33"/>
  <c r="H1451" i="33"/>
  <c r="H1452" i="33"/>
  <c r="H1453" i="33"/>
  <c r="H1454" i="33"/>
  <c r="H1455" i="33"/>
  <c r="H1456" i="33"/>
  <c r="H1457" i="33"/>
  <c r="H1458" i="33"/>
  <c r="H1459" i="33"/>
  <c r="H1460" i="33"/>
  <c r="H1461" i="33"/>
  <c r="H1462" i="33"/>
  <c r="H1463" i="33"/>
  <c r="H1464" i="33"/>
  <c r="H1465" i="33"/>
  <c r="H1466" i="33"/>
  <c r="H1467" i="33"/>
  <c r="H1468" i="33"/>
  <c r="H1469" i="33"/>
  <c r="H1470" i="33"/>
  <c r="H1471" i="33"/>
  <c r="H1472" i="33"/>
  <c r="H1473" i="33"/>
  <c r="H1474" i="33"/>
  <c r="H1475" i="33"/>
  <c r="H1476" i="33"/>
  <c r="H1477" i="33"/>
  <c r="H1478" i="33"/>
  <c r="H1479" i="33"/>
  <c r="H1480" i="33"/>
  <c r="H1481" i="33"/>
  <c r="H1482" i="33"/>
  <c r="H1483" i="33"/>
  <c r="H1484" i="33"/>
  <c r="H1485" i="33"/>
  <c r="H1486" i="33"/>
  <c r="H1487" i="33"/>
  <c r="H1488" i="33"/>
  <c r="H1489" i="33"/>
  <c r="H1490" i="33"/>
  <c r="H1491" i="33"/>
  <c r="H1492" i="33"/>
  <c r="H1493" i="33"/>
  <c r="H1494" i="33"/>
  <c r="H1495" i="33"/>
  <c r="H1496" i="33"/>
  <c r="H1497" i="33"/>
  <c r="H1498" i="33"/>
  <c r="H1499" i="33"/>
  <c r="H1500" i="33"/>
  <c r="H1501" i="33"/>
  <c r="H1502" i="33"/>
  <c r="H1503" i="33"/>
  <c r="H1504" i="33"/>
  <c r="H1505" i="33"/>
  <c r="H1506" i="33"/>
  <c r="H1507" i="33"/>
  <c r="H1508" i="33"/>
  <c r="H1509" i="33"/>
  <c r="H1510" i="33"/>
  <c r="H1511" i="33"/>
  <c r="H1512" i="33"/>
  <c r="H1513" i="33"/>
  <c r="H1514" i="33"/>
  <c r="H1515" i="33"/>
  <c r="H1516" i="33"/>
  <c r="H1517" i="33"/>
  <c r="H1518" i="33"/>
  <c r="H1519" i="33"/>
  <c r="H1520" i="33"/>
  <c r="H1521" i="33"/>
  <c r="H1522" i="33"/>
  <c r="H1523" i="33"/>
  <c r="H1524" i="33"/>
  <c r="H1525" i="33"/>
  <c r="H1526" i="33"/>
  <c r="H1527" i="33"/>
  <c r="H1528" i="33"/>
  <c r="H1529" i="33"/>
  <c r="H1530" i="33"/>
  <c r="H1531" i="33"/>
  <c r="H1532" i="33"/>
  <c r="H1533" i="33"/>
  <c r="H1534" i="33"/>
  <c r="H1535" i="33"/>
  <c r="H1536" i="33"/>
  <c r="H1537" i="33"/>
  <c r="H1538" i="33"/>
  <c r="H1539" i="33"/>
  <c r="H1540" i="33"/>
  <c r="H1541" i="33"/>
  <c r="H1542" i="33"/>
  <c r="H1543" i="33"/>
  <c r="H1544" i="33"/>
  <c r="H1545" i="33"/>
  <c r="H1546" i="33"/>
  <c r="H1547" i="33"/>
  <c r="H1548" i="33"/>
  <c r="H1549" i="33"/>
  <c r="H1550" i="33"/>
  <c r="H1551" i="33"/>
  <c r="H1552" i="33"/>
  <c r="H1553" i="33"/>
  <c r="H1554" i="33"/>
  <c r="H1555" i="33"/>
  <c r="H1556" i="33"/>
  <c r="H1557" i="33"/>
  <c r="H1558" i="33"/>
  <c r="H1559" i="33"/>
  <c r="H1560" i="33"/>
  <c r="H1561" i="33"/>
  <c r="H1562" i="33"/>
  <c r="H1563" i="33"/>
  <c r="H1564" i="33"/>
  <c r="H1565" i="33"/>
  <c r="H1566" i="33"/>
  <c r="H1567" i="33"/>
  <c r="H1568" i="33"/>
  <c r="H1569" i="33"/>
  <c r="H1570" i="33"/>
  <c r="H1571" i="33"/>
  <c r="H1572" i="33"/>
  <c r="H1573" i="33"/>
  <c r="H1574" i="33"/>
  <c r="H1575" i="33"/>
  <c r="H1576" i="33"/>
  <c r="H1577" i="33"/>
  <c r="H1578" i="33"/>
  <c r="H1579" i="33"/>
  <c r="H1580" i="33"/>
  <c r="H1581" i="33"/>
  <c r="H1582" i="33"/>
  <c r="H1583" i="33"/>
  <c r="H1584" i="33"/>
  <c r="H1585" i="33"/>
  <c r="H1586" i="33"/>
  <c r="H1587" i="33"/>
  <c r="H1588" i="33"/>
  <c r="H1589" i="33"/>
  <c r="H1590" i="33"/>
  <c r="H1591" i="33"/>
  <c r="H1592" i="33"/>
  <c r="H1593" i="33"/>
  <c r="H1594" i="33"/>
  <c r="H1595" i="33"/>
  <c r="H1596" i="33"/>
  <c r="H1597" i="33"/>
  <c r="H1598" i="33"/>
  <c r="H1599" i="33"/>
  <c r="H1600" i="33"/>
  <c r="H1601" i="33"/>
  <c r="H1602" i="33"/>
  <c r="H1603" i="33"/>
  <c r="H1604" i="33"/>
  <c r="H1605" i="33"/>
  <c r="H1606" i="33"/>
  <c r="H1607" i="33"/>
  <c r="H1608" i="33"/>
  <c r="H1609" i="33"/>
  <c r="H1610" i="33"/>
  <c r="H1611" i="33"/>
  <c r="H1612" i="33"/>
  <c r="H1613" i="33"/>
  <c r="H1614" i="33"/>
  <c r="H1615" i="33"/>
  <c r="H1616" i="33"/>
  <c r="H1617" i="33"/>
  <c r="H1618" i="33"/>
  <c r="H1619" i="33"/>
  <c r="H1620" i="33"/>
  <c r="H1621" i="33"/>
  <c r="H1622" i="33"/>
  <c r="H1623" i="33"/>
  <c r="H1624" i="33"/>
  <c r="H1625" i="33"/>
  <c r="H1626" i="33"/>
  <c r="H1627" i="33"/>
  <c r="H1628" i="33"/>
  <c r="H1629" i="33"/>
  <c r="H1630" i="33"/>
  <c r="H1631" i="33"/>
  <c r="H1632" i="33"/>
  <c r="H1633" i="33"/>
  <c r="H1634" i="33"/>
  <c r="H1635" i="33"/>
  <c r="H1636" i="33"/>
  <c r="H1637" i="33"/>
  <c r="H1638" i="33"/>
  <c r="H1639" i="33"/>
  <c r="H1640" i="33"/>
  <c r="H1641" i="33"/>
  <c r="H1642" i="33"/>
  <c r="H1643" i="33"/>
  <c r="H1644" i="33"/>
  <c r="H1645" i="33"/>
  <c r="H1646" i="33"/>
  <c r="H1647" i="33"/>
  <c r="H1648" i="33"/>
  <c r="H1649" i="33"/>
  <c r="H1650" i="33"/>
  <c r="H1651" i="33"/>
  <c r="H1652" i="33"/>
  <c r="H1653" i="33"/>
  <c r="H1654" i="33"/>
  <c r="H1655" i="33"/>
  <c r="H1656" i="33"/>
  <c r="H1657" i="33"/>
  <c r="H1658" i="33"/>
  <c r="H1659" i="33"/>
  <c r="H1660" i="33"/>
  <c r="H1661" i="33"/>
  <c r="H1662" i="33"/>
  <c r="H1663" i="33"/>
  <c r="H1664" i="33"/>
  <c r="H1665" i="33"/>
  <c r="H1666" i="33"/>
  <c r="H1667" i="33"/>
  <c r="H1668" i="33"/>
  <c r="H1669" i="33"/>
  <c r="H1670" i="33"/>
  <c r="H1671" i="33"/>
  <c r="H1672" i="33"/>
  <c r="H1673" i="33"/>
  <c r="H1674" i="33"/>
  <c r="H1675" i="33"/>
  <c r="H1676" i="33"/>
  <c r="H1677" i="33"/>
  <c r="H1678" i="33"/>
  <c r="H1679" i="33"/>
  <c r="H1680" i="33"/>
  <c r="H1681" i="33"/>
  <c r="H1682" i="33"/>
  <c r="H1683" i="33"/>
  <c r="H1684" i="33"/>
  <c r="H1685" i="33"/>
  <c r="H1686" i="33"/>
  <c r="H1687" i="33"/>
  <c r="H1688" i="33"/>
  <c r="H1689" i="33"/>
  <c r="H1690" i="33"/>
  <c r="H1691" i="33"/>
  <c r="H1692" i="33"/>
  <c r="H1693" i="33"/>
  <c r="H1694" i="33"/>
  <c r="H1695" i="33"/>
  <c r="H1696" i="33"/>
  <c r="H1697" i="33"/>
  <c r="H1698" i="33"/>
  <c r="H1699" i="33"/>
  <c r="H1700" i="33"/>
  <c r="H1701" i="33"/>
  <c r="H1702" i="33"/>
  <c r="H1703" i="33"/>
  <c r="H1704" i="33"/>
  <c r="H1705" i="33"/>
  <c r="H1706" i="33"/>
  <c r="H1707" i="33"/>
  <c r="H1708" i="33"/>
  <c r="H1709" i="33"/>
  <c r="H1710" i="33"/>
  <c r="H1711" i="33"/>
  <c r="H1712" i="33"/>
  <c r="H1713" i="33"/>
  <c r="H1714" i="33"/>
  <c r="H1715" i="33"/>
  <c r="H1716" i="33"/>
  <c r="H1717" i="33"/>
  <c r="H1718" i="33"/>
  <c r="H1719" i="33"/>
  <c r="H1720" i="33"/>
  <c r="H1721" i="33"/>
  <c r="H1722" i="33"/>
  <c r="H1723" i="33"/>
  <c r="H1724" i="33"/>
  <c r="H1725" i="33"/>
  <c r="H1726" i="33"/>
  <c r="H1727" i="33"/>
  <c r="H1728" i="33"/>
  <c r="H1729" i="33"/>
  <c r="H1730" i="33"/>
  <c r="H1731" i="33"/>
  <c r="H1732" i="33"/>
  <c r="H1733" i="33"/>
  <c r="H1734" i="33"/>
  <c r="H1735" i="33"/>
  <c r="H1736" i="33"/>
  <c r="H1737" i="33"/>
  <c r="H1738" i="33"/>
  <c r="H1739" i="33"/>
  <c r="H1740" i="33"/>
  <c r="H1741" i="33"/>
  <c r="H1742" i="33"/>
  <c r="H1743" i="33"/>
  <c r="H1744" i="33"/>
  <c r="H1745" i="33"/>
  <c r="H1746" i="33"/>
  <c r="H1747" i="33"/>
  <c r="H1748" i="33"/>
  <c r="H1749" i="33"/>
  <c r="H1750" i="33"/>
  <c r="H1751" i="33"/>
  <c r="H1752" i="33"/>
  <c r="H1753" i="33"/>
  <c r="H1754" i="33"/>
  <c r="H1755" i="33"/>
  <c r="H1756" i="33"/>
  <c r="H1757" i="33"/>
  <c r="H1758" i="33"/>
  <c r="H1759" i="33"/>
  <c r="H1760" i="33"/>
  <c r="H1761" i="33"/>
  <c r="H1762" i="33"/>
  <c r="H1763" i="33"/>
  <c r="H1764" i="33"/>
  <c r="H1765" i="33"/>
  <c r="H1766" i="33"/>
  <c r="H1767" i="33"/>
  <c r="H1768" i="33"/>
  <c r="H1769" i="33"/>
  <c r="H1770" i="33"/>
  <c r="H1771" i="33"/>
  <c r="H1772" i="33"/>
  <c r="H1773" i="33"/>
  <c r="H1774" i="33"/>
  <c r="H1775" i="33"/>
  <c r="H1776" i="33"/>
  <c r="H1777" i="33"/>
  <c r="H1778" i="33"/>
  <c r="H1779" i="33"/>
  <c r="H9" i="33"/>
  <c r="G4" i="33"/>
  <c r="F4" i="32"/>
  <c r="F4" i="35"/>
  <c r="F4" i="31"/>
  <c r="F4" i="30"/>
  <c r="F4" i="28"/>
  <c r="F4" i="27"/>
  <c r="F4" i="29"/>
  <c r="F4" i="4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33" i="36"/>
  <c r="G34" i="36"/>
  <c r="G35" i="36"/>
  <c r="G36" i="36"/>
  <c r="G37" i="36"/>
  <c r="G38" i="36"/>
  <c r="G39" i="36"/>
  <c r="G40" i="36"/>
  <c r="G41" i="36"/>
  <c r="G42" i="36"/>
  <c r="G43" i="36"/>
  <c r="G44" i="36"/>
  <c r="G45" i="36"/>
  <c r="G46" i="36"/>
  <c r="G47" i="36"/>
  <c r="G48" i="36"/>
  <c r="G49" i="36"/>
  <c r="G50" i="36"/>
  <c r="G51" i="36"/>
  <c r="G52" i="36"/>
  <c r="G53" i="36"/>
  <c r="G54" i="36"/>
  <c r="G55" i="36"/>
  <c r="G56" i="36"/>
  <c r="G57" i="36"/>
  <c r="G58" i="36"/>
  <c r="G59" i="36"/>
  <c r="G60" i="36"/>
  <c r="G61" i="36"/>
  <c r="G62" i="36"/>
  <c r="G63" i="36"/>
  <c r="G64" i="36"/>
  <c r="G65" i="36"/>
  <c r="G66" i="36"/>
  <c r="G67" i="36"/>
  <c r="G68" i="36"/>
  <c r="G69" i="36"/>
  <c r="G70" i="36"/>
  <c r="G71" i="36"/>
  <c r="G72" i="36"/>
  <c r="G73" i="36"/>
  <c r="G74" i="36"/>
  <c r="G75" i="36"/>
  <c r="G76" i="36"/>
  <c r="G77" i="36"/>
  <c r="G78" i="36"/>
  <c r="G79" i="36"/>
  <c r="G80" i="36"/>
  <c r="G81" i="36"/>
  <c r="G82" i="36"/>
  <c r="G83" i="36"/>
  <c r="G84" i="36"/>
  <c r="G85" i="36"/>
  <c r="G86" i="36"/>
  <c r="G87" i="36"/>
  <c r="G88" i="36"/>
  <c r="G89" i="36"/>
  <c r="G90" i="36"/>
  <c r="G91" i="36"/>
  <c r="G92" i="36"/>
  <c r="G93" i="36"/>
  <c r="G94" i="36"/>
  <c r="G95" i="36"/>
  <c r="G96" i="36"/>
  <c r="G97" i="36"/>
  <c r="G98" i="36"/>
  <c r="G99" i="36"/>
  <c r="G100" i="36"/>
  <c r="G101" i="36"/>
  <c r="G102" i="36"/>
  <c r="G103" i="36"/>
  <c r="G104" i="36"/>
  <c r="G105" i="36"/>
  <c r="G106" i="36"/>
  <c r="G107" i="36"/>
  <c r="G108" i="36"/>
  <c r="G109" i="36"/>
  <c r="G110" i="36"/>
  <c r="G111" i="36"/>
  <c r="G112" i="36"/>
  <c r="G113" i="36"/>
  <c r="G114" i="36"/>
  <c r="G115" i="36"/>
  <c r="G116" i="36"/>
  <c r="G117" i="36"/>
  <c r="G118" i="36"/>
  <c r="G119" i="36"/>
  <c r="G120" i="36"/>
  <c r="G121" i="36"/>
  <c r="G122" i="36"/>
  <c r="G123" i="36"/>
  <c r="G124" i="36"/>
  <c r="G125" i="36"/>
  <c r="G126" i="36"/>
  <c r="G127" i="36"/>
  <c r="G128" i="36"/>
  <c r="G129" i="36"/>
  <c r="G130" i="36"/>
  <c r="G131" i="36"/>
  <c r="G132" i="36"/>
  <c r="G133" i="36"/>
  <c r="G134" i="36"/>
  <c r="G135" i="36"/>
  <c r="G136" i="36"/>
  <c r="G137" i="36"/>
  <c r="G138" i="36"/>
  <c r="G139" i="36"/>
  <c r="G140" i="36"/>
  <c r="G141" i="36"/>
  <c r="G142" i="36"/>
  <c r="G143" i="36"/>
  <c r="G144" i="36"/>
  <c r="G145" i="36"/>
  <c r="G146" i="36"/>
  <c r="G147" i="36"/>
  <c r="G148" i="36"/>
  <c r="G149" i="36"/>
  <c r="G150" i="36"/>
  <c r="G151" i="36"/>
  <c r="G152" i="36"/>
  <c r="G153" i="36"/>
  <c r="G154" i="36"/>
  <c r="G155" i="36"/>
  <c r="G156" i="36"/>
  <c r="G157" i="36"/>
  <c r="G158" i="36"/>
  <c r="G159" i="36"/>
  <c r="G160" i="36"/>
  <c r="G161" i="36"/>
  <c r="G162" i="36"/>
  <c r="G163" i="36"/>
  <c r="G164" i="36"/>
  <c r="G165" i="36"/>
  <c r="G166" i="36"/>
  <c r="G167" i="36"/>
  <c r="G168" i="36"/>
  <c r="G169" i="36"/>
  <c r="G170" i="36"/>
  <c r="G171" i="36"/>
  <c r="G172" i="36"/>
  <c r="G173" i="36"/>
  <c r="G174" i="36"/>
  <c r="G175" i="36"/>
  <c r="G176" i="36"/>
  <c r="G177" i="36"/>
  <c r="G178" i="36"/>
  <c r="G179" i="36"/>
  <c r="G180" i="36"/>
  <c r="G181" i="36"/>
  <c r="G182" i="36"/>
  <c r="G183" i="36"/>
  <c r="G184" i="36"/>
  <c r="G185" i="36"/>
  <c r="G186" i="36"/>
  <c r="G187" i="36"/>
  <c r="G188" i="36"/>
  <c r="G189" i="36"/>
  <c r="G190" i="36"/>
  <c r="G191" i="36"/>
  <c r="G192" i="36"/>
  <c r="G193" i="36"/>
  <c r="G194" i="36"/>
  <c r="G195" i="36"/>
  <c r="G196" i="36"/>
  <c r="G197" i="36"/>
  <c r="G198" i="36"/>
  <c r="G199" i="36"/>
  <c r="G200" i="36"/>
  <c r="G201" i="36"/>
  <c r="G202" i="36"/>
  <c r="G203" i="36"/>
  <c r="G204" i="36"/>
  <c r="G205" i="36"/>
  <c r="G206" i="36"/>
  <c r="G207" i="36"/>
  <c r="G208" i="36"/>
  <c r="G209" i="36"/>
  <c r="G210" i="36"/>
  <c r="G211" i="36"/>
  <c r="G212" i="36"/>
  <c r="G213" i="36"/>
  <c r="G214" i="36"/>
  <c r="G215" i="36"/>
  <c r="G216" i="36"/>
  <c r="G217" i="36"/>
  <c r="G218" i="36"/>
  <c r="G219" i="36"/>
  <c r="G220" i="36"/>
  <c r="G221" i="36"/>
  <c r="G222" i="36"/>
  <c r="G223" i="36"/>
  <c r="G224" i="36"/>
  <c r="G225" i="36"/>
  <c r="G226" i="36"/>
  <c r="G227" i="36"/>
  <c r="G228" i="36"/>
  <c r="G229" i="36"/>
  <c r="G230" i="36"/>
  <c r="G231" i="36"/>
  <c r="G232" i="36"/>
  <c r="G233" i="36"/>
  <c r="G234" i="36"/>
  <c r="G235" i="36"/>
  <c r="G236" i="36"/>
  <c r="G237" i="36"/>
  <c r="G238" i="36"/>
  <c r="G239" i="36"/>
  <c r="G240" i="36"/>
  <c r="G241" i="36"/>
  <c r="G242" i="36"/>
  <c r="G243" i="36"/>
  <c r="G244" i="36"/>
  <c r="G245" i="36"/>
  <c r="G246" i="36"/>
  <c r="G247" i="36"/>
  <c r="G248" i="36"/>
  <c r="G249" i="36"/>
  <c r="G250" i="36"/>
  <c r="G251" i="36"/>
  <c r="G252" i="36"/>
  <c r="G253" i="36"/>
  <c r="G254" i="36"/>
  <c r="G255" i="36"/>
  <c r="G256" i="36"/>
  <c r="G257" i="36"/>
  <c r="G258" i="36"/>
  <c r="G259" i="36"/>
  <c r="G260" i="36"/>
  <c r="G261" i="36"/>
  <c r="G262" i="36"/>
  <c r="G263" i="36"/>
  <c r="G264" i="36"/>
  <c r="G265" i="36"/>
  <c r="G266" i="36"/>
  <c r="G267" i="36"/>
  <c r="G268" i="36"/>
  <c r="G269" i="36"/>
  <c r="G270" i="36"/>
  <c r="G271" i="36"/>
  <c r="G272" i="36"/>
  <c r="G273" i="36"/>
  <c r="G274" i="36"/>
  <c r="G275" i="36"/>
  <c r="G276" i="36"/>
  <c r="G277" i="36"/>
  <c r="G278" i="36"/>
  <c r="F4" i="36"/>
  <c r="F4" i="3"/>
  <c r="F4" i="44"/>
  <c r="F4" i="38"/>
  <c r="F4" i="40"/>
  <c r="F4" i="39"/>
  <c r="F4" i="49"/>
  <c r="F4" i="47"/>
  <c r="G9" i="47"/>
  <c r="G10" i="47"/>
  <c r="G11" i="47"/>
  <c r="G12" i="47"/>
  <c r="G13" i="47"/>
  <c r="G14" i="47"/>
  <c r="G15" i="47"/>
  <c r="G16" i="47"/>
  <c r="G17" i="47"/>
  <c r="G18" i="47"/>
  <c r="G19" i="47"/>
  <c r="G20" i="47"/>
  <c r="G21" i="47"/>
  <c r="G22" i="47"/>
  <c r="G23" i="47"/>
  <c r="G24" i="47"/>
  <c r="G25" i="47"/>
  <c r="G26" i="47"/>
  <c r="G27" i="47"/>
  <c r="G28" i="47"/>
  <c r="G29" i="47"/>
  <c r="G30" i="47"/>
  <c r="G31" i="47"/>
  <c r="G32" i="47"/>
  <c r="G33" i="47"/>
  <c r="G34" i="47"/>
  <c r="G35" i="47"/>
  <c r="G36" i="47"/>
  <c r="G37" i="47"/>
  <c r="G38" i="47"/>
  <c r="G39" i="47"/>
  <c r="G40" i="47"/>
  <c r="G41" i="47"/>
  <c r="G42" i="47"/>
  <c r="G43" i="47"/>
  <c r="G44" i="47"/>
  <c r="G45" i="47"/>
  <c r="G46" i="47"/>
  <c r="G47" i="47"/>
  <c r="G48" i="47"/>
  <c r="G49" i="47"/>
  <c r="G50" i="47"/>
  <c r="G51" i="47"/>
  <c r="G52" i="47"/>
  <c r="G53" i="47"/>
  <c r="G54" i="47"/>
  <c r="G55" i="47"/>
  <c r="G56" i="47"/>
  <c r="G57" i="47"/>
  <c r="G58" i="47"/>
  <c r="G59" i="47"/>
  <c r="G60" i="47"/>
  <c r="G61" i="47"/>
  <c r="G62" i="47"/>
  <c r="G63" i="47"/>
  <c r="G64" i="47"/>
  <c r="G65" i="47"/>
  <c r="G66" i="47"/>
  <c r="G67" i="47"/>
  <c r="G68" i="47"/>
  <c r="G69" i="47"/>
  <c r="G70" i="47"/>
  <c r="G71" i="47"/>
  <c r="G72" i="47"/>
  <c r="G73" i="47"/>
  <c r="G74" i="47"/>
  <c r="G75" i="47"/>
  <c r="G76" i="47"/>
  <c r="G77" i="47"/>
  <c r="G78" i="47"/>
  <c r="G79" i="47"/>
  <c r="G80" i="47"/>
  <c r="G81" i="47"/>
  <c r="G82" i="47"/>
  <c r="F4" i="45"/>
  <c r="G4" i="47" l="1"/>
  <c r="E172" i="19"/>
  <c r="E171" i="19"/>
  <c r="E170" i="19"/>
  <c r="E169" i="19"/>
  <c r="E168" i="19"/>
  <c r="E167" i="19"/>
  <c r="E166" i="19"/>
  <c r="E165" i="19"/>
  <c r="E164" i="19"/>
  <c r="E163" i="19"/>
  <c r="E162" i="19"/>
  <c r="E161" i="19"/>
  <c r="E160" i="19"/>
  <c r="E159" i="19"/>
  <c r="E158" i="19"/>
  <c r="E157" i="19"/>
  <c r="E156" i="19"/>
  <c r="E155" i="19"/>
  <c r="E154" i="19"/>
  <c r="E153" i="19"/>
  <c r="E152" i="19"/>
  <c r="E151" i="19"/>
  <c r="E150" i="19"/>
  <c r="E149" i="19"/>
  <c r="E148" i="19"/>
  <c r="E147" i="19"/>
  <c r="E146" i="19"/>
  <c r="E145" i="19"/>
  <c r="E144" i="19"/>
  <c r="E143" i="19"/>
  <c r="E142" i="19"/>
  <c r="E141" i="19"/>
  <c r="E140" i="19"/>
  <c r="E139" i="19"/>
  <c r="E138" i="19"/>
  <c r="E137" i="19"/>
  <c r="E136" i="19"/>
  <c r="E135" i="19"/>
  <c r="E134" i="19"/>
  <c r="E133" i="19"/>
  <c r="E132" i="19"/>
  <c r="E131" i="19"/>
  <c r="E130" i="19"/>
  <c r="E129" i="19"/>
  <c r="E128" i="19"/>
  <c r="E127" i="19"/>
  <c r="E126" i="19"/>
  <c r="E125" i="19"/>
  <c r="E124" i="19"/>
  <c r="E123" i="19"/>
  <c r="E529" i="37"/>
  <c r="E528" i="37"/>
  <c r="E527" i="37"/>
  <c r="E526" i="37"/>
  <c r="E525" i="37"/>
  <c r="E524" i="37"/>
  <c r="E523" i="37"/>
  <c r="E522" i="37"/>
  <c r="E521" i="37"/>
  <c r="E520" i="37"/>
  <c r="E519" i="37"/>
  <c r="E518" i="37"/>
  <c r="E517" i="37"/>
  <c r="E516" i="37"/>
  <c r="E515" i="37"/>
  <c r="E514" i="37"/>
  <c r="E513" i="37"/>
  <c r="E512" i="37"/>
  <c r="E511" i="37"/>
  <c r="E510" i="37"/>
  <c r="E509" i="37"/>
  <c r="E508" i="37"/>
  <c r="E507" i="37"/>
  <c r="E506" i="37"/>
  <c r="E505" i="37"/>
  <c r="E504" i="37"/>
  <c r="E503" i="37"/>
  <c r="E502" i="37"/>
  <c r="E501" i="37"/>
  <c r="E500" i="37"/>
  <c r="E499" i="37"/>
  <c r="E498" i="37"/>
  <c r="E497" i="37"/>
  <c r="E496" i="37"/>
  <c r="E495" i="37"/>
  <c r="E494" i="37"/>
  <c r="E493" i="37"/>
  <c r="E492" i="37"/>
  <c r="E491" i="37"/>
  <c r="E490" i="37"/>
  <c r="E489" i="37"/>
  <c r="E488" i="37"/>
  <c r="E487" i="37"/>
  <c r="E486" i="37"/>
  <c r="E485" i="37"/>
  <c r="E484" i="37"/>
  <c r="E483" i="37"/>
  <c r="E482" i="37"/>
  <c r="E481" i="37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78" i="36"/>
  <c r="E277" i="36"/>
  <c r="E276" i="36"/>
  <c r="E275" i="36"/>
  <c r="E274" i="36"/>
  <c r="E273" i="36"/>
  <c r="E272" i="36"/>
  <c r="E271" i="36"/>
  <c r="E270" i="36"/>
  <c r="E269" i="36"/>
  <c r="E268" i="36"/>
  <c r="E267" i="36"/>
  <c r="E266" i="36"/>
  <c r="E265" i="36"/>
  <c r="E264" i="36"/>
  <c r="E263" i="36"/>
  <c r="E262" i="36"/>
  <c r="E261" i="36"/>
  <c r="E260" i="36"/>
  <c r="E259" i="36"/>
  <c r="E258" i="36"/>
  <c r="E257" i="36"/>
  <c r="E256" i="36"/>
  <c r="E255" i="36"/>
  <c r="E254" i="36"/>
  <c r="E253" i="36"/>
  <c r="E252" i="36"/>
  <c r="E251" i="36"/>
  <c r="E250" i="36"/>
  <c r="E249" i="36"/>
  <c r="E248" i="36"/>
  <c r="E247" i="36"/>
  <c r="E246" i="36"/>
  <c r="E245" i="36"/>
  <c r="E244" i="36"/>
  <c r="E243" i="36"/>
  <c r="E242" i="36"/>
  <c r="E241" i="36"/>
  <c r="E240" i="36"/>
  <c r="E239" i="36"/>
  <c r="E238" i="36"/>
  <c r="E237" i="36"/>
  <c r="E236" i="36"/>
  <c r="E235" i="36"/>
  <c r="E234" i="36"/>
  <c r="E233" i="36"/>
  <c r="E232" i="36"/>
  <c r="E231" i="36"/>
  <c r="E230" i="36"/>
  <c r="E229" i="36"/>
  <c r="E45" i="38"/>
  <c r="E44" i="38"/>
  <c r="E43" i="38"/>
  <c r="E42" i="38"/>
  <c r="E41" i="38"/>
  <c r="E82" i="50" l="1"/>
  <c r="E81" i="50"/>
  <c r="E80" i="50"/>
  <c r="E79" i="50"/>
  <c r="E78" i="50"/>
  <c r="E77" i="50"/>
  <c r="E76" i="50"/>
  <c r="E75" i="50"/>
  <c r="E74" i="50"/>
  <c r="E73" i="50"/>
  <c r="E72" i="50"/>
  <c r="E71" i="50"/>
  <c r="E70" i="50"/>
  <c r="E69" i="50"/>
  <c r="E68" i="50"/>
  <c r="E67" i="50"/>
  <c r="E66" i="50"/>
  <c r="E65" i="50"/>
  <c r="E64" i="50"/>
  <c r="E63" i="50"/>
  <c r="E62" i="50"/>
  <c r="E61" i="50"/>
  <c r="E60" i="50"/>
  <c r="E59" i="50"/>
  <c r="E58" i="50"/>
  <c r="E57" i="50"/>
  <c r="E56" i="50"/>
  <c r="E55" i="50"/>
  <c r="E54" i="50"/>
  <c r="E53" i="50"/>
  <c r="E52" i="50"/>
  <c r="E51" i="50"/>
  <c r="E50" i="50"/>
  <c r="E49" i="50"/>
  <c r="E48" i="50"/>
  <c r="E47" i="50"/>
  <c r="E46" i="50"/>
  <c r="E45" i="50"/>
  <c r="E44" i="50"/>
  <c r="E43" i="50"/>
  <c r="E42" i="50"/>
  <c r="E41" i="50"/>
  <c r="E40" i="50"/>
  <c r="E39" i="50"/>
  <c r="E38" i="50"/>
  <c r="E37" i="50"/>
  <c r="E36" i="50"/>
  <c r="E35" i="50"/>
  <c r="E34" i="50"/>
  <c r="E33" i="50"/>
  <c r="E32" i="50"/>
  <c r="E31" i="50"/>
  <c r="E30" i="50"/>
  <c r="E29" i="50"/>
  <c r="E28" i="50"/>
  <c r="E27" i="50"/>
  <c r="E26" i="50"/>
  <c r="E25" i="50"/>
  <c r="E24" i="50"/>
  <c r="E23" i="50"/>
  <c r="E22" i="50"/>
  <c r="E21" i="50"/>
  <c r="E20" i="50"/>
  <c r="E19" i="50"/>
  <c r="E18" i="50"/>
  <c r="E17" i="50"/>
  <c r="E16" i="50"/>
  <c r="E15" i="50"/>
  <c r="E14" i="50"/>
  <c r="E4" i="50" s="1"/>
  <c r="E13" i="50"/>
  <c r="E12" i="50"/>
  <c r="E11" i="50"/>
  <c r="E10" i="50"/>
  <c r="E9" i="50"/>
  <c r="F83" i="47"/>
  <c r="F1779" i="33"/>
  <c r="F1778" i="33"/>
  <c r="F1777" i="33"/>
  <c r="F1776" i="33"/>
  <c r="F1775" i="33"/>
  <c r="F1774" i="33"/>
  <c r="F1773" i="33"/>
  <c r="F1772" i="33"/>
  <c r="F1771" i="33"/>
  <c r="F1770" i="33"/>
  <c r="F1769" i="33"/>
  <c r="F1768" i="33"/>
  <c r="F1767" i="33"/>
  <c r="F1766" i="33"/>
  <c r="F1765" i="33"/>
  <c r="F1764" i="33"/>
  <c r="F1763" i="33"/>
  <c r="F1762" i="33"/>
  <c r="F1761" i="33"/>
  <c r="F1760" i="33"/>
  <c r="F1759" i="33"/>
  <c r="F1758" i="33"/>
  <c r="F1757" i="33"/>
  <c r="F1756" i="33"/>
  <c r="F1755" i="33"/>
  <c r="F1754" i="33"/>
  <c r="F1753" i="33"/>
  <c r="F1752" i="33"/>
  <c r="F1751" i="33"/>
  <c r="F1750" i="33"/>
  <c r="F1749" i="33"/>
  <c r="F1748" i="33"/>
  <c r="F1747" i="33"/>
  <c r="F1746" i="33"/>
  <c r="F1745" i="33"/>
  <c r="F1744" i="33"/>
  <c r="F1743" i="33"/>
  <c r="F1742" i="33"/>
  <c r="F1741" i="33"/>
  <c r="F1740" i="33"/>
  <c r="F1739" i="33"/>
  <c r="F1738" i="33"/>
  <c r="F1737" i="33"/>
  <c r="F1736" i="33"/>
  <c r="F1735" i="33"/>
  <c r="F1734" i="33"/>
  <c r="F1733" i="33"/>
  <c r="F1732" i="33"/>
  <c r="F1731" i="33"/>
  <c r="F1730" i="33"/>
  <c r="F236" i="27"/>
  <c r="G12" i="50" l="1"/>
  <c r="G16" i="50"/>
  <c r="G20" i="50"/>
  <c r="G24" i="50"/>
  <c r="G28" i="50"/>
  <c r="G32" i="50"/>
  <c r="G36" i="50"/>
  <c r="G40" i="50"/>
  <c r="G44" i="50"/>
  <c r="G48" i="50"/>
  <c r="G52" i="50"/>
  <c r="G56" i="50"/>
  <c r="G60" i="50"/>
  <c r="G64" i="50"/>
  <c r="G68" i="50"/>
  <c r="G72" i="50"/>
  <c r="G76" i="50"/>
  <c r="G80" i="50"/>
  <c r="G19" i="50"/>
  <c r="G27" i="50"/>
  <c r="G43" i="50"/>
  <c r="G55" i="50"/>
  <c r="G63" i="50"/>
  <c r="G75" i="50"/>
  <c r="G9" i="50"/>
  <c r="G13" i="50"/>
  <c r="G17" i="50"/>
  <c r="G21" i="50"/>
  <c r="G25" i="50"/>
  <c r="G29" i="50"/>
  <c r="G33" i="50"/>
  <c r="G37" i="50"/>
  <c r="G41" i="50"/>
  <c r="G45" i="50"/>
  <c r="G49" i="50"/>
  <c r="G53" i="50"/>
  <c r="G57" i="50"/>
  <c r="G61" i="50"/>
  <c r="G65" i="50"/>
  <c r="G69" i="50"/>
  <c r="G73" i="50"/>
  <c r="G77" i="50"/>
  <c r="G81" i="50"/>
  <c r="G11" i="50"/>
  <c r="G23" i="50"/>
  <c r="G35" i="50"/>
  <c r="G47" i="50"/>
  <c r="G59" i="50"/>
  <c r="G71" i="50"/>
  <c r="G10" i="50"/>
  <c r="G14" i="50"/>
  <c r="G18" i="50"/>
  <c r="G22" i="50"/>
  <c r="G26" i="50"/>
  <c r="G30" i="50"/>
  <c r="G34" i="50"/>
  <c r="G38" i="50"/>
  <c r="G42" i="50"/>
  <c r="G46" i="50"/>
  <c r="G50" i="50"/>
  <c r="G54" i="50"/>
  <c r="G58" i="50"/>
  <c r="G62" i="50"/>
  <c r="G66" i="50"/>
  <c r="G70" i="50"/>
  <c r="G74" i="50"/>
  <c r="G78" i="50"/>
  <c r="G82" i="50"/>
  <c r="G15" i="50"/>
  <c r="G31" i="50"/>
  <c r="G39" i="50"/>
  <c r="G51" i="50"/>
  <c r="G67" i="50"/>
  <c r="G79" i="50"/>
  <c r="F23" i="7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364" i="28"/>
  <c r="E363" i="28"/>
  <c r="E362" i="28"/>
  <c r="E361" i="28"/>
  <c r="E360" i="28"/>
  <c r="E359" i="28"/>
  <c r="E358" i="28"/>
  <c r="E357" i="28"/>
  <c r="E356" i="28"/>
  <c r="E355" i="28"/>
  <c r="E354" i="28"/>
  <c r="E353" i="28"/>
  <c r="E352" i="28"/>
  <c r="E351" i="28"/>
  <c r="E350" i="28"/>
  <c r="E349" i="28"/>
  <c r="E348" i="28"/>
  <c r="E347" i="28"/>
  <c r="E346" i="28"/>
  <c r="E345" i="28"/>
  <c r="E344" i="28"/>
  <c r="E343" i="28"/>
  <c r="E342" i="28"/>
  <c r="E341" i="28"/>
  <c r="E340" i="28"/>
  <c r="E339" i="28"/>
  <c r="E338" i="28"/>
  <c r="E337" i="28"/>
  <c r="E336" i="28"/>
  <c r="E335" i="28"/>
  <c r="E334" i="28"/>
  <c r="E333" i="28"/>
  <c r="E332" i="28"/>
  <c r="E331" i="28"/>
  <c r="E330" i="28"/>
  <c r="E329" i="28"/>
  <c r="E328" i="28"/>
  <c r="E327" i="28"/>
  <c r="E326" i="28"/>
  <c r="E325" i="28"/>
  <c r="E324" i="28"/>
  <c r="E323" i="28"/>
  <c r="E322" i="28"/>
  <c r="E321" i="28"/>
  <c r="E320" i="28"/>
  <c r="E319" i="28"/>
  <c r="E318" i="28"/>
  <c r="E317" i="28"/>
  <c r="E316" i="28"/>
  <c r="E315" i="28"/>
  <c r="E159" i="48"/>
  <c r="E158" i="48"/>
  <c r="E157" i="48"/>
  <c r="E156" i="48"/>
  <c r="E155" i="48"/>
  <c r="E154" i="48"/>
  <c r="E153" i="48"/>
  <c r="E152" i="48"/>
  <c r="E151" i="48"/>
  <c r="E150" i="48"/>
  <c r="E149" i="48"/>
  <c r="E148" i="48"/>
  <c r="E147" i="48"/>
  <c r="E146" i="48"/>
  <c r="E145" i="48"/>
  <c r="E144" i="48"/>
  <c r="E143" i="48"/>
  <c r="E142" i="48"/>
  <c r="E141" i="48"/>
  <c r="E140" i="48"/>
  <c r="E139" i="48"/>
  <c r="E138" i="48"/>
  <c r="E137" i="48"/>
  <c r="E136" i="48"/>
  <c r="E135" i="48"/>
  <c r="E134" i="48"/>
  <c r="E133" i="48"/>
  <c r="E132" i="48"/>
  <c r="E131" i="48"/>
  <c r="E130" i="48"/>
  <c r="E129" i="48"/>
  <c r="E128" i="48"/>
  <c r="E127" i="48"/>
  <c r="E126" i="48"/>
  <c r="E125" i="48"/>
  <c r="E124" i="48"/>
  <c r="E123" i="48"/>
  <c r="E122" i="48"/>
  <c r="E121" i="48"/>
  <c r="E120" i="48"/>
  <c r="E119" i="48"/>
  <c r="E118" i="48"/>
  <c r="E117" i="48"/>
  <c r="E116" i="48"/>
  <c r="E115" i="48"/>
  <c r="E114" i="48"/>
  <c r="E113" i="48"/>
  <c r="E112" i="48"/>
  <c r="E111" i="48"/>
  <c r="E110" i="48"/>
  <c r="E314" i="28"/>
  <c r="E313" i="28"/>
  <c r="E312" i="28"/>
  <c r="E311" i="28"/>
  <c r="E310" i="28"/>
  <c r="E309" i="28"/>
  <c r="E308" i="28"/>
  <c r="E307" i="28"/>
  <c r="E306" i="28"/>
  <c r="E305" i="28"/>
  <c r="E304" i="28"/>
  <c r="E303" i="28"/>
  <c r="E302" i="28"/>
  <c r="E301" i="28"/>
  <c r="E300" i="28"/>
  <c r="E299" i="28"/>
  <c r="E298" i="28"/>
  <c r="E297" i="28"/>
  <c r="E296" i="28"/>
  <c r="E295" i="28"/>
  <c r="E294" i="28"/>
  <c r="E293" i="28"/>
  <c r="E292" i="28"/>
  <c r="E291" i="28"/>
  <c r="E290" i="28"/>
  <c r="E289" i="28"/>
  <c r="E288" i="28"/>
  <c r="E287" i="28"/>
  <c r="E286" i="28"/>
  <c r="E285" i="28"/>
  <c r="E284" i="28"/>
  <c r="E283" i="28"/>
  <c r="E282" i="28"/>
  <c r="E281" i="28"/>
  <c r="E280" i="28"/>
  <c r="E279" i="28"/>
  <c r="E278" i="28"/>
  <c r="E277" i="28"/>
  <c r="E276" i="28"/>
  <c r="E275" i="28"/>
  <c r="E274" i="28"/>
  <c r="E273" i="28"/>
  <c r="E272" i="28"/>
  <c r="E271" i="28"/>
  <c r="E270" i="28"/>
  <c r="E269" i="28"/>
  <c r="E268" i="28"/>
  <c r="E267" i="28"/>
  <c r="E266" i="28"/>
  <c r="E265" i="28"/>
  <c r="E264" i="28"/>
  <c r="E263" i="28"/>
  <c r="E262" i="28"/>
  <c r="E261" i="28"/>
  <c r="E260" i="28"/>
  <c r="E259" i="28"/>
  <c r="E258" i="28"/>
  <c r="E257" i="28"/>
  <c r="E256" i="28"/>
  <c r="E255" i="28"/>
  <c r="E254" i="28"/>
  <c r="E253" i="28"/>
  <c r="E252" i="28"/>
  <c r="E251" i="28"/>
  <c r="E250" i="28"/>
  <c r="E249" i="28"/>
  <c r="E248" i="28"/>
  <c r="E247" i="28"/>
  <c r="E246" i="28"/>
  <c r="E245" i="28"/>
  <c r="E244" i="28"/>
  <c r="E243" i="28"/>
  <c r="E242" i="28"/>
  <c r="E241" i="28"/>
  <c r="E240" i="28"/>
  <c r="E239" i="28"/>
  <c r="E238" i="28"/>
  <c r="E237" i="28"/>
  <c r="E236" i="28"/>
  <c r="E235" i="28"/>
  <c r="E234" i="28"/>
  <c r="E233" i="28"/>
  <c r="E232" i="28"/>
  <c r="E231" i="28"/>
  <c r="E230" i="28"/>
  <c r="E229" i="28"/>
  <c r="E228" i="28"/>
  <c r="E227" i="28"/>
  <c r="E226" i="28"/>
  <c r="E225" i="28"/>
  <c r="E224" i="28"/>
  <c r="E223" i="28"/>
  <c r="E222" i="28"/>
  <c r="E221" i="28"/>
  <c r="E220" i="28"/>
  <c r="E219" i="28"/>
  <c r="E218" i="28"/>
  <c r="E217" i="28"/>
  <c r="E216" i="28"/>
  <c r="E215" i="28"/>
  <c r="E109" i="49"/>
  <c r="E108" i="49"/>
  <c r="E107" i="49"/>
  <c r="E106" i="49"/>
  <c r="E105" i="49"/>
  <c r="E104" i="49"/>
  <c r="E103" i="49"/>
  <c r="E102" i="49"/>
  <c r="E101" i="49"/>
  <c r="E100" i="49"/>
  <c r="E99" i="49"/>
  <c r="E98" i="49"/>
  <c r="E97" i="49"/>
  <c r="E96" i="49"/>
  <c r="E95" i="49"/>
  <c r="E94" i="49"/>
  <c r="E93" i="49"/>
  <c r="E92" i="49"/>
  <c r="E91" i="49"/>
  <c r="E90" i="49"/>
  <c r="E89" i="49"/>
  <c r="E88" i="49"/>
  <c r="E87" i="49"/>
  <c r="E86" i="49"/>
  <c r="E85" i="49"/>
  <c r="E84" i="49"/>
  <c r="E83" i="49"/>
  <c r="E82" i="49"/>
  <c r="E81" i="49"/>
  <c r="E80" i="49"/>
  <c r="E79" i="49"/>
  <c r="E78" i="49"/>
  <c r="E77" i="49"/>
  <c r="E76" i="49"/>
  <c r="E75" i="49"/>
  <c r="E74" i="49"/>
  <c r="E73" i="49"/>
  <c r="E72" i="49"/>
  <c r="E71" i="49"/>
  <c r="E70" i="49"/>
  <c r="E69" i="49"/>
  <c r="E68" i="49"/>
  <c r="E67" i="49"/>
  <c r="E66" i="49"/>
  <c r="E65" i="49"/>
  <c r="E64" i="49"/>
  <c r="E63" i="49"/>
  <c r="E62" i="49"/>
  <c r="E61" i="49"/>
  <c r="E60" i="49"/>
  <c r="E59" i="49"/>
  <c r="E58" i="49"/>
  <c r="E57" i="49"/>
  <c r="E56" i="49"/>
  <c r="E55" i="49"/>
  <c r="E54" i="49"/>
  <c r="E53" i="49"/>
  <c r="E52" i="49"/>
  <c r="E51" i="49"/>
  <c r="E50" i="49"/>
  <c r="E49" i="49"/>
  <c r="E48" i="49"/>
  <c r="E47" i="49"/>
  <c r="E46" i="49"/>
  <c r="E45" i="49"/>
  <c r="E44" i="49"/>
  <c r="E43" i="49"/>
  <c r="E42" i="49"/>
  <c r="E41" i="49"/>
  <c r="E40" i="49"/>
  <c r="E39" i="49"/>
  <c r="E38" i="49"/>
  <c r="E37" i="49"/>
  <c r="E36" i="49"/>
  <c r="E35" i="49"/>
  <c r="E34" i="49"/>
  <c r="E33" i="49"/>
  <c r="E32" i="49"/>
  <c r="E31" i="49"/>
  <c r="E30" i="49"/>
  <c r="E29" i="49"/>
  <c r="E28" i="49"/>
  <c r="E27" i="49"/>
  <c r="E26" i="49"/>
  <c r="E25" i="49"/>
  <c r="E24" i="49"/>
  <c r="E23" i="49"/>
  <c r="E22" i="49"/>
  <c r="E21" i="49"/>
  <c r="E20" i="49"/>
  <c r="E19" i="49"/>
  <c r="E18" i="49"/>
  <c r="E17" i="49"/>
  <c r="E16" i="49"/>
  <c r="E15" i="49"/>
  <c r="E14" i="49"/>
  <c r="E13" i="49"/>
  <c r="E12" i="49"/>
  <c r="E11" i="49"/>
  <c r="E10" i="49"/>
  <c r="E9" i="49"/>
  <c r="E480" i="37"/>
  <c r="E479" i="37"/>
  <c r="E478" i="37"/>
  <c r="E477" i="37"/>
  <c r="E476" i="37"/>
  <c r="E475" i="37"/>
  <c r="E474" i="37"/>
  <c r="E473" i="37"/>
  <c r="E472" i="37"/>
  <c r="E471" i="37"/>
  <c r="E470" i="37"/>
  <c r="E469" i="37"/>
  <c r="E468" i="37"/>
  <c r="E467" i="37"/>
  <c r="E466" i="37"/>
  <c r="E465" i="37"/>
  <c r="E464" i="37"/>
  <c r="E463" i="37"/>
  <c r="E462" i="37"/>
  <c r="E461" i="37"/>
  <c r="E460" i="37"/>
  <c r="E459" i="37"/>
  <c r="E458" i="37"/>
  <c r="E457" i="37"/>
  <c r="E456" i="37"/>
  <c r="E455" i="37"/>
  <c r="E454" i="37"/>
  <c r="E453" i="37"/>
  <c r="E452" i="37"/>
  <c r="E451" i="37"/>
  <c r="E450" i="37"/>
  <c r="E449" i="37"/>
  <c r="E448" i="37"/>
  <c r="E447" i="37"/>
  <c r="E446" i="37"/>
  <c r="E445" i="37"/>
  <c r="E444" i="37"/>
  <c r="E443" i="37"/>
  <c r="E442" i="37"/>
  <c r="E441" i="37"/>
  <c r="E440" i="37"/>
  <c r="E439" i="37"/>
  <c r="E438" i="37"/>
  <c r="E437" i="37"/>
  <c r="E436" i="37"/>
  <c r="E435" i="37"/>
  <c r="E434" i="37"/>
  <c r="E433" i="37"/>
  <c r="E432" i="37"/>
  <c r="E431" i="37"/>
  <c r="E430" i="37"/>
  <c r="E429" i="37"/>
  <c r="E428" i="37"/>
  <c r="E427" i="37"/>
  <c r="E426" i="37"/>
  <c r="E425" i="37"/>
  <c r="E424" i="37"/>
  <c r="E423" i="37"/>
  <c r="E422" i="37"/>
  <c r="E421" i="37"/>
  <c r="E420" i="37"/>
  <c r="E419" i="37"/>
  <c r="E418" i="37"/>
  <c r="E417" i="37"/>
  <c r="E416" i="37"/>
  <c r="E415" i="37"/>
  <c r="E414" i="37"/>
  <c r="E413" i="37"/>
  <c r="E412" i="37"/>
  <c r="E411" i="37"/>
  <c r="E410" i="37"/>
  <c r="E409" i="37"/>
  <c r="E408" i="37"/>
  <c r="E407" i="37"/>
  <c r="E406" i="37"/>
  <c r="E405" i="37"/>
  <c r="E404" i="37"/>
  <c r="E403" i="37"/>
  <c r="E402" i="37"/>
  <c r="E401" i="37"/>
  <c r="E400" i="37"/>
  <c r="E399" i="37"/>
  <c r="E398" i="37"/>
  <c r="E397" i="37"/>
  <c r="E396" i="37"/>
  <c r="E395" i="37"/>
  <c r="E394" i="37"/>
  <c r="E393" i="37"/>
  <c r="E392" i="37"/>
  <c r="E391" i="37"/>
  <c r="E390" i="37"/>
  <c r="E389" i="37"/>
  <c r="E388" i="37"/>
  <c r="E387" i="37"/>
  <c r="E386" i="37"/>
  <c r="E385" i="37"/>
  <c r="E384" i="37"/>
  <c r="E383" i="37"/>
  <c r="E382" i="37"/>
  <c r="E381" i="37"/>
  <c r="E380" i="37"/>
  <c r="E379" i="37"/>
  <c r="E378" i="37"/>
  <c r="E377" i="37"/>
  <c r="E376" i="37"/>
  <c r="E375" i="37"/>
  <c r="E374" i="37"/>
  <c r="E373" i="37"/>
  <c r="E372" i="37"/>
  <c r="E371" i="37"/>
  <c r="E370" i="37"/>
  <c r="E369" i="37"/>
  <c r="E368" i="37"/>
  <c r="E367" i="37"/>
  <c r="E366" i="37"/>
  <c r="E365" i="37"/>
  <c r="E364" i="37"/>
  <c r="E363" i="37"/>
  <c r="E362" i="37"/>
  <c r="E361" i="37"/>
  <c r="E360" i="37"/>
  <c r="E359" i="37"/>
  <c r="E358" i="37"/>
  <c r="E357" i="37"/>
  <c r="E356" i="37"/>
  <c r="E355" i="37"/>
  <c r="E354" i="37"/>
  <c r="E353" i="37"/>
  <c r="E352" i="37"/>
  <c r="E351" i="37"/>
  <c r="E350" i="37"/>
  <c r="E349" i="37"/>
  <c r="E348" i="37"/>
  <c r="E347" i="37"/>
  <c r="E346" i="37"/>
  <c r="E345" i="37"/>
  <c r="E344" i="37"/>
  <c r="E343" i="37"/>
  <c r="E342" i="37"/>
  <c r="E341" i="37"/>
  <c r="E340" i="37"/>
  <c r="E339" i="37"/>
  <c r="E338" i="37"/>
  <c r="E337" i="37"/>
  <c r="E336" i="37"/>
  <c r="E335" i="37"/>
  <c r="E334" i="37"/>
  <c r="E333" i="37"/>
  <c r="E332" i="37"/>
  <c r="E331" i="37"/>
  <c r="G9" i="49" l="1"/>
  <c r="G14" i="49"/>
  <c r="G18" i="49"/>
  <c r="G22" i="49"/>
  <c r="G26" i="49"/>
  <c r="G30" i="49"/>
  <c r="G34" i="49"/>
  <c r="G38" i="49"/>
  <c r="G42" i="49"/>
  <c r="G46" i="49"/>
  <c r="G50" i="49"/>
  <c r="G54" i="49"/>
  <c r="G58" i="49"/>
  <c r="G62" i="49"/>
  <c r="G66" i="49"/>
  <c r="G70" i="49"/>
  <c r="G74" i="49"/>
  <c r="G78" i="49"/>
  <c r="G82" i="49"/>
  <c r="G86" i="49"/>
  <c r="G90" i="49"/>
  <c r="G94" i="49"/>
  <c r="G98" i="49"/>
  <c r="G102" i="49"/>
  <c r="G106" i="49"/>
  <c r="G13" i="49"/>
  <c r="G21" i="49"/>
  <c r="G29" i="49"/>
  <c r="G41" i="49"/>
  <c r="G53" i="49"/>
  <c r="G65" i="49"/>
  <c r="G77" i="49"/>
  <c r="G89" i="49"/>
  <c r="G97" i="49"/>
  <c r="G109" i="49"/>
  <c r="G10" i="49"/>
  <c r="G15" i="49"/>
  <c r="G19" i="49"/>
  <c r="G23" i="49"/>
  <c r="G27" i="49"/>
  <c r="G31" i="49"/>
  <c r="G35" i="49"/>
  <c r="G39" i="49"/>
  <c r="G43" i="49"/>
  <c r="G47" i="49"/>
  <c r="G51" i="49"/>
  <c r="G55" i="49"/>
  <c r="G59" i="49"/>
  <c r="G63" i="49"/>
  <c r="G67" i="49"/>
  <c r="G71" i="49"/>
  <c r="G75" i="49"/>
  <c r="G79" i="49"/>
  <c r="G83" i="49"/>
  <c r="G87" i="49"/>
  <c r="G91" i="49"/>
  <c r="G95" i="49"/>
  <c r="G99" i="49"/>
  <c r="G103" i="49"/>
  <c r="G107" i="49"/>
  <c r="G17" i="49"/>
  <c r="G25" i="49"/>
  <c r="G37" i="49"/>
  <c r="G49" i="49"/>
  <c r="G61" i="49"/>
  <c r="G69" i="49"/>
  <c r="G81" i="49"/>
  <c r="G93" i="49"/>
  <c r="G105" i="49"/>
  <c r="E4" i="49"/>
  <c r="G4" i="49" s="1"/>
  <c r="G12" i="49"/>
  <c r="G16" i="49"/>
  <c r="G20" i="49"/>
  <c r="G24" i="49"/>
  <c r="G28" i="49"/>
  <c r="G32" i="49"/>
  <c r="G36" i="49"/>
  <c r="G40" i="49"/>
  <c r="G44" i="49"/>
  <c r="G48" i="49"/>
  <c r="G52" i="49"/>
  <c r="G56" i="49"/>
  <c r="G60" i="49"/>
  <c r="G64" i="49"/>
  <c r="G68" i="49"/>
  <c r="G72" i="49"/>
  <c r="G76" i="49"/>
  <c r="G80" i="49"/>
  <c r="G84" i="49"/>
  <c r="G88" i="49"/>
  <c r="G92" i="49"/>
  <c r="G96" i="49"/>
  <c r="G100" i="49"/>
  <c r="G104" i="49"/>
  <c r="G108" i="49"/>
  <c r="G11" i="49"/>
  <c r="G33" i="49"/>
  <c r="G45" i="49"/>
  <c r="G57" i="49"/>
  <c r="G73" i="49"/>
  <c r="G85" i="49"/>
  <c r="G101" i="49"/>
  <c r="C40" i="34" l="1"/>
  <c r="E110" i="37"/>
  <c r="E111" i="37"/>
  <c r="E112" i="37"/>
  <c r="E113" i="37"/>
  <c r="E114" i="37"/>
  <c r="E115" i="37"/>
  <c r="E116" i="37"/>
  <c r="E117" i="37"/>
  <c r="E118" i="37"/>
  <c r="E119" i="37"/>
  <c r="E120" i="37"/>
  <c r="E121" i="37"/>
  <c r="E122" i="37"/>
  <c r="E123" i="37"/>
  <c r="E124" i="37"/>
  <c r="E125" i="37"/>
  <c r="E126" i="37"/>
  <c r="E127" i="37"/>
  <c r="E128" i="37"/>
  <c r="E129" i="37"/>
  <c r="E130" i="37"/>
  <c r="E131" i="37"/>
  <c r="E132" i="37"/>
  <c r="E133" i="37"/>
  <c r="E134" i="37"/>
  <c r="E135" i="37"/>
  <c r="E136" i="37"/>
  <c r="E137" i="37"/>
  <c r="E138" i="37"/>
  <c r="E139" i="37"/>
  <c r="E140" i="37"/>
  <c r="E141" i="37"/>
  <c r="E142" i="37"/>
  <c r="E143" i="37"/>
  <c r="E144" i="37"/>
  <c r="E145" i="37"/>
  <c r="E146" i="37"/>
  <c r="E147" i="37"/>
  <c r="E148" i="37"/>
  <c r="E149" i="37"/>
  <c r="E150" i="37"/>
  <c r="E151" i="37"/>
  <c r="E152" i="37"/>
  <c r="E153" i="37"/>
  <c r="E154" i="37"/>
  <c r="E155" i="37"/>
  <c r="E156" i="37"/>
  <c r="E157" i="37"/>
  <c r="E158" i="37"/>
  <c r="E159" i="37"/>
  <c r="E160" i="37"/>
  <c r="E161" i="37"/>
  <c r="E162" i="37"/>
  <c r="E163" i="37"/>
  <c r="E164" i="37"/>
  <c r="E165" i="37"/>
  <c r="E166" i="37"/>
  <c r="E167" i="37"/>
  <c r="E168" i="37"/>
  <c r="E169" i="37"/>
  <c r="E170" i="37"/>
  <c r="E171" i="37"/>
  <c r="E172" i="37"/>
  <c r="E173" i="37"/>
  <c r="E174" i="37"/>
  <c r="E175" i="37"/>
  <c r="E176" i="37"/>
  <c r="E177" i="37"/>
  <c r="E178" i="37"/>
  <c r="E179" i="37"/>
  <c r="E180" i="37"/>
  <c r="E181" i="37"/>
  <c r="E182" i="37"/>
  <c r="E183" i="37"/>
  <c r="E184" i="37"/>
  <c r="E185" i="37"/>
  <c r="E186" i="37"/>
  <c r="E187" i="37"/>
  <c r="E188" i="37"/>
  <c r="E189" i="37"/>
  <c r="E190" i="37"/>
  <c r="E191" i="37"/>
  <c r="E192" i="37"/>
  <c r="E193" i="37"/>
  <c r="E194" i="37"/>
  <c r="E195" i="37"/>
  <c r="E196" i="37"/>
  <c r="E197" i="37"/>
  <c r="E198" i="37"/>
  <c r="E199" i="37"/>
  <c r="E200" i="37"/>
  <c r="E201" i="37"/>
  <c r="E202" i="37"/>
  <c r="E203" i="37"/>
  <c r="E204" i="37"/>
  <c r="E205" i="37"/>
  <c r="E206" i="37"/>
  <c r="E207" i="37"/>
  <c r="E208" i="37"/>
  <c r="E209" i="37"/>
  <c r="E210" i="37"/>
  <c r="E211" i="37"/>
  <c r="E212" i="37"/>
  <c r="E213" i="37"/>
  <c r="E214" i="37"/>
  <c r="E215" i="37"/>
  <c r="E216" i="37"/>
  <c r="E217" i="37"/>
  <c r="E218" i="37"/>
  <c r="E219" i="37"/>
  <c r="E220" i="37"/>
  <c r="E221" i="37"/>
  <c r="E222" i="37"/>
  <c r="E223" i="37"/>
  <c r="E224" i="37"/>
  <c r="E225" i="37"/>
  <c r="E226" i="37"/>
  <c r="E227" i="37"/>
  <c r="E228" i="37"/>
  <c r="E229" i="37"/>
  <c r="E230" i="37"/>
  <c r="E231" i="37"/>
  <c r="E232" i="37"/>
  <c r="E233" i="37"/>
  <c r="E234" i="37"/>
  <c r="E235" i="37"/>
  <c r="E236" i="37"/>
  <c r="E237" i="37"/>
  <c r="E238" i="37"/>
  <c r="E239" i="37"/>
  <c r="E240" i="37"/>
  <c r="E241" i="37"/>
  <c r="E242" i="37"/>
  <c r="E243" i="37"/>
  <c r="E244" i="37"/>
  <c r="E245" i="37"/>
  <c r="E246" i="37"/>
  <c r="E247" i="37"/>
  <c r="E248" i="37"/>
  <c r="E249" i="37"/>
  <c r="E250" i="37"/>
  <c r="E251" i="37"/>
  <c r="E252" i="37"/>
  <c r="E253" i="37"/>
  <c r="E254" i="37"/>
  <c r="E255" i="37"/>
  <c r="E256" i="37"/>
  <c r="E257" i="37"/>
  <c r="E258" i="37"/>
  <c r="E259" i="37"/>
  <c r="E260" i="37"/>
  <c r="E261" i="37"/>
  <c r="E262" i="37"/>
  <c r="E263" i="37"/>
  <c r="E264" i="37"/>
  <c r="E265" i="37"/>
  <c r="E266" i="37"/>
  <c r="E267" i="37"/>
  <c r="E268" i="37"/>
  <c r="E269" i="37"/>
  <c r="E270" i="37"/>
  <c r="E271" i="37"/>
  <c r="E272" i="37"/>
  <c r="E273" i="37"/>
  <c r="E274" i="37"/>
  <c r="E275" i="37"/>
  <c r="E276" i="37"/>
  <c r="E277" i="37"/>
  <c r="E278" i="37"/>
  <c r="E279" i="37"/>
  <c r="E280" i="37"/>
  <c r="E106" i="37"/>
  <c r="E107" i="37"/>
  <c r="E108" i="37"/>
  <c r="E109" i="37"/>
  <c r="E10" i="37"/>
  <c r="E11" i="37"/>
  <c r="E12" i="37"/>
  <c r="E13" i="37"/>
  <c r="E14" i="37"/>
  <c r="E15" i="37"/>
  <c r="E16" i="37"/>
  <c r="E17" i="37"/>
  <c r="E18" i="37"/>
  <c r="E19" i="37"/>
  <c r="E20" i="37"/>
  <c r="E21" i="37"/>
  <c r="E22" i="37"/>
  <c r="E23" i="37"/>
  <c r="E24" i="37"/>
  <c r="E25" i="37"/>
  <c r="E26" i="37"/>
  <c r="E27" i="37"/>
  <c r="E28" i="37"/>
  <c r="E29" i="37"/>
  <c r="E30" i="37"/>
  <c r="E31" i="37"/>
  <c r="E32" i="37"/>
  <c r="E33" i="37"/>
  <c r="E34" i="37"/>
  <c r="E35" i="37"/>
  <c r="E36" i="37"/>
  <c r="E37" i="37"/>
  <c r="E38" i="37"/>
  <c r="E39" i="37"/>
  <c r="E40" i="37"/>
  <c r="E41" i="37"/>
  <c r="E42" i="37"/>
  <c r="E43" i="37"/>
  <c r="E44" i="37"/>
  <c r="E45" i="37"/>
  <c r="E46" i="37"/>
  <c r="E47" i="37"/>
  <c r="E48" i="37"/>
  <c r="E49" i="37"/>
  <c r="E50" i="37"/>
  <c r="E51" i="37"/>
  <c r="E52" i="37"/>
  <c r="E53" i="37"/>
  <c r="E54" i="37"/>
  <c r="E55" i="37"/>
  <c r="E56" i="37"/>
  <c r="E57" i="37"/>
  <c r="E58" i="37"/>
  <c r="E59" i="37"/>
  <c r="E60" i="37"/>
  <c r="E61" i="37"/>
  <c r="E62" i="37"/>
  <c r="E63" i="37"/>
  <c r="E64" i="37"/>
  <c r="E65" i="37"/>
  <c r="E66" i="37"/>
  <c r="E67" i="37"/>
  <c r="E68" i="37"/>
  <c r="E69" i="37"/>
  <c r="E70" i="37"/>
  <c r="E71" i="37"/>
  <c r="E72" i="37"/>
  <c r="E73" i="37"/>
  <c r="E74" i="37"/>
  <c r="E75" i="37"/>
  <c r="E76" i="37"/>
  <c r="E77" i="37"/>
  <c r="E78" i="37"/>
  <c r="E79" i="37"/>
  <c r="E80" i="37"/>
  <c r="E81" i="37"/>
  <c r="E82" i="37"/>
  <c r="E83" i="37"/>
  <c r="E84" i="37"/>
  <c r="E85" i="37"/>
  <c r="E86" i="37"/>
  <c r="E87" i="37"/>
  <c r="E88" i="37"/>
  <c r="E89" i="37"/>
  <c r="E90" i="37"/>
  <c r="E91" i="37"/>
  <c r="E92" i="37"/>
  <c r="E93" i="37"/>
  <c r="E94" i="37"/>
  <c r="E95" i="37"/>
  <c r="E96" i="37"/>
  <c r="E97" i="37"/>
  <c r="E98" i="37"/>
  <c r="E99" i="37"/>
  <c r="E100" i="37"/>
  <c r="E101" i="37"/>
  <c r="E102" i="37"/>
  <c r="E103" i="37"/>
  <c r="E104" i="37"/>
  <c r="E105" i="37"/>
  <c r="F1729" i="33"/>
  <c r="F1728" i="33"/>
  <c r="F1727" i="33"/>
  <c r="F1726" i="33"/>
  <c r="F1725" i="33"/>
  <c r="F1724" i="33"/>
  <c r="F1723" i="33"/>
  <c r="F1722" i="33"/>
  <c r="F1721" i="33"/>
  <c r="F1720" i="33"/>
  <c r="F1719" i="33"/>
  <c r="F1718" i="33"/>
  <c r="F1717" i="33"/>
  <c r="F1716" i="33"/>
  <c r="F1715" i="33"/>
  <c r="F1714" i="33"/>
  <c r="F1713" i="33"/>
  <c r="F1712" i="33"/>
  <c r="F1711" i="33"/>
  <c r="F1710" i="33"/>
  <c r="F1709" i="33"/>
  <c r="F1708" i="33"/>
  <c r="F1707" i="33"/>
  <c r="F1706" i="33"/>
  <c r="F1705" i="33"/>
  <c r="F1704" i="33"/>
  <c r="F1703" i="33"/>
  <c r="F1702" i="33"/>
  <c r="F1701" i="33"/>
  <c r="F1700" i="33"/>
  <c r="F1699" i="33"/>
  <c r="F1698" i="33"/>
  <c r="F1697" i="33"/>
  <c r="F1696" i="33"/>
  <c r="F1695" i="33"/>
  <c r="F1694" i="33"/>
  <c r="F1693" i="33"/>
  <c r="F1692" i="33"/>
  <c r="F1691" i="33"/>
  <c r="F1690" i="33"/>
  <c r="F1689" i="33"/>
  <c r="F1688" i="33"/>
  <c r="F1687" i="33"/>
  <c r="F1686" i="33"/>
  <c r="F1685" i="33"/>
  <c r="F1684" i="33"/>
  <c r="F1683" i="33"/>
  <c r="F1682" i="33"/>
  <c r="F1681" i="33"/>
  <c r="F1680" i="33"/>
  <c r="E330" i="37"/>
  <c r="E329" i="37"/>
  <c r="E328" i="37"/>
  <c r="E327" i="37"/>
  <c r="E326" i="37"/>
  <c r="E325" i="37"/>
  <c r="E324" i="37"/>
  <c r="E323" i="37"/>
  <c r="E322" i="37"/>
  <c r="E321" i="37"/>
  <c r="E320" i="37"/>
  <c r="E319" i="37"/>
  <c r="E318" i="37"/>
  <c r="E317" i="37"/>
  <c r="E316" i="37"/>
  <c r="E315" i="37"/>
  <c r="E314" i="37"/>
  <c r="E313" i="37"/>
  <c r="E312" i="37"/>
  <c r="E311" i="37"/>
  <c r="E310" i="37"/>
  <c r="E309" i="37"/>
  <c r="E308" i="37"/>
  <c r="E307" i="37"/>
  <c r="E306" i="37"/>
  <c r="E305" i="37"/>
  <c r="E304" i="37"/>
  <c r="E303" i="37"/>
  <c r="E302" i="37"/>
  <c r="E301" i="37"/>
  <c r="E300" i="37"/>
  <c r="E299" i="37"/>
  <c r="E298" i="37"/>
  <c r="E297" i="37"/>
  <c r="E296" i="37"/>
  <c r="E295" i="37"/>
  <c r="E294" i="37"/>
  <c r="E293" i="37"/>
  <c r="E292" i="37"/>
  <c r="E291" i="37"/>
  <c r="E290" i="37"/>
  <c r="E289" i="37"/>
  <c r="E288" i="37"/>
  <c r="E287" i="37"/>
  <c r="E286" i="37"/>
  <c r="E285" i="37"/>
  <c r="E284" i="37"/>
  <c r="E283" i="37"/>
  <c r="E282" i="37"/>
  <c r="E281" i="37"/>
  <c r="E160" i="36"/>
  <c r="E159" i="36"/>
  <c r="E158" i="36"/>
  <c r="F1679" i="33" l="1"/>
  <c r="F1678" i="33"/>
  <c r="F1677" i="33"/>
  <c r="F1676" i="33"/>
  <c r="F1675" i="33"/>
  <c r="F1674" i="33"/>
  <c r="F1673" i="33"/>
  <c r="F1672" i="33"/>
  <c r="F1671" i="33"/>
  <c r="F1670" i="33"/>
  <c r="F1669" i="33"/>
  <c r="F1668" i="33"/>
  <c r="F1667" i="33"/>
  <c r="F1666" i="33"/>
  <c r="F1665" i="33"/>
  <c r="F1664" i="33"/>
  <c r="F1663" i="33"/>
  <c r="F1662" i="33"/>
  <c r="F1661" i="33"/>
  <c r="F1660" i="33"/>
  <c r="F1659" i="33"/>
  <c r="F1658" i="33"/>
  <c r="F1657" i="33"/>
  <c r="F1656" i="33"/>
  <c r="F1655" i="33"/>
  <c r="F1654" i="33"/>
  <c r="F1653" i="33"/>
  <c r="F1652" i="33"/>
  <c r="F1651" i="33"/>
  <c r="F1650" i="33"/>
  <c r="F1649" i="33"/>
  <c r="F1648" i="33"/>
  <c r="F1647" i="33"/>
  <c r="F1646" i="33"/>
  <c r="F1645" i="33"/>
  <c r="F1644" i="33"/>
  <c r="F1643" i="33"/>
  <c r="F1642" i="33"/>
  <c r="F1641" i="33"/>
  <c r="F1640" i="33"/>
  <c r="F1639" i="33"/>
  <c r="F1638" i="33"/>
  <c r="F1637" i="33"/>
  <c r="F1636" i="33"/>
  <c r="F1635" i="33"/>
  <c r="F1634" i="33"/>
  <c r="F1633" i="33"/>
  <c r="F1632" i="33"/>
  <c r="F1631" i="33"/>
  <c r="F1630" i="33"/>
  <c r="F1629" i="33"/>
  <c r="F1628" i="33"/>
  <c r="F1627" i="33"/>
  <c r="F1626" i="33"/>
  <c r="F1625" i="33"/>
  <c r="F1624" i="33"/>
  <c r="F1623" i="33"/>
  <c r="F1622" i="33"/>
  <c r="F1621" i="33"/>
  <c r="F1620" i="33"/>
  <c r="F1619" i="33"/>
  <c r="F1618" i="33"/>
  <c r="F1617" i="33"/>
  <c r="F1616" i="33"/>
  <c r="F1615" i="33"/>
  <c r="F1614" i="33"/>
  <c r="F1613" i="33"/>
  <c r="F1612" i="33"/>
  <c r="F1611" i="33"/>
  <c r="F1610" i="33"/>
  <c r="F1609" i="33"/>
  <c r="F1608" i="33"/>
  <c r="F1607" i="33"/>
  <c r="F1606" i="33"/>
  <c r="F1605" i="33"/>
  <c r="F1604" i="33"/>
  <c r="F1603" i="33"/>
  <c r="F1602" i="33"/>
  <c r="F1601" i="33"/>
  <c r="F1600" i="33"/>
  <c r="F1599" i="33"/>
  <c r="F1598" i="33"/>
  <c r="F1597" i="33"/>
  <c r="F1596" i="33"/>
  <c r="F1595" i="33"/>
  <c r="F1594" i="33"/>
  <c r="F1593" i="33"/>
  <c r="F1592" i="33"/>
  <c r="F1591" i="33"/>
  <c r="F1590" i="33"/>
  <c r="F1589" i="33"/>
  <c r="F1588" i="33"/>
  <c r="F1587" i="33"/>
  <c r="F1586" i="33"/>
  <c r="F1585" i="33"/>
  <c r="F1584" i="33"/>
  <c r="F1583" i="33"/>
  <c r="F1582" i="33"/>
  <c r="F1581" i="33"/>
  <c r="F1580" i="33"/>
  <c r="F1579" i="33"/>
  <c r="F1578" i="33"/>
  <c r="F1577" i="33"/>
  <c r="F1576" i="33"/>
  <c r="F1575" i="33"/>
  <c r="F1574" i="33"/>
  <c r="F1573" i="33"/>
  <c r="F1572" i="33"/>
  <c r="F1571" i="33"/>
  <c r="F1570" i="33"/>
  <c r="F1569" i="33"/>
  <c r="F1568" i="33"/>
  <c r="F1567" i="33"/>
  <c r="F1566" i="33"/>
  <c r="F1565" i="33"/>
  <c r="F1564" i="33"/>
  <c r="F1563" i="33"/>
  <c r="F1562" i="33"/>
  <c r="F1561" i="33"/>
  <c r="F1560" i="33"/>
  <c r="F1559" i="33"/>
  <c r="F1558" i="33"/>
  <c r="F1557" i="33"/>
  <c r="F1556" i="33"/>
  <c r="F1555" i="33"/>
  <c r="F1554" i="33"/>
  <c r="F1553" i="33"/>
  <c r="F1552" i="33"/>
  <c r="F1551" i="33"/>
  <c r="F1550" i="33"/>
  <c r="F1549" i="33"/>
  <c r="F1548" i="33"/>
  <c r="F1547" i="33"/>
  <c r="F1546" i="33"/>
  <c r="F1545" i="33"/>
  <c r="F1544" i="33"/>
  <c r="F1543" i="33"/>
  <c r="F1542" i="33"/>
  <c r="F1541" i="33"/>
  <c r="F1540" i="33"/>
  <c r="F1539" i="33"/>
  <c r="F1538" i="33"/>
  <c r="F1537" i="33"/>
  <c r="F1536" i="33"/>
  <c r="F1535" i="33"/>
  <c r="F1534" i="33"/>
  <c r="F1533" i="33"/>
  <c r="F1532" i="33"/>
  <c r="F1531" i="33"/>
  <c r="F1530" i="33"/>
  <c r="F1529" i="33"/>
  <c r="F1528" i="33"/>
  <c r="F1527" i="33"/>
  <c r="F1526" i="33"/>
  <c r="F1525" i="33"/>
  <c r="F1524" i="33"/>
  <c r="F1523" i="33"/>
  <c r="F1522" i="33"/>
  <c r="F1521" i="33"/>
  <c r="F1520" i="33"/>
  <c r="F1519" i="33"/>
  <c r="F1518" i="33"/>
  <c r="F1517" i="33"/>
  <c r="F1516" i="33"/>
  <c r="F1515" i="33"/>
  <c r="F1514" i="33"/>
  <c r="F1513" i="33"/>
  <c r="F1512" i="33"/>
  <c r="F1511" i="33"/>
  <c r="F1510" i="33"/>
  <c r="F1509" i="33"/>
  <c r="F1508" i="33"/>
  <c r="F1507" i="33"/>
  <c r="F1506" i="33"/>
  <c r="F1505" i="33"/>
  <c r="F1504" i="33"/>
  <c r="F1503" i="33"/>
  <c r="F1502" i="33"/>
  <c r="F1501" i="33"/>
  <c r="F1500" i="33"/>
  <c r="F1499" i="33"/>
  <c r="F1498" i="33"/>
  <c r="F1497" i="33"/>
  <c r="F1496" i="33"/>
  <c r="F1495" i="33"/>
  <c r="F1494" i="33"/>
  <c r="F1493" i="33"/>
  <c r="F1492" i="33"/>
  <c r="F1491" i="33"/>
  <c r="F1490" i="33"/>
  <c r="F1489" i="33"/>
  <c r="F1488" i="33"/>
  <c r="F1487" i="33"/>
  <c r="F1486" i="33"/>
  <c r="F1485" i="33"/>
  <c r="F1484" i="33"/>
  <c r="F1483" i="33"/>
  <c r="F1482" i="33"/>
  <c r="F1481" i="33"/>
  <c r="F1480" i="33"/>
  <c r="F1479" i="33"/>
  <c r="F1478" i="33"/>
  <c r="F1477" i="33"/>
  <c r="F1476" i="33"/>
  <c r="F1475" i="33"/>
  <c r="F1474" i="33"/>
  <c r="F1473" i="33"/>
  <c r="F1472" i="33"/>
  <c r="F1471" i="33"/>
  <c r="F1470" i="33"/>
  <c r="F1469" i="33"/>
  <c r="F1468" i="33"/>
  <c r="F1467" i="33"/>
  <c r="F1466" i="33"/>
  <c r="F1465" i="33"/>
  <c r="F1464" i="33"/>
  <c r="F1463" i="33"/>
  <c r="F1462" i="33"/>
  <c r="F1461" i="33"/>
  <c r="F1460" i="33"/>
  <c r="F1459" i="33"/>
  <c r="F1458" i="33"/>
  <c r="F1457" i="33"/>
  <c r="F1456" i="33"/>
  <c r="F1455" i="33"/>
  <c r="F1454" i="33"/>
  <c r="F1453" i="33"/>
  <c r="F1452" i="33"/>
  <c r="F1451" i="33"/>
  <c r="F1450" i="33"/>
  <c r="F1449" i="33"/>
  <c r="F1448" i="33"/>
  <c r="F1447" i="33"/>
  <c r="F1446" i="33"/>
  <c r="F1445" i="33"/>
  <c r="F1444" i="33"/>
  <c r="F1443" i="33"/>
  <c r="F1442" i="33"/>
  <c r="F1441" i="33"/>
  <c r="F1440" i="33"/>
  <c r="F1439" i="33"/>
  <c r="F1438" i="33"/>
  <c r="F1437" i="33"/>
  <c r="F1436" i="33"/>
  <c r="F1435" i="33"/>
  <c r="F1434" i="33"/>
  <c r="F1433" i="33"/>
  <c r="F1432" i="33"/>
  <c r="F1431" i="33"/>
  <c r="F1430" i="33"/>
  <c r="F502" i="33"/>
  <c r="F503" i="33"/>
  <c r="F504" i="33"/>
  <c r="F505" i="33"/>
  <c r="F506" i="33"/>
  <c r="F507" i="33"/>
  <c r="F508" i="33"/>
  <c r="F509" i="33"/>
  <c r="F510" i="33"/>
  <c r="F511" i="33"/>
  <c r="F512" i="33"/>
  <c r="F513" i="33"/>
  <c r="F514" i="33"/>
  <c r="F515" i="33"/>
  <c r="F516" i="33"/>
  <c r="F517" i="33"/>
  <c r="F518" i="33"/>
  <c r="F519" i="33"/>
  <c r="F520" i="33"/>
  <c r="F521" i="33"/>
  <c r="F522" i="33"/>
  <c r="F523" i="33"/>
  <c r="F524" i="33"/>
  <c r="F525" i="33"/>
  <c r="F526" i="33"/>
  <c r="F527" i="33"/>
  <c r="F528" i="33"/>
  <c r="F529" i="33"/>
  <c r="F530" i="33"/>
  <c r="F531" i="33"/>
  <c r="F532" i="33"/>
  <c r="F533" i="33"/>
  <c r="F534" i="33"/>
  <c r="F535" i="33"/>
  <c r="F536" i="33"/>
  <c r="F537" i="33"/>
  <c r="F538" i="33"/>
  <c r="F539" i="33"/>
  <c r="F540" i="33"/>
  <c r="F541" i="33"/>
  <c r="F542" i="33"/>
  <c r="F543" i="33"/>
  <c r="F544" i="33"/>
  <c r="F545" i="33"/>
  <c r="F546" i="33"/>
  <c r="F547" i="33"/>
  <c r="F548" i="33"/>
  <c r="F549" i="33"/>
  <c r="F550" i="33"/>
  <c r="F551" i="33"/>
  <c r="F552" i="33"/>
  <c r="F553" i="33"/>
  <c r="F554" i="33"/>
  <c r="F555" i="33"/>
  <c r="F556" i="33"/>
  <c r="F557" i="33"/>
  <c r="F558" i="33"/>
  <c r="F559" i="33"/>
  <c r="F560" i="33"/>
  <c r="F561" i="33"/>
  <c r="F562" i="33"/>
  <c r="F563" i="33"/>
  <c r="F564" i="33"/>
  <c r="F565" i="33"/>
  <c r="F566" i="33"/>
  <c r="F567" i="33"/>
  <c r="F568" i="33"/>
  <c r="F569" i="33"/>
  <c r="F570" i="33"/>
  <c r="F571" i="33"/>
  <c r="F572" i="33"/>
  <c r="F573" i="33"/>
  <c r="F574" i="33"/>
  <c r="F575" i="33"/>
  <c r="F576" i="33"/>
  <c r="F577" i="33"/>
  <c r="F578" i="33"/>
  <c r="F579" i="33"/>
  <c r="F580" i="33"/>
  <c r="F581" i="33"/>
  <c r="F582" i="33"/>
  <c r="F583" i="33"/>
  <c r="F584" i="33"/>
  <c r="F585" i="33"/>
  <c r="F586" i="33"/>
  <c r="F587" i="33"/>
  <c r="F588" i="33"/>
  <c r="F589" i="33"/>
  <c r="F590" i="33"/>
  <c r="F591" i="33"/>
  <c r="F592" i="33"/>
  <c r="F593" i="33"/>
  <c r="F594" i="33"/>
  <c r="F595" i="33"/>
  <c r="F596" i="33"/>
  <c r="F597" i="33"/>
  <c r="F598" i="33"/>
  <c r="F599" i="33"/>
  <c r="F600" i="33"/>
  <c r="F601" i="33"/>
  <c r="F602" i="33"/>
  <c r="F603" i="33"/>
  <c r="F604" i="33"/>
  <c r="F605" i="33"/>
  <c r="F606" i="33"/>
  <c r="F607" i="33"/>
  <c r="F608" i="33"/>
  <c r="F609" i="33"/>
  <c r="F610" i="33"/>
  <c r="F611" i="33"/>
  <c r="F612" i="33"/>
  <c r="F613" i="33"/>
  <c r="F614" i="33"/>
  <c r="F615" i="33"/>
  <c r="F616" i="33"/>
  <c r="F617" i="33"/>
  <c r="F618" i="33"/>
  <c r="F619" i="33"/>
  <c r="F620" i="33"/>
  <c r="F621" i="33"/>
  <c r="F622" i="33"/>
  <c r="F623" i="33"/>
  <c r="F624" i="33"/>
  <c r="F625" i="33"/>
  <c r="F626" i="33"/>
  <c r="F627" i="33"/>
  <c r="F628" i="33"/>
  <c r="F629" i="33"/>
  <c r="F630" i="33"/>
  <c r="F631" i="33"/>
  <c r="F632" i="33"/>
  <c r="F633" i="33"/>
  <c r="F634" i="33"/>
  <c r="F635" i="33"/>
  <c r="F636" i="33"/>
  <c r="F637" i="33"/>
  <c r="F638" i="33"/>
  <c r="F639" i="33"/>
  <c r="F640" i="33"/>
  <c r="F641" i="33"/>
  <c r="F642" i="33"/>
  <c r="F643" i="33"/>
  <c r="F644" i="33"/>
  <c r="F645" i="33"/>
  <c r="F646" i="33"/>
  <c r="F647" i="33"/>
  <c r="F648" i="33"/>
  <c r="F649" i="33"/>
  <c r="F650" i="33"/>
  <c r="F651" i="33"/>
  <c r="F652" i="33"/>
  <c r="F653" i="33"/>
  <c r="F654" i="33"/>
  <c r="F655" i="33"/>
  <c r="F656" i="33"/>
  <c r="F657" i="33"/>
  <c r="F658" i="33"/>
  <c r="F659" i="33"/>
  <c r="F660" i="33"/>
  <c r="F661" i="33"/>
  <c r="F662" i="33"/>
  <c r="F663" i="33"/>
  <c r="F664" i="33"/>
  <c r="F665" i="33"/>
  <c r="F666" i="33"/>
  <c r="F667" i="33"/>
  <c r="F668" i="33"/>
  <c r="F669" i="33"/>
  <c r="F670" i="33"/>
  <c r="F671" i="33"/>
  <c r="F672" i="33"/>
  <c r="F673" i="33"/>
  <c r="F674" i="33"/>
  <c r="F675" i="33"/>
  <c r="F676" i="33"/>
  <c r="F677" i="33"/>
  <c r="F678" i="33"/>
  <c r="F679" i="33"/>
  <c r="F680" i="33"/>
  <c r="F681" i="33"/>
  <c r="F682" i="33"/>
  <c r="F683" i="33"/>
  <c r="F684" i="33"/>
  <c r="F685" i="33"/>
  <c r="F686" i="33"/>
  <c r="F687" i="33"/>
  <c r="F688" i="33"/>
  <c r="F689" i="33"/>
  <c r="F690" i="33"/>
  <c r="F691" i="33"/>
  <c r="F692" i="33"/>
  <c r="F693" i="33"/>
  <c r="F694" i="33"/>
  <c r="F695" i="33"/>
  <c r="F696" i="33"/>
  <c r="F697" i="33"/>
  <c r="F698" i="33"/>
  <c r="F699" i="33"/>
  <c r="F700" i="33"/>
  <c r="F701" i="33"/>
  <c r="F702" i="33"/>
  <c r="F703" i="33"/>
  <c r="F704" i="33"/>
  <c r="F705" i="33"/>
  <c r="F706" i="33"/>
  <c r="F707" i="33"/>
  <c r="F708" i="33"/>
  <c r="F709" i="33"/>
  <c r="F710" i="33"/>
  <c r="F711" i="33"/>
  <c r="F712" i="33"/>
  <c r="F713" i="33"/>
  <c r="F714" i="33"/>
  <c r="F715" i="33"/>
  <c r="F716" i="33"/>
  <c r="F717" i="33"/>
  <c r="F718" i="33"/>
  <c r="F719" i="33"/>
  <c r="F720" i="33"/>
  <c r="F721" i="33"/>
  <c r="F722" i="33"/>
  <c r="F723" i="33"/>
  <c r="F724" i="33"/>
  <c r="F725" i="33"/>
  <c r="F726" i="33"/>
  <c r="F727" i="33"/>
  <c r="F728" i="33"/>
  <c r="F729" i="33"/>
  <c r="F730" i="33"/>
  <c r="F731" i="33"/>
  <c r="F732" i="33"/>
  <c r="F733" i="33"/>
  <c r="F734" i="33"/>
  <c r="F735" i="33"/>
  <c r="F736" i="33"/>
  <c r="F737" i="33"/>
  <c r="F738" i="33"/>
  <c r="F739" i="33"/>
  <c r="F740" i="33"/>
  <c r="F741" i="33"/>
  <c r="F742" i="33"/>
  <c r="F743" i="33"/>
  <c r="F744" i="33"/>
  <c r="F745" i="33"/>
  <c r="F746" i="33"/>
  <c r="F747" i="33"/>
  <c r="F748" i="33"/>
  <c r="F749" i="33"/>
  <c r="F750" i="33"/>
  <c r="F751" i="33"/>
  <c r="F752" i="33"/>
  <c r="F753" i="33"/>
  <c r="F754" i="33"/>
  <c r="F755" i="33"/>
  <c r="F756" i="33"/>
  <c r="F757" i="33"/>
  <c r="F758" i="33"/>
  <c r="F759" i="33"/>
  <c r="F760" i="33"/>
  <c r="F761" i="33"/>
  <c r="F762" i="33"/>
  <c r="F763" i="33"/>
  <c r="F764" i="33"/>
  <c r="F765" i="33"/>
  <c r="F766" i="33"/>
  <c r="F767" i="33"/>
  <c r="F768" i="33"/>
  <c r="F769" i="33"/>
  <c r="F770" i="33"/>
  <c r="F771" i="33"/>
  <c r="F772" i="33"/>
  <c r="F773" i="33"/>
  <c r="F774" i="33"/>
  <c r="F775" i="33"/>
  <c r="F776" i="33"/>
  <c r="F777" i="33"/>
  <c r="F778" i="33"/>
  <c r="F779" i="33"/>
  <c r="F780" i="33"/>
  <c r="F781" i="33"/>
  <c r="F782" i="33"/>
  <c r="F783" i="33"/>
  <c r="F784" i="33"/>
  <c r="F785" i="33"/>
  <c r="F786" i="33"/>
  <c r="F787" i="33"/>
  <c r="F788" i="33"/>
  <c r="F789" i="33"/>
  <c r="F790" i="33"/>
  <c r="F791" i="33"/>
  <c r="F792" i="33"/>
  <c r="F793" i="33"/>
  <c r="F794" i="33"/>
  <c r="F795" i="33"/>
  <c r="F796" i="33"/>
  <c r="F797" i="33"/>
  <c r="F798" i="33"/>
  <c r="F799" i="33"/>
  <c r="F800" i="33"/>
  <c r="F801" i="33"/>
  <c r="F802" i="33"/>
  <c r="F803" i="33"/>
  <c r="F804" i="33"/>
  <c r="F805" i="33"/>
  <c r="F806" i="33"/>
  <c r="F807" i="33"/>
  <c r="F808" i="33"/>
  <c r="F809" i="33"/>
  <c r="F810" i="33"/>
  <c r="F811" i="33"/>
  <c r="F812" i="33"/>
  <c r="F813" i="33"/>
  <c r="F814" i="33"/>
  <c r="F815" i="33"/>
  <c r="F816" i="33"/>
  <c r="F817" i="33"/>
  <c r="F818" i="33"/>
  <c r="F819" i="33"/>
  <c r="F820" i="33"/>
  <c r="F821" i="33"/>
  <c r="F822" i="33"/>
  <c r="F823" i="33"/>
  <c r="F824" i="33"/>
  <c r="F825" i="33"/>
  <c r="F826" i="33"/>
  <c r="F827" i="33"/>
  <c r="F828" i="33"/>
  <c r="F829" i="33"/>
  <c r="F830" i="33"/>
  <c r="F831" i="33"/>
  <c r="F832" i="33"/>
  <c r="F833" i="33"/>
  <c r="F834" i="33"/>
  <c r="F835" i="33"/>
  <c r="F836" i="33"/>
  <c r="F837" i="33"/>
  <c r="F838" i="33"/>
  <c r="F839" i="33"/>
  <c r="F840" i="33"/>
  <c r="F841" i="33"/>
  <c r="F842" i="33"/>
  <c r="F843" i="33"/>
  <c r="F844" i="33"/>
  <c r="F845" i="33"/>
  <c r="F846" i="33"/>
  <c r="F847" i="33"/>
  <c r="F848" i="33"/>
  <c r="F849" i="33"/>
  <c r="F850" i="33"/>
  <c r="F851" i="33"/>
  <c r="F852" i="33"/>
  <c r="F853" i="33"/>
  <c r="F854" i="33"/>
  <c r="F855" i="33"/>
  <c r="F856" i="33"/>
  <c r="F857" i="33"/>
  <c r="F858" i="33"/>
  <c r="F859" i="33"/>
  <c r="F860" i="33"/>
  <c r="F861" i="33"/>
  <c r="F862" i="33"/>
  <c r="F863" i="33"/>
  <c r="F864" i="33"/>
  <c r="F865" i="33"/>
  <c r="F866" i="33"/>
  <c r="F867" i="33"/>
  <c r="F868" i="33"/>
  <c r="F869" i="33"/>
  <c r="F870" i="33"/>
  <c r="F871" i="33"/>
  <c r="F872" i="33"/>
  <c r="F873" i="33"/>
  <c r="F874" i="33"/>
  <c r="F875" i="33"/>
  <c r="F876" i="33"/>
  <c r="F877" i="33"/>
  <c r="F878" i="33"/>
  <c r="F879" i="33"/>
  <c r="F880" i="33"/>
  <c r="F881" i="33"/>
  <c r="F882" i="33"/>
  <c r="F883" i="33"/>
  <c r="F884" i="33"/>
  <c r="F885" i="33"/>
  <c r="F886" i="33"/>
  <c r="F887" i="33"/>
  <c r="F888" i="33"/>
  <c r="F889" i="33"/>
  <c r="F890" i="33"/>
  <c r="F891" i="33"/>
  <c r="F892" i="33"/>
  <c r="F893" i="33"/>
  <c r="F894" i="33"/>
  <c r="F895" i="33"/>
  <c r="F896" i="33"/>
  <c r="F897" i="33"/>
  <c r="F898" i="33"/>
  <c r="F899" i="33"/>
  <c r="F900" i="33"/>
  <c r="F901" i="33"/>
  <c r="F902" i="33"/>
  <c r="F903" i="33"/>
  <c r="F904" i="33"/>
  <c r="F905" i="33"/>
  <c r="F906" i="33"/>
  <c r="F907" i="33"/>
  <c r="F908" i="33"/>
  <c r="F909" i="33"/>
  <c r="F910" i="33"/>
  <c r="F911" i="33"/>
  <c r="F912" i="33"/>
  <c r="F913" i="33"/>
  <c r="F914" i="33"/>
  <c r="F915" i="33"/>
  <c r="F916" i="33"/>
  <c r="F917" i="33"/>
  <c r="F918" i="33"/>
  <c r="F919" i="33"/>
  <c r="F920" i="33"/>
  <c r="F921" i="33"/>
  <c r="F922" i="33"/>
  <c r="F923" i="33"/>
  <c r="F924" i="33"/>
  <c r="F925" i="33"/>
  <c r="F926" i="33"/>
  <c r="F927" i="33"/>
  <c r="F928" i="33"/>
  <c r="F929" i="33"/>
  <c r="F930" i="33"/>
  <c r="F931" i="33"/>
  <c r="F932" i="33"/>
  <c r="F933" i="33"/>
  <c r="F934" i="33"/>
  <c r="F935" i="33"/>
  <c r="F936" i="33"/>
  <c r="F937" i="33"/>
  <c r="F938" i="33"/>
  <c r="F939" i="33"/>
  <c r="F940" i="33"/>
  <c r="F941" i="33"/>
  <c r="F942" i="33"/>
  <c r="F943" i="33"/>
  <c r="F944" i="33"/>
  <c r="F945" i="33"/>
  <c r="F946" i="33"/>
  <c r="F947" i="33"/>
  <c r="F948" i="33"/>
  <c r="F949" i="33"/>
  <c r="F950" i="33"/>
  <c r="F951" i="33"/>
  <c r="F952" i="33"/>
  <c r="F953" i="33"/>
  <c r="F954" i="33"/>
  <c r="F955" i="33"/>
  <c r="F956" i="33"/>
  <c r="F957" i="33"/>
  <c r="F958" i="33"/>
  <c r="F959" i="33"/>
  <c r="F960" i="33"/>
  <c r="F961" i="33"/>
  <c r="F962" i="33"/>
  <c r="F963" i="33"/>
  <c r="F964" i="33"/>
  <c r="F965" i="33"/>
  <c r="F966" i="33"/>
  <c r="F967" i="33"/>
  <c r="F968" i="33"/>
  <c r="F969" i="33"/>
  <c r="F970" i="33"/>
  <c r="F971" i="33"/>
  <c r="F972" i="33"/>
  <c r="F973" i="33"/>
  <c r="F974" i="33"/>
  <c r="F975" i="33"/>
  <c r="F976" i="33"/>
  <c r="F977" i="33"/>
  <c r="F978" i="33"/>
  <c r="F979" i="33"/>
  <c r="F980" i="33"/>
  <c r="F981" i="33"/>
  <c r="F982" i="33"/>
  <c r="F983" i="33"/>
  <c r="F984" i="33"/>
  <c r="F985" i="33"/>
  <c r="F986" i="33"/>
  <c r="F987" i="33"/>
  <c r="F988" i="33"/>
  <c r="F989" i="33"/>
  <c r="F990" i="33"/>
  <c r="F991" i="33"/>
  <c r="F992" i="33"/>
  <c r="F993" i="33"/>
  <c r="F994" i="33"/>
  <c r="F995" i="33"/>
  <c r="F996" i="33"/>
  <c r="F997" i="33"/>
  <c r="F998" i="33"/>
  <c r="F999" i="33"/>
  <c r="F1000" i="33"/>
  <c r="F1001" i="33"/>
  <c r="F1002" i="33"/>
  <c r="F1003" i="33"/>
  <c r="F1004" i="33"/>
  <c r="F1005" i="33"/>
  <c r="F1006" i="33"/>
  <c r="F1007" i="33"/>
  <c r="F1008" i="33"/>
  <c r="F1009" i="33"/>
  <c r="F1010" i="33"/>
  <c r="F1011" i="33"/>
  <c r="F1012" i="33"/>
  <c r="F1013" i="33"/>
  <c r="F1014" i="33"/>
  <c r="F1015" i="33"/>
  <c r="F1016" i="33"/>
  <c r="F1017" i="33"/>
  <c r="F1018" i="33"/>
  <c r="F1019" i="33"/>
  <c r="F1020" i="33"/>
  <c r="F1021" i="33"/>
  <c r="F1022" i="33"/>
  <c r="F1023" i="33"/>
  <c r="F1024" i="33"/>
  <c r="F1025" i="33"/>
  <c r="F1026" i="33"/>
  <c r="F1027" i="33"/>
  <c r="F1028" i="33"/>
  <c r="F1029" i="33"/>
  <c r="F1030" i="33"/>
  <c r="F1031" i="33"/>
  <c r="F1032" i="33"/>
  <c r="F1033" i="33"/>
  <c r="F1034" i="33"/>
  <c r="F1035" i="33"/>
  <c r="F1036" i="33"/>
  <c r="F1037" i="33"/>
  <c r="F1038" i="33"/>
  <c r="F1039" i="33"/>
  <c r="F1040" i="33"/>
  <c r="F1041" i="33"/>
  <c r="F1042" i="33"/>
  <c r="F1043" i="33"/>
  <c r="F1044" i="33"/>
  <c r="F1045" i="33"/>
  <c r="F1046" i="33"/>
  <c r="F1047" i="33"/>
  <c r="F1048" i="33"/>
  <c r="F1049" i="33"/>
  <c r="F1050" i="33"/>
  <c r="F1051" i="33"/>
  <c r="F1052" i="33"/>
  <c r="F1053" i="33"/>
  <c r="F1054" i="33"/>
  <c r="F1055" i="33"/>
  <c r="F1056" i="33"/>
  <c r="F1057" i="33"/>
  <c r="F1058" i="33"/>
  <c r="F1059" i="33"/>
  <c r="F1060" i="33"/>
  <c r="F1061" i="33"/>
  <c r="F1062" i="33"/>
  <c r="F1063" i="33"/>
  <c r="F1064" i="33"/>
  <c r="F1065" i="33"/>
  <c r="F1066" i="33"/>
  <c r="F1067" i="33"/>
  <c r="F1068" i="33"/>
  <c r="F1069" i="33"/>
  <c r="F1070" i="33"/>
  <c r="F1071" i="33"/>
  <c r="F1072" i="33"/>
  <c r="F1073" i="33"/>
  <c r="F1074" i="33"/>
  <c r="F1075" i="33"/>
  <c r="F1076" i="33"/>
  <c r="F1077" i="33"/>
  <c r="F1078" i="33"/>
  <c r="F1079" i="33"/>
  <c r="F1080" i="33"/>
  <c r="F1081" i="33"/>
  <c r="F1082" i="33"/>
  <c r="F1083" i="33"/>
  <c r="F1084" i="33"/>
  <c r="F1085" i="33"/>
  <c r="F1086" i="33"/>
  <c r="F1087" i="33"/>
  <c r="F1088" i="33"/>
  <c r="F1089" i="33"/>
  <c r="F1090" i="33"/>
  <c r="F1091" i="33"/>
  <c r="F1092" i="33"/>
  <c r="F1093" i="33"/>
  <c r="F1094" i="33"/>
  <c r="F1095" i="33"/>
  <c r="F1096" i="33"/>
  <c r="F1097" i="33"/>
  <c r="F1098" i="33"/>
  <c r="F1099" i="33"/>
  <c r="F1100" i="33"/>
  <c r="F1101" i="33"/>
  <c r="F1102" i="33"/>
  <c r="F1103" i="33"/>
  <c r="F1104" i="33"/>
  <c r="F1105" i="33"/>
  <c r="F1106" i="33"/>
  <c r="F1107" i="33"/>
  <c r="F1108" i="33"/>
  <c r="F1109" i="33"/>
  <c r="F1110" i="33"/>
  <c r="F1111" i="33"/>
  <c r="F1112" i="33"/>
  <c r="F1113" i="33"/>
  <c r="F1114" i="33"/>
  <c r="F1115" i="33"/>
  <c r="F1116" i="33"/>
  <c r="F1117" i="33"/>
  <c r="F1118" i="33"/>
  <c r="F1119" i="33"/>
  <c r="F1120" i="33"/>
  <c r="F1121" i="33"/>
  <c r="F1122" i="33"/>
  <c r="F1123" i="33"/>
  <c r="F1124" i="33"/>
  <c r="F1125" i="33"/>
  <c r="F1126" i="33"/>
  <c r="F1127" i="33"/>
  <c r="F1128" i="33"/>
  <c r="F1129" i="33"/>
  <c r="F1130" i="33"/>
  <c r="F1131" i="33"/>
  <c r="F1132" i="33"/>
  <c r="F1133" i="33"/>
  <c r="F1134" i="33"/>
  <c r="F1135" i="33"/>
  <c r="F1136" i="33"/>
  <c r="F1137" i="33"/>
  <c r="F1138" i="33"/>
  <c r="F1139" i="33"/>
  <c r="F1140" i="33"/>
  <c r="F1141" i="33"/>
  <c r="F1142" i="33"/>
  <c r="F1143" i="33"/>
  <c r="F1144" i="33"/>
  <c r="F1145" i="33"/>
  <c r="F1146" i="33"/>
  <c r="F1147" i="33"/>
  <c r="F1148" i="33"/>
  <c r="F1149" i="33"/>
  <c r="F1150" i="33"/>
  <c r="F1151" i="33"/>
  <c r="F1152" i="33"/>
  <c r="F1153" i="33"/>
  <c r="F1154" i="33"/>
  <c r="F1155" i="33"/>
  <c r="F1156" i="33"/>
  <c r="F1157" i="33"/>
  <c r="F1158" i="33"/>
  <c r="F1159" i="33"/>
  <c r="F1160" i="33"/>
  <c r="F1161" i="33"/>
  <c r="F1162" i="33"/>
  <c r="F1163" i="33"/>
  <c r="F1164" i="33"/>
  <c r="F1165" i="33"/>
  <c r="F1166" i="33"/>
  <c r="F1167" i="33"/>
  <c r="F1168" i="33"/>
  <c r="F1169" i="33"/>
  <c r="F1170" i="33"/>
  <c r="F1171" i="33"/>
  <c r="F1172" i="33"/>
  <c r="F1173" i="33"/>
  <c r="F1174" i="33"/>
  <c r="F1175" i="33"/>
  <c r="F1176" i="33"/>
  <c r="F1177" i="33"/>
  <c r="F1178" i="33"/>
  <c r="F1179" i="33"/>
  <c r="F1180" i="33"/>
  <c r="F1181" i="33"/>
  <c r="F1182" i="33"/>
  <c r="F1183" i="33"/>
  <c r="F1184" i="33"/>
  <c r="F1185" i="33"/>
  <c r="F1186" i="33"/>
  <c r="F1187" i="33"/>
  <c r="F1188" i="33"/>
  <c r="F1189" i="33"/>
  <c r="F1190" i="33"/>
  <c r="F1191" i="33"/>
  <c r="F1192" i="33"/>
  <c r="F1193" i="33"/>
  <c r="F1194" i="33"/>
  <c r="F1195" i="33"/>
  <c r="F1196" i="33"/>
  <c r="F1197" i="33"/>
  <c r="F1198" i="33"/>
  <c r="F1199" i="33"/>
  <c r="F1200" i="33"/>
  <c r="F1201" i="33"/>
  <c r="F1202" i="33"/>
  <c r="F1203" i="33"/>
  <c r="F1204" i="33"/>
  <c r="F1205" i="33"/>
  <c r="F1206" i="33"/>
  <c r="F1207" i="33"/>
  <c r="F1208" i="33"/>
  <c r="F1209" i="33"/>
  <c r="F1210" i="33"/>
  <c r="F1211" i="33"/>
  <c r="F1212" i="33"/>
  <c r="F1213" i="33"/>
  <c r="F1214" i="33"/>
  <c r="F1215" i="33"/>
  <c r="F1216" i="33"/>
  <c r="F1217" i="33"/>
  <c r="F1218" i="33"/>
  <c r="F1219" i="33"/>
  <c r="F1220" i="33"/>
  <c r="F1221" i="33"/>
  <c r="F1222" i="33"/>
  <c r="F1223" i="33"/>
  <c r="F1224" i="33"/>
  <c r="F1225" i="33"/>
  <c r="F1226" i="33"/>
  <c r="F1227" i="33"/>
  <c r="F1228" i="33"/>
  <c r="F1229" i="33"/>
  <c r="F1230" i="33"/>
  <c r="F1231" i="33"/>
  <c r="F1232" i="33"/>
  <c r="F1233" i="33"/>
  <c r="F1234" i="33"/>
  <c r="F1235" i="33"/>
  <c r="F1236" i="33"/>
  <c r="F1237" i="33"/>
  <c r="F1238" i="33"/>
  <c r="F1239" i="33"/>
  <c r="F1240" i="33"/>
  <c r="F1241" i="33"/>
  <c r="F1242" i="33"/>
  <c r="F1243" i="33"/>
  <c r="F1244" i="33"/>
  <c r="F1245" i="33"/>
  <c r="F1246" i="33"/>
  <c r="F1247" i="33"/>
  <c r="F1248" i="33"/>
  <c r="F1249" i="33"/>
  <c r="F1250" i="33"/>
  <c r="F1251" i="33"/>
  <c r="F1252" i="33"/>
  <c r="F1253" i="33"/>
  <c r="F1254" i="33"/>
  <c r="F1255" i="33"/>
  <c r="F1256" i="33"/>
  <c r="F1257" i="33"/>
  <c r="F1258" i="33"/>
  <c r="F1259" i="33"/>
  <c r="F1260" i="33"/>
  <c r="F1261" i="33"/>
  <c r="F1262" i="33"/>
  <c r="F1263" i="33"/>
  <c r="F1264" i="33"/>
  <c r="F1265" i="33"/>
  <c r="F1266" i="33"/>
  <c r="F1267" i="33"/>
  <c r="F1268" i="33"/>
  <c r="F1269" i="33"/>
  <c r="F1270" i="33"/>
  <c r="F1271" i="33"/>
  <c r="F1272" i="33"/>
  <c r="F1273" i="33"/>
  <c r="F1274" i="33"/>
  <c r="F1275" i="33"/>
  <c r="F1276" i="33"/>
  <c r="F1277" i="33"/>
  <c r="F1278" i="33"/>
  <c r="F1279" i="33"/>
  <c r="F1280" i="33"/>
  <c r="F1281" i="33"/>
  <c r="F1282" i="33"/>
  <c r="F1283" i="33"/>
  <c r="F1284" i="33"/>
  <c r="F1285" i="33"/>
  <c r="F1286" i="33"/>
  <c r="F1287" i="33"/>
  <c r="F1288" i="33"/>
  <c r="F1289" i="33"/>
  <c r="F1290" i="33"/>
  <c r="F1291" i="33"/>
  <c r="F1292" i="33"/>
  <c r="F1293" i="33"/>
  <c r="F1294" i="33"/>
  <c r="F1295" i="33"/>
  <c r="F1296" i="33"/>
  <c r="F1297" i="33"/>
  <c r="F1298" i="33"/>
  <c r="F1299" i="33"/>
  <c r="F1300" i="33"/>
  <c r="F1301" i="33"/>
  <c r="F1302" i="33"/>
  <c r="F1303" i="33"/>
  <c r="F1304" i="33"/>
  <c r="F1305" i="33"/>
  <c r="F1306" i="33"/>
  <c r="F1307" i="33"/>
  <c r="F1308" i="33"/>
  <c r="F1309" i="33"/>
  <c r="F1310" i="33"/>
  <c r="F1311" i="33"/>
  <c r="F1312" i="33"/>
  <c r="F1313" i="33"/>
  <c r="F1314" i="33"/>
  <c r="F1315" i="33"/>
  <c r="F1316" i="33"/>
  <c r="F1317" i="33"/>
  <c r="F1318" i="33"/>
  <c r="F1319" i="33"/>
  <c r="F1320" i="33"/>
  <c r="F1321" i="33"/>
  <c r="F1322" i="33"/>
  <c r="F1323" i="33"/>
  <c r="F1324" i="33"/>
  <c r="F1325" i="33"/>
  <c r="F1326" i="33"/>
  <c r="F1327" i="33"/>
  <c r="F1328" i="33"/>
  <c r="F1329" i="33"/>
  <c r="F1330" i="33"/>
  <c r="F1331" i="33"/>
  <c r="F1332" i="33"/>
  <c r="F1333" i="33"/>
  <c r="F1334" i="33"/>
  <c r="F1335" i="33"/>
  <c r="F1336" i="33"/>
  <c r="F1337" i="33"/>
  <c r="F1338" i="33"/>
  <c r="F1339" i="33"/>
  <c r="F1340" i="33"/>
  <c r="F1341" i="33"/>
  <c r="F1342" i="33"/>
  <c r="F1343" i="33"/>
  <c r="F1344" i="33"/>
  <c r="F1345" i="33"/>
  <c r="F1346" i="33"/>
  <c r="F1347" i="33"/>
  <c r="F1348" i="33"/>
  <c r="F1349" i="33"/>
  <c r="F1350" i="33"/>
  <c r="F1351" i="33"/>
  <c r="F1352" i="33"/>
  <c r="F1353" i="33"/>
  <c r="F1354" i="33"/>
  <c r="F1355" i="33"/>
  <c r="F1356" i="33"/>
  <c r="F1357" i="33"/>
  <c r="F1358" i="33"/>
  <c r="F1359" i="33"/>
  <c r="F1360" i="33"/>
  <c r="F1361" i="33"/>
  <c r="F1362" i="33"/>
  <c r="F1363" i="33"/>
  <c r="F1364" i="33"/>
  <c r="F1365" i="33"/>
  <c r="F1366" i="33"/>
  <c r="F1367" i="33"/>
  <c r="F1368" i="33"/>
  <c r="F1369" i="33"/>
  <c r="F1370" i="33"/>
  <c r="F1371" i="33"/>
  <c r="F1372" i="33"/>
  <c r="F1373" i="33"/>
  <c r="F1374" i="33"/>
  <c r="F1375" i="33"/>
  <c r="F1376" i="33"/>
  <c r="F1377" i="33"/>
  <c r="F1378" i="33"/>
  <c r="F1379" i="33"/>
  <c r="F1380" i="33"/>
  <c r="F1381" i="33"/>
  <c r="F1382" i="33"/>
  <c r="F1383" i="33"/>
  <c r="F1384" i="33"/>
  <c r="F1385" i="33"/>
  <c r="F1386" i="33"/>
  <c r="F1387" i="33"/>
  <c r="F1388" i="33"/>
  <c r="F1389" i="33"/>
  <c r="F1390" i="33"/>
  <c r="F1391" i="33"/>
  <c r="F1392" i="33"/>
  <c r="F1393" i="33"/>
  <c r="F1394" i="33"/>
  <c r="F1395" i="33"/>
  <c r="F1396" i="33"/>
  <c r="F1397" i="33"/>
  <c r="F1398" i="33"/>
  <c r="F1399" i="33"/>
  <c r="F1400" i="33"/>
  <c r="F1401" i="33"/>
  <c r="F1402" i="33"/>
  <c r="F1403" i="33"/>
  <c r="F1404" i="33"/>
  <c r="F1405" i="33"/>
  <c r="F1406" i="33"/>
  <c r="F1407" i="33"/>
  <c r="F1408" i="33"/>
  <c r="F1409" i="33"/>
  <c r="F1410" i="33"/>
  <c r="F1411" i="33"/>
  <c r="F1412" i="33"/>
  <c r="F1413" i="33"/>
  <c r="F1414" i="33"/>
  <c r="F1415" i="33"/>
  <c r="F1416" i="33"/>
  <c r="F1417" i="33"/>
  <c r="F1418" i="33"/>
  <c r="F1419" i="33"/>
  <c r="F1420" i="33"/>
  <c r="F1421" i="33"/>
  <c r="F1422" i="33"/>
  <c r="F1423" i="33"/>
  <c r="F1424" i="33"/>
  <c r="F1425" i="33"/>
  <c r="F1426" i="33"/>
  <c r="F1427" i="33"/>
  <c r="F1428" i="33"/>
  <c r="F1429" i="33"/>
  <c r="F501" i="33"/>
  <c r="F500" i="33"/>
  <c r="F499" i="33"/>
  <c r="F498" i="33"/>
  <c r="F497" i="33"/>
  <c r="F496" i="33"/>
  <c r="F495" i="33"/>
  <c r="F494" i="33"/>
  <c r="F493" i="33"/>
  <c r="F492" i="33"/>
  <c r="F491" i="33"/>
  <c r="F490" i="33"/>
  <c r="F489" i="33"/>
  <c r="F488" i="33"/>
  <c r="F487" i="33"/>
  <c r="F486" i="33"/>
  <c r="F485" i="33"/>
  <c r="F484" i="33"/>
  <c r="F483" i="33"/>
  <c r="F482" i="33"/>
  <c r="F481" i="33"/>
  <c r="F480" i="33"/>
  <c r="F479" i="33"/>
  <c r="F478" i="33"/>
  <c r="F477" i="33"/>
  <c r="F476" i="33"/>
  <c r="F475" i="33"/>
  <c r="F474" i="33"/>
  <c r="F473" i="33"/>
  <c r="F472" i="33"/>
  <c r="F471" i="33"/>
  <c r="F470" i="33"/>
  <c r="F469" i="33"/>
  <c r="F468" i="33"/>
  <c r="F467" i="33"/>
  <c r="F466" i="33"/>
  <c r="F465" i="33"/>
  <c r="F464" i="33"/>
  <c r="F463" i="33"/>
  <c r="F462" i="33"/>
  <c r="F461" i="33"/>
  <c r="F460" i="33"/>
  <c r="F459" i="33"/>
  <c r="F458" i="33"/>
  <c r="F457" i="33"/>
  <c r="F456" i="33"/>
  <c r="F455" i="33"/>
  <c r="F454" i="33"/>
  <c r="F453" i="33"/>
  <c r="F452" i="33"/>
  <c r="F451" i="33"/>
  <c r="F450" i="33"/>
  <c r="F449" i="33"/>
  <c r="F448" i="33"/>
  <c r="F447" i="33"/>
  <c r="F446" i="33"/>
  <c r="F445" i="33"/>
  <c r="F444" i="33"/>
  <c r="F443" i="33"/>
  <c r="F442" i="33"/>
  <c r="F441" i="33"/>
  <c r="F440" i="33"/>
  <c r="F439" i="33"/>
  <c r="F438" i="33"/>
  <c r="F437" i="33"/>
  <c r="F436" i="33"/>
  <c r="F435" i="33"/>
  <c r="F434" i="33"/>
  <c r="F433" i="33"/>
  <c r="F432" i="33"/>
  <c r="F431" i="33"/>
  <c r="F430" i="33"/>
  <c r="F429" i="33"/>
  <c r="F428" i="33"/>
  <c r="F427" i="33"/>
  <c r="F426" i="33"/>
  <c r="F425" i="33"/>
  <c r="F424" i="33"/>
  <c r="F423" i="33"/>
  <c r="F422" i="33"/>
  <c r="F421" i="33"/>
  <c r="F420" i="33"/>
  <c r="F419" i="33"/>
  <c r="F418" i="33"/>
  <c r="F417" i="33"/>
  <c r="F416" i="33"/>
  <c r="F415" i="33"/>
  <c r="F414" i="33"/>
  <c r="F413" i="33"/>
  <c r="F412" i="33"/>
  <c r="F411" i="33"/>
  <c r="F410" i="33"/>
  <c r="F409" i="33"/>
  <c r="F408" i="33"/>
  <c r="F407" i="33"/>
  <c r="F406" i="33"/>
  <c r="F405" i="33"/>
  <c r="F404" i="33"/>
  <c r="F403" i="33"/>
  <c r="F402" i="33"/>
  <c r="F401" i="33"/>
  <c r="F400" i="33"/>
  <c r="F399" i="33"/>
  <c r="F398" i="33"/>
  <c r="F397" i="33"/>
  <c r="F396" i="33"/>
  <c r="F395" i="33"/>
  <c r="F394" i="33"/>
  <c r="F393" i="33"/>
  <c r="F392" i="33"/>
  <c r="F391" i="33"/>
  <c r="F390" i="33"/>
  <c r="F389" i="33"/>
  <c r="F388" i="33"/>
  <c r="F387" i="33"/>
  <c r="F386" i="33"/>
  <c r="F385" i="33"/>
  <c r="F384" i="33"/>
  <c r="F383" i="33"/>
  <c r="F382" i="33"/>
  <c r="F381" i="33"/>
  <c r="F380" i="33"/>
  <c r="F379" i="33"/>
  <c r="F378" i="33"/>
  <c r="F377" i="33"/>
  <c r="F376" i="33"/>
  <c r="F375" i="33"/>
  <c r="F374" i="33"/>
  <c r="F373" i="33"/>
  <c r="F372" i="33"/>
  <c r="F371" i="33"/>
  <c r="F370" i="33"/>
  <c r="F369" i="33"/>
  <c r="F368" i="33"/>
  <c r="F367" i="33"/>
  <c r="F366" i="33"/>
  <c r="F365" i="33"/>
  <c r="F364" i="33"/>
  <c r="F363" i="33"/>
  <c r="F362" i="33"/>
  <c r="F361" i="33"/>
  <c r="F360" i="33"/>
  <c r="F359" i="33"/>
  <c r="F358" i="33"/>
  <c r="F357" i="33"/>
  <c r="F356" i="33"/>
  <c r="F355" i="33"/>
  <c r="F354" i="33"/>
  <c r="F353" i="33"/>
  <c r="F352" i="33"/>
  <c r="F351" i="33"/>
  <c r="F350" i="33"/>
  <c r="F349" i="33"/>
  <c r="F348" i="33"/>
  <c r="F347" i="33"/>
  <c r="F346" i="33"/>
  <c r="F345" i="33"/>
  <c r="F344" i="33"/>
  <c r="F343" i="33"/>
  <c r="F342" i="33"/>
  <c r="F341" i="33"/>
  <c r="F340" i="33"/>
  <c r="F339" i="33"/>
  <c r="F338" i="33"/>
  <c r="F337" i="33"/>
  <c r="F336" i="33"/>
  <c r="F335" i="33"/>
  <c r="F334" i="33"/>
  <c r="F333" i="33"/>
  <c r="F332" i="33"/>
  <c r="F331" i="33"/>
  <c r="F330" i="33"/>
  <c r="F329" i="33"/>
  <c r="F328" i="33"/>
  <c r="F327" i="33"/>
  <c r="F326" i="33"/>
  <c r="F325" i="33"/>
  <c r="F324" i="33"/>
  <c r="F323" i="33"/>
  <c r="F322" i="33"/>
  <c r="F321" i="33"/>
  <c r="F320" i="33"/>
  <c r="F319" i="33"/>
  <c r="F318" i="33"/>
  <c r="F317" i="33"/>
  <c r="F316" i="33"/>
  <c r="F315" i="33"/>
  <c r="F314" i="33"/>
  <c r="F313" i="33"/>
  <c r="F312" i="33"/>
  <c r="F311" i="33"/>
  <c r="F310" i="33"/>
  <c r="F309" i="33"/>
  <c r="F308" i="33"/>
  <c r="F307" i="33"/>
  <c r="F306" i="33"/>
  <c r="F305" i="33"/>
  <c r="F304" i="33"/>
  <c r="F303" i="33"/>
  <c r="F302" i="33"/>
  <c r="F301" i="33"/>
  <c r="F300" i="33"/>
  <c r="F299" i="33"/>
  <c r="F298" i="33"/>
  <c r="F297" i="33"/>
  <c r="F296" i="33"/>
  <c r="F295" i="33"/>
  <c r="F294" i="33"/>
  <c r="F293" i="33"/>
  <c r="F292" i="33"/>
  <c r="F291" i="33"/>
  <c r="F290" i="33"/>
  <c r="F289" i="33"/>
  <c r="F288" i="33"/>
  <c r="F287" i="33"/>
  <c r="F286" i="33"/>
  <c r="F285" i="33"/>
  <c r="F284" i="33"/>
  <c r="F283" i="33"/>
  <c r="F282" i="33"/>
  <c r="F281" i="33"/>
  <c r="F280" i="33"/>
  <c r="F279" i="33"/>
  <c r="F278" i="33"/>
  <c r="F277" i="33"/>
  <c r="F276" i="33"/>
  <c r="F275" i="33"/>
  <c r="F274" i="33"/>
  <c r="F273" i="33"/>
  <c r="F272" i="33"/>
  <c r="F271" i="33"/>
  <c r="F270" i="33"/>
  <c r="F269" i="33"/>
  <c r="F268" i="33"/>
  <c r="F267" i="33"/>
  <c r="F266" i="33"/>
  <c r="F265" i="33"/>
  <c r="F264" i="33"/>
  <c r="F263" i="33"/>
  <c r="F262" i="33"/>
  <c r="F261" i="33"/>
  <c r="F260" i="33"/>
  <c r="F259" i="33"/>
  <c r="F258" i="33"/>
  <c r="F257" i="33"/>
  <c r="F256" i="33"/>
  <c r="F255" i="33"/>
  <c r="F254" i="33"/>
  <c r="F253" i="33"/>
  <c r="F252" i="33"/>
  <c r="F251" i="33"/>
  <c r="F250" i="33"/>
  <c r="F249" i="33"/>
  <c r="F248" i="33"/>
  <c r="F247" i="33"/>
  <c r="F246" i="33"/>
  <c r="F245" i="33"/>
  <c r="F244" i="33"/>
  <c r="F243" i="33"/>
  <c r="F242" i="33"/>
  <c r="F241" i="33"/>
  <c r="F240" i="33"/>
  <c r="F239" i="33"/>
  <c r="F238" i="33"/>
  <c r="F237" i="33"/>
  <c r="F236" i="33"/>
  <c r="F235" i="33"/>
  <c r="F234" i="33"/>
  <c r="F233" i="33"/>
  <c r="F232" i="33"/>
  <c r="F231" i="33"/>
  <c r="F230" i="33"/>
  <c r="F229" i="33"/>
  <c r="F228" i="33"/>
  <c r="F227" i="33"/>
  <c r="F226" i="33"/>
  <c r="F225" i="33"/>
  <c r="F224" i="33"/>
  <c r="F223" i="33"/>
  <c r="F222" i="33"/>
  <c r="F221" i="33"/>
  <c r="F220" i="33"/>
  <c r="F219" i="33"/>
  <c r="F218" i="33"/>
  <c r="F217" i="33"/>
  <c r="F216" i="33"/>
  <c r="F215" i="33"/>
  <c r="F214" i="33"/>
  <c r="F213" i="33"/>
  <c r="F212" i="33"/>
  <c r="F211" i="33"/>
  <c r="F210" i="33"/>
  <c r="F209" i="33"/>
  <c r="F208" i="33"/>
  <c r="F207" i="33"/>
  <c r="F206" i="33"/>
  <c r="F205" i="33"/>
  <c r="F204" i="33"/>
  <c r="F203" i="33"/>
  <c r="F202" i="33"/>
  <c r="E109" i="48" l="1"/>
  <c r="E108" i="48"/>
  <c r="E107" i="48"/>
  <c r="E106" i="48"/>
  <c r="E105" i="48"/>
  <c r="E104" i="48"/>
  <c r="E103" i="48"/>
  <c r="E102" i="48"/>
  <c r="E101" i="48"/>
  <c r="E100" i="48"/>
  <c r="E99" i="48"/>
  <c r="E98" i="48"/>
  <c r="E97" i="48"/>
  <c r="E96" i="48"/>
  <c r="E95" i="48"/>
  <c r="E94" i="48"/>
  <c r="E93" i="48"/>
  <c r="E92" i="48"/>
  <c r="E91" i="48"/>
  <c r="E90" i="48"/>
  <c r="E89" i="48"/>
  <c r="E88" i="48"/>
  <c r="E87" i="48"/>
  <c r="E86" i="48"/>
  <c r="E85" i="48"/>
  <c r="E84" i="48"/>
  <c r="E83" i="48"/>
  <c r="E82" i="48"/>
  <c r="E81" i="48"/>
  <c r="E80" i="48"/>
  <c r="E79" i="48"/>
  <c r="E78" i="48"/>
  <c r="E77" i="48"/>
  <c r="E76" i="48"/>
  <c r="E75" i="48"/>
  <c r="E74" i="48"/>
  <c r="E73" i="48"/>
  <c r="E72" i="48"/>
  <c r="E71" i="48"/>
  <c r="E70" i="48"/>
  <c r="E69" i="48"/>
  <c r="E68" i="48"/>
  <c r="E67" i="48"/>
  <c r="E66" i="48"/>
  <c r="E65" i="48"/>
  <c r="E64" i="48"/>
  <c r="E63" i="48"/>
  <c r="E62" i="48"/>
  <c r="E61" i="48"/>
  <c r="E60" i="48"/>
  <c r="E59" i="48"/>
  <c r="E58" i="48"/>
  <c r="E57" i="48"/>
  <c r="E56" i="48"/>
  <c r="E55" i="48"/>
  <c r="E54" i="48"/>
  <c r="E53" i="48"/>
  <c r="E52" i="48"/>
  <c r="E51" i="48"/>
  <c r="E50" i="48"/>
  <c r="E49" i="48"/>
  <c r="E48" i="48"/>
  <c r="E47" i="48"/>
  <c r="E46" i="48"/>
  <c r="E45" i="48"/>
  <c r="E44" i="48"/>
  <c r="E43" i="48"/>
  <c r="E42" i="48"/>
  <c r="E41" i="48"/>
  <c r="E40" i="48"/>
  <c r="E39" i="48"/>
  <c r="E38" i="48"/>
  <c r="E37" i="48"/>
  <c r="E36" i="48"/>
  <c r="E35" i="48"/>
  <c r="E34" i="48"/>
  <c r="E33" i="48"/>
  <c r="E32" i="48"/>
  <c r="E31" i="48"/>
  <c r="E30" i="48"/>
  <c r="E29" i="48"/>
  <c r="E28" i="48"/>
  <c r="E27" i="48"/>
  <c r="E26" i="48"/>
  <c r="E25" i="48"/>
  <c r="E24" i="48"/>
  <c r="E23" i="48"/>
  <c r="E22" i="48"/>
  <c r="E21" i="48"/>
  <c r="E20" i="48"/>
  <c r="E19" i="48"/>
  <c r="E18" i="48"/>
  <c r="E17" i="48"/>
  <c r="E16" i="48"/>
  <c r="E15" i="48"/>
  <c r="E14" i="48"/>
  <c r="E13" i="48"/>
  <c r="E12" i="48"/>
  <c r="E11" i="48"/>
  <c r="E10" i="48"/>
  <c r="E9" i="48"/>
  <c r="E4" i="48" l="1"/>
  <c r="G4" i="48" s="1"/>
  <c r="G9" i="48"/>
  <c r="G14" i="48"/>
  <c r="G18" i="48"/>
  <c r="G22" i="48"/>
  <c r="G26" i="48"/>
  <c r="G30" i="48"/>
  <c r="G34" i="48"/>
  <c r="G38" i="48"/>
  <c r="G42" i="48"/>
  <c r="G46" i="48"/>
  <c r="G50" i="48"/>
  <c r="G54" i="48"/>
  <c r="G58" i="48"/>
  <c r="G62" i="48"/>
  <c r="G66" i="48"/>
  <c r="G70" i="48"/>
  <c r="G74" i="48"/>
  <c r="G78" i="48"/>
  <c r="G82" i="48"/>
  <c r="G86" i="48"/>
  <c r="G90" i="48"/>
  <c r="G94" i="48"/>
  <c r="G98" i="48"/>
  <c r="G102" i="48"/>
  <c r="G106" i="48"/>
  <c r="G110" i="48"/>
  <c r="G114" i="48"/>
  <c r="G118" i="48"/>
  <c r="G122" i="48"/>
  <c r="G126" i="48"/>
  <c r="G130" i="48"/>
  <c r="G134" i="48"/>
  <c r="G138" i="48"/>
  <c r="G142" i="48"/>
  <c r="G146" i="48"/>
  <c r="G150" i="48"/>
  <c r="G154" i="48"/>
  <c r="G158" i="48"/>
  <c r="G12" i="48"/>
  <c r="G21" i="48"/>
  <c r="G37" i="48"/>
  <c r="G49" i="48"/>
  <c r="G61" i="48"/>
  <c r="G69" i="48"/>
  <c r="G81" i="48"/>
  <c r="G93" i="48"/>
  <c r="G105" i="48"/>
  <c r="G113" i="48"/>
  <c r="G125" i="48"/>
  <c r="G133" i="48"/>
  <c r="G145" i="48"/>
  <c r="G153" i="48"/>
  <c r="G10" i="48"/>
  <c r="G15" i="48"/>
  <c r="G19" i="48"/>
  <c r="G23" i="48"/>
  <c r="G27" i="48"/>
  <c r="G31" i="48"/>
  <c r="G35" i="48"/>
  <c r="G39" i="48"/>
  <c r="G43" i="48"/>
  <c r="G47" i="48"/>
  <c r="G51" i="48"/>
  <c r="G55" i="48"/>
  <c r="G59" i="48"/>
  <c r="G63" i="48"/>
  <c r="G67" i="48"/>
  <c r="G71" i="48"/>
  <c r="G75" i="48"/>
  <c r="G79" i="48"/>
  <c r="G83" i="48"/>
  <c r="G87" i="48"/>
  <c r="G91" i="48"/>
  <c r="G95" i="48"/>
  <c r="G99" i="48"/>
  <c r="G103" i="48"/>
  <c r="G107" i="48"/>
  <c r="G111" i="48"/>
  <c r="G115" i="48"/>
  <c r="G119" i="48"/>
  <c r="G123" i="48"/>
  <c r="G127" i="48"/>
  <c r="G131" i="48"/>
  <c r="G135" i="48"/>
  <c r="G139" i="48"/>
  <c r="G143" i="48"/>
  <c r="G147" i="48"/>
  <c r="G151" i="48"/>
  <c r="G155" i="48"/>
  <c r="G159" i="48"/>
  <c r="G13" i="48"/>
  <c r="G25" i="48"/>
  <c r="G33" i="48"/>
  <c r="G41" i="48"/>
  <c r="G53" i="48"/>
  <c r="G65" i="48"/>
  <c r="G77" i="48"/>
  <c r="G85" i="48"/>
  <c r="G97" i="48"/>
  <c r="G109" i="48"/>
  <c r="G121" i="48"/>
  <c r="G129" i="48"/>
  <c r="G141" i="48"/>
  <c r="G157" i="48"/>
  <c r="G11" i="48"/>
  <c r="G16" i="48"/>
  <c r="G20" i="48"/>
  <c r="G24" i="48"/>
  <c r="G28" i="48"/>
  <c r="G32" i="48"/>
  <c r="G36" i="48"/>
  <c r="G40" i="48"/>
  <c r="G44" i="48"/>
  <c r="G48" i="48"/>
  <c r="G52" i="48"/>
  <c r="G56" i="48"/>
  <c r="G60" i="48"/>
  <c r="G64" i="48"/>
  <c r="G68" i="48"/>
  <c r="G72" i="48"/>
  <c r="G76" i="48"/>
  <c r="G80" i="48"/>
  <c r="G84" i="48"/>
  <c r="G88" i="48"/>
  <c r="G92" i="48"/>
  <c r="G96" i="48"/>
  <c r="G100" i="48"/>
  <c r="G104" i="48"/>
  <c r="G108" i="48"/>
  <c r="G112" i="48"/>
  <c r="G116" i="48"/>
  <c r="G120" i="48"/>
  <c r="G124" i="48"/>
  <c r="G128" i="48"/>
  <c r="G132" i="48"/>
  <c r="G136" i="48"/>
  <c r="G140" i="48"/>
  <c r="G144" i="48"/>
  <c r="G148" i="48"/>
  <c r="G152" i="48"/>
  <c r="G156" i="48"/>
  <c r="G17" i="48"/>
  <c r="G29" i="48"/>
  <c r="G45" i="48"/>
  <c r="G57" i="48"/>
  <c r="G73" i="48"/>
  <c r="G89" i="48"/>
  <c r="G101" i="48"/>
  <c r="G117" i="48"/>
  <c r="G137" i="48"/>
  <c r="G149" i="48"/>
  <c r="F201" i="33"/>
  <c r="F200" i="33"/>
  <c r="F199" i="33"/>
  <c r="F198" i="33"/>
  <c r="F197" i="33"/>
  <c r="F196" i="33"/>
  <c r="F195" i="33"/>
  <c r="F194" i="33"/>
  <c r="F193" i="33"/>
  <c r="F192" i="33"/>
  <c r="F191" i="33"/>
  <c r="F190" i="33"/>
  <c r="F189" i="33"/>
  <c r="F188" i="33"/>
  <c r="F187" i="33"/>
  <c r="F186" i="33"/>
  <c r="F185" i="33"/>
  <c r="F184" i="33"/>
  <c r="F183" i="33"/>
  <c r="F182" i="33"/>
  <c r="F181" i="33"/>
  <c r="F180" i="33"/>
  <c r="F179" i="33"/>
  <c r="F178" i="33"/>
  <c r="F177" i="33"/>
  <c r="F176" i="33"/>
  <c r="F175" i="33"/>
  <c r="F174" i="33"/>
  <c r="F173" i="33"/>
  <c r="F172" i="33"/>
  <c r="F171" i="33"/>
  <c r="F170" i="33"/>
  <c r="F169" i="33"/>
  <c r="F168" i="33"/>
  <c r="F167" i="33"/>
  <c r="F166" i="33"/>
  <c r="F165" i="33"/>
  <c r="F164" i="33"/>
  <c r="F163" i="33"/>
  <c r="F162" i="33"/>
  <c r="F161" i="33"/>
  <c r="F160" i="33"/>
  <c r="F159" i="33"/>
  <c r="F158" i="33"/>
  <c r="F157" i="33"/>
  <c r="F156" i="33"/>
  <c r="F155" i="33"/>
  <c r="F154" i="33"/>
  <c r="F153" i="33"/>
  <c r="F152" i="33"/>
  <c r="A40" i="34" l="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82" i="47" l="1"/>
  <c r="E81" i="47"/>
  <c r="E80" i="47"/>
  <c r="E79" i="47"/>
  <c r="E78" i="47"/>
  <c r="E77" i="47"/>
  <c r="E76" i="47"/>
  <c r="E75" i="47"/>
  <c r="E74" i="47"/>
  <c r="E73" i="47"/>
  <c r="E72" i="47"/>
  <c r="E71" i="47"/>
  <c r="E70" i="47"/>
  <c r="E69" i="47"/>
  <c r="E68" i="47"/>
  <c r="E67" i="47"/>
  <c r="E66" i="47"/>
  <c r="E65" i="47"/>
  <c r="E64" i="47"/>
  <c r="E63" i="47"/>
  <c r="E62" i="47"/>
  <c r="E61" i="47"/>
  <c r="E60" i="47"/>
  <c r="E59" i="47"/>
  <c r="E58" i="47"/>
  <c r="E57" i="47"/>
  <c r="E56" i="47"/>
  <c r="E55" i="47"/>
  <c r="E54" i="47"/>
  <c r="E53" i="47"/>
  <c r="E52" i="47"/>
  <c r="E51" i="47"/>
  <c r="E50" i="47"/>
  <c r="E49" i="47"/>
  <c r="E48" i="47"/>
  <c r="E47" i="47"/>
  <c r="E46" i="47"/>
  <c r="E45" i="47"/>
  <c r="E44" i="47"/>
  <c r="E43" i="47"/>
  <c r="E42" i="47"/>
  <c r="E41" i="47"/>
  <c r="E40" i="47"/>
  <c r="E39" i="47"/>
  <c r="E38" i="47"/>
  <c r="E37" i="47"/>
  <c r="E36" i="47"/>
  <c r="E35" i="47"/>
  <c r="E34" i="47"/>
  <c r="E33" i="47"/>
  <c r="E32" i="47"/>
  <c r="E31" i="47"/>
  <c r="E30" i="47"/>
  <c r="E29" i="47"/>
  <c r="E28" i="47"/>
  <c r="E27" i="47"/>
  <c r="E26" i="47"/>
  <c r="E25" i="47"/>
  <c r="E24" i="47"/>
  <c r="E23" i="47"/>
  <c r="E22" i="47"/>
  <c r="E21" i="47"/>
  <c r="E20" i="47"/>
  <c r="E19" i="47"/>
  <c r="E18" i="47"/>
  <c r="E17" i="47"/>
  <c r="E16" i="47"/>
  <c r="E15" i="47"/>
  <c r="E14" i="47"/>
  <c r="E13" i="47"/>
  <c r="E12" i="47"/>
  <c r="E11" i="47"/>
  <c r="E10" i="47"/>
  <c r="E9" i="47"/>
  <c r="Q28" i="34" l="1"/>
  <c r="E83" i="47"/>
  <c r="E82" i="46"/>
  <c r="E81" i="46"/>
  <c r="E80" i="46"/>
  <c r="E79" i="46"/>
  <c r="E78" i="46"/>
  <c r="E77" i="46"/>
  <c r="E76" i="46"/>
  <c r="E75" i="46"/>
  <c r="E74" i="46"/>
  <c r="E73" i="46"/>
  <c r="E72" i="46"/>
  <c r="E71" i="46"/>
  <c r="E70" i="46"/>
  <c r="E69" i="46"/>
  <c r="E68" i="46"/>
  <c r="E67" i="46"/>
  <c r="E66" i="46"/>
  <c r="E65" i="46"/>
  <c r="E64" i="46"/>
  <c r="E63" i="46"/>
  <c r="E62" i="46"/>
  <c r="E61" i="46"/>
  <c r="E60" i="46"/>
  <c r="E59" i="46"/>
  <c r="E58" i="46"/>
  <c r="E57" i="46"/>
  <c r="E56" i="46"/>
  <c r="E55" i="46"/>
  <c r="E54" i="46"/>
  <c r="E53" i="46"/>
  <c r="E52" i="46"/>
  <c r="E51" i="46"/>
  <c r="E50" i="46"/>
  <c r="E49" i="46"/>
  <c r="E48" i="46"/>
  <c r="E47" i="46"/>
  <c r="E46" i="46"/>
  <c r="E45" i="46"/>
  <c r="E44" i="46"/>
  <c r="E43" i="46"/>
  <c r="E42" i="46"/>
  <c r="E41" i="46"/>
  <c r="E40" i="46"/>
  <c r="E39" i="46"/>
  <c r="E38" i="46"/>
  <c r="E37" i="46"/>
  <c r="E36" i="46"/>
  <c r="E35" i="46"/>
  <c r="E34" i="46"/>
  <c r="E33" i="46"/>
  <c r="E32" i="46"/>
  <c r="E31" i="46"/>
  <c r="E30" i="46"/>
  <c r="E29" i="46"/>
  <c r="E28" i="46"/>
  <c r="E27" i="46"/>
  <c r="E26" i="46"/>
  <c r="E25" i="46"/>
  <c r="E24" i="46"/>
  <c r="E23" i="46"/>
  <c r="E22" i="46"/>
  <c r="E21" i="46"/>
  <c r="E20" i="46"/>
  <c r="E19" i="46"/>
  <c r="E18" i="46"/>
  <c r="E17" i="46"/>
  <c r="E16" i="46"/>
  <c r="E15" i="46"/>
  <c r="E14" i="46"/>
  <c r="E13" i="46"/>
  <c r="E12" i="46"/>
  <c r="E11" i="46"/>
  <c r="E10" i="46"/>
  <c r="E9" i="46"/>
  <c r="G82" i="46" s="1"/>
  <c r="E82" i="45"/>
  <c r="E81" i="45"/>
  <c r="E80" i="45"/>
  <c r="E79" i="45"/>
  <c r="E78" i="45"/>
  <c r="E77" i="45"/>
  <c r="E76" i="45"/>
  <c r="E75" i="45"/>
  <c r="E74" i="45"/>
  <c r="E73" i="45"/>
  <c r="E72" i="45"/>
  <c r="E71" i="45"/>
  <c r="E70" i="45"/>
  <c r="E69" i="45"/>
  <c r="E68" i="45"/>
  <c r="E67" i="45"/>
  <c r="E66" i="45"/>
  <c r="E65" i="45"/>
  <c r="E64" i="45"/>
  <c r="E63" i="45"/>
  <c r="E62" i="45"/>
  <c r="E61" i="45"/>
  <c r="E60" i="45"/>
  <c r="E59" i="45"/>
  <c r="E58" i="45"/>
  <c r="E57" i="45"/>
  <c r="E56" i="45"/>
  <c r="E55" i="45"/>
  <c r="E54" i="45"/>
  <c r="E53" i="45"/>
  <c r="E52" i="45"/>
  <c r="E51" i="45"/>
  <c r="E50" i="45"/>
  <c r="E49" i="45"/>
  <c r="E48" i="45"/>
  <c r="E47" i="45"/>
  <c r="E46" i="45"/>
  <c r="E45" i="45"/>
  <c r="E44" i="45"/>
  <c r="E43" i="45"/>
  <c r="E42" i="45"/>
  <c r="E41" i="45"/>
  <c r="E40" i="45"/>
  <c r="E39" i="45"/>
  <c r="E38" i="45"/>
  <c r="E37" i="45"/>
  <c r="E36" i="45"/>
  <c r="E35" i="45"/>
  <c r="E34" i="45"/>
  <c r="E33" i="45"/>
  <c r="E32" i="45"/>
  <c r="E31" i="45"/>
  <c r="E30" i="45"/>
  <c r="E29" i="45"/>
  <c r="E28" i="45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9" i="45"/>
  <c r="E82" i="44"/>
  <c r="E81" i="44"/>
  <c r="E80" i="44"/>
  <c r="E79" i="44"/>
  <c r="E78" i="44"/>
  <c r="E77" i="44"/>
  <c r="E76" i="44"/>
  <c r="E75" i="44"/>
  <c r="E74" i="44"/>
  <c r="E73" i="44"/>
  <c r="E72" i="44"/>
  <c r="E71" i="44"/>
  <c r="E70" i="44"/>
  <c r="E69" i="44"/>
  <c r="E68" i="44"/>
  <c r="E67" i="44"/>
  <c r="E66" i="44"/>
  <c r="E65" i="44"/>
  <c r="E64" i="44"/>
  <c r="E63" i="44"/>
  <c r="E62" i="44"/>
  <c r="E61" i="44"/>
  <c r="E60" i="44"/>
  <c r="E59" i="44"/>
  <c r="E58" i="44"/>
  <c r="E57" i="44"/>
  <c r="E56" i="44"/>
  <c r="E55" i="44"/>
  <c r="E54" i="44"/>
  <c r="E53" i="44"/>
  <c r="E52" i="44"/>
  <c r="E51" i="44"/>
  <c r="E50" i="44"/>
  <c r="E49" i="44"/>
  <c r="E48" i="44"/>
  <c r="E47" i="44"/>
  <c r="E46" i="44"/>
  <c r="E45" i="44"/>
  <c r="E44" i="44"/>
  <c r="E43" i="44"/>
  <c r="E42" i="44"/>
  <c r="E41" i="44"/>
  <c r="E40" i="44"/>
  <c r="E39" i="44"/>
  <c r="E38" i="44"/>
  <c r="E37" i="44"/>
  <c r="E36" i="44"/>
  <c r="E35" i="44"/>
  <c r="E34" i="44"/>
  <c r="E33" i="44"/>
  <c r="E32" i="44"/>
  <c r="E31" i="44"/>
  <c r="E30" i="44"/>
  <c r="E29" i="44"/>
  <c r="E28" i="44"/>
  <c r="E27" i="44"/>
  <c r="E26" i="44"/>
  <c r="E25" i="44"/>
  <c r="E24" i="44"/>
  <c r="E23" i="44"/>
  <c r="E22" i="44"/>
  <c r="E21" i="44"/>
  <c r="E20" i="44"/>
  <c r="E19" i="44"/>
  <c r="E18" i="44"/>
  <c r="E17" i="44"/>
  <c r="E16" i="44"/>
  <c r="E15" i="44"/>
  <c r="E14" i="44"/>
  <c r="E13" i="44"/>
  <c r="E12" i="44"/>
  <c r="E11" i="44"/>
  <c r="E10" i="44"/>
  <c r="E9" i="44"/>
  <c r="E82" i="43"/>
  <c r="E81" i="43"/>
  <c r="E80" i="43"/>
  <c r="E79" i="43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E9" i="43"/>
  <c r="E82" i="42"/>
  <c r="E81" i="42"/>
  <c r="E80" i="42"/>
  <c r="E79" i="42"/>
  <c r="E78" i="42"/>
  <c r="E77" i="42"/>
  <c r="E76" i="42"/>
  <c r="E75" i="42"/>
  <c r="E74" i="42"/>
  <c r="E73" i="42"/>
  <c r="E72" i="42"/>
  <c r="E71" i="42"/>
  <c r="E70" i="42"/>
  <c r="E69" i="42"/>
  <c r="E68" i="42"/>
  <c r="E67" i="42"/>
  <c r="E66" i="42"/>
  <c r="E65" i="42"/>
  <c r="E64" i="42"/>
  <c r="E63" i="42"/>
  <c r="E62" i="42"/>
  <c r="E61" i="42"/>
  <c r="E60" i="42"/>
  <c r="E59" i="42"/>
  <c r="E58" i="42"/>
  <c r="E57" i="42"/>
  <c r="E56" i="42"/>
  <c r="E55" i="42"/>
  <c r="E54" i="42"/>
  <c r="E53" i="42"/>
  <c r="E52" i="42"/>
  <c r="E51" i="42"/>
  <c r="E50" i="42"/>
  <c r="E49" i="42"/>
  <c r="E48" i="42"/>
  <c r="E47" i="42"/>
  <c r="E46" i="42"/>
  <c r="E45" i="42"/>
  <c r="E44" i="42"/>
  <c r="E43" i="42"/>
  <c r="E42" i="42"/>
  <c r="E41" i="42"/>
  <c r="E40" i="42"/>
  <c r="E39" i="42"/>
  <c r="E38" i="42"/>
  <c r="E37" i="42"/>
  <c r="E36" i="42"/>
  <c r="E35" i="42"/>
  <c r="E34" i="42"/>
  <c r="E33" i="42"/>
  <c r="E32" i="42"/>
  <c r="E31" i="42"/>
  <c r="E30" i="42"/>
  <c r="E29" i="42"/>
  <c r="E28" i="42"/>
  <c r="E27" i="42"/>
  <c r="E26" i="42"/>
  <c r="E25" i="42"/>
  <c r="E24" i="42"/>
  <c r="E23" i="42"/>
  <c r="E22" i="42"/>
  <c r="E21" i="42"/>
  <c r="E20" i="42"/>
  <c r="E19" i="42"/>
  <c r="E18" i="42"/>
  <c r="E17" i="42"/>
  <c r="E16" i="42"/>
  <c r="E15" i="42"/>
  <c r="E14" i="42"/>
  <c r="E13" i="42"/>
  <c r="E12" i="42"/>
  <c r="E11" i="42"/>
  <c r="E10" i="42"/>
  <c r="E9" i="42"/>
  <c r="E82" i="41"/>
  <c r="E81" i="41"/>
  <c r="E80" i="41"/>
  <c r="E79" i="41"/>
  <c r="E78" i="41"/>
  <c r="E77" i="41"/>
  <c r="E76" i="41"/>
  <c r="E75" i="41"/>
  <c r="E74" i="41"/>
  <c r="E73" i="41"/>
  <c r="E72" i="41"/>
  <c r="E71" i="41"/>
  <c r="E70" i="41"/>
  <c r="E69" i="41"/>
  <c r="E68" i="41"/>
  <c r="E67" i="41"/>
  <c r="E66" i="41"/>
  <c r="E65" i="41"/>
  <c r="E64" i="41"/>
  <c r="E63" i="41"/>
  <c r="E62" i="41"/>
  <c r="E61" i="41"/>
  <c r="E60" i="41"/>
  <c r="E59" i="41"/>
  <c r="E58" i="41"/>
  <c r="E57" i="41"/>
  <c r="E56" i="41"/>
  <c r="E55" i="41"/>
  <c r="E54" i="41"/>
  <c r="E53" i="41"/>
  <c r="E52" i="41"/>
  <c r="E51" i="41"/>
  <c r="E50" i="41"/>
  <c r="E49" i="41"/>
  <c r="E48" i="41"/>
  <c r="E47" i="41"/>
  <c r="E46" i="41"/>
  <c r="E45" i="41"/>
  <c r="E44" i="41"/>
  <c r="E43" i="41"/>
  <c r="E42" i="41"/>
  <c r="E41" i="41"/>
  <c r="E40" i="41"/>
  <c r="E39" i="41"/>
  <c r="E38" i="41"/>
  <c r="E37" i="41"/>
  <c r="E36" i="41"/>
  <c r="E4" i="41" s="1"/>
  <c r="E35" i="41"/>
  <c r="E34" i="41"/>
  <c r="E33" i="41"/>
  <c r="E32" i="41"/>
  <c r="E31" i="41"/>
  <c r="E30" i="41"/>
  <c r="E29" i="41"/>
  <c r="E28" i="41"/>
  <c r="E27" i="41"/>
  <c r="E26" i="41"/>
  <c r="E25" i="41"/>
  <c r="E24" i="41"/>
  <c r="E23" i="41"/>
  <c r="E22" i="41"/>
  <c r="E21" i="41"/>
  <c r="E20" i="41"/>
  <c r="E19" i="41"/>
  <c r="E18" i="41"/>
  <c r="E17" i="41"/>
  <c r="E16" i="41"/>
  <c r="E15" i="41"/>
  <c r="E14" i="41"/>
  <c r="E13" i="41"/>
  <c r="E12" i="41"/>
  <c r="E11" i="41"/>
  <c r="E10" i="41"/>
  <c r="E9" i="41"/>
  <c r="E4" i="42" l="1"/>
  <c r="G4" i="42" s="1"/>
  <c r="E4" i="46"/>
  <c r="G4" i="46" s="1"/>
  <c r="G12" i="45"/>
  <c r="G16" i="45"/>
  <c r="G20" i="45"/>
  <c r="G24" i="45"/>
  <c r="G28" i="45"/>
  <c r="G32" i="45"/>
  <c r="G36" i="45"/>
  <c r="G40" i="45"/>
  <c r="G44" i="45"/>
  <c r="G48" i="45"/>
  <c r="G52" i="45"/>
  <c r="G56" i="45"/>
  <c r="G60" i="45"/>
  <c r="G64" i="45"/>
  <c r="G68" i="45"/>
  <c r="G72" i="45"/>
  <c r="G76" i="45"/>
  <c r="G80" i="45"/>
  <c r="G15" i="45"/>
  <c r="G23" i="45"/>
  <c r="G35" i="45"/>
  <c r="G51" i="45"/>
  <c r="G63" i="45"/>
  <c r="G75" i="45"/>
  <c r="G79" i="45"/>
  <c r="G9" i="45"/>
  <c r="G13" i="45"/>
  <c r="G17" i="45"/>
  <c r="G21" i="45"/>
  <c r="G25" i="45"/>
  <c r="G29" i="45"/>
  <c r="G33" i="45"/>
  <c r="G37" i="45"/>
  <c r="G41" i="45"/>
  <c r="G45" i="45"/>
  <c r="G49" i="45"/>
  <c r="G53" i="45"/>
  <c r="G57" i="45"/>
  <c r="G61" i="45"/>
  <c r="G65" i="45"/>
  <c r="G69" i="45"/>
  <c r="G73" i="45"/>
  <c r="G77" i="45"/>
  <c r="G81" i="45"/>
  <c r="G19" i="45"/>
  <c r="G31" i="45"/>
  <c r="G43" i="45"/>
  <c r="G55" i="45"/>
  <c r="G67" i="45"/>
  <c r="G10" i="45"/>
  <c r="G14" i="45"/>
  <c r="G18" i="45"/>
  <c r="G22" i="45"/>
  <c r="G26" i="45"/>
  <c r="G30" i="45"/>
  <c r="G34" i="45"/>
  <c r="G38" i="45"/>
  <c r="G42" i="45"/>
  <c r="G46" i="45"/>
  <c r="G50" i="45"/>
  <c r="G54" i="45"/>
  <c r="G58" i="45"/>
  <c r="G62" i="45"/>
  <c r="G66" i="45"/>
  <c r="G70" i="45"/>
  <c r="G74" i="45"/>
  <c r="G78" i="45"/>
  <c r="G82" i="45"/>
  <c r="G11" i="45"/>
  <c r="G27" i="45"/>
  <c r="G39" i="45"/>
  <c r="G47" i="45"/>
  <c r="G59" i="45"/>
  <c r="G71" i="45"/>
  <c r="G9" i="46"/>
  <c r="G13" i="46"/>
  <c r="G17" i="46"/>
  <c r="G21" i="46"/>
  <c r="G25" i="46"/>
  <c r="G29" i="46"/>
  <c r="G33" i="46"/>
  <c r="G37" i="46"/>
  <c r="G41" i="46"/>
  <c r="G45" i="46"/>
  <c r="G49" i="46"/>
  <c r="G53" i="46"/>
  <c r="G57" i="46"/>
  <c r="G61" i="46"/>
  <c r="G65" i="46"/>
  <c r="G69" i="46"/>
  <c r="G73" i="46"/>
  <c r="G77" i="46"/>
  <c r="G81" i="46"/>
  <c r="G4" i="50"/>
  <c r="E40" i="34" s="1"/>
  <c r="G20" i="46"/>
  <c r="G24" i="46"/>
  <c r="G32" i="46"/>
  <c r="G44" i="46"/>
  <c r="G60" i="46"/>
  <c r="G72" i="46"/>
  <c r="E4" i="45"/>
  <c r="G10" i="46"/>
  <c r="G14" i="46"/>
  <c r="G18" i="46"/>
  <c r="G22" i="46"/>
  <c r="G26" i="46"/>
  <c r="G30" i="46"/>
  <c r="G34" i="46"/>
  <c r="G38" i="46"/>
  <c r="G42" i="46"/>
  <c r="G46" i="46"/>
  <c r="G50" i="46"/>
  <c r="G54" i="46"/>
  <c r="G58" i="46"/>
  <c r="G62" i="46"/>
  <c r="G66" i="46"/>
  <c r="G70" i="46"/>
  <c r="G74" i="46"/>
  <c r="G78" i="46"/>
  <c r="G12" i="46"/>
  <c r="G28" i="46"/>
  <c r="G36" i="46"/>
  <c r="G48" i="46"/>
  <c r="G56" i="46"/>
  <c r="G68" i="46"/>
  <c r="G80" i="46"/>
  <c r="G11" i="46"/>
  <c r="G15" i="46"/>
  <c r="G19" i="46"/>
  <c r="G23" i="46"/>
  <c r="G27" i="46"/>
  <c r="G31" i="46"/>
  <c r="G35" i="46"/>
  <c r="G39" i="46"/>
  <c r="G43" i="46"/>
  <c r="G47" i="46"/>
  <c r="G51" i="46"/>
  <c r="G55" i="46"/>
  <c r="G59" i="46"/>
  <c r="G63" i="46"/>
  <c r="G67" i="46"/>
  <c r="G71" i="46"/>
  <c r="G75" i="46"/>
  <c r="G79" i="46"/>
  <c r="G16" i="46"/>
  <c r="G40" i="46"/>
  <c r="G52" i="46"/>
  <c r="G64" i="46"/>
  <c r="G76" i="46"/>
  <c r="E4" i="44"/>
  <c r="G4" i="44" s="1"/>
  <c r="E4" i="43"/>
  <c r="G4" i="43" s="1"/>
  <c r="G4" i="41"/>
  <c r="G11" i="42"/>
  <c r="G15" i="42"/>
  <c r="G19" i="42"/>
  <c r="G23" i="42"/>
  <c r="G27" i="42"/>
  <c r="G31" i="42"/>
  <c r="G35" i="42"/>
  <c r="G39" i="42"/>
  <c r="G43" i="42"/>
  <c r="G47" i="42"/>
  <c r="G51" i="42"/>
  <c r="G55" i="42"/>
  <c r="G59" i="42"/>
  <c r="G63" i="42"/>
  <c r="G67" i="42"/>
  <c r="G71" i="42"/>
  <c r="G75" i="42"/>
  <c r="G79" i="42"/>
  <c r="G12" i="42"/>
  <c r="G16" i="42"/>
  <c r="G20" i="42"/>
  <c r="G24" i="42"/>
  <c r="G28" i="42"/>
  <c r="G32" i="42"/>
  <c r="G36" i="42"/>
  <c r="G40" i="42"/>
  <c r="G44" i="42"/>
  <c r="G48" i="42"/>
  <c r="G52" i="42"/>
  <c r="G56" i="42"/>
  <c r="G60" i="42"/>
  <c r="G64" i="42"/>
  <c r="G68" i="42"/>
  <c r="G72" i="42"/>
  <c r="G76" i="42"/>
  <c r="G80" i="42"/>
  <c r="G9" i="42"/>
  <c r="G13" i="42"/>
  <c r="G17" i="42"/>
  <c r="G21" i="42"/>
  <c r="G25" i="42"/>
  <c r="G29" i="42"/>
  <c r="G33" i="42"/>
  <c r="G37" i="42"/>
  <c r="G41" i="42"/>
  <c r="G45" i="42"/>
  <c r="G49" i="42"/>
  <c r="G53" i="42"/>
  <c r="G57" i="42"/>
  <c r="G61" i="42"/>
  <c r="G65" i="42"/>
  <c r="G69" i="42"/>
  <c r="G73" i="42"/>
  <c r="G77" i="42"/>
  <c r="G81" i="42"/>
  <c r="G18" i="42"/>
  <c r="G34" i="42"/>
  <c r="G50" i="42"/>
  <c r="G66" i="42"/>
  <c r="G82" i="42"/>
  <c r="G22" i="42"/>
  <c r="G38" i="42"/>
  <c r="G54" i="42"/>
  <c r="G70" i="42"/>
  <c r="G10" i="42"/>
  <c r="G42" i="42"/>
  <c r="G74" i="42"/>
  <c r="G14" i="42"/>
  <c r="G46" i="42"/>
  <c r="G78" i="42"/>
  <c r="G26" i="42"/>
  <c r="G30" i="42"/>
  <c r="G58" i="42"/>
  <c r="G62" i="42"/>
  <c r="G9" i="44"/>
  <c r="G13" i="44"/>
  <c r="G17" i="44"/>
  <c r="G21" i="44"/>
  <c r="G25" i="44"/>
  <c r="G29" i="44"/>
  <c r="G33" i="44"/>
  <c r="G37" i="44"/>
  <c r="G41" i="44"/>
  <c r="G45" i="44"/>
  <c r="G49" i="44"/>
  <c r="G53" i="44"/>
  <c r="G57" i="44"/>
  <c r="G61" i="44"/>
  <c r="G65" i="44"/>
  <c r="G69" i="44"/>
  <c r="G73" i="44"/>
  <c r="G77" i="44"/>
  <c r="G81" i="44"/>
  <c r="G10" i="44"/>
  <c r="G14" i="44"/>
  <c r="G18" i="44"/>
  <c r="G22" i="44"/>
  <c r="G26" i="44"/>
  <c r="G30" i="44"/>
  <c r="G34" i="44"/>
  <c r="G38" i="44"/>
  <c r="G42" i="44"/>
  <c r="G46" i="44"/>
  <c r="G50" i="44"/>
  <c r="G54" i="44"/>
  <c r="G58" i="44"/>
  <c r="G62" i="44"/>
  <c r="G66" i="44"/>
  <c r="G70" i="44"/>
  <c r="G74" i="44"/>
  <c r="G78" i="44"/>
  <c r="G82" i="44"/>
  <c r="G11" i="44"/>
  <c r="G15" i="44"/>
  <c r="G19" i="44"/>
  <c r="G23" i="44"/>
  <c r="G27" i="44"/>
  <c r="G31" i="44"/>
  <c r="G35" i="44"/>
  <c r="G39" i="44"/>
  <c r="G43" i="44"/>
  <c r="G47" i="44"/>
  <c r="G51" i="44"/>
  <c r="G55" i="44"/>
  <c r="G59" i="44"/>
  <c r="G63" i="44"/>
  <c r="G67" i="44"/>
  <c r="G71" i="44"/>
  <c r="G75" i="44"/>
  <c r="G79" i="44"/>
  <c r="G12" i="44"/>
  <c r="G16" i="44"/>
  <c r="G20" i="44"/>
  <c r="G24" i="44"/>
  <c r="G28" i="44"/>
  <c r="G32" i="44"/>
  <c r="G36" i="44"/>
  <c r="G40" i="44"/>
  <c r="G44" i="44"/>
  <c r="G48" i="44"/>
  <c r="G52" i="44"/>
  <c r="G56" i="44"/>
  <c r="G60" i="44"/>
  <c r="G64" i="44"/>
  <c r="G68" i="44"/>
  <c r="G72" i="44"/>
  <c r="G76" i="44"/>
  <c r="G80" i="44"/>
  <c r="G9" i="41"/>
  <c r="G13" i="41"/>
  <c r="G17" i="41"/>
  <c r="G21" i="41"/>
  <c r="G25" i="41"/>
  <c r="G29" i="41"/>
  <c r="G33" i="41"/>
  <c r="G37" i="41"/>
  <c r="G41" i="41"/>
  <c r="G45" i="41"/>
  <c r="G49" i="41"/>
  <c r="G53" i="41"/>
  <c r="G57" i="41"/>
  <c r="G61" i="41"/>
  <c r="G65" i="41"/>
  <c r="G69" i="41"/>
  <c r="G73" i="41"/>
  <c r="G77" i="41"/>
  <c r="G81" i="41"/>
  <c r="G10" i="41"/>
  <c r="G14" i="41"/>
  <c r="G18" i="41"/>
  <c r="G22" i="41"/>
  <c r="G26" i="41"/>
  <c r="G30" i="41"/>
  <c r="G34" i="41"/>
  <c r="G38" i="41"/>
  <c r="G42" i="41"/>
  <c r="G46" i="41"/>
  <c r="G50" i="41"/>
  <c r="G54" i="41"/>
  <c r="G58" i="41"/>
  <c r="G62" i="41"/>
  <c r="G66" i="41"/>
  <c r="G70" i="41"/>
  <c r="G74" i="41"/>
  <c r="G78" i="41"/>
  <c r="G82" i="41"/>
  <c r="G11" i="41"/>
  <c r="G15" i="41"/>
  <c r="G19" i="41"/>
  <c r="G23" i="41"/>
  <c r="G27" i="41"/>
  <c r="G31" i="41"/>
  <c r="G35" i="41"/>
  <c r="G39" i="41"/>
  <c r="G43" i="41"/>
  <c r="G47" i="41"/>
  <c r="G51" i="41"/>
  <c r="G55" i="41"/>
  <c r="G59" i="41"/>
  <c r="G63" i="41"/>
  <c r="G67" i="41"/>
  <c r="G71" i="41"/>
  <c r="G75" i="41"/>
  <c r="G79" i="41"/>
  <c r="G24" i="41"/>
  <c r="G40" i="41"/>
  <c r="G56" i="41"/>
  <c r="G72" i="41"/>
  <c r="G12" i="41"/>
  <c r="G28" i="41"/>
  <c r="G44" i="41"/>
  <c r="G60" i="41"/>
  <c r="G76" i="41"/>
  <c r="G32" i="41"/>
  <c r="G64" i="41"/>
  <c r="G36" i="41"/>
  <c r="G68" i="41"/>
  <c r="G16" i="41"/>
  <c r="G80" i="41"/>
  <c r="G20" i="41"/>
  <c r="G48" i="41"/>
  <c r="G52" i="41"/>
  <c r="G9" i="43"/>
  <c r="G13" i="43"/>
  <c r="G17" i="43"/>
  <c r="G21" i="43"/>
  <c r="G25" i="43"/>
  <c r="G29" i="43"/>
  <c r="G33" i="43"/>
  <c r="G37" i="43"/>
  <c r="G41" i="43"/>
  <c r="G45" i="43"/>
  <c r="G49" i="43"/>
  <c r="G53" i="43"/>
  <c r="G57" i="43"/>
  <c r="G61" i="43"/>
  <c r="G65" i="43"/>
  <c r="G69" i="43"/>
  <c r="G73" i="43"/>
  <c r="G77" i="43"/>
  <c r="G81" i="43"/>
  <c r="G10" i="43"/>
  <c r="G14" i="43"/>
  <c r="G18" i="43"/>
  <c r="G22" i="43"/>
  <c r="G26" i="43"/>
  <c r="G30" i="43"/>
  <c r="G34" i="43"/>
  <c r="G38" i="43"/>
  <c r="G42" i="43"/>
  <c r="G46" i="43"/>
  <c r="G50" i="43"/>
  <c r="G54" i="43"/>
  <c r="G58" i="43"/>
  <c r="G62" i="43"/>
  <c r="G66" i="43"/>
  <c r="G70" i="43"/>
  <c r="G74" i="43"/>
  <c r="G78" i="43"/>
  <c r="G82" i="43"/>
  <c r="G11" i="43"/>
  <c r="G15" i="43"/>
  <c r="G19" i="43"/>
  <c r="G23" i="43"/>
  <c r="G27" i="43"/>
  <c r="G31" i="43"/>
  <c r="G35" i="43"/>
  <c r="G39" i="43"/>
  <c r="G43" i="43"/>
  <c r="G47" i="43"/>
  <c r="G51" i="43"/>
  <c r="G55" i="43"/>
  <c r="G59" i="43"/>
  <c r="G63" i="43"/>
  <c r="G67" i="43"/>
  <c r="G71" i="43"/>
  <c r="G75" i="43"/>
  <c r="G79" i="43"/>
  <c r="G12" i="43"/>
  <c r="G28" i="43"/>
  <c r="G44" i="43"/>
  <c r="G60" i="43"/>
  <c r="G76" i="43"/>
  <c r="G16" i="43"/>
  <c r="G32" i="43"/>
  <c r="G48" i="43"/>
  <c r="G64" i="43"/>
  <c r="G80" i="43"/>
  <c r="G20" i="43"/>
  <c r="G52" i="43"/>
  <c r="G24" i="43"/>
  <c r="G56" i="43"/>
  <c r="G36" i="43"/>
  <c r="G40" i="43"/>
  <c r="G68" i="43"/>
  <c r="G72" i="43"/>
  <c r="G83" i="47"/>
  <c r="E228" i="36"/>
  <c r="E227" i="36"/>
  <c r="E226" i="36"/>
  <c r="E225" i="36"/>
  <c r="E224" i="36"/>
  <c r="E223" i="36"/>
  <c r="E222" i="36"/>
  <c r="E221" i="36"/>
  <c r="E220" i="36"/>
  <c r="E219" i="36"/>
  <c r="E218" i="36"/>
  <c r="E217" i="36"/>
  <c r="E216" i="36"/>
  <c r="E215" i="36"/>
  <c r="E214" i="36"/>
  <c r="E213" i="36"/>
  <c r="E212" i="36"/>
  <c r="E211" i="36"/>
  <c r="E210" i="36"/>
  <c r="E209" i="36"/>
  <c r="E208" i="36"/>
  <c r="E207" i="36"/>
  <c r="E206" i="36"/>
  <c r="E205" i="36"/>
  <c r="E204" i="36"/>
  <c r="E203" i="36"/>
  <c r="E202" i="36"/>
  <c r="E201" i="36"/>
  <c r="E200" i="36"/>
  <c r="E199" i="36"/>
  <c r="E198" i="36"/>
  <c r="E197" i="36"/>
  <c r="E196" i="36"/>
  <c r="E195" i="36"/>
  <c r="E194" i="36"/>
  <c r="E193" i="36"/>
  <c r="E192" i="36"/>
  <c r="E191" i="36"/>
  <c r="E190" i="36"/>
  <c r="E189" i="36"/>
  <c r="E188" i="36"/>
  <c r="E187" i="36"/>
  <c r="E186" i="36"/>
  <c r="E185" i="36"/>
  <c r="E184" i="36"/>
  <c r="E183" i="36"/>
  <c r="E182" i="36"/>
  <c r="E181" i="36"/>
  <c r="E180" i="36"/>
  <c r="E179" i="36"/>
  <c r="E122" i="17"/>
  <c r="E121" i="17"/>
  <c r="E120" i="17"/>
  <c r="E119" i="17"/>
  <c r="E118" i="17"/>
  <c r="E117" i="17"/>
  <c r="E116" i="17"/>
  <c r="E115" i="17"/>
  <c r="E114" i="17"/>
  <c r="E113" i="17"/>
  <c r="E112" i="17"/>
  <c r="E111" i="17"/>
  <c r="E110" i="17"/>
  <c r="E109" i="17"/>
  <c r="E108" i="17"/>
  <c r="E107" i="17"/>
  <c r="E106" i="17"/>
  <c r="E105" i="17"/>
  <c r="E104" i="17"/>
  <c r="E103" i="17"/>
  <c r="E102" i="17"/>
  <c r="E101" i="17"/>
  <c r="E100" i="17"/>
  <c r="E99" i="17"/>
  <c r="E98" i="17"/>
  <c r="E97" i="17"/>
  <c r="E96" i="17"/>
  <c r="E95" i="17"/>
  <c r="E94" i="17"/>
  <c r="E93" i="17"/>
  <c r="E92" i="17"/>
  <c r="E91" i="17"/>
  <c r="E90" i="17"/>
  <c r="E89" i="17"/>
  <c r="E88" i="17"/>
  <c r="E87" i="17"/>
  <c r="E86" i="17"/>
  <c r="E85" i="17"/>
  <c r="E84" i="17"/>
  <c r="E83" i="17"/>
  <c r="E82" i="17"/>
  <c r="E81" i="17"/>
  <c r="E80" i="17"/>
  <c r="E79" i="17"/>
  <c r="E78" i="17"/>
  <c r="E77" i="17"/>
  <c r="E76" i="17"/>
  <c r="E75" i="17"/>
  <c r="E74" i="17"/>
  <c r="E73" i="17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E110" i="18"/>
  <c r="E109" i="18"/>
  <c r="E108" i="18"/>
  <c r="E107" i="18"/>
  <c r="E106" i="18"/>
  <c r="E105" i="18"/>
  <c r="E104" i="18"/>
  <c r="E103" i="18"/>
  <c r="E102" i="18"/>
  <c r="E101" i="18"/>
  <c r="E100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5" i="18"/>
  <c r="E84" i="18"/>
  <c r="E83" i="18"/>
  <c r="E82" i="18"/>
  <c r="E81" i="18"/>
  <c r="E80" i="18"/>
  <c r="E79" i="18"/>
  <c r="E78" i="18"/>
  <c r="E77" i="18"/>
  <c r="E76" i="18"/>
  <c r="E75" i="18"/>
  <c r="E74" i="18"/>
  <c r="E73" i="18"/>
  <c r="Q16" i="34" l="1"/>
  <c r="O34" i="34"/>
  <c r="E34" i="34"/>
  <c r="Q11" i="34"/>
  <c r="O28" i="34"/>
  <c r="Q22" i="34"/>
  <c r="E122" i="19"/>
  <c r="E121" i="19"/>
  <c r="E120" i="19"/>
  <c r="E119" i="19"/>
  <c r="E118" i="19"/>
  <c r="E117" i="19"/>
  <c r="E116" i="19"/>
  <c r="E115" i="19"/>
  <c r="E114" i="19"/>
  <c r="E113" i="19"/>
  <c r="E112" i="19"/>
  <c r="E111" i="19"/>
  <c r="E110" i="19"/>
  <c r="E109" i="19"/>
  <c r="E108" i="19"/>
  <c r="E107" i="19"/>
  <c r="E106" i="19"/>
  <c r="E105" i="19"/>
  <c r="E104" i="19"/>
  <c r="E103" i="19"/>
  <c r="E102" i="19"/>
  <c r="E101" i="19"/>
  <c r="E100" i="19"/>
  <c r="E99" i="19"/>
  <c r="E98" i="19"/>
  <c r="E97" i="19"/>
  <c r="E96" i="19"/>
  <c r="E95" i="19"/>
  <c r="E94" i="19"/>
  <c r="E93" i="19"/>
  <c r="E92" i="19"/>
  <c r="E91" i="19"/>
  <c r="E90" i="19"/>
  <c r="E89" i="19"/>
  <c r="E88" i="19"/>
  <c r="E87" i="19"/>
  <c r="E86" i="19"/>
  <c r="E85" i="19"/>
  <c r="E84" i="19"/>
  <c r="E83" i="19"/>
  <c r="E82" i="19"/>
  <c r="E81" i="19"/>
  <c r="E80" i="19"/>
  <c r="E79" i="19"/>
  <c r="E78" i="19"/>
  <c r="E77" i="19"/>
  <c r="E76" i="19"/>
  <c r="E75" i="19"/>
  <c r="E74" i="19"/>
  <c r="E73" i="19"/>
  <c r="E122" i="20"/>
  <c r="E121" i="20"/>
  <c r="E120" i="20"/>
  <c r="E119" i="20"/>
  <c r="E118" i="20"/>
  <c r="E117" i="20"/>
  <c r="E116" i="20"/>
  <c r="E115" i="20"/>
  <c r="E114" i="20"/>
  <c r="E113" i="20"/>
  <c r="E112" i="20"/>
  <c r="E111" i="20"/>
  <c r="E110" i="20"/>
  <c r="E109" i="20"/>
  <c r="E108" i="20"/>
  <c r="E107" i="20"/>
  <c r="E106" i="20"/>
  <c r="E105" i="20"/>
  <c r="E104" i="20"/>
  <c r="E103" i="20"/>
  <c r="E102" i="20"/>
  <c r="E101" i="20"/>
  <c r="E100" i="20"/>
  <c r="E99" i="20"/>
  <c r="E98" i="20"/>
  <c r="E97" i="20"/>
  <c r="E96" i="20"/>
  <c r="E95" i="20"/>
  <c r="E94" i="20"/>
  <c r="E93" i="20"/>
  <c r="E92" i="20"/>
  <c r="E91" i="20"/>
  <c r="E90" i="20"/>
  <c r="E89" i="20"/>
  <c r="E88" i="20"/>
  <c r="E87" i="20"/>
  <c r="E86" i="20"/>
  <c r="E85" i="20"/>
  <c r="E84" i="20"/>
  <c r="E83" i="20"/>
  <c r="E82" i="20"/>
  <c r="E81" i="20"/>
  <c r="E80" i="20"/>
  <c r="E79" i="20"/>
  <c r="E78" i="20"/>
  <c r="E77" i="20"/>
  <c r="E76" i="20"/>
  <c r="E75" i="20"/>
  <c r="E74" i="20"/>
  <c r="E73" i="20"/>
  <c r="E214" i="28" l="1"/>
  <c r="E213" i="28"/>
  <c r="E212" i="28"/>
  <c r="E211" i="28"/>
  <c r="E210" i="28"/>
  <c r="E209" i="28"/>
  <c r="E208" i="28"/>
  <c r="E207" i="28"/>
  <c r="E206" i="28"/>
  <c r="E205" i="28"/>
  <c r="E204" i="28"/>
  <c r="E203" i="28"/>
  <c r="E202" i="28"/>
  <c r="E201" i="28"/>
  <c r="E200" i="28"/>
  <c r="E199" i="28"/>
  <c r="E198" i="28"/>
  <c r="E197" i="28"/>
  <c r="E196" i="28"/>
  <c r="E195" i="28"/>
  <c r="E194" i="28"/>
  <c r="E193" i="28"/>
  <c r="E192" i="28"/>
  <c r="E191" i="28"/>
  <c r="E190" i="28"/>
  <c r="E189" i="28"/>
  <c r="E188" i="28"/>
  <c r="E187" i="28"/>
  <c r="E186" i="28"/>
  <c r="E185" i="28"/>
  <c r="E184" i="28"/>
  <c r="E183" i="28"/>
  <c r="E182" i="28"/>
  <c r="E181" i="28"/>
  <c r="E180" i="28"/>
  <c r="E179" i="28"/>
  <c r="E178" i="28"/>
  <c r="E177" i="28"/>
  <c r="E176" i="28"/>
  <c r="E175" i="28"/>
  <c r="E174" i="28"/>
  <c r="E173" i="28"/>
  <c r="E172" i="28"/>
  <c r="E171" i="28"/>
  <c r="E170" i="28"/>
  <c r="E169" i="28"/>
  <c r="E168" i="28"/>
  <c r="E167" i="28"/>
  <c r="E166" i="28"/>
  <c r="E165" i="28"/>
  <c r="E257" i="31"/>
  <c r="E256" i="31"/>
  <c r="E255" i="31"/>
  <c r="E254" i="31"/>
  <c r="E253" i="31"/>
  <c r="E252" i="31"/>
  <c r="E251" i="31"/>
  <c r="E250" i="31"/>
  <c r="E249" i="31"/>
  <c r="E248" i="31"/>
  <c r="E247" i="31"/>
  <c r="E246" i="31"/>
  <c r="E245" i="31"/>
  <c r="E244" i="31"/>
  <c r="E243" i="31"/>
  <c r="E242" i="31"/>
  <c r="E241" i="31"/>
  <c r="E240" i="31"/>
  <c r="E239" i="31"/>
  <c r="E238" i="31"/>
  <c r="E237" i="31"/>
  <c r="E236" i="31"/>
  <c r="E235" i="31"/>
  <c r="E234" i="31"/>
  <c r="E233" i="31"/>
  <c r="E232" i="31"/>
  <c r="E231" i="31"/>
  <c r="E230" i="31"/>
  <c r="E229" i="31"/>
  <c r="E228" i="31"/>
  <c r="E227" i="31"/>
  <c r="E226" i="31"/>
  <c r="E225" i="31"/>
  <c r="E224" i="31"/>
  <c r="E223" i="31"/>
  <c r="E222" i="31"/>
  <c r="E221" i="31"/>
  <c r="E220" i="31"/>
  <c r="E219" i="31"/>
  <c r="E218" i="31"/>
  <c r="E217" i="31"/>
  <c r="E216" i="31"/>
  <c r="E215" i="31"/>
  <c r="E214" i="31"/>
  <c r="E213" i="31"/>
  <c r="E212" i="31"/>
  <c r="E211" i="31"/>
  <c r="E210" i="31"/>
  <c r="E209" i="31"/>
  <c r="E208" i="31"/>
  <c r="E207" i="31"/>
  <c r="E206" i="31"/>
  <c r="E205" i="31"/>
  <c r="E204" i="31"/>
  <c r="E203" i="31"/>
  <c r="E202" i="31"/>
  <c r="E201" i="31"/>
  <c r="E200" i="31"/>
  <c r="E199" i="31"/>
  <c r="E198" i="31"/>
  <c r="E197" i="31"/>
  <c r="E196" i="31"/>
  <c r="E195" i="31"/>
  <c r="E194" i="31"/>
  <c r="E193" i="31"/>
  <c r="E192" i="31"/>
  <c r="E191" i="31"/>
  <c r="E190" i="31"/>
  <c r="E189" i="31"/>
  <c r="E188" i="31"/>
  <c r="E187" i="31"/>
  <c r="E186" i="31"/>
  <c r="E185" i="31"/>
  <c r="E184" i="31"/>
  <c r="E183" i="31"/>
  <c r="E182" i="31"/>
  <c r="E181" i="31"/>
  <c r="E180" i="31"/>
  <c r="E179" i="31"/>
  <c r="E178" i="31"/>
  <c r="E177" i="31"/>
  <c r="E176" i="31"/>
  <c r="E175" i="31"/>
  <c r="E174" i="31"/>
  <c r="E173" i="31"/>
  <c r="E172" i="31"/>
  <c r="E171" i="31"/>
  <c r="E170" i="31"/>
  <c r="E169" i="31"/>
  <c r="E168" i="31"/>
  <c r="E167" i="31"/>
  <c r="E166" i="31"/>
  <c r="E165" i="31"/>
  <c r="E164" i="31"/>
  <c r="E163" i="31"/>
  <c r="E162" i="31"/>
  <c r="E161" i="31"/>
  <c r="E160" i="31"/>
  <c r="E159" i="31"/>
  <c r="E158" i="31"/>
  <c r="E163" i="35"/>
  <c r="E162" i="35"/>
  <c r="E161" i="35"/>
  <c r="E160" i="35"/>
  <c r="E159" i="35"/>
  <c r="E158" i="35"/>
  <c r="E157" i="35"/>
  <c r="E156" i="35"/>
  <c r="E155" i="35"/>
  <c r="E154" i="35"/>
  <c r="E153" i="35"/>
  <c r="E152" i="35"/>
  <c r="E151" i="35"/>
  <c r="E150" i="35"/>
  <c r="E149" i="35"/>
  <c r="E148" i="35"/>
  <c r="E147" i="35"/>
  <c r="E146" i="35"/>
  <c r="E145" i="35"/>
  <c r="E144" i="35"/>
  <c r="E143" i="35"/>
  <c r="E142" i="35"/>
  <c r="E141" i="35"/>
  <c r="E140" i="35"/>
  <c r="E139" i="35"/>
  <c r="E138" i="35"/>
  <c r="E137" i="35"/>
  <c r="E136" i="35"/>
  <c r="E135" i="35"/>
  <c r="E134" i="35"/>
  <c r="E133" i="35"/>
  <c r="E132" i="35"/>
  <c r="E131" i="35"/>
  <c r="E130" i="35"/>
  <c r="E129" i="35"/>
  <c r="E128" i="35"/>
  <c r="E127" i="35"/>
  <c r="E126" i="35"/>
  <c r="E125" i="35"/>
  <c r="E124" i="35"/>
  <c r="E123" i="35"/>
  <c r="E122" i="35"/>
  <c r="E121" i="35"/>
  <c r="E120" i="35"/>
  <c r="E119" i="35"/>
  <c r="E118" i="35"/>
  <c r="E117" i="35"/>
  <c r="E116" i="35"/>
  <c r="E115" i="35"/>
  <c r="E114" i="35"/>
  <c r="E113" i="35"/>
  <c r="E112" i="35"/>
  <c r="E111" i="35"/>
  <c r="E110" i="35"/>
  <c r="E109" i="35"/>
  <c r="E108" i="35"/>
  <c r="E107" i="35"/>
  <c r="E106" i="35"/>
  <c r="E105" i="35"/>
  <c r="E104" i="35"/>
  <c r="E103" i="35"/>
  <c r="E102" i="35"/>
  <c r="E101" i="35"/>
  <c r="E100" i="35"/>
  <c r="E99" i="35"/>
  <c r="E98" i="35"/>
  <c r="E97" i="35"/>
  <c r="E96" i="35"/>
  <c r="E95" i="35"/>
  <c r="E94" i="35"/>
  <c r="E93" i="35"/>
  <c r="E92" i="35"/>
  <c r="E91" i="35"/>
  <c r="E90" i="35"/>
  <c r="E89" i="35"/>
  <c r="E88" i="35"/>
  <c r="E87" i="35"/>
  <c r="E86" i="35"/>
  <c r="E85" i="35"/>
  <c r="E84" i="35"/>
  <c r="E83" i="35"/>
  <c r="E82" i="35"/>
  <c r="E81" i="35"/>
  <c r="E80" i="35"/>
  <c r="E79" i="35"/>
  <c r="E78" i="35"/>
  <c r="E77" i="35"/>
  <c r="E76" i="35"/>
  <c r="E75" i="35"/>
  <c r="E74" i="35"/>
  <c r="E73" i="35"/>
  <c r="E72" i="35"/>
  <c r="E71" i="35"/>
  <c r="E70" i="35"/>
  <c r="E69" i="35"/>
  <c r="E68" i="35"/>
  <c r="E67" i="35"/>
  <c r="E66" i="35"/>
  <c r="E65" i="35"/>
  <c r="E64" i="35"/>
  <c r="E477" i="32"/>
  <c r="E476" i="32"/>
  <c r="E475" i="32"/>
  <c r="E474" i="32"/>
  <c r="E473" i="32"/>
  <c r="E472" i="32"/>
  <c r="E471" i="32"/>
  <c r="E470" i="32"/>
  <c r="E469" i="32"/>
  <c r="E468" i="32"/>
  <c r="E467" i="32"/>
  <c r="E466" i="32"/>
  <c r="E465" i="32"/>
  <c r="E464" i="32"/>
  <c r="E463" i="32"/>
  <c r="E462" i="32"/>
  <c r="E461" i="32"/>
  <c r="E460" i="32"/>
  <c r="E459" i="32"/>
  <c r="E458" i="32"/>
  <c r="E457" i="32"/>
  <c r="E456" i="32"/>
  <c r="E455" i="32"/>
  <c r="E454" i="32"/>
  <c r="E453" i="32"/>
  <c r="E452" i="32"/>
  <c r="E451" i="32"/>
  <c r="E450" i="32"/>
  <c r="E449" i="32"/>
  <c r="E448" i="32"/>
  <c r="E447" i="32"/>
  <c r="E446" i="32"/>
  <c r="E445" i="32"/>
  <c r="E444" i="32"/>
  <c r="E443" i="32"/>
  <c r="E442" i="32"/>
  <c r="E441" i="32"/>
  <c r="E440" i="32"/>
  <c r="E439" i="32"/>
  <c r="E438" i="32"/>
  <c r="E437" i="32"/>
  <c r="E436" i="32"/>
  <c r="E435" i="32"/>
  <c r="E434" i="32"/>
  <c r="E433" i="32"/>
  <c r="E432" i="32"/>
  <c r="E431" i="32"/>
  <c r="E430" i="32"/>
  <c r="E429" i="32"/>
  <c r="E428" i="32"/>
  <c r="E427" i="32"/>
  <c r="E426" i="32"/>
  <c r="E425" i="32"/>
  <c r="E424" i="32"/>
  <c r="E423" i="32"/>
  <c r="E422" i="32"/>
  <c r="E421" i="32"/>
  <c r="E420" i="32"/>
  <c r="E419" i="32"/>
  <c r="E418" i="32"/>
  <c r="E417" i="32"/>
  <c r="E416" i="32"/>
  <c r="E415" i="32"/>
  <c r="E414" i="32"/>
  <c r="E413" i="32"/>
  <c r="E412" i="32"/>
  <c r="E411" i="32"/>
  <c r="E410" i="32"/>
  <c r="E409" i="32"/>
  <c r="E408" i="32"/>
  <c r="E407" i="32"/>
  <c r="E406" i="32"/>
  <c r="E405" i="32"/>
  <c r="E404" i="32"/>
  <c r="E403" i="32"/>
  <c r="E402" i="32"/>
  <c r="E401" i="32"/>
  <c r="E400" i="32"/>
  <c r="E399" i="32"/>
  <c r="E398" i="32"/>
  <c r="E397" i="32"/>
  <c r="E396" i="32"/>
  <c r="E395" i="32"/>
  <c r="E394" i="32"/>
  <c r="E393" i="32"/>
  <c r="E392" i="32"/>
  <c r="E391" i="32"/>
  <c r="E390" i="32"/>
  <c r="E389" i="32"/>
  <c r="E388" i="32"/>
  <c r="E387" i="32"/>
  <c r="E386" i="32"/>
  <c r="E385" i="32"/>
  <c r="E384" i="32"/>
  <c r="E383" i="32"/>
  <c r="E381" i="32"/>
  <c r="E380" i="32"/>
  <c r="E379" i="32"/>
  <c r="E378" i="32"/>
  <c r="M1" i="33" l="1"/>
  <c r="I1" i="28"/>
  <c r="F151" i="33" l="1"/>
  <c r="F150" i="33"/>
  <c r="F149" i="33"/>
  <c r="F148" i="33"/>
  <c r="F147" i="33"/>
  <c r="F146" i="33"/>
  <c r="F145" i="33"/>
  <c r="F144" i="33"/>
  <c r="F143" i="33"/>
  <c r="F142" i="33"/>
  <c r="F141" i="33"/>
  <c r="F140" i="33"/>
  <c r="F139" i="33"/>
  <c r="F138" i="33"/>
  <c r="F137" i="33"/>
  <c r="F136" i="33"/>
  <c r="F135" i="33"/>
  <c r="F134" i="33"/>
  <c r="F133" i="33"/>
  <c r="F132" i="33"/>
  <c r="F131" i="33"/>
  <c r="F130" i="33"/>
  <c r="F129" i="33"/>
  <c r="F128" i="33"/>
  <c r="F127" i="33"/>
  <c r="F126" i="33"/>
  <c r="F125" i="33"/>
  <c r="F124" i="33"/>
  <c r="F123" i="33"/>
  <c r="F122" i="33"/>
  <c r="F121" i="33"/>
  <c r="F120" i="33"/>
  <c r="F119" i="33"/>
  <c r="F118" i="33"/>
  <c r="F117" i="33"/>
  <c r="F116" i="33"/>
  <c r="F115" i="33"/>
  <c r="F114" i="33"/>
  <c r="F113" i="33"/>
  <c r="F112" i="33"/>
  <c r="F111" i="33"/>
  <c r="F110" i="33"/>
  <c r="F109" i="33"/>
  <c r="F108" i="33"/>
  <c r="F107" i="33"/>
  <c r="F106" i="33"/>
  <c r="F105" i="33"/>
  <c r="F104" i="33"/>
  <c r="F102" i="33"/>
  <c r="F101" i="33"/>
  <c r="E109" i="39"/>
  <c r="E108" i="39"/>
  <c r="E107" i="39"/>
  <c r="E106" i="39"/>
  <c r="E105" i="39"/>
  <c r="E104" i="39"/>
  <c r="E103" i="39"/>
  <c r="E102" i="39"/>
  <c r="E101" i="39"/>
  <c r="E100" i="39"/>
  <c r="E99" i="39"/>
  <c r="E98" i="39"/>
  <c r="E97" i="39"/>
  <c r="E96" i="39"/>
  <c r="E95" i="39"/>
  <c r="E94" i="39"/>
  <c r="E93" i="39"/>
  <c r="E92" i="39"/>
  <c r="E91" i="39"/>
  <c r="E90" i="39"/>
  <c r="E89" i="39"/>
  <c r="E88" i="39"/>
  <c r="E87" i="39"/>
  <c r="E86" i="39"/>
  <c r="E85" i="39"/>
  <c r="E84" i="39"/>
  <c r="E83" i="39"/>
  <c r="E82" i="39"/>
  <c r="E81" i="39"/>
  <c r="E80" i="39"/>
  <c r="E79" i="39"/>
  <c r="E78" i="39"/>
  <c r="E77" i="39"/>
  <c r="E76" i="39"/>
  <c r="E75" i="39"/>
  <c r="E74" i="39"/>
  <c r="E73" i="39"/>
  <c r="E72" i="39"/>
  <c r="E71" i="39"/>
  <c r="E70" i="39"/>
  <c r="E69" i="39"/>
  <c r="E68" i="39"/>
  <c r="E67" i="39"/>
  <c r="E66" i="39"/>
  <c r="E65" i="39"/>
  <c r="E64" i="39"/>
  <c r="E63" i="39"/>
  <c r="E62" i="39"/>
  <c r="E61" i="39"/>
  <c r="E60" i="39"/>
  <c r="E59" i="39"/>
  <c r="E58" i="39"/>
  <c r="E57" i="39"/>
  <c r="E56" i="39"/>
  <c r="E55" i="39"/>
  <c r="E54" i="39"/>
  <c r="E53" i="39"/>
  <c r="E52" i="39"/>
  <c r="E51" i="39"/>
  <c r="E50" i="39"/>
  <c r="E49" i="39"/>
  <c r="E48" i="39"/>
  <c r="E47" i="39"/>
  <c r="E46" i="39"/>
  <c r="E45" i="39"/>
  <c r="E44" i="39"/>
  <c r="E43" i="39"/>
  <c r="E42" i="39"/>
  <c r="E41" i="39"/>
  <c r="E40" i="39"/>
  <c r="E39" i="39"/>
  <c r="E38" i="39"/>
  <c r="E37" i="39"/>
  <c r="E36" i="39"/>
  <c r="E35" i="39"/>
  <c r="E34" i="39"/>
  <c r="E33" i="39"/>
  <c r="E32" i="39"/>
  <c r="E31" i="39"/>
  <c r="E30" i="39"/>
  <c r="E29" i="39"/>
  <c r="E28" i="39"/>
  <c r="E27" i="39"/>
  <c r="E26" i="39"/>
  <c r="E25" i="39"/>
  <c r="E24" i="39"/>
  <c r="E23" i="39"/>
  <c r="E22" i="39"/>
  <c r="E21" i="39"/>
  <c r="E20" i="39"/>
  <c r="E19" i="39"/>
  <c r="E18" i="39"/>
  <c r="E17" i="39"/>
  <c r="E16" i="39"/>
  <c r="E15" i="39"/>
  <c r="E14" i="39"/>
  <c r="E13" i="39"/>
  <c r="E12" i="39"/>
  <c r="E11" i="39"/>
  <c r="E10" i="39"/>
  <c r="E9" i="39"/>
  <c r="E9" i="37"/>
  <c r="F99" i="33"/>
  <c r="F100" i="33"/>
  <c r="F61" i="33"/>
  <c r="F62" i="33"/>
  <c r="F63" i="33"/>
  <c r="F64" i="33"/>
  <c r="F65" i="33"/>
  <c r="F66" i="33"/>
  <c r="F67" i="33"/>
  <c r="F68" i="33"/>
  <c r="F69" i="33"/>
  <c r="F70" i="33"/>
  <c r="F71" i="33"/>
  <c r="F72" i="33"/>
  <c r="F73" i="33"/>
  <c r="F74" i="33"/>
  <c r="F75" i="33"/>
  <c r="F76" i="33"/>
  <c r="F77" i="33"/>
  <c r="F78" i="33"/>
  <c r="F79" i="33"/>
  <c r="F45" i="33"/>
  <c r="F46" i="33"/>
  <c r="F80" i="33"/>
  <c r="F81" i="33"/>
  <c r="F82" i="33"/>
  <c r="F83" i="33"/>
  <c r="F103" i="33"/>
  <c r="F84" i="33"/>
  <c r="F85" i="33"/>
  <c r="F86" i="33"/>
  <c r="F87" i="33"/>
  <c r="F88" i="33"/>
  <c r="F89" i="33"/>
  <c r="F90" i="33"/>
  <c r="F91" i="33"/>
  <c r="F92" i="33"/>
  <c r="F93" i="33"/>
  <c r="F94" i="33"/>
  <c r="F95" i="33"/>
  <c r="F96" i="33"/>
  <c r="F97" i="33"/>
  <c r="F98" i="33"/>
  <c r="F60" i="33"/>
  <c r="F59" i="33"/>
  <c r="F58" i="33"/>
  <c r="F57" i="33"/>
  <c r="F56" i="33"/>
  <c r="F55" i="33"/>
  <c r="F54" i="33"/>
  <c r="F53" i="33"/>
  <c r="F52" i="33"/>
  <c r="F51" i="33"/>
  <c r="F50" i="33"/>
  <c r="F49" i="33"/>
  <c r="F48" i="33"/>
  <c r="F47" i="33"/>
  <c r="F44" i="33"/>
  <c r="F43" i="33"/>
  <c r="F42" i="33"/>
  <c r="F41" i="33"/>
  <c r="F40" i="33"/>
  <c r="F39" i="33"/>
  <c r="F38" i="33"/>
  <c r="F37" i="33"/>
  <c r="F36" i="33"/>
  <c r="F35" i="33"/>
  <c r="F34" i="33"/>
  <c r="F33" i="33"/>
  <c r="F32" i="33"/>
  <c r="F31" i="33"/>
  <c r="F30" i="33"/>
  <c r="F29" i="33"/>
  <c r="F28" i="33"/>
  <c r="F27" i="33"/>
  <c r="F26" i="33"/>
  <c r="F25" i="33"/>
  <c r="F24" i="33"/>
  <c r="F23" i="33"/>
  <c r="F22" i="33"/>
  <c r="F21" i="33"/>
  <c r="F20" i="33"/>
  <c r="F19" i="33"/>
  <c r="F18" i="33"/>
  <c r="F17" i="33"/>
  <c r="F16" i="33"/>
  <c r="F15" i="33"/>
  <c r="F14" i="33"/>
  <c r="F13" i="33"/>
  <c r="F12" i="33"/>
  <c r="F11" i="33"/>
  <c r="F10" i="33"/>
  <c r="F9" i="33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43" i="32"/>
  <c r="E44" i="32"/>
  <c r="E45" i="32"/>
  <c r="E46" i="32"/>
  <c r="E47" i="32"/>
  <c r="E48" i="32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E68" i="32"/>
  <c r="E69" i="32"/>
  <c r="E70" i="32"/>
  <c r="E71" i="32"/>
  <c r="E72" i="32"/>
  <c r="E73" i="32"/>
  <c r="E74" i="32"/>
  <c r="E75" i="32"/>
  <c r="E76" i="32"/>
  <c r="E77" i="32"/>
  <c r="E78" i="32"/>
  <c r="E79" i="32"/>
  <c r="E80" i="32"/>
  <c r="E81" i="32"/>
  <c r="E82" i="32"/>
  <c r="E83" i="32"/>
  <c r="E84" i="32"/>
  <c r="E85" i="32"/>
  <c r="E86" i="32"/>
  <c r="E87" i="32"/>
  <c r="E88" i="32"/>
  <c r="E89" i="32"/>
  <c r="E90" i="32"/>
  <c r="E91" i="32"/>
  <c r="E92" i="32"/>
  <c r="E93" i="32"/>
  <c r="E94" i="32"/>
  <c r="E95" i="32"/>
  <c r="E96" i="32"/>
  <c r="E97" i="32"/>
  <c r="E98" i="32"/>
  <c r="E99" i="32"/>
  <c r="E100" i="32"/>
  <c r="E101" i="32"/>
  <c r="E102" i="32"/>
  <c r="E103" i="32"/>
  <c r="E104" i="32"/>
  <c r="E105" i="32"/>
  <c r="E106" i="32"/>
  <c r="E107" i="32"/>
  <c r="E108" i="32"/>
  <c r="E109" i="32"/>
  <c r="E110" i="32"/>
  <c r="E111" i="32"/>
  <c r="E112" i="32"/>
  <c r="E113" i="32"/>
  <c r="E114" i="32"/>
  <c r="E115" i="32"/>
  <c r="E116" i="32"/>
  <c r="E117" i="32"/>
  <c r="E118" i="32"/>
  <c r="E119" i="32"/>
  <c r="E120" i="32"/>
  <c r="E121" i="32"/>
  <c r="E122" i="32"/>
  <c r="E123" i="32"/>
  <c r="E124" i="32"/>
  <c r="E125" i="32"/>
  <c r="E126" i="32"/>
  <c r="E127" i="32"/>
  <c r="E128" i="32"/>
  <c r="E129" i="32"/>
  <c r="E130" i="32"/>
  <c r="E131" i="32"/>
  <c r="E132" i="32"/>
  <c r="E133" i="32"/>
  <c r="E134" i="32"/>
  <c r="E135" i="32"/>
  <c r="E136" i="32"/>
  <c r="E137" i="32"/>
  <c r="E138" i="32"/>
  <c r="E139" i="32"/>
  <c r="E140" i="32"/>
  <c r="E141" i="32"/>
  <c r="E142" i="32"/>
  <c r="E143" i="32"/>
  <c r="E144" i="32"/>
  <c r="E145" i="32"/>
  <c r="E146" i="32"/>
  <c r="E147" i="32"/>
  <c r="E148" i="32"/>
  <c r="E149" i="32"/>
  <c r="E150" i="32"/>
  <c r="E151" i="32"/>
  <c r="E152" i="32"/>
  <c r="E153" i="32"/>
  <c r="E154" i="32"/>
  <c r="E155" i="32"/>
  <c r="E156" i="32"/>
  <c r="E157" i="32"/>
  <c r="E158" i="32"/>
  <c r="E159" i="32"/>
  <c r="E160" i="32"/>
  <c r="E161" i="32"/>
  <c r="E162" i="32"/>
  <c r="E163" i="32"/>
  <c r="E164" i="32"/>
  <c r="E165" i="32"/>
  <c r="E166" i="32"/>
  <c r="E167" i="32"/>
  <c r="E168" i="32"/>
  <c r="E169" i="32"/>
  <c r="E170" i="32"/>
  <c r="E171" i="32"/>
  <c r="E172" i="32"/>
  <c r="E173" i="32"/>
  <c r="E174" i="32"/>
  <c r="E175" i="32"/>
  <c r="E176" i="32"/>
  <c r="E177" i="32"/>
  <c r="E178" i="32"/>
  <c r="E179" i="32"/>
  <c r="E180" i="32"/>
  <c r="E181" i="32"/>
  <c r="E182" i="32"/>
  <c r="E183" i="32"/>
  <c r="E184" i="32"/>
  <c r="E185" i="32"/>
  <c r="E186" i="32"/>
  <c r="E187" i="32"/>
  <c r="E188" i="32"/>
  <c r="E189" i="32"/>
  <c r="E190" i="32"/>
  <c r="E191" i="32"/>
  <c r="E192" i="32"/>
  <c r="E193" i="32"/>
  <c r="E194" i="32"/>
  <c r="E195" i="32"/>
  <c r="E196" i="32"/>
  <c r="E197" i="32"/>
  <c r="E198" i="32"/>
  <c r="E199" i="32"/>
  <c r="E200" i="32"/>
  <c r="E201" i="32"/>
  <c r="E202" i="32"/>
  <c r="E203" i="32"/>
  <c r="E204" i="32"/>
  <c r="E205" i="32"/>
  <c r="E206" i="32"/>
  <c r="E207" i="32"/>
  <c r="E208" i="32"/>
  <c r="E209" i="32"/>
  <c r="E210" i="32"/>
  <c r="E211" i="32"/>
  <c r="E212" i="32"/>
  <c r="E213" i="32"/>
  <c r="E214" i="32"/>
  <c r="E215" i="32"/>
  <c r="E216" i="32"/>
  <c r="E217" i="32"/>
  <c r="E218" i="32"/>
  <c r="E219" i="32"/>
  <c r="E220" i="32"/>
  <c r="E221" i="32"/>
  <c r="E222" i="32"/>
  <c r="E223" i="32"/>
  <c r="E224" i="32"/>
  <c r="E225" i="32"/>
  <c r="E226" i="32"/>
  <c r="E227" i="32"/>
  <c r="E228" i="32"/>
  <c r="E229" i="32"/>
  <c r="E230" i="32"/>
  <c r="E231" i="32"/>
  <c r="E232" i="32"/>
  <c r="E233" i="32"/>
  <c r="E234" i="32"/>
  <c r="E235" i="32"/>
  <c r="E236" i="32"/>
  <c r="E237" i="32"/>
  <c r="E238" i="32"/>
  <c r="E239" i="32"/>
  <c r="E240" i="32"/>
  <c r="E241" i="32"/>
  <c r="E242" i="32"/>
  <c r="E243" i="32"/>
  <c r="E244" i="32"/>
  <c r="E245" i="32"/>
  <c r="E246" i="32"/>
  <c r="E247" i="32"/>
  <c r="E248" i="32"/>
  <c r="E249" i="32"/>
  <c r="E250" i="32"/>
  <c r="E251" i="32"/>
  <c r="E252" i="32"/>
  <c r="E253" i="32"/>
  <c r="E254" i="32"/>
  <c r="E255" i="32"/>
  <c r="E256" i="32"/>
  <c r="E257" i="32"/>
  <c r="E258" i="32"/>
  <c r="E259" i="32"/>
  <c r="E260" i="32"/>
  <c r="E261" i="32"/>
  <c r="E262" i="32"/>
  <c r="E263" i="32"/>
  <c r="E264" i="32"/>
  <c r="E265" i="32"/>
  <c r="E266" i="32"/>
  <c r="E267" i="32"/>
  <c r="E268" i="32"/>
  <c r="E269" i="32"/>
  <c r="E270" i="32"/>
  <c r="E271" i="32"/>
  <c r="E272" i="32"/>
  <c r="E273" i="32"/>
  <c r="E274" i="32"/>
  <c r="E275" i="32"/>
  <c r="E276" i="32"/>
  <c r="E277" i="32"/>
  <c r="E278" i="32"/>
  <c r="E279" i="32"/>
  <c r="E280" i="32"/>
  <c r="E281" i="32"/>
  <c r="E282" i="32"/>
  <c r="E283" i="32"/>
  <c r="E284" i="32"/>
  <c r="E285" i="32"/>
  <c r="E286" i="32"/>
  <c r="E287" i="32"/>
  <c r="E288" i="32"/>
  <c r="E289" i="32"/>
  <c r="E290" i="32"/>
  <c r="E291" i="32"/>
  <c r="E292" i="32"/>
  <c r="E293" i="32"/>
  <c r="E294" i="32"/>
  <c r="E295" i="32"/>
  <c r="E296" i="32"/>
  <c r="E297" i="32"/>
  <c r="E298" i="32"/>
  <c r="E299" i="32"/>
  <c r="E300" i="32"/>
  <c r="E301" i="32"/>
  <c r="E302" i="32"/>
  <c r="E303" i="32"/>
  <c r="E304" i="32"/>
  <c r="E305" i="32"/>
  <c r="E306" i="32"/>
  <c r="E307" i="32"/>
  <c r="E308" i="32"/>
  <c r="E309" i="32"/>
  <c r="E310" i="32"/>
  <c r="E311" i="32"/>
  <c r="E312" i="32"/>
  <c r="E313" i="32"/>
  <c r="E314" i="32"/>
  <c r="E315" i="32"/>
  <c r="E316" i="32"/>
  <c r="E317" i="32"/>
  <c r="E318" i="32"/>
  <c r="E319" i="32"/>
  <c r="E320" i="32"/>
  <c r="E321" i="32"/>
  <c r="E322" i="32"/>
  <c r="E323" i="32"/>
  <c r="E324" i="32"/>
  <c r="E325" i="32"/>
  <c r="E326" i="32"/>
  <c r="E327" i="32"/>
  <c r="E328" i="32"/>
  <c r="E329" i="32"/>
  <c r="E330" i="32"/>
  <c r="E331" i="32"/>
  <c r="E332" i="32"/>
  <c r="E333" i="32"/>
  <c r="E334" i="32"/>
  <c r="E335" i="32"/>
  <c r="E336" i="32"/>
  <c r="E337" i="32"/>
  <c r="E338" i="32"/>
  <c r="E339" i="32"/>
  <c r="E340" i="32"/>
  <c r="E341" i="32"/>
  <c r="E342" i="32"/>
  <c r="E343" i="32"/>
  <c r="E344" i="32"/>
  <c r="E345" i="32"/>
  <c r="E346" i="32"/>
  <c r="E347" i="32"/>
  <c r="E348" i="32"/>
  <c r="E349" i="32"/>
  <c r="E350" i="32"/>
  <c r="E351" i="32"/>
  <c r="E352" i="32"/>
  <c r="E353" i="32"/>
  <c r="E354" i="32"/>
  <c r="E355" i="32"/>
  <c r="E356" i="32"/>
  <c r="E357" i="32"/>
  <c r="E358" i="32"/>
  <c r="E359" i="32"/>
  <c r="E360" i="32"/>
  <c r="E361" i="32"/>
  <c r="E362" i="32"/>
  <c r="E363" i="32"/>
  <c r="E364" i="32"/>
  <c r="E365" i="32"/>
  <c r="E366" i="32"/>
  <c r="E367" i="32"/>
  <c r="E368" i="32"/>
  <c r="E369" i="32"/>
  <c r="E370" i="32"/>
  <c r="E371" i="32"/>
  <c r="E372" i="32"/>
  <c r="E373" i="32"/>
  <c r="E374" i="32"/>
  <c r="E375" i="32"/>
  <c r="E376" i="32"/>
  <c r="E377" i="32"/>
  <c r="E235" i="27"/>
  <c r="E234" i="27"/>
  <c r="E233" i="27"/>
  <c r="E232" i="27"/>
  <c r="E231" i="27"/>
  <c r="E230" i="27"/>
  <c r="E229" i="27"/>
  <c r="E228" i="27"/>
  <c r="E227" i="27"/>
  <c r="E226" i="27"/>
  <c r="E225" i="27"/>
  <c r="E224" i="27"/>
  <c r="E223" i="27"/>
  <c r="E222" i="27"/>
  <c r="E221" i="27"/>
  <c r="E220" i="27"/>
  <c r="E219" i="27"/>
  <c r="E218" i="27"/>
  <c r="E217" i="27"/>
  <c r="E216" i="27"/>
  <c r="E215" i="27"/>
  <c r="E214" i="27"/>
  <c r="E213" i="27"/>
  <c r="E212" i="27"/>
  <c r="E211" i="27"/>
  <c r="E210" i="27"/>
  <c r="E209" i="27"/>
  <c r="E208" i="27"/>
  <c r="E207" i="27"/>
  <c r="E206" i="27"/>
  <c r="E205" i="27"/>
  <c r="E204" i="27"/>
  <c r="E203" i="27"/>
  <c r="E202" i="27"/>
  <c r="E201" i="27"/>
  <c r="E200" i="27"/>
  <c r="E199" i="27"/>
  <c r="E198" i="27"/>
  <c r="E197" i="27"/>
  <c r="E196" i="27"/>
  <c r="E4" i="27" s="1"/>
  <c r="G4" i="27" s="1"/>
  <c r="E195" i="27"/>
  <c r="E194" i="27"/>
  <c r="E193" i="27"/>
  <c r="E192" i="27"/>
  <c r="E191" i="27"/>
  <c r="E190" i="27"/>
  <c r="E189" i="27"/>
  <c r="E188" i="27"/>
  <c r="E187" i="27"/>
  <c r="E186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/>
  <c r="E169" i="27"/>
  <c r="E170" i="27"/>
  <c r="E171" i="27"/>
  <c r="E172" i="27"/>
  <c r="E173" i="27"/>
  <c r="E174" i="27"/>
  <c r="E175" i="27"/>
  <c r="E176" i="27"/>
  <c r="E177" i="27"/>
  <c r="E178" i="27"/>
  <c r="E179" i="27"/>
  <c r="E180" i="27"/>
  <c r="E181" i="27"/>
  <c r="E182" i="27"/>
  <c r="E183" i="27"/>
  <c r="E184" i="27"/>
  <c r="E185" i="27"/>
  <c r="E4" i="37" l="1"/>
  <c r="G4" i="37" s="1"/>
  <c r="G10" i="37"/>
  <c r="G14" i="37"/>
  <c r="G18" i="37"/>
  <c r="G22" i="37"/>
  <c r="G26" i="37"/>
  <c r="G30" i="37"/>
  <c r="G34" i="37"/>
  <c r="G38" i="37"/>
  <c r="G42" i="37"/>
  <c r="G46" i="37"/>
  <c r="G50" i="37"/>
  <c r="G54" i="37"/>
  <c r="G58" i="37"/>
  <c r="G62" i="37"/>
  <c r="G66" i="37"/>
  <c r="G70" i="37"/>
  <c r="G74" i="37"/>
  <c r="G78" i="37"/>
  <c r="G82" i="37"/>
  <c r="G86" i="37"/>
  <c r="G90" i="37"/>
  <c r="G94" i="37"/>
  <c r="G98" i="37"/>
  <c r="G102" i="37"/>
  <c r="G106" i="37"/>
  <c r="G110" i="37"/>
  <c r="G114" i="37"/>
  <c r="G118" i="37"/>
  <c r="G122" i="37"/>
  <c r="G126" i="37"/>
  <c r="G130" i="37"/>
  <c r="G134" i="37"/>
  <c r="G138" i="37"/>
  <c r="G142" i="37"/>
  <c r="G146" i="37"/>
  <c r="G150" i="37"/>
  <c r="G154" i="37"/>
  <c r="G158" i="37"/>
  <c r="G162" i="37"/>
  <c r="G166" i="37"/>
  <c r="G170" i="37"/>
  <c r="G174" i="37"/>
  <c r="G178" i="37"/>
  <c r="G182" i="37"/>
  <c r="G186" i="37"/>
  <c r="G190" i="37"/>
  <c r="G194" i="37"/>
  <c r="G198" i="37"/>
  <c r="G202" i="37"/>
  <c r="G206" i="37"/>
  <c r="G210" i="37"/>
  <c r="G214" i="37"/>
  <c r="G218" i="37"/>
  <c r="G222" i="37"/>
  <c r="G226" i="37"/>
  <c r="G230" i="37"/>
  <c r="G234" i="37"/>
  <c r="G238" i="37"/>
  <c r="G242" i="37"/>
  <c r="G246" i="37"/>
  <c r="G250" i="37"/>
  <c r="G254" i="37"/>
  <c r="G258" i="37"/>
  <c r="G262" i="37"/>
  <c r="G266" i="37"/>
  <c r="G270" i="37"/>
  <c r="G274" i="37"/>
  <c r="G278" i="37"/>
  <c r="G282" i="37"/>
  <c r="G286" i="37"/>
  <c r="G290" i="37"/>
  <c r="G294" i="37"/>
  <c r="G298" i="37"/>
  <c r="G302" i="37"/>
  <c r="G306" i="37"/>
  <c r="G310" i="37"/>
  <c r="G314" i="37"/>
  <c r="G318" i="37"/>
  <c r="G322" i="37"/>
  <c r="G326" i="37"/>
  <c r="G330" i="37"/>
  <c r="G334" i="37"/>
  <c r="G338" i="37"/>
  <c r="G342" i="37"/>
  <c r="G11" i="37"/>
  <c r="G15" i="37"/>
  <c r="G19" i="37"/>
  <c r="G23" i="37"/>
  <c r="G27" i="37"/>
  <c r="G31" i="37"/>
  <c r="G35" i="37"/>
  <c r="G39" i="37"/>
  <c r="G43" i="37"/>
  <c r="G47" i="37"/>
  <c r="G51" i="37"/>
  <c r="G55" i="37"/>
  <c r="G59" i="37"/>
  <c r="G63" i="37"/>
  <c r="G67" i="37"/>
  <c r="G71" i="37"/>
  <c r="G75" i="37"/>
  <c r="G79" i="37"/>
  <c r="G83" i="37"/>
  <c r="G87" i="37"/>
  <c r="G91" i="37"/>
  <c r="G95" i="37"/>
  <c r="G99" i="37"/>
  <c r="G103" i="37"/>
  <c r="G107" i="37"/>
  <c r="G111" i="37"/>
  <c r="G115" i="37"/>
  <c r="G119" i="37"/>
  <c r="G123" i="37"/>
  <c r="G127" i="37"/>
  <c r="G131" i="37"/>
  <c r="G135" i="37"/>
  <c r="G139" i="37"/>
  <c r="G143" i="37"/>
  <c r="G147" i="37"/>
  <c r="G151" i="37"/>
  <c r="G155" i="37"/>
  <c r="G159" i="37"/>
  <c r="G163" i="37"/>
  <c r="G167" i="37"/>
  <c r="G171" i="37"/>
  <c r="G175" i="37"/>
  <c r="G179" i="37"/>
  <c r="G183" i="37"/>
  <c r="G187" i="37"/>
  <c r="G191" i="37"/>
  <c r="G195" i="37"/>
  <c r="G199" i="37"/>
  <c r="G203" i="37"/>
  <c r="G207" i="37"/>
  <c r="G211" i="37"/>
  <c r="G215" i="37"/>
  <c r="G219" i="37"/>
  <c r="G223" i="37"/>
  <c r="G227" i="37"/>
  <c r="G231" i="37"/>
  <c r="G235" i="37"/>
  <c r="G239" i="37"/>
  <c r="G243" i="37"/>
  <c r="G247" i="37"/>
  <c r="G251" i="37"/>
  <c r="G255" i="37"/>
  <c r="G259" i="37"/>
  <c r="G263" i="37"/>
  <c r="G267" i="37"/>
  <c r="G271" i="37"/>
  <c r="G275" i="37"/>
  <c r="G279" i="37"/>
  <c r="G283" i="37"/>
  <c r="G287" i="37"/>
  <c r="G291" i="37"/>
  <c r="G295" i="37"/>
  <c r="G299" i="37"/>
  <c r="G303" i="37"/>
  <c r="G307" i="37"/>
  <c r="G311" i="37"/>
  <c r="G315" i="37"/>
  <c r="G319" i="37"/>
  <c r="G323" i="37"/>
  <c r="G327" i="37"/>
  <c r="G331" i="37"/>
  <c r="G335" i="37"/>
  <c r="G339" i="37"/>
  <c r="G343" i="37"/>
  <c r="G12" i="37"/>
  <c r="G16" i="37"/>
  <c r="G20" i="37"/>
  <c r="G24" i="37"/>
  <c r="G28" i="37"/>
  <c r="G32" i="37"/>
  <c r="G36" i="37"/>
  <c r="G40" i="37"/>
  <c r="G44" i="37"/>
  <c r="G48" i="37"/>
  <c r="G52" i="37"/>
  <c r="G56" i="37"/>
  <c r="G60" i="37"/>
  <c r="G64" i="37"/>
  <c r="G68" i="37"/>
  <c r="G72" i="37"/>
  <c r="G76" i="37"/>
  <c r="G80" i="37"/>
  <c r="G84" i="37"/>
  <c r="G88" i="37"/>
  <c r="G92" i="37"/>
  <c r="G96" i="37"/>
  <c r="G100" i="37"/>
  <c r="G104" i="37"/>
  <c r="G108" i="37"/>
  <c r="G112" i="37"/>
  <c r="G116" i="37"/>
  <c r="G120" i="37"/>
  <c r="G124" i="37"/>
  <c r="G128" i="37"/>
  <c r="G132" i="37"/>
  <c r="G136" i="37"/>
  <c r="G140" i="37"/>
  <c r="G144" i="37"/>
  <c r="G148" i="37"/>
  <c r="G152" i="37"/>
  <c r="G156" i="37"/>
  <c r="G160" i="37"/>
  <c r="G164" i="37"/>
  <c r="G168" i="37"/>
  <c r="G172" i="37"/>
  <c r="G176" i="37"/>
  <c r="G180" i="37"/>
  <c r="G184" i="37"/>
  <c r="G188" i="37"/>
  <c r="G192" i="37"/>
  <c r="G196" i="37"/>
  <c r="G200" i="37"/>
  <c r="G204" i="37"/>
  <c r="G208" i="37"/>
  <c r="G212" i="37"/>
  <c r="G216" i="37"/>
  <c r="G220" i="37"/>
  <c r="G224" i="37"/>
  <c r="G228" i="37"/>
  <c r="G232" i="37"/>
  <c r="G236" i="37"/>
  <c r="G240" i="37"/>
  <c r="G244" i="37"/>
  <c r="G248" i="37"/>
  <c r="G252" i="37"/>
  <c r="G256" i="37"/>
  <c r="G260" i="37"/>
  <c r="G264" i="37"/>
  <c r="G268" i="37"/>
  <c r="G272" i="37"/>
  <c r="G276" i="37"/>
  <c r="G280" i="37"/>
  <c r="G284" i="37"/>
  <c r="G288" i="37"/>
  <c r="G292" i="37"/>
  <c r="G296" i="37"/>
  <c r="G300" i="37"/>
  <c r="G304" i="37"/>
  <c r="G308" i="37"/>
  <c r="G312" i="37"/>
  <c r="G316" i="37"/>
  <c r="G320" i="37"/>
  <c r="G324" i="37"/>
  <c r="G328" i="37"/>
  <c r="G332" i="37"/>
  <c r="G336" i="37"/>
  <c r="G340" i="37"/>
  <c r="G344" i="37"/>
  <c r="G21" i="37"/>
  <c r="G37" i="37"/>
  <c r="G53" i="37"/>
  <c r="G69" i="37"/>
  <c r="G85" i="37"/>
  <c r="G101" i="37"/>
  <c r="G117" i="37"/>
  <c r="G133" i="37"/>
  <c r="G149" i="37"/>
  <c r="G165" i="37"/>
  <c r="G181" i="37"/>
  <c r="G197" i="37"/>
  <c r="G213" i="37"/>
  <c r="G229" i="37"/>
  <c r="G245" i="37"/>
  <c r="G261" i="37"/>
  <c r="G277" i="37"/>
  <c r="G293" i="37"/>
  <c r="G309" i="37"/>
  <c r="G325" i="37"/>
  <c r="G341" i="37"/>
  <c r="G348" i="37"/>
  <c r="G352" i="37"/>
  <c r="G356" i="37"/>
  <c r="G360" i="37"/>
  <c r="G364" i="37"/>
  <c r="G368" i="37"/>
  <c r="G372" i="37"/>
  <c r="G376" i="37"/>
  <c r="G380" i="37"/>
  <c r="G384" i="37"/>
  <c r="G388" i="37"/>
  <c r="G392" i="37"/>
  <c r="G396" i="37"/>
  <c r="G400" i="37"/>
  <c r="G404" i="37"/>
  <c r="G408" i="37"/>
  <c r="G412" i="37"/>
  <c r="G416" i="37"/>
  <c r="G420" i="37"/>
  <c r="G424" i="37"/>
  <c r="G428" i="37"/>
  <c r="G432" i="37"/>
  <c r="G436" i="37"/>
  <c r="G440" i="37"/>
  <c r="G444" i="37"/>
  <c r="G448" i="37"/>
  <c r="G452" i="37"/>
  <c r="G456" i="37"/>
  <c r="G460" i="37"/>
  <c r="G464" i="37"/>
  <c r="G468" i="37"/>
  <c r="G472" i="37"/>
  <c r="G476" i="37"/>
  <c r="G480" i="37"/>
  <c r="G484" i="37"/>
  <c r="G488" i="37"/>
  <c r="G492" i="37"/>
  <c r="G496" i="37"/>
  <c r="G500" i="37"/>
  <c r="G504" i="37"/>
  <c r="G508" i="37"/>
  <c r="G512" i="37"/>
  <c r="G516" i="37"/>
  <c r="G520" i="37"/>
  <c r="G524" i="37"/>
  <c r="G528" i="37"/>
  <c r="G9" i="37"/>
  <c r="G25" i="37"/>
  <c r="G41" i="37"/>
  <c r="G57" i="37"/>
  <c r="G73" i="37"/>
  <c r="G89" i="37"/>
  <c r="G105" i="37"/>
  <c r="G121" i="37"/>
  <c r="G137" i="37"/>
  <c r="G153" i="37"/>
  <c r="G169" i="37"/>
  <c r="G185" i="37"/>
  <c r="G201" i="37"/>
  <c r="G217" i="37"/>
  <c r="G233" i="37"/>
  <c r="G249" i="37"/>
  <c r="G265" i="37"/>
  <c r="G281" i="37"/>
  <c r="G297" i="37"/>
  <c r="G313" i="37"/>
  <c r="G329" i="37"/>
  <c r="G345" i="37"/>
  <c r="G349" i="37"/>
  <c r="G353" i="37"/>
  <c r="G357" i="37"/>
  <c r="G361" i="37"/>
  <c r="G365" i="37"/>
  <c r="G369" i="37"/>
  <c r="G373" i="37"/>
  <c r="G377" i="37"/>
  <c r="G381" i="37"/>
  <c r="G385" i="37"/>
  <c r="G389" i="37"/>
  <c r="G393" i="37"/>
  <c r="G397" i="37"/>
  <c r="G401" i="37"/>
  <c r="G405" i="37"/>
  <c r="G409" i="37"/>
  <c r="G413" i="37"/>
  <c r="G417" i="37"/>
  <c r="G421" i="37"/>
  <c r="G425" i="37"/>
  <c r="G429" i="37"/>
  <c r="G433" i="37"/>
  <c r="G437" i="37"/>
  <c r="G441" i="37"/>
  <c r="G445" i="37"/>
  <c r="G449" i="37"/>
  <c r="G453" i="37"/>
  <c r="G457" i="37"/>
  <c r="G461" i="37"/>
  <c r="G465" i="37"/>
  <c r="G469" i="37"/>
  <c r="G473" i="37"/>
  <c r="G477" i="37"/>
  <c r="G481" i="37"/>
  <c r="G485" i="37"/>
  <c r="G489" i="37"/>
  <c r="G493" i="37"/>
  <c r="G497" i="37"/>
  <c r="G501" i="37"/>
  <c r="G505" i="37"/>
  <c r="G509" i="37"/>
  <c r="G513" i="37"/>
  <c r="G517" i="37"/>
  <c r="G521" i="37"/>
  <c r="G525" i="37"/>
  <c r="G529" i="37"/>
  <c r="G13" i="37"/>
  <c r="G29" i="37"/>
  <c r="G45" i="37"/>
  <c r="G61" i="37"/>
  <c r="G77" i="37"/>
  <c r="G93" i="37"/>
  <c r="G109" i="37"/>
  <c r="G125" i="37"/>
  <c r="G141" i="37"/>
  <c r="G157" i="37"/>
  <c r="G173" i="37"/>
  <c r="G189" i="37"/>
  <c r="G205" i="37"/>
  <c r="G221" i="37"/>
  <c r="G237" i="37"/>
  <c r="G253" i="37"/>
  <c r="G269" i="37"/>
  <c r="G285" i="37"/>
  <c r="G301" i="37"/>
  <c r="G317" i="37"/>
  <c r="G333" i="37"/>
  <c r="G346" i="37"/>
  <c r="G350" i="37"/>
  <c r="G354" i="37"/>
  <c r="G358" i="37"/>
  <c r="G362" i="37"/>
  <c r="G366" i="37"/>
  <c r="G370" i="37"/>
  <c r="G374" i="37"/>
  <c r="G378" i="37"/>
  <c r="G382" i="37"/>
  <c r="G386" i="37"/>
  <c r="G390" i="37"/>
  <c r="G394" i="37"/>
  <c r="G398" i="37"/>
  <c r="G65" i="37"/>
  <c r="G129" i="37"/>
  <c r="G193" i="37"/>
  <c r="G257" i="37"/>
  <c r="G321" i="37"/>
  <c r="G355" i="37"/>
  <c r="G371" i="37"/>
  <c r="G387" i="37"/>
  <c r="G402" i="37"/>
  <c r="G410" i="37"/>
  <c r="G418" i="37"/>
  <c r="G426" i="37"/>
  <c r="G434" i="37"/>
  <c r="G442" i="37"/>
  <c r="G450" i="37"/>
  <c r="G458" i="37"/>
  <c r="G466" i="37"/>
  <c r="G474" i="37"/>
  <c r="G482" i="37"/>
  <c r="G490" i="37"/>
  <c r="G498" i="37"/>
  <c r="G506" i="37"/>
  <c r="G514" i="37"/>
  <c r="G522" i="37"/>
  <c r="G17" i="37"/>
  <c r="G81" i="37"/>
  <c r="G145" i="37"/>
  <c r="G209" i="37"/>
  <c r="G273" i="37"/>
  <c r="G337" i="37"/>
  <c r="G359" i="37"/>
  <c r="G375" i="37"/>
  <c r="G391" i="37"/>
  <c r="G403" i="37"/>
  <c r="G411" i="37"/>
  <c r="G419" i="37"/>
  <c r="G427" i="37"/>
  <c r="G435" i="37"/>
  <c r="G443" i="37"/>
  <c r="G451" i="37"/>
  <c r="G459" i="37"/>
  <c r="G467" i="37"/>
  <c r="G475" i="37"/>
  <c r="G483" i="37"/>
  <c r="G491" i="37"/>
  <c r="G499" i="37"/>
  <c r="G507" i="37"/>
  <c r="G515" i="37"/>
  <c r="G523" i="37"/>
  <c r="G33" i="37"/>
  <c r="G97" i="37"/>
  <c r="G161" i="37"/>
  <c r="G225" i="37"/>
  <c r="G289" i="37"/>
  <c r="G347" i="37"/>
  <c r="G363" i="37"/>
  <c r="G379" i="37"/>
  <c r="G395" i="37"/>
  <c r="G406" i="37"/>
  <c r="G414" i="37"/>
  <c r="G422" i="37"/>
  <c r="G430" i="37"/>
  <c r="G438" i="37"/>
  <c r="G446" i="37"/>
  <c r="G454" i="37"/>
  <c r="G462" i="37"/>
  <c r="G470" i="37"/>
  <c r="G478" i="37"/>
  <c r="G486" i="37"/>
  <c r="G494" i="37"/>
  <c r="G502" i="37"/>
  <c r="G510" i="37"/>
  <c r="G518" i="37"/>
  <c r="G526" i="37"/>
  <c r="G49" i="37"/>
  <c r="G113" i="37"/>
  <c r="G177" i="37"/>
  <c r="G241" i="37"/>
  <c r="G305" i="37"/>
  <c r="G351" i="37"/>
  <c r="G367" i="37"/>
  <c r="G383" i="37"/>
  <c r="G399" i="37"/>
  <c r="G407" i="37"/>
  <c r="G415" i="37"/>
  <c r="G423" i="37"/>
  <c r="G431" i="37"/>
  <c r="G439" i="37"/>
  <c r="G447" i="37"/>
  <c r="G455" i="37"/>
  <c r="G463" i="37"/>
  <c r="G471" i="37"/>
  <c r="G479" i="37"/>
  <c r="G487" i="37"/>
  <c r="G495" i="37"/>
  <c r="G503" i="37"/>
  <c r="G511" i="37"/>
  <c r="G519" i="37"/>
  <c r="G527" i="37"/>
  <c r="E4" i="40"/>
  <c r="G4" i="40" s="1"/>
  <c r="G12" i="40"/>
  <c r="G16" i="40"/>
  <c r="G20" i="40"/>
  <c r="G24" i="40"/>
  <c r="G28" i="40"/>
  <c r="G32" i="40"/>
  <c r="G36" i="40"/>
  <c r="G40" i="40"/>
  <c r="G44" i="40"/>
  <c r="G48" i="40"/>
  <c r="G52" i="40"/>
  <c r="G56" i="40"/>
  <c r="G60" i="40"/>
  <c r="G64" i="40"/>
  <c r="G68" i="40"/>
  <c r="G72" i="40"/>
  <c r="G76" i="40"/>
  <c r="G80" i="40"/>
  <c r="G84" i="40"/>
  <c r="G88" i="40"/>
  <c r="G92" i="40"/>
  <c r="G96" i="40"/>
  <c r="G100" i="40"/>
  <c r="G104" i="40"/>
  <c r="G108" i="40"/>
  <c r="G9" i="40"/>
  <c r="G13" i="40"/>
  <c r="G17" i="40"/>
  <c r="G21" i="40"/>
  <c r="G25" i="40"/>
  <c r="G29" i="40"/>
  <c r="G33" i="40"/>
  <c r="G37" i="40"/>
  <c r="G41" i="40"/>
  <c r="G45" i="40"/>
  <c r="G49" i="40"/>
  <c r="G53" i="40"/>
  <c r="G57" i="40"/>
  <c r="G61" i="40"/>
  <c r="G65" i="40"/>
  <c r="G69" i="40"/>
  <c r="G73" i="40"/>
  <c r="G77" i="40"/>
  <c r="G81" i="40"/>
  <c r="G85" i="40"/>
  <c r="G89" i="40"/>
  <c r="G93" i="40"/>
  <c r="G97" i="40"/>
  <c r="G101" i="40"/>
  <c r="G105" i="40"/>
  <c r="G109" i="40"/>
  <c r="G10" i="40"/>
  <c r="G14" i="40"/>
  <c r="G18" i="40"/>
  <c r="G22" i="40"/>
  <c r="G26" i="40"/>
  <c r="G30" i="40"/>
  <c r="G34" i="40"/>
  <c r="G38" i="40"/>
  <c r="G42" i="40"/>
  <c r="G46" i="40"/>
  <c r="G50" i="40"/>
  <c r="G54" i="40"/>
  <c r="G58" i="40"/>
  <c r="G62" i="40"/>
  <c r="G66" i="40"/>
  <c r="G70" i="40"/>
  <c r="G74" i="40"/>
  <c r="G78" i="40"/>
  <c r="G82" i="40"/>
  <c r="G86" i="40"/>
  <c r="G90" i="40"/>
  <c r="G94" i="40"/>
  <c r="G98" i="40"/>
  <c r="G102" i="40"/>
  <c r="G106" i="40"/>
  <c r="G11" i="40"/>
  <c r="G15" i="40"/>
  <c r="G19" i="40"/>
  <c r="G23" i="40"/>
  <c r="G27" i="40"/>
  <c r="G31" i="40"/>
  <c r="G35" i="40"/>
  <c r="G39" i="40"/>
  <c r="G43" i="40"/>
  <c r="G59" i="40"/>
  <c r="G75" i="40"/>
  <c r="G91" i="40"/>
  <c r="G107" i="40"/>
  <c r="G47" i="40"/>
  <c r="G63" i="40"/>
  <c r="G79" i="40"/>
  <c r="G95" i="40"/>
  <c r="G51" i="40"/>
  <c r="G67" i="40"/>
  <c r="G83" i="40"/>
  <c r="G99" i="40"/>
  <c r="G55" i="40"/>
  <c r="G71" i="40"/>
  <c r="G87" i="40"/>
  <c r="G103" i="40"/>
  <c r="F4" i="33"/>
  <c r="H4" i="33" s="1"/>
  <c r="G11" i="38"/>
  <c r="G15" i="38"/>
  <c r="G19" i="38"/>
  <c r="G23" i="38"/>
  <c r="G27" i="38"/>
  <c r="G31" i="38"/>
  <c r="G35" i="38"/>
  <c r="G39" i="38"/>
  <c r="G43" i="38"/>
  <c r="G13" i="38"/>
  <c r="G21" i="38"/>
  <c r="G29" i="38"/>
  <c r="G37" i="38"/>
  <c r="G45" i="38"/>
  <c r="E4" i="38"/>
  <c r="G4" i="38" s="1"/>
  <c r="G16" i="38"/>
  <c r="G20" i="38"/>
  <c r="G24" i="38"/>
  <c r="G28" i="38"/>
  <c r="G32" i="38"/>
  <c r="G36" i="38"/>
  <c r="G40" i="38"/>
  <c r="G44" i="38"/>
  <c r="G9" i="38"/>
  <c r="G17" i="38"/>
  <c r="G25" i="38"/>
  <c r="G33" i="38"/>
  <c r="G41" i="38"/>
  <c r="G22" i="38"/>
  <c r="G38" i="38"/>
  <c r="G14" i="38"/>
  <c r="G18" i="38"/>
  <c r="G10" i="38"/>
  <c r="G26" i="38"/>
  <c r="G42" i="38"/>
  <c r="G30" i="38"/>
  <c r="G34" i="38"/>
  <c r="G10" i="39"/>
  <c r="G14" i="39"/>
  <c r="G18" i="39"/>
  <c r="G22" i="39"/>
  <c r="G26" i="39"/>
  <c r="G30" i="39"/>
  <c r="G34" i="39"/>
  <c r="G38" i="39"/>
  <c r="G42" i="39"/>
  <c r="G46" i="39"/>
  <c r="G50" i="39"/>
  <c r="G54" i="39"/>
  <c r="G58" i="39"/>
  <c r="G62" i="39"/>
  <c r="G66" i="39"/>
  <c r="G70" i="39"/>
  <c r="G74" i="39"/>
  <c r="G78" i="39"/>
  <c r="G82" i="39"/>
  <c r="G86" i="39"/>
  <c r="G90" i="39"/>
  <c r="G94" i="39"/>
  <c r="G98" i="39"/>
  <c r="G102" i="39"/>
  <c r="G106" i="39"/>
  <c r="G12" i="39"/>
  <c r="G16" i="39"/>
  <c r="G20" i="39"/>
  <c r="G24" i="39"/>
  <c r="G32" i="39"/>
  <c r="G40" i="39"/>
  <c r="G48" i="39"/>
  <c r="G52" i="39"/>
  <c r="G60" i="39"/>
  <c r="G68" i="39"/>
  <c r="G76" i="39"/>
  <c r="G84" i="39"/>
  <c r="G92" i="39"/>
  <c r="G100" i="39"/>
  <c r="G108" i="39"/>
  <c r="G9" i="39"/>
  <c r="G17" i="39"/>
  <c r="G25" i="39"/>
  <c r="G33" i="39"/>
  <c r="G41" i="39"/>
  <c r="G49" i="39"/>
  <c r="G57" i="39"/>
  <c r="G65" i="39"/>
  <c r="G73" i="39"/>
  <c r="G81" i="39"/>
  <c r="G89" i="39"/>
  <c r="G97" i="39"/>
  <c r="G105" i="39"/>
  <c r="G11" i="39"/>
  <c r="G15" i="39"/>
  <c r="G19" i="39"/>
  <c r="G23" i="39"/>
  <c r="G27" i="39"/>
  <c r="G31" i="39"/>
  <c r="G35" i="39"/>
  <c r="G39" i="39"/>
  <c r="G43" i="39"/>
  <c r="G47" i="39"/>
  <c r="G51" i="39"/>
  <c r="G55" i="39"/>
  <c r="G59" i="39"/>
  <c r="G63" i="39"/>
  <c r="G67" i="39"/>
  <c r="G71" i="39"/>
  <c r="G75" i="39"/>
  <c r="G79" i="39"/>
  <c r="G83" i="39"/>
  <c r="G87" i="39"/>
  <c r="G91" i="39"/>
  <c r="G95" i="39"/>
  <c r="G99" i="39"/>
  <c r="G103" i="39"/>
  <c r="G107" i="39"/>
  <c r="E4" i="39"/>
  <c r="G4" i="39" s="1"/>
  <c r="G28" i="39"/>
  <c r="G36" i="39"/>
  <c r="G44" i="39"/>
  <c r="G56" i="39"/>
  <c r="G64" i="39"/>
  <c r="G72" i="39"/>
  <c r="G80" i="39"/>
  <c r="G88" i="39"/>
  <c r="G96" i="39"/>
  <c r="G104" i="39"/>
  <c r="G13" i="39"/>
  <c r="G21" i="39"/>
  <c r="G29" i="39"/>
  <c r="G37" i="39"/>
  <c r="G45" i="39"/>
  <c r="G53" i="39"/>
  <c r="G61" i="39"/>
  <c r="G69" i="39"/>
  <c r="G77" i="39"/>
  <c r="G85" i="39"/>
  <c r="G93" i="39"/>
  <c r="G101" i="39"/>
  <c r="G109" i="39"/>
  <c r="E250" i="22"/>
  <c r="E249" i="22"/>
  <c r="E248" i="22"/>
  <c r="E247" i="22"/>
  <c r="E246" i="22"/>
  <c r="E245" i="22"/>
  <c r="E244" i="22"/>
  <c r="E243" i="22"/>
  <c r="E242" i="22"/>
  <c r="E241" i="22"/>
  <c r="E240" i="22"/>
  <c r="E239" i="22"/>
  <c r="E238" i="22"/>
  <c r="E237" i="22"/>
  <c r="E236" i="22"/>
  <c r="E235" i="22"/>
  <c r="E234" i="22"/>
  <c r="E233" i="22"/>
  <c r="E232" i="22"/>
  <c r="E231" i="22"/>
  <c r="E230" i="22"/>
  <c r="E229" i="22"/>
  <c r="E228" i="22"/>
  <c r="E227" i="22"/>
  <c r="E226" i="22"/>
  <c r="E225" i="22"/>
  <c r="E224" i="22"/>
  <c r="E223" i="22"/>
  <c r="E222" i="22"/>
  <c r="E221" i="22"/>
  <c r="E220" i="22"/>
  <c r="E219" i="22"/>
  <c r="E218" i="22"/>
  <c r="E217" i="22"/>
  <c r="E216" i="22"/>
  <c r="E215" i="22"/>
  <c r="E214" i="22"/>
  <c r="E213" i="22"/>
  <c r="E212" i="22"/>
  <c r="E211" i="22"/>
  <c r="E210" i="22"/>
  <c r="E209" i="22"/>
  <c r="E208" i="22"/>
  <c r="E207" i="22"/>
  <c r="E206" i="22"/>
  <c r="E205" i="22"/>
  <c r="E204" i="22"/>
  <c r="E203" i="22"/>
  <c r="E202" i="22"/>
  <c r="E201" i="22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I28" i="34" l="1"/>
  <c r="M28" i="34"/>
  <c r="M11" i="34"/>
  <c r="M22" i="34"/>
  <c r="K16" i="34"/>
  <c r="E178" i="36"/>
  <c r="E177" i="36"/>
  <c r="E176" i="36"/>
  <c r="E175" i="36"/>
  <c r="E174" i="36"/>
  <c r="E173" i="36"/>
  <c r="E172" i="36"/>
  <c r="E171" i="36"/>
  <c r="E170" i="36"/>
  <c r="E169" i="36"/>
  <c r="E168" i="36"/>
  <c r="E167" i="36"/>
  <c r="E166" i="36"/>
  <c r="E165" i="36"/>
  <c r="E164" i="36"/>
  <c r="E163" i="36"/>
  <c r="E162" i="36"/>
  <c r="E161" i="36"/>
  <c r="E157" i="36"/>
  <c r="E156" i="36"/>
  <c r="E155" i="36"/>
  <c r="E154" i="36"/>
  <c r="E153" i="36"/>
  <c r="E152" i="36"/>
  <c r="E151" i="36"/>
  <c r="E150" i="36"/>
  <c r="E149" i="36"/>
  <c r="E148" i="36"/>
  <c r="E147" i="36"/>
  <c r="E146" i="36"/>
  <c r="E145" i="36"/>
  <c r="E144" i="36"/>
  <c r="E143" i="36"/>
  <c r="E142" i="36"/>
  <c r="E141" i="36"/>
  <c r="E140" i="36"/>
  <c r="E139" i="36"/>
  <c r="E138" i="36"/>
  <c r="E137" i="36"/>
  <c r="E136" i="36"/>
  <c r="E135" i="36"/>
  <c r="E134" i="36"/>
  <c r="E133" i="36"/>
  <c r="E132" i="36"/>
  <c r="E131" i="36"/>
  <c r="E130" i="36"/>
  <c r="E129" i="36"/>
  <c r="E128" i="36"/>
  <c r="E127" i="36"/>
  <c r="E126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33" i="36"/>
  <c r="E34" i="36"/>
  <c r="E35" i="36"/>
  <c r="E36" i="36"/>
  <c r="E37" i="36"/>
  <c r="E38" i="36"/>
  <c r="E39" i="36"/>
  <c r="E40" i="36"/>
  <c r="E41" i="36"/>
  <c r="E42" i="36"/>
  <c r="E43" i="36"/>
  <c r="E44" i="36"/>
  <c r="E45" i="36"/>
  <c r="E46" i="36"/>
  <c r="E47" i="36"/>
  <c r="E48" i="36"/>
  <c r="E49" i="36"/>
  <c r="E50" i="36"/>
  <c r="E51" i="36"/>
  <c r="E52" i="36"/>
  <c r="E53" i="36"/>
  <c r="E54" i="36"/>
  <c r="E55" i="36"/>
  <c r="E56" i="36"/>
  <c r="E57" i="36"/>
  <c r="E58" i="36"/>
  <c r="E59" i="36"/>
  <c r="E60" i="36"/>
  <c r="E61" i="36"/>
  <c r="E62" i="36"/>
  <c r="E63" i="36"/>
  <c r="E64" i="36"/>
  <c r="E65" i="36"/>
  <c r="E66" i="36"/>
  <c r="E67" i="36"/>
  <c r="E68" i="36"/>
  <c r="E69" i="36"/>
  <c r="E70" i="36"/>
  <c r="E71" i="36"/>
  <c r="E72" i="36"/>
  <c r="E73" i="36"/>
  <c r="E74" i="36"/>
  <c r="E75" i="36"/>
  <c r="E76" i="36"/>
  <c r="E77" i="36"/>
  <c r="E78" i="36"/>
  <c r="E79" i="36"/>
  <c r="E80" i="36"/>
  <c r="E81" i="36"/>
  <c r="E82" i="36"/>
  <c r="E83" i="36"/>
  <c r="E84" i="36"/>
  <c r="E85" i="36"/>
  <c r="E86" i="36"/>
  <c r="E87" i="36"/>
  <c r="E88" i="36"/>
  <c r="E89" i="36"/>
  <c r="E90" i="36"/>
  <c r="E91" i="36"/>
  <c r="E92" i="36"/>
  <c r="E93" i="36"/>
  <c r="E94" i="36"/>
  <c r="E95" i="36"/>
  <c r="E96" i="36"/>
  <c r="E97" i="36"/>
  <c r="E98" i="36"/>
  <c r="E99" i="36"/>
  <c r="E100" i="36"/>
  <c r="E101" i="36"/>
  <c r="E102" i="36"/>
  <c r="E103" i="36"/>
  <c r="E104" i="36"/>
  <c r="E105" i="36"/>
  <c r="E106" i="36"/>
  <c r="E107" i="36"/>
  <c r="E108" i="36"/>
  <c r="E109" i="36"/>
  <c r="E110" i="36"/>
  <c r="E111" i="36"/>
  <c r="E112" i="36"/>
  <c r="E113" i="36"/>
  <c r="E114" i="36"/>
  <c r="E115" i="36"/>
  <c r="E116" i="36"/>
  <c r="E117" i="36"/>
  <c r="E118" i="36"/>
  <c r="E119" i="36"/>
  <c r="E120" i="36"/>
  <c r="E121" i="36"/>
  <c r="E122" i="36"/>
  <c r="E123" i="36"/>
  <c r="E124" i="36"/>
  <c r="E125" i="36"/>
  <c r="E17" i="36"/>
  <c r="E16" i="36"/>
  <c r="E15" i="36"/>
  <c r="E14" i="36"/>
  <c r="E13" i="36"/>
  <c r="E12" i="36"/>
  <c r="E11" i="36"/>
  <c r="E10" i="36"/>
  <c r="E9" i="36"/>
  <c r="E4" i="36" l="1"/>
  <c r="G4" i="36" s="1"/>
  <c r="E63" i="35"/>
  <c r="E62" i="35"/>
  <c r="E61" i="35"/>
  <c r="E60" i="35"/>
  <c r="E59" i="35"/>
  <c r="E58" i="35"/>
  <c r="E57" i="35"/>
  <c r="E56" i="35"/>
  <c r="E55" i="35"/>
  <c r="E54" i="35"/>
  <c r="E53" i="35"/>
  <c r="E52" i="35"/>
  <c r="E51" i="35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9" i="32"/>
  <c r="E4" i="32" s="1"/>
  <c r="G4" i="32" s="1"/>
  <c r="E157" i="31"/>
  <c r="E156" i="31"/>
  <c r="E155" i="31"/>
  <c r="E154" i="31"/>
  <c r="E153" i="31"/>
  <c r="E152" i="31"/>
  <c r="E151" i="31"/>
  <c r="E150" i="31"/>
  <c r="E149" i="31"/>
  <c r="E148" i="31"/>
  <c r="E147" i="31"/>
  <c r="E146" i="31"/>
  <c r="E145" i="31"/>
  <c r="E144" i="31"/>
  <c r="E143" i="31"/>
  <c r="E142" i="31"/>
  <c r="E141" i="31"/>
  <c r="E140" i="31"/>
  <c r="E139" i="31"/>
  <c r="E138" i="31"/>
  <c r="E137" i="31"/>
  <c r="E136" i="31"/>
  <c r="E135" i="31"/>
  <c r="E134" i="31"/>
  <c r="E133" i="31"/>
  <c r="E132" i="31"/>
  <c r="E131" i="31"/>
  <c r="E130" i="31"/>
  <c r="E129" i="31"/>
  <c r="E128" i="31"/>
  <c r="E127" i="31"/>
  <c r="E126" i="31"/>
  <c r="E125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111" i="31"/>
  <c r="E110" i="31"/>
  <c r="E109" i="31"/>
  <c r="E10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0" i="31"/>
  <c r="E31" i="31"/>
  <c r="E32" i="31"/>
  <c r="E33" i="31"/>
  <c r="E34" i="31"/>
  <c r="E35" i="31"/>
  <c r="E36" i="31"/>
  <c r="E37" i="31"/>
  <c r="E38" i="31"/>
  <c r="E39" i="31"/>
  <c r="E40" i="31"/>
  <c r="E41" i="31"/>
  <c r="E42" i="31"/>
  <c r="E43" i="31"/>
  <c r="E44" i="31"/>
  <c r="E45" i="31"/>
  <c r="E46" i="31"/>
  <c r="E47" i="31"/>
  <c r="E48" i="31"/>
  <c r="E49" i="31"/>
  <c r="E50" i="31"/>
  <c r="E51" i="31"/>
  <c r="E52" i="31"/>
  <c r="E53" i="31"/>
  <c r="E54" i="31"/>
  <c r="E55" i="31"/>
  <c r="E56" i="31"/>
  <c r="E57" i="31"/>
  <c r="E58" i="31"/>
  <c r="E59" i="31"/>
  <c r="E60" i="31"/>
  <c r="E61" i="31"/>
  <c r="E62" i="31"/>
  <c r="E63" i="31"/>
  <c r="E64" i="31"/>
  <c r="E65" i="31"/>
  <c r="E66" i="31"/>
  <c r="E67" i="31"/>
  <c r="E68" i="31"/>
  <c r="E69" i="31"/>
  <c r="E70" i="31"/>
  <c r="E71" i="31"/>
  <c r="E72" i="31"/>
  <c r="E73" i="31"/>
  <c r="E74" i="31"/>
  <c r="E75" i="31"/>
  <c r="E76" i="31"/>
  <c r="E77" i="31"/>
  <c r="E78" i="31"/>
  <c r="E79" i="31"/>
  <c r="E80" i="31"/>
  <c r="E81" i="31"/>
  <c r="E82" i="31"/>
  <c r="E83" i="31"/>
  <c r="E84" i="31"/>
  <c r="E85" i="31"/>
  <c r="E86" i="31"/>
  <c r="E87" i="31"/>
  <c r="E88" i="31"/>
  <c r="E89" i="31"/>
  <c r="E90" i="31"/>
  <c r="E91" i="31"/>
  <c r="E92" i="31"/>
  <c r="E93" i="31"/>
  <c r="E94" i="31"/>
  <c r="E95" i="31"/>
  <c r="E96" i="31"/>
  <c r="E97" i="31"/>
  <c r="E98" i="31"/>
  <c r="E99" i="31"/>
  <c r="E100" i="31"/>
  <c r="E101" i="31"/>
  <c r="E102" i="31"/>
  <c r="E103" i="31"/>
  <c r="E104" i="31"/>
  <c r="E105" i="31"/>
  <c r="E106" i="31"/>
  <c r="E107" i="31"/>
  <c r="E72" i="30"/>
  <c r="E71" i="30"/>
  <c r="E70" i="30"/>
  <c r="E69" i="30"/>
  <c r="E68" i="30"/>
  <c r="E67" i="30"/>
  <c r="E66" i="30"/>
  <c r="E65" i="30"/>
  <c r="E64" i="30"/>
  <c r="E63" i="30"/>
  <c r="E62" i="30"/>
  <c r="E61" i="30"/>
  <c r="E60" i="30"/>
  <c r="E59" i="30"/>
  <c r="E58" i="30"/>
  <c r="E57" i="30"/>
  <c r="E56" i="30"/>
  <c r="E55" i="30"/>
  <c r="E54" i="30"/>
  <c r="E53" i="30"/>
  <c r="E52" i="30"/>
  <c r="E51" i="30"/>
  <c r="E50" i="30"/>
  <c r="E49" i="30"/>
  <c r="E48" i="30"/>
  <c r="E47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122" i="29"/>
  <c r="E121" i="29"/>
  <c r="E120" i="29"/>
  <c r="E119" i="29"/>
  <c r="E118" i="29"/>
  <c r="E117" i="29"/>
  <c r="E116" i="29"/>
  <c r="E115" i="29"/>
  <c r="E114" i="29"/>
  <c r="E113" i="29"/>
  <c r="E112" i="29"/>
  <c r="E111" i="29"/>
  <c r="E110" i="29"/>
  <c r="E109" i="29"/>
  <c r="E108" i="29"/>
  <c r="E107" i="29"/>
  <c r="E106" i="29"/>
  <c r="E105" i="29"/>
  <c r="E104" i="29"/>
  <c r="E103" i="29"/>
  <c r="E102" i="29"/>
  <c r="E101" i="29"/>
  <c r="E100" i="29"/>
  <c r="E99" i="29"/>
  <c r="E98" i="29"/>
  <c r="E97" i="29"/>
  <c r="E96" i="29"/>
  <c r="E95" i="29"/>
  <c r="E94" i="29"/>
  <c r="E93" i="29"/>
  <c r="E92" i="29"/>
  <c r="E91" i="29"/>
  <c r="E90" i="29"/>
  <c r="E89" i="29"/>
  <c r="E88" i="29"/>
  <c r="E87" i="29"/>
  <c r="E86" i="29"/>
  <c r="E85" i="29"/>
  <c r="E84" i="29"/>
  <c r="E83" i="29"/>
  <c r="E82" i="29"/>
  <c r="E81" i="29"/>
  <c r="E80" i="29"/>
  <c r="E79" i="29"/>
  <c r="E78" i="29"/>
  <c r="E77" i="29"/>
  <c r="E76" i="29"/>
  <c r="E75" i="29"/>
  <c r="E74" i="29"/>
  <c r="E73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164" i="28"/>
  <c r="E163" i="28"/>
  <c r="E162" i="28"/>
  <c r="E161" i="28"/>
  <c r="E160" i="28"/>
  <c r="E159" i="28"/>
  <c r="E158" i="28"/>
  <c r="E157" i="28"/>
  <c r="E156" i="28"/>
  <c r="E155" i="28"/>
  <c r="E154" i="28"/>
  <c r="E153" i="28"/>
  <c r="E152" i="28"/>
  <c r="E151" i="28"/>
  <c r="E150" i="28"/>
  <c r="E149" i="28"/>
  <c r="E148" i="28"/>
  <c r="E147" i="28"/>
  <c r="E146" i="28"/>
  <c r="E145" i="28"/>
  <c r="E144" i="28"/>
  <c r="E143" i="28"/>
  <c r="E142" i="28"/>
  <c r="E141" i="28"/>
  <c r="E140" i="28"/>
  <c r="E139" i="28"/>
  <c r="E138" i="28"/>
  <c r="E137" i="28"/>
  <c r="E136" i="28"/>
  <c r="E135" i="28"/>
  <c r="E134" i="28"/>
  <c r="E133" i="28"/>
  <c r="E132" i="28"/>
  <c r="E131" i="28"/>
  <c r="E130" i="28"/>
  <c r="E129" i="28"/>
  <c r="E128" i="28"/>
  <c r="E127" i="28"/>
  <c r="E126" i="28"/>
  <c r="E125" i="28"/>
  <c r="E124" i="28"/>
  <c r="E123" i="28"/>
  <c r="E122" i="28"/>
  <c r="E121" i="28"/>
  <c r="E120" i="28"/>
  <c r="E119" i="28"/>
  <c r="E118" i="28"/>
  <c r="E117" i="28"/>
  <c r="E116" i="28"/>
  <c r="E115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9" i="27"/>
  <c r="E153" i="26"/>
  <c r="E152" i="26"/>
  <c r="E151" i="26"/>
  <c r="E150" i="26"/>
  <c r="E149" i="26"/>
  <c r="E148" i="26"/>
  <c r="E147" i="26"/>
  <c r="E146" i="26"/>
  <c r="E145" i="26"/>
  <c r="E144" i="26"/>
  <c r="E143" i="26"/>
  <c r="E142" i="26"/>
  <c r="E141" i="26"/>
  <c r="E140" i="26"/>
  <c r="E139" i="26"/>
  <c r="E138" i="26"/>
  <c r="E137" i="26"/>
  <c r="E136" i="26"/>
  <c r="E135" i="26"/>
  <c r="E134" i="26"/>
  <c r="E133" i="26"/>
  <c r="E132" i="26"/>
  <c r="E131" i="26"/>
  <c r="E130" i="26"/>
  <c r="E129" i="26"/>
  <c r="E128" i="26"/>
  <c r="E127" i="26"/>
  <c r="E126" i="26"/>
  <c r="E125" i="26"/>
  <c r="E124" i="26"/>
  <c r="E123" i="26"/>
  <c r="E122" i="26"/>
  <c r="E121" i="26"/>
  <c r="E120" i="26"/>
  <c r="E119" i="26"/>
  <c r="E118" i="26"/>
  <c r="E117" i="26"/>
  <c r="E4" i="26" s="1"/>
  <c r="G4" i="26" s="1"/>
  <c r="E116" i="26"/>
  <c r="E115" i="26"/>
  <c r="E114" i="26"/>
  <c r="E113" i="26"/>
  <c r="E112" i="26"/>
  <c r="E111" i="26"/>
  <c r="E110" i="26"/>
  <c r="E109" i="26"/>
  <c r="E108" i="26"/>
  <c r="E107" i="26"/>
  <c r="E106" i="26"/>
  <c r="E105" i="26"/>
  <c r="E104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12" i="25"/>
  <c r="E111" i="25"/>
  <c r="E110" i="25"/>
  <c r="E109" i="25"/>
  <c r="E108" i="25"/>
  <c r="E107" i="25"/>
  <c r="E106" i="25"/>
  <c r="E105" i="25"/>
  <c r="E104" i="25"/>
  <c r="E103" i="25"/>
  <c r="E102" i="25"/>
  <c r="E101" i="25"/>
  <c r="E100" i="25"/>
  <c r="E99" i="25"/>
  <c r="E98" i="25"/>
  <c r="E97" i="25"/>
  <c r="E96" i="25"/>
  <c r="E95" i="25"/>
  <c r="E94" i="25"/>
  <c r="E93" i="25"/>
  <c r="E92" i="25"/>
  <c r="E91" i="25"/>
  <c r="E90" i="25"/>
  <c r="E89" i="25"/>
  <c r="E88" i="25"/>
  <c r="E87" i="25"/>
  <c r="E86" i="25"/>
  <c r="E85" i="25"/>
  <c r="E84" i="25"/>
  <c r="E83" i="25"/>
  <c r="E82" i="25"/>
  <c r="E81" i="25"/>
  <c r="E80" i="25"/>
  <c r="E79" i="25"/>
  <c r="E78" i="25"/>
  <c r="E77" i="25"/>
  <c r="E76" i="25"/>
  <c r="E75" i="25"/>
  <c r="E74" i="25"/>
  <c r="E73" i="25"/>
  <c r="E72" i="25"/>
  <c r="E71" i="25"/>
  <c r="E70" i="25"/>
  <c r="E69" i="25"/>
  <c r="E68" i="25"/>
  <c r="E67" i="25"/>
  <c r="E66" i="25"/>
  <c r="E65" i="25"/>
  <c r="E64" i="25"/>
  <c r="E63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2" i="25"/>
  <c r="E53" i="25"/>
  <c r="E54" i="25"/>
  <c r="E55" i="25"/>
  <c r="E56" i="25"/>
  <c r="E57" i="25"/>
  <c r="E58" i="25"/>
  <c r="E59" i="25"/>
  <c r="E60" i="25"/>
  <c r="E61" i="25"/>
  <c r="E62" i="25"/>
  <c r="E72" i="24"/>
  <c r="E71" i="24"/>
  <c r="E70" i="24"/>
  <c r="E69" i="24"/>
  <c r="E68" i="24"/>
  <c r="E67" i="24"/>
  <c r="E66" i="24"/>
  <c r="E65" i="24"/>
  <c r="E64" i="24"/>
  <c r="E63" i="24"/>
  <c r="E62" i="24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82" i="23"/>
  <c r="E81" i="23"/>
  <c r="E80" i="23"/>
  <c r="E79" i="23"/>
  <c r="E78" i="23"/>
  <c r="E77" i="23"/>
  <c r="E76" i="23"/>
  <c r="E75" i="23"/>
  <c r="E74" i="23"/>
  <c r="E73" i="23"/>
  <c r="E72" i="23"/>
  <c r="E71" i="23"/>
  <c r="E70" i="23"/>
  <c r="E69" i="23"/>
  <c r="E68" i="23"/>
  <c r="E67" i="23"/>
  <c r="E66" i="23"/>
  <c r="E65" i="23"/>
  <c r="E64" i="23"/>
  <c r="E63" i="23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34" i="23"/>
  <c r="E33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200" i="22"/>
  <c r="E199" i="22"/>
  <c r="E198" i="22"/>
  <c r="E197" i="22"/>
  <c r="E196" i="22"/>
  <c r="E195" i="22"/>
  <c r="E194" i="22"/>
  <c r="E193" i="22"/>
  <c r="E192" i="22"/>
  <c r="E191" i="22"/>
  <c r="E190" i="22"/>
  <c r="E189" i="22"/>
  <c r="E188" i="22"/>
  <c r="E187" i="22"/>
  <c r="E186" i="22"/>
  <c r="E185" i="22"/>
  <c r="E184" i="22"/>
  <c r="E183" i="22"/>
  <c r="E182" i="22"/>
  <c r="E181" i="22"/>
  <c r="E180" i="22"/>
  <c r="E179" i="22"/>
  <c r="E178" i="22"/>
  <c r="E177" i="22"/>
  <c r="E176" i="22"/>
  <c r="E175" i="22"/>
  <c r="E174" i="22"/>
  <c r="E173" i="22"/>
  <c r="E172" i="22"/>
  <c r="E171" i="22"/>
  <c r="E170" i="22"/>
  <c r="E169" i="22"/>
  <c r="E168" i="22"/>
  <c r="E167" i="22"/>
  <c r="E166" i="22"/>
  <c r="E165" i="22"/>
  <c r="E164" i="22"/>
  <c r="E163" i="22"/>
  <c r="E162" i="22"/>
  <c r="E161" i="22"/>
  <c r="E160" i="22"/>
  <c r="E159" i="22"/>
  <c r="E158" i="22"/>
  <c r="E157" i="22"/>
  <c r="E156" i="22"/>
  <c r="E155" i="22"/>
  <c r="E154" i="22"/>
  <c r="E153" i="22"/>
  <c r="E152" i="22"/>
  <c r="E151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72" i="21"/>
  <c r="E71" i="21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72" i="20"/>
  <c r="E71" i="20"/>
  <c r="E70" i="20"/>
  <c r="E69" i="20"/>
  <c r="E68" i="20"/>
  <c r="E67" i="20"/>
  <c r="E66" i="20"/>
  <c r="E65" i="20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72" i="19"/>
  <c r="E71" i="19"/>
  <c r="E70" i="19"/>
  <c r="E69" i="19"/>
  <c r="E68" i="19"/>
  <c r="E67" i="19"/>
  <c r="E66" i="19"/>
  <c r="E65" i="19"/>
  <c r="E64" i="19"/>
  <c r="E63" i="19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72" i="18"/>
  <c r="E71" i="18"/>
  <c r="E70" i="18"/>
  <c r="E69" i="18"/>
  <c r="E68" i="18"/>
  <c r="E67" i="18"/>
  <c r="E66" i="18"/>
  <c r="E65" i="18"/>
  <c r="E64" i="18"/>
  <c r="E63" i="18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72" i="17"/>
  <c r="E71" i="17"/>
  <c r="E70" i="17"/>
  <c r="E69" i="17"/>
  <c r="E68" i="17"/>
  <c r="E67" i="17"/>
  <c r="E66" i="17"/>
  <c r="E65" i="17"/>
  <c r="E64" i="17"/>
  <c r="E63" i="17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69" i="16"/>
  <c r="E68" i="16"/>
  <c r="E67" i="16"/>
  <c r="E66" i="16"/>
  <c r="E65" i="16"/>
  <c r="E64" i="16"/>
  <c r="E63" i="16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9" i="16"/>
  <c r="E10" i="16"/>
  <c r="E11" i="16"/>
  <c r="E12" i="16"/>
  <c r="E13" i="16"/>
  <c r="E14" i="16"/>
  <c r="E15" i="16"/>
  <c r="E16" i="16"/>
  <c r="E17" i="16"/>
  <c r="E18" i="16"/>
  <c r="E19" i="16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9" i="15"/>
  <c r="E4" i="15" s="1"/>
  <c r="G4" i="15" s="1"/>
  <c r="E10" i="15"/>
  <c r="E11" i="15"/>
  <c r="E12" i="15"/>
  <c r="E13" i="15"/>
  <c r="E14" i="15"/>
  <c r="E15" i="15"/>
  <c r="E16" i="15"/>
  <c r="E17" i="15"/>
  <c r="E18" i="15"/>
  <c r="E19" i="15"/>
  <c r="E20" i="15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9" i="13"/>
  <c r="E10" i="13"/>
  <c r="E11" i="13"/>
  <c r="E12" i="13"/>
  <c r="E13" i="13"/>
  <c r="E14" i="13"/>
  <c r="E15" i="13"/>
  <c r="E16" i="13"/>
  <c r="E17" i="13"/>
  <c r="E18" i="13"/>
  <c r="E19" i="13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9" i="12"/>
  <c r="E10" i="12"/>
  <c r="E11" i="12"/>
  <c r="E12" i="12"/>
  <c r="E13" i="12"/>
  <c r="E14" i="12"/>
  <c r="E15" i="12"/>
  <c r="E16" i="12"/>
  <c r="E17" i="12"/>
  <c r="E18" i="12"/>
  <c r="E19" i="12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9" i="10"/>
  <c r="E10" i="10"/>
  <c r="E11" i="10"/>
  <c r="E12" i="10"/>
  <c r="E13" i="10"/>
  <c r="E14" i="10"/>
  <c r="E15" i="10"/>
  <c r="E16" i="10"/>
  <c r="E17" i="10"/>
  <c r="E18" i="10"/>
  <c r="E19" i="10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9" i="9"/>
  <c r="E10" i="9"/>
  <c r="E11" i="9"/>
  <c r="E12" i="9"/>
  <c r="E13" i="9"/>
  <c r="E14" i="9"/>
  <c r="E15" i="9"/>
  <c r="E16" i="9"/>
  <c r="E17" i="9"/>
  <c r="E18" i="9"/>
  <c r="E19" i="9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9" i="8"/>
  <c r="E10" i="8"/>
  <c r="E11" i="8"/>
  <c r="E12" i="8"/>
  <c r="E13" i="8"/>
  <c r="E14" i="8"/>
  <c r="E15" i="8"/>
  <c r="E16" i="8"/>
  <c r="E17" i="8"/>
  <c r="E18" i="8"/>
  <c r="E19" i="8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2" i="7"/>
  <c r="F21" i="7"/>
  <c r="F20" i="7"/>
  <c r="F9" i="7"/>
  <c r="F10" i="7"/>
  <c r="F11" i="7"/>
  <c r="F12" i="7"/>
  <c r="F13" i="7"/>
  <c r="F14" i="7"/>
  <c r="F15" i="7"/>
  <c r="F16" i="7"/>
  <c r="F17" i="7"/>
  <c r="F18" i="7"/>
  <c r="F19" i="7"/>
  <c r="E71" i="6"/>
  <c r="G71" i="6" s="1"/>
  <c r="E70" i="6"/>
  <c r="G70" i="6" s="1"/>
  <c r="E69" i="6"/>
  <c r="G69" i="6" s="1"/>
  <c r="E68" i="6"/>
  <c r="G68" i="6" s="1"/>
  <c r="E67" i="6"/>
  <c r="G67" i="6" s="1"/>
  <c r="E66" i="6"/>
  <c r="G66" i="6" s="1"/>
  <c r="E65" i="6"/>
  <c r="G65" i="6" s="1"/>
  <c r="E64" i="6"/>
  <c r="G64" i="6" s="1"/>
  <c r="E63" i="6"/>
  <c r="G63" i="6" s="1"/>
  <c r="E62" i="6"/>
  <c r="G62" i="6" s="1"/>
  <c r="E61" i="6"/>
  <c r="G61" i="6" s="1"/>
  <c r="E60" i="6"/>
  <c r="G60" i="6" s="1"/>
  <c r="E59" i="6"/>
  <c r="G59" i="6" s="1"/>
  <c r="E58" i="6"/>
  <c r="G58" i="6" s="1"/>
  <c r="E57" i="6"/>
  <c r="G57" i="6" s="1"/>
  <c r="E56" i="6"/>
  <c r="G56" i="6" s="1"/>
  <c r="E55" i="6"/>
  <c r="G55" i="6" s="1"/>
  <c r="E54" i="6"/>
  <c r="G54" i="6" s="1"/>
  <c r="E53" i="6"/>
  <c r="G53" i="6" s="1"/>
  <c r="E52" i="6"/>
  <c r="G52" i="6" s="1"/>
  <c r="E51" i="6"/>
  <c r="G51" i="6" s="1"/>
  <c r="E50" i="6"/>
  <c r="G50" i="6" s="1"/>
  <c r="E49" i="6"/>
  <c r="G49" i="6" s="1"/>
  <c r="E48" i="6"/>
  <c r="G48" i="6" s="1"/>
  <c r="E47" i="6"/>
  <c r="G47" i="6" s="1"/>
  <c r="E46" i="6"/>
  <c r="G46" i="6" s="1"/>
  <c r="E45" i="6"/>
  <c r="G45" i="6" s="1"/>
  <c r="E44" i="6"/>
  <c r="G44" i="6" s="1"/>
  <c r="E43" i="6"/>
  <c r="G43" i="6" s="1"/>
  <c r="E42" i="6"/>
  <c r="G42" i="6" s="1"/>
  <c r="E41" i="6"/>
  <c r="G41" i="6" s="1"/>
  <c r="E40" i="6"/>
  <c r="G40" i="6" s="1"/>
  <c r="E39" i="6"/>
  <c r="G39" i="6" s="1"/>
  <c r="E38" i="6"/>
  <c r="G38" i="6" s="1"/>
  <c r="E37" i="6"/>
  <c r="G37" i="6" s="1"/>
  <c r="E36" i="6"/>
  <c r="G36" i="6" s="1"/>
  <c r="E35" i="6"/>
  <c r="G35" i="6" s="1"/>
  <c r="E34" i="6"/>
  <c r="G34" i="6" s="1"/>
  <c r="E33" i="6"/>
  <c r="G33" i="6" s="1"/>
  <c r="E32" i="6"/>
  <c r="G32" i="6" s="1"/>
  <c r="E31" i="6"/>
  <c r="G31" i="6" s="1"/>
  <c r="E30" i="6"/>
  <c r="G30" i="6" s="1"/>
  <c r="E29" i="6"/>
  <c r="G29" i="6" s="1"/>
  <c r="E28" i="6"/>
  <c r="G28" i="6" s="1"/>
  <c r="E27" i="6"/>
  <c r="G27" i="6" s="1"/>
  <c r="E26" i="6"/>
  <c r="G26" i="6" s="1"/>
  <c r="E25" i="6"/>
  <c r="G25" i="6" s="1"/>
  <c r="E24" i="6"/>
  <c r="G24" i="6" s="1"/>
  <c r="E23" i="6"/>
  <c r="G23" i="6" s="1"/>
  <c r="E22" i="6"/>
  <c r="G22" i="6" s="1"/>
  <c r="E9" i="6"/>
  <c r="E10" i="6"/>
  <c r="G10" i="6" s="1"/>
  <c r="E11" i="6"/>
  <c r="G11" i="6" s="1"/>
  <c r="E12" i="6"/>
  <c r="G12" i="6" s="1"/>
  <c r="E13" i="6"/>
  <c r="G13" i="6" s="1"/>
  <c r="E14" i="6"/>
  <c r="G14" i="6" s="1"/>
  <c r="E15" i="6"/>
  <c r="G15" i="6" s="1"/>
  <c r="E16" i="6"/>
  <c r="G16" i="6" s="1"/>
  <c r="E17" i="6"/>
  <c r="G17" i="6" s="1"/>
  <c r="E18" i="6"/>
  <c r="G18" i="6" s="1"/>
  <c r="E19" i="6"/>
  <c r="G19" i="6" s="1"/>
  <c r="E20" i="6"/>
  <c r="G20" i="6" s="1"/>
  <c r="E21" i="6"/>
  <c r="G21" i="6" s="1"/>
  <c r="E9" i="5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10" i="4"/>
  <c r="E11" i="4"/>
  <c r="E12" i="4"/>
  <c r="E14" i="4"/>
  <c r="E15" i="4"/>
  <c r="E16" i="4"/>
  <c r="E17" i="4"/>
  <c r="E18" i="4"/>
  <c r="E19" i="4"/>
  <c r="E20" i="4"/>
  <c r="E21" i="4"/>
  <c r="E22" i="4"/>
  <c r="E9" i="4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9" i="2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10" i="3"/>
  <c r="E11" i="3"/>
  <c r="E12" i="3"/>
  <c r="E13" i="3"/>
  <c r="E14" i="3"/>
  <c r="E15" i="3"/>
  <c r="E16" i="3"/>
  <c r="E17" i="3"/>
  <c r="E18" i="3"/>
  <c r="E19" i="3"/>
  <c r="E20" i="3"/>
  <c r="E21" i="3"/>
  <c r="E9" i="3"/>
  <c r="G31" i="12" l="1"/>
  <c r="G33" i="12"/>
  <c r="G34" i="12"/>
  <c r="G32" i="12"/>
  <c r="E4" i="12"/>
  <c r="G4" i="12" s="1"/>
  <c r="G35" i="12"/>
  <c r="G36" i="12"/>
  <c r="G48" i="12"/>
  <c r="G60" i="12"/>
  <c r="G37" i="12"/>
  <c r="G49" i="12"/>
  <c r="G61" i="12"/>
  <c r="G38" i="12"/>
  <c r="G50" i="12"/>
  <c r="G62" i="12"/>
  <c r="G39" i="12"/>
  <c r="G51" i="12"/>
  <c r="G63" i="12"/>
  <c r="G40" i="12"/>
  <c r="G52" i="12"/>
  <c r="G64" i="12"/>
  <c r="G41" i="12"/>
  <c r="G53" i="12"/>
  <c r="G65" i="12"/>
  <c r="G42" i="12"/>
  <c r="G54" i="12"/>
  <c r="G66" i="12"/>
  <c r="G43" i="12"/>
  <c r="G55" i="12"/>
  <c r="G67" i="12"/>
  <c r="G44" i="12"/>
  <c r="G56" i="12"/>
  <c r="G68" i="12"/>
  <c r="G45" i="12"/>
  <c r="G57" i="12"/>
  <c r="G69" i="12"/>
  <c r="G46" i="12"/>
  <c r="G58" i="12"/>
  <c r="G59" i="12"/>
  <c r="G47" i="12"/>
  <c r="E4" i="3"/>
  <c r="G4" i="3" s="1"/>
  <c r="E4" i="29"/>
  <c r="G4" i="29" s="1"/>
  <c r="E4" i="5"/>
  <c r="G4" i="5" s="1"/>
  <c r="I34" i="34" s="1"/>
  <c r="G290" i="5"/>
  <c r="E4" i="28"/>
  <c r="G4" i="28" s="1"/>
  <c r="E4" i="30"/>
  <c r="G4" i="30" s="1"/>
  <c r="E4" i="23"/>
  <c r="G4" i="23" s="1"/>
  <c r="E4" i="22"/>
  <c r="G4" i="22" s="1"/>
  <c r="E4" i="21"/>
  <c r="G4" i="21" s="1"/>
  <c r="E4" i="20"/>
  <c r="G4" i="20" s="1"/>
  <c r="E4" i="19"/>
  <c r="G4" i="19" s="1"/>
  <c r="E4" i="18"/>
  <c r="G4" i="18" s="1"/>
  <c r="E4" i="17"/>
  <c r="G4" i="17" s="1"/>
  <c r="E4" i="16"/>
  <c r="G4" i="16" s="1"/>
  <c r="E4" i="14"/>
  <c r="G4" i="14" s="1"/>
  <c r="E4" i="13"/>
  <c r="G4" i="13" s="1"/>
  <c r="E4" i="11"/>
  <c r="G4" i="11" s="1"/>
  <c r="E4" i="10"/>
  <c r="G4" i="10" s="1"/>
  <c r="E4" i="8"/>
  <c r="G4" i="8" s="1"/>
  <c r="H12" i="7"/>
  <c r="H16" i="7"/>
  <c r="H20" i="7"/>
  <c r="H24" i="7"/>
  <c r="H28" i="7"/>
  <c r="H32" i="7"/>
  <c r="H36" i="7"/>
  <c r="H40" i="7"/>
  <c r="H44" i="7"/>
  <c r="H48" i="7"/>
  <c r="H52" i="7"/>
  <c r="H56" i="7"/>
  <c r="H60" i="7"/>
  <c r="H64" i="7"/>
  <c r="H68" i="7"/>
  <c r="H15" i="7"/>
  <c r="H67" i="7"/>
  <c r="E4" i="7"/>
  <c r="G4" i="7" s="1"/>
  <c r="H13" i="7"/>
  <c r="H17" i="7"/>
  <c r="H21" i="7"/>
  <c r="H25" i="7"/>
  <c r="H29" i="7"/>
  <c r="H33" i="7"/>
  <c r="H37" i="7"/>
  <c r="H41" i="7"/>
  <c r="H45" i="7"/>
  <c r="H49" i="7"/>
  <c r="H53" i="7"/>
  <c r="H57" i="7"/>
  <c r="H61" i="7"/>
  <c r="H65" i="7"/>
  <c r="H69" i="7"/>
  <c r="H39" i="7"/>
  <c r="H10" i="7"/>
  <c r="H14" i="7"/>
  <c r="H18" i="7"/>
  <c r="H22" i="7"/>
  <c r="H26" i="7"/>
  <c r="H30" i="7"/>
  <c r="H34" i="7"/>
  <c r="H38" i="7"/>
  <c r="H42" i="7"/>
  <c r="H46" i="7"/>
  <c r="H50" i="7"/>
  <c r="H54" i="7"/>
  <c r="H58" i="7"/>
  <c r="H62" i="7"/>
  <c r="H66" i="7"/>
  <c r="H11" i="7"/>
  <c r="H19" i="7"/>
  <c r="H23" i="7"/>
  <c r="H27" i="7"/>
  <c r="H31" i="7"/>
  <c r="H43" i="7"/>
  <c r="H47" i="7"/>
  <c r="H51" i="7"/>
  <c r="H55" i="7"/>
  <c r="H59" i="7"/>
  <c r="H63" i="7"/>
  <c r="G9" i="6"/>
  <c r="E4" i="6"/>
  <c r="G4" i="6" s="1"/>
  <c r="G12" i="4"/>
  <c r="G16" i="4"/>
  <c r="G20" i="4"/>
  <c r="G24" i="4"/>
  <c r="G28" i="4"/>
  <c r="G32" i="4"/>
  <c r="G36" i="4"/>
  <c r="G40" i="4"/>
  <c r="G44" i="4"/>
  <c r="G48" i="4"/>
  <c r="G52" i="4"/>
  <c r="G56" i="4"/>
  <c r="G60" i="4"/>
  <c r="G64" i="4"/>
  <c r="G68" i="4"/>
  <c r="G72" i="4"/>
  <c r="G11" i="4"/>
  <c r="G27" i="4"/>
  <c r="G35" i="4"/>
  <c r="G47" i="4"/>
  <c r="G59" i="4"/>
  <c r="G71" i="4"/>
  <c r="G9" i="4"/>
  <c r="G13" i="4"/>
  <c r="G17" i="4"/>
  <c r="G21" i="4"/>
  <c r="G25" i="4"/>
  <c r="G29" i="4"/>
  <c r="G33" i="4"/>
  <c r="G37" i="4"/>
  <c r="G41" i="4"/>
  <c r="G45" i="4"/>
  <c r="G49" i="4"/>
  <c r="G53" i="4"/>
  <c r="G57" i="4"/>
  <c r="G61" i="4"/>
  <c r="G65" i="4"/>
  <c r="G69" i="4"/>
  <c r="G19" i="4"/>
  <c r="G39" i="4"/>
  <c r="G51" i="4"/>
  <c r="G63" i="4"/>
  <c r="G10" i="4"/>
  <c r="G14" i="4"/>
  <c r="G18" i="4"/>
  <c r="G22" i="4"/>
  <c r="G26" i="4"/>
  <c r="G30" i="4"/>
  <c r="G34" i="4"/>
  <c r="G38" i="4"/>
  <c r="G42" i="4"/>
  <c r="G46" i="4"/>
  <c r="G50" i="4"/>
  <c r="G54" i="4"/>
  <c r="G58" i="4"/>
  <c r="G62" i="4"/>
  <c r="G66" i="4"/>
  <c r="G70" i="4"/>
  <c r="E4" i="4"/>
  <c r="G4" i="4" s="1"/>
  <c r="G15" i="4"/>
  <c r="G23" i="4"/>
  <c r="G31" i="4"/>
  <c r="G43" i="4"/>
  <c r="G55" i="4"/>
  <c r="G67" i="4"/>
  <c r="E4" i="25"/>
  <c r="G4" i="25" s="1"/>
  <c r="G10" i="2"/>
  <c r="G14" i="2"/>
  <c r="G18" i="2"/>
  <c r="G22" i="2"/>
  <c r="G26" i="2"/>
  <c r="G30" i="2"/>
  <c r="G34" i="2"/>
  <c r="G38" i="2"/>
  <c r="G42" i="2"/>
  <c r="G46" i="2"/>
  <c r="G50" i="2"/>
  <c r="G54" i="2"/>
  <c r="G58" i="2"/>
  <c r="G62" i="2"/>
  <c r="G66" i="2"/>
  <c r="G70" i="2"/>
  <c r="G74" i="2"/>
  <c r="G78" i="2"/>
  <c r="G82" i="2"/>
  <c r="G86" i="2"/>
  <c r="G90" i="2"/>
  <c r="G94" i="2"/>
  <c r="G98" i="2"/>
  <c r="G102" i="2"/>
  <c r="G106" i="2"/>
  <c r="G110" i="2"/>
  <c r="G114" i="2"/>
  <c r="G118" i="2"/>
  <c r="G122" i="2"/>
  <c r="G126" i="2"/>
  <c r="G130" i="2"/>
  <c r="G134" i="2"/>
  <c r="G138" i="2"/>
  <c r="G142" i="2"/>
  <c r="G146" i="2"/>
  <c r="G150" i="2"/>
  <c r="G154" i="2"/>
  <c r="G158" i="2"/>
  <c r="G162" i="2"/>
  <c r="G166" i="2"/>
  <c r="G170" i="2"/>
  <c r="G174" i="2"/>
  <c r="G178" i="2"/>
  <c r="G182" i="2"/>
  <c r="G186" i="2"/>
  <c r="G190" i="2"/>
  <c r="G194" i="2"/>
  <c r="G198" i="2"/>
  <c r="G202" i="2"/>
  <c r="G206" i="2"/>
  <c r="G210" i="2"/>
  <c r="G214" i="2"/>
  <c r="G218" i="2"/>
  <c r="G222" i="2"/>
  <c r="G226" i="2"/>
  <c r="G230" i="2"/>
  <c r="G234" i="2"/>
  <c r="G238" i="2"/>
  <c r="G242" i="2"/>
  <c r="G246" i="2"/>
  <c r="G250" i="2"/>
  <c r="G254" i="2"/>
  <c r="G258" i="2"/>
  <c r="G262" i="2"/>
  <c r="G266" i="2"/>
  <c r="G270" i="2"/>
  <c r="G274" i="2"/>
  <c r="G278" i="2"/>
  <c r="G282" i="2"/>
  <c r="G286" i="2"/>
  <c r="G290" i="2"/>
  <c r="G294" i="2"/>
  <c r="G298" i="2"/>
  <c r="G302" i="2"/>
  <c r="G306" i="2"/>
  <c r="G310" i="2"/>
  <c r="G314" i="2"/>
  <c r="G318" i="2"/>
  <c r="G322" i="2"/>
  <c r="G326" i="2"/>
  <c r="G330" i="2"/>
  <c r="G334" i="2"/>
  <c r="G338" i="2"/>
  <c r="G342" i="2"/>
  <c r="G346" i="2"/>
  <c r="G11" i="2"/>
  <c r="G16" i="2"/>
  <c r="G21" i="2"/>
  <c r="G27" i="2"/>
  <c r="G32" i="2"/>
  <c r="G37" i="2"/>
  <c r="G43" i="2"/>
  <c r="G48" i="2"/>
  <c r="G53" i="2"/>
  <c r="G59" i="2"/>
  <c r="G64" i="2"/>
  <c r="G69" i="2"/>
  <c r="G75" i="2"/>
  <c r="G80" i="2"/>
  <c r="G85" i="2"/>
  <c r="G91" i="2"/>
  <c r="G96" i="2"/>
  <c r="G101" i="2"/>
  <c r="G107" i="2"/>
  <c r="G112" i="2"/>
  <c r="G117" i="2"/>
  <c r="G123" i="2"/>
  <c r="G128" i="2"/>
  <c r="G133" i="2"/>
  <c r="G139" i="2"/>
  <c r="G144" i="2"/>
  <c r="G149" i="2"/>
  <c r="G155" i="2"/>
  <c r="G160" i="2"/>
  <c r="G165" i="2"/>
  <c r="G171" i="2"/>
  <c r="G176" i="2"/>
  <c r="G181" i="2"/>
  <c r="G187" i="2"/>
  <c r="G192" i="2"/>
  <c r="G197" i="2"/>
  <c r="G203" i="2"/>
  <c r="G208" i="2"/>
  <c r="G213" i="2"/>
  <c r="G219" i="2"/>
  <c r="G224" i="2"/>
  <c r="G229" i="2"/>
  <c r="G235" i="2"/>
  <c r="G240" i="2"/>
  <c r="G245" i="2"/>
  <c r="G251" i="2"/>
  <c r="G256" i="2"/>
  <c r="G261" i="2"/>
  <c r="G267" i="2"/>
  <c r="G272" i="2"/>
  <c r="G277" i="2"/>
  <c r="G283" i="2"/>
  <c r="G288" i="2"/>
  <c r="G293" i="2"/>
  <c r="G299" i="2"/>
  <c r="G304" i="2"/>
  <c r="G309" i="2"/>
  <c r="G315" i="2"/>
  <c r="G320" i="2"/>
  <c r="G325" i="2"/>
  <c r="G331" i="2"/>
  <c r="G336" i="2"/>
  <c r="G341" i="2"/>
  <c r="G347" i="2"/>
  <c r="G351" i="2"/>
  <c r="G355" i="2"/>
  <c r="G359" i="2"/>
  <c r="G363" i="2"/>
  <c r="G367" i="2"/>
  <c r="G371" i="2"/>
  <c r="G375" i="2"/>
  <c r="G379" i="2"/>
  <c r="G383" i="2"/>
  <c r="G387" i="2"/>
  <c r="G391" i="2"/>
  <c r="G395" i="2"/>
  <c r="G399" i="2"/>
  <c r="G403" i="2"/>
  <c r="G407" i="2"/>
  <c r="G411" i="2"/>
  <c r="G415" i="2"/>
  <c r="G419" i="2"/>
  <c r="G423" i="2"/>
  <c r="G427" i="2"/>
  <c r="G431" i="2"/>
  <c r="G435" i="2"/>
  <c r="G439" i="2"/>
  <c r="G443" i="2"/>
  <c r="G447" i="2"/>
  <c r="G451" i="2"/>
  <c r="G455" i="2"/>
  <c r="G459" i="2"/>
  <c r="G463" i="2"/>
  <c r="G467" i="2"/>
  <c r="G471" i="2"/>
  <c r="G475" i="2"/>
  <c r="G479" i="2"/>
  <c r="G483" i="2"/>
  <c r="G487" i="2"/>
  <c r="G491" i="2"/>
  <c r="G495" i="2"/>
  <c r="G499" i="2"/>
  <c r="G503" i="2"/>
  <c r="G507" i="2"/>
  <c r="G511" i="2"/>
  <c r="G28" i="2"/>
  <c r="G71" i="2"/>
  <c r="G81" i="2"/>
  <c r="G92" i="2"/>
  <c r="G103" i="2"/>
  <c r="G113" i="2"/>
  <c r="G124" i="2"/>
  <c r="G135" i="2"/>
  <c r="G145" i="2"/>
  <c r="G156" i="2"/>
  <c r="G161" i="2"/>
  <c r="G172" i="2"/>
  <c r="G183" i="2"/>
  <c r="G193" i="2"/>
  <c r="G204" i="2"/>
  <c r="G215" i="2"/>
  <c r="G225" i="2"/>
  <c r="G236" i="2"/>
  <c r="G247" i="2"/>
  <c r="G257" i="2"/>
  <c r="G263" i="2"/>
  <c r="G273" i="2"/>
  <c r="G284" i="2"/>
  <c r="G289" i="2"/>
  <c r="G300" i="2"/>
  <c r="G311" i="2"/>
  <c r="G321" i="2"/>
  <c r="G332" i="2"/>
  <c r="G343" i="2"/>
  <c r="G352" i="2"/>
  <c r="G360" i="2"/>
  <c r="G368" i="2"/>
  <c r="G376" i="2"/>
  <c r="G384" i="2"/>
  <c r="G388" i="2"/>
  <c r="G396" i="2"/>
  <c r="G404" i="2"/>
  <c r="G412" i="2"/>
  <c r="G420" i="2"/>
  <c r="G428" i="2"/>
  <c r="G436" i="2"/>
  <c r="G444" i="2"/>
  <c r="G448" i="2"/>
  <c r="G456" i="2"/>
  <c r="G464" i="2"/>
  <c r="G472" i="2"/>
  <c r="G480" i="2"/>
  <c r="G488" i="2"/>
  <c r="G496" i="2"/>
  <c r="G500" i="2"/>
  <c r="G508" i="2"/>
  <c r="G19" i="2"/>
  <c r="G29" i="2"/>
  <c r="G45" i="2"/>
  <c r="G56" i="2"/>
  <c r="G67" i="2"/>
  <c r="G77" i="2"/>
  <c r="G88" i="2"/>
  <c r="G104" i="2"/>
  <c r="G109" i="2"/>
  <c r="G120" i="2"/>
  <c r="G131" i="2"/>
  <c r="G141" i="2"/>
  <c r="G157" i="2"/>
  <c r="G168" i="2"/>
  <c r="E4" i="2"/>
  <c r="G4" i="2" s="1"/>
  <c r="G12" i="2"/>
  <c r="G17" i="2"/>
  <c r="G23" i="2"/>
  <c r="G33" i="2"/>
  <c r="G39" i="2"/>
  <c r="G44" i="2"/>
  <c r="G49" i="2"/>
  <c r="G55" i="2"/>
  <c r="G60" i="2"/>
  <c r="G65" i="2"/>
  <c r="G76" i="2"/>
  <c r="G87" i="2"/>
  <c r="G97" i="2"/>
  <c r="G108" i="2"/>
  <c r="G119" i="2"/>
  <c r="G129" i="2"/>
  <c r="G140" i="2"/>
  <c r="G151" i="2"/>
  <c r="G167" i="2"/>
  <c r="G177" i="2"/>
  <c r="G188" i="2"/>
  <c r="G199" i="2"/>
  <c r="G209" i="2"/>
  <c r="G220" i="2"/>
  <c r="G231" i="2"/>
  <c r="G241" i="2"/>
  <c r="G252" i="2"/>
  <c r="G268" i="2"/>
  <c r="G279" i="2"/>
  <c r="G295" i="2"/>
  <c r="G305" i="2"/>
  <c r="G316" i="2"/>
  <c r="G327" i="2"/>
  <c r="G337" i="2"/>
  <c r="G348" i="2"/>
  <c r="G356" i="2"/>
  <c r="G364" i="2"/>
  <c r="G372" i="2"/>
  <c r="G380" i="2"/>
  <c r="G392" i="2"/>
  <c r="G400" i="2"/>
  <c r="G408" i="2"/>
  <c r="G416" i="2"/>
  <c r="G424" i="2"/>
  <c r="G432" i="2"/>
  <c r="G440" i="2"/>
  <c r="G452" i="2"/>
  <c r="G460" i="2"/>
  <c r="G468" i="2"/>
  <c r="G476" i="2"/>
  <c r="G484" i="2"/>
  <c r="G492" i="2"/>
  <c r="G504" i="2"/>
  <c r="G512" i="2"/>
  <c r="G24" i="2"/>
  <c r="G35" i="2"/>
  <c r="G40" i="2"/>
  <c r="G51" i="2"/>
  <c r="G61" i="2"/>
  <c r="G72" i="2"/>
  <c r="G83" i="2"/>
  <c r="G93" i="2"/>
  <c r="G99" i="2"/>
  <c r="G115" i="2"/>
  <c r="G125" i="2"/>
  <c r="G136" i="2"/>
  <c r="G147" i="2"/>
  <c r="G163" i="2"/>
  <c r="G173" i="2"/>
  <c r="G189" i="2"/>
  <c r="G13" i="2"/>
  <c r="G152" i="2"/>
  <c r="G179" i="2"/>
  <c r="G20" i="2"/>
  <c r="G41" i="2"/>
  <c r="G63" i="2"/>
  <c r="G84" i="2"/>
  <c r="G105" i="2"/>
  <c r="G127" i="2"/>
  <c r="G148" i="2"/>
  <c r="G169" i="2"/>
  <c r="G185" i="2"/>
  <c r="G200" i="2"/>
  <c r="G211" i="2"/>
  <c r="G221" i="2"/>
  <c r="G232" i="2"/>
  <c r="G243" i="2"/>
  <c r="G253" i="2"/>
  <c r="G264" i="2"/>
  <c r="G275" i="2"/>
  <c r="G285" i="2"/>
  <c r="G296" i="2"/>
  <c r="G307" i="2"/>
  <c r="G317" i="2"/>
  <c r="G328" i="2"/>
  <c r="G339" i="2"/>
  <c r="G349" i="2"/>
  <c r="G357" i="2"/>
  <c r="G365" i="2"/>
  <c r="G373" i="2"/>
  <c r="G381" i="2"/>
  <c r="G389" i="2"/>
  <c r="G397" i="2"/>
  <c r="G405" i="2"/>
  <c r="G413" i="2"/>
  <c r="G421" i="2"/>
  <c r="G429" i="2"/>
  <c r="G437" i="2"/>
  <c r="G445" i="2"/>
  <c r="G453" i="2"/>
  <c r="G461" i="2"/>
  <c r="G469" i="2"/>
  <c r="G477" i="2"/>
  <c r="G485" i="2"/>
  <c r="G493" i="2"/>
  <c r="G501" i="2"/>
  <c r="G509" i="2"/>
  <c r="G454" i="2"/>
  <c r="G478" i="2"/>
  <c r="G494" i="2"/>
  <c r="G510" i="2"/>
  <c r="G393" i="2"/>
  <c r="G433" i="2"/>
  <c r="G457" i="2"/>
  <c r="G465" i="2"/>
  <c r="G489" i="2"/>
  <c r="G57" i="2"/>
  <c r="G100" i="2"/>
  <c r="G164" i="2"/>
  <c r="G207" i="2"/>
  <c r="G239" i="2"/>
  <c r="G271" i="2"/>
  <c r="G292" i="2"/>
  <c r="G324" i="2"/>
  <c r="G354" i="2"/>
  <c r="G378" i="2"/>
  <c r="G402" i="2"/>
  <c r="G426" i="2"/>
  <c r="G458" i="2"/>
  <c r="G474" i="2"/>
  <c r="G498" i="2"/>
  <c r="G25" i="2"/>
  <c r="G47" i="2"/>
  <c r="G68" i="2"/>
  <c r="G89" i="2"/>
  <c r="G111" i="2"/>
  <c r="G132" i="2"/>
  <c r="G153" i="2"/>
  <c r="G175" i="2"/>
  <c r="G191" i="2"/>
  <c r="G201" i="2"/>
  <c r="G212" i="2"/>
  <c r="G223" i="2"/>
  <c r="G233" i="2"/>
  <c r="G244" i="2"/>
  <c r="G255" i="2"/>
  <c r="G265" i="2"/>
  <c r="G276" i="2"/>
  <c r="G287" i="2"/>
  <c r="G297" i="2"/>
  <c r="G308" i="2"/>
  <c r="G319" i="2"/>
  <c r="G329" i="2"/>
  <c r="G340" i="2"/>
  <c r="G350" i="2"/>
  <c r="G358" i="2"/>
  <c r="G366" i="2"/>
  <c r="G374" i="2"/>
  <c r="G382" i="2"/>
  <c r="G390" i="2"/>
  <c r="G398" i="2"/>
  <c r="G406" i="2"/>
  <c r="G414" i="2"/>
  <c r="G422" i="2"/>
  <c r="G430" i="2"/>
  <c r="G438" i="2"/>
  <c r="G446" i="2"/>
  <c r="G462" i="2"/>
  <c r="G470" i="2"/>
  <c r="G486" i="2"/>
  <c r="G502" i="2"/>
  <c r="G409" i="2"/>
  <c r="G425" i="2"/>
  <c r="G449" i="2"/>
  <c r="G473" i="2"/>
  <c r="G497" i="2"/>
  <c r="G36" i="2"/>
  <c r="G79" i="2"/>
  <c r="G143" i="2"/>
  <c r="G196" i="2"/>
  <c r="G228" i="2"/>
  <c r="G260" i="2"/>
  <c r="G303" i="2"/>
  <c r="G335" i="2"/>
  <c r="G362" i="2"/>
  <c r="G386" i="2"/>
  <c r="G410" i="2"/>
  <c r="G434" i="2"/>
  <c r="G450" i="2"/>
  <c r="G482" i="2"/>
  <c r="G506" i="2"/>
  <c r="G9" i="2"/>
  <c r="G31" i="2"/>
  <c r="G52" i="2"/>
  <c r="G73" i="2"/>
  <c r="G95" i="2"/>
  <c r="G116" i="2"/>
  <c r="G137" i="2"/>
  <c r="G159" i="2"/>
  <c r="G180" i="2"/>
  <c r="G195" i="2"/>
  <c r="G205" i="2"/>
  <c r="G216" i="2"/>
  <c r="G227" i="2"/>
  <c r="G237" i="2"/>
  <c r="G248" i="2"/>
  <c r="G259" i="2"/>
  <c r="G269" i="2"/>
  <c r="G280" i="2"/>
  <c r="G291" i="2"/>
  <c r="G301" i="2"/>
  <c r="G312" i="2"/>
  <c r="G323" i="2"/>
  <c r="G333" i="2"/>
  <c r="G344" i="2"/>
  <c r="G353" i="2"/>
  <c r="G361" i="2"/>
  <c r="G369" i="2"/>
  <c r="G377" i="2"/>
  <c r="G385" i="2"/>
  <c r="G401" i="2"/>
  <c r="G417" i="2"/>
  <c r="G441" i="2"/>
  <c r="G481" i="2"/>
  <c r="G505" i="2"/>
  <c r="G15" i="2"/>
  <c r="G121" i="2"/>
  <c r="G184" i="2"/>
  <c r="G217" i="2"/>
  <c r="G249" i="2"/>
  <c r="G281" i="2"/>
  <c r="G313" i="2"/>
  <c r="G345" i="2"/>
  <c r="G370" i="2"/>
  <c r="G394" i="2"/>
  <c r="G418" i="2"/>
  <c r="G442" i="2"/>
  <c r="G466" i="2"/>
  <c r="G490" i="2"/>
  <c r="E4" i="24"/>
  <c r="G4" i="24" s="1"/>
  <c r="G10" i="9"/>
  <c r="G14" i="9"/>
  <c r="G18" i="9"/>
  <c r="G22" i="9"/>
  <c r="G26" i="9"/>
  <c r="G30" i="9"/>
  <c r="G34" i="9"/>
  <c r="G38" i="9"/>
  <c r="G42" i="9"/>
  <c r="G46" i="9"/>
  <c r="G50" i="9"/>
  <c r="G54" i="9"/>
  <c r="G58" i="9"/>
  <c r="G62" i="9"/>
  <c r="G66" i="9"/>
  <c r="G17" i="9"/>
  <c r="G37" i="9"/>
  <c r="G45" i="9"/>
  <c r="G53" i="9"/>
  <c r="G61" i="9"/>
  <c r="G69" i="9"/>
  <c r="G11" i="9"/>
  <c r="G15" i="9"/>
  <c r="G19" i="9"/>
  <c r="G23" i="9"/>
  <c r="G27" i="9"/>
  <c r="G31" i="9"/>
  <c r="G35" i="9"/>
  <c r="G39" i="9"/>
  <c r="G43" i="9"/>
  <c r="G47" i="9"/>
  <c r="G51" i="9"/>
  <c r="G55" i="9"/>
  <c r="G59" i="9"/>
  <c r="G63" i="9"/>
  <c r="G67" i="9"/>
  <c r="E4" i="9"/>
  <c r="G4" i="9" s="1"/>
  <c r="G13" i="9"/>
  <c r="G12" i="9"/>
  <c r="G16" i="9"/>
  <c r="G20" i="9"/>
  <c r="G24" i="9"/>
  <c r="G28" i="9"/>
  <c r="G32" i="9"/>
  <c r="G36" i="9"/>
  <c r="G40" i="9"/>
  <c r="G44" i="9"/>
  <c r="G48" i="9"/>
  <c r="G52" i="9"/>
  <c r="G56" i="9"/>
  <c r="G60" i="9"/>
  <c r="G64" i="9"/>
  <c r="G68" i="9"/>
  <c r="G21" i="9"/>
  <c r="G25" i="9"/>
  <c r="G29" i="9"/>
  <c r="G33" i="9"/>
  <c r="G41" i="9"/>
  <c r="G49" i="9"/>
  <c r="G57" i="9"/>
  <c r="G65" i="9"/>
  <c r="E4" i="35"/>
  <c r="G4" i="35" s="1"/>
  <c r="E4" i="31"/>
  <c r="G4" i="31" s="1"/>
  <c r="G11" i="22"/>
  <c r="G15" i="22"/>
  <c r="G19" i="22"/>
  <c r="G23" i="22"/>
  <c r="G27" i="22"/>
  <c r="G31" i="22"/>
  <c r="G35" i="22"/>
  <c r="G39" i="22"/>
  <c r="G43" i="22"/>
  <c r="G47" i="22"/>
  <c r="G51" i="22"/>
  <c r="G55" i="22"/>
  <c r="G59" i="22"/>
  <c r="G63" i="22"/>
  <c r="G67" i="22"/>
  <c r="G71" i="22"/>
  <c r="G75" i="22"/>
  <c r="G79" i="22"/>
  <c r="G83" i="22"/>
  <c r="G87" i="22"/>
  <c r="G91" i="22"/>
  <c r="G95" i="22"/>
  <c r="G99" i="22"/>
  <c r="G103" i="22"/>
  <c r="G107" i="22"/>
  <c r="G111" i="22"/>
  <c r="G115" i="22"/>
  <c r="G119" i="22"/>
  <c r="G123" i="22"/>
  <c r="G127" i="22"/>
  <c r="G131" i="22"/>
  <c r="G135" i="22"/>
  <c r="G139" i="22"/>
  <c r="G143" i="22"/>
  <c r="G147" i="22"/>
  <c r="G151" i="22"/>
  <c r="G155" i="22"/>
  <c r="G159" i="22"/>
  <c r="G163" i="22"/>
  <c r="G167" i="22"/>
  <c r="G171" i="22"/>
  <c r="G175" i="22"/>
  <c r="G179" i="22"/>
  <c r="G183" i="22"/>
  <c r="G187" i="22"/>
  <c r="G191" i="22"/>
  <c r="G195" i="22"/>
  <c r="G199" i="22"/>
  <c r="G203" i="22"/>
  <c r="G207" i="22"/>
  <c r="G211" i="22"/>
  <c r="G215" i="22"/>
  <c r="G219" i="22"/>
  <c r="G223" i="22"/>
  <c r="G227" i="22"/>
  <c r="G231" i="22"/>
  <c r="G235" i="22"/>
  <c r="G239" i="22"/>
  <c r="G243" i="22"/>
  <c r="G247" i="22"/>
  <c r="G12" i="22"/>
  <c r="G16" i="22"/>
  <c r="G20" i="22"/>
  <c r="G24" i="22"/>
  <c r="G28" i="22"/>
  <c r="G32" i="22"/>
  <c r="G36" i="22"/>
  <c r="G40" i="22"/>
  <c r="G44" i="22"/>
  <c r="G48" i="22"/>
  <c r="G52" i="22"/>
  <c r="G56" i="22"/>
  <c r="G60" i="22"/>
  <c r="G64" i="22"/>
  <c r="G68" i="22"/>
  <c r="G72" i="22"/>
  <c r="G76" i="22"/>
  <c r="G80" i="22"/>
  <c r="G84" i="22"/>
  <c r="G88" i="22"/>
  <c r="G92" i="22"/>
  <c r="G96" i="22"/>
  <c r="G100" i="22"/>
  <c r="G104" i="22"/>
  <c r="G108" i="22"/>
  <c r="G112" i="22"/>
  <c r="G116" i="22"/>
  <c r="G120" i="22"/>
  <c r="G124" i="22"/>
  <c r="G128" i="22"/>
  <c r="G132" i="22"/>
  <c r="G136" i="22"/>
  <c r="G140" i="22"/>
  <c r="G144" i="22"/>
  <c r="G148" i="22"/>
  <c r="G152" i="22"/>
  <c r="G156" i="22"/>
  <c r="G160" i="22"/>
  <c r="G164" i="22"/>
  <c r="G168" i="22"/>
  <c r="G172" i="22"/>
  <c r="G176" i="22"/>
  <c r="G180" i="22"/>
  <c r="G184" i="22"/>
  <c r="G188" i="22"/>
  <c r="G192" i="22"/>
  <c r="G196" i="22"/>
  <c r="G200" i="22"/>
  <c r="G204" i="22"/>
  <c r="G208" i="22"/>
  <c r="G212" i="22"/>
  <c r="G216" i="22"/>
  <c r="G220" i="22"/>
  <c r="G224" i="22"/>
  <c r="G228" i="22"/>
  <c r="G232" i="22"/>
  <c r="G236" i="22"/>
  <c r="G240" i="22"/>
  <c r="G244" i="22"/>
  <c r="G248" i="22"/>
  <c r="G9" i="22"/>
  <c r="G13" i="22"/>
  <c r="G17" i="22"/>
  <c r="G21" i="22"/>
  <c r="G25" i="22"/>
  <c r="G29" i="22"/>
  <c r="G33" i="22"/>
  <c r="G37" i="22"/>
  <c r="G41" i="22"/>
  <c r="G45" i="22"/>
  <c r="G49" i="22"/>
  <c r="G53" i="22"/>
  <c r="G57" i="22"/>
  <c r="G61" i="22"/>
  <c r="G65" i="22"/>
  <c r="G69" i="22"/>
  <c r="G73" i="22"/>
  <c r="G77" i="22"/>
  <c r="G81" i="22"/>
  <c r="G85" i="22"/>
  <c r="G89" i="22"/>
  <c r="G93" i="22"/>
  <c r="G97" i="22"/>
  <c r="G101" i="22"/>
  <c r="G105" i="22"/>
  <c r="G109" i="22"/>
  <c r="G113" i="22"/>
  <c r="G117" i="22"/>
  <c r="G121" i="22"/>
  <c r="G125" i="22"/>
  <c r="G129" i="22"/>
  <c r="G133" i="22"/>
  <c r="G137" i="22"/>
  <c r="G141" i="22"/>
  <c r="G145" i="22"/>
  <c r="G149" i="22"/>
  <c r="G153" i="22"/>
  <c r="G157" i="22"/>
  <c r="G161" i="22"/>
  <c r="G165" i="22"/>
  <c r="G169" i="22"/>
  <c r="G173" i="22"/>
  <c r="G177" i="22"/>
  <c r="G181" i="22"/>
  <c r="G185" i="22"/>
  <c r="G189" i="22"/>
  <c r="G193" i="22"/>
  <c r="G197" i="22"/>
  <c r="G201" i="22"/>
  <c r="G205" i="22"/>
  <c r="G209" i="22"/>
  <c r="G213" i="22"/>
  <c r="G217" i="22"/>
  <c r="G221" i="22"/>
  <c r="G225" i="22"/>
  <c r="G229" i="22"/>
  <c r="G233" i="22"/>
  <c r="G237" i="22"/>
  <c r="G241" i="22"/>
  <c r="G245" i="22"/>
  <c r="G249" i="22"/>
  <c r="G22" i="22"/>
  <c r="G38" i="22"/>
  <c r="G54" i="22"/>
  <c r="G70" i="22"/>
  <c r="G86" i="22"/>
  <c r="G102" i="22"/>
  <c r="G118" i="22"/>
  <c r="G134" i="22"/>
  <c r="G150" i="22"/>
  <c r="G166" i="22"/>
  <c r="G182" i="22"/>
  <c r="G198" i="22"/>
  <c r="G214" i="22"/>
  <c r="G230" i="22"/>
  <c r="G246" i="22"/>
  <c r="G10" i="22"/>
  <c r="G26" i="22"/>
  <c r="G42" i="22"/>
  <c r="G58" i="22"/>
  <c r="G74" i="22"/>
  <c r="G90" i="22"/>
  <c r="G106" i="22"/>
  <c r="G122" i="22"/>
  <c r="G138" i="22"/>
  <c r="G154" i="22"/>
  <c r="G170" i="22"/>
  <c r="G186" i="22"/>
  <c r="G202" i="22"/>
  <c r="G218" i="22"/>
  <c r="G234" i="22"/>
  <c r="G250" i="22"/>
  <c r="G14" i="22"/>
  <c r="G30" i="22"/>
  <c r="G46" i="22"/>
  <c r="G62" i="22"/>
  <c r="G78" i="22"/>
  <c r="G94" i="22"/>
  <c r="G110" i="22"/>
  <c r="G126" i="22"/>
  <c r="G142" i="22"/>
  <c r="G158" i="22"/>
  <c r="G174" i="22"/>
  <c r="G190" i="22"/>
  <c r="G206" i="22"/>
  <c r="G222" i="22"/>
  <c r="G238" i="22"/>
  <c r="G18" i="22"/>
  <c r="G34" i="22"/>
  <c r="G50" i="22"/>
  <c r="G66" i="22"/>
  <c r="G82" i="22"/>
  <c r="G98" i="22"/>
  <c r="G114" i="22"/>
  <c r="G130" i="22"/>
  <c r="G146" i="22"/>
  <c r="G162" i="22"/>
  <c r="G178" i="22"/>
  <c r="G194" i="22"/>
  <c r="G210" i="22"/>
  <c r="G226" i="22"/>
  <c r="G242" i="22"/>
  <c r="G9" i="28"/>
  <c r="G13" i="28"/>
  <c r="G17" i="28"/>
  <c r="G21" i="28"/>
  <c r="G25" i="28"/>
  <c r="G29" i="28"/>
  <c r="G33" i="28"/>
  <c r="G37" i="28"/>
  <c r="G41" i="28"/>
  <c r="G45" i="28"/>
  <c r="G49" i="28"/>
  <c r="G53" i="28"/>
  <c r="G57" i="28"/>
  <c r="G61" i="28"/>
  <c r="G65" i="28"/>
  <c r="G69" i="28"/>
  <c r="G73" i="28"/>
  <c r="G77" i="28"/>
  <c r="G81" i="28"/>
  <c r="G85" i="28"/>
  <c r="G89" i="28"/>
  <c r="G93" i="28"/>
  <c r="G97" i="28"/>
  <c r="G101" i="28"/>
  <c r="G105" i="28"/>
  <c r="G109" i="28"/>
  <c r="G113" i="28"/>
  <c r="G117" i="28"/>
  <c r="G121" i="28"/>
  <c r="G125" i="28"/>
  <c r="G129" i="28"/>
  <c r="G133" i="28"/>
  <c r="G137" i="28"/>
  <c r="G141" i="28"/>
  <c r="G145" i="28"/>
  <c r="G149" i="28"/>
  <c r="G153" i="28"/>
  <c r="G157" i="28"/>
  <c r="G161" i="28"/>
  <c r="G165" i="28"/>
  <c r="G169" i="28"/>
  <c r="G173" i="28"/>
  <c r="G177" i="28"/>
  <c r="G181" i="28"/>
  <c r="G185" i="28"/>
  <c r="G189" i="28"/>
  <c r="G193" i="28"/>
  <c r="G197" i="28"/>
  <c r="G201" i="28"/>
  <c r="G205" i="28"/>
  <c r="G209" i="28"/>
  <c r="G213" i="28"/>
  <c r="G217" i="28"/>
  <c r="G221" i="28"/>
  <c r="G225" i="28"/>
  <c r="G229" i="28"/>
  <c r="G233" i="28"/>
  <c r="G237" i="28"/>
  <c r="G241" i="28"/>
  <c r="G245" i="28"/>
  <c r="G249" i="28"/>
  <c r="G253" i="28"/>
  <c r="G257" i="28"/>
  <c r="G261" i="28"/>
  <c r="G265" i="28"/>
  <c r="G269" i="28"/>
  <c r="G273" i="28"/>
  <c r="G277" i="28"/>
  <c r="G281" i="28"/>
  <c r="G285" i="28"/>
  <c r="G289" i="28"/>
  <c r="G293" i="28"/>
  <c r="G297" i="28"/>
  <c r="G301" i="28"/>
  <c r="G305" i="28"/>
  <c r="G309" i="28"/>
  <c r="G313" i="28"/>
  <c r="G317" i="28"/>
  <c r="G321" i="28"/>
  <c r="G325" i="28"/>
  <c r="G329" i="28"/>
  <c r="G333" i="28"/>
  <c r="G337" i="28"/>
  <c r="G341" i="28"/>
  <c r="G345" i="28"/>
  <c r="G349" i="28"/>
  <c r="G353" i="28"/>
  <c r="G357" i="28"/>
  <c r="G361" i="28"/>
  <c r="G10" i="28"/>
  <c r="G14" i="28"/>
  <c r="G18" i="28"/>
  <c r="G22" i="28"/>
  <c r="G26" i="28"/>
  <c r="G30" i="28"/>
  <c r="G34" i="28"/>
  <c r="G38" i="28"/>
  <c r="G42" i="28"/>
  <c r="G46" i="28"/>
  <c r="G50" i="28"/>
  <c r="G54" i="28"/>
  <c r="G58" i="28"/>
  <c r="G62" i="28"/>
  <c r="G66" i="28"/>
  <c r="G70" i="28"/>
  <c r="G74" i="28"/>
  <c r="G78" i="28"/>
  <c r="G82" i="28"/>
  <c r="G86" i="28"/>
  <c r="G90" i="28"/>
  <c r="G94" i="28"/>
  <c r="G98" i="28"/>
  <c r="G102" i="28"/>
  <c r="G106" i="28"/>
  <c r="G110" i="28"/>
  <c r="G114" i="28"/>
  <c r="G118" i="28"/>
  <c r="G122" i="28"/>
  <c r="G126" i="28"/>
  <c r="G130" i="28"/>
  <c r="G134" i="28"/>
  <c r="G138" i="28"/>
  <c r="G142" i="28"/>
  <c r="G146" i="28"/>
  <c r="G150" i="28"/>
  <c r="G154" i="28"/>
  <c r="G158" i="28"/>
  <c r="G162" i="28"/>
  <c r="G166" i="28"/>
  <c r="G170" i="28"/>
  <c r="G174" i="28"/>
  <c r="G178" i="28"/>
  <c r="G182" i="28"/>
  <c r="G186" i="28"/>
  <c r="G190" i="28"/>
  <c r="G194" i="28"/>
  <c r="G198" i="28"/>
  <c r="G202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278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354" i="28"/>
  <c r="G358" i="28"/>
  <c r="G362" i="28"/>
  <c r="G15" i="28"/>
  <c r="G23" i="28"/>
  <c r="G31" i="28"/>
  <c r="G39" i="28"/>
  <c r="G47" i="28"/>
  <c r="G55" i="28"/>
  <c r="G63" i="28"/>
  <c r="G71" i="28"/>
  <c r="G79" i="28"/>
  <c r="G87" i="28"/>
  <c r="G95" i="28"/>
  <c r="G103" i="28"/>
  <c r="G111" i="28"/>
  <c r="G119" i="28"/>
  <c r="G127" i="28"/>
  <c r="G135" i="28"/>
  <c r="G143" i="28"/>
  <c r="G151" i="28"/>
  <c r="G159" i="28"/>
  <c r="G167" i="28"/>
  <c r="G175" i="28"/>
  <c r="G183" i="28"/>
  <c r="G191" i="28"/>
  <c r="G199" i="28"/>
  <c r="G207" i="28"/>
  <c r="G215" i="28"/>
  <c r="G223" i="28"/>
  <c r="G231" i="28"/>
  <c r="G239" i="28"/>
  <c r="G247" i="28"/>
  <c r="G255" i="28"/>
  <c r="G263" i="28"/>
  <c r="G271" i="28"/>
  <c r="G279" i="28"/>
  <c r="G287" i="28"/>
  <c r="G295" i="28"/>
  <c r="G303" i="28"/>
  <c r="G311" i="28"/>
  <c r="G319" i="28"/>
  <c r="G327" i="28"/>
  <c r="G335" i="28"/>
  <c r="G343" i="28"/>
  <c r="G351" i="28"/>
  <c r="G359" i="28"/>
  <c r="G16" i="28"/>
  <c r="G24" i="28"/>
  <c r="G32" i="28"/>
  <c r="G40" i="28"/>
  <c r="G48" i="28"/>
  <c r="G56" i="28"/>
  <c r="G64" i="28"/>
  <c r="G72" i="28"/>
  <c r="G80" i="28"/>
  <c r="G88" i="28"/>
  <c r="G96" i="28"/>
  <c r="G104" i="28"/>
  <c r="G112" i="28"/>
  <c r="G120" i="28"/>
  <c r="G128" i="28"/>
  <c r="G136" i="28"/>
  <c r="G144" i="28"/>
  <c r="G152" i="28"/>
  <c r="G160" i="28"/>
  <c r="G168" i="28"/>
  <c r="G176" i="28"/>
  <c r="G184" i="28"/>
  <c r="G192" i="28"/>
  <c r="G200" i="28"/>
  <c r="G208" i="28"/>
  <c r="G216" i="28"/>
  <c r="G224" i="28"/>
  <c r="G232" i="28"/>
  <c r="G240" i="28"/>
  <c r="G248" i="28"/>
  <c r="G256" i="28"/>
  <c r="G264" i="28"/>
  <c r="G272" i="28"/>
  <c r="G280" i="28"/>
  <c r="G288" i="28"/>
  <c r="G296" i="28"/>
  <c r="G304" i="28"/>
  <c r="G312" i="28"/>
  <c r="G320" i="28"/>
  <c r="G328" i="28"/>
  <c r="G336" i="28"/>
  <c r="G344" i="28"/>
  <c r="G352" i="28"/>
  <c r="G360" i="28"/>
  <c r="G11" i="28"/>
  <c r="G19" i="28"/>
  <c r="G27" i="28"/>
  <c r="G35" i="28"/>
  <c r="G43" i="28"/>
  <c r="G51" i="28"/>
  <c r="G59" i="28"/>
  <c r="G67" i="28"/>
  <c r="G75" i="28"/>
  <c r="G83" i="28"/>
  <c r="G91" i="28"/>
  <c r="G99" i="28"/>
  <c r="G107" i="28"/>
  <c r="G115" i="28"/>
  <c r="G123" i="28"/>
  <c r="G131" i="28"/>
  <c r="G139" i="28"/>
  <c r="G147" i="28"/>
  <c r="G155" i="28"/>
  <c r="G163" i="28"/>
  <c r="G171" i="28"/>
  <c r="G179" i="28"/>
  <c r="G187" i="28"/>
  <c r="G195" i="28"/>
  <c r="G203" i="28"/>
  <c r="G211" i="28"/>
  <c r="G219" i="28"/>
  <c r="G227" i="28"/>
  <c r="G235" i="28"/>
  <c r="G243" i="28"/>
  <c r="G251" i="28"/>
  <c r="G259" i="28"/>
  <c r="G267" i="28"/>
  <c r="G275" i="28"/>
  <c r="G283" i="28"/>
  <c r="G291" i="28"/>
  <c r="G299" i="28"/>
  <c r="G307" i="28"/>
  <c r="G315" i="28"/>
  <c r="G323" i="28"/>
  <c r="G331" i="28"/>
  <c r="G339" i="28"/>
  <c r="G347" i="28"/>
  <c r="G355" i="28"/>
  <c r="G363" i="28"/>
  <c r="G28" i="28"/>
  <c r="G60" i="28"/>
  <c r="G92" i="28"/>
  <c r="G124" i="28"/>
  <c r="G156" i="28"/>
  <c r="G188" i="28"/>
  <c r="G220" i="28"/>
  <c r="G252" i="28"/>
  <c r="G284" i="28"/>
  <c r="G316" i="28"/>
  <c r="G348" i="28"/>
  <c r="G36" i="28"/>
  <c r="G68" i="28"/>
  <c r="G100" i="28"/>
  <c r="G132" i="28"/>
  <c r="G164" i="28"/>
  <c r="G196" i="28"/>
  <c r="G228" i="28"/>
  <c r="G260" i="28"/>
  <c r="G292" i="28"/>
  <c r="G324" i="28"/>
  <c r="G356" i="28"/>
  <c r="G12" i="28"/>
  <c r="G44" i="28"/>
  <c r="G76" i="28"/>
  <c r="G108" i="28"/>
  <c r="G140" i="28"/>
  <c r="G172" i="28"/>
  <c r="G204" i="28"/>
  <c r="G236" i="28"/>
  <c r="G268" i="28"/>
  <c r="G300" i="28"/>
  <c r="G332" i="28"/>
  <c r="G364" i="28"/>
  <c r="G20" i="28"/>
  <c r="G52" i="28"/>
  <c r="G84" i="28"/>
  <c r="G116" i="28"/>
  <c r="G148" i="28"/>
  <c r="G180" i="28"/>
  <c r="G212" i="28"/>
  <c r="G244" i="28"/>
  <c r="G276" i="28"/>
  <c r="G308" i="28"/>
  <c r="G340" i="28"/>
  <c r="G9" i="35"/>
  <c r="G13" i="35"/>
  <c r="G17" i="35"/>
  <c r="G21" i="35"/>
  <c r="G25" i="35"/>
  <c r="G29" i="35"/>
  <c r="G33" i="35"/>
  <c r="G37" i="35"/>
  <c r="G41" i="35"/>
  <c r="G45" i="35"/>
  <c r="G49" i="35"/>
  <c r="G53" i="35"/>
  <c r="G57" i="35"/>
  <c r="G61" i="35"/>
  <c r="G65" i="35"/>
  <c r="G69" i="35"/>
  <c r="G73" i="35"/>
  <c r="G77" i="35"/>
  <c r="G81" i="35"/>
  <c r="G85" i="35"/>
  <c r="G89" i="35"/>
  <c r="G93" i="35"/>
  <c r="G97" i="35"/>
  <c r="G101" i="35"/>
  <c r="G105" i="35"/>
  <c r="G109" i="35"/>
  <c r="G113" i="35"/>
  <c r="G117" i="35"/>
  <c r="G121" i="35"/>
  <c r="G125" i="35"/>
  <c r="G129" i="35"/>
  <c r="G133" i="35"/>
  <c r="G137" i="35"/>
  <c r="G141" i="35"/>
  <c r="G145" i="35"/>
  <c r="G149" i="35"/>
  <c r="G153" i="35"/>
  <c r="G157" i="35"/>
  <c r="G161" i="35"/>
  <c r="G10" i="35"/>
  <c r="G14" i="35"/>
  <c r="G18" i="35"/>
  <c r="G22" i="35"/>
  <c r="G26" i="35"/>
  <c r="G30" i="35"/>
  <c r="G34" i="35"/>
  <c r="G38" i="35"/>
  <c r="G42" i="35"/>
  <c r="G46" i="35"/>
  <c r="G50" i="35"/>
  <c r="G54" i="35"/>
  <c r="G58" i="35"/>
  <c r="G62" i="35"/>
  <c r="G66" i="35"/>
  <c r="G70" i="35"/>
  <c r="G74" i="35"/>
  <c r="G78" i="35"/>
  <c r="G82" i="35"/>
  <c r="G86" i="35"/>
  <c r="G90" i="35"/>
  <c r="G94" i="35"/>
  <c r="G98" i="35"/>
  <c r="G102" i="35"/>
  <c r="G106" i="35"/>
  <c r="G110" i="35"/>
  <c r="G114" i="35"/>
  <c r="G118" i="35"/>
  <c r="G122" i="35"/>
  <c r="G126" i="35"/>
  <c r="G130" i="35"/>
  <c r="G134" i="35"/>
  <c r="G138" i="35"/>
  <c r="G142" i="35"/>
  <c r="G146" i="35"/>
  <c r="G150" i="35"/>
  <c r="G154" i="35"/>
  <c r="G158" i="35"/>
  <c r="G162" i="35"/>
  <c r="G15" i="35"/>
  <c r="G23" i="35"/>
  <c r="G31" i="35"/>
  <c r="G39" i="35"/>
  <c r="G47" i="35"/>
  <c r="G55" i="35"/>
  <c r="G63" i="35"/>
  <c r="G71" i="35"/>
  <c r="G79" i="35"/>
  <c r="G87" i="35"/>
  <c r="G95" i="35"/>
  <c r="G103" i="35"/>
  <c r="G111" i="35"/>
  <c r="G119" i="35"/>
  <c r="G127" i="35"/>
  <c r="G135" i="35"/>
  <c r="G143" i="35"/>
  <c r="G151" i="35"/>
  <c r="G159" i="35"/>
  <c r="G16" i="35"/>
  <c r="G24" i="35"/>
  <c r="G32" i="35"/>
  <c r="G40" i="35"/>
  <c r="G48" i="35"/>
  <c r="G56" i="35"/>
  <c r="G64" i="35"/>
  <c r="G72" i="35"/>
  <c r="G80" i="35"/>
  <c r="G88" i="35"/>
  <c r="G96" i="35"/>
  <c r="G104" i="35"/>
  <c r="G112" i="35"/>
  <c r="G120" i="35"/>
  <c r="G128" i="35"/>
  <c r="G136" i="35"/>
  <c r="G144" i="35"/>
  <c r="G152" i="35"/>
  <c r="G160" i="35"/>
  <c r="G11" i="35"/>
  <c r="G27" i="35"/>
  <c r="G43" i="35"/>
  <c r="G59" i="35"/>
  <c r="G75" i="35"/>
  <c r="G91" i="35"/>
  <c r="G107" i="35"/>
  <c r="G123" i="35"/>
  <c r="G139" i="35"/>
  <c r="G155" i="35"/>
  <c r="G12" i="35"/>
  <c r="G28" i="35"/>
  <c r="G44" i="35"/>
  <c r="G60" i="35"/>
  <c r="G76" i="35"/>
  <c r="G92" i="35"/>
  <c r="G108" i="35"/>
  <c r="G124" i="35"/>
  <c r="G140" i="35"/>
  <c r="G156" i="35"/>
  <c r="G19" i="35"/>
  <c r="G35" i="35"/>
  <c r="G51" i="35"/>
  <c r="G67" i="35"/>
  <c r="G83" i="35"/>
  <c r="G99" i="35"/>
  <c r="G115" i="35"/>
  <c r="G131" i="35"/>
  <c r="G147" i="35"/>
  <c r="G163" i="35"/>
  <c r="G36" i="35"/>
  <c r="G100" i="35"/>
  <c r="G52" i="35"/>
  <c r="G116" i="35"/>
  <c r="G68" i="35"/>
  <c r="G132" i="35"/>
  <c r="G20" i="35"/>
  <c r="G84" i="35"/>
  <c r="G148" i="35"/>
  <c r="G9" i="13"/>
  <c r="G13" i="13"/>
  <c r="G17" i="13"/>
  <c r="G21" i="13"/>
  <c r="G25" i="13"/>
  <c r="G29" i="13"/>
  <c r="G33" i="13"/>
  <c r="G37" i="13"/>
  <c r="G41" i="13"/>
  <c r="G45" i="13"/>
  <c r="G49" i="13"/>
  <c r="G53" i="13"/>
  <c r="G57" i="13"/>
  <c r="G61" i="13"/>
  <c r="G65" i="13"/>
  <c r="G69" i="13"/>
  <c r="G10" i="13"/>
  <c r="G14" i="13"/>
  <c r="G18" i="13"/>
  <c r="G22" i="13"/>
  <c r="G26" i="13"/>
  <c r="G30" i="13"/>
  <c r="G34" i="13"/>
  <c r="G38" i="13"/>
  <c r="G42" i="13"/>
  <c r="G46" i="13"/>
  <c r="G50" i="13"/>
  <c r="G54" i="13"/>
  <c r="G58" i="13"/>
  <c r="G62" i="13"/>
  <c r="G66" i="13"/>
  <c r="G11" i="13"/>
  <c r="G15" i="13"/>
  <c r="G19" i="13"/>
  <c r="G23" i="13"/>
  <c r="G27" i="13"/>
  <c r="G31" i="13"/>
  <c r="G35" i="13"/>
  <c r="G39" i="13"/>
  <c r="G43" i="13"/>
  <c r="G47" i="13"/>
  <c r="G51" i="13"/>
  <c r="G55" i="13"/>
  <c r="G59" i="13"/>
  <c r="G63" i="13"/>
  <c r="G67" i="13"/>
  <c r="G12" i="13"/>
  <c r="G16" i="13"/>
  <c r="G20" i="13"/>
  <c r="G24" i="13"/>
  <c r="G28" i="13"/>
  <c r="G32" i="13"/>
  <c r="G36" i="13"/>
  <c r="G40" i="13"/>
  <c r="G44" i="13"/>
  <c r="G48" i="13"/>
  <c r="G52" i="13"/>
  <c r="G56" i="13"/>
  <c r="G60" i="13"/>
  <c r="G64" i="13"/>
  <c r="G68" i="13"/>
  <c r="G9" i="16"/>
  <c r="G13" i="16"/>
  <c r="G17" i="16"/>
  <c r="G21" i="16"/>
  <c r="G25" i="16"/>
  <c r="G29" i="16"/>
  <c r="G33" i="16"/>
  <c r="G37" i="16"/>
  <c r="G41" i="16"/>
  <c r="G45" i="16"/>
  <c r="G49" i="16"/>
  <c r="G53" i="16"/>
  <c r="G57" i="16"/>
  <c r="G61" i="16"/>
  <c r="G65" i="16"/>
  <c r="G69" i="16"/>
  <c r="G10" i="16"/>
  <c r="G14" i="16"/>
  <c r="G18" i="16"/>
  <c r="G22" i="16"/>
  <c r="G26" i="16"/>
  <c r="G30" i="16"/>
  <c r="G34" i="16"/>
  <c r="G38" i="16"/>
  <c r="G42" i="16"/>
  <c r="G46" i="16"/>
  <c r="G50" i="16"/>
  <c r="G54" i="16"/>
  <c r="G58" i="16"/>
  <c r="G62" i="16"/>
  <c r="G66" i="16"/>
  <c r="G11" i="16"/>
  <c r="G15" i="16"/>
  <c r="G19" i="16"/>
  <c r="G23" i="16"/>
  <c r="G27" i="16"/>
  <c r="G31" i="16"/>
  <c r="G35" i="16"/>
  <c r="G39" i="16"/>
  <c r="G43" i="16"/>
  <c r="G47" i="16"/>
  <c r="G51" i="16"/>
  <c r="G55" i="16"/>
  <c r="G59" i="16"/>
  <c r="G63" i="16"/>
  <c r="G67" i="16"/>
  <c r="G12" i="16"/>
  <c r="G16" i="16"/>
  <c r="G20" i="16"/>
  <c r="G24" i="16"/>
  <c r="G28" i="16"/>
  <c r="G32" i="16"/>
  <c r="G36" i="16"/>
  <c r="G40" i="16"/>
  <c r="G44" i="16"/>
  <c r="G48" i="16"/>
  <c r="G52" i="16"/>
  <c r="G56" i="16"/>
  <c r="G60" i="16"/>
  <c r="G64" i="16"/>
  <c r="G68" i="16"/>
  <c r="G11" i="19"/>
  <c r="G15" i="19"/>
  <c r="G19" i="19"/>
  <c r="G23" i="19"/>
  <c r="G27" i="19"/>
  <c r="G31" i="19"/>
  <c r="G35" i="19"/>
  <c r="G39" i="19"/>
  <c r="G43" i="19"/>
  <c r="G47" i="19"/>
  <c r="G51" i="19"/>
  <c r="G55" i="19"/>
  <c r="G59" i="19"/>
  <c r="G63" i="19"/>
  <c r="G67" i="19"/>
  <c r="G71" i="19"/>
  <c r="G75" i="19"/>
  <c r="G79" i="19"/>
  <c r="G83" i="19"/>
  <c r="G87" i="19"/>
  <c r="G91" i="19"/>
  <c r="G95" i="19"/>
  <c r="G99" i="19"/>
  <c r="G103" i="19"/>
  <c r="G107" i="19"/>
  <c r="G111" i="19"/>
  <c r="G115" i="19"/>
  <c r="G119" i="19"/>
  <c r="G123" i="19"/>
  <c r="G127" i="19"/>
  <c r="G131" i="19"/>
  <c r="G135" i="19"/>
  <c r="G139" i="19"/>
  <c r="G143" i="19"/>
  <c r="G147" i="19"/>
  <c r="G151" i="19"/>
  <c r="G155" i="19"/>
  <c r="G159" i="19"/>
  <c r="G163" i="19"/>
  <c r="G167" i="19"/>
  <c r="G171" i="19"/>
  <c r="G12" i="19"/>
  <c r="G16" i="19"/>
  <c r="G20" i="19"/>
  <c r="G24" i="19"/>
  <c r="G28" i="19"/>
  <c r="G32" i="19"/>
  <c r="G36" i="19"/>
  <c r="G40" i="19"/>
  <c r="G44" i="19"/>
  <c r="G48" i="19"/>
  <c r="G52" i="19"/>
  <c r="G56" i="19"/>
  <c r="G60" i="19"/>
  <c r="G64" i="19"/>
  <c r="G68" i="19"/>
  <c r="G72" i="19"/>
  <c r="G76" i="19"/>
  <c r="G80" i="19"/>
  <c r="G84" i="19"/>
  <c r="G88" i="19"/>
  <c r="G92" i="19"/>
  <c r="G96" i="19"/>
  <c r="G100" i="19"/>
  <c r="G104" i="19"/>
  <c r="G108" i="19"/>
  <c r="G112" i="19"/>
  <c r="G116" i="19"/>
  <c r="G120" i="19"/>
  <c r="G124" i="19"/>
  <c r="G128" i="19"/>
  <c r="G132" i="19"/>
  <c r="G136" i="19"/>
  <c r="G140" i="19"/>
  <c r="G144" i="19"/>
  <c r="G148" i="19"/>
  <c r="G152" i="19"/>
  <c r="G156" i="19"/>
  <c r="G160" i="19"/>
  <c r="G164" i="19"/>
  <c r="G168" i="19"/>
  <c r="G172" i="19"/>
  <c r="G9" i="19"/>
  <c r="G13" i="19"/>
  <c r="G17" i="19"/>
  <c r="G21" i="19"/>
  <c r="G25" i="19"/>
  <c r="G29" i="19"/>
  <c r="G33" i="19"/>
  <c r="G37" i="19"/>
  <c r="G41" i="19"/>
  <c r="G45" i="19"/>
  <c r="G49" i="19"/>
  <c r="G53" i="19"/>
  <c r="G57" i="19"/>
  <c r="G61" i="19"/>
  <c r="G65" i="19"/>
  <c r="G69" i="19"/>
  <c r="G73" i="19"/>
  <c r="G77" i="19"/>
  <c r="G81" i="19"/>
  <c r="G85" i="19"/>
  <c r="G89" i="19"/>
  <c r="G93" i="19"/>
  <c r="G97" i="19"/>
  <c r="G101" i="19"/>
  <c r="G105" i="19"/>
  <c r="G109" i="19"/>
  <c r="G113" i="19"/>
  <c r="G117" i="19"/>
  <c r="G121" i="19"/>
  <c r="G125" i="19"/>
  <c r="G129" i="19"/>
  <c r="G133" i="19"/>
  <c r="G137" i="19"/>
  <c r="G141" i="19"/>
  <c r="G145" i="19"/>
  <c r="G149" i="19"/>
  <c r="G153" i="19"/>
  <c r="G157" i="19"/>
  <c r="G161" i="19"/>
  <c r="G165" i="19"/>
  <c r="G169" i="19"/>
  <c r="G18" i="19"/>
  <c r="G34" i="19"/>
  <c r="G50" i="19"/>
  <c r="G66" i="19"/>
  <c r="G82" i="19"/>
  <c r="G98" i="19"/>
  <c r="G114" i="19"/>
  <c r="G130" i="19"/>
  <c r="G146" i="19"/>
  <c r="G162" i="19"/>
  <c r="G22" i="19"/>
  <c r="G38" i="19"/>
  <c r="G54" i="19"/>
  <c r="G70" i="19"/>
  <c r="G86" i="19"/>
  <c r="G102" i="19"/>
  <c r="G118" i="19"/>
  <c r="G134" i="19"/>
  <c r="G150" i="19"/>
  <c r="G166" i="19"/>
  <c r="G10" i="19"/>
  <c r="G26" i="19"/>
  <c r="G42" i="19"/>
  <c r="G58" i="19"/>
  <c r="G74" i="19"/>
  <c r="G90" i="19"/>
  <c r="G106" i="19"/>
  <c r="G122" i="19"/>
  <c r="G138" i="19"/>
  <c r="G154" i="19"/>
  <c r="G170" i="19"/>
  <c r="G14" i="19"/>
  <c r="G30" i="19"/>
  <c r="G46" i="19"/>
  <c r="G62" i="19"/>
  <c r="G78" i="19"/>
  <c r="G94" i="19"/>
  <c r="G110" i="19"/>
  <c r="G126" i="19"/>
  <c r="G142" i="19"/>
  <c r="G158" i="19"/>
  <c r="G9" i="20"/>
  <c r="G13" i="20"/>
  <c r="G17" i="20"/>
  <c r="G21" i="20"/>
  <c r="G25" i="20"/>
  <c r="G29" i="20"/>
  <c r="G33" i="20"/>
  <c r="G37" i="20"/>
  <c r="G41" i="20"/>
  <c r="G45" i="20"/>
  <c r="G49" i="20"/>
  <c r="G53" i="20"/>
  <c r="G57" i="20"/>
  <c r="G61" i="20"/>
  <c r="G65" i="20"/>
  <c r="G69" i="20"/>
  <c r="G73" i="20"/>
  <c r="G77" i="20"/>
  <c r="G81" i="20"/>
  <c r="G85" i="20"/>
  <c r="G89" i="20"/>
  <c r="G93" i="20"/>
  <c r="G97" i="20"/>
  <c r="G101" i="20"/>
  <c r="G105" i="20"/>
  <c r="G109" i="20"/>
  <c r="G113" i="20"/>
  <c r="G117" i="20"/>
  <c r="G121" i="20"/>
  <c r="G10" i="20"/>
  <c r="G14" i="20"/>
  <c r="G18" i="20"/>
  <c r="G22" i="20"/>
  <c r="G26" i="20"/>
  <c r="G30" i="20"/>
  <c r="G34" i="20"/>
  <c r="G38" i="20"/>
  <c r="G42" i="20"/>
  <c r="G46" i="20"/>
  <c r="G50" i="20"/>
  <c r="G54" i="20"/>
  <c r="G58" i="20"/>
  <c r="G62" i="20"/>
  <c r="G66" i="20"/>
  <c r="G70" i="20"/>
  <c r="G74" i="20"/>
  <c r="G78" i="20"/>
  <c r="G82" i="20"/>
  <c r="G86" i="20"/>
  <c r="G90" i="20"/>
  <c r="G94" i="20"/>
  <c r="G98" i="20"/>
  <c r="G102" i="20"/>
  <c r="G106" i="20"/>
  <c r="G110" i="20"/>
  <c r="G114" i="20"/>
  <c r="G118" i="20"/>
  <c r="G122" i="20"/>
  <c r="G11" i="20"/>
  <c r="G15" i="20"/>
  <c r="G19" i="20"/>
  <c r="G23" i="20"/>
  <c r="G27" i="20"/>
  <c r="G31" i="20"/>
  <c r="G35" i="20"/>
  <c r="G39" i="20"/>
  <c r="G43" i="20"/>
  <c r="G47" i="20"/>
  <c r="G51" i="20"/>
  <c r="G55" i="20"/>
  <c r="G59" i="20"/>
  <c r="G63" i="20"/>
  <c r="G67" i="20"/>
  <c r="G71" i="20"/>
  <c r="G75" i="20"/>
  <c r="G79" i="20"/>
  <c r="G83" i="20"/>
  <c r="G87" i="20"/>
  <c r="G91" i="20"/>
  <c r="G95" i="20"/>
  <c r="G99" i="20"/>
  <c r="G103" i="20"/>
  <c r="G107" i="20"/>
  <c r="G111" i="20"/>
  <c r="G115" i="20"/>
  <c r="G119" i="20"/>
  <c r="G20" i="20"/>
  <c r="G36" i="20"/>
  <c r="G52" i="20"/>
  <c r="G68" i="20"/>
  <c r="G84" i="20"/>
  <c r="G100" i="20"/>
  <c r="G116" i="20"/>
  <c r="G24" i="20"/>
  <c r="G40" i="20"/>
  <c r="G56" i="20"/>
  <c r="G72" i="20"/>
  <c r="G88" i="20"/>
  <c r="G104" i="20"/>
  <c r="G120" i="20"/>
  <c r="G12" i="20"/>
  <c r="G28" i="20"/>
  <c r="G44" i="20"/>
  <c r="G60" i="20"/>
  <c r="G76" i="20"/>
  <c r="G92" i="20"/>
  <c r="G108" i="20"/>
  <c r="G16" i="20"/>
  <c r="G32" i="20"/>
  <c r="G48" i="20"/>
  <c r="G64" i="20"/>
  <c r="G80" i="20"/>
  <c r="G96" i="20"/>
  <c r="G112" i="20"/>
  <c r="G10" i="5"/>
  <c r="G14" i="5"/>
  <c r="G18" i="5"/>
  <c r="G22" i="5"/>
  <c r="G26" i="5"/>
  <c r="G30" i="5"/>
  <c r="G34" i="5"/>
  <c r="G38" i="5"/>
  <c r="G42" i="5"/>
  <c r="G46" i="5"/>
  <c r="G50" i="5"/>
  <c r="G54" i="5"/>
  <c r="G58" i="5"/>
  <c r="G62" i="5"/>
  <c r="G66" i="5"/>
  <c r="G70" i="5"/>
  <c r="G74" i="5"/>
  <c r="G78" i="5"/>
  <c r="G82" i="5"/>
  <c r="G86" i="5"/>
  <c r="G90" i="5"/>
  <c r="G94" i="5"/>
  <c r="G98" i="5"/>
  <c r="G102" i="5"/>
  <c r="G106" i="5"/>
  <c r="G110" i="5"/>
  <c r="G114" i="5"/>
  <c r="G118" i="5"/>
  <c r="G122" i="5"/>
  <c r="G126" i="5"/>
  <c r="G130" i="5"/>
  <c r="G134" i="5"/>
  <c r="G138" i="5"/>
  <c r="G142" i="5"/>
  <c r="G146" i="5"/>
  <c r="G150" i="5"/>
  <c r="G154" i="5"/>
  <c r="G158" i="5"/>
  <c r="G162" i="5"/>
  <c r="G166" i="5"/>
  <c r="G170" i="5"/>
  <c r="G174" i="5"/>
  <c r="G178" i="5"/>
  <c r="G182" i="5"/>
  <c r="G186" i="5"/>
  <c r="G190" i="5"/>
  <c r="G194" i="5"/>
  <c r="G198" i="5"/>
  <c r="G202" i="5"/>
  <c r="G206" i="5"/>
  <c r="G210" i="5"/>
  <c r="G214" i="5"/>
  <c r="G218" i="5"/>
  <c r="G222" i="5"/>
  <c r="G226" i="5"/>
  <c r="G230" i="5"/>
  <c r="G234" i="5"/>
  <c r="G238" i="5"/>
  <c r="G242" i="5"/>
  <c r="G246" i="5"/>
  <c r="G250" i="5"/>
  <c r="G254" i="5"/>
  <c r="G258" i="5"/>
  <c r="G262" i="5"/>
  <c r="G266" i="5"/>
  <c r="G270" i="5"/>
  <c r="G274" i="5"/>
  <c r="G278" i="5"/>
  <c r="G282" i="5"/>
  <c r="G286" i="5"/>
  <c r="G291" i="5"/>
  <c r="G11" i="5"/>
  <c r="G15" i="5"/>
  <c r="G19" i="5"/>
  <c r="G23" i="5"/>
  <c r="G27" i="5"/>
  <c r="G31" i="5"/>
  <c r="G35" i="5"/>
  <c r="G39" i="5"/>
  <c r="G43" i="5"/>
  <c r="G47" i="5"/>
  <c r="G51" i="5"/>
  <c r="G55" i="5"/>
  <c r="G59" i="5"/>
  <c r="G63" i="5"/>
  <c r="G67" i="5"/>
  <c r="G71" i="5"/>
  <c r="G75" i="5"/>
  <c r="G79" i="5"/>
  <c r="G83" i="5"/>
  <c r="G87" i="5"/>
  <c r="G91" i="5"/>
  <c r="G95" i="5"/>
  <c r="G99" i="5"/>
  <c r="G103" i="5"/>
  <c r="G107" i="5"/>
  <c r="G111" i="5"/>
  <c r="G115" i="5"/>
  <c r="G119" i="5"/>
  <c r="G123" i="5"/>
  <c r="G127" i="5"/>
  <c r="G131" i="5"/>
  <c r="G135" i="5"/>
  <c r="G139" i="5"/>
  <c r="G143" i="5"/>
  <c r="G147" i="5"/>
  <c r="G151" i="5"/>
  <c r="G155" i="5"/>
  <c r="G159" i="5"/>
  <c r="G163" i="5"/>
  <c r="G167" i="5"/>
  <c r="G171" i="5"/>
  <c r="G175" i="5"/>
  <c r="G179" i="5"/>
  <c r="G183" i="5"/>
  <c r="G187" i="5"/>
  <c r="G191" i="5"/>
  <c r="G195" i="5"/>
  <c r="G199" i="5"/>
  <c r="G203" i="5"/>
  <c r="G207" i="5"/>
  <c r="G211" i="5"/>
  <c r="G215" i="5"/>
  <c r="G219" i="5"/>
  <c r="G223" i="5"/>
  <c r="G227" i="5"/>
  <c r="G231" i="5"/>
  <c r="G235" i="5"/>
  <c r="G239" i="5"/>
  <c r="G243" i="5"/>
  <c r="G247" i="5"/>
  <c r="G251" i="5"/>
  <c r="G255" i="5"/>
  <c r="G259" i="5"/>
  <c r="G263" i="5"/>
  <c r="G267" i="5"/>
  <c r="G271" i="5"/>
  <c r="G275" i="5"/>
  <c r="G279" i="5"/>
  <c r="G283" i="5"/>
  <c r="G287" i="5"/>
  <c r="G9" i="5"/>
  <c r="G12" i="5"/>
  <c r="G16" i="5"/>
  <c r="G20" i="5"/>
  <c r="G24" i="5"/>
  <c r="G28" i="5"/>
  <c r="G32" i="5"/>
  <c r="G36" i="5"/>
  <c r="G40" i="5"/>
  <c r="G44" i="5"/>
  <c r="G48" i="5"/>
  <c r="G52" i="5"/>
  <c r="G56" i="5"/>
  <c r="G60" i="5"/>
  <c r="G64" i="5"/>
  <c r="G68" i="5"/>
  <c r="G72" i="5"/>
  <c r="G76" i="5"/>
  <c r="G80" i="5"/>
  <c r="G84" i="5"/>
  <c r="G88" i="5"/>
  <c r="G92" i="5"/>
  <c r="G96" i="5"/>
  <c r="G100" i="5"/>
  <c r="G104" i="5"/>
  <c r="G108" i="5"/>
  <c r="G112" i="5"/>
  <c r="G116" i="5"/>
  <c r="G120" i="5"/>
  <c r="G124" i="5"/>
  <c r="G128" i="5"/>
  <c r="G132" i="5"/>
  <c r="G136" i="5"/>
  <c r="G140" i="5"/>
  <c r="G144" i="5"/>
  <c r="G148" i="5"/>
  <c r="G152" i="5"/>
  <c r="G156" i="5"/>
  <c r="G160" i="5"/>
  <c r="G164" i="5"/>
  <c r="G168" i="5"/>
  <c r="G172" i="5"/>
  <c r="G176" i="5"/>
  <c r="G180" i="5"/>
  <c r="G184" i="5"/>
  <c r="G188" i="5"/>
  <c r="G192" i="5"/>
  <c r="G196" i="5"/>
  <c r="G200" i="5"/>
  <c r="G204" i="5"/>
  <c r="G208" i="5"/>
  <c r="G212" i="5"/>
  <c r="G216" i="5"/>
  <c r="G220" i="5"/>
  <c r="G224" i="5"/>
  <c r="G228" i="5"/>
  <c r="G232" i="5"/>
  <c r="G236" i="5"/>
  <c r="G240" i="5"/>
  <c r="G244" i="5"/>
  <c r="G248" i="5"/>
  <c r="G252" i="5"/>
  <c r="G256" i="5"/>
  <c r="G260" i="5"/>
  <c r="G264" i="5"/>
  <c r="G268" i="5"/>
  <c r="G272" i="5"/>
  <c r="G276" i="5"/>
  <c r="G280" i="5"/>
  <c r="G284" i="5"/>
  <c r="G288" i="5"/>
  <c r="G13" i="5"/>
  <c r="G17" i="5"/>
  <c r="G21" i="5"/>
  <c r="G25" i="5"/>
  <c r="G29" i="5"/>
  <c r="G33" i="5"/>
  <c r="G37" i="5"/>
  <c r="G41" i="5"/>
  <c r="G45" i="5"/>
  <c r="G49" i="5"/>
  <c r="G53" i="5"/>
  <c r="G57" i="5"/>
  <c r="G61" i="5"/>
  <c r="G65" i="5"/>
  <c r="G69" i="5"/>
  <c r="G73" i="5"/>
  <c r="G77" i="5"/>
  <c r="G81" i="5"/>
  <c r="G85" i="5"/>
  <c r="G89" i="5"/>
  <c r="G93" i="5"/>
  <c r="G97" i="5"/>
  <c r="G101" i="5"/>
  <c r="G105" i="5"/>
  <c r="G109" i="5"/>
  <c r="G113" i="5"/>
  <c r="G117" i="5"/>
  <c r="G121" i="5"/>
  <c r="G125" i="5"/>
  <c r="G129" i="5"/>
  <c r="G133" i="5"/>
  <c r="G137" i="5"/>
  <c r="G141" i="5"/>
  <c r="G145" i="5"/>
  <c r="G149" i="5"/>
  <c r="G153" i="5"/>
  <c r="G157" i="5"/>
  <c r="G161" i="5"/>
  <c r="G165" i="5"/>
  <c r="G169" i="5"/>
  <c r="G173" i="5"/>
  <c r="G177" i="5"/>
  <c r="G181" i="5"/>
  <c r="G185" i="5"/>
  <c r="G189" i="5"/>
  <c r="G193" i="5"/>
  <c r="G197" i="5"/>
  <c r="G201" i="5"/>
  <c r="G205" i="5"/>
  <c r="G209" i="5"/>
  <c r="G213" i="5"/>
  <c r="G217" i="5"/>
  <c r="G221" i="5"/>
  <c r="G225" i="5"/>
  <c r="G229" i="5"/>
  <c r="G233" i="5"/>
  <c r="G237" i="5"/>
  <c r="G241" i="5"/>
  <c r="G245" i="5"/>
  <c r="G249" i="5"/>
  <c r="G253" i="5"/>
  <c r="G257" i="5"/>
  <c r="G261" i="5"/>
  <c r="G265" i="5"/>
  <c r="G269" i="5"/>
  <c r="G273" i="5"/>
  <c r="G277" i="5"/>
  <c r="G281" i="5"/>
  <c r="G285" i="5"/>
  <c r="G289" i="5"/>
  <c r="G12" i="10"/>
  <c r="G16" i="10"/>
  <c r="G20" i="10"/>
  <c r="G24" i="10"/>
  <c r="G28" i="10"/>
  <c r="G32" i="10"/>
  <c r="G36" i="10"/>
  <c r="G40" i="10"/>
  <c r="G44" i="10"/>
  <c r="G48" i="10"/>
  <c r="G52" i="10"/>
  <c r="G56" i="10"/>
  <c r="G60" i="10"/>
  <c r="G64" i="10"/>
  <c r="G68" i="10"/>
  <c r="G9" i="10"/>
  <c r="G13" i="10"/>
  <c r="G17" i="10"/>
  <c r="G21" i="10"/>
  <c r="G25" i="10"/>
  <c r="G29" i="10"/>
  <c r="G33" i="10"/>
  <c r="G37" i="10"/>
  <c r="G41" i="10"/>
  <c r="G45" i="10"/>
  <c r="G49" i="10"/>
  <c r="G53" i="10"/>
  <c r="G57" i="10"/>
  <c r="G61" i="10"/>
  <c r="G65" i="10"/>
  <c r="G69" i="10"/>
  <c r="G10" i="10"/>
  <c r="G14" i="10"/>
  <c r="G18" i="10"/>
  <c r="G22" i="10"/>
  <c r="G26" i="10"/>
  <c r="G30" i="10"/>
  <c r="G34" i="10"/>
  <c r="G38" i="10"/>
  <c r="G42" i="10"/>
  <c r="G46" i="10"/>
  <c r="G50" i="10"/>
  <c r="G54" i="10"/>
  <c r="G58" i="10"/>
  <c r="G62" i="10"/>
  <c r="G66" i="10"/>
  <c r="G11" i="10"/>
  <c r="G15" i="10"/>
  <c r="G19" i="10"/>
  <c r="G23" i="10"/>
  <c r="G27" i="10"/>
  <c r="G31" i="10"/>
  <c r="G35" i="10"/>
  <c r="G39" i="10"/>
  <c r="G43" i="10"/>
  <c r="G47" i="10"/>
  <c r="G51" i="10"/>
  <c r="G55" i="10"/>
  <c r="G59" i="10"/>
  <c r="G63" i="10"/>
  <c r="G67" i="10"/>
  <c r="G11" i="17"/>
  <c r="G15" i="17"/>
  <c r="G19" i="17"/>
  <c r="G23" i="17"/>
  <c r="G27" i="17"/>
  <c r="G31" i="17"/>
  <c r="G35" i="17"/>
  <c r="G39" i="17"/>
  <c r="G43" i="17"/>
  <c r="G47" i="17"/>
  <c r="G51" i="17"/>
  <c r="G55" i="17"/>
  <c r="G59" i="17"/>
  <c r="G63" i="17"/>
  <c r="G67" i="17"/>
  <c r="G71" i="17"/>
  <c r="G75" i="17"/>
  <c r="G79" i="17"/>
  <c r="G83" i="17"/>
  <c r="G87" i="17"/>
  <c r="G91" i="17"/>
  <c r="G95" i="17"/>
  <c r="G99" i="17"/>
  <c r="G103" i="17"/>
  <c r="G107" i="17"/>
  <c r="G111" i="17"/>
  <c r="G115" i="17"/>
  <c r="G119" i="17"/>
  <c r="G12" i="17"/>
  <c r="G16" i="17"/>
  <c r="G20" i="17"/>
  <c r="G24" i="17"/>
  <c r="G28" i="17"/>
  <c r="G32" i="17"/>
  <c r="G36" i="17"/>
  <c r="G40" i="17"/>
  <c r="G44" i="17"/>
  <c r="G48" i="17"/>
  <c r="G52" i="17"/>
  <c r="G56" i="17"/>
  <c r="G60" i="17"/>
  <c r="G64" i="17"/>
  <c r="G68" i="17"/>
  <c r="G72" i="17"/>
  <c r="G76" i="17"/>
  <c r="G80" i="17"/>
  <c r="G84" i="17"/>
  <c r="G88" i="17"/>
  <c r="G92" i="17"/>
  <c r="G96" i="17"/>
  <c r="G100" i="17"/>
  <c r="G104" i="17"/>
  <c r="G108" i="17"/>
  <c r="G112" i="17"/>
  <c r="G116" i="17"/>
  <c r="G120" i="17"/>
  <c r="G9" i="17"/>
  <c r="G13" i="17"/>
  <c r="G17" i="17"/>
  <c r="G21" i="17"/>
  <c r="G25" i="17"/>
  <c r="G29" i="17"/>
  <c r="G33" i="17"/>
  <c r="G37" i="17"/>
  <c r="G41" i="17"/>
  <c r="G45" i="17"/>
  <c r="G49" i="17"/>
  <c r="G53" i="17"/>
  <c r="G57" i="17"/>
  <c r="G61" i="17"/>
  <c r="G65" i="17"/>
  <c r="G69" i="17"/>
  <c r="G73" i="17"/>
  <c r="G77" i="17"/>
  <c r="G81" i="17"/>
  <c r="G85" i="17"/>
  <c r="G89" i="17"/>
  <c r="G93" i="17"/>
  <c r="G97" i="17"/>
  <c r="G101" i="17"/>
  <c r="G105" i="17"/>
  <c r="G109" i="17"/>
  <c r="G113" i="17"/>
  <c r="G117" i="17"/>
  <c r="G121" i="17"/>
  <c r="G10" i="17"/>
  <c r="G14" i="17"/>
  <c r="G18" i="17"/>
  <c r="G22" i="17"/>
  <c r="G26" i="17"/>
  <c r="G30" i="17"/>
  <c r="G34" i="17"/>
  <c r="G38" i="17"/>
  <c r="G42" i="17"/>
  <c r="G46" i="17"/>
  <c r="G50" i="17"/>
  <c r="G54" i="17"/>
  <c r="G58" i="17"/>
  <c r="G62" i="17"/>
  <c r="G66" i="17"/>
  <c r="G70" i="17"/>
  <c r="G74" i="17"/>
  <c r="G78" i="17"/>
  <c r="G82" i="17"/>
  <c r="G86" i="17"/>
  <c r="G90" i="17"/>
  <c r="G94" i="17"/>
  <c r="G98" i="17"/>
  <c r="G102" i="17"/>
  <c r="G106" i="17"/>
  <c r="G110" i="17"/>
  <c r="G114" i="17"/>
  <c r="G118" i="17"/>
  <c r="G122" i="17"/>
  <c r="G11" i="18"/>
  <c r="G12" i="18"/>
  <c r="G9" i="18"/>
  <c r="G13" i="18"/>
  <c r="G17" i="18"/>
  <c r="G21" i="18"/>
  <c r="G25" i="18"/>
  <c r="G29" i="18"/>
  <c r="G33" i="18"/>
  <c r="G37" i="18"/>
  <c r="G41" i="18"/>
  <c r="G45" i="18"/>
  <c r="G49" i="18"/>
  <c r="G53" i="18"/>
  <c r="G57" i="18"/>
  <c r="G61" i="18"/>
  <c r="G65" i="18"/>
  <c r="G69" i="18"/>
  <c r="G73" i="18"/>
  <c r="G77" i="18"/>
  <c r="G81" i="18"/>
  <c r="G85" i="18"/>
  <c r="G89" i="18"/>
  <c r="G93" i="18"/>
  <c r="G97" i="18"/>
  <c r="G101" i="18"/>
  <c r="G105" i="18"/>
  <c r="G109" i="18"/>
  <c r="G113" i="18"/>
  <c r="G117" i="18"/>
  <c r="G121" i="18"/>
  <c r="G14" i="18"/>
  <c r="G18" i="18"/>
  <c r="G22" i="18"/>
  <c r="G26" i="18"/>
  <c r="G30" i="18"/>
  <c r="G34" i="18"/>
  <c r="G38" i="18"/>
  <c r="G42" i="18"/>
  <c r="G46" i="18"/>
  <c r="G50" i="18"/>
  <c r="G54" i="18"/>
  <c r="G58" i="18"/>
  <c r="G62" i="18"/>
  <c r="G66" i="18"/>
  <c r="G70" i="18"/>
  <c r="G74" i="18"/>
  <c r="G78" i="18"/>
  <c r="G82" i="18"/>
  <c r="G86" i="18"/>
  <c r="G90" i="18"/>
  <c r="G94" i="18"/>
  <c r="G98" i="18"/>
  <c r="G102" i="18"/>
  <c r="G106" i="18"/>
  <c r="G110" i="18"/>
  <c r="G114" i="18"/>
  <c r="G118" i="18"/>
  <c r="G122" i="18"/>
  <c r="G15" i="18"/>
  <c r="G19" i="18"/>
  <c r="G23" i="18"/>
  <c r="G27" i="18"/>
  <c r="G31" i="18"/>
  <c r="G35" i="18"/>
  <c r="G39" i="18"/>
  <c r="G43" i="18"/>
  <c r="G47" i="18"/>
  <c r="G51" i="18"/>
  <c r="G55" i="18"/>
  <c r="G59" i="18"/>
  <c r="G63" i="18"/>
  <c r="G67" i="18"/>
  <c r="G71" i="18"/>
  <c r="G75" i="18"/>
  <c r="G79" i="18"/>
  <c r="G83" i="18"/>
  <c r="G87" i="18"/>
  <c r="G91" i="18"/>
  <c r="G95" i="18"/>
  <c r="G99" i="18"/>
  <c r="G103" i="18"/>
  <c r="G107" i="18"/>
  <c r="G111" i="18"/>
  <c r="G115" i="18"/>
  <c r="G119" i="18"/>
  <c r="G10" i="18"/>
  <c r="G16" i="18"/>
  <c r="G20" i="18"/>
  <c r="G24" i="18"/>
  <c r="G28" i="18"/>
  <c r="G32" i="18"/>
  <c r="G36" i="18"/>
  <c r="G40" i="18"/>
  <c r="G44" i="18"/>
  <c r="G48" i="18"/>
  <c r="G52" i="18"/>
  <c r="G56" i="18"/>
  <c r="G60" i="18"/>
  <c r="G64" i="18"/>
  <c r="G68" i="18"/>
  <c r="G72" i="18"/>
  <c r="G76" i="18"/>
  <c r="G80" i="18"/>
  <c r="G84" i="18"/>
  <c r="G88" i="18"/>
  <c r="G92" i="18"/>
  <c r="G96" i="18"/>
  <c r="G100" i="18"/>
  <c r="G104" i="18"/>
  <c r="G108" i="18"/>
  <c r="G112" i="18"/>
  <c r="G116" i="18"/>
  <c r="G120" i="18"/>
  <c r="G9" i="21"/>
  <c r="G13" i="21"/>
  <c r="G17" i="21"/>
  <c r="G21" i="21"/>
  <c r="G25" i="21"/>
  <c r="G29" i="21"/>
  <c r="G33" i="21"/>
  <c r="G37" i="21"/>
  <c r="G41" i="21"/>
  <c r="G45" i="21"/>
  <c r="G49" i="21"/>
  <c r="G53" i="21"/>
  <c r="G57" i="21"/>
  <c r="G61" i="21"/>
  <c r="G65" i="21"/>
  <c r="G69" i="21"/>
  <c r="G10" i="21"/>
  <c r="G14" i="21"/>
  <c r="G18" i="21"/>
  <c r="G22" i="21"/>
  <c r="G26" i="21"/>
  <c r="G30" i="21"/>
  <c r="G34" i="21"/>
  <c r="G38" i="21"/>
  <c r="G42" i="21"/>
  <c r="G46" i="21"/>
  <c r="G50" i="21"/>
  <c r="G54" i="21"/>
  <c r="G58" i="21"/>
  <c r="G62" i="21"/>
  <c r="G66" i="21"/>
  <c r="G70" i="21"/>
  <c r="G11" i="21"/>
  <c r="G15" i="21"/>
  <c r="G19" i="21"/>
  <c r="G23" i="21"/>
  <c r="G27" i="21"/>
  <c r="G31" i="21"/>
  <c r="G35" i="21"/>
  <c r="G39" i="21"/>
  <c r="G43" i="21"/>
  <c r="G47" i="21"/>
  <c r="G51" i="21"/>
  <c r="G55" i="21"/>
  <c r="G59" i="21"/>
  <c r="G63" i="21"/>
  <c r="G67" i="21"/>
  <c r="G71" i="21"/>
  <c r="G20" i="21"/>
  <c r="G36" i="21"/>
  <c r="G52" i="21"/>
  <c r="G68" i="21"/>
  <c r="G24" i="21"/>
  <c r="G40" i="21"/>
  <c r="G56" i="21"/>
  <c r="G72" i="21"/>
  <c r="G12" i="21"/>
  <c r="G28" i="21"/>
  <c r="G44" i="21"/>
  <c r="G60" i="21"/>
  <c r="G16" i="21"/>
  <c r="G32" i="21"/>
  <c r="G48" i="21"/>
  <c r="G64" i="21"/>
  <c r="G10" i="14"/>
  <c r="G14" i="14"/>
  <c r="G18" i="14"/>
  <c r="G22" i="14"/>
  <c r="G26" i="14"/>
  <c r="G30" i="14"/>
  <c r="G34" i="14"/>
  <c r="G38" i="14"/>
  <c r="G42" i="14"/>
  <c r="G46" i="14"/>
  <c r="G50" i="14"/>
  <c r="G54" i="14"/>
  <c r="G58" i="14"/>
  <c r="G62" i="14"/>
  <c r="G66" i="14"/>
  <c r="G70" i="14"/>
  <c r="G74" i="14"/>
  <c r="G11" i="14"/>
  <c r="G15" i="14"/>
  <c r="G19" i="14"/>
  <c r="G23" i="14"/>
  <c r="G27" i="14"/>
  <c r="G31" i="14"/>
  <c r="G35" i="14"/>
  <c r="G39" i="14"/>
  <c r="G43" i="14"/>
  <c r="G47" i="14"/>
  <c r="G51" i="14"/>
  <c r="G55" i="14"/>
  <c r="G59" i="14"/>
  <c r="G63" i="14"/>
  <c r="G67" i="14"/>
  <c r="G71" i="14"/>
  <c r="G75" i="14"/>
  <c r="G12" i="14"/>
  <c r="G16" i="14"/>
  <c r="G20" i="14"/>
  <c r="G24" i="14"/>
  <c r="G28" i="14"/>
  <c r="G32" i="14"/>
  <c r="G36" i="14"/>
  <c r="G40" i="14"/>
  <c r="G44" i="14"/>
  <c r="G48" i="14"/>
  <c r="G52" i="14"/>
  <c r="G56" i="14"/>
  <c r="G60" i="14"/>
  <c r="G64" i="14"/>
  <c r="G68" i="14"/>
  <c r="G72" i="14"/>
  <c r="G76" i="14"/>
  <c r="G9" i="14"/>
  <c r="G13" i="14"/>
  <c r="G17" i="14"/>
  <c r="G21" i="14"/>
  <c r="G25" i="14"/>
  <c r="G29" i="14"/>
  <c r="G33" i="14"/>
  <c r="G37" i="14"/>
  <c r="G41" i="14"/>
  <c r="G45" i="14"/>
  <c r="G49" i="14"/>
  <c r="G53" i="14"/>
  <c r="G57" i="14"/>
  <c r="G61" i="14"/>
  <c r="G65" i="14"/>
  <c r="G69" i="14"/>
  <c r="G73" i="14"/>
  <c r="G77" i="14"/>
  <c r="H9" i="7"/>
  <c r="G10" i="8"/>
  <c r="G14" i="8"/>
  <c r="G18" i="8"/>
  <c r="G22" i="8"/>
  <c r="G26" i="8"/>
  <c r="G30" i="8"/>
  <c r="G34" i="8"/>
  <c r="G38" i="8"/>
  <c r="G42" i="8"/>
  <c r="G46" i="8"/>
  <c r="G50" i="8"/>
  <c r="G54" i="8"/>
  <c r="G58" i="8"/>
  <c r="G62" i="8"/>
  <c r="G66" i="8"/>
  <c r="G11" i="8"/>
  <c r="G15" i="8"/>
  <c r="G19" i="8"/>
  <c r="G23" i="8"/>
  <c r="G27" i="8"/>
  <c r="G31" i="8"/>
  <c r="G35" i="8"/>
  <c r="G39" i="8"/>
  <c r="G43" i="8"/>
  <c r="G47" i="8"/>
  <c r="G51" i="8"/>
  <c r="G55" i="8"/>
  <c r="G59" i="8"/>
  <c r="G63" i="8"/>
  <c r="G67" i="8"/>
  <c r="G12" i="8"/>
  <c r="G16" i="8"/>
  <c r="G20" i="8"/>
  <c r="G24" i="8"/>
  <c r="G28" i="8"/>
  <c r="G32" i="8"/>
  <c r="G36" i="8"/>
  <c r="G40" i="8"/>
  <c r="G44" i="8"/>
  <c r="G48" i="8"/>
  <c r="G52" i="8"/>
  <c r="G56" i="8"/>
  <c r="G60" i="8"/>
  <c r="G64" i="8"/>
  <c r="G68" i="8"/>
  <c r="G9" i="8"/>
  <c r="G13" i="8"/>
  <c r="G17" i="8"/>
  <c r="G21" i="8"/>
  <c r="G25" i="8"/>
  <c r="G29" i="8"/>
  <c r="G33" i="8"/>
  <c r="G37" i="8"/>
  <c r="G41" i="8"/>
  <c r="G45" i="8"/>
  <c r="G49" i="8"/>
  <c r="G53" i="8"/>
  <c r="G57" i="8"/>
  <c r="G61" i="8"/>
  <c r="G65" i="8"/>
  <c r="G69" i="8"/>
  <c r="G12" i="11"/>
  <c r="G16" i="11"/>
  <c r="G20" i="11"/>
  <c r="G24" i="11"/>
  <c r="G28" i="11"/>
  <c r="G32" i="11"/>
  <c r="G36" i="11"/>
  <c r="G40" i="11"/>
  <c r="G44" i="11"/>
  <c r="G48" i="11"/>
  <c r="G52" i="11"/>
  <c r="G56" i="11"/>
  <c r="G60" i="11"/>
  <c r="G64" i="11"/>
  <c r="G68" i="11"/>
  <c r="G72" i="11"/>
  <c r="G76" i="11"/>
  <c r="G80" i="11"/>
  <c r="G84" i="11"/>
  <c r="G88" i="11"/>
  <c r="G92" i="11"/>
  <c r="G96" i="11"/>
  <c r="G100" i="11"/>
  <c r="G104" i="11"/>
  <c r="G108" i="11"/>
  <c r="G112" i="11"/>
  <c r="G116" i="11"/>
  <c r="G120" i="11"/>
  <c r="G124" i="11"/>
  <c r="G128" i="11"/>
  <c r="G132" i="11"/>
  <c r="G136" i="11"/>
  <c r="G140" i="11"/>
  <c r="G144" i="11"/>
  <c r="G148" i="11"/>
  <c r="G152" i="11"/>
  <c r="G156" i="11"/>
  <c r="G160" i="11"/>
  <c r="G164" i="11"/>
  <c r="G168" i="11"/>
  <c r="G172" i="11"/>
  <c r="G176" i="11"/>
  <c r="G180" i="11"/>
  <c r="G9" i="11"/>
  <c r="G13" i="11"/>
  <c r="G17" i="11"/>
  <c r="G21" i="11"/>
  <c r="G25" i="11"/>
  <c r="G29" i="11"/>
  <c r="G33" i="11"/>
  <c r="G37" i="11"/>
  <c r="G41" i="11"/>
  <c r="G45" i="11"/>
  <c r="G49" i="11"/>
  <c r="G53" i="11"/>
  <c r="G57" i="11"/>
  <c r="G61" i="11"/>
  <c r="G65" i="11"/>
  <c r="G69" i="11"/>
  <c r="G73" i="11"/>
  <c r="G77" i="11"/>
  <c r="G81" i="11"/>
  <c r="G85" i="11"/>
  <c r="G89" i="11"/>
  <c r="G93" i="11"/>
  <c r="G97" i="11"/>
  <c r="G101" i="11"/>
  <c r="G105" i="11"/>
  <c r="G109" i="11"/>
  <c r="G113" i="11"/>
  <c r="G117" i="11"/>
  <c r="G121" i="11"/>
  <c r="G125" i="11"/>
  <c r="G129" i="11"/>
  <c r="G133" i="11"/>
  <c r="G137" i="11"/>
  <c r="G141" i="11"/>
  <c r="G145" i="11"/>
  <c r="G149" i="11"/>
  <c r="G153" i="11"/>
  <c r="G157" i="11"/>
  <c r="G161" i="11"/>
  <c r="G165" i="11"/>
  <c r="G169" i="11"/>
  <c r="G173" i="11"/>
  <c r="G177" i="11"/>
  <c r="G10" i="11"/>
  <c r="G14" i="11"/>
  <c r="G18" i="11"/>
  <c r="G22" i="11"/>
  <c r="G26" i="11"/>
  <c r="G30" i="11"/>
  <c r="G34" i="11"/>
  <c r="G38" i="11"/>
  <c r="G42" i="11"/>
  <c r="G46" i="11"/>
  <c r="G50" i="11"/>
  <c r="G54" i="11"/>
  <c r="G58" i="11"/>
  <c r="G62" i="11"/>
  <c r="G66" i="11"/>
  <c r="G70" i="11"/>
  <c r="G74" i="11"/>
  <c r="G78" i="11"/>
  <c r="G82" i="11"/>
  <c r="G86" i="11"/>
  <c r="G90" i="11"/>
  <c r="G94" i="11"/>
  <c r="G98" i="11"/>
  <c r="G102" i="11"/>
  <c r="G106" i="11"/>
  <c r="G110" i="11"/>
  <c r="G114" i="11"/>
  <c r="G118" i="11"/>
  <c r="G122" i="11"/>
  <c r="G126" i="11"/>
  <c r="G130" i="11"/>
  <c r="G134" i="11"/>
  <c r="G138" i="11"/>
  <c r="G142" i="11"/>
  <c r="G146" i="11"/>
  <c r="G150" i="11"/>
  <c r="G154" i="11"/>
  <c r="G158" i="11"/>
  <c r="G162" i="11"/>
  <c r="G166" i="11"/>
  <c r="G170" i="11"/>
  <c r="G174" i="11"/>
  <c r="G178" i="11"/>
  <c r="G11" i="11"/>
  <c r="G15" i="11"/>
  <c r="G19" i="11"/>
  <c r="G23" i="11"/>
  <c r="G27" i="11"/>
  <c r="G31" i="11"/>
  <c r="G35" i="11"/>
  <c r="G39" i="11"/>
  <c r="G43" i="11"/>
  <c r="G47" i="11"/>
  <c r="G51" i="11"/>
  <c r="G55" i="11"/>
  <c r="G59" i="11"/>
  <c r="G63" i="11"/>
  <c r="G67" i="11"/>
  <c r="G71" i="11"/>
  <c r="G75" i="11"/>
  <c r="G79" i="11"/>
  <c r="G83" i="11"/>
  <c r="G87" i="11"/>
  <c r="G91" i="11"/>
  <c r="G95" i="11"/>
  <c r="G99" i="11"/>
  <c r="G103" i="11"/>
  <c r="G107" i="11"/>
  <c r="G111" i="11"/>
  <c r="G115" i="11"/>
  <c r="G119" i="11"/>
  <c r="G123" i="11"/>
  <c r="G127" i="11"/>
  <c r="G131" i="11"/>
  <c r="G135" i="11"/>
  <c r="G139" i="11"/>
  <c r="G143" i="11"/>
  <c r="G147" i="11"/>
  <c r="G151" i="11"/>
  <c r="G155" i="11"/>
  <c r="G159" i="11"/>
  <c r="G163" i="11"/>
  <c r="G167" i="11"/>
  <c r="G171" i="11"/>
  <c r="G175" i="11"/>
  <c r="G179" i="11"/>
  <c r="G9" i="23"/>
  <c r="G13" i="23"/>
  <c r="G17" i="23"/>
  <c r="G21" i="23"/>
  <c r="G25" i="23"/>
  <c r="G29" i="23"/>
  <c r="G33" i="23"/>
  <c r="G37" i="23"/>
  <c r="G41" i="23"/>
  <c r="G45" i="23"/>
  <c r="G49" i="23"/>
  <c r="G53" i="23"/>
  <c r="G57" i="23"/>
  <c r="G61" i="23"/>
  <c r="G65" i="23"/>
  <c r="G69" i="23"/>
  <c r="G73" i="23"/>
  <c r="G77" i="23"/>
  <c r="G81" i="23"/>
  <c r="G10" i="23"/>
  <c r="G14" i="23"/>
  <c r="G18" i="23"/>
  <c r="G22" i="23"/>
  <c r="G26" i="23"/>
  <c r="G30" i="23"/>
  <c r="G34" i="23"/>
  <c r="G38" i="23"/>
  <c r="G42" i="23"/>
  <c r="G46" i="23"/>
  <c r="G50" i="23"/>
  <c r="G54" i="23"/>
  <c r="G58" i="23"/>
  <c r="G62" i="23"/>
  <c r="G66" i="23"/>
  <c r="G70" i="23"/>
  <c r="G74" i="23"/>
  <c r="G78" i="23"/>
  <c r="G82" i="23"/>
  <c r="G11" i="23"/>
  <c r="G15" i="23"/>
  <c r="G19" i="23"/>
  <c r="G23" i="23"/>
  <c r="G27" i="23"/>
  <c r="G31" i="23"/>
  <c r="G35" i="23"/>
  <c r="G39" i="23"/>
  <c r="G43" i="23"/>
  <c r="G47" i="23"/>
  <c r="G51" i="23"/>
  <c r="G55" i="23"/>
  <c r="G59" i="23"/>
  <c r="G63" i="23"/>
  <c r="G67" i="23"/>
  <c r="G71" i="23"/>
  <c r="G75" i="23"/>
  <c r="G79" i="23"/>
  <c r="G12" i="23"/>
  <c r="G16" i="23"/>
  <c r="G20" i="23"/>
  <c r="G24" i="23"/>
  <c r="G28" i="23"/>
  <c r="G32" i="23"/>
  <c r="G36" i="23"/>
  <c r="G40" i="23"/>
  <c r="G44" i="23"/>
  <c r="G48" i="23"/>
  <c r="G52" i="23"/>
  <c r="G56" i="23"/>
  <c r="G60" i="23"/>
  <c r="G64" i="23"/>
  <c r="G80" i="23"/>
  <c r="G68" i="23"/>
  <c r="G72" i="23"/>
  <c r="G76" i="23"/>
  <c r="G9" i="24"/>
  <c r="G13" i="24"/>
  <c r="G17" i="24"/>
  <c r="G21" i="24"/>
  <c r="G25" i="24"/>
  <c r="G29" i="24"/>
  <c r="G33" i="24"/>
  <c r="G37" i="24"/>
  <c r="G41" i="24"/>
  <c r="G45" i="24"/>
  <c r="G49" i="24"/>
  <c r="G53" i="24"/>
  <c r="G57" i="24"/>
  <c r="G61" i="24"/>
  <c r="G65" i="24"/>
  <c r="G69" i="24"/>
  <c r="G10" i="24"/>
  <c r="G14" i="24"/>
  <c r="G18" i="24"/>
  <c r="G22" i="24"/>
  <c r="G26" i="24"/>
  <c r="G30" i="24"/>
  <c r="G34" i="24"/>
  <c r="G38" i="24"/>
  <c r="G42" i="24"/>
  <c r="G46" i="24"/>
  <c r="G50" i="24"/>
  <c r="G54" i="24"/>
  <c r="G58" i="24"/>
  <c r="G62" i="24"/>
  <c r="G66" i="24"/>
  <c r="G70" i="24"/>
  <c r="G11" i="24"/>
  <c r="G15" i="24"/>
  <c r="G19" i="24"/>
  <c r="G23" i="24"/>
  <c r="G27" i="24"/>
  <c r="G31" i="24"/>
  <c r="G35" i="24"/>
  <c r="G39" i="24"/>
  <c r="G43" i="24"/>
  <c r="G47" i="24"/>
  <c r="G51" i="24"/>
  <c r="G55" i="24"/>
  <c r="G59" i="24"/>
  <c r="G63" i="24"/>
  <c r="G67" i="24"/>
  <c r="G71" i="24"/>
  <c r="G12" i="24"/>
  <c r="G16" i="24"/>
  <c r="G20" i="24"/>
  <c r="G24" i="24"/>
  <c r="G28" i="24"/>
  <c r="G32" i="24"/>
  <c r="G36" i="24"/>
  <c r="G40" i="24"/>
  <c r="G44" i="24"/>
  <c r="G48" i="24"/>
  <c r="G52" i="24"/>
  <c r="G56" i="24"/>
  <c r="G60" i="24"/>
  <c r="G64" i="24"/>
  <c r="G68" i="24"/>
  <c r="G72" i="24"/>
  <c r="G10" i="25"/>
  <c r="G14" i="25"/>
  <c r="G18" i="25"/>
  <c r="G22" i="25"/>
  <c r="G26" i="25"/>
  <c r="G30" i="25"/>
  <c r="G34" i="25"/>
  <c r="G38" i="25"/>
  <c r="G42" i="25"/>
  <c r="G46" i="25"/>
  <c r="G50" i="25"/>
  <c r="G54" i="25"/>
  <c r="G58" i="25"/>
  <c r="G62" i="25"/>
  <c r="G66" i="25"/>
  <c r="G70" i="25"/>
  <c r="G74" i="25"/>
  <c r="G78" i="25"/>
  <c r="G82" i="25"/>
  <c r="G86" i="25"/>
  <c r="G90" i="25"/>
  <c r="G94" i="25"/>
  <c r="G98" i="25"/>
  <c r="G102" i="25"/>
  <c r="G106" i="25"/>
  <c r="G110" i="25"/>
  <c r="G11" i="25"/>
  <c r="G15" i="25"/>
  <c r="G19" i="25"/>
  <c r="G23" i="25"/>
  <c r="G27" i="25"/>
  <c r="G31" i="25"/>
  <c r="G35" i="25"/>
  <c r="G39" i="25"/>
  <c r="G43" i="25"/>
  <c r="G47" i="25"/>
  <c r="G51" i="25"/>
  <c r="G55" i="25"/>
  <c r="G59" i="25"/>
  <c r="G63" i="25"/>
  <c r="G67" i="25"/>
  <c r="G71" i="25"/>
  <c r="G75" i="25"/>
  <c r="G79" i="25"/>
  <c r="G83" i="25"/>
  <c r="G87" i="25"/>
  <c r="G91" i="25"/>
  <c r="G95" i="25"/>
  <c r="G99" i="25"/>
  <c r="G103" i="25"/>
  <c r="G107" i="25"/>
  <c r="G111" i="25"/>
  <c r="G12" i="25"/>
  <c r="G16" i="25"/>
  <c r="G20" i="25"/>
  <c r="G24" i="25"/>
  <c r="G28" i="25"/>
  <c r="G32" i="25"/>
  <c r="G36" i="25"/>
  <c r="G40" i="25"/>
  <c r="G44" i="25"/>
  <c r="G48" i="25"/>
  <c r="G52" i="25"/>
  <c r="G56" i="25"/>
  <c r="G60" i="25"/>
  <c r="G64" i="25"/>
  <c r="G68" i="25"/>
  <c r="G72" i="25"/>
  <c r="G76" i="25"/>
  <c r="G80" i="25"/>
  <c r="G84" i="25"/>
  <c r="G88" i="25"/>
  <c r="G92" i="25"/>
  <c r="G96" i="25"/>
  <c r="G100" i="25"/>
  <c r="G104" i="25"/>
  <c r="G108" i="25"/>
  <c r="G112" i="25"/>
  <c r="G9" i="25"/>
  <c r="G13" i="25"/>
  <c r="G17" i="25"/>
  <c r="G21" i="25"/>
  <c r="G25" i="25"/>
  <c r="G29" i="25"/>
  <c r="G33" i="25"/>
  <c r="G37" i="25"/>
  <c r="G41" i="25"/>
  <c r="G45" i="25"/>
  <c r="G49" i="25"/>
  <c r="G53" i="25"/>
  <c r="G57" i="25"/>
  <c r="G61" i="25"/>
  <c r="G65" i="25"/>
  <c r="G69" i="25"/>
  <c r="G73" i="25"/>
  <c r="G77" i="25"/>
  <c r="G81" i="25"/>
  <c r="G85" i="25"/>
  <c r="G89" i="25"/>
  <c r="G93" i="25"/>
  <c r="G97" i="25"/>
  <c r="G101" i="25"/>
  <c r="G105" i="25"/>
  <c r="G109" i="25"/>
  <c r="E236" i="27"/>
  <c r="G9" i="27"/>
  <c r="G13" i="27"/>
  <c r="G17" i="27"/>
  <c r="G21" i="27"/>
  <c r="G25" i="27"/>
  <c r="G29" i="27"/>
  <c r="G33" i="27"/>
  <c r="G37" i="27"/>
  <c r="G41" i="27"/>
  <c r="G45" i="27"/>
  <c r="G49" i="27"/>
  <c r="G53" i="27"/>
  <c r="G57" i="27"/>
  <c r="G61" i="27"/>
  <c r="G65" i="27"/>
  <c r="G69" i="27"/>
  <c r="G73" i="27"/>
  <c r="G77" i="27"/>
  <c r="G81" i="27"/>
  <c r="G85" i="27"/>
  <c r="G89" i="27"/>
  <c r="G93" i="27"/>
  <c r="G97" i="27"/>
  <c r="G101" i="27"/>
  <c r="G105" i="27"/>
  <c r="G109" i="27"/>
  <c r="G113" i="27"/>
  <c r="G117" i="27"/>
  <c r="G121" i="27"/>
  <c r="G125" i="27"/>
  <c r="G129" i="27"/>
  <c r="G133" i="27"/>
  <c r="G137" i="27"/>
  <c r="G141" i="27"/>
  <c r="G145" i="27"/>
  <c r="G149" i="27"/>
  <c r="G153" i="27"/>
  <c r="G157" i="27"/>
  <c r="G161" i="27"/>
  <c r="G165" i="27"/>
  <c r="G169" i="27"/>
  <c r="G173" i="27"/>
  <c r="G177" i="27"/>
  <c r="G181" i="27"/>
  <c r="G185" i="27"/>
  <c r="G189" i="27"/>
  <c r="G193" i="27"/>
  <c r="G197" i="27"/>
  <c r="G201" i="27"/>
  <c r="G205" i="27"/>
  <c r="G209" i="27"/>
  <c r="G213" i="27"/>
  <c r="G217" i="27"/>
  <c r="G221" i="27"/>
  <c r="G225" i="27"/>
  <c r="G229" i="27"/>
  <c r="G233" i="27"/>
  <c r="G10" i="27"/>
  <c r="G14" i="27"/>
  <c r="G18" i="27"/>
  <c r="G22" i="27"/>
  <c r="G26" i="27"/>
  <c r="G30" i="27"/>
  <c r="G34" i="27"/>
  <c r="G38" i="27"/>
  <c r="G42" i="27"/>
  <c r="G46" i="27"/>
  <c r="G50" i="27"/>
  <c r="G54" i="27"/>
  <c r="G58" i="27"/>
  <c r="G62" i="27"/>
  <c r="G66" i="27"/>
  <c r="G70" i="27"/>
  <c r="G74" i="27"/>
  <c r="G78" i="27"/>
  <c r="G82" i="27"/>
  <c r="G86" i="27"/>
  <c r="G90" i="27"/>
  <c r="G94" i="27"/>
  <c r="G98" i="27"/>
  <c r="G102" i="27"/>
  <c r="G106" i="27"/>
  <c r="G110" i="27"/>
  <c r="G114" i="27"/>
  <c r="G118" i="27"/>
  <c r="G122" i="27"/>
  <c r="G126" i="27"/>
  <c r="G130" i="27"/>
  <c r="G134" i="27"/>
  <c r="G138" i="27"/>
  <c r="G142" i="27"/>
  <c r="G146" i="27"/>
  <c r="G150" i="27"/>
  <c r="G154" i="27"/>
  <c r="G158" i="27"/>
  <c r="G162" i="27"/>
  <c r="G166" i="27"/>
  <c r="G170" i="27"/>
  <c r="G174" i="27"/>
  <c r="G178" i="27"/>
  <c r="G182" i="27"/>
  <c r="G186" i="27"/>
  <c r="G190" i="27"/>
  <c r="G194" i="27"/>
  <c r="G198" i="27"/>
  <c r="G202" i="27"/>
  <c r="G206" i="27"/>
  <c r="G210" i="27"/>
  <c r="G214" i="27"/>
  <c r="G218" i="27"/>
  <c r="G222" i="27"/>
  <c r="G226" i="27"/>
  <c r="G230" i="27"/>
  <c r="G234" i="27"/>
  <c r="G11" i="27"/>
  <c r="G19" i="27"/>
  <c r="G27" i="27"/>
  <c r="G35" i="27"/>
  <c r="G43" i="27"/>
  <c r="G51" i="27"/>
  <c r="G59" i="27"/>
  <c r="G67" i="27"/>
  <c r="G75" i="27"/>
  <c r="G83" i="27"/>
  <c r="G91" i="27"/>
  <c r="G99" i="27"/>
  <c r="G107" i="27"/>
  <c r="G115" i="27"/>
  <c r="G123" i="27"/>
  <c r="G131" i="27"/>
  <c r="G139" i="27"/>
  <c r="G147" i="27"/>
  <c r="G155" i="27"/>
  <c r="G163" i="27"/>
  <c r="G171" i="27"/>
  <c r="G179" i="27"/>
  <c r="G187" i="27"/>
  <c r="G195" i="27"/>
  <c r="G203" i="27"/>
  <c r="G211" i="27"/>
  <c r="G219" i="27"/>
  <c r="G227" i="27"/>
  <c r="G235" i="27"/>
  <c r="G12" i="27"/>
  <c r="G20" i="27"/>
  <c r="G28" i="27"/>
  <c r="G36" i="27"/>
  <c r="G44" i="27"/>
  <c r="G52" i="27"/>
  <c r="G60" i="27"/>
  <c r="G68" i="27"/>
  <c r="G76" i="27"/>
  <c r="G84" i="27"/>
  <c r="G92" i="27"/>
  <c r="G100" i="27"/>
  <c r="G108" i="27"/>
  <c r="G116" i="27"/>
  <c r="G124" i="27"/>
  <c r="G132" i="27"/>
  <c r="G140" i="27"/>
  <c r="G148" i="27"/>
  <c r="G156" i="27"/>
  <c r="G164" i="27"/>
  <c r="G172" i="27"/>
  <c r="G180" i="27"/>
  <c r="G188" i="27"/>
  <c r="G196" i="27"/>
  <c r="G204" i="27"/>
  <c r="G212" i="27"/>
  <c r="G220" i="27"/>
  <c r="G228" i="27"/>
  <c r="G15" i="27"/>
  <c r="G23" i="27"/>
  <c r="G31" i="27"/>
  <c r="G39" i="27"/>
  <c r="G47" i="27"/>
  <c r="G55" i="27"/>
  <c r="G63" i="27"/>
  <c r="G71" i="27"/>
  <c r="G79" i="27"/>
  <c r="G87" i="27"/>
  <c r="G95" i="27"/>
  <c r="G103" i="27"/>
  <c r="G111" i="27"/>
  <c r="G119" i="27"/>
  <c r="G127" i="27"/>
  <c r="G135" i="27"/>
  <c r="G143" i="27"/>
  <c r="G151" i="27"/>
  <c r="G159" i="27"/>
  <c r="G167" i="27"/>
  <c r="G175" i="27"/>
  <c r="G183" i="27"/>
  <c r="G191" i="27"/>
  <c r="G199" i="27"/>
  <c r="G207" i="27"/>
  <c r="G215" i="27"/>
  <c r="G223" i="27"/>
  <c r="G231" i="27"/>
  <c r="G24" i="27"/>
  <c r="G56" i="27"/>
  <c r="G88" i="27"/>
  <c r="G120" i="27"/>
  <c r="G152" i="27"/>
  <c r="G184" i="27"/>
  <c r="G216" i="27"/>
  <c r="G32" i="27"/>
  <c r="G64" i="27"/>
  <c r="G96" i="27"/>
  <c r="G128" i="27"/>
  <c r="G160" i="27"/>
  <c r="G192" i="27"/>
  <c r="G224" i="27"/>
  <c r="G40" i="27"/>
  <c r="G72" i="27"/>
  <c r="G104" i="27"/>
  <c r="G136" i="27"/>
  <c r="G168" i="27"/>
  <c r="G200" i="27"/>
  <c r="G232" i="27"/>
  <c r="G16" i="27"/>
  <c r="G48" i="27"/>
  <c r="G80" i="27"/>
  <c r="G112" i="27"/>
  <c r="G144" i="27"/>
  <c r="G176" i="27"/>
  <c r="G208" i="27"/>
  <c r="G10" i="29"/>
  <c r="G14" i="29"/>
  <c r="G18" i="29"/>
  <c r="G22" i="29"/>
  <c r="G26" i="29"/>
  <c r="G30" i="29"/>
  <c r="G34" i="29"/>
  <c r="G38" i="29"/>
  <c r="G42" i="29"/>
  <c r="G46" i="29"/>
  <c r="G50" i="29"/>
  <c r="G54" i="29"/>
  <c r="G58" i="29"/>
  <c r="G62" i="29"/>
  <c r="G66" i="29"/>
  <c r="G70" i="29"/>
  <c r="G74" i="29"/>
  <c r="G78" i="29"/>
  <c r="G82" i="29"/>
  <c r="G86" i="29"/>
  <c r="G90" i="29"/>
  <c r="G94" i="29"/>
  <c r="G98" i="29"/>
  <c r="G102" i="29"/>
  <c r="G106" i="29"/>
  <c r="G110" i="29"/>
  <c r="G114" i="29"/>
  <c r="G118" i="29"/>
  <c r="G122" i="29"/>
  <c r="G11" i="29"/>
  <c r="G15" i="29"/>
  <c r="G19" i="29"/>
  <c r="G23" i="29"/>
  <c r="G27" i="29"/>
  <c r="G31" i="29"/>
  <c r="G35" i="29"/>
  <c r="G39" i="29"/>
  <c r="G43" i="29"/>
  <c r="G47" i="29"/>
  <c r="G51" i="29"/>
  <c r="G55" i="29"/>
  <c r="G59" i="29"/>
  <c r="G63" i="29"/>
  <c r="G67" i="29"/>
  <c r="G71" i="29"/>
  <c r="G75" i="29"/>
  <c r="G79" i="29"/>
  <c r="G83" i="29"/>
  <c r="G87" i="29"/>
  <c r="G91" i="29"/>
  <c r="G95" i="29"/>
  <c r="G99" i="29"/>
  <c r="G103" i="29"/>
  <c r="G107" i="29"/>
  <c r="G111" i="29"/>
  <c r="G115" i="29"/>
  <c r="G119" i="29"/>
  <c r="G16" i="29"/>
  <c r="G24" i="29"/>
  <c r="G32" i="29"/>
  <c r="G40" i="29"/>
  <c r="G48" i="29"/>
  <c r="G56" i="29"/>
  <c r="G64" i="29"/>
  <c r="G72" i="29"/>
  <c r="G80" i="29"/>
  <c r="G88" i="29"/>
  <c r="G96" i="29"/>
  <c r="G104" i="29"/>
  <c r="G112" i="29"/>
  <c r="G120" i="29"/>
  <c r="G9" i="29"/>
  <c r="G17" i="29"/>
  <c r="G25" i="29"/>
  <c r="G33" i="29"/>
  <c r="G41" i="29"/>
  <c r="G49" i="29"/>
  <c r="G57" i="29"/>
  <c r="G65" i="29"/>
  <c r="G73" i="29"/>
  <c r="G81" i="29"/>
  <c r="G89" i="29"/>
  <c r="G97" i="29"/>
  <c r="G105" i="29"/>
  <c r="G113" i="29"/>
  <c r="G121" i="29"/>
  <c r="G12" i="29"/>
  <c r="G20" i="29"/>
  <c r="G28" i="29"/>
  <c r="G36" i="29"/>
  <c r="G44" i="29"/>
  <c r="G52" i="29"/>
  <c r="G60" i="29"/>
  <c r="G68" i="29"/>
  <c r="G76" i="29"/>
  <c r="G84" i="29"/>
  <c r="G92" i="29"/>
  <c r="G100" i="29"/>
  <c r="G108" i="29"/>
  <c r="G116" i="29"/>
  <c r="G21" i="29"/>
  <c r="G53" i="29"/>
  <c r="G85" i="29"/>
  <c r="G117" i="29"/>
  <c r="G29" i="29"/>
  <c r="G61" i="29"/>
  <c r="G93" i="29"/>
  <c r="G37" i="29"/>
  <c r="G69" i="29"/>
  <c r="G101" i="29"/>
  <c r="G13" i="29"/>
  <c r="G45" i="29"/>
  <c r="G77" i="29"/>
  <c r="G109" i="29"/>
  <c r="G9" i="30"/>
  <c r="G13" i="30"/>
  <c r="G17" i="30"/>
  <c r="G21" i="30"/>
  <c r="G25" i="30"/>
  <c r="G29" i="30"/>
  <c r="G33" i="30"/>
  <c r="G37" i="30"/>
  <c r="G41" i="30"/>
  <c r="G45" i="30"/>
  <c r="G49" i="30"/>
  <c r="G53" i="30"/>
  <c r="G57" i="30"/>
  <c r="G61" i="30"/>
  <c r="G65" i="30"/>
  <c r="G69" i="30"/>
  <c r="G10" i="30"/>
  <c r="G14" i="30"/>
  <c r="G18" i="30"/>
  <c r="G22" i="30"/>
  <c r="G26" i="30"/>
  <c r="G30" i="30"/>
  <c r="G34" i="30"/>
  <c r="G38" i="30"/>
  <c r="G42" i="30"/>
  <c r="G46" i="30"/>
  <c r="G50" i="30"/>
  <c r="G54" i="30"/>
  <c r="G58" i="30"/>
  <c r="G62" i="30"/>
  <c r="G66" i="30"/>
  <c r="G70" i="30"/>
  <c r="G15" i="30"/>
  <c r="G23" i="30"/>
  <c r="G31" i="30"/>
  <c r="G39" i="30"/>
  <c r="G47" i="30"/>
  <c r="G55" i="30"/>
  <c r="G63" i="30"/>
  <c r="G71" i="30"/>
  <c r="G16" i="30"/>
  <c r="G24" i="30"/>
  <c r="G32" i="30"/>
  <c r="G40" i="30"/>
  <c r="G48" i="30"/>
  <c r="G56" i="30"/>
  <c r="G64" i="30"/>
  <c r="G72" i="30"/>
  <c r="G11" i="30"/>
  <c r="G19" i="30"/>
  <c r="G27" i="30"/>
  <c r="G35" i="30"/>
  <c r="G43" i="30"/>
  <c r="G51" i="30"/>
  <c r="G59" i="30"/>
  <c r="G67" i="30"/>
  <c r="G28" i="30"/>
  <c r="G60" i="30"/>
  <c r="G36" i="30"/>
  <c r="G68" i="30"/>
  <c r="G12" i="30"/>
  <c r="G44" i="30"/>
  <c r="G20" i="30"/>
  <c r="G52" i="30"/>
  <c r="G11" i="32"/>
  <c r="G15" i="32"/>
  <c r="G19" i="32"/>
  <c r="G23" i="32"/>
  <c r="G27" i="32"/>
  <c r="G31" i="32"/>
  <c r="G35" i="32"/>
  <c r="G39" i="32"/>
  <c r="G43" i="32"/>
  <c r="G47" i="32"/>
  <c r="G51" i="32"/>
  <c r="G55" i="32"/>
  <c r="G59" i="32"/>
  <c r="G63" i="32"/>
  <c r="G67" i="32"/>
  <c r="G71" i="32"/>
  <c r="G75" i="32"/>
  <c r="G79" i="32"/>
  <c r="G83" i="32"/>
  <c r="G87" i="32"/>
  <c r="G91" i="32"/>
  <c r="G95" i="32"/>
  <c r="G99" i="32"/>
  <c r="G103" i="32"/>
  <c r="G107" i="32"/>
  <c r="G111" i="32"/>
  <c r="G115" i="32"/>
  <c r="G119" i="32"/>
  <c r="G123" i="32"/>
  <c r="G12" i="32"/>
  <c r="G16" i="32"/>
  <c r="G20" i="32"/>
  <c r="G24" i="32"/>
  <c r="G28" i="32"/>
  <c r="G32" i="32"/>
  <c r="G36" i="32"/>
  <c r="G40" i="32"/>
  <c r="G44" i="32"/>
  <c r="G48" i="32"/>
  <c r="G52" i="32"/>
  <c r="G56" i="32"/>
  <c r="G60" i="32"/>
  <c r="G64" i="32"/>
  <c r="G68" i="32"/>
  <c r="G72" i="32"/>
  <c r="G76" i="32"/>
  <c r="G80" i="32"/>
  <c r="G84" i="32"/>
  <c r="G88" i="32"/>
  <c r="G92" i="32"/>
  <c r="G96" i="32"/>
  <c r="G100" i="32"/>
  <c r="G104" i="32"/>
  <c r="G108" i="32"/>
  <c r="G112" i="32"/>
  <c r="G116" i="32"/>
  <c r="G120" i="32"/>
  <c r="G124" i="32"/>
  <c r="G9" i="32"/>
  <c r="G13" i="32"/>
  <c r="G17" i="32"/>
  <c r="G21" i="32"/>
  <c r="G25" i="32"/>
  <c r="G29" i="32"/>
  <c r="G33" i="32"/>
  <c r="G37" i="32"/>
  <c r="G41" i="32"/>
  <c r="G45" i="32"/>
  <c r="G49" i="32"/>
  <c r="G53" i="32"/>
  <c r="G57" i="32"/>
  <c r="G61" i="32"/>
  <c r="G65" i="32"/>
  <c r="G69" i="32"/>
  <c r="G73" i="32"/>
  <c r="G77" i="32"/>
  <c r="G81" i="32"/>
  <c r="G85" i="32"/>
  <c r="G89" i="32"/>
  <c r="G93" i="32"/>
  <c r="G97" i="32"/>
  <c r="G101" i="32"/>
  <c r="G105" i="32"/>
  <c r="G109" i="32"/>
  <c r="G113" i="32"/>
  <c r="G117" i="32"/>
  <c r="G121" i="32"/>
  <c r="G125" i="32"/>
  <c r="G14" i="32"/>
  <c r="G30" i="32"/>
  <c r="G46" i="32"/>
  <c r="G62" i="32"/>
  <c r="G78" i="32"/>
  <c r="G94" i="32"/>
  <c r="G110" i="32"/>
  <c r="G126" i="32"/>
  <c r="G130" i="32"/>
  <c r="G134" i="32"/>
  <c r="G138" i="32"/>
  <c r="G142" i="32"/>
  <c r="G146" i="32"/>
  <c r="G150" i="32"/>
  <c r="G154" i="32"/>
  <c r="G158" i="32"/>
  <c r="G162" i="32"/>
  <c r="G166" i="32"/>
  <c r="G170" i="32"/>
  <c r="G174" i="32"/>
  <c r="G178" i="32"/>
  <c r="G182" i="32"/>
  <c r="G186" i="32"/>
  <c r="G190" i="32"/>
  <c r="G194" i="32"/>
  <c r="G198" i="32"/>
  <c r="G202" i="32"/>
  <c r="G206" i="32"/>
  <c r="G210" i="32"/>
  <c r="G214" i="32"/>
  <c r="G218" i="32"/>
  <c r="G222" i="32"/>
  <c r="G226" i="32"/>
  <c r="G230" i="32"/>
  <c r="G234" i="32"/>
  <c r="G238" i="32"/>
  <c r="G242" i="32"/>
  <c r="G246" i="32"/>
  <c r="G250" i="32"/>
  <c r="G254" i="32"/>
  <c r="G258" i="32"/>
  <c r="G262" i="32"/>
  <c r="G266" i="32"/>
  <c r="G270" i="32"/>
  <c r="G274" i="32"/>
  <c r="G278" i="32"/>
  <c r="G282" i="32"/>
  <c r="G286" i="32"/>
  <c r="G290" i="32"/>
  <c r="G294" i="32"/>
  <c r="G298" i="32"/>
  <c r="G302" i="32"/>
  <c r="G306" i="32"/>
  <c r="G310" i="32"/>
  <c r="G314" i="32"/>
  <c r="G318" i="32"/>
  <c r="G322" i="32"/>
  <c r="G326" i="32"/>
  <c r="G330" i="32"/>
  <c r="G334" i="32"/>
  <c r="G338" i="32"/>
  <c r="G342" i="32"/>
  <c r="G346" i="32"/>
  <c r="G350" i="32"/>
  <c r="G354" i="32"/>
  <c r="G358" i="32"/>
  <c r="G362" i="32"/>
  <c r="G366" i="32"/>
  <c r="G370" i="32"/>
  <c r="G374" i="32"/>
  <c r="G378" i="32"/>
  <c r="G382" i="32"/>
  <c r="G386" i="32"/>
  <c r="G390" i="32"/>
  <c r="G394" i="32"/>
  <c r="G398" i="32"/>
  <c r="G402" i="32"/>
  <c r="G406" i="32"/>
  <c r="G410" i="32"/>
  <c r="G414" i="32"/>
  <c r="G418" i="32"/>
  <c r="G422" i="32"/>
  <c r="G426" i="32"/>
  <c r="G430" i="32"/>
  <c r="G434" i="32"/>
  <c r="G438" i="32"/>
  <c r="G442" i="32"/>
  <c r="G446" i="32"/>
  <c r="G450" i="32"/>
  <c r="G454" i="32"/>
  <c r="G458" i="32"/>
  <c r="G462" i="32"/>
  <c r="G466" i="32"/>
  <c r="G470" i="32"/>
  <c r="G474" i="32"/>
  <c r="G18" i="32"/>
  <c r="G34" i="32"/>
  <c r="G50" i="32"/>
  <c r="G66" i="32"/>
  <c r="G82" i="32"/>
  <c r="G98" i="32"/>
  <c r="G114" i="32"/>
  <c r="G127" i="32"/>
  <c r="G131" i="32"/>
  <c r="G135" i="32"/>
  <c r="G139" i="32"/>
  <c r="G143" i="32"/>
  <c r="G147" i="32"/>
  <c r="G151" i="32"/>
  <c r="G155" i="32"/>
  <c r="G159" i="32"/>
  <c r="G163" i="32"/>
  <c r="G167" i="32"/>
  <c r="G171" i="32"/>
  <c r="G175" i="32"/>
  <c r="G179" i="32"/>
  <c r="G183" i="32"/>
  <c r="G187" i="32"/>
  <c r="G191" i="32"/>
  <c r="G195" i="32"/>
  <c r="G199" i="32"/>
  <c r="G203" i="32"/>
  <c r="G207" i="32"/>
  <c r="G211" i="32"/>
  <c r="G215" i="32"/>
  <c r="G219" i="32"/>
  <c r="G223" i="32"/>
  <c r="G227" i="32"/>
  <c r="G231" i="32"/>
  <c r="G235" i="32"/>
  <c r="G239" i="32"/>
  <c r="G243" i="32"/>
  <c r="G247" i="32"/>
  <c r="G251" i="32"/>
  <c r="G255" i="32"/>
  <c r="G259" i="32"/>
  <c r="G263" i="32"/>
  <c r="G267" i="32"/>
  <c r="G271" i="32"/>
  <c r="G275" i="32"/>
  <c r="G279" i="32"/>
  <c r="G283" i="32"/>
  <c r="G287" i="32"/>
  <c r="G291" i="32"/>
  <c r="G295" i="32"/>
  <c r="G299" i="32"/>
  <c r="G303" i="32"/>
  <c r="G307" i="32"/>
  <c r="G311" i="32"/>
  <c r="G315" i="32"/>
  <c r="G319" i="32"/>
  <c r="G323" i="32"/>
  <c r="G327" i="32"/>
  <c r="G331" i="32"/>
  <c r="G335" i="32"/>
  <c r="G339" i="32"/>
  <c r="G343" i="32"/>
  <c r="G347" i="32"/>
  <c r="G351" i="32"/>
  <c r="G355" i="32"/>
  <c r="G359" i="32"/>
  <c r="G363" i="32"/>
  <c r="G367" i="32"/>
  <c r="G371" i="32"/>
  <c r="G375" i="32"/>
  <c r="G379" i="32"/>
  <c r="G383" i="32"/>
  <c r="G387" i="32"/>
  <c r="G391" i="32"/>
  <c r="G395" i="32"/>
  <c r="G399" i="32"/>
  <c r="G403" i="32"/>
  <c r="G407" i="32"/>
  <c r="G411" i="32"/>
  <c r="G415" i="32"/>
  <c r="G419" i="32"/>
  <c r="G423" i="32"/>
  <c r="G427" i="32"/>
  <c r="G431" i="32"/>
  <c r="G435" i="32"/>
  <c r="G439" i="32"/>
  <c r="G443" i="32"/>
  <c r="G447" i="32"/>
  <c r="G451" i="32"/>
  <c r="G455" i="32"/>
  <c r="G459" i="32"/>
  <c r="G463" i="32"/>
  <c r="G467" i="32"/>
  <c r="G471" i="32"/>
  <c r="G475" i="32"/>
  <c r="G22" i="32"/>
  <c r="G54" i="32"/>
  <c r="G86" i="32"/>
  <c r="G118" i="32"/>
  <c r="G132" i="32"/>
  <c r="G140" i="32"/>
  <c r="G148" i="32"/>
  <c r="G156" i="32"/>
  <c r="G164" i="32"/>
  <c r="G172" i="32"/>
  <c r="G180" i="32"/>
  <c r="G188" i="32"/>
  <c r="G196" i="32"/>
  <c r="G204" i="32"/>
  <c r="G212" i="32"/>
  <c r="G220" i="32"/>
  <c r="G228" i="32"/>
  <c r="G236" i="32"/>
  <c r="G244" i="32"/>
  <c r="G252" i="32"/>
  <c r="G260" i="32"/>
  <c r="G268" i="32"/>
  <c r="G276" i="32"/>
  <c r="G284" i="32"/>
  <c r="G292" i="32"/>
  <c r="G300" i="32"/>
  <c r="G308" i="32"/>
  <c r="G316" i="32"/>
  <c r="G324" i="32"/>
  <c r="G332" i="32"/>
  <c r="G340" i="32"/>
  <c r="G348" i="32"/>
  <c r="G356" i="32"/>
  <c r="G364" i="32"/>
  <c r="G372" i="32"/>
  <c r="G380" i="32"/>
  <c r="G388" i="32"/>
  <c r="G396" i="32"/>
  <c r="G404" i="32"/>
  <c r="G412" i="32"/>
  <c r="G420" i="32"/>
  <c r="G428" i="32"/>
  <c r="G436" i="32"/>
  <c r="G444" i="32"/>
  <c r="G452" i="32"/>
  <c r="G460" i="32"/>
  <c r="G468" i="32"/>
  <c r="G476" i="32"/>
  <c r="G26" i="32"/>
  <c r="G58" i="32"/>
  <c r="G90" i="32"/>
  <c r="G122" i="32"/>
  <c r="G133" i="32"/>
  <c r="G141" i="32"/>
  <c r="G149" i="32"/>
  <c r="G157" i="32"/>
  <c r="G165" i="32"/>
  <c r="G173" i="32"/>
  <c r="G181" i="32"/>
  <c r="G189" i="32"/>
  <c r="G197" i="32"/>
  <c r="G205" i="32"/>
  <c r="G213" i="32"/>
  <c r="G221" i="32"/>
  <c r="G229" i="32"/>
  <c r="G237" i="32"/>
  <c r="G245" i="32"/>
  <c r="G253" i="32"/>
  <c r="G261" i="32"/>
  <c r="G269" i="32"/>
  <c r="G277" i="32"/>
  <c r="G285" i="32"/>
  <c r="G293" i="32"/>
  <c r="G301" i="32"/>
  <c r="G309" i="32"/>
  <c r="G317" i="32"/>
  <c r="G325" i="32"/>
  <c r="G333" i="32"/>
  <c r="G341" i="32"/>
  <c r="G349" i="32"/>
  <c r="G357" i="32"/>
  <c r="G365" i="32"/>
  <c r="G373" i="32"/>
  <c r="G381" i="32"/>
  <c r="G389" i="32"/>
  <c r="G397" i="32"/>
  <c r="G405" i="32"/>
  <c r="G413" i="32"/>
  <c r="G421" i="32"/>
  <c r="G429" i="32"/>
  <c r="G437" i="32"/>
  <c r="G445" i="32"/>
  <c r="G453" i="32"/>
  <c r="G461" i="32"/>
  <c r="G469" i="32"/>
  <c r="G477" i="32"/>
  <c r="G70" i="32"/>
  <c r="G128" i="32"/>
  <c r="G144" i="32"/>
  <c r="G160" i="32"/>
  <c r="G176" i="32"/>
  <c r="G192" i="32"/>
  <c r="G208" i="32"/>
  <c r="G224" i="32"/>
  <c r="G240" i="32"/>
  <c r="G256" i="32"/>
  <c r="G272" i="32"/>
  <c r="G288" i="32"/>
  <c r="G304" i="32"/>
  <c r="G320" i="32"/>
  <c r="G336" i="32"/>
  <c r="G352" i="32"/>
  <c r="G368" i="32"/>
  <c r="G384" i="32"/>
  <c r="G400" i="32"/>
  <c r="G416" i="32"/>
  <c r="G432" i="32"/>
  <c r="G448" i="32"/>
  <c r="G464" i="32"/>
  <c r="G10" i="32"/>
  <c r="G74" i="32"/>
  <c r="G129" i="32"/>
  <c r="G145" i="32"/>
  <c r="G161" i="32"/>
  <c r="G177" i="32"/>
  <c r="G193" i="32"/>
  <c r="G209" i="32"/>
  <c r="G225" i="32"/>
  <c r="G241" i="32"/>
  <c r="G257" i="32"/>
  <c r="G273" i="32"/>
  <c r="G289" i="32"/>
  <c r="G305" i="32"/>
  <c r="G321" i="32"/>
  <c r="G337" i="32"/>
  <c r="G353" i="32"/>
  <c r="G369" i="32"/>
  <c r="G385" i="32"/>
  <c r="G401" i="32"/>
  <c r="G417" i="32"/>
  <c r="G433" i="32"/>
  <c r="G449" i="32"/>
  <c r="G465" i="32"/>
  <c r="G38" i="32"/>
  <c r="G102" i="32"/>
  <c r="G136" i="32"/>
  <c r="G152" i="32"/>
  <c r="G168" i="32"/>
  <c r="G184" i="32"/>
  <c r="G200" i="32"/>
  <c r="G216" i="32"/>
  <c r="G232" i="32"/>
  <c r="G248" i="32"/>
  <c r="G264" i="32"/>
  <c r="G280" i="32"/>
  <c r="G296" i="32"/>
  <c r="G312" i="32"/>
  <c r="G328" i="32"/>
  <c r="G344" i="32"/>
  <c r="G360" i="32"/>
  <c r="G376" i="32"/>
  <c r="G392" i="32"/>
  <c r="G408" i="32"/>
  <c r="G424" i="32"/>
  <c r="G440" i="32"/>
  <c r="G456" i="32"/>
  <c r="G472" i="32"/>
  <c r="G106" i="32"/>
  <c r="G185" i="32"/>
  <c r="G249" i="32"/>
  <c r="G313" i="32"/>
  <c r="G377" i="32"/>
  <c r="G441" i="32"/>
  <c r="G137" i="32"/>
  <c r="G201" i="32"/>
  <c r="G265" i="32"/>
  <c r="G329" i="32"/>
  <c r="G393" i="32"/>
  <c r="G457" i="32"/>
  <c r="G153" i="32"/>
  <c r="G217" i="32"/>
  <c r="G281" i="32"/>
  <c r="G345" i="32"/>
  <c r="G409" i="32"/>
  <c r="G473" i="32"/>
  <c r="G42" i="32"/>
  <c r="G169" i="32"/>
  <c r="G233" i="32"/>
  <c r="G297" i="32"/>
  <c r="G361" i="32"/>
  <c r="G425" i="32"/>
  <c r="G11" i="3"/>
  <c r="G15" i="3"/>
  <c r="G19" i="3"/>
  <c r="G23" i="3"/>
  <c r="G27" i="3"/>
  <c r="G31" i="3"/>
  <c r="G35" i="3"/>
  <c r="G39" i="3"/>
  <c r="G43" i="3"/>
  <c r="G47" i="3"/>
  <c r="G51" i="3"/>
  <c r="G55" i="3"/>
  <c r="G59" i="3"/>
  <c r="G63" i="3"/>
  <c r="G67" i="3"/>
  <c r="G71" i="3"/>
  <c r="G12" i="3"/>
  <c r="G16" i="3"/>
  <c r="G20" i="3"/>
  <c r="G24" i="3"/>
  <c r="G28" i="3"/>
  <c r="G32" i="3"/>
  <c r="G36" i="3"/>
  <c r="G40" i="3"/>
  <c r="G44" i="3"/>
  <c r="G48" i="3"/>
  <c r="G52" i="3"/>
  <c r="G56" i="3"/>
  <c r="G60" i="3"/>
  <c r="G64" i="3"/>
  <c r="G68" i="3"/>
  <c r="G9" i="3"/>
  <c r="G13" i="3"/>
  <c r="G17" i="3"/>
  <c r="G21" i="3"/>
  <c r="G25" i="3"/>
  <c r="G29" i="3"/>
  <c r="G33" i="3"/>
  <c r="G37" i="3"/>
  <c r="G41" i="3"/>
  <c r="G45" i="3"/>
  <c r="G49" i="3"/>
  <c r="G53" i="3"/>
  <c r="G57" i="3"/>
  <c r="G61" i="3"/>
  <c r="G65" i="3"/>
  <c r="G69" i="3"/>
  <c r="G10" i="3"/>
  <c r="G14" i="3"/>
  <c r="G18" i="3"/>
  <c r="G22" i="3"/>
  <c r="G26" i="3"/>
  <c r="G30" i="3"/>
  <c r="G34" i="3"/>
  <c r="G38" i="3"/>
  <c r="G42" i="3"/>
  <c r="G46" i="3"/>
  <c r="G50" i="3"/>
  <c r="G54" i="3"/>
  <c r="G58" i="3"/>
  <c r="G62" i="3"/>
  <c r="G66" i="3"/>
  <c r="G70" i="3"/>
  <c r="G9" i="9"/>
  <c r="G9" i="12"/>
  <c r="G12" i="15"/>
  <c r="G16" i="15"/>
  <c r="G20" i="15"/>
  <c r="G24" i="15"/>
  <c r="G28" i="15"/>
  <c r="G32" i="15"/>
  <c r="G36" i="15"/>
  <c r="G40" i="15"/>
  <c r="G44" i="15"/>
  <c r="G48" i="15"/>
  <c r="G52" i="15"/>
  <c r="G56" i="15"/>
  <c r="G60" i="15"/>
  <c r="G64" i="15"/>
  <c r="G68" i="15"/>
  <c r="G9" i="15"/>
  <c r="G13" i="15"/>
  <c r="G17" i="15"/>
  <c r="G21" i="15"/>
  <c r="G25" i="15"/>
  <c r="G29" i="15"/>
  <c r="G33" i="15"/>
  <c r="G37" i="15"/>
  <c r="G41" i="15"/>
  <c r="G45" i="15"/>
  <c r="G49" i="15"/>
  <c r="G53" i="15"/>
  <c r="G57" i="15"/>
  <c r="G61" i="15"/>
  <c r="G65" i="15"/>
  <c r="G69" i="15"/>
  <c r="G10" i="15"/>
  <c r="G14" i="15"/>
  <c r="G18" i="15"/>
  <c r="G22" i="15"/>
  <c r="G26" i="15"/>
  <c r="G30" i="15"/>
  <c r="G34" i="15"/>
  <c r="G38" i="15"/>
  <c r="G42" i="15"/>
  <c r="G46" i="15"/>
  <c r="G50" i="15"/>
  <c r="G54" i="15"/>
  <c r="G58" i="15"/>
  <c r="G62" i="15"/>
  <c r="G66" i="15"/>
  <c r="G70" i="15"/>
  <c r="G11" i="15"/>
  <c r="G15" i="15"/>
  <c r="G19" i="15"/>
  <c r="G23" i="15"/>
  <c r="G27" i="15"/>
  <c r="G31" i="15"/>
  <c r="G35" i="15"/>
  <c r="G39" i="15"/>
  <c r="G43" i="15"/>
  <c r="G47" i="15"/>
  <c r="G51" i="15"/>
  <c r="G55" i="15"/>
  <c r="G59" i="15"/>
  <c r="G63" i="15"/>
  <c r="G67" i="15"/>
  <c r="G12" i="26"/>
  <c r="G16" i="26"/>
  <c r="G20" i="26"/>
  <c r="G24" i="26"/>
  <c r="G28" i="26"/>
  <c r="G32" i="26"/>
  <c r="G36" i="26"/>
  <c r="G40" i="26"/>
  <c r="G44" i="26"/>
  <c r="G48" i="26"/>
  <c r="G52" i="26"/>
  <c r="G56" i="26"/>
  <c r="G60" i="26"/>
  <c r="G64" i="26"/>
  <c r="G68" i="26"/>
  <c r="G72" i="26"/>
  <c r="G76" i="26"/>
  <c r="G80" i="26"/>
  <c r="G84" i="26"/>
  <c r="G88" i="26"/>
  <c r="G92" i="26"/>
  <c r="G96" i="26"/>
  <c r="G100" i="26"/>
  <c r="G104" i="26"/>
  <c r="G108" i="26"/>
  <c r="G9" i="26"/>
  <c r="G13" i="26"/>
  <c r="G17" i="26"/>
  <c r="G21" i="26"/>
  <c r="G25" i="26"/>
  <c r="G29" i="26"/>
  <c r="G33" i="26"/>
  <c r="G37" i="26"/>
  <c r="G41" i="26"/>
  <c r="G45" i="26"/>
  <c r="G49" i="26"/>
  <c r="G53" i="26"/>
  <c r="G57" i="26"/>
  <c r="G61" i="26"/>
  <c r="G65" i="26"/>
  <c r="G69" i="26"/>
  <c r="G73" i="26"/>
  <c r="G77" i="26"/>
  <c r="G81" i="26"/>
  <c r="G85" i="26"/>
  <c r="G89" i="26"/>
  <c r="G93" i="26"/>
  <c r="G97" i="26"/>
  <c r="G101" i="26"/>
  <c r="G105" i="26"/>
  <c r="G109" i="26"/>
  <c r="G14" i="26"/>
  <c r="G15" i="26"/>
  <c r="G23" i="26"/>
  <c r="G31" i="26"/>
  <c r="G39" i="26"/>
  <c r="G47" i="26"/>
  <c r="G55" i="26"/>
  <c r="G63" i="26"/>
  <c r="G71" i="26"/>
  <c r="G79" i="26"/>
  <c r="G87" i="26"/>
  <c r="G95" i="26"/>
  <c r="G103" i="26"/>
  <c r="G111" i="26"/>
  <c r="G10" i="26"/>
  <c r="G18" i="26"/>
  <c r="G26" i="26"/>
  <c r="G34" i="26"/>
  <c r="G42" i="26"/>
  <c r="G50" i="26"/>
  <c r="G58" i="26"/>
  <c r="G66" i="26"/>
  <c r="G74" i="26"/>
  <c r="G82" i="26"/>
  <c r="G90" i="26"/>
  <c r="G98" i="26"/>
  <c r="G106" i="26"/>
  <c r="G27" i="26"/>
  <c r="G43" i="26"/>
  <c r="G59" i="26"/>
  <c r="G75" i="26"/>
  <c r="G91" i="26"/>
  <c r="G107" i="26"/>
  <c r="G114" i="26"/>
  <c r="G118" i="26"/>
  <c r="G122" i="26"/>
  <c r="G126" i="26"/>
  <c r="G130" i="26"/>
  <c r="G134" i="26"/>
  <c r="G138" i="26"/>
  <c r="G142" i="26"/>
  <c r="G146" i="26"/>
  <c r="G150" i="26"/>
  <c r="G11" i="26"/>
  <c r="G30" i="26"/>
  <c r="G46" i="26"/>
  <c r="G62" i="26"/>
  <c r="G78" i="26"/>
  <c r="G94" i="26"/>
  <c r="G110" i="26"/>
  <c r="G115" i="26"/>
  <c r="G119" i="26"/>
  <c r="G123" i="26"/>
  <c r="G127" i="26"/>
  <c r="G131" i="26"/>
  <c r="G135" i="26"/>
  <c r="G139" i="26"/>
  <c r="G143" i="26"/>
  <c r="G147" i="26"/>
  <c r="G151" i="26"/>
  <c r="G19" i="26"/>
  <c r="G35" i="26"/>
  <c r="G51" i="26"/>
  <c r="G67" i="26"/>
  <c r="G83" i="26"/>
  <c r="G99" i="26"/>
  <c r="G112" i="26"/>
  <c r="G116" i="26"/>
  <c r="G120" i="26"/>
  <c r="G124" i="26"/>
  <c r="G128" i="26"/>
  <c r="G132" i="26"/>
  <c r="G136" i="26"/>
  <c r="G140" i="26"/>
  <c r="G144" i="26"/>
  <c r="G148" i="26"/>
  <c r="G152" i="26"/>
  <c r="G22" i="26"/>
  <c r="G38" i="26"/>
  <c r="G54" i="26"/>
  <c r="G70" i="26"/>
  <c r="G86" i="26"/>
  <c r="G102" i="26"/>
  <c r="G113" i="26"/>
  <c r="G117" i="26"/>
  <c r="G121" i="26"/>
  <c r="G125" i="26"/>
  <c r="G129" i="26"/>
  <c r="G133" i="26"/>
  <c r="G137" i="26"/>
  <c r="G141" i="26"/>
  <c r="G145" i="26"/>
  <c r="G149" i="26"/>
  <c r="G153" i="26"/>
  <c r="G10" i="31"/>
  <c r="G14" i="31"/>
  <c r="G18" i="31"/>
  <c r="G22" i="31"/>
  <c r="G26" i="31"/>
  <c r="G30" i="31"/>
  <c r="G34" i="31"/>
  <c r="G38" i="31"/>
  <c r="G42" i="31"/>
  <c r="G46" i="31"/>
  <c r="G50" i="31"/>
  <c r="G54" i="31"/>
  <c r="G58" i="31"/>
  <c r="G62" i="31"/>
  <c r="G66" i="31"/>
  <c r="G70" i="31"/>
  <c r="G74" i="31"/>
  <c r="G78" i="31"/>
  <c r="G82" i="31"/>
  <c r="G86" i="31"/>
  <c r="G90" i="31"/>
  <c r="G94" i="31"/>
  <c r="G11" i="31"/>
  <c r="G15" i="31"/>
  <c r="G19" i="31"/>
  <c r="G23" i="31"/>
  <c r="G27" i="31"/>
  <c r="G31" i="31"/>
  <c r="G35" i="31"/>
  <c r="G39" i="31"/>
  <c r="G43" i="31"/>
  <c r="G47" i="31"/>
  <c r="G51" i="31"/>
  <c r="G55" i="31"/>
  <c r="G59" i="31"/>
  <c r="G63" i="31"/>
  <c r="G67" i="31"/>
  <c r="G71" i="31"/>
  <c r="G75" i="31"/>
  <c r="G79" i="31"/>
  <c r="G83" i="31"/>
  <c r="G87" i="31"/>
  <c r="G91" i="31"/>
  <c r="G95" i="31"/>
  <c r="G12" i="31"/>
  <c r="G20" i="31"/>
  <c r="G28" i="31"/>
  <c r="G36" i="31"/>
  <c r="G44" i="31"/>
  <c r="G52" i="31"/>
  <c r="G60" i="31"/>
  <c r="G68" i="31"/>
  <c r="G76" i="31"/>
  <c r="G84" i="31"/>
  <c r="G92" i="31"/>
  <c r="G98" i="31"/>
  <c r="G102" i="31"/>
  <c r="G106" i="31"/>
  <c r="G110" i="31"/>
  <c r="G114" i="31"/>
  <c r="G118" i="31"/>
  <c r="G122" i="31"/>
  <c r="G126" i="31"/>
  <c r="G130" i="31"/>
  <c r="G134" i="31"/>
  <c r="G138" i="31"/>
  <c r="G142" i="31"/>
  <c r="G146" i="31"/>
  <c r="G150" i="31"/>
  <c r="G154" i="31"/>
  <c r="G158" i="31"/>
  <c r="G162" i="31"/>
  <c r="G166" i="31"/>
  <c r="G170" i="31"/>
  <c r="G174" i="31"/>
  <c r="G178" i="31"/>
  <c r="G182" i="31"/>
  <c r="G186" i="31"/>
  <c r="G190" i="31"/>
  <c r="G194" i="31"/>
  <c r="G198" i="31"/>
  <c r="G202" i="31"/>
  <c r="G206" i="31"/>
  <c r="G210" i="31"/>
  <c r="G214" i="31"/>
  <c r="G218" i="31"/>
  <c r="G222" i="31"/>
  <c r="G226" i="31"/>
  <c r="G230" i="31"/>
  <c r="G234" i="31"/>
  <c r="G238" i="31"/>
  <c r="G242" i="31"/>
  <c r="G246" i="31"/>
  <c r="G250" i="31"/>
  <c r="G254" i="31"/>
  <c r="G13" i="31"/>
  <c r="G21" i="31"/>
  <c r="G29" i="31"/>
  <c r="G37" i="31"/>
  <c r="G45" i="31"/>
  <c r="G53" i="31"/>
  <c r="G61" i="31"/>
  <c r="G69" i="31"/>
  <c r="G77" i="31"/>
  <c r="G85" i="31"/>
  <c r="G93" i="31"/>
  <c r="G99" i="31"/>
  <c r="G103" i="31"/>
  <c r="G107" i="31"/>
  <c r="G111" i="31"/>
  <c r="G115" i="31"/>
  <c r="G119" i="31"/>
  <c r="G123" i="31"/>
  <c r="G127" i="31"/>
  <c r="G131" i="31"/>
  <c r="G135" i="31"/>
  <c r="G139" i="31"/>
  <c r="G143" i="31"/>
  <c r="G147" i="31"/>
  <c r="G151" i="31"/>
  <c r="G155" i="31"/>
  <c r="G159" i="31"/>
  <c r="G163" i="31"/>
  <c r="G167" i="31"/>
  <c r="G171" i="31"/>
  <c r="G175" i="31"/>
  <c r="G179" i="31"/>
  <c r="G183" i="31"/>
  <c r="G187" i="31"/>
  <c r="G191" i="31"/>
  <c r="G195" i="31"/>
  <c r="G199" i="31"/>
  <c r="G203" i="31"/>
  <c r="G207" i="31"/>
  <c r="G211" i="31"/>
  <c r="G215" i="31"/>
  <c r="G219" i="31"/>
  <c r="G223" i="31"/>
  <c r="G227" i="31"/>
  <c r="G231" i="31"/>
  <c r="G235" i="31"/>
  <c r="G239" i="31"/>
  <c r="G243" i="31"/>
  <c r="G247" i="31"/>
  <c r="G251" i="31"/>
  <c r="G255" i="31"/>
  <c r="G16" i="31"/>
  <c r="G32" i="31"/>
  <c r="G48" i="31"/>
  <c r="G64" i="31"/>
  <c r="G80" i="31"/>
  <c r="G96" i="31"/>
  <c r="G104" i="31"/>
  <c r="G112" i="31"/>
  <c r="G120" i="31"/>
  <c r="G128" i="31"/>
  <c r="G136" i="31"/>
  <c r="G144" i="31"/>
  <c r="G152" i="31"/>
  <c r="G160" i="31"/>
  <c r="G168" i="31"/>
  <c r="G176" i="31"/>
  <c r="G184" i="31"/>
  <c r="G192" i="31"/>
  <c r="G200" i="31"/>
  <c r="G208" i="31"/>
  <c r="G216" i="31"/>
  <c r="G224" i="31"/>
  <c r="G232" i="31"/>
  <c r="G240" i="31"/>
  <c r="G248" i="31"/>
  <c r="G256" i="31"/>
  <c r="G17" i="31"/>
  <c r="G33" i="31"/>
  <c r="G49" i="31"/>
  <c r="G65" i="31"/>
  <c r="G81" i="31"/>
  <c r="G97" i="31"/>
  <c r="G105" i="31"/>
  <c r="G113" i="31"/>
  <c r="G121" i="31"/>
  <c r="G129" i="31"/>
  <c r="G137" i="31"/>
  <c r="G145" i="31"/>
  <c r="G153" i="31"/>
  <c r="G161" i="31"/>
  <c r="G169" i="31"/>
  <c r="G177" i="31"/>
  <c r="G185" i="31"/>
  <c r="G193" i="31"/>
  <c r="G201" i="31"/>
  <c r="G209" i="31"/>
  <c r="G217" i="31"/>
  <c r="G225" i="31"/>
  <c r="G233" i="31"/>
  <c r="G241" i="31"/>
  <c r="G249" i="31"/>
  <c r="G257" i="31"/>
  <c r="G24" i="31"/>
  <c r="G40" i="31"/>
  <c r="G56" i="31"/>
  <c r="G72" i="31"/>
  <c r="G88" i="31"/>
  <c r="G100" i="31"/>
  <c r="G108" i="31"/>
  <c r="G116" i="31"/>
  <c r="G124" i="31"/>
  <c r="G132" i="31"/>
  <c r="G140" i="31"/>
  <c r="G148" i="31"/>
  <c r="G156" i="31"/>
  <c r="G164" i="31"/>
  <c r="G172" i="31"/>
  <c r="G180" i="31"/>
  <c r="G188" i="31"/>
  <c r="G196" i="31"/>
  <c r="G204" i="31"/>
  <c r="G212" i="31"/>
  <c r="G220" i="31"/>
  <c r="G228" i="31"/>
  <c r="G236" i="31"/>
  <c r="G244" i="31"/>
  <c r="G252" i="31"/>
  <c r="G9" i="31"/>
  <c r="G73" i="31"/>
  <c r="G117" i="31"/>
  <c r="G149" i="31"/>
  <c r="G181" i="31"/>
  <c r="G213" i="31"/>
  <c r="G245" i="31"/>
  <c r="G25" i="31"/>
  <c r="G89" i="31"/>
  <c r="G125" i="31"/>
  <c r="G157" i="31"/>
  <c r="G189" i="31"/>
  <c r="G221" i="31"/>
  <c r="G253" i="31"/>
  <c r="G41" i="31"/>
  <c r="G101" i="31"/>
  <c r="G133" i="31"/>
  <c r="G165" i="31"/>
  <c r="G197" i="31"/>
  <c r="G229" i="31"/>
  <c r="G57" i="31"/>
  <c r="G109" i="31"/>
  <c r="G141" i="31"/>
  <c r="G173" i="31"/>
  <c r="G205" i="31"/>
  <c r="G237" i="31"/>
  <c r="K34" i="34"/>
  <c r="G236" i="27"/>
  <c r="I11" i="34" l="1"/>
  <c r="E11" i="34"/>
  <c r="A34" i="34"/>
  <c r="O22" i="34"/>
  <c r="G16" i="34"/>
  <c r="A22" i="34"/>
  <c r="C28" i="34"/>
  <c r="K22" i="34"/>
  <c r="K11" i="34"/>
  <c r="C16" i="34"/>
  <c r="E16" i="34"/>
  <c r="O16" i="34"/>
  <c r="A16" i="34"/>
  <c r="I16" i="34"/>
  <c r="A28" i="34"/>
  <c r="E22" i="34"/>
  <c r="C22" i="34"/>
  <c r="A11" i="34"/>
  <c r="M34" i="34"/>
  <c r="G28" i="34"/>
  <c r="G22" i="34"/>
  <c r="K28" i="34"/>
  <c r="Q34" i="34"/>
  <c r="E28" i="34" l="1"/>
  <c r="G34" i="34"/>
  <c r="C34" i="34"/>
  <c r="M16" i="34"/>
  <c r="C11" i="34"/>
  <c r="I22" i="34"/>
  <c r="G11" i="34"/>
  <c r="O11" i="34"/>
  <c r="C1" i="34" l="1"/>
</calcChain>
</file>

<file path=xl/sharedStrings.xml><?xml version="1.0" encoding="utf-8"?>
<sst xmlns="http://schemas.openxmlformats.org/spreadsheetml/2006/main" count="6620" uniqueCount="3562">
  <si>
    <t>DATE</t>
  </si>
  <si>
    <t>DESIGNATION</t>
  </si>
  <si>
    <t>QUANTITE</t>
  </si>
  <si>
    <t>PRIX UNITAIRE</t>
  </si>
  <si>
    <t>TOTAL MONTANT</t>
  </si>
  <si>
    <t>VERSEMENT</t>
  </si>
  <si>
    <t>SOLDE</t>
  </si>
  <si>
    <t>NOM CLIENT</t>
  </si>
  <si>
    <t>TOTAL VERSEMENT</t>
  </si>
  <si>
    <t>BATTERIE 200AH OURSUN</t>
  </si>
  <si>
    <t>BATTERIE 150AH OURSUN</t>
  </si>
  <si>
    <t>BATTERIE 120AH BEYONIX</t>
  </si>
  <si>
    <t>BATTERIE 100AH OURSUN</t>
  </si>
  <si>
    <t>BATTERIE 75AH BEYONIX</t>
  </si>
  <si>
    <t xml:space="preserve">BETTERIE 55AH OURSUN </t>
  </si>
  <si>
    <t xml:space="preserve">BATTERIE 45AH VEGA TH </t>
  </si>
  <si>
    <t xml:space="preserve">BATTERIE 45AH TEKOMA TB </t>
  </si>
  <si>
    <t xml:space="preserve">BATTERIE 90AH VISCA </t>
  </si>
  <si>
    <t xml:space="preserve">PNEU 195R15C HABLEAD </t>
  </si>
  <si>
    <t xml:space="preserve"> PNEU 195/65R15 ZEXTOUR </t>
  </si>
  <si>
    <t xml:space="preserve">PNEU 265/70R16 APLUS </t>
  </si>
  <si>
    <t xml:space="preserve">PNEU 205/55R16 Z3EXTOUR </t>
  </si>
  <si>
    <t xml:space="preserve">PNEU 175/65R15 RIKEN </t>
  </si>
  <si>
    <t>PNEU 235/60R16 APLUS</t>
  </si>
  <si>
    <t>PNEU 750R16 DOUPRO</t>
  </si>
  <si>
    <t xml:space="preserve">PNEU 235/75R17,5 KAPSEN </t>
  </si>
  <si>
    <t xml:space="preserve">PNEU 165/70R13 KAPSEN </t>
  </si>
  <si>
    <t xml:space="preserve">PNEU 255/70R16 KAPSEN </t>
  </si>
  <si>
    <t>PNEU TRANSMATE 235/65R16C</t>
  </si>
  <si>
    <t>PNEU TRANSMATE 175/70R14</t>
  </si>
  <si>
    <t>PNEU TRANSMATE 185/60R15</t>
  </si>
  <si>
    <t>PNEU TRANSMATE 185/65R15</t>
  </si>
  <si>
    <t>PNEU TRANSMATE 225/70R15C</t>
  </si>
  <si>
    <t>PNEU TRANSMATE 215/65R16</t>
  </si>
  <si>
    <t>PNEU TRANSMATE 235/70R16</t>
  </si>
  <si>
    <t>PNEU TRANSMATE 225/65R17</t>
  </si>
  <si>
    <t>PNEU TRANSMATE 235/65R17</t>
  </si>
  <si>
    <t>PNEU TRANSMATE 285/65R17</t>
  </si>
  <si>
    <t>PNEU TRANSMATE 235/60R18</t>
  </si>
  <si>
    <t>PNEU TRANSMATE 265/60R18</t>
  </si>
  <si>
    <t>PNEU BLACK RIDER 315/80R22,5</t>
  </si>
  <si>
    <t>PNEU BLACK RIDER 285/70R19,5</t>
  </si>
  <si>
    <t>PNEU ZEXTOUR 195/65R15</t>
  </si>
  <si>
    <t>PNEU 385/65R22,5</t>
  </si>
  <si>
    <t>PNEU BLACK RIDER 13R22,5</t>
  </si>
  <si>
    <t>PNEU KAPSEN 265/65R17</t>
  </si>
  <si>
    <t xml:space="preserve">EXTINCTEUR F-TBGOLD 2KG </t>
  </si>
  <si>
    <t>LIQUIDE DE REFROIDISSEMENT 1L</t>
  </si>
  <si>
    <t xml:space="preserve">CRIC LOSANGE JACK 2TON </t>
  </si>
  <si>
    <t xml:space="preserve">CRIC HYDROLIQUE JACK 5TON </t>
  </si>
  <si>
    <t xml:space="preserve">GRAISSE MOTUL </t>
  </si>
  <si>
    <t>BALAIE ESSUI GLACE BOSCH 18</t>
  </si>
  <si>
    <t>BALAIE ESSUI GLACE BOSCH 19</t>
  </si>
  <si>
    <t>BALAIE ESSUI GLACE BOSCH 20</t>
  </si>
  <si>
    <t xml:space="preserve">BALAIE ESSUI GLACE BOSCH 21 </t>
  </si>
  <si>
    <t>BALAIE ESSUI GLACE BOSCH 22</t>
  </si>
  <si>
    <t>BALAIE ESSUI GLACE BOSCH 24</t>
  </si>
  <si>
    <t>BALAIE ESSUI GLACE BOSCH 28</t>
  </si>
  <si>
    <t>BALAIE ESSUI GLACE VALEO 350MM</t>
  </si>
  <si>
    <t>BALAIE ESSUI GLACE VALEO 380MM</t>
  </si>
  <si>
    <t>BALAIE ESSUI GLACE VALEO 400MM</t>
  </si>
  <si>
    <t>BALAIE ESSUI GLACE VALEO 19</t>
  </si>
  <si>
    <t>BALAIE ESSUI GLACE VALEO 20</t>
  </si>
  <si>
    <t>BALAIE ESSUI GLACE VALEO 21</t>
  </si>
  <si>
    <t>BALAIE ESSUI GLACE VALEO 24</t>
  </si>
  <si>
    <t>BALAIE ESSUI GLACE VALEO 26</t>
  </si>
  <si>
    <t xml:space="preserve">COMPRESSEUR ELECTRIQUE 2 CYLINDRE </t>
  </si>
  <si>
    <t>BALAIE ESSUI GLACE VALEO 22</t>
  </si>
  <si>
    <t>REGLEMENT ESPECES</t>
  </si>
  <si>
    <t>CRIC 35T</t>
  </si>
  <si>
    <t>CRIC 20T</t>
  </si>
  <si>
    <t xml:space="preserve">HUILE MOTEUR 5W30 </t>
  </si>
  <si>
    <t>HUILE MOTEUR 5W40</t>
  </si>
  <si>
    <t>HUILE MOITEUR 10W40</t>
  </si>
  <si>
    <t>PNEU 13R22,5</t>
  </si>
  <si>
    <t>LIQUIDE DE REFROIDISSEMENT 2L</t>
  </si>
  <si>
    <t>BATTERIE 75AH ENERGY</t>
  </si>
  <si>
    <t xml:space="preserve">CRIC 50TON </t>
  </si>
  <si>
    <t>PNEU 315/80R22,5 MIXTE</t>
  </si>
  <si>
    <t xml:space="preserve">PNEU 175/70R14 </t>
  </si>
  <si>
    <t>PNEU 205R16C APLUS</t>
  </si>
  <si>
    <t>PNEU 235/65R16C TRANSMETE</t>
  </si>
  <si>
    <t>BATTERIE 45AH VISCA PETIT TAILLE</t>
  </si>
  <si>
    <t>AD BLUE 10L</t>
  </si>
  <si>
    <t>NETTOYAGE TABLEAU DE BORD</t>
  </si>
  <si>
    <t>EXTINCTEUR 1KG</t>
  </si>
  <si>
    <t>TAPIS N1</t>
  </si>
  <si>
    <t>TAPIS ORIGINAL MARQUE VOITEUR</t>
  </si>
  <si>
    <t>TAPIS COFFRE AR</t>
  </si>
  <si>
    <t>HOUSSE SEMI CUIR</t>
  </si>
  <si>
    <t>HOUSSE TISSEU SEMI-CUIR</t>
  </si>
  <si>
    <t>NETOYAGE EXTERIEUR</t>
  </si>
  <si>
    <t xml:space="preserve">NETTOYAGE PHARE </t>
  </si>
  <si>
    <t>NETTOYAGE DISQUE  FREINAGE</t>
  </si>
  <si>
    <t>TRIANGLE PM</t>
  </si>
  <si>
    <t>TRIANGLE GM</t>
  </si>
  <si>
    <t>HUILE MOTEUR SAIBOT SAE 50 20L</t>
  </si>
  <si>
    <t>HUILE MOTEUR SAIBOT 15W40 20L</t>
  </si>
  <si>
    <t>HUILE HYDROLIQUE SAIBOT 68 20L</t>
  </si>
  <si>
    <t>PNEU 750R16 DOUPRO MIXTE</t>
  </si>
  <si>
    <t>PNEU 750R16 GD</t>
  </si>
  <si>
    <t>PNEU 825R16 MIXTE</t>
  </si>
  <si>
    <t xml:space="preserve">PNEU 245/60R18 </t>
  </si>
  <si>
    <t>PNEU 235/60R18</t>
  </si>
  <si>
    <t>BALAIS ESSUI GLACE BOSCH 22</t>
  </si>
  <si>
    <t>BALAIS ESSUI GLACE BOSCH 21</t>
  </si>
  <si>
    <t>BALAIS ESSUI GLACE BOSCH 20</t>
  </si>
  <si>
    <t>BATTERIE 120AH GT POWER</t>
  </si>
  <si>
    <t>COURROIE BOSCH 3PK913</t>
  </si>
  <si>
    <t>COURROIE BOSCH3PK815</t>
  </si>
  <si>
    <t>COURROIE BOSCH 3PK805</t>
  </si>
  <si>
    <t>COURROIE BOSCH 3PK960</t>
  </si>
  <si>
    <t>COURROIE BOSCH 3PK1025</t>
  </si>
  <si>
    <t>COURROIE BOSCH 3PK675</t>
  </si>
  <si>
    <t>COURROIE BOSCH 4PK1125</t>
  </si>
  <si>
    <t>COURROIE BOSCH 4PK775</t>
  </si>
  <si>
    <t>COURROIE BOSCH 4PK925</t>
  </si>
  <si>
    <t>COURROIE BOSCH 4PK10572</t>
  </si>
  <si>
    <t>COURROIE BOSCH 4PK698</t>
  </si>
  <si>
    <t>COURROIE BOSCH 4PK815</t>
  </si>
  <si>
    <t>COURRROIE BOSCH 4PK884</t>
  </si>
  <si>
    <t>COURROIE BOSCH 4PK884</t>
  </si>
  <si>
    <t>18/04//2024</t>
  </si>
  <si>
    <t>FILTRE A GAZOIL N0508</t>
  </si>
  <si>
    <t>FILTRE A GAZOIL N4511</t>
  </si>
  <si>
    <t>FILTRE A HUILE P2028</t>
  </si>
  <si>
    <t>FILTRE A HUILE P2016</t>
  </si>
  <si>
    <t>FILTRE A HUILE P3316</t>
  </si>
  <si>
    <t>FILTRE A HUILE P2062</t>
  </si>
  <si>
    <t>FILTRE A HUILE P3336</t>
  </si>
  <si>
    <t>FILTRE A HUILE P3271</t>
  </si>
  <si>
    <t>FILTRE A GASOIL N4438</t>
  </si>
  <si>
    <t>COURROIE BOSCH 5PK1750</t>
  </si>
  <si>
    <t>COURROIE BOSCH 5PK1090</t>
  </si>
  <si>
    <t>COURROIE BOSCH 5PK884</t>
  </si>
  <si>
    <t>COURROIE BOSCH 6PK1920</t>
  </si>
  <si>
    <t>FILTRE A HUILE P3276</t>
  </si>
  <si>
    <t>COURROIE BOSCH 9192 150D</t>
  </si>
  <si>
    <t>COURROIE BOSCH 9686</t>
  </si>
  <si>
    <t>COURROIE BOSCH 9555  125D</t>
  </si>
  <si>
    <t>COURROIE BOSCH 9050 153D</t>
  </si>
  <si>
    <t xml:space="preserve">COURROIE BOSCH 9044 136D </t>
  </si>
  <si>
    <t>COURROIE BOSCH 8778 107D</t>
  </si>
  <si>
    <t>17/04/23024</t>
  </si>
  <si>
    <t>COURROIE BOSCH 9524 142D</t>
  </si>
  <si>
    <t>COURROIE BOSCH 9087 129D</t>
  </si>
  <si>
    <t>17/4/04/2024</t>
  </si>
  <si>
    <t>COURROIE BOSCH 9116 177D</t>
  </si>
  <si>
    <t>COURROIE BOSCH 9413 140D</t>
  </si>
  <si>
    <t>COURROIE BOSCH 8850 163D</t>
  </si>
  <si>
    <t>COURROIE BOSCH 9433 163D</t>
  </si>
  <si>
    <t>COURROIE BOSCH 9491 173D</t>
  </si>
  <si>
    <t>COURROIE BOSCH 9623 175D</t>
  </si>
  <si>
    <t>COURROIE BOSCH 9159 124D</t>
  </si>
  <si>
    <t>COURROIE BOSCH 6PK2615</t>
  </si>
  <si>
    <t>COURROIE BOSCH 6PK2325</t>
  </si>
  <si>
    <t>COURROIE BOSCH 6PK2203</t>
  </si>
  <si>
    <t>COURROIE BOSCH 6PK2030</t>
  </si>
  <si>
    <t>COURROIE BOSCH 6PK2145</t>
  </si>
  <si>
    <t>COURROIE BOSCH 6PK1930</t>
  </si>
  <si>
    <t>COURROIE BOSCH 1890</t>
  </si>
  <si>
    <t>COURROIE BOSCH 6PK2040</t>
  </si>
  <si>
    <t>COURROIE BOSCH 6PK1740</t>
  </si>
  <si>
    <t>COURROIE BOSCH 6PK1670</t>
  </si>
  <si>
    <t>COURROIE BOSCH 6PK2020</t>
  </si>
  <si>
    <t>COURROIE BOSCH 6PK2000</t>
  </si>
  <si>
    <t>COURROIE BOSCH 1623²</t>
  </si>
  <si>
    <t>COURROIE BOSCH 6PK2055</t>
  </si>
  <si>
    <t>COURROIE BOSCH 6PK1390</t>
  </si>
  <si>
    <t>COURROIE BOSCH 6PK1370</t>
  </si>
  <si>
    <t>COURROIE BOSCH 6PK1496</t>
  </si>
  <si>
    <t>COURROIE BOSCH 6PK995</t>
  </si>
  <si>
    <t>BOUGIES NGK 14/14 95830</t>
  </si>
  <si>
    <t>BOUGIES FORD LONG SP411</t>
  </si>
  <si>
    <t>BOUGIES BOSCH FR7DC+8</t>
  </si>
  <si>
    <t>BOUGIES LONG PATINIUM PP332</t>
  </si>
  <si>
    <t>BOUGIES NGK 7980</t>
  </si>
  <si>
    <t>BOUGIES FR7LDC+7</t>
  </si>
  <si>
    <t>BOUGIES FORD COUR</t>
  </si>
  <si>
    <t xml:space="preserve">PNEU 13R22,5 </t>
  </si>
  <si>
    <t>PNEU 225/70R15</t>
  </si>
  <si>
    <t>GRAISSES 15KG APEX</t>
  </si>
  <si>
    <t>GRAISSE TROPICA 15KG</t>
  </si>
  <si>
    <t>GRAISSES TGL</t>
  </si>
  <si>
    <t>COSSE BATTERIE +/-</t>
  </si>
  <si>
    <t>HUILE FREIN STOP 500ML</t>
  </si>
  <si>
    <t>HUILE DE TRANSMISSION ATF3 ONIX</t>
  </si>
  <si>
    <t>HUILE DE TRANSMISSION ATF 5 ONIX</t>
  </si>
  <si>
    <t>PNEU 215/75R17,5</t>
  </si>
  <si>
    <t>PNEU 195/70R15C</t>
  </si>
  <si>
    <t xml:space="preserve">PNEU 195R15C </t>
  </si>
  <si>
    <t xml:space="preserve">BATTERIE 45AH TH VEGA </t>
  </si>
  <si>
    <t>BATTTERIE 45AH OURSUN</t>
  </si>
  <si>
    <t xml:space="preserve">PNEU 700R16 JOYROAD </t>
  </si>
  <si>
    <t>PNEU 205R14C APLUS</t>
  </si>
  <si>
    <t>AD BLUE 10L TROPICA</t>
  </si>
  <si>
    <t>BATTERIE 75AH FILSON</t>
  </si>
  <si>
    <t>BALAIS ESSUI GLASE BOSCH 18</t>
  </si>
  <si>
    <t>PNEU 195/65R15</t>
  </si>
  <si>
    <t xml:space="preserve">PNEU 255/50R20 KAPSEN </t>
  </si>
  <si>
    <t>PNEU 285/65R17 TRANSMETRE</t>
  </si>
  <si>
    <t>BATTERIE 75AH BAYONIX</t>
  </si>
  <si>
    <t>PNEU 225/70R15 C TRANSMETRE</t>
  </si>
  <si>
    <t>PNEU 195R14C</t>
  </si>
  <si>
    <t xml:space="preserve">PNEU 235/55R18 </t>
  </si>
  <si>
    <t>BATTERIE 45AH OURSUN</t>
  </si>
  <si>
    <t>PNEU 225/60R18 KAPSEN</t>
  </si>
  <si>
    <t>PNEU 225/65R17 TRANSMETR</t>
  </si>
  <si>
    <t>PNEU 225/70R15C TRANSMETRE</t>
  </si>
  <si>
    <t>PNEU 31,10/50R15</t>
  </si>
  <si>
    <t>BATTERIE 120AH POWER</t>
  </si>
  <si>
    <t>BATTERIE 150AH POWER</t>
  </si>
  <si>
    <t>EXTINCTEUR 2KG</t>
  </si>
  <si>
    <t>PNEU 13R22,5 MIXTE</t>
  </si>
  <si>
    <t>PNEU 185/65R14</t>
  </si>
  <si>
    <t>BATTERIE 100AH SILCON</t>
  </si>
  <si>
    <t>PNEU 195R15C</t>
  </si>
  <si>
    <t>PNEU 750R16 MIXTE</t>
  </si>
  <si>
    <t>ADBLUE 10L</t>
  </si>
  <si>
    <t xml:space="preserve">PNEU 265/65R17 </t>
  </si>
  <si>
    <t>BATTERIE 75AH POWER</t>
  </si>
  <si>
    <t>BATTERIE 100AH POWER</t>
  </si>
  <si>
    <t>PNEU 245/40R18</t>
  </si>
  <si>
    <t>PNEU 235/65R17</t>
  </si>
  <si>
    <t>PNEU 225/50R17</t>
  </si>
  <si>
    <t>PNEU 155/70R13</t>
  </si>
  <si>
    <t>PNEU 165/70R14</t>
  </si>
  <si>
    <t>PNEU 225/70R15C MAXI</t>
  </si>
  <si>
    <t xml:space="preserve">PNEU 185/65R14 </t>
  </si>
  <si>
    <t xml:space="preserve">BATTERIE 150AH </t>
  </si>
  <si>
    <t xml:space="preserve">BATTERIE 120AH </t>
  </si>
  <si>
    <t xml:space="preserve">BATTERIE 75AH </t>
  </si>
  <si>
    <t xml:space="preserve">BATTERIE 45AH </t>
  </si>
  <si>
    <t>BATTERIE 45AH VISCA TB</t>
  </si>
  <si>
    <t>PNEU 185/65R15</t>
  </si>
  <si>
    <t>BATTERIE 45AH AUTOENERGIE</t>
  </si>
  <si>
    <t>HUILE MOTEUR 20W50 5L ONYX</t>
  </si>
  <si>
    <t>HUILE MOTEUR SAE 50 20L</t>
  </si>
  <si>
    <t>PNEU 13R22,5 GD</t>
  </si>
  <si>
    <t>PNEU 750R16 PD</t>
  </si>
  <si>
    <t>BATTERIE 75AH ESAN</t>
  </si>
  <si>
    <t xml:space="preserve">BATTERIE 90AH </t>
  </si>
  <si>
    <t>PNEU 315/80R22,5 PD</t>
  </si>
  <si>
    <t>BATTERIE 45AH TH  ESAN</t>
  </si>
  <si>
    <t>PNEU 13R22,5 GD KAPSEN</t>
  </si>
  <si>
    <t>PNEU 9,5R17,5</t>
  </si>
  <si>
    <t>PNEU 205/55R16 TRANSMETRE</t>
  </si>
  <si>
    <t>ESPECE</t>
  </si>
  <si>
    <t xml:space="preserve">PNEU 13R22.5 GD </t>
  </si>
  <si>
    <t>PNEU 315/80R22.5 MIXTE</t>
  </si>
  <si>
    <t>BIDON AD BLUE 10L</t>
  </si>
  <si>
    <t xml:space="preserve">BATTERIE 75 AH ESAN </t>
  </si>
  <si>
    <t xml:space="preserve">BATTERIE 90 AHH VISCA </t>
  </si>
  <si>
    <t>PNEU 215/55R17 TRANSMATE</t>
  </si>
  <si>
    <t>PNEU 225/55R19 KAPSEN</t>
  </si>
  <si>
    <t>PNEU 225/70R15C TRANSMATE</t>
  </si>
  <si>
    <t>PNEU 315/80R22.5 MIXTE BLACKRIDER</t>
  </si>
  <si>
    <t>PNEU 13R22.5 GD</t>
  </si>
  <si>
    <t xml:space="preserve">BATTERIE 100 AH </t>
  </si>
  <si>
    <t>PAYE</t>
  </si>
  <si>
    <t>PNEU 13R22.5</t>
  </si>
  <si>
    <t>PNEU 315/80R22.5</t>
  </si>
  <si>
    <t>225/02/55R18</t>
  </si>
  <si>
    <t>225/70R15C</t>
  </si>
  <si>
    <t>315/80R22.5 MIXTE</t>
  </si>
  <si>
    <t xml:space="preserve">315/80R22.5 PD </t>
  </si>
  <si>
    <t>PAYER</t>
  </si>
  <si>
    <t>PNEU 22/60R17 TRANSMATE</t>
  </si>
  <si>
    <t>PNEU 205R15C KAPSEN</t>
  </si>
  <si>
    <t>PNEU 215/70R16C KAPSEN</t>
  </si>
  <si>
    <t>PNEU 225/45R18 TRANSMATE</t>
  </si>
  <si>
    <t>PNEU 13R22.5 MIXTE</t>
  </si>
  <si>
    <t>PNEU 235/70R16 KI?G BOSS</t>
  </si>
  <si>
    <t>PNEU 245/70R16 GD KING BOOSS</t>
  </si>
  <si>
    <t>PNEU 225/55R18 GLEDE</t>
  </si>
  <si>
    <t xml:space="preserve">BATTERIE 120 AH </t>
  </si>
  <si>
    <t xml:space="preserve">BATTERIE 150 AH </t>
  </si>
  <si>
    <t>FIDAA</t>
  </si>
  <si>
    <t>ARTCI</t>
  </si>
  <si>
    <t>PNEU 225/60R17 TRANSMATE / 1216LP01</t>
  </si>
  <si>
    <t xml:space="preserve">PNEU 205/75R17,5 TAITONG / AA-744-PE </t>
  </si>
  <si>
    <t xml:space="preserve">JANTE 17,5 </t>
  </si>
  <si>
    <t>AFCHEM-SOFACO</t>
  </si>
  <si>
    <t>PNEU 205R16C BRIDGESTONE / AA-610-EP</t>
  </si>
  <si>
    <t>PNEU 205R16C BRIDGESTONE / 8850JA01</t>
  </si>
  <si>
    <t>PNEU 225/60R17 DUNLOP / 4876JF01</t>
  </si>
  <si>
    <t>MAN TPS</t>
  </si>
  <si>
    <t xml:space="preserve"> SOLDE DEPART </t>
  </si>
  <si>
    <t xml:space="preserve">PNEU 13R22,5MIXTE </t>
  </si>
  <si>
    <t>PNEU 155/70R13 TRANSMATE / 884LT01</t>
  </si>
  <si>
    <t>PNEU 155/70R13 TRANSMATE / 2679LP01</t>
  </si>
  <si>
    <t>PNEU 155/70R13 TRANSMATE / 3791LJ01</t>
  </si>
  <si>
    <t>PNEU 155/70R13 TRANSMATE / AA-151-AQ</t>
  </si>
  <si>
    <t>PNEU 155/70R13 TRANSMATE / AA-761-AL</t>
  </si>
  <si>
    <t xml:space="preserve">PNEU 155/70R13 TRANSMATE / AA-521-AP </t>
  </si>
  <si>
    <t>PNEU 155/70R13 TRANSMATE / 943LT01</t>
  </si>
  <si>
    <t>PNEU 155/70R13 TRANSMATE / AA-746-AL</t>
  </si>
  <si>
    <t>PNEU 155/70R13 TRANSMATE / AA-239-AR</t>
  </si>
  <si>
    <t>PNEU 155/70R13 TRANSMATE / AA-971-AP</t>
  </si>
  <si>
    <t>PNEU 155/70R13 TRANSMATE / AA-720-AN</t>
  </si>
  <si>
    <t>PNEU 155/70R13TRANSMATE / 891LT01</t>
  </si>
  <si>
    <t>PNEU 155/70R13 TRANSMATE / 1419LR01</t>
  </si>
  <si>
    <t>PNEU 155/70R13 TRANSMATE / 1020LT01</t>
  </si>
  <si>
    <t>PNEU 155/70R13 TRANSMATE / 3222LJ01</t>
  </si>
  <si>
    <t>PNEU 155/70R13 TRANSMATE / 944LT01</t>
  </si>
  <si>
    <t>PNEU 155/70R13 TRANSMATE / AA-257-AP</t>
  </si>
  <si>
    <t>PNEU 155/70R13 TRASMATE / 1014LT01</t>
  </si>
  <si>
    <t>PNEU 155/70R13 TRANSMATE / AA-154-AQ</t>
  </si>
  <si>
    <t>PNEU 155/70R13 TRANSMATE / 2149LR01</t>
  </si>
  <si>
    <t>PNEU 155/70R13 TRANSMATE / 1744LT01</t>
  </si>
  <si>
    <t>PNEU 155/70R13 TRANSMATE / AA-753-AL</t>
  </si>
  <si>
    <t>REGLEMENT PAR CHEQUE N°6037248</t>
  </si>
  <si>
    <t>PNEU 155/70R13 TRANSMATE / AA-664-AJ</t>
  </si>
  <si>
    <t>PNEU 155/70R13 TRANSMATE / AA-751-AL</t>
  </si>
  <si>
    <t>PNEU 155/70R13 TRANSMATE/ AA-663-AJ</t>
  </si>
  <si>
    <t>PNEU 155/70R13 TRANSMATE / 945LT0</t>
  </si>
  <si>
    <t>PNEU 13R22,5 MIXTE - 6761</t>
  </si>
  <si>
    <t>PNEU 155/70R13 TRANSMATE / AA-759-AL</t>
  </si>
  <si>
    <t>PNEU 155/70R13 TRANSMATE / 970LT01</t>
  </si>
  <si>
    <t>PNEU 155/70R13 TRANSMATE / 1017LT01</t>
  </si>
  <si>
    <t xml:space="preserve">PNEU 13R22,5 MIXTE </t>
  </si>
  <si>
    <t>PNEU 155/70R13 TRANSMATE/ AA-761-AL</t>
  </si>
  <si>
    <t>PNEU 155/70R13 TRANSMATE/AA2251AP</t>
  </si>
  <si>
    <t>PNEU 155/70R13 TRANSMATE / AA-314-EG</t>
  </si>
  <si>
    <t>PNEU 155/70R13 TRANSMATE / AA-863-AR</t>
  </si>
  <si>
    <t xml:space="preserve">PNEU 155/70R13 TRANSMATE /AA-970-AP </t>
  </si>
  <si>
    <t>PNEU 155/70R13 TRANSMATE /AA-754-AL</t>
  </si>
  <si>
    <t xml:space="preserve">PNEU 155/70R13 TRANSMATE /AA-239-AR </t>
  </si>
  <si>
    <t>PNEU 155/70R13 TRANSMATE /AA-1354 LT01</t>
  </si>
  <si>
    <t>PNEU 155/70R13 TRANSMATE /AA-751-AL</t>
  </si>
  <si>
    <t>PNEU 315/80R22.5 MIXTE -6761</t>
  </si>
  <si>
    <t>PNEU 13R22.5 -1457</t>
  </si>
  <si>
    <t>PNEU 155/70R13 TRANSMATE /969LT01</t>
  </si>
  <si>
    <t>PNEU 155/70R13 TRANSMATE / AA753AL</t>
  </si>
  <si>
    <t>PNEU 155/70R13 TRANSMATE/883LT01</t>
  </si>
  <si>
    <t>PNEU 155/70R13 TRANSMATE /1419LT01</t>
  </si>
  <si>
    <t>PNEU 155/70R13 TRANSMATE /1419LR01- 970LT01</t>
  </si>
  <si>
    <t>PNEU 175/70R14 GLEDE / 2484LA01</t>
  </si>
  <si>
    <t>PNEU 155/70R13 TRANSMATE / AA-986-AP</t>
  </si>
  <si>
    <t>PNEU 155/70R13 TRANSMATE / AA-194-AN</t>
  </si>
  <si>
    <t>PNEU 155/70R13 TRANSMATE / 966LT01</t>
  </si>
  <si>
    <t>PNEU 235/55R17 TRANSMATE /AA-063-NZ</t>
  </si>
  <si>
    <t>BATTERIE 75AH ESAN / AA-063-NZ</t>
  </si>
  <si>
    <t>PNEU 285/70R19,5 BLACKRIDER / 113HP01</t>
  </si>
  <si>
    <t>PNEU 155/70R13 TRANSMATE/ AA-174-AJ</t>
  </si>
  <si>
    <t>PNEU 13R22,5 - 202</t>
  </si>
  <si>
    <t>PNEU 385/65R22,5 HUNTEROAD - 7479/381</t>
  </si>
  <si>
    <t xml:space="preserve">PNEU 13R22,5 MIXTE CONSTER 5767 </t>
  </si>
  <si>
    <t>PNEU 155/70R13 TRANSMATE / 1024LT01</t>
  </si>
  <si>
    <t>PNEU 155/70R13 TRANSMATE / 1019LT01</t>
  </si>
  <si>
    <t>PNEU 155/70R13 TRANSMATE / 969LT01</t>
  </si>
  <si>
    <t>PNEU 155/70R13 TRANSMATE / 2096LP01</t>
  </si>
  <si>
    <t>PNEU 155/70R13 TRANSMATE / AA-863-AN</t>
  </si>
  <si>
    <t>PNEU 155/70R13 TRANSMATE / AA-167-AQ</t>
  </si>
  <si>
    <t>PNEU 155/70R13 TRANSMATE / AA-720-AM</t>
  </si>
  <si>
    <t>PNEU 13R22,5 MIXTE - 5920</t>
  </si>
  <si>
    <t>PNEU 155/70R13 TRANSMATE / AA-309-EG</t>
  </si>
  <si>
    <t xml:space="preserve">155/70R13 TRANSMATE / 1418LR01 </t>
  </si>
  <si>
    <t>PNEU 155/70R13 TRANSMATE / 1015LT01</t>
  </si>
  <si>
    <t>PNEU 13R22,5 MIXTE - 2419</t>
  </si>
  <si>
    <t>PNEU 315/80R22,5 MIXTE - 2419</t>
  </si>
  <si>
    <t>PNEU 385/65R22,5 ECOSAVER / 7221JR09</t>
  </si>
  <si>
    <t>PNEU 155/70R13 / 1018LR01</t>
  </si>
  <si>
    <t>PNEU 155/70R13 / 2096LP01</t>
  </si>
  <si>
    <t xml:space="preserve">PNEU 155/70R13 TRANSMATE / AA482EH </t>
  </si>
  <si>
    <t>PNEU 155/70R13 TRANSMATE / 891LT01</t>
  </si>
  <si>
    <t>PNEU 155/70R13 TRANSMATE / 595LZ01</t>
  </si>
  <si>
    <t>PNEU 13R22,5 MIXTE BLACKRIDER / 3330KC01</t>
  </si>
  <si>
    <t>PNEU 385/65R22,5 / 2419HK01 ECOSAER</t>
  </si>
  <si>
    <t>PNEU 155/70R13 / AA-753-AL</t>
  </si>
  <si>
    <t>PNEU 155/70R13 TRANSMATE / AA-310-EG</t>
  </si>
  <si>
    <t>PNEU 155/70R13 TRANSMATE / AA-746-AR</t>
  </si>
  <si>
    <t>PNEU 155/70R13 TRANSMATE / 1018LT01</t>
  </si>
  <si>
    <t>PNEU 155/70R13 TRANSMATE / 1025LT01</t>
  </si>
  <si>
    <t xml:space="preserve">PNEU 155/70R13 TRANSMATE / 3793 </t>
  </si>
  <si>
    <t>PNEU 155/70R13 TRANSMATE / 1417</t>
  </si>
  <si>
    <t>PNEU 155/70R13 TRANSMATE /  AA-754-AL</t>
  </si>
  <si>
    <t>PNEU 155/70R13 TRANSMATE / AA-987-AP</t>
  </si>
  <si>
    <t>PNEU 13R22,5 MIXTE BLACKRIER / 5767</t>
  </si>
  <si>
    <t>PNEU 155/70R13 TRANSMATE / AA-174-AQ</t>
  </si>
  <si>
    <t>PNEU 155/70R123 TRANSMATE / 945LT01</t>
  </si>
  <si>
    <t>PNEU 155/709R13 TRANSMATE / 1744LE01</t>
  </si>
  <si>
    <t>PNEU 155/70R13 TRANSMATE / 883LT01</t>
  </si>
  <si>
    <t>PNEU 155/70R13 TRANSMATE / AA-297-EG</t>
  </si>
  <si>
    <t>PNEU 155/70R13 TRANSMATE / AA-168-AQ</t>
  </si>
  <si>
    <t>PNEU 13R22,5 BLACKRIDER  - 1860</t>
  </si>
  <si>
    <t>PNEU 13R22,5 BLACKRIDER - 5920</t>
  </si>
  <si>
    <t>PNEU 385/65R22,5 - 2419</t>
  </si>
  <si>
    <t>PNEU 155/70R13 TRANSMATE / 44625AJ01</t>
  </si>
  <si>
    <t xml:space="preserve">PNEU 155/70R103 TRANSMATE / AA-304-EG </t>
  </si>
  <si>
    <t>PNEU 155/70R13 TRANSMATE / AA-756-AL</t>
  </si>
  <si>
    <t>PNEU 155/70R13 TRANSMATE / 965LT01</t>
  </si>
  <si>
    <t>PNEU 155/70R13 TRANSMATE / AA-131-AL</t>
  </si>
  <si>
    <t>HACHICH INDIEN</t>
  </si>
  <si>
    <t xml:space="preserve">PNEU 315/80R22.5 BLACKRIDER </t>
  </si>
  <si>
    <t>PNEU 295/80R22.5 ZEXTOUR</t>
  </si>
  <si>
    <t xml:space="preserve">JANTE </t>
  </si>
  <si>
    <t xml:space="preserve">PNEU 315/80R22.5 </t>
  </si>
  <si>
    <t>SOGODO</t>
  </si>
  <si>
    <t>DEPART</t>
  </si>
  <si>
    <t xml:space="preserve">PNEU 315/80R22.5 ECOSAVER </t>
  </si>
  <si>
    <t xml:space="preserve">PNEU385/65R22.5 ECOSAVER </t>
  </si>
  <si>
    <t>ALI CHERRI</t>
  </si>
  <si>
    <t>BATTERIE 75 AH ESAN</t>
  </si>
  <si>
    <t xml:space="preserve">BATTERIE 75 AH BEYONIX </t>
  </si>
  <si>
    <t>BATTERIE 75 AH CONTINENTAL</t>
  </si>
  <si>
    <t>CAROSAGE / EQUILIBRAGE</t>
  </si>
  <si>
    <t>BATTERIE 75 AH</t>
  </si>
  <si>
    <t>KONE MOUSTAPHA</t>
  </si>
  <si>
    <t>BATTERIE 120 AH</t>
  </si>
  <si>
    <t xml:space="preserve">BATTERIE 75 AH </t>
  </si>
  <si>
    <t>PNEU 825/16</t>
  </si>
  <si>
    <t>PNEUR 13R22.5</t>
  </si>
  <si>
    <t>REGLE PAR CHEQUE</t>
  </si>
  <si>
    <t>DSC BATIME</t>
  </si>
  <si>
    <t>249HC01 PEUGEOT PNEU 215/65R16 T</t>
  </si>
  <si>
    <t>LAND CRUISER 45HL01/ PLAQUETTE AV/</t>
  </si>
  <si>
    <t>BATTERIE 120 BEYONIX</t>
  </si>
  <si>
    <t>PNEU 700R16 BLACKRIDER</t>
  </si>
  <si>
    <t>BATTERIE 200 AH ENERGY</t>
  </si>
  <si>
    <t xml:space="preserve">PNEU 700R16 </t>
  </si>
  <si>
    <t>BOUGIE</t>
  </si>
  <si>
    <t>HUILE MOTEUR TOYOTA 5W30 5L</t>
  </si>
  <si>
    <t>FILTRE A HUILE</t>
  </si>
  <si>
    <t>FILTRE A CLIM</t>
  </si>
  <si>
    <t>MAIN D'ŒUVRE</t>
  </si>
  <si>
    <t>HUILE MOTEUR LIQUI MOLY 5W30 5L</t>
  </si>
  <si>
    <t>FILTRE A AIR</t>
  </si>
  <si>
    <t>09/121/2024</t>
  </si>
  <si>
    <t>DISQUE DE FREIN AR</t>
  </si>
  <si>
    <t>09/12/202</t>
  </si>
  <si>
    <t xml:space="preserve">PLAQUETTE AR </t>
  </si>
  <si>
    <t xml:space="preserve">MAIN D'ŒUVRE </t>
  </si>
  <si>
    <t xml:space="preserve">PAYE </t>
  </si>
  <si>
    <t xml:space="preserve">SIDI MOHAMAD </t>
  </si>
  <si>
    <t>PNEU 385/65R22.5</t>
  </si>
  <si>
    <t xml:space="preserve">BATTERIE 170 AH </t>
  </si>
  <si>
    <t>PNEU 315/80R22.5 ECOSAVER</t>
  </si>
  <si>
    <t xml:space="preserve">PNEU 385/65R22.5 ECOSAVER </t>
  </si>
  <si>
    <t xml:space="preserve">PNEU 7.50R16 PD </t>
  </si>
  <si>
    <t>PNEU 385/65R22.5 TAITONG</t>
  </si>
  <si>
    <t>SAMAKE KEBE</t>
  </si>
  <si>
    <t xml:space="preserve">ADAM AFRIQUE </t>
  </si>
  <si>
    <t xml:space="preserve">PAYEMENT PAR CHEQUE </t>
  </si>
  <si>
    <t>PAYEMENT EN ESPECES</t>
  </si>
  <si>
    <t>PNEU195/60R15</t>
  </si>
  <si>
    <t>PNEU 13R22.5 CRAMPON</t>
  </si>
  <si>
    <t>PNEUY 700R16</t>
  </si>
  <si>
    <t>PNEU 225/65R17</t>
  </si>
  <si>
    <t>PNEUB 13R22.5</t>
  </si>
  <si>
    <t xml:space="preserve">PNEU 13R22.5 </t>
  </si>
  <si>
    <t xml:space="preserve">PAYE CHEQUE </t>
  </si>
  <si>
    <t>PNEU 13RR22.5 MIXTE</t>
  </si>
  <si>
    <t>13R22.5 MIXTE</t>
  </si>
  <si>
    <t>BILAL BIG MAT</t>
  </si>
  <si>
    <t xml:space="preserve">CREDIT </t>
  </si>
  <si>
    <t>ATL</t>
  </si>
  <si>
    <t>PNEU 385/65R22.5 BLACKRIDER</t>
  </si>
  <si>
    <t>JANTE22.5</t>
  </si>
  <si>
    <t xml:space="preserve">SALIF KONE </t>
  </si>
  <si>
    <t xml:space="preserve">PNEU 195/60R15 GLEDE </t>
  </si>
  <si>
    <t>PNEU 315/80R22.5 BLACKRIDERB MIXTE</t>
  </si>
  <si>
    <t xml:space="preserve">PNEU 205/16C BRIDGESTONNE </t>
  </si>
  <si>
    <t>PNEU 385/65R22.5  JK</t>
  </si>
  <si>
    <t xml:space="preserve">LIQUIDE DE REFROIDISSEMENT </t>
  </si>
  <si>
    <t>HUILE MOTEUR 5W30 5L SAIBOT</t>
  </si>
  <si>
    <t xml:space="preserve">FILTRE A HUILE </t>
  </si>
  <si>
    <t xml:space="preserve">FILTRE A CLIM </t>
  </si>
  <si>
    <t>ABBAS ZALZALE</t>
  </si>
  <si>
    <t>PNEU 9.5R17.5</t>
  </si>
  <si>
    <t>GMS GAKOU</t>
  </si>
  <si>
    <t xml:space="preserve">PNEU 315/80/22.5 BLACKRIDER </t>
  </si>
  <si>
    <t>24/01²/2025</t>
  </si>
  <si>
    <t xml:space="preserve">PNEU 385/65R22.5 INTEROAD </t>
  </si>
  <si>
    <t xml:space="preserve">PNEU 215/75R16C </t>
  </si>
  <si>
    <t>JANTE 315</t>
  </si>
  <si>
    <t>AEC</t>
  </si>
  <si>
    <t xml:space="preserve">VITRE RETROVISEUR </t>
  </si>
  <si>
    <t>PNEU 175/70R14</t>
  </si>
  <si>
    <t>AMPOUL DE FEU STOP</t>
  </si>
  <si>
    <t>PARALLELISME</t>
  </si>
  <si>
    <t xml:space="preserve">BARIQUE DHUILE HYDROLIQUE 68 200L </t>
  </si>
  <si>
    <t xml:space="preserve">GRAISSE 15KG TROPICA </t>
  </si>
  <si>
    <t>AYOKI</t>
  </si>
  <si>
    <t>AGS AFRIQUE GROUPE SERVICE</t>
  </si>
  <si>
    <t>PARALLELISME / 8657HV01</t>
  </si>
  <si>
    <t xml:space="preserve">PARALLELISME </t>
  </si>
  <si>
    <t>BERNARD</t>
  </si>
  <si>
    <t>PNEU 385/65R22/5 BLACKRIDER</t>
  </si>
  <si>
    <t xml:space="preserve">PAYEMENT </t>
  </si>
  <si>
    <t xml:space="preserve">PNEU 265§70R19.5 TAITONG </t>
  </si>
  <si>
    <t>PNEU 285/70R19/5 BLACKRIDEER</t>
  </si>
  <si>
    <t xml:space="preserve">PNEU PRIS AVEC BERNARD 315 </t>
  </si>
  <si>
    <t>PNEU 385 /65</t>
  </si>
  <si>
    <t>MR KOUAME ASSOUA LUDOVIC</t>
  </si>
  <si>
    <t xml:space="preserve">BATTERIE 100 AH ESAN </t>
  </si>
  <si>
    <t xml:space="preserve">FILTRE A AIR MERCEDES </t>
  </si>
  <si>
    <t>FILTRE A CLIM MERCEDES</t>
  </si>
  <si>
    <t xml:space="preserve">FILTRE A HUILE MERCEDES </t>
  </si>
  <si>
    <t>SEINA</t>
  </si>
  <si>
    <t>PNEU 750R16 JK GD</t>
  </si>
  <si>
    <t xml:space="preserve">VERSEMENT </t>
  </si>
  <si>
    <t>PNEU 245/65R17 KAPSEN</t>
  </si>
  <si>
    <t>PNEU 215/55R17 HABLEAD</t>
  </si>
  <si>
    <t>PNEU 385/65R22.5 KELLY</t>
  </si>
  <si>
    <t>HOUSSE FAUTEUIL CUIR</t>
  </si>
  <si>
    <t>TAPIS ORIGINAL MITSUBISHI</t>
  </si>
  <si>
    <t>CHAMPOIN AUTO WASH LIQUI MOLY</t>
  </si>
  <si>
    <t>NETTOYANT TABLEAU DE BOARD</t>
  </si>
  <si>
    <t>EXTINCTEUR 1000ML</t>
  </si>
  <si>
    <t xml:space="preserve">TRIANGLE GRANDE TAILLE </t>
  </si>
  <si>
    <t xml:space="preserve">COUVRE COLANT </t>
  </si>
  <si>
    <t>PNEU 235/65R18 KAPSEN</t>
  </si>
  <si>
    <t>HUILE DE FREIN DOT4</t>
  </si>
  <si>
    <t xml:space="preserve">EAU DE RADIATEUR 5L VALEO </t>
  </si>
  <si>
    <t>PNEU 235/70R16 APLUS</t>
  </si>
  <si>
    <t>PNEU 265/65R17 KAPSEN</t>
  </si>
  <si>
    <t>PNEU 235/75R17,5</t>
  </si>
  <si>
    <t xml:space="preserve">PNEU 245/40R18 </t>
  </si>
  <si>
    <t>PARALLELISME+EQULIBRAGE</t>
  </si>
  <si>
    <t>PNEU 23,5-25</t>
  </si>
  <si>
    <t>PARALLELISME/L200-8956HZ01</t>
  </si>
  <si>
    <t>PNEU 255/50R20 KAPSEN -/FORD</t>
  </si>
  <si>
    <t>PNEU 235/55R19 TRANSMETRE/ NISSAN</t>
  </si>
  <si>
    <t>TAPIS ORGINAL NISSAN</t>
  </si>
  <si>
    <t>PNEU 315/80R22,5 BRIDGESTONE R152</t>
  </si>
  <si>
    <t>PNEU 13R22,5 BRIDGESTONE M875</t>
  </si>
  <si>
    <t>PNEU 9,5R17,5 GD</t>
  </si>
  <si>
    <t>PNEU 9,5R175 PD</t>
  </si>
  <si>
    <t>PNEU 1400/24- + CHAMBRE A AIR</t>
  </si>
  <si>
    <t>PNEU 9,5R17,5 MIXTE</t>
  </si>
  <si>
    <t>PNEU 385/65R22.5 KAPSEN</t>
  </si>
  <si>
    <t xml:space="preserve">HABILLAGE FAUTEUILS MITSUBISHI </t>
  </si>
  <si>
    <t>ALI JOMAA</t>
  </si>
  <si>
    <t>PNEU 215/65R16</t>
  </si>
  <si>
    <t>PNEU 205/55R16</t>
  </si>
  <si>
    <t xml:space="preserve">REGLEMENT EN CHEQUE </t>
  </si>
  <si>
    <t>CAROSSAGE</t>
  </si>
  <si>
    <t>PNEU 265/65R17 BRIDGISTONE</t>
  </si>
  <si>
    <t xml:space="preserve">ADJUSTEMENT  </t>
  </si>
  <si>
    <t>PAYE ESPECE</t>
  </si>
  <si>
    <t>PNEU 265/60R18 DUNLOP</t>
  </si>
  <si>
    <t>PNEU 265/65R17 DUNLOP</t>
  </si>
  <si>
    <t xml:space="preserve">PNEU 165/70R13 </t>
  </si>
  <si>
    <t xml:space="preserve">CLE DE ROU </t>
  </si>
  <si>
    <t>PNEU 225/55R18 DUNLOP</t>
  </si>
  <si>
    <t>PNEU 225/60R17 WINDFORCE</t>
  </si>
  <si>
    <t>PAYE CHEQUE N'7125639</t>
  </si>
  <si>
    <t>PNEU 265/60R18 TRACMAX</t>
  </si>
  <si>
    <t>PNEU 235/75R17,5 PD</t>
  </si>
  <si>
    <t>PAYE CHEQUE N'7125646</t>
  </si>
  <si>
    <t xml:space="preserve">PNEU 225/45R17 </t>
  </si>
  <si>
    <t>PNEU 165R13C / 2002KJ01</t>
  </si>
  <si>
    <t>PNEU 265/65R17 DUNLOP/2774LA01</t>
  </si>
  <si>
    <t>PNEU 175/65R15 RIKAN/1571KZ01</t>
  </si>
  <si>
    <t>PNEU 265/60R18 DUNLOP/PAJERO</t>
  </si>
  <si>
    <t>PNEU 215/60R17 DUNLOP</t>
  </si>
  <si>
    <t>REGLEMENT CHEQUE N'8429825</t>
  </si>
  <si>
    <t>PNEU 225/60R17 DUNLOP</t>
  </si>
  <si>
    <t>PNEU 215/70R16 BRIDGESTONE</t>
  </si>
  <si>
    <t>PNEU 235/45R17 DUNLOP</t>
  </si>
  <si>
    <t>PNEU 225/65R16C KAPSEN</t>
  </si>
  <si>
    <t>JANTE 16 HYUNDAI</t>
  </si>
  <si>
    <t>PNEU 205R16C WINDFORCE</t>
  </si>
  <si>
    <t>PNEU 265/60R18 GOODYEAR</t>
  </si>
  <si>
    <t>PNEU 285/50R20 DUNLOP</t>
  </si>
  <si>
    <t xml:space="preserve">PNEU 215/55R17 </t>
  </si>
  <si>
    <t>CAROSSAGE AV TOYOTA 4RUNNER</t>
  </si>
  <si>
    <t>PARALLELISME +REGLAGE VOLANT</t>
  </si>
  <si>
    <t>PNEU 305/40R22 CONTINANTAL</t>
  </si>
  <si>
    <t>PARALLELISME+EQULIBRAGE /NISSAN PATROL</t>
  </si>
  <si>
    <t>PARALLELISME / 7275JA01</t>
  </si>
  <si>
    <t>PARALLELISME +EQULIBRAGE/KIA 1471LJ01</t>
  </si>
  <si>
    <t>PARALLELISME+ EQULIBRAGE/TOYOTA 1258 TOYOTA</t>
  </si>
  <si>
    <t xml:space="preserve">PNEU 205R16C BRIDGESTONE </t>
  </si>
  <si>
    <t>CAROSSAGE +PARALLELISME/1942HB01 TOYOTA</t>
  </si>
  <si>
    <t xml:space="preserve">CAROSSAGE+PARALLELISME/ COROLA </t>
  </si>
  <si>
    <t>PARALLELISME/PAJERO 706LZ01</t>
  </si>
  <si>
    <t>PNEU 265/65R17 DUNLOP/TOYOT HILUX</t>
  </si>
  <si>
    <t>CAROSSAGE / 3214GT01</t>
  </si>
  <si>
    <t>PARALLELISME/ AA-781-CG</t>
  </si>
  <si>
    <t>PARALLELISME +EQUILIBRAGE TOYOTA FORTUNER</t>
  </si>
  <si>
    <t>BOULON DE ROUE</t>
  </si>
  <si>
    <t>TIGE DE ROUE</t>
  </si>
  <si>
    <t>PARALLELISME/ 5836FS01</t>
  </si>
  <si>
    <t>PARALLELISME / AA-198-FR</t>
  </si>
  <si>
    <t>PNEU 225/65R17 / 3900LK01</t>
  </si>
  <si>
    <t>PARALLELISME /3669JS01</t>
  </si>
  <si>
    <t>PARALLELISME/ 1790LF01</t>
  </si>
  <si>
    <t>PNEU 275/50R20 KUMHO</t>
  </si>
  <si>
    <t>REGLEMENT EN CHEQUE</t>
  </si>
  <si>
    <t>PNEU 265/60R18 CONTINANTAL</t>
  </si>
  <si>
    <t>PNEU 265/65R17 BRIDGESTONE</t>
  </si>
  <si>
    <t>PNEU 265/60R18 BRIDGESTONE / 2862KE01</t>
  </si>
  <si>
    <t>PARALLELISME / AA-937-HP TOYOTA</t>
  </si>
  <si>
    <t xml:space="preserve">PNEU 265/60R18 BRIDGESTONE </t>
  </si>
  <si>
    <t>CAROSSAGE +EQULIBRAGE/ AA-937-HP01</t>
  </si>
  <si>
    <t>PNEU 235/70R16</t>
  </si>
  <si>
    <t xml:space="preserve">PNEU 225/75R16C </t>
  </si>
  <si>
    <t>ADNAN PRIME PRESTIGE</t>
  </si>
  <si>
    <t xml:space="preserve">SOLDE </t>
  </si>
  <si>
    <t>FILTRE A HUILE DAF</t>
  </si>
  <si>
    <t>BIDON ADBLUE 10L</t>
  </si>
  <si>
    <t>HUILE MOTEUR APEX 15W40 20L</t>
  </si>
  <si>
    <t>PAYE CHQUE 0000386</t>
  </si>
  <si>
    <t>BIDON HUILE 15W40 20L</t>
  </si>
  <si>
    <t>PNEU 385/65R22,5 PD</t>
  </si>
  <si>
    <t xml:space="preserve">JANTE 22,5 </t>
  </si>
  <si>
    <t>HUILE MOTEUR APEX 10W40 20L</t>
  </si>
  <si>
    <t>FILTRE A HUILE DAF CE 1037</t>
  </si>
  <si>
    <t>FILTRE A GASOIL DAE CE1361</t>
  </si>
  <si>
    <t>PAYE CHQUE 3563063</t>
  </si>
  <si>
    <t>BATTERIE 180AH FREEBAT</t>
  </si>
  <si>
    <t xml:space="preserve"> 14/07/2023</t>
  </si>
  <si>
    <t xml:space="preserve">JANTE 385.22,5 </t>
  </si>
  <si>
    <t>HUILE MOTEUR 15W40 20L</t>
  </si>
  <si>
    <t xml:space="preserve">JANTE 315.22,5 </t>
  </si>
  <si>
    <t>JANT 385.22.5</t>
  </si>
  <si>
    <t>REGLEMENT CHEQUE 3800601</t>
  </si>
  <si>
    <t>BATTERIE 75AH OURSUN</t>
  </si>
  <si>
    <t>PNEU 385/65R22.5 MACROYAL</t>
  </si>
  <si>
    <t>PNEU 285/45R22 GOODYEAR</t>
  </si>
  <si>
    <t>PNEU 11R22,5 MIXTE</t>
  </si>
  <si>
    <t>STOP RAYURES</t>
  </si>
  <si>
    <t>BATTERIE 150AH VEGA</t>
  </si>
  <si>
    <t>REGLEMENT CHEQUE 3800600</t>
  </si>
  <si>
    <t>HUILE MOYEUR 15W40 20L</t>
  </si>
  <si>
    <t>REGLEMENT EN CHEQUE N'3884458</t>
  </si>
  <si>
    <t>PNRU 315/80R22,5 MIXTE/  3888LH01</t>
  </si>
  <si>
    <t>CRIC 50T</t>
  </si>
  <si>
    <t>PNEU 315/80R22,5 MIXTE/ AA251-AY</t>
  </si>
  <si>
    <t>PNEU 315/80R22,5 MIXTE/ AA346-AL</t>
  </si>
  <si>
    <t>HUILE DE MOTEUR 15W40 20L</t>
  </si>
  <si>
    <t>BATTERIE 150AH PRIME</t>
  </si>
  <si>
    <t>BATTERIE 150AH ESAN</t>
  </si>
  <si>
    <t>PNEU 315/80R22,5 MIXTE/6003</t>
  </si>
  <si>
    <t>PNEU 315/80R22,5 MIXTE/4381</t>
  </si>
  <si>
    <t>PNEU 315/80R22,5 MIXTE/2668LF01</t>
  </si>
  <si>
    <t>PNEU 315/80R22,5/890LH01</t>
  </si>
  <si>
    <t>PNEU 315/80R22,5 MIXTE/3888LH01</t>
  </si>
  <si>
    <t>AD BLUE 10L/AA-346-AL</t>
  </si>
  <si>
    <t>PNEU 385/65R22,5 FIRMAX</t>
  </si>
  <si>
    <t xml:space="preserve">PNEU 385/65R22,5 </t>
  </si>
  <si>
    <t>BATTERIE 150AH BEYONIX</t>
  </si>
  <si>
    <t>REGLEMENT EN CHEQUE N'3903522</t>
  </si>
  <si>
    <t>PNEU 315/80R22,5 MIXTE/AA346-AL</t>
  </si>
  <si>
    <t>BALAIE ESSUI GLASE BOSCH</t>
  </si>
  <si>
    <t>REGLEMENT EN CHEQUE 3930614</t>
  </si>
  <si>
    <t>PNEU 315/80R22,5 BLACKRIDER</t>
  </si>
  <si>
    <t>GRAISSE 15KG</t>
  </si>
  <si>
    <t>BALONE DAF PM</t>
  </si>
  <si>
    <t>SUPPORT DE PHARE DROIT</t>
  </si>
  <si>
    <t>PHARE DAF</t>
  </si>
  <si>
    <t>FLEXIBLE D'AIR DAF</t>
  </si>
  <si>
    <t>FEU AR DAF</t>
  </si>
  <si>
    <t>TAMBOUR DAF</t>
  </si>
  <si>
    <t>BRIDE DE RESSORT DAF</t>
  </si>
  <si>
    <t>PLATEAU DE EMBRYAGE DAF</t>
  </si>
  <si>
    <t>DISQUE DE EMBRYAGE DAF</t>
  </si>
  <si>
    <t>POUMON DAF/3541JS01 BEN</t>
  </si>
  <si>
    <t xml:space="preserve">BALONE DAF </t>
  </si>
  <si>
    <t>PLAQUETTE DE FREIN DAF /  4381</t>
  </si>
  <si>
    <t>FILTRE A GASOILE DAF CE300</t>
  </si>
  <si>
    <t>FILTRE A HUILE DAF CE1059</t>
  </si>
  <si>
    <t xml:space="preserve">PREFILTRE A HUILE </t>
  </si>
  <si>
    <t xml:space="preserve">DECANTER </t>
  </si>
  <si>
    <t>PNEU 315/80R22,5 LONGTRACK</t>
  </si>
  <si>
    <t>POUMON DAF GM</t>
  </si>
  <si>
    <t>DISQUE DE FREIN  DAF</t>
  </si>
  <si>
    <t xml:space="preserve">BARE DE DIRECTION </t>
  </si>
  <si>
    <t xml:space="preserve">BOUCHONE DE ROUE </t>
  </si>
  <si>
    <t>APPAREILE D'AIR</t>
  </si>
  <si>
    <t>RUPTURE</t>
  </si>
  <si>
    <t xml:space="preserve">FILTRE A AIR </t>
  </si>
  <si>
    <t xml:space="preserve">ROTULES DE BRAS </t>
  </si>
  <si>
    <t>HUILE DE BOITE 80W90/2668</t>
  </si>
  <si>
    <t>FILTRE A AIR DAF/4381</t>
  </si>
  <si>
    <t>BATTERIE 150AH STORAGE / 2508</t>
  </si>
  <si>
    <t>PLAQUTTE DE FREIN DAF / 3888</t>
  </si>
  <si>
    <t>ROTULES /2401</t>
  </si>
  <si>
    <t>DISQUE DE ROUE DAF</t>
  </si>
  <si>
    <t>VAVE MAGNETIQUE</t>
  </si>
  <si>
    <t>JOINT SPIE AR GM</t>
  </si>
  <si>
    <t>HUILE DE BOITE 80W90 20L</t>
  </si>
  <si>
    <t>SERPENTAIR DAF</t>
  </si>
  <si>
    <t>JOINT SPIE PM</t>
  </si>
  <si>
    <t>POUMON DE TRACTEUR/ 2508</t>
  </si>
  <si>
    <t>POUMON BEN</t>
  </si>
  <si>
    <t>HUILE 15W40 20L /3880</t>
  </si>
  <si>
    <t>BATTERIE 150AH WHLI</t>
  </si>
  <si>
    <t>PNEU 385/65R22,5 BLACKRIDER</t>
  </si>
  <si>
    <t>BATTERIE 75AH VEGA BLINDEE</t>
  </si>
  <si>
    <t>BATTERIE 75AH VEGA</t>
  </si>
  <si>
    <t xml:space="preserve">385/65R22.5 BLACKRIDER </t>
  </si>
  <si>
    <t xml:space="preserve">PNEU 385/65R22.5 BLACKRIDER </t>
  </si>
  <si>
    <t xml:space="preserve">AD BLUE </t>
  </si>
  <si>
    <t>PNEU 265/65R17 KAPSEN CRAMPON</t>
  </si>
  <si>
    <t xml:space="preserve">BATTERIE 90 AH VISCA </t>
  </si>
  <si>
    <t>PNEU 185/65R15 TRANSMATE</t>
  </si>
  <si>
    <t xml:space="preserve">PNEU 185/65R15 GLEDE </t>
  </si>
  <si>
    <t>PAYE CHEQUE</t>
  </si>
  <si>
    <t>BATTERIE 150 AH ESAN</t>
  </si>
  <si>
    <t>HUILE SAE 50 20 L SAIBOT</t>
  </si>
  <si>
    <t>KIT DEMBRAYAGE COMPLET/995LJ01</t>
  </si>
  <si>
    <t>PNEU 385/65R22.5 ECOSAVER</t>
  </si>
  <si>
    <t>JANTES 385</t>
  </si>
  <si>
    <t xml:space="preserve">JEU DE PLAQUETTE DE FREIN DAF </t>
  </si>
  <si>
    <t>FILTRE A HUILE CE 1059</t>
  </si>
  <si>
    <t xml:space="preserve">FILTRE A GAZOIL BOSCH </t>
  </si>
  <si>
    <t>FILTRE A GAZOILCE0300</t>
  </si>
  <si>
    <t>BATTERIE 170 AH ALMA</t>
  </si>
  <si>
    <t xml:space="preserve">CABLE DE LIAISON BATTERIE </t>
  </si>
  <si>
    <t>ABBAS ABDUL REDA</t>
  </si>
  <si>
    <t>POLISH PHARE</t>
  </si>
  <si>
    <t xml:space="preserve">PNEU 315/80R22.5 MIXTE </t>
  </si>
  <si>
    <t>PNEU 195/15C</t>
  </si>
  <si>
    <t xml:space="preserve">PNEU 215/75R17.5 TAITONG </t>
  </si>
  <si>
    <t>HUILE MOTEUR SAIBOT 10W40 1L</t>
  </si>
  <si>
    <t>MAIN DOEUVRE</t>
  </si>
  <si>
    <t>REPARATION HONDA</t>
  </si>
  <si>
    <t>BATTERIE 70AH PACER</t>
  </si>
  <si>
    <t>PNEU 225/70R15C BRIDGESTONE</t>
  </si>
  <si>
    <t>PNEU 225/65R18 DUNLOP</t>
  </si>
  <si>
    <t>BALAIS ESSUI GLASE 14+22 TECHNO</t>
  </si>
  <si>
    <t>PAYE ESPECES</t>
  </si>
  <si>
    <t>PNEU 245/45R19</t>
  </si>
  <si>
    <t>PNEU 235/55R19 DUNLOP</t>
  </si>
  <si>
    <t>HUILE MOTEUR 5W40 5L</t>
  </si>
  <si>
    <t xml:space="preserve">FILTRE  A HUILE 316 </t>
  </si>
  <si>
    <t>BATTERIE 100AH FREEBAT</t>
  </si>
  <si>
    <t xml:space="preserve">COURROIE ALTERNATEUR </t>
  </si>
  <si>
    <t>PNEU 195R15C BRIDGESTONE</t>
  </si>
  <si>
    <t>PNEU 225/70R15C APLUS</t>
  </si>
  <si>
    <t>BOUGIE NGK ILZ7</t>
  </si>
  <si>
    <t>PNEU 225/70R15 C</t>
  </si>
  <si>
    <t>PNEU 225/70R15C</t>
  </si>
  <si>
    <t>BATTERIE 74AH LUCAS</t>
  </si>
  <si>
    <t>PAYE ORANGE MONY</t>
  </si>
  <si>
    <t>BATTERIE 100AH ESAN</t>
  </si>
  <si>
    <t>PNEU 225/70R15 C/8369HZ01</t>
  </si>
  <si>
    <t>PNEU 195R15C KAPSEN/ 3568KU01</t>
  </si>
  <si>
    <t>PNEU 700R16 KAPSEN / 2505JU01</t>
  </si>
  <si>
    <t xml:space="preserve">BATTERIE 75AH ESAN </t>
  </si>
  <si>
    <t>BATTERIE 100AH ESAN/185KC01</t>
  </si>
  <si>
    <t>BATTERIE 100AH OURSON/ 369HZ01</t>
  </si>
  <si>
    <t xml:space="preserve">PNEU 225/70R15C </t>
  </si>
  <si>
    <t>BATTERIE 180AH CONTINANTAL</t>
  </si>
  <si>
    <t>PLAQUETTE DE FREIN AR</t>
  </si>
  <si>
    <t xml:space="preserve">PNEU 225/70R15C JK </t>
  </si>
  <si>
    <t>PNEU 700R16 BRIDGESTONE</t>
  </si>
  <si>
    <t>PNEU 195R15C HABELED</t>
  </si>
  <si>
    <t>PNEU 225/70R15C /6293GN01</t>
  </si>
  <si>
    <t>PNEU 225/70R15C/ 8251JH01</t>
  </si>
  <si>
    <t>PNEU 700R16 PD</t>
  </si>
  <si>
    <t>PNEU 225/70R15C / 8369HZ01</t>
  </si>
  <si>
    <t>REPARATION MOTEUR DE CHAISE/99KS01</t>
  </si>
  <si>
    <t>PNEU 700R16 /2505JU01</t>
  </si>
  <si>
    <t>PNEU 215/75R17,5 RADIAL</t>
  </si>
  <si>
    <t>BALAIS ESSUI GLASE BOSCH</t>
  </si>
  <si>
    <t>PNEU 195R15C ROTALA</t>
  </si>
  <si>
    <t>PNEU 225/70R15C RADIAL</t>
  </si>
  <si>
    <t>PNEU225/70R15C TRANSMETRE</t>
  </si>
  <si>
    <t>PNEU 700R16 /2505JJ01</t>
  </si>
  <si>
    <t>PNEU 700R16 / 2505JU01</t>
  </si>
  <si>
    <t>HUILE DE MOTEUR SAIBOT 10W40 01L</t>
  </si>
  <si>
    <t>AMPOULE DE PHARE</t>
  </si>
  <si>
    <t>AMPOULE FEUX STOP</t>
  </si>
  <si>
    <t>BALAIS ESSUI GLASS</t>
  </si>
  <si>
    <t>HUILE DE FREIN 500ML</t>
  </si>
  <si>
    <t>PNEU 195R15C TRANSMETRE</t>
  </si>
  <si>
    <t>PNEU 235/75R17,5/ AA-064-GA</t>
  </si>
  <si>
    <t>CAROUSSAGE HIACE/ 3045KU01</t>
  </si>
  <si>
    <t>PNEU 215/75R17,5 / 385KC01</t>
  </si>
  <si>
    <t>PNEU 700R16 /515JU01</t>
  </si>
  <si>
    <t>PNEU 235/65R16C</t>
  </si>
  <si>
    <t>HUILE MOTEUR 10W40 SAIBOT 1L</t>
  </si>
  <si>
    <t>FILTRE A GAZOIL</t>
  </si>
  <si>
    <t>PNEU 245/45R19 ROADMARCH</t>
  </si>
  <si>
    <t xml:space="preserve">EXTINCTEUR 1KG </t>
  </si>
  <si>
    <t>BATTERIE ESAN 75AH</t>
  </si>
  <si>
    <t>MEHDY MADY</t>
  </si>
  <si>
    <t>PNEU 225/65R17 DUNLOP</t>
  </si>
  <si>
    <t>PLAQUETTE DE FREIN AV RAV4</t>
  </si>
  <si>
    <t>HUILE MOTEUR 10W40 5L</t>
  </si>
  <si>
    <t>POMPE A DERECTION MASA</t>
  </si>
  <si>
    <t>HUILE DE TRANSMISSION 01L</t>
  </si>
  <si>
    <t>PNEU 195/65R15 TRACMAX</t>
  </si>
  <si>
    <t>BATTERIE 45AH STECO</t>
  </si>
  <si>
    <t>BATTERIE 75AH ESAN BLINDEE</t>
  </si>
  <si>
    <t>BATTERIE 75AH OURSON</t>
  </si>
  <si>
    <t>PNEU 235/65R16C KAPSEN</t>
  </si>
  <si>
    <t>HUILE DE FREIN VALEO</t>
  </si>
  <si>
    <t>BATTERIE 62AH BLINDEE</t>
  </si>
  <si>
    <t>HUILE MOTEUR 10W40 01L</t>
  </si>
  <si>
    <t>BATTERIE 100AH CONTINANTAL</t>
  </si>
  <si>
    <t>BATTERIE 55AH CONYINANTAL</t>
  </si>
  <si>
    <t>BACHE AUTO</t>
  </si>
  <si>
    <t>FILTRE A CLIM TOYOTA</t>
  </si>
  <si>
    <t>HUILE MOTEUR 10W40 MOTUL 1L/836KT01</t>
  </si>
  <si>
    <t>SCANER / TOYOTA COROLLA 4393HS01</t>
  </si>
  <si>
    <t xml:space="preserve">COUPELLE DE FREIN </t>
  </si>
  <si>
    <t xml:space="preserve">REPARATION ETERIE </t>
  </si>
  <si>
    <t xml:space="preserve">BALAIS ESSUI GLACE </t>
  </si>
  <si>
    <t>BATTERIE 75AH BEYONEX/ 4393HS01</t>
  </si>
  <si>
    <t>PNEU 235/65R16CTRANSMETRE</t>
  </si>
  <si>
    <t>TAPIS 2PC</t>
  </si>
  <si>
    <t>HOUSSE</t>
  </si>
  <si>
    <t>COUVER VOLANT</t>
  </si>
  <si>
    <t xml:space="preserve">EXTINCTEUR </t>
  </si>
  <si>
    <t>HUILE MOTEUR LIQUIMOLY 01L</t>
  </si>
  <si>
    <t>TOLERIE PEINTEUR RAV4</t>
  </si>
  <si>
    <t>FEU AR</t>
  </si>
  <si>
    <t>PNEU 195/65R15 TRANSMATE</t>
  </si>
  <si>
    <t>BOLONE COMPLET</t>
  </si>
  <si>
    <t>TOLERIE PEINTURE MASSA</t>
  </si>
  <si>
    <t>POINEIER POERT ARRIER</t>
  </si>
  <si>
    <t xml:space="preserve">PAYEMENT ESPECE </t>
  </si>
  <si>
    <t xml:space="preserve">PNEU 235/65R16C TRANSMATE </t>
  </si>
  <si>
    <t>HUIILE MOTEUR SAIBOT 10W40 L</t>
  </si>
  <si>
    <t xml:space="preserve">MAIN DOEUVRE </t>
  </si>
  <si>
    <t>PAYEMENT</t>
  </si>
  <si>
    <t>PNEU 195/65R15 GLEDE</t>
  </si>
  <si>
    <t>REGLEPAR WAVE</t>
  </si>
  <si>
    <t>A.H GROUPE</t>
  </si>
  <si>
    <t>PNEU 385/65R22,5 BLACRIDER</t>
  </si>
  <si>
    <t>PNEU 315/80R22,5 GD</t>
  </si>
  <si>
    <t>BATTERIE 120AH CONTINATAL</t>
  </si>
  <si>
    <t>BATTERIE 200AH TACOMA</t>
  </si>
  <si>
    <t>BATTERIE 150AH WHILI</t>
  </si>
  <si>
    <t>BATTERIE 120AH OURSUN</t>
  </si>
  <si>
    <t>HUILE BOITE SAIBOTE 80W90 20L</t>
  </si>
  <si>
    <t>HUILE DE PONT SAIBOTE 140 20L</t>
  </si>
  <si>
    <t>HUILE HYDROLIQUE SAIBOT 68 200L</t>
  </si>
  <si>
    <t>WAEL</t>
  </si>
  <si>
    <t>215/70R16</t>
  </si>
  <si>
    <t>PNEU 700/16</t>
  </si>
  <si>
    <t xml:space="preserve">PNEU 195/65R15 </t>
  </si>
  <si>
    <t>BATTERIE 100 AH</t>
  </si>
  <si>
    <t>PNEU 700R16 RADIAL</t>
  </si>
  <si>
    <t>HUILE MOTEUR 20W50 5L</t>
  </si>
  <si>
    <t>FILTRE A AIR BOSCH</t>
  </si>
  <si>
    <t xml:space="preserve">PNEU 225/65R16C </t>
  </si>
  <si>
    <t>PNEU 185R14C KAPSEN</t>
  </si>
  <si>
    <t>PNEU 215/70R16 DUNLOP</t>
  </si>
  <si>
    <t xml:space="preserve">PNEU 185/70R14 </t>
  </si>
  <si>
    <t>JANTE 14</t>
  </si>
  <si>
    <t>PNEU 750R16 AMIN + CHAMBRE</t>
  </si>
  <si>
    <t>BATTERIE 75AH MAXIMA</t>
  </si>
  <si>
    <t xml:space="preserve"> PNEU 700R16 RADIAL</t>
  </si>
  <si>
    <t>PNEU 750R16 KAPSEN</t>
  </si>
  <si>
    <t>PNEU 750R15 MIXTE</t>
  </si>
  <si>
    <t>BATTERIE 150AH BLINDEE</t>
  </si>
  <si>
    <t xml:space="preserve">PNEU 175/65R14 </t>
  </si>
  <si>
    <t>BATTERIE 75AH EVERLIFE</t>
  </si>
  <si>
    <t>PNEU 700R16 KAPSEN</t>
  </si>
  <si>
    <t>PNEU 255/60R18 BRIDGESTONE</t>
  </si>
  <si>
    <t>REGLEMENT EN ESPECES</t>
  </si>
  <si>
    <t>CHAUSSURE SECURITE</t>
  </si>
  <si>
    <t>PNEU 215/70R16 -</t>
  </si>
  <si>
    <t>PNEU 700R16</t>
  </si>
  <si>
    <t>JANTE 22,5</t>
  </si>
  <si>
    <t>PNEU 750/16</t>
  </si>
  <si>
    <t>PNEU 700R16 TAITONG</t>
  </si>
  <si>
    <t xml:space="preserve">BATTERIE 62 AH </t>
  </si>
  <si>
    <t>CABF ALLCC</t>
  </si>
  <si>
    <t>PNEU 385/65R22,5 MIXTE</t>
  </si>
  <si>
    <t>BATTERIE 150AH POWER KING</t>
  </si>
  <si>
    <t>BALAIS ESSUI GLACE BOSCH</t>
  </si>
  <si>
    <t>BATTERIE 150AH PACER</t>
  </si>
  <si>
    <t>PAYE CHEQUE N'9174206</t>
  </si>
  <si>
    <t>BATTERIE 150AH GT BLINDEE</t>
  </si>
  <si>
    <t>BATTERIE 120AH GT BLINDEE</t>
  </si>
  <si>
    <t>PAYE CHEQUE 0001389</t>
  </si>
  <si>
    <t>BATTERIE 150AH CONTINANTAL</t>
  </si>
  <si>
    <t>PNEU 215/70R16 DOUBLSTAR</t>
  </si>
  <si>
    <t>REPRATION KIA</t>
  </si>
  <si>
    <t>PAYE CHEQUE Né 0001778</t>
  </si>
  <si>
    <t>PNEU 385/65R22,5 BRIDGESTONE R164</t>
  </si>
  <si>
    <t>BATTERIE 150AH SUPER FREE</t>
  </si>
  <si>
    <t>BATTERIE 200AH ESAN</t>
  </si>
  <si>
    <t>PNEU 275/60R18 DUNLOP</t>
  </si>
  <si>
    <t>PLAQUETTE DE FREIN AV FORD</t>
  </si>
  <si>
    <t>PNEU 825R15+CHAMBRE+FLAPE</t>
  </si>
  <si>
    <t>AMPOULE PHLIPS H7</t>
  </si>
  <si>
    <t>PNEU 265/70R16 DUNLOP</t>
  </si>
  <si>
    <t>BATTERIE 200AH GT POWER</t>
  </si>
  <si>
    <t>DISQUE DE ROUE AV FORD</t>
  </si>
  <si>
    <t>PNEU 315/80R22.5 GD</t>
  </si>
  <si>
    <t>BATTERIE 200AH AOKLY</t>
  </si>
  <si>
    <t>PNEU 155/70R13 RADIAL</t>
  </si>
  <si>
    <t>PNEU 700R12 + CHAMBRE A AIR</t>
  </si>
  <si>
    <t xml:space="preserve">PNEU 315/80R22.5 GD </t>
  </si>
  <si>
    <t>BATTERIE 75AH CONTINANTAL</t>
  </si>
  <si>
    <t>BATTERIE 45AH BLINDEE</t>
  </si>
  <si>
    <t>PNEU 385/65R22.5 PD</t>
  </si>
  <si>
    <t>PNEU 195/65R15 APLUS</t>
  </si>
  <si>
    <t>BATTERIE 75AH GT</t>
  </si>
  <si>
    <t>PNEU 215R15C DUNLOP</t>
  </si>
  <si>
    <t>PAYE CHEQUE 9174109</t>
  </si>
  <si>
    <t>REPARATION FORD</t>
  </si>
  <si>
    <t xml:space="preserve">SILENTBLOC DE AMORTISSEUR </t>
  </si>
  <si>
    <t>BOLONE DE ROUE</t>
  </si>
  <si>
    <t>PNEU 300R15+CHAMBRE+FLAPE</t>
  </si>
  <si>
    <t>HOUSSE AUTO SMILI CUIR</t>
  </si>
  <si>
    <t xml:space="preserve">DESEIGNATION </t>
  </si>
  <si>
    <t>BATTERIE 200AH ACTION</t>
  </si>
  <si>
    <t>POMPE A EAU FORD</t>
  </si>
  <si>
    <t>PNEU 195R15C GOODYEAR</t>
  </si>
  <si>
    <t>PNEU 23,5-25 +CHAMBRE + FLAP</t>
  </si>
  <si>
    <t>PNEU 385/65R22,5 DUNLOP</t>
  </si>
  <si>
    <t>BATTERIE 75AH ACTION</t>
  </si>
  <si>
    <t>EAU DE RADIEATEUR 01L</t>
  </si>
  <si>
    <t>DEPREPENT</t>
  </si>
  <si>
    <t>BATTERIE 80AH ACTION</t>
  </si>
  <si>
    <t>VERRE RETROVISEUR</t>
  </si>
  <si>
    <t>BATTERIE 90AH ACTION</t>
  </si>
  <si>
    <t>PNEU 245/70R16 APLUS</t>
  </si>
  <si>
    <t>BATTERIE 200AH MAXIMA</t>
  </si>
  <si>
    <t>REPARATION SUZUKI</t>
  </si>
  <si>
    <t>PNEU 750R16 RADIAL</t>
  </si>
  <si>
    <t>BATTERIE 200AH LUCAS BLINDEE</t>
  </si>
  <si>
    <t>BATTERIE 120AH ACTION</t>
  </si>
  <si>
    <t>BATTERIE 150AH ACTION</t>
  </si>
  <si>
    <t>REPARATION PAJERO</t>
  </si>
  <si>
    <t>BATTERIE 200AH BLACTIGER</t>
  </si>
  <si>
    <t>BATTERIE 150AH BLACTIGER</t>
  </si>
  <si>
    <t>FILTRE A AIR ALTO</t>
  </si>
  <si>
    <t>PNEU 235,5-25 TRANGLE +CH+FLAP</t>
  </si>
  <si>
    <t>PNEU 385/65R22,5 DRIVMASTER</t>
  </si>
  <si>
    <t>BATTERIE 200AH AIR FORC</t>
  </si>
  <si>
    <t>FILTRE A AIR DAF</t>
  </si>
  <si>
    <t>BALAIS ESSUI GLACE BOSCH AEROECO</t>
  </si>
  <si>
    <t>PNEU 315/80R22,5 GOODYEAR</t>
  </si>
  <si>
    <t>BATTERIE 77AH FREEBAT BLINDE ORG</t>
  </si>
  <si>
    <t>BATTERIE 45AH ESAN BLINDEE</t>
  </si>
  <si>
    <t>PAYE CHEQUE 0003801</t>
  </si>
  <si>
    <t>BATTERIE 200AH ENERGISER BLINDEE</t>
  </si>
  <si>
    <t>BATTEIE 100AH YUASSA BLINDEE</t>
  </si>
  <si>
    <t>REPARATION BMW X6</t>
  </si>
  <si>
    <t xml:space="preserve">PNEU 750R16 AMIN +CHAMBRE </t>
  </si>
  <si>
    <t>PNEU 235/70R16 WINDFORCE</t>
  </si>
  <si>
    <t>PAYE CHEQUE 0002474</t>
  </si>
  <si>
    <t xml:space="preserve">REPARATION KIA </t>
  </si>
  <si>
    <t>BATTERIE 120AH TITANUM</t>
  </si>
  <si>
    <t>PNEU 385/65R22,5 KELLY</t>
  </si>
  <si>
    <t>BATTERIE 100AH PROXIVOLT</t>
  </si>
  <si>
    <t>PLAQUETTE DE FREN AV PAJERO</t>
  </si>
  <si>
    <t>ELECTRICITE</t>
  </si>
  <si>
    <t>BATTERIE 200AH POWERFORCE</t>
  </si>
  <si>
    <t>PNEU 265/70R16 WINDFORCE</t>
  </si>
  <si>
    <t>BATTERIE 80AH BOSCH</t>
  </si>
  <si>
    <t>PAYE CHEQUE N0006330</t>
  </si>
  <si>
    <t>PNEU 315/80R22,5 SUMITOMO</t>
  </si>
  <si>
    <t>REPARATION FORD RANGER</t>
  </si>
  <si>
    <t>PNEU 235/65R17 WINDFORCE</t>
  </si>
  <si>
    <t>REPARATION CLIM X6</t>
  </si>
  <si>
    <t>BATTERIE 75AH OUSRUN</t>
  </si>
  <si>
    <t>CLE DE ROUE</t>
  </si>
  <si>
    <t>PNEU 215/75R15C GENERAL</t>
  </si>
  <si>
    <t>PNEU 700R12 BLINDEE</t>
  </si>
  <si>
    <t>REGLEMENT CHEQUE N'2912679</t>
  </si>
  <si>
    <t>PNEU 750R16 JK MIXTE</t>
  </si>
  <si>
    <t>BATTERIE 200AH OURSON</t>
  </si>
  <si>
    <t>TAPIS AUTO</t>
  </si>
  <si>
    <t>PNEU 385/65R22.5 FIRMAX</t>
  </si>
  <si>
    <t>PLAQUETTE DE FREIN SUZUKI</t>
  </si>
  <si>
    <t xml:space="preserve">PNEU 750R16 APLUS </t>
  </si>
  <si>
    <t>PNEU 700R12 CHARIOT</t>
  </si>
  <si>
    <t>PNEU 385/65R22.5 DRIVMASTER</t>
  </si>
  <si>
    <t>BATTERIE 120AAH OURSON</t>
  </si>
  <si>
    <t>PNEU 31.10-50R15</t>
  </si>
  <si>
    <t>BATTERIE 200AH ENERGY</t>
  </si>
  <si>
    <t>PNEU 315/80R22.5 SUMITOMO</t>
  </si>
  <si>
    <t>EXTINCTEUR 500ML</t>
  </si>
  <si>
    <t xml:space="preserve">TRIANGLE </t>
  </si>
  <si>
    <t>REPARATION FORD 7037HN01</t>
  </si>
  <si>
    <t>REPARATION FORD +VISITE</t>
  </si>
  <si>
    <t>REPARATION FORD RANGER 2022HL01</t>
  </si>
  <si>
    <t>REPARATION SUZUKI 3880LG01</t>
  </si>
  <si>
    <t>PNEU 13R225 MIXTE</t>
  </si>
  <si>
    <t>PNEU 315/80R22,5 KELLY</t>
  </si>
  <si>
    <t>PNEU 825-15 BLINDEE</t>
  </si>
  <si>
    <t>PNEU 700-12 BLINDEE</t>
  </si>
  <si>
    <t>PNEU 315/80RR2,5 SUMITOMO</t>
  </si>
  <si>
    <t>PNEU 825-15 +CHAMBRE+FLAPE</t>
  </si>
  <si>
    <t>BATTERIE 200AH OUSRUN</t>
  </si>
  <si>
    <t>PNEU 215/75R15 C</t>
  </si>
  <si>
    <t>BATTERIE 90AH LIONKING</t>
  </si>
  <si>
    <t>PNEU 235/70R16 KAPSEN</t>
  </si>
  <si>
    <t>EXTICTEUR 2KG</t>
  </si>
  <si>
    <t>PNEU 825-15 PLEIN</t>
  </si>
  <si>
    <t>PNEU 300-15 PLEIN</t>
  </si>
  <si>
    <t xml:space="preserve">PNEU 205/60R16 </t>
  </si>
  <si>
    <t>PNEU 23,5R25 TECHKING+CHAMBRE A AIR</t>
  </si>
  <si>
    <t>BATTERIE 90AH CONTINANTAL</t>
  </si>
  <si>
    <t>BATTERIE 120AH ESAN</t>
  </si>
  <si>
    <t>REGLEMENT CHEQUE N'0004534</t>
  </si>
  <si>
    <t>BATTERIE 225AH VARTA</t>
  </si>
  <si>
    <t>JEU DE PLAQUETTE DE FREIN AV</t>
  </si>
  <si>
    <t>JEU DE PLAQUETTE DE FREIN AR</t>
  </si>
  <si>
    <t xml:space="preserve">PILE COMMANDE </t>
  </si>
  <si>
    <t xml:space="preserve">BATTERIE 200AH VEGA </t>
  </si>
  <si>
    <t xml:space="preserve">BATTERIE 90AH TURBO </t>
  </si>
  <si>
    <t>PNEU 13R22,5 GOODYEAR</t>
  </si>
  <si>
    <t>REGLEMENT CHEQUE N'0005137</t>
  </si>
  <si>
    <t>BATTERIE 120AH VEGA</t>
  </si>
  <si>
    <t>HUILE HYDROLIQUE 68 200L</t>
  </si>
  <si>
    <t>HUILE TRANSGER 680 200L</t>
  </si>
  <si>
    <t>HUILE MOTEUR SAE50 200L</t>
  </si>
  <si>
    <t>PNEU 185/65R15 /3880LG01</t>
  </si>
  <si>
    <t xml:space="preserve">BATTERIE 180AH OURSUN </t>
  </si>
  <si>
    <t xml:space="preserve">BATTERIE 150AH OURSUN </t>
  </si>
  <si>
    <t>PARALLALISME / 2022LH01</t>
  </si>
  <si>
    <t>PNEU 750R16 MIXTE/ CAMION</t>
  </si>
  <si>
    <t>GRAISSE 180KG EP2</t>
  </si>
  <si>
    <t>HUILE HYDROLIQUE 680 200L</t>
  </si>
  <si>
    <t>REGLEMENT EN CHEQUE 0004374</t>
  </si>
  <si>
    <t>PNEU MACHINE 23,5-25+CHAMBRE +FLAP</t>
  </si>
  <si>
    <t xml:space="preserve">BATTERIE 120AH OURSUN </t>
  </si>
  <si>
    <t>PNEU 385/65R22,5 JK PD</t>
  </si>
  <si>
    <t>PNEU 315/80R22,5 JK PD</t>
  </si>
  <si>
    <t>REGLEMENT EN CHEQUE 0004597</t>
  </si>
  <si>
    <t>PNEU 215/75R15</t>
  </si>
  <si>
    <t>BATTERIE 85AH VISCA</t>
  </si>
  <si>
    <t xml:space="preserve">PNEU 300-15 PLEIN </t>
  </si>
  <si>
    <t>HUILE 15W40 200L APEX</t>
  </si>
  <si>
    <t xml:space="preserve">PNEU 155/70R13 </t>
  </si>
  <si>
    <t>BARIQUE HUILE 680 200L</t>
  </si>
  <si>
    <t xml:space="preserve">BATTERIE 200 AH ESAN </t>
  </si>
  <si>
    <t>PNEU 215/60R16</t>
  </si>
  <si>
    <t>BIDON HUILE HYDROLIQUE 68 20L</t>
  </si>
  <si>
    <t>BATTERIE 100 AH CONTINENTAL</t>
  </si>
  <si>
    <t xml:space="preserve">BATTERIE 45 AH POWER </t>
  </si>
  <si>
    <t xml:space="preserve">PNEU 750R16 BLACKRIDER </t>
  </si>
  <si>
    <t>BATTERIE 150 AH BEYONIX</t>
  </si>
  <si>
    <t>DIVERS CLIENTS</t>
  </si>
  <si>
    <t>MR. KEBE</t>
  </si>
  <si>
    <t>BATTERIE 150 AH WHILL</t>
  </si>
  <si>
    <t>CFAO</t>
  </si>
  <si>
    <t>INVENTAIRE</t>
  </si>
  <si>
    <t xml:space="preserve">PNEU 750R15 BRIDGESTONE </t>
  </si>
  <si>
    <t xml:space="preserve">PNEU 215/65R16 TRANSMATE </t>
  </si>
  <si>
    <t xml:space="preserve">PNEU 315/80R22,5 BLACK RIDER </t>
  </si>
  <si>
    <t xml:space="preserve">PNEU 7,50R16 BLACK RIDER </t>
  </si>
  <si>
    <t xml:space="preserve">PNEU 13R22,5 KAPSEN </t>
  </si>
  <si>
    <t xml:space="preserve">BATTERIE 180AH WHIL </t>
  </si>
  <si>
    <t>BATTERIE 180AH TACOMA</t>
  </si>
  <si>
    <t xml:space="preserve">BATTERIE 75AH CONTINENTAL </t>
  </si>
  <si>
    <t xml:space="preserve">BATTERIE 100AH CONTINENTAL </t>
  </si>
  <si>
    <t xml:space="preserve">BATTERIE 90AH CONTINENTAL </t>
  </si>
  <si>
    <t xml:space="preserve">BATTERIE 150AH ESAN </t>
  </si>
  <si>
    <t xml:space="preserve">BATTERIE 120AH BEYONIX </t>
  </si>
  <si>
    <t>BARIQUE HUILE 10W 200L</t>
  </si>
  <si>
    <t>BARIQUE HUILE 15W40 200L</t>
  </si>
  <si>
    <t xml:space="preserve">PNEU 7,50R16 TAITONG </t>
  </si>
  <si>
    <t>PNEU 265/65R17</t>
  </si>
  <si>
    <t xml:space="preserve">PNEU 225/70R15C TRANSMATE </t>
  </si>
  <si>
    <t xml:space="preserve">BATTERIE 100AH BEYONIX </t>
  </si>
  <si>
    <t>PNEU 13R22,5 WINMAX</t>
  </si>
  <si>
    <t>BATTERIE EZAN 75AH</t>
  </si>
  <si>
    <t>BATTERIE  BEYONIX 100AH</t>
  </si>
  <si>
    <t xml:space="preserve">PNEU 750R16 TRANSMATE </t>
  </si>
  <si>
    <t>BATTERIE 90AH VISCA</t>
  </si>
  <si>
    <t>BARIQUE SAE 50 200L</t>
  </si>
  <si>
    <t>BATTERIE 70 AH CONTINENTAL</t>
  </si>
  <si>
    <t>PNEU 235/75R17.5</t>
  </si>
  <si>
    <t>PNEU 750/16 BLACKRIDER</t>
  </si>
  <si>
    <t>PNEU 235/75R17.5 TAITONG</t>
  </si>
  <si>
    <t xml:space="preserve">BATTERIE 100 AH BEYONIX </t>
  </si>
  <si>
    <t>BATTERIE 100 AH ESAN</t>
  </si>
  <si>
    <t xml:space="preserve">BATTERIE 90 AH ESAN </t>
  </si>
  <si>
    <t>COURROIE 6PK 2060</t>
  </si>
  <si>
    <t>COUUROIE 6PK2160</t>
  </si>
  <si>
    <t>COURROIE 6PK2120</t>
  </si>
  <si>
    <t>COURROIE 6PK 1020</t>
  </si>
  <si>
    <t>COURROIE 6PK1030</t>
  </si>
  <si>
    <t>COURROIE 6PK1815</t>
  </si>
  <si>
    <t>COURROIE 6PK1870</t>
  </si>
  <si>
    <t>COURROIE 6PK1705</t>
  </si>
  <si>
    <t>COURROIE 6PK2271</t>
  </si>
  <si>
    <t>COURROIE 6PK2203</t>
  </si>
  <si>
    <t>COURROIE6PK1440</t>
  </si>
  <si>
    <t>COURROIE6PK11524</t>
  </si>
  <si>
    <t>COURROIE 4PK775</t>
  </si>
  <si>
    <t>COURROIE 4PK800</t>
  </si>
  <si>
    <t>COURROIE DIST113D</t>
  </si>
  <si>
    <t>COURROIE DIST 65 D</t>
  </si>
  <si>
    <t>COURROIE DIST140D</t>
  </si>
  <si>
    <t>PNEU 215/70R16</t>
  </si>
  <si>
    <t>¨NEU 215/60R17 GLEDE</t>
  </si>
  <si>
    <t>PNEU 315/80R22.5 BLACKRIDER</t>
  </si>
  <si>
    <t>BATTERIE 170 ALMA</t>
  </si>
  <si>
    <t>PNEU 235/65R17 GLEDE</t>
  </si>
  <si>
    <t>BATTERIE 75 ESAN</t>
  </si>
  <si>
    <t>BATTERIE 120 AH WHILL</t>
  </si>
  <si>
    <t>PNEU 22550R17 GLEDE</t>
  </si>
  <si>
    <t>BATTERIE ENERGIE 100 AH</t>
  </si>
  <si>
    <t>PNEU 225/65R17 GLEDE</t>
  </si>
  <si>
    <t xml:space="preserve">PNEU 235/75R17.5 TAITONG </t>
  </si>
  <si>
    <t xml:space="preserve">BATTERIE 100 AH ENERGY </t>
  </si>
  <si>
    <t xml:space="preserve">BATTERIE 75 AH ENERGY </t>
  </si>
  <si>
    <t>PNEU 155/70R13 / AA-970-AP</t>
  </si>
  <si>
    <t>PNEU 155/70R13 TRANSMATE / AA-663-AJ</t>
  </si>
  <si>
    <t>PNEU 155/70R13 TRANSMATE / 944LE01</t>
  </si>
  <si>
    <t>PNEU 155/70R13 TRANSMATE / AA-473-EH</t>
  </si>
  <si>
    <t xml:space="preserve">PNEU 155/70R13 TRANSMATE / AA-625-AJ </t>
  </si>
  <si>
    <t xml:space="preserve">PARALLELISME / 1612KC01 </t>
  </si>
  <si>
    <t>PARALLELISME+REGLAGE PHARE / AA-675-AV</t>
  </si>
  <si>
    <t>PARALLELISME+REGLAGE PHARE / 539KX01</t>
  </si>
  <si>
    <t xml:space="preserve">PARALLELISME / 844JU01 </t>
  </si>
  <si>
    <t>CAROSSAGE / 456KX01</t>
  </si>
  <si>
    <t xml:space="preserve">PARALLELISME / 2 VEHICULES </t>
  </si>
  <si>
    <t xml:space="preserve">PARALLELISME + REGLAGE PHARE / 7995JB01 </t>
  </si>
  <si>
    <t>PARALLELISME + REGLAGE PHARE / 3248JX01</t>
  </si>
  <si>
    <t xml:space="preserve">PARALLELISME+ REGLAGE PHARE /819HX01 </t>
  </si>
  <si>
    <t>PARALLELISME+ REGLAGE PHARE /848JU01</t>
  </si>
  <si>
    <t>PARALLELISME + REGLAGE PHARE / 449JV01</t>
  </si>
  <si>
    <t>PARALLELISME+REGLAGE PHARE/ 1774JT01</t>
  </si>
  <si>
    <t>PARALLELISME+REGLAGE PHARE/ 1488GH01</t>
  </si>
  <si>
    <t>PARALLELISME + REGLAGE PHARE / 8455JB01</t>
  </si>
  <si>
    <t>PARALLELISME+REGLAGE DE PHARE / 1410LC01</t>
  </si>
  <si>
    <t>PARALLELISME+REGLAGE DE PHARE / 1469LC01</t>
  </si>
  <si>
    <t xml:space="preserve">PARALLELISME+ REGLAGE DE PHARE/ 2715KK01 </t>
  </si>
  <si>
    <t>PARALLELISME + REGLAGE PHARE/ 1391LC01</t>
  </si>
  <si>
    <t>PARALLELISME + REGLAGE PHARE / 1391LC01</t>
  </si>
  <si>
    <t>15/04/20255</t>
  </si>
  <si>
    <t>PARALLELISME / 7174JE01</t>
  </si>
  <si>
    <t>PARALLELISME + REGLAGE DE PHARE / 8449JB01</t>
  </si>
  <si>
    <t>PARALLELISME + REGLAGE PHARE / 2720KK01</t>
  </si>
  <si>
    <t>PARALLELISME + REGLAGE PHARE / 2431KY01</t>
  </si>
  <si>
    <t>REGLEGLEMENT CHEQUE N°4954289</t>
  </si>
  <si>
    <t>PARALLELISME / 58KU01</t>
  </si>
  <si>
    <t>1722JP01-AR24</t>
  </si>
  <si>
    <t>3100JH01-AR39</t>
  </si>
  <si>
    <t>8069JF01-AR14</t>
  </si>
  <si>
    <t xml:space="preserve">TRANSPORT </t>
  </si>
  <si>
    <t>jante 385</t>
  </si>
  <si>
    <t>6756HU01</t>
  </si>
  <si>
    <t>AA-532-FC-AR 21</t>
  </si>
  <si>
    <t>4704JY01-AR40</t>
  </si>
  <si>
    <t>3995HE01-AR14</t>
  </si>
  <si>
    <t>BATTERIE 150AH BEYONIX / BD0819 - BD0818</t>
  </si>
  <si>
    <t xml:space="preserve">AA-532-FC </t>
  </si>
  <si>
    <t xml:space="preserve">3495JJ01-AR23 </t>
  </si>
  <si>
    <t>6742FY01</t>
  </si>
  <si>
    <t>6756HU01-AR36</t>
  </si>
  <si>
    <t>3487JE01-AR15</t>
  </si>
  <si>
    <t xml:space="preserve">997LC01-AR41 </t>
  </si>
  <si>
    <t>1693HT01-AR38</t>
  </si>
  <si>
    <t>3487JE01</t>
  </si>
  <si>
    <t xml:space="preserve">BATTERIE 150AH BEYONIX </t>
  </si>
  <si>
    <t>6742FY01-AR23</t>
  </si>
  <si>
    <t>AA-532-FC-AR21</t>
  </si>
  <si>
    <t xml:space="preserve">REGLEMENT EN ESPECE </t>
  </si>
  <si>
    <t>AA632FC - AA541FC - 4704JY01</t>
  </si>
  <si>
    <t>AA541FC-AR37</t>
  </si>
  <si>
    <t>PNEU 385/65R22,5 KELLY / 38048910</t>
  </si>
  <si>
    <t>PNEU 385/65R22,5 LONGTRACK / 241121B0117</t>
  </si>
  <si>
    <t>PNEU 385/65R22,5 HUNTERROAD / EB29349L - EC09609K</t>
  </si>
  <si>
    <t>PNEU 315/80R22,5 VELTOUR /G413F1407</t>
  </si>
  <si>
    <t>PNEU 385/65R22,5 ROADTRACK / 141113B0111</t>
  </si>
  <si>
    <t>4096JY01-AR24</t>
  </si>
  <si>
    <t>PNEU 385/65R22,5 ECOSAVER / 324H0905158</t>
  </si>
  <si>
    <t>1034KN01</t>
  </si>
  <si>
    <t>PNEU 13R22,5 BLAKRIDER / 32400613977</t>
  </si>
  <si>
    <t>AA-532-FC -AR29</t>
  </si>
  <si>
    <t>PNEU 385/65R22,5 ECOSAVER / 324H0905144</t>
  </si>
  <si>
    <t xml:space="preserve">AA-541-FC AR37 </t>
  </si>
  <si>
    <t>PNEU 315/80R22,5 ECOSAVER / 324B1012755</t>
  </si>
  <si>
    <t xml:space="preserve">PNEU 315/80R22,5 ECOSAVER </t>
  </si>
  <si>
    <t>5151HX01-AR18</t>
  </si>
  <si>
    <t>PNEU 385/65R22,5 HUNTEROAD/ 341111B0113</t>
  </si>
  <si>
    <t xml:space="preserve">PNEU 13R22,5 BLACKRIDER </t>
  </si>
  <si>
    <t xml:space="preserve">BATTERIE 200AH VISCA </t>
  </si>
  <si>
    <t>BATTERIE 170AH ALMA</t>
  </si>
  <si>
    <t>PNEU 385/65R22,5 ECOSAVER / 324H0905142 - 324H095161 - 324H0905162</t>
  </si>
  <si>
    <t>2557JZ01-AR10</t>
  </si>
  <si>
    <t>PNEU 385/65R22,5 HUNTEROAD / FC20298A</t>
  </si>
  <si>
    <t>7598HE01-AR17</t>
  </si>
  <si>
    <t>1034KN01-AR17</t>
  </si>
  <si>
    <t>399HE01-AR40</t>
  </si>
  <si>
    <t>3495JJ01</t>
  </si>
  <si>
    <t>5983KV01</t>
  </si>
  <si>
    <t>1056KA01</t>
  </si>
  <si>
    <t>6756HU01-AR20</t>
  </si>
  <si>
    <t>PNEU 315/80R22.5 JK</t>
  </si>
  <si>
    <t xml:space="preserve">PNEU 315/80R22,5 MIXTE BLACKRIDER </t>
  </si>
  <si>
    <t xml:space="preserve">BATTERIE 45AH ESAZN </t>
  </si>
  <si>
    <t>BEDLINER / CH982357</t>
  </si>
  <si>
    <t>TONNEAU COVER COILISSANT / CH982357</t>
  </si>
  <si>
    <t>JEU DE JANTE ALLU 15 / CH492758</t>
  </si>
  <si>
    <t>JEU DE MARCHE-PIEDS /CH 981702 - 982285 -982408</t>
  </si>
  <si>
    <t>JEU DE JANTE ALLU 16 /  CH 983052</t>
  </si>
  <si>
    <t>PARE-BUFFLE AV / CH 983995</t>
  </si>
  <si>
    <t>JEU DE JANTE ALLU 16 / CH983544</t>
  </si>
  <si>
    <t>MARCHE-PIEDS / CH 983544</t>
  </si>
  <si>
    <t>JEU DE MARCHE-PIEDS /CH 984067 - 983990 - 983972 - 984056 - 984053 - 984012</t>
  </si>
  <si>
    <t>RAS DE BACHE / CH 984067 - 983990 - 983972 - 984056 - 984053 - 984012</t>
  </si>
  <si>
    <t>PARE-BUFFLE AV / CH 003815</t>
  </si>
  <si>
    <t>PARE-BUFFLE AR / CH 003815</t>
  </si>
  <si>
    <t>MARCHE-PIEDS / CH 9839998</t>
  </si>
  <si>
    <t xml:space="preserve">JEU DE JANTE ALLU 16 / CH 983213 - 983221 - 983165 - 983180 </t>
  </si>
  <si>
    <t>RAS DE BACHE / CH 983213 - 983221 - 983165 - 983180</t>
  </si>
  <si>
    <t>JEU DE JANTE ALLU 16 / CH 983222 - 983246 - 983181 - 983179</t>
  </si>
  <si>
    <t>RAS DE BACHE /  CH 983222 - 983246 - 983181 - 983179</t>
  </si>
  <si>
    <t>JEU DE JANTE ALLU 16 / CH 983248 - 983224 - 983244 - 983227</t>
  </si>
  <si>
    <t>RAS DE BACHE / CH 983248 - 983224 - 983244 - 983227</t>
  </si>
  <si>
    <t>RASE DE BACHE / CH 983223 - 983226</t>
  </si>
  <si>
    <t xml:space="preserve">JEU DE JANTE ALLU 16 / CH 983225 </t>
  </si>
  <si>
    <t>RAS DE BACHE / CH 983225</t>
  </si>
  <si>
    <t xml:space="preserve">JEU DE JANTE ALLU 16 / CH 983226 </t>
  </si>
  <si>
    <t xml:space="preserve">MOUNTAIN TOP / CH 989450 </t>
  </si>
  <si>
    <t>BEDLINER / CH 989450</t>
  </si>
  <si>
    <t xml:space="preserve">REGLEMENT PAR CHEQUE N° 1849023 </t>
  </si>
  <si>
    <t>CHEQUE</t>
  </si>
  <si>
    <t>PNEU 7,50R16 BLACKRIDER</t>
  </si>
  <si>
    <t xml:space="preserve">BATTERIE  55 AH </t>
  </si>
  <si>
    <t>FBD</t>
  </si>
  <si>
    <t>PETIT SOLO</t>
  </si>
  <si>
    <t>SOLO</t>
  </si>
  <si>
    <t>SENAT</t>
  </si>
  <si>
    <t>CHIFFRE AFFAIRE</t>
  </si>
  <si>
    <t>IMMATRICULATION</t>
  </si>
  <si>
    <t>ANNEE</t>
  </si>
  <si>
    <t>BILAN</t>
  </si>
  <si>
    <t>TOTAL</t>
  </si>
  <si>
    <t>BATIPLUS</t>
  </si>
  <si>
    <t>NAFCO</t>
  </si>
  <si>
    <t>DISTRICT DU ZANZAN</t>
  </si>
  <si>
    <t>AUTO RAY(CLIENT)</t>
  </si>
  <si>
    <t>EZONE</t>
  </si>
  <si>
    <t>KOBEISSI</t>
  </si>
  <si>
    <t>4097JY01</t>
  </si>
  <si>
    <t>2557JZ01</t>
  </si>
  <si>
    <t>2608JZ01</t>
  </si>
  <si>
    <t xml:space="preserve">PNEU 315/80R22,5 BLACKRIDER </t>
  </si>
  <si>
    <t>AA-567-FC</t>
  </si>
  <si>
    <t>LIQUIDE DE REFROIDISSEMENT 20L</t>
  </si>
  <si>
    <t>5091HZ01</t>
  </si>
  <si>
    <t>JANTE 385</t>
  </si>
  <si>
    <t>PNEU 225/55R19 GLEDE</t>
  </si>
  <si>
    <t>PNEU 275/70R22.5</t>
  </si>
  <si>
    <t xml:space="preserve">PNEU 265/60R18 GLEDE </t>
  </si>
  <si>
    <t>PNEU 385/65R22.5 LONGTRACK</t>
  </si>
  <si>
    <t xml:space="preserve">PAYE PAR CHEQUE </t>
  </si>
  <si>
    <t>PAYE EN ESPECES</t>
  </si>
  <si>
    <t>BATTERIE 140AH BOSCH</t>
  </si>
  <si>
    <t>PNEU 315/80R22,5</t>
  </si>
  <si>
    <t>PAYEEN ESPCE</t>
  </si>
  <si>
    <t xml:space="preserve">TRAVAUX DE CLIM </t>
  </si>
  <si>
    <t xml:space="preserve">PNEU 265/65R17 DUNLOP </t>
  </si>
  <si>
    <t xml:space="preserve">JEU DE PLAQUETTE DE FREIN </t>
  </si>
  <si>
    <t>PNEU 265/70R16 GLEDE</t>
  </si>
  <si>
    <t>PNEU 205/75R17,5 TAITONG</t>
  </si>
  <si>
    <t>ADBLUE 20L</t>
  </si>
  <si>
    <t xml:space="preserve">BATTERIE 45AH ESAN </t>
  </si>
  <si>
    <t>BAATTERIE 75AH BAROTEX</t>
  </si>
  <si>
    <t xml:space="preserve">PNEU 185/65R15 TRANSMATE </t>
  </si>
  <si>
    <t>PNEU 7,50R16 ROTALLA</t>
  </si>
  <si>
    <t>REGLEMENT PAR CHEQUE N°3688046</t>
  </si>
  <si>
    <t xml:space="preserve">BATTERIE 90AH ESAN / MITSUSBISHI PAJERO </t>
  </si>
  <si>
    <t xml:space="preserve">PNEU 7,50R16 LT </t>
  </si>
  <si>
    <t>PNEU 265/65R17 KING BOSS</t>
  </si>
  <si>
    <t>PAYE PAR DEPOT</t>
  </si>
  <si>
    <t xml:space="preserve">PNEU 215/50R17 </t>
  </si>
  <si>
    <t xml:space="preserve">JEU DE JANTE 17 / TOYOTA </t>
  </si>
  <si>
    <t>PNEU 255/50R20 GLEDE / AA-890-FS</t>
  </si>
  <si>
    <t>PNEU 7,50R16 JK</t>
  </si>
  <si>
    <t xml:space="preserve">PNEU 8,25R16 KAPSEN </t>
  </si>
  <si>
    <t>PNEU 385/65R22,5 KAPSEN</t>
  </si>
  <si>
    <t xml:space="preserve">PNEU 385/65R22,5 EUROPEEN </t>
  </si>
  <si>
    <t>CHEQUE N° 1004597</t>
  </si>
  <si>
    <t>PNEU 225/55R17 GLEDE</t>
  </si>
  <si>
    <t>YOUBA ADZOPE</t>
  </si>
  <si>
    <t xml:space="preserve">PNEU 225/55R17 GLEDE </t>
  </si>
  <si>
    <t>HUILE HYDRAULIQUE 68 20L</t>
  </si>
  <si>
    <t>BATTERIE 75AH ESAN 12V</t>
  </si>
  <si>
    <t>6PK1795</t>
  </si>
  <si>
    <t>6PK1930</t>
  </si>
  <si>
    <t>6PK2445</t>
  </si>
  <si>
    <t>6PK1870</t>
  </si>
  <si>
    <t>6PK1725</t>
  </si>
  <si>
    <t>6PK214</t>
  </si>
  <si>
    <t>6PK1890</t>
  </si>
  <si>
    <t>COURR DIST 132D</t>
  </si>
  <si>
    <t>COURR DIST111D</t>
  </si>
  <si>
    <t>COUURR DIST 113D</t>
  </si>
  <si>
    <t>PNEU 245/70R16</t>
  </si>
  <si>
    <t xml:space="preserve">TAPIS DE VOITURE </t>
  </si>
  <si>
    <t>PNEU 245/70R16 GLEDE</t>
  </si>
  <si>
    <t>7598HE01</t>
  </si>
  <si>
    <t xml:space="preserve">PNEU 315/80R22,5 SUMITOMO MIXTE/7598HE01 </t>
  </si>
  <si>
    <t>7070HV01-3487GE01</t>
  </si>
  <si>
    <t>PNEU 385/65R22,5 SUMITOMO MIXTE/7070HV01-3487GE01</t>
  </si>
  <si>
    <t>PAYE CHEQUE SIB N'8630495</t>
  </si>
  <si>
    <t xml:space="preserve">2013JP01  </t>
  </si>
  <si>
    <t>PNEU 385/65R22,5 SUMITOMO MIXTE /2013GB01</t>
  </si>
  <si>
    <t>PAYE CHEQUE SIB N'8630506</t>
  </si>
  <si>
    <t>2166JH01</t>
  </si>
  <si>
    <t>BATTERIE 155AH VARTA BLINDEE</t>
  </si>
  <si>
    <t>1129HE01</t>
  </si>
  <si>
    <t>PNEU 315/80R22,5 SUMITOMO MIXTE /ZG232265</t>
  </si>
  <si>
    <t>2013JP01</t>
  </si>
  <si>
    <t>PNEU 385/65R22,5 SUMITOMO MIXTE/ZG4113463</t>
  </si>
  <si>
    <t>2895JH01</t>
  </si>
  <si>
    <t>PNEU 385/65R22,5 MIXTE /ZG413303</t>
  </si>
  <si>
    <t>PNEU 315/80R22,5 MIXTE /ZG232277</t>
  </si>
  <si>
    <t>3995HE01</t>
  </si>
  <si>
    <t>BATTERIE 120AH VARTA BLINDEE</t>
  </si>
  <si>
    <t>3487GE01</t>
  </si>
  <si>
    <t>PNEU 385/65R22,5 SUMITOMO MIXT/TD 233573</t>
  </si>
  <si>
    <t>7357FL01</t>
  </si>
  <si>
    <t>PNEU 385/65R22,5 SUMITOMO MIXTE/ ZG413409</t>
  </si>
  <si>
    <t>1720JP01- 1161GH01</t>
  </si>
  <si>
    <t>PNEU 385/65R22,5 SUMITOMO MIXTE/ZG413314</t>
  </si>
  <si>
    <t>5091HZ01-3683JK01</t>
  </si>
  <si>
    <t>PNEU 385/65R22,5 SUMITOMO MIXTE/ZG413312</t>
  </si>
  <si>
    <t>1720JP01-1161GH01</t>
  </si>
  <si>
    <t>PNEU 385/65R22,5 SUMITOMO MIXTE/7ZG413306</t>
  </si>
  <si>
    <t>6335HV01</t>
  </si>
  <si>
    <t>PNEU 385/65R22,5 SUMITOMO MIXTE/ZG413324-ZG413327</t>
  </si>
  <si>
    <t>7916HC01</t>
  </si>
  <si>
    <t>PNEU 385/65R22,5 SUMITOMO MIXTE /SR264994</t>
  </si>
  <si>
    <t>PNEU 385/65R22,5 SUMITOMO MIXTE/ZG412563</t>
  </si>
  <si>
    <t>7598HE01-1099GJ01</t>
  </si>
  <si>
    <t>PNEU 385/65R22,5 SUMITOMO PD/UJ422515-UJ422412</t>
  </si>
  <si>
    <t>PNEU 385/65R22,5 SUMITOMO PD/EH414634</t>
  </si>
  <si>
    <t>3100JH01</t>
  </si>
  <si>
    <t>PNEU 385/65R22,5 SUMITOMO PD/UJ422597</t>
  </si>
  <si>
    <t>PNEU 385/65R22,5 SUMITOMO MIXTE / SR264760</t>
  </si>
  <si>
    <t>3222FL01</t>
  </si>
  <si>
    <t>PNEU 385/65R22,5 SUMITOMO PD/UJ42507</t>
  </si>
  <si>
    <t>PAYE CHEQUE N'8630519 SIB</t>
  </si>
  <si>
    <t>4748JC01</t>
  </si>
  <si>
    <t>PNEU 385/65R22,5 SUMITOMO MIXTE/ZG413407</t>
  </si>
  <si>
    <t>PNEU 385/65R22,5 SUMITOMO MIXTE/SR264924</t>
  </si>
  <si>
    <t>JANTE 22,5 + COLAGE</t>
  </si>
  <si>
    <t>1720JP01-1161JH01</t>
  </si>
  <si>
    <t>PNEU 385/65R22,5 SUMITOMO MIXTE/SR264700</t>
  </si>
  <si>
    <t>PNEU 445/65R22,5 DUNLOP MIXTE/ED400124</t>
  </si>
  <si>
    <t>PNEU 445/65R22,5 DUNLOP MIXTE/ED400128</t>
  </si>
  <si>
    <t>24/02/202</t>
  </si>
  <si>
    <t>PNEU 445/65R22,5 DUNLOP MIXTE/TL400713</t>
  </si>
  <si>
    <t>1722JP01</t>
  </si>
  <si>
    <t>PNEU 295/80R22,5 DUNLOP PD/TL 465696</t>
  </si>
  <si>
    <t>PNEU 315/80R22,5 SUMITOMO MIXTE/ZG 232269</t>
  </si>
  <si>
    <t>PNEU 385/65R22,5 SUMITOMO MIXTE/SR 264932</t>
  </si>
  <si>
    <t>PNEU 445/65R22,5 DUNLOP MIXTE/QN 400207</t>
  </si>
  <si>
    <t>PNEU 315/80R22,5 SUMITOMO MIXTE/TD 233580</t>
  </si>
  <si>
    <t>PNEU 385/65R22,5 SUMITOMO PD/GF 4114557</t>
  </si>
  <si>
    <t>6742FY01-1099GJ01</t>
  </si>
  <si>
    <t>PNEU 385/65R22,5 SUMITOMO PD/ZG 411291</t>
  </si>
  <si>
    <t>PNEU 385/65R22,5 SUMITOMO PD/ UJ 422612</t>
  </si>
  <si>
    <t>PNEU 315/80R22,5 SUMITOMO MIXTE/TD233517</t>
  </si>
  <si>
    <t>PNEU 385/65R22,5 SUMITOMO PD/UJ422619</t>
  </si>
  <si>
    <t>2166JH01-3891JH01</t>
  </si>
  <si>
    <t>PNEU 315/80R22,5 SUMITOMO MIXTE/TD 232555</t>
  </si>
  <si>
    <t>PNEU 385/65R22,5 SUMITOMO PD/UJ 410585</t>
  </si>
  <si>
    <t>PNEU 445/65R22,5 DUNLOP MIXTE/ED400125</t>
  </si>
  <si>
    <t>3487JE01-</t>
  </si>
  <si>
    <t>PNEU 315/80R22,5 SUMITOMO MIXTE/TD 233443</t>
  </si>
  <si>
    <t>5151HX01-1099GJ01</t>
  </si>
  <si>
    <t>PNEU 385/65R22,5 SUMITOMO PD/RZ 410802</t>
  </si>
  <si>
    <t>PNEU 315/80R22,5 SUMITOMO MIXTE/ TD 233292</t>
  </si>
  <si>
    <t>PNEU 385/65R22,5 SUMITOMO PD/RZ410847</t>
  </si>
  <si>
    <t>PNEU 385/65R22,5 SUMITOMO PD/ ZQ411592</t>
  </si>
  <si>
    <t xml:space="preserve"> </t>
  </si>
  <si>
    <t>PAYE CHEQUE N'8630532</t>
  </si>
  <si>
    <t>PNEU 445/65R22,5 DUNLOPMIXTE /TC400715</t>
  </si>
  <si>
    <t>7358HY01</t>
  </si>
  <si>
    <t>PNEU 385/65R22,5 SUMITOMO PD/UJ422512</t>
  </si>
  <si>
    <t>5151HX01</t>
  </si>
  <si>
    <t>BATTERIE 120AH VARTA BLINDEE/0226-0227</t>
  </si>
  <si>
    <t>PNEU 315/80R22,5 SUMITOMO MIXTE/TD 233586</t>
  </si>
  <si>
    <t>PNEU 315/80R22,5 SUMITOMO MIXTE/TD233437</t>
  </si>
  <si>
    <t>3107HE01</t>
  </si>
  <si>
    <t>PNEU 385/65R22,5 SUMITOMO PD/ ZG411293</t>
  </si>
  <si>
    <t xml:space="preserve"> 7598HE01</t>
  </si>
  <si>
    <t>PNEU 385/65R22,5 SUMITOMO PD /ZG411288</t>
  </si>
  <si>
    <t>2807GK01</t>
  </si>
  <si>
    <t>BATTERIE 120AH VARTA BLINDEE /827-817</t>
  </si>
  <si>
    <t>PNEU 385/65R22,5 GOLDSHILD/H1911A17840</t>
  </si>
  <si>
    <t>7070HV01</t>
  </si>
  <si>
    <t>PNEU 315/80R22,5 SUMITOMO MIXTE/TD23331</t>
  </si>
  <si>
    <t>PNEU 385/65R22,5 KELLY MIXTE/7942158400</t>
  </si>
  <si>
    <t>3796HV01</t>
  </si>
  <si>
    <t>PNEU 315/80R22,5 DUNLOP PD/ZG234485</t>
  </si>
  <si>
    <t>PNEU 385/65R22,5 KELLY MIXTE/7942158191</t>
  </si>
  <si>
    <t>6742FY01-6156JH01</t>
  </si>
  <si>
    <t>PNEU 295/80R22,5 DUNLOP PD/QN 463625</t>
  </si>
  <si>
    <t>2013JP01-8443JF01</t>
  </si>
  <si>
    <t>PNEU 315/80R22,5 DUNLOP PD/ZG235476</t>
  </si>
  <si>
    <t>BATTERIE 120AH VARTA BLINDEE-219-291</t>
  </si>
  <si>
    <t>3487JE01-7453HP01</t>
  </si>
  <si>
    <t>PNEU 385/65R22,5 KELLY MIXTE/794258113</t>
  </si>
  <si>
    <t>BATTERIE 120AH PACER/PA009120</t>
  </si>
  <si>
    <t>BATTERIE 120AH PACER/PA9126-9159</t>
  </si>
  <si>
    <t>2807GK01-AR 01</t>
  </si>
  <si>
    <t>PNEU 385/65R22,5 KELLY/7942027327</t>
  </si>
  <si>
    <t>6335HV01-AR 02</t>
  </si>
  <si>
    <t>PNEU 385/65R22,5 KELY MIXTE/794021142</t>
  </si>
  <si>
    <t>PNEU 315/80R22,5 DUNLOP MIXTE/SR202685</t>
  </si>
  <si>
    <t>6742FY01-AR 03</t>
  </si>
  <si>
    <t>PNEU 385/65R22,5 KELLY MIXTE/7942021138</t>
  </si>
  <si>
    <t>3107HE01-AR 04</t>
  </si>
  <si>
    <t>PNEU 385/65R22,5 KELLY MIXTE/7942158401</t>
  </si>
  <si>
    <t>1693HT01-AR 05</t>
  </si>
  <si>
    <t>PNEU 385/65R22,5 KELLY MIXTE/794158116</t>
  </si>
  <si>
    <t>4097JY01-9675JP01-AR 06</t>
  </si>
  <si>
    <t>PNEU 385/65R22,5 KELLY MIXTE/7942158117</t>
  </si>
  <si>
    <t>7070HV01-AR 07</t>
  </si>
  <si>
    <t>PNEU 315/80R22,5 DUNLOP MIXTE/EH264028</t>
  </si>
  <si>
    <t>CHEQUE N'8630545</t>
  </si>
  <si>
    <t>PNEU 315/80R22,5 DUNLOP PD/ZG234478</t>
  </si>
  <si>
    <t>7598HE01-AR 08</t>
  </si>
  <si>
    <t>PNEU 385/65R22,5 KELLY MIXTE/7942114673</t>
  </si>
  <si>
    <t>BATTERIE 120AH PACER /PA-9148-9149</t>
  </si>
  <si>
    <t>BATTERIE 120AH PACER/PA-9150-9139</t>
  </si>
  <si>
    <t>4748JC01-AR 09</t>
  </si>
  <si>
    <t>PNEU 385/65R22,5 KELLY MIXTE/7942158444</t>
  </si>
  <si>
    <t>3995HE01-AR 10</t>
  </si>
  <si>
    <t>PNEU 385/65R22,5 KELLY MIXTE/7942158565</t>
  </si>
  <si>
    <t>PNEU 315/80R22,5 DUNLOP MIXTE/EH264003</t>
  </si>
  <si>
    <t>PNEU 385/65R22,5 KELLY MIXTE/7942158404</t>
  </si>
  <si>
    <t>9161JG01</t>
  </si>
  <si>
    <t>BATTERIE 120AH PACER/PA-9141-PA6464</t>
  </si>
  <si>
    <t>SUPPORT DE BATTERIE</t>
  </si>
  <si>
    <t>PNEU 315/70R22,5 MICHLEN /RHA03663B</t>
  </si>
  <si>
    <t>PNEU 315/80R22,5 DUNLOP MIXTE/ EC252081</t>
  </si>
  <si>
    <t>PNEU 295/80R22,5 DUNLOP PD/QN63630</t>
  </si>
  <si>
    <t>PNEU 295/80R22,5 SUMITOMO PD/TL465697</t>
  </si>
  <si>
    <t>PNEU 385/65R2,5 KELLY MIXTE/794114650</t>
  </si>
  <si>
    <t>PNEU 315/80R22,5 DUNLOP MIXTE/EC252084</t>
  </si>
  <si>
    <t>PNEU 315/80R22,5 DUNLOP MIXTE/EC252181</t>
  </si>
  <si>
    <t>PNEU 385/65R22,5 DUNLOP MIXTE/EG421405</t>
  </si>
  <si>
    <t>PNEU 385/65R22,5 DUNLOP MIXTE/EC260117</t>
  </si>
  <si>
    <t>PNEU 315/80R22,5 DUNLOP MIXTE/EC252127</t>
  </si>
  <si>
    <t>PNEU 385/65R22,5 DUNLOP MIXTE/EC421401</t>
  </si>
  <si>
    <t>PNEU 315/80R22,5 DUNLOP MIXTE/AN442089</t>
  </si>
  <si>
    <t>PNEU 385/65R22,5 DUNLOP MIXTE/EC421586</t>
  </si>
  <si>
    <t>CHEQUE N'8630560</t>
  </si>
  <si>
    <t>DONE A HARONA</t>
  </si>
  <si>
    <t>2166JH01/3891JH01.AR 15</t>
  </si>
  <si>
    <t>PNEU 385/65R22.5 APLUS/200402918+20040218</t>
  </si>
  <si>
    <t>PNEU 315/80R22.5 LANIVIGATOR/W004023658</t>
  </si>
  <si>
    <t>PNEU 385/65R22.5 DUNLOP MIXTE/EC421451</t>
  </si>
  <si>
    <t>PNEU 315/80R22.5 DUNLOP MIXTE/EC252006</t>
  </si>
  <si>
    <t>2013JP01-AR 11</t>
  </si>
  <si>
    <t>PNEU 385/65R22.5 DUNLOP MIXTE/EC421396</t>
  </si>
  <si>
    <t>BATTERIE 150AH PACER /PA001518.PA001519</t>
  </si>
  <si>
    <t>BATTERIE 150AH PACER/PA001554.PA001557</t>
  </si>
  <si>
    <t>BATTERIE 150AH PACER/PA001541.PA001568</t>
  </si>
  <si>
    <t>BATTERIE 150AH PACER /PA001548.PA001545</t>
  </si>
  <si>
    <t>2013JP01.AR 11</t>
  </si>
  <si>
    <t>PNEU 385/65R22.5 BRIDGESTONE/M05301890</t>
  </si>
  <si>
    <t>9069JF01</t>
  </si>
  <si>
    <t xml:space="preserve">PNEU 385/65R22.5 DUNLOP/EC421446 </t>
  </si>
  <si>
    <t>1693HT01</t>
  </si>
  <si>
    <t>PNEU 315/80R22,5 SUMITOMO MIXTE/SL440402-440422</t>
  </si>
  <si>
    <t>4096JY01</t>
  </si>
  <si>
    <t>BATTERIE 150AH PACER /PA001559-1566</t>
  </si>
  <si>
    <t>4703JY01</t>
  </si>
  <si>
    <t>BATTERIE 150AH PACER/PA001615-1622</t>
  </si>
  <si>
    <t>PNEU 385/65R22,5 DUNLOP PD/EC260455</t>
  </si>
  <si>
    <t>1720JP01-AR 17</t>
  </si>
  <si>
    <t>PNEU 385/65R22,5 DUNLOP PD/EC260190</t>
  </si>
  <si>
    <t>2689JS01-P N'01</t>
  </si>
  <si>
    <t>PNEU 385/65R22,5 SUMITOMO MIXTE/</t>
  </si>
  <si>
    <t>PNEU 385/65R22,5 KELLY PD</t>
  </si>
  <si>
    <t>2557JZ01 AV -3940JZ01 AR</t>
  </si>
  <si>
    <t>BATTERIE 200AH PACER BLINDEE/PA002461</t>
  </si>
  <si>
    <t>BATTERIE 150AH PACER BLINDEE/PA005945</t>
  </si>
  <si>
    <t>FORD</t>
  </si>
  <si>
    <t>BATTERIE 95AH PACER BLINDEE</t>
  </si>
  <si>
    <t>1720JP01</t>
  </si>
  <si>
    <t>PNEU 295/80R22,5 DUNLOP PD/SR468479</t>
  </si>
  <si>
    <t>PNEU 315/80R22.5 DUNLOP MIXTE/SL440465</t>
  </si>
  <si>
    <t>BATTERIE 150AH PACER BLINDEE/PA005949</t>
  </si>
  <si>
    <t>PNEU 385/65R22.5 GOLDDOVE/21A79016§22A79098</t>
  </si>
  <si>
    <t>CHEQUE N"8630590 SIB</t>
  </si>
  <si>
    <t>PNEU 315/80R22.5 DUNLOP PD/GD232124-211229</t>
  </si>
  <si>
    <t>4097JY01-9397KB01-AR 18</t>
  </si>
  <si>
    <t>PNEU 385/65R22.5 KELLY MIXTE/7948367527</t>
  </si>
  <si>
    <t>PNEU 315/70R22,5 KAPSEN/1911121269</t>
  </si>
  <si>
    <t>6335HV01-AR.02</t>
  </si>
  <si>
    <t>PNEU 385/65R22,5 KELLY MIXTE/7948367125</t>
  </si>
  <si>
    <t>BATTERIE 150AH PACER/PA005999-PA005997</t>
  </si>
  <si>
    <t>5151HX01-AR 19</t>
  </si>
  <si>
    <t>PNEU 315/80R22,5 SUMITOMO MIXTE/YQ44394-SL440099</t>
  </si>
  <si>
    <t>BATTERIE 150AH PACER BLINDEE/PA005995</t>
  </si>
  <si>
    <t>MAIRIE</t>
  </si>
  <si>
    <t xml:space="preserve"> 07/11/2020</t>
  </si>
  <si>
    <t>PNEU 385/65R22,5 KELLY PD/36103101</t>
  </si>
  <si>
    <t>PNEU 385/65R22,5 KELLY PD/35917262</t>
  </si>
  <si>
    <t>PNEU 385/65R22,5 KELLY MIXTE/7948373617</t>
  </si>
  <si>
    <t>PNEU 385/65R22,5 DUNLOP PD/EC261088</t>
  </si>
  <si>
    <t>PNEU 315/80R22,5 DUNLOP PD/GD211608-GD232123</t>
  </si>
  <si>
    <t>-</t>
  </si>
  <si>
    <t>2166JH01-4518JY01</t>
  </si>
  <si>
    <t>PNEU 315/80R22,5 SUMITOMO MIXTE/GD234820-GD234969</t>
  </si>
  <si>
    <t>PNEU 315/80R22,5 DUNLOP MIXTE/EC252764-252748</t>
  </si>
  <si>
    <t>4704JY01-4666KC01-AR 20</t>
  </si>
  <si>
    <t>PNEU 385/65R22,5 DUNLOP MIXTE/YQ430303</t>
  </si>
  <si>
    <t>BATTERIE 150AH CONTINANTAL BLINDEE/</t>
  </si>
  <si>
    <t>1693HT01-P-AR 04</t>
  </si>
  <si>
    <t>PNEU 315/80R22,5 MIXTE /</t>
  </si>
  <si>
    <t>1693HT01-P AR04</t>
  </si>
  <si>
    <t>3487JE01-AR 09</t>
  </si>
  <si>
    <t>PNEU 385/65R22,5 DUNLOP MIXTE/YQ430359</t>
  </si>
  <si>
    <t>8069GF01-9625KB01 AR21</t>
  </si>
  <si>
    <t>PNEU 385/65R22,5 DUNLOP MIXTE/EC421321</t>
  </si>
  <si>
    <t>4069JY01-5060GH01-AR22</t>
  </si>
  <si>
    <t>PNEU 385/65R22,5 DUNLOP MIXTE/EC261074</t>
  </si>
  <si>
    <t>PNEU 385/65R22,5 DUNLOP PD/YQ263817</t>
  </si>
  <si>
    <t>6335HV01-AR13</t>
  </si>
  <si>
    <t>PNEU 385/65R22.5 DUNLOP/AN262919</t>
  </si>
  <si>
    <t>3100JH01-8060JF01-AR 23</t>
  </si>
  <si>
    <t>PNEU 385/65R22.5 DUNLOP/EC261073</t>
  </si>
  <si>
    <t>PNEU 295/80R22,5 DUNLOP PB/QN463615</t>
  </si>
  <si>
    <t>CHEQUE N'8630629</t>
  </si>
  <si>
    <t>PNEU 385/65R22,5 DUNLOP MIXTE/YQ430357</t>
  </si>
  <si>
    <t>2608JZ01-AR17</t>
  </si>
  <si>
    <t>PNEU 385/65R22,5 DUNLOP MIXTE/YQ430267</t>
  </si>
  <si>
    <t>PNEU 385/65R22,5 DUNLOP PD/YO263814</t>
  </si>
  <si>
    <t>PNEU 315/80R22,5 SUMITOMO MIXTE/GD234991</t>
  </si>
  <si>
    <t>PNEU 295/80R22,5 SUMITOMO PD/TL465679-TL453760</t>
  </si>
  <si>
    <t>8069JF01-9652KB01-AR21</t>
  </si>
  <si>
    <t>PNEU 385/65R22,5 DUNLOP MIXTE/YQ431435</t>
  </si>
  <si>
    <t>3487JE01-AR 10</t>
  </si>
  <si>
    <t>PNEU 385/65R22,5 DUNLOP MIXTE/ YQ430337</t>
  </si>
  <si>
    <t>4096JY01-9652KB01-AR21</t>
  </si>
  <si>
    <t>PNEU 385/65R22,5 DUNLOP MIXTE/YQ430300</t>
  </si>
  <si>
    <t>4097JY01-AR4022JY01</t>
  </si>
  <si>
    <t>PNEU 315/80R22,5 SUMITOMO MIXTE/GD234829</t>
  </si>
  <si>
    <t>1722JP01-AR 1056KA01</t>
  </si>
  <si>
    <t>PNEU 11R22,5 BRIDGESTONE R187/M9A227371</t>
  </si>
  <si>
    <t>2166JH01-3891JH01-AR 15</t>
  </si>
  <si>
    <t>PNEU 385/65R22,5 DUNLOP MIXTE/YQ430418</t>
  </si>
  <si>
    <t>PNEU 385/65R22,5 DUNLOP MIXTE/YQ430362</t>
  </si>
  <si>
    <t>1722JP01-1899KB01/AR 24</t>
  </si>
  <si>
    <t>PNEU 385/65R22,5 DUNLOP MIXTE/YQ430367</t>
  </si>
  <si>
    <t>3995HE01-P4254FK01</t>
  </si>
  <si>
    <t>PNEU 315/80R22,5 SUNMITOMO MIXTE/YQ441057</t>
  </si>
  <si>
    <t>PNEU 385/65R22,5 DUNLOP MIXTE/YQ431432</t>
  </si>
  <si>
    <t>PNEU 385/65R22,5 DUNLOP PD/YQ264055</t>
  </si>
  <si>
    <t>4703JY01-</t>
  </si>
  <si>
    <t>4703JY01-1898KB01-AR 25</t>
  </si>
  <si>
    <t>PNEU 385/65R22,5 KELLY MIXTE/7958785508</t>
  </si>
  <si>
    <t>2608JZ01-6156JH01-AR 26</t>
  </si>
  <si>
    <t>PNEU 385/65R22,5 KELLY MIXTE /7958803941</t>
  </si>
  <si>
    <t>PNEU 315/80R22,5 SUMITOMO MIXTE/YQ443030-443334</t>
  </si>
  <si>
    <t>2557JZ01 AV-3683JK01/AR14</t>
  </si>
  <si>
    <t>PNEU 385/65R22,5 KELLY/7958803952</t>
  </si>
  <si>
    <t xml:space="preserve">ESPECES 11- BATTERIES GATE </t>
  </si>
  <si>
    <t>3796HV01-AR 09</t>
  </si>
  <si>
    <t>PNEU 385/65R22,5 KELLY MIXTE/7958796147</t>
  </si>
  <si>
    <t>3222FL01-AR 01</t>
  </si>
  <si>
    <t>PNRU 385/65R22,5 DUNLOP MIXTE/YQ431422</t>
  </si>
  <si>
    <t>PNEU 295/80R22,5 SUMITOMO PD/TL453735</t>
  </si>
  <si>
    <t>PNEU 295/80R22,5 SUMITOMO PD/TL453731</t>
  </si>
  <si>
    <t>PNEU 315/80R22,5 SUMITOMO MIXTE/GD234975</t>
  </si>
  <si>
    <t>7598HE01-AR26</t>
  </si>
  <si>
    <t>PNEU 385/65R22,5 SUMITOMO MIXTE/YQ430850</t>
  </si>
  <si>
    <t>BATTERIE 150AH SUPER FREE/0067-0091</t>
  </si>
  <si>
    <t>32222FL01</t>
  </si>
  <si>
    <t>BATTERIE 150AH SUPER FREE/0073</t>
  </si>
  <si>
    <t>2013JP01-8443JF01-AR11</t>
  </si>
  <si>
    <t>PNEU 385/65R22,5 DUNLOP MIXTE/YQ430895</t>
  </si>
  <si>
    <t>PNEU 295/80R22,5 SUMITOMO PD/TL465695-453733-465668</t>
  </si>
  <si>
    <t>PNEU 295/80R22,5 SUMITOMO/TL465919</t>
  </si>
  <si>
    <t>HONDA</t>
  </si>
  <si>
    <t>PNEU 315/80R22,5 DUNLOP MIXTE/EC252647</t>
  </si>
  <si>
    <t>BATTERIE 45AH PACER BLINDEE</t>
  </si>
  <si>
    <t>CHEQUE N'8630658</t>
  </si>
  <si>
    <t>BATTERIE 150AH ESAN BLINDEE</t>
  </si>
  <si>
    <t>6699HU01-3524FY01-AR27</t>
  </si>
  <si>
    <t>PNEU 385/65R22,5 SUMITOMO MIXTE/YQ430900</t>
  </si>
  <si>
    <t>4703JY01-1898KB01-AR 29</t>
  </si>
  <si>
    <t>PNEU 385/65R22,5 DUNLOP/YQ264069</t>
  </si>
  <si>
    <t>7358HY01-6306HB01-AR28</t>
  </si>
  <si>
    <t>PNEU 385/65R22,5 DUNLOP /YQ263887-EC261091</t>
  </si>
  <si>
    <t>PNEU 385/65R22,5 DUNLOP PD/ YQ431424</t>
  </si>
  <si>
    <t>4703JYO1-1898KB01-AR 29</t>
  </si>
  <si>
    <t>PNEU 385/65R22,5 DUNLOP MIXTE/YQ430420</t>
  </si>
  <si>
    <t>PNEU 385/65R22,5 SUMITOMO MIXTE/YQ430825</t>
  </si>
  <si>
    <t xml:space="preserve">4704JY01 </t>
  </si>
  <si>
    <t>PNEU 315/80R22,5 SUMITOMO MIXTE/SL440184</t>
  </si>
  <si>
    <t>PNEU 315/80R22,5 SUMITOMO MIXTE/SL440478-GD234259</t>
  </si>
  <si>
    <t>2013JP01-4254KS01-</t>
  </si>
  <si>
    <t>PNEU 385/65R22,5 SUMITOMO MIXTE</t>
  </si>
  <si>
    <t>PNEU 315/80R22,5 SUMITOMO /GD234506</t>
  </si>
  <si>
    <t>PNEU 315/80R22,5 DUNLOP /EC252708</t>
  </si>
  <si>
    <t>1722JP01-AR 24</t>
  </si>
  <si>
    <t>PNEU 385/65R22,5 SUMITOMO /AN 412658</t>
  </si>
  <si>
    <t>8069JF01-AR30</t>
  </si>
  <si>
    <t>PNEU 385/65R22,5 SUMITOMO /AN 413196</t>
  </si>
  <si>
    <t>7403JY01-AR 29</t>
  </si>
  <si>
    <t>PNEU 385/65R22,5 DUNLOP /YQ430421</t>
  </si>
  <si>
    <t>1693HT01-AR 16</t>
  </si>
  <si>
    <t>PNEU 385/65R22,5 DUNLOP /YQ4303339</t>
  </si>
  <si>
    <t>3395JC01</t>
  </si>
  <si>
    <t>6699HU01</t>
  </si>
  <si>
    <t>PNEU 385/65R22,5 SUMITOMO MIXTE/YQ430901</t>
  </si>
  <si>
    <t>1693HT01-AR16</t>
  </si>
  <si>
    <t>PNEU 385/65R22,5 DUNLOP MIXTE/YQ430280</t>
  </si>
  <si>
    <t>6742FY01-AR 30</t>
  </si>
  <si>
    <t>PNEU 385/65R22,5 DUNLOP MIXTE/YQ431426</t>
  </si>
  <si>
    <t>PNEU 295/80R22,5 SUMITOMO PD/TL453737</t>
  </si>
  <si>
    <t>5091HZ01-AR13</t>
  </si>
  <si>
    <t>PNEU 385/65R22,5 SUMITOMO MIXTE/AN413197</t>
  </si>
  <si>
    <t>3995HE01-AR 04</t>
  </si>
  <si>
    <t>PNEU 385/65R22,5 SUMITOMO MIXTE/AN 413208</t>
  </si>
  <si>
    <t>PNEU 385/65R22,5 SUMITOMO MIXTE/YQ430902</t>
  </si>
  <si>
    <t>3995JC - AR 18</t>
  </si>
  <si>
    <t>PNEU 385/65R22,5 DUNLOP MIXTE/YQ430319-431455</t>
  </si>
  <si>
    <t>4096JY01-</t>
  </si>
  <si>
    <t>PNEU 295/80R22,5 SUMITOMO PD/TL465684</t>
  </si>
  <si>
    <t>2028JZ01</t>
  </si>
  <si>
    <t>PNEU 315/80R22,5 SUMITOMO MIXTE/YQ440519-GD235116</t>
  </si>
  <si>
    <t>4097JY01-AR 29</t>
  </si>
  <si>
    <t>PNEU 385/65R22,5 DUNLOP MIXTE/EC421458</t>
  </si>
  <si>
    <t xml:space="preserve">JANTE 385/65R22,5 </t>
  </si>
  <si>
    <t>3395JC01-AR 18</t>
  </si>
  <si>
    <t>PNEU 385/65R22,5 SUMITOMO/AN 413256</t>
  </si>
  <si>
    <t>7070HV01-AR 02</t>
  </si>
  <si>
    <t>PNEU 385/65R22,5 SUMITOMO/YQ430914</t>
  </si>
  <si>
    <t>PNEU 385/65R22,5 SUMITOMO/YQ430905</t>
  </si>
  <si>
    <t>PNEU 385/65R22,5 SUMITOMO /AN 413199</t>
  </si>
  <si>
    <t>4703JY01-AR06</t>
  </si>
  <si>
    <t>PNEU 385/65R22,5 KELLY/794845217</t>
  </si>
  <si>
    <t>PNEU 315/80R22,5 DUNLOP/EC252580</t>
  </si>
  <si>
    <t>PNEU 385/65R22,5 DUNLOP /YQ430313</t>
  </si>
  <si>
    <t>PNEU 315/80R22,5 SUMITOMO MIXTE</t>
  </si>
  <si>
    <t>PNEU 315/80R22,5 DUNLOP MIXTE</t>
  </si>
  <si>
    <t>CHEQUE N'8630675</t>
  </si>
  <si>
    <t>6699HU01-AR 05</t>
  </si>
  <si>
    <t>PNEU 385/65R22,5 KELLY/7948453482</t>
  </si>
  <si>
    <t>2013JE01</t>
  </si>
  <si>
    <t>4704JY01-AR 20</t>
  </si>
  <si>
    <t>PNEU 385/65R22,5 KELY MIXTE/794845181</t>
  </si>
  <si>
    <t>4704JY01</t>
  </si>
  <si>
    <t>PNEU 315/80R22,5 SUMITOMO MIXTE/EC444084</t>
  </si>
  <si>
    <t>PNEU 385/65R22,5 KELLY MIXTE/7948453461</t>
  </si>
  <si>
    <t>PNEU 385/65R22,5 KELLY MIXTE/7956084125</t>
  </si>
  <si>
    <t>PNEU 295/80R22,5 SUMITOMO PD/YZ462684</t>
  </si>
  <si>
    <t>PNEU 315/80R22,5 SUMITOMO MIXTE/EC444114-YQ441067</t>
  </si>
  <si>
    <t>4096JY01-AR 21</t>
  </si>
  <si>
    <t>PNEU 385/65R22,5 KELLY MIXTE/795896144</t>
  </si>
  <si>
    <t>PNEU 315/80R22,5 SUMITOMO MIXTE/YQ443625-YQ440629</t>
  </si>
  <si>
    <t>PNEU 385/65R22,5 KELLY MIXTE/35774386</t>
  </si>
  <si>
    <t>BATTERIE 150AH GT POWER/</t>
  </si>
  <si>
    <t>3100JH01-AR 23</t>
  </si>
  <si>
    <t>PNEU 385/65R22,5 KELLY MIXTE/ 7956084158</t>
  </si>
  <si>
    <t>PNEU 385/65R22,5 KELLY MIXTE/ 7956084095</t>
  </si>
  <si>
    <t>4707JY01</t>
  </si>
  <si>
    <t>AD BLUE 18L</t>
  </si>
  <si>
    <t>2608JZ01-AR18</t>
  </si>
  <si>
    <t>PNEU 385/65R22,5 KELLY MIXTE/7958796141</t>
  </si>
  <si>
    <t>PNEU 385/65R22,5 KELLY MIXTE/7958803135</t>
  </si>
  <si>
    <t>PNEU 295/80R22,5 DUNLOP PD/R7450803-QN468974</t>
  </si>
  <si>
    <t>3995HE01-AR 01</t>
  </si>
  <si>
    <t>PNEU 385/65R22,5 KELLY PD/35773971</t>
  </si>
  <si>
    <t>2166JH01-AR 15</t>
  </si>
  <si>
    <t>PNEU 385/65R22,5 KELLY MIXTE/7958803128</t>
  </si>
  <si>
    <t>1720JP01-AR13</t>
  </si>
  <si>
    <t>PNEU 385/65R22,5 KELLY MIXTE/7948451780</t>
  </si>
  <si>
    <t>PNEU 385/65R22,5 KELLY MIXTE/7948453433</t>
  </si>
  <si>
    <t>PNEU 315/80R22,5 SUMITOMO MIXTE/EC444077</t>
  </si>
  <si>
    <t>PNEU 385/65R22,5 KELLY PD/36103128-3610342</t>
  </si>
  <si>
    <t>PNEU 295/80R22,5 DUNLOP/RZ450823-EH464354</t>
  </si>
  <si>
    <t>JANTE 315/80R22,5 OCASION</t>
  </si>
  <si>
    <t>JANTE 385/65R22,5 OCASION</t>
  </si>
  <si>
    <t>PNEU 315/80R22,5 SUMITOMO MIXTE/YQ4436969</t>
  </si>
  <si>
    <t>PNEU 385/65R22,5 KELLY MIXTE/794854240</t>
  </si>
  <si>
    <t>6699HU01-AR27</t>
  </si>
  <si>
    <t>PNEU 385/65R22,5 KELLY MIXTE/ 7948454178</t>
  </si>
  <si>
    <t>PNEU 315/80R22,5 SUMITOMO MIXTE/YQ443599-YQ44C476</t>
  </si>
  <si>
    <t>PNEU 315/80R22,5 SUMITOMO MIXTE/EC444136</t>
  </si>
  <si>
    <t>LAVAGE AUTO</t>
  </si>
  <si>
    <t>2166JH0-AR 31</t>
  </si>
  <si>
    <t>PNEU 385/65R22,5 KELLY MIXTE/794845180</t>
  </si>
  <si>
    <t>CHEQUE N'8630693</t>
  </si>
  <si>
    <t>3495JJ01-AR 15</t>
  </si>
  <si>
    <t>PNEU 385/65R22,5 KELLY MIXTE/7958803127</t>
  </si>
  <si>
    <t>3100JH01-</t>
  </si>
  <si>
    <t>PNEU 315/80R22,5 SUMITOMO MIXTE/YQ442764</t>
  </si>
  <si>
    <t>PNEU 315/80R22,5 SUMITOMO MIXTE/YQ441058</t>
  </si>
  <si>
    <t>5151HX01-AR17</t>
  </si>
  <si>
    <t>PNEU 385/65R22,5 KELLY MIXTE/7956084097</t>
  </si>
  <si>
    <t>7358HY01-AR 28</t>
  </si>
  <si>
    <t>PNEU 385/65R22,5 KELLY MIXTE/7958803548</t>
  </si>
  <si>
    <t>PNEU 385/65R22,5 KELLY MIXTE/7958803547</t>
  </si>
  <si>
    <t>8069JF01</t>
  </si>
  <si>
    <t>PNEU 315/80T22,5 SUMITOMO MIXTE/EC444132</t>
  </si>
  <si>
    <t>PNEU 315/80R22,5 SUMITOMO MIXTE/YQ440483</t>
  </si>
  <si>
    <t>2608JZ01-AR 26</t>
  </si>
  <si>
    <t>PNEU 385/65R22,5 KELLY PD/35774887</t>
  </si>
  <si>
    <t>PNEU 385/65R22,5 KELLY PD/35712394</t>
  </si>
  <si>
    <t>PNEU 295/80R22,5 SUMITOMO PD/TL453652</t>
  </si>
  <si>
    <t>1893KN01</t>
  </si>
  <si>
    <t>4096JY021</t>
  </si>
  <si>
    <t>PNEU 385/65R22,5 KELLY PD/35794532-35774890</t>
  </si>
  <si>
    <t>PNEU 13R22,5 SUMITOMO MIXTE/SL251188-SL251171</t>
  </si>
  <si>
    <t>6699HU01_AR16</t>
  </si>
  <si>
    <t>PNEU 385/65R22.5 KELLY /7958803685</t>
  </si>
  <si>
    <t>BATTERIE 1501H CONTINANTAL</t>
  </si>
  <si>
    <t>1893KN01-AR 31</t>
  </si>
  <si>
    <t>PNEU 385/65R22.5 KELLY /35712410.7958796143</t>
  </si>
  <si>
    <t>2608JZ01-AR32</t>
  </si>
  <si>
    <t>PNEU 385/65R22.5 KELLY/3579452</t>
  </si>
  <si>
    <t>PNEU 385/65R22.5 KELLY/7948454142-7948441605</t>
  </si>
  <si>
    <t>PNEU 385/65R22.5 KELLY / 35774697-7948451771</t>
  </si>
  <si>
    <t xml:space="preserve">5151HX01-AR 12 </t>
  </si>
  <si>
    <t>PNEU 315/80R22.5 SUMITOMO/EC 444070</t>
  </si>
  <si>
    <t>PNEU 315/80R22.5 SUMITOMO/ YQ442266-YQ443636</t>
  </si>
  <si>
    <t>7598HE01-AR 09</t>
  </si>
  <si>
    <t>PNEU 385/65R22.5 KELLY /7948451773</t>
  </si>
  <si>
    <t>2608JZO1</t>
  </si>
  <si>
    <t>2895JH01-AR 04</t>
  </si>
  <si>
    <t>PNEU 385/65R22.5 KELLY/35774426</t>
  </si>
  <si>
    <t>3222FL01-AR 33</t>
  </si>
  <si>
    <t>PNEU 425/65R22.5 DUNLOP / AT430074</t>
  </si>
  <si>
    <t>PNEU 385/65R22.5 KELLY/ 7948452640</t>
  </si>
  <si>
    <t>8069JF01-AR 10</t>
  </si>
  <si>
    <t>PNEU 385/65R22.5 APLUS/W104238905</t>
  </si>
  <si>
    <t>1034KN01-AR 34</t>
  </si>
  <si>
    <t>PNEU 385/65R22.5 APLUS /W104223092</t>
  </si>
  <si>
    <t>6699HU01-AR 35</t>
  </si>
  <si>
    <t>PNEU 385/65R22.5 SUMITOMO/EJ 432142</t>
  </si>
  <si>
    <t>2608JZ01-AR 32</t>
  </si>
  <si>
    <t>PNEU 385/65R22.5 APLUS/W104238604</t>
  </si>
  <si>
    <t>PNEU 385/65R22.5 SUMITOMO/EJ 432218</t>
  </si>
  <si>
    <t>7358HY01-28</t>
  </si>
  <si>
    <t>PNEU 385/65R22.5 APLUS/ W104238281</t>
  </si>
  <si>
    <t>1720JP01-AR17</t>
  </si>
  <si>
    <t>PNEU 385/65R22.5 APLUS/W104223099</t>
  </si>
  <si>
    <t>PNEU 295/80R22.5 GALLANT/15A1039</t>
  </si>
  <si>
    <t>4703JY01-AR 29</t>
  </si>
  <si>
    <t>PNEU 385/65R22.5 APLUS/W104223180</t>
  </si>
  <si>
    <t>PNEU 315/80R22.5 SUMITOMO MIXTE /YQ440324</t>
  </si>
  <si>
    <t>BATTERIE 1501H CONTINANTAL BLINDEE</t>
  </si>
  <si>
    <t>LIQUIDE DE REFROIDESSEMENT 5L</t>
  </si>
  <si>
    <t>PAYE CHEQUE N'8631080</t>
  </si>
  <si>
    <t>PNEU 315/80R22.5 TRACMAX / S125B20012</t>
  </si>
  <si>
    <t>PNEU 385/65R22.5 SUMITOMO PD/ EJ43222</t>
  </si>
  <si>
    <t>PNEU 315/80R22.5 TRACMAX / S118A35089</t>
  </si>
  <si>
    <t>PNEU 385/65R22.5 SUMITOMO PD/EJ432214</t>
  </si>
  <si>
    <t>PNEU 385/65R22.5 SUMITOMO PD / J432280</t>
  </si>
  <si>
    <t>PNEU 385/65R22,5 SUMITOMO PD/EJ432564</t>
  </si>
  <si>
    <t>PNEU 385/65R22,5 APLUS/W104092051</t>
  </si>
  <si>
    <t>PNEU 385/65R22,5 APLUS/W104033111</t>
  </si>
  <si>
    <t>PNEU 385/65R22,5 APLUS/W104171193-W10108893</t>
  </si>
  <si>
    <t>PNEU 315/80R22,5 MIXTE/08S12056</t>
  </si>
  <si>
    <t>PNEU 315/80R22,5 MIXTE/10S12034</t>
  </si>
  <si>
    <t>PNEU 385/65R22,5 APLUS/W101088598</t>
  </si>
  <si>
    <t>PNEU 315/80R22,5 WINMAX/S130H26055</t>
  </si>
  <si>
    <t>PNEU 385/65R22,5 APLUS/W101089565</t>
  </si>
  <si>
    <t>PNEU 385/65R22,5 APLUS/W101110199</t>
  </si>
  <si>
    <t>PNEU 385/65R22,5 APLUS/W101088865</t>
  </si>
  <si>
    <t>3395JC01-AR 24</t>
  </si>
  <si>
    <t>PNEU 385/65R22,5 APLUS/W101110545</t>
  </si>
  <si>
    <t>PNEU 315/80R22,5 DOUPRO/S039H23053</t>
  </si>
  <si>
    <t>PNEU 385/65R22,5 MIXTE/D127C65075</t>
  </si>
  <si>
    <t>PNEU 315/80R22,5 MIXTE/S132F25055-S132H06078</t>
  </si>
  <si>
    <t>COLAGE 02 PNEU</t>
  </si>
  <si>
    <t>PNEU 315/80R22,5 WINMAX/S130F06052</t>
  </si>
  <si>
    <t>4748JC01-AR 13</t>
  </si>
  <si>
    <t>PNEU 385/65R22,5 DRIVEMASTER/D127C65053</t>
  </si>
  <si>
    <t>7598HE01-AR 02</t>
  </si>
  <si>
    <t>PNEU 385/65R22,5 PD/D126A65109</t>
  </si>
  <si>
    <t>PNEU 13R22,5 APLUS GD/W104084110-104084841-104118579-104084780</t>
  </si>
  <si>
    <t>4096JY01-AR33</t>
  </si>
  <si>
    <t>PNEU 385/65R22,5 DRIVMASTER/D132A65019</t>
  </si>
  <si>
    <t>JANTE 385/65R22,5</t>
  </si>
  <si>
    <t>2068JZ01</t>
  </si>
  <si>
    <t>8069JF01-AR 15</t>
  </si>
  <si>
    <t>PNEU 385/65R22,5 MIXTEDRIVEMASTER/D127C65085</t>
  </si>
  <si>
    <t>PNEU 385/65R22,5 MIXTE DRIV MASTER/D131A65061</t>
  </si>
  <si>
    <t>PNEU 385/65R22,5 MIXTEDRIVMASTER/D118C75086</t>
  </si>
  <si>
    <t>PNEU 315/80R22,5 MIXTE/314A1209</t>
  </si>
  <si>
    <t>PNEU 315/80R22,5 MIXTE/1111140215</t>
  </si>
  <si>
    <t>PNEU 315/80R22,5 MIXTE/1109310418-1110311506</t>
  </si>
  <si>
    <t>PNEU 235/75R17,5 KAPSEN/151124098838-1511134092890</t>
  </si>
  <si>
    <t>BATTERIE 120AH CONTINANTAL</t>
  </si>
  <si>
    <t>2166JH01-AR 06</t>
  </si>
  <si>
    <t>PNEU 385/65R22,5 PD/D117C75036</t>
  </si>
  <si>
    <t>PNEU 385/65R22,5 PD/D117B75034</t>
  </si>
  <si>
    <t>PNEU 315/80R22,5 MIXTE/S135H17001</t>
  </si>
  <si>
    <t>PNEU 385/65R22,5 SAFESS PD/21201092537</t>
  </si>
  <si>
    <t>PNEU 385/65R22,5 SAFESS PD/2101093986</t>
  </si>
  <si>
    <t>CHEQUE N'8631098</t>
  </si>
  <si>
    <t>PNEU 315/80R22,5 DUNLOP PD/QK231534</t>
  </si>
  <si>
    <t>PNEU 315/80R22,5 MIXTE/31072A0908</t>
  </si>
  <si>
    <t>PNEU 385/65R22,5 WINMAX/D118B75090</t>
  </si>
  <si>
    <t>BATTERIE 150AH ACTION BLINDEE</t>
  </si>
  <si>
    <t>3758HY01</t>
  </si>
  <si>
    <t>PNEU 315/80R22,5 MACROYAL MIXTE/S136F21103</t>
  </si>
  <si>
    <t>PNEU 385/65R22,5 PD/0117A75052</t>
  </si>
  <si>
    <t>4097JY01-AR17</t>
  </si>
  <si>
    <t>PNEU 385/65R22,5 LANIVIGATOR/W110092388-W109049555</t>
  </si>
  <si>
    <t>5091HZ01-AR 10</t>
  </si>
  <si>
    <t>PNEU 385/65R22,5 LANIVIGATOR /W109049744</t>
  </si>
  <si>
    <t>PNEU 385/65R22,5 MACROYAL/D140B83039</t>
  </si>
  <si>
    <t>PNEU 385/65R22,5 MACROYAL/D140A88029</t>
  </si>
  <si>
    <t>AD BLEUE 20L</t>
  </si>
  <si>
    <t>1893KM01</t>
  </si>
  <si>
    <t>PNEU 315/80R22,5 DUNLOP MIXTE/ ZT260573</t>
  </si>
  <si>
    <t>PNEU 315/80R22,5 LANIVIGATOR MIXTE/W109003154-109150847</t>
  </si>
  <si>
    <t>4097JY01-AR 18</t>
  </si>
  <si>
    <t>PNEU 385/65R22,5 MACROYAL/D141A83063</t>
  </si>
  <si>
    <t>PNEU 385/65R22,5 MAROYAL/D135C83089-D134A83121</t>
  </si>
  <si>
    <t>PNEU 385/65R22,5 MACROYAL/D141C83039</t>
  </si>
  <si>
    <t>4748JC01-AR 4228KF01</t>
  </si>
  <si>
    <t>PNEU 385/65R22,5 MACROYAL/D134B83113</t>
  </si>
  <si>
    <t>8069JF01-AR 17</t>
  </si>
  <si>
    <t>PNEU 385/65R22,5 LANIVIGATOR/W109049956</t>
  </si>
  <si>
    <t>PNEU 385/65R22,5 CENTARA/10320B07044</t>
  </si>
  <si>
    <t>PNEU 315/80R22,5 DUNLOP MIXTE/ZT260640</t>
  </si>
  <si>
    <t>PNEU 445/65R22,5 OCASION</t>
  </si>
  <si>
    <t>AD BLUE 20L</t>
  </si>
  <si>
    <t>PNEU 295/80R22,5 MIXTE/W110066824</t>
  </si>
  <si>
    <t>PNEU 385/65R22,5 DUNLOP PD/QK261142-QK260701</t>
  </si>
  <si>
    <t>PNEU 315/80R22,5 APLUS PD/W110067240</t>
  </si>
  <si>
    <t>PNEU 385/65R22,5 GRANDSTONE/110016929</t>
  </si>
  <si>
    <t>6742FY01-AR 33</t>
  </si>
  <si>
    <t>PNEU 445/65R22,5 OCCASION</t>
  </si>
  <si>
    <t>3395JC01-AR 36</t>
  </si>
  <si>
    <t>PNEU 385/65R22,5 TRACMAX D144A80137</t>
  </si>
  <si>
    <t>2166JH01-AR 01</t>
  </si>
  <si>
    <t>PNEU 385/65R22,5 TRACMAX D146C80015</t>
  </si>
  <si>
    <t>7070HV01-AR 16</t>
  </si>
  <si>
    <t>PNEU 385/65R22,5 FRIDERIC/21B1434060-21B143048</t>
  </si>
  <si>
    <t>PNEU 385/65R22,5 FRIDERIC/21B1434346</t>
  </si>
  <si>
    <t>2557JZ01-AR 14</t>
  </si>
  <si>
    <t>PNEU 385/65R22,5 TRACMAX/D145B6003</t>
  </si>
  <si>
    <t>PNEU 385/65R22,5 SUMITOMO PD/ZT263777</t>
  </si>
  <si>
    <t>PNEU 315/80R22,5 TRACMAX/S142B47006</t>
  </si>
  <si>
    <t>PNEU 295/80R22,5 APLUS/W110110681</t>
  </si>
  <si>
    <t>1034KN-AR 34</t>
  </si>
  <si>
    <t>PNEU 385/65R22,5 FREDERIC/21B1434072</t>
  </si>
  <si>
    <t>PNEU 385/65R22,5 APLUS/W1100172575</t>
  </si>
  <si>
    <t>PNEU 385/65E22,5 APLUS/W11017204</t>
  </si>
  <si>
    <t>PNEU 315/80R22,5 DUNLOP PD/QK232030</t>
  </si>
  <si>
    <t>PNEU 315/80R22,5 MACROYAL MIXTE/S144H53101</t>
  </si>
  <si>
    <t>TRANSPORT</t>
  </si>
  <si>
    <t>AD BLEU 10L</t>
  </si>
  <si>
    <t>PAYE CHEQUE-</t>
  </si>
  <si>
    <t>PNEU 295/80R22,5 APLUS/W11006603</t>
  </si>
  <si>
    <t>1720JP01-AR 15</t>
  </si>
  <si>
    <t>PNEU 385/65R22,5 VIRON/D 138C93058</t>
  </si>
  <si>
    <t>9161JG01-AR 32</t>
  </si>
  <si>
    <t>PNEU 385/65R22,5 GOLDDOVE/D147B76009</t>
  </si>
  <si>
    <t>PNEU 315/70R22,5 KAPSEN/A109B086040</t>
  </si>
  <si>
    <t>3100JH01-AR 06</t>
  </si>
  <si>
    <t>PNEU 385/65R22,5 GOLD DOVE/D149A76057</t>
  </si>
  <si>
    <t>4096GY01</t>
  </si>
  <si>
    <t>PNEU 315/80R22,5 APLUS-/W201007127-W201023844</t>
  </si>
  <si>
    <t>PNEU 315/80R22,5 APLUS/W201093485</t>
  </si>
  <si>
    <t>PNEU 385/65R22,5 DRIVEMASTER/311203B0406</t>
  </si>
  <si>
    <t>PNEU 315/80R22,5 APLUS/W201022782</t>
  </si>
  <si>
    <t>PNEU 385/65R22,5 DRIVE MASTER/211120B0414</t>
  </si>
  <si>
    <t>6742FT01</t>
  </si>
  <si>
    <t>COLLAGE</t>
  </si>
  <si>
    <t>PNEU 315/80R22,5 APLUS/W201092625</t>
  </si>
  <si>
    <t>PNEU 385/65R22,5 TRACMAX/D147A65092</t>
  </si>
  <si>
    <t>PNEU 385/65R22,5 TRACMAX/D148A65012</t>
  </si>
  <si>
    <t>PNEU 385/65R22,5 TRACMAX/D146B80029</t>
  </si>
  <si>
    <t>PNEU 385/65R22,5 TRACMAX/148V65082</t>
  </si>
  <si>
    <t>PNEU 315/80R22,5 APLUS MIXTE/W201092660</t>
  </si>
  <si>
    <t>PNEU 385/65R22,5 GOLDEN CRWON/B251490208</t>
  </si>
  <si>
    <t>3995H01-AR 13</t>
  </si>
  <si>
    <t>PNEU 385/65R22,5 TRACMAX/D203C78004</t>
  </si>
  <si>
    <t>PNEU 315/80R22,5 APLUS MIXTEW201093264-201092704</t>
  </si>
  <si>
    <t>BATTERIE GATE</t>
  </si>
  <si>
    <t>PNEU 315/80R22,5 APLUS PD/W112060089-W112039260</t>
  </si>
  <si>
    <t>2166JH01-</t>
  </si>
  <si>
    <t>CHAMBRE A AIR 1200R20</t>
  </si>
  <si>
    <t>1720JP01-3395JC01-2166JH01</t>
  </si>
  <si>
    <t>COSSE DE BATTERIE +CABLE +TRANSPORT</t>
  </si>
  <si>
    <t>3995HE01-2895HE01-6699HV01-5091HZ01</t>
  </si>
  <si>
    <t>HUILE MOTEUR TOTAL SAE50 208L</t>
  </si>
  <si>
    <t>CABLE BATTERIE +COSSE</t>
  </si>
  <si>
    <t>PNEU 385/65R22,5 DRIVEMASTER/220311B0404</t>
  </si>
  <si>
    <t>PNEU 385/65R22,5 DRIVEMASTER/220316B0402</t>
  </si>
  <si>
    <t>PNEU 385/65R22,5 DRIVEMASTER/220316B0408</t>
  </si>
  <si>
    <t>4703JY01-AR 06</t>
  </si>
  <si>
    <t>PNEU 385/65R22,5 DRIVEMASTER/111130B0404</t>
  </si>
  <si>
    <t>2013JP01-AR 37</t>
  </si>
  <si>
    <t>PNEU 385/65R22,5 DRIVMASTER/32030980410</t>
  </si>
  <si>
    <t>ADBLEU 10L</t>
  </si>
  <si>
    <t>PNEU 295/80R22,5 APLUS/W110176460</t>
  </si>
  <si>
    <t>PNEU 315/80R22,5 DUNLOP MIXTE/SK232787</t>
  </si>
  <si>
    <t>PNEU 315/80R22,5 APLUS PD/W202122849</t>
  </si>
  <si>
    <t>PNEU 315/80R22,5 MACROYAL MIXTE/S215G21089</t>
  </si>
  <si>
    <t>CHAEQUE N/8631174</t>
  </si>
  <si>
    <t>PNEU 315/80R22,5 MACROYAL/S215G51060-S215H44024</t>
  </si>
  <si>
    <t>PNEU 385/65R22,5 DRIVEMASTER/320321B0406-120314B0404</t>
  </si>
  <si>
    <t>SODEUR</t>
  </si>
  <si>
    <t>PNEU 385/65R22,5 DRIVEMASTER/320227B0406</t>
  </si>
  <si>
    <t>PNEU 315/80R22,5 MACROYAL MIXTE/S211G41072-S210G51097</t>
  </si>
  <si>
    <t>PNEU 315/80RR22,5 MACROYAL MIXTE/S215F05061</t>
  </si>
  <si>
    <t>PNEU 315/80R22,5 MACROYAL MIXTE/S215F51090</t>
  </si>
  <si>
    <t>PNEU 315/80R22,5 APLUS MIXTE/W202087836-W202122881</t>
  </si>
  <si>
    <t>PNEU 315/80R22,5 MACROYAL MIXTE/S212G41099</t>
  </si>
  <si>
    <t>PNEU 385/65R22,5 DRIVEMASTER/320322B0414</t>
  </si>
  <si>
    <t>PNEU 385/65R22,5 DRIVEMASTER/220318B0414</t>
  </si>
  <si>
    <t>PNEU 315/80R22,5 APLUS-/W202087319-W201157651-W201157651</t>
  </si>
  <si>
    <t>3495JJ01-AR 10</t>
  </si>
  <si>
    <t>PNEU 385/65R22,5 DRIVEMASTER/220319B0408</t>
  </si>
  <si>
    <t>PNEU 315/80R22,5 APLUS/W112060282</t>
  </si>
  <si>
    <t>PNEU 385/65R22,5 APLUS/120323B0410</t>
  </si>
  <si>
    <t>ADBLEU 20L</t>
  </si>
  <si>
    <t>PNEU 385/65R22,5 DRIVMASTER/320321B0402</t>
  </si>
  <si>
    <t>PNEU 315/80R22,5 MACROYAL MIXTE/S209F05013</t>
  </si>
  <si>
    <t>PNEU 385/65R22,5 DRIVMASTER/220322B044</t>
  </si>
  <si>
    <t>PNEU 385/65R22,5 DRIVMASTER/320321B0408</t>
  </si>
  <si>
    <t>PNEU 385/65R22,5 DRIVMASTER/320319B0404</t>
  </si>
  <si>
    <t>PNEU 385/65R22,5 DRIVMASTER/120319B0404</t>
  </si>
  <si>
    <t>PNEU 385/65R22,5 DRIVEMASTER/320321B0404</t>
  </si>
  <si>
    <t>PNEU 13R22,5 APLUS MIXTE/W201017885</t>
  </si>
  <si>
    <t>PNEU 385/65R22,5 DRIVEMASTER/120318B0412</t>
  </si>
  <si>
    <t>9397KB01</t>
  </si>
  <si>
    <t>PNEU 385/65R22,5 DRIVEMASTER/120323B0412</t>
  </si>
  <si>
    <t>PNEU 315/80R22,5 MACROYAL/S208F48102</t>
  </si>
  <si>
    <t>PNEU 385/65R22,5 DRIVEMASTER/220322B0410</t>
  </si>
  <si>
    <t>TRANSPORT+VALVE</t>
  </si>
  <si>
    <t>BATTERIE 150AH MAXIMA</t>
  </si>
  <si>
    <t>PNEU 295/80R22,5 APLUS PD/W110176658</t>
  </si>
  <si>
    <t>8069HF01-AR 17</t>
  </si>
  <si>
    <t>PNEU 385/65R22,5 APLUS/W202065973</t>
  </si>
  <si>
    <t>PNEU 315/80R22,5 MACROYAL/S210G53067</t>
  </si>
  <si>
    <t>PNEU 315/80R22,5 MACROYAL/S210G53065-S212F21079</t>
  </si>
  <si>
    <t>PNEU 315/80R22,5 MACROYAL MIXTE/S202F51004</t>
  </si>
  <si>
    <t>PNEU 385/65R22,5 TERAKING/1611011008528</t>
  </si>
  <si>
    <t>BATTERIE 180AH ACTION</t>
  </si>
  <si>
    <t>4704JY01-AR 27</t>
  </si>
  <si>
    <t>PNEU 385/65R22,5 TRACMAX/D1219B66096-C75096-D217C66028</t>
  </si>
  <si>
    <t>PNEU 385/65R22,5 TRACMAX/D220B66004</t>
  </si>
  <si>
    <t>PNEU 385/65R22,5 TRACMAX/D210C66016</t>
  </si>
  <si>
    <t>PNEU 385/65R22,5 TERAKING/1611011008375</t>
  </si>
  <si>
    <t>PNEU 315/70R22,5 KAPSEN/A051C086034</t>
  </si>
  <si>
    <t>PNEU 385/65R22,5 TRACMAX/0208C77011</t>
  </si>
  <si>
    <t>GROUPE</t>
  </si>
  <si>
    <t>BATTERIE 45AH MAXIMA</t>
  </si>
  <si>
    <t>PNEU 385/65R22,5 DUNLOP PD/UQ260021</t>
  </si>
  <si>
    <t>4133GV01</t>
  </si>
  <si>
    <t>PNEU 385/65R22,5 TRACMAX/D219C77013</t>
  </si>
  <si>
    <t>4096JY01-AR 05</t>
  </si>
  <si>
    <t>PNEU 385/65R22,5 TRACMAX</t>
  </si>
  <si>
    <t>BATTERIE 150AH TIGERBLAC</t>
  </si>
  <si>
    <t>PNEU 385/65R22,5 TRACMAX /D208B77039</t>
  </si>
  <si>
    <t>PNEU 385/65R22,5 DRIVMASTER /220506B0406</t>
  </si>
  <si>
    <t>PNEU 315/80R22,5 LONGSTAR/120630C119</t>
  </si>
  <si>
    <t>PNEU 385/65R22,5 DRIVEMASTER/3205048B0406</t>
  </si>
  <si>
    <t>3100JH01-AR 32</t>
  </si>
  <si>
    <t>PNEU 385/65R22,5 DRIVMASTER/320502B0412</t>
  </si>
  <si>
    <t>4704JY01-5151HX01-7358HY01-9161JG01</t>
  </si>
  <si>
    <t>CHAUSSEUR DE SECERTIE</t>
  </si>
  <si>
    <t>PNEU 315/80R22,5 APLUS/W202038522</t>
  </si>
  <si>
    <t>PNEU 295/80R22,5 AMIN/00415858</t>
  </si>
  <si>
    <t>PNEU 315/80R22,5 MARCRYAL/320708B2305-220707B1803</t>
  </si>
  <si>
    <t>PNEU 235/75R17,5 APLUS/W203008467</t>
  </si>
  <si>
    <t>PNEU 385/65R22,5 DRIVEMASTER/220703A2002</t>
  </si>
  <si>
    <t>1722JP01-AR 34</t>
  </si>
  <si>
    <t>PNEU 385/65R22,5 DRIVEMASTER/220513B0402</t>
  </si>
  <si>
    <t>4096JY01-AR 11</t>
  </si>
  <si>
    <t>PNEU 385/65R22,5 DRIVMASTER/227011A2006</t>
  </si>
  <si>
    <t>DIVER</t>
  </si>
  <si>
    <t>HABIT DE TRAVAILE CACAO</t>
  </si>
  <si>
    <t>1893KN01-AR 11</t>
  </si>
  <si>
    <t>PNEU 385/65R22,5 DRIVEMASTER/120502B0406</t>
  </si>
  <si>
    <t>3222HL01-AR 38</t>
  </si>
  <si>
    <t>PNEU 385/65R22,5 DRIVMASTER/220507B0404</t>
  </si>
  <si>
    <t>PNEU 385/65R22,5 DRIVMASTER/220503B0402</t>
  </si>
  <si>
    <t>6756HU01-AR 04</t>
  </si>
  <si>
    <t>PNEU 385/65R22,5 DRIVEMASTER/220502B0404-220502B0406</t>
  </si>
  <si>
    <t>PNEU 315/80R22,5 LONGSTAR/1207B1815-220630B1815</t>
  </si>
  <si>
    <t>2608JY01-AR 32</t>
  </si>
  <si>
    <t>PNEU 385/65R22,5 DRIVMASTER/120328A1916</t>
  </si>
  <si>
    <t>PNEU 385/65R22,5 DRIVMASTER/320710A2006</t>
  </si>
  <si>
    <t>PNEU 385/65R22,5 DRIVMASTER/220503B0410</t>
  </si>
  <si>
    <t>PNEU 385/65R22,5 DRIVMASTER/320510B0402</t>
  </si>
  <si>
    <t>PNEU 315/80R22,5 LONGSTAR/ 320623B1811</t>
  </si>
  <si>
    <t>PNEU 315/80R22,5 LONGSATR/320703B2309-220706C1107</t>
  </si>
  <si>
    <t>PNEU 315/80R22,5 APLUS MIXTE/W207156062</t>
  </si>
  <si>
    <t>PNEU 385/65R22,5 DRIVEMASTER/120510B0404</t>
  </si>
  <si>
    <t>6742FY01-AR 23</t>
  </si>
  <si>
    <t>PNEU 385/65R22,5 DRIVMASTER/320510B0404</t>
  </si>
  <si>
    <t>PNEU 315/80R22,5 KAPOUS MIXTE/AG57302</t>
  </si>
  <si>
    <t>PNEU 315/80R22,5 LONGSTAR MIXTE/120705B1805-22070B1803</t>
  </si>
  <si>
    <t>PNEU 385/65R22,5 DRIVMASTER/220506B0412</t>
  </si>
  <si>
    <t>PNEU 385/65R22,5 DRIVMASTER/120507B0406</t>
  </si>
  <si>
    <t>6742FY01-AR 06</t>
  </si>
  <si>
    <t>PNEU 385/65R22,5 DRIVMASTER/320425B0414</t>
  </si>
  <si>
    <t>AR 31</t>
  </si>
  <si>
    <t>PNEU 385/65R22,5 DRIVMASTER/220309B0414</t>
  </si>
  <si>
    <t>PNEU 315/80R22,5 LONGSTAR/AF262591</t>
  </si>
  <si>
    <t>PNEU 385/65R22,5 DRIVMASTER/320723A2014</t>
  </si>
  <si>
    <t>1893KN01-AR 09</t>
  </si>
  <si>
    <t>PNEU 385/65R22,5 DRIVMASTER/220705A2004</t>
  </si>
  <si>
    <t>PNEU 385/65R22,5 DRIVMASTER/220731A2016</t>
  </si>
  <si>
    <t>PNEU 385/65R22,5 DRIVEMASTER/120723A2002</t>
  </si>
  <si>
    <t>7070HU01-AR 04</t>
  </si>
  <si>
    <t>PNEU 385/65R22,5 DRIVMASTER/320704A2002</t>
  </si>
  <si>
    <t>5766HU01-AR 13</t>
  </si>
  <si>
    <t>PNEU 385/65R22,5 DRIVMASTER/12056B0402</t>
  </si>
  <si>
    <t>PNEU 385/65R22,5 DRIVMASTER/220728A2012</t>
  </si>
  <si>
    <t xml:space="preserve">COSS DE BATTERIE </t>
  </si>
  <si>
    <t>PNEU 315/80R22,5 FIRMAX/AD305502</t>
  </si>
  <si>
    <t>PNEU 385/65R22,5 DRIVEMASTER/320503B0406</t>
  </si>
  <si>
    <t>8069JF01-AR 20</t>
  </si>
  <si>
    <t>PNEU 385/65R22,5 DRIVMASTER/120504B0406</t>
  </si>
  <si>
    <t>7070HV01-AR 18</t>
  </si>
  <si>
    <t>PNEU 385/65R22,5 DRIVMASTER/320801A2014</t>
  </si>
  <si>
    <t>PNEU 295/80R22,5 AMIN/Q0415769</t>
  </si>
  <si>
    <t>PNEU 385/65R22,5 GOLDENCROWN/H251617344</t>
  </si>
  <si>
    <t>PNEU 385/65R22,5 DRIVEMASTER/320803A2006</t>
  </si>
  <si>
    <t>PNEU 385/65R22,5 DRIVMASTER/120707A2006</t>
  </si>
  <si>
    <t>2606JZ01-PL 3904JZ01</t>
  </si>
  <si>
    <t>PNEU 385/65R22,5 DRIVMASTER/220828A2002</t>
  </si>
  <si>
    <t>PNEU 385/65R22,5 DRIVMASTER/120828A2016</t>
  </si>
  <si>
    <t>PNEU 385/65R22,5 DRIVMASTER/120831A2014</t>
  </si>
  <si>
    <t>1893KN01-AR 34</t>
  </si>
  <si>
    <t>PNEU 385/65R22,5 GOLDEN CRAWON/B5251483358</t>
  </si>
  <si>
    <t>PNEU 315/80R22,5 MACROYAL/S243F45071</t>
  </si>
  <si>
    <t>PARALLELISME AV+AR</t>
  </si>
  <si>
    <t>PNEU 385/65R22,5 GOLDENCRAWON/H251625797</t>
  </si>
  <si>
    <t>1720JP01-AR 10</t>
  </si>
  <si>
    <t>PNEU 385/65R22,5 GOLDENCRAWON/B251497287</t>
  </si>
  <si>
    <t>PNEU 385/65R22,5 GOLDENCRAWON/B251488185</t>
  </si>
  <si>
    <t>PNEU 385/65R22,5 GOLDENCRAWON/B251427723</t>
  </si>
  <si>
    <t>PNEU 315/70R22,5 BRIDGESONE OCASSION/E2Z181151</t>
  </si>
  <si>
    <t>COSSE DE BATTERIE BOSCH</t>
  </si>
  <si>
    <t>PNEU 385/65R22,5 GOLDENCRAWON/B251483175</t>
  </si>
  <si>
    <t>PNEU 385/65R22,5 GOLDENCRAWON/25152835201</t>
  </si>
  <si>
    <t>1304KN01</t>
  </si>
  <si>
    <t xml:space="preserve">BATTERIE 180AH FREEBAT </t>
  </si>
  <si>
    <t>PNEU 315/80R22,5 WINMAX/S235G53062-S239H51089</t>
  </si>
  <si>
    <t>4634AX06</t>
  </si>
  <si>
    <t>PNEU 315/80R22,5 WINMAX/S235H51059-S235G54044</t>
  </si>
  <si>
    <t>6742FY01-AR 11</t>
  </si>
  <si>
    <t>PNEU 385/65R22,5 GOLDENCRAWON/B25143964</t>
  </si>
  <si>
    <t>5091HZ01-AR 27</t>
  </si>
  <si>
    <t>PNEU 385/65R22,5 SAFCESS/CA04391H-CA04454H-CB20051G</t>
  </si>
  <si>
    <t>PNEU 385/65R22,5 GOLDENCRAWON/I251542664</t>
  </si>
  <si>
    <t>PNEU 315/80R22,5 WINMAX/S247H53092</t>
  </si>
  <si>
    <t>1893KN01-AR 37</t>
  </si>
  <si>
    <t>PNEU 385/65R22,5 GOLDENCRAWON/I25154326</t>
  </si>
  <si>
    <t>2557JZ01-S235G53050</t>
  </si>
  <si>
    <t>PNEU 315/80R22,5 WINMAX /S235G53050-S239H51075</t>
  </si>
  <si>
    <t>PNEU 385/65R22,5 HUNTERROAD/CA02065K</t>
  </si>
  <si>
    <t>4096JY</t>
  </si>
  <si>
    <t>PNEU 295/80R22,5 HUNTERROAD/CB12885D</t>
  </si>
  <si>
    <t>PNEU 315/80R22,5 LONGTRAC MIXTE/121111B2114</t>
  </si>
  <si>
    <t xml:space="preserve">COSSE DE BATTERIE </t>
  </si>
  <si>
    <t>PNEU 385/65R22,5 GOLDENCROWN/I251544943</t>
  </si>
  <si>
    <t>2013JP01-AR 24</t>
  </si>
  <si>
    <t>PNEU 385/65R22,5 SUNWID /CA01818J</t>
  </si>
  <si>
    <t>PNEU 385/65R22,5 SUNWID/CB21121J</t>
  </si>
  <si>
    <t>5874JF01-AR 38</t>
  </si>
  <si>
    <t>PNEU 385/65R22,5 LANIVIGATOR/W109048432</t>
  </si>
  <si>
    <t>PNEU 385/65R22,5 LANIVIGATOR/W109007350</t>
  </si>
  <si>
    <t>3222FL01-AR 34</t>
  </si>
  <si>
    <t>PNEU 385/65R22,5 LANVIGATOR/W109048404</t>
  </si>
  <si>
    <t>1693HT01-AR 04</t>
  </si>
  <si>
    <t>PNEU 385/65R22,5 LANVIGATOR/W109007792</t>
  </si>
  <si>
    <t>4709JY01-AR 29</t>
  </si>
  <si>
    <t>PNEU 385/65R22,5 APLUS/W209008290</t>
  </si>
  <si>
    <t>MR KEBE</t>
  </si>
  <si>
    <t>CRIC 50 TON</t>
  </si>
  <si>
    <t>PNEU 315/80R22,5 LONGTRACK/121115B2305</t>
  </si>
  <si>
    <t>3995HE01-AR 11</t>
  </si>
  <si>
    <t>PNEU 385/65R22,5 APLUS/W211068761</t>
  </si>
  <si>
    <t>2608JZ01-AR 17</t>
  </si>
  <si>
    <t>PNEU 385/65R22,5 APLUS/W209008496</t>
  </si>
  <si>
    <t>PNEU 315/80R22,5 LONGTRACK/321116B2114</t>
  </si>
  <si>
    <t>6756HU01-AR 20</t>
  </si>
  <si>
    <t>PNEU 385/65R22,5 GOLDEN CRAWN/B251448178</t>
  </si>
  <si>
    <t>4097JY01-AR 36</t>
  </si>
  <si>
    <t>PNEU 295/80R22,5 APLUS/W208108812</t>
  </si>
  <si>
    <t>PNEU 385/65R22,5 APLUS/W209171522</t>
  </si>
  <si>
    <t>BATTERIE 170AH FREEBAT</t>
  </si>
  <si>
    <t>CRV</t>
  </si>
  <si>
    <t>1893KN01-AR</t>
  </si>
  <si>
    <t>PNEU 315/80R22,5 LONGTRACK /121114B2303</t>
  </si>
  <si>
    <t>BATTERIE 120AH BLACTIGER</t>
  </si>
  <si>
    <t>PNEU 385/65R22,5 GOLDENCRAWON/7B51416289</t>
  </si>
  <si>
    <t>PNEU 385/65R22,5 DRIVMASTEER/321124B0313</t>
  </si>
  <si>
    <t>PNEU 385/65R22,5 DRIVEMASTER/321130B0508</t>
  </si>
  <si>
    <t>PNEU 385/65R22,5 DRIVEMASTER/321121B0307</t>
  </si>
  <si>
    <t>PNEU 385/65R22,5 DRIVMATER/121130B0313</t>
  </si>
  <si>
    <t>AMPOULE H7 24V</t>
  </si>
  <si>
    <t xml:space="preserve">TETE ACCOUPLEMENT FEMALE </t>
  </si>
  <si>
    <t>TETE ACCOUPLEMENT MALE</t>
  </si>
  <si>
    <t>BALONE DAF</t>
  </si>
  <si>
    <t>PNEU 315/80R22,5 MACROYAL/S243F53021</t>
  </si>
  <si>
    <t>PNEU 385/65R22,5 DRIVEMASTER/230103B0303</t>
  </si>
  <si>
    <t>1863KN01</t>
  </si>
  <si>
    <t>PNEU 315/80R22,5 DRIVMASTER/S252G39045-S252H54023</t>
  </si>
  <si>
    <t>1893KN01/554183K</t>
  </si>
  <si>
    <t>BALONE ACTROS</t>
  </si>
  <si>
    <t>PNEU 385/65R22,5 DRIVMATER/330102B0303</t>
  </si>
  <si>
    <t>2608JZ-01</t>
  </si>
  <si>
    <t>PNEU 295/80R22,5 KAPSEN/16120310700951</t>
  </si>
  <si>
    <t>PNEU 385/65R22,5 DRIVMASTER/321126B0502</t>
  </si>
  <si>
    <t>SERPENTEUR 7 POLE</t>
  </si>
  <si>
    <t>TETE ACCOUPLEMENT MALE+FEMELE</t>
  </si>
  <si>
    <t xml:space="preserve">CABLE COMMUNICATION DE BATTERIE </t>
  </si>
  <si>
    <t>FEUX AR</t>
  </si>
  <si>
    <t>AMPOULE H1 24V</t>
  </si>
  <si>
    <t>CHEQUE N' 8631056</t>
  </si>
  <si>
    <t>7595HE01-AR 02</t>
  </si>
  <si>
    <t>PNEU 315/80R22,5 TONOVA/EY 205365A2</t>
  </si>
  <si>
    <t>4592KT01</t>
  </si>
  <si>
    <t>PNEU 385/65R22,5 TRACMAX/D239C6636</t>
  </si>
  <si>
    <t>PNEU 385/65R22,5 TRACMAX/D230C66056</t>
  </si>
  <si>
    <t>2608JZ01-AR 21</t>
  </si>
  <si>
    <t>PNEU 385/65R22,5 TRACMAX/D233C66068</t>
  </si>
  <si>
    <t>AD BLUE A10L</t>
  </si>
  <si>
    <t>ATTELAGE DE SQUELETE</t>
  </si>
  <si>
    <t>PNEU 315/80R22,5 TONOVA/DY203775B1-DY213173B2- LONGTRAC321115B2108-121106B2301</t>
  </si>
  <si>
    <t>JANT 22,5</t>
  </si>
  <si>
    <t>PNEU 385/65R22,5 TRACMAX/D233C66022</t>
  </si>
  <si>
    <t>PNEU 385/65R22,5 TRACMAX/D233C66054-D233C66004-D230C66072</t>
  </si>
  <si>
    <t>JANTE 225</t>
  </si>
  <si>
    <t>TRANSPORT+MAIN D'OUVRE</t>
  </si>
  <si>
    <t>4097JY01-AR 31</t>
  </si>
  <si>
    <t>PNEU 385/65R22,5 TRACMAX/D229B66026</t>
  </si>
  <si>
    <t>6756HU01-AR 17</t>
  </si>
  <si>
    <t>PNEU 385/65R22,5 TRACMAX/D233A66042</t>
  </si>
  <si>
    <t>2266LA01-AR 36</t>
  </si>
  <si>
    <t>PNEU 385/65R22,5 TRACMAX/D234C66046</t>
  </si>
  <si>
    <t>3995HE01-AR 13</t>
  </si>
  <si>
    <t>PNEU 315/80R22,5 WINMAX/S305H48006</t>
  </si>
  <si>
    <t>6699HU01-AR 27</t>
  </si>
  <si>
    <t>PNEU 315/80R22,5 WINMAX/S305G39026</t>
  </si>
  <si>
    <t>PNEU 315/80R22,5 WINMAX/S305G49025</t>
  </si>
  <si>
    <t>2013JP01-AR 38</t>
  </si>
  <si>
    <t>PNEU 385/65R22,5 DRIVMASTER/330128B0309</t>
  </si>
  <si>
    <t>PNEU 315/80R22,5 WINMAX/S305H51017</t>
  </si>
  <si>
    <t>4704JY01-AR 28</t>
  </si>
  <si>
    <t>PNEU 385/65R22,5 DRIVEMASTER/330114B0504</t>
  </si>
  <si>
    <t>PNEU 315/80R22,5 VIGOROUS/AD344381</t>
  </si>
  <si>
    <t>PNEU 385/65R22,5 DRIVMASTER/330112B0506</t>
  </si>
  <si>
    <t>PNEU 385/65R22,5 DRIVMASTER/230101B0507</t>
  </si>
  <si>
    <t>CHAMBRE A AIR +COLLAGE</t>
  </si>
  <si>
    <t>6742FY01-AR 37</t>
  </si>
  <si>
    <t>PNEU 315/80R22,5 APLUS/330112B0506</t>
  </si>
  <si>
    <t>PNEU 315/80R22,5 APLUS/W212140131-W212141483</t>
  </si>
  <si>
    <t>PNEU 315/80R22,5 APLUS/W21140138</t>
  </si>
  <si>
    <t>PNEU 315/80R22,5 TECHSHEILD/AD344267</t>
  </si>
  <si>
    <t>6699HU01-AR 06</t>
  </si>
  <si>
    <t>PNEU 385/65R22,5 DRIVEMASTER/330114B0303</t>
  </si>
  <si>
    <t>BALONE DAF SP 5544159</t>
  </si>
  <si>
    <t>PNEU 385/65R22,5 DRIVEMASTER/330116B0303</t>
  </si>
  <si>
    <t>1893KN01-AR 35</t>
  </si>
  <si>
    <t>PNEU 385/65R22,5 TRACMAX/D229B66010</t>
  </si>
  <si>
    <t>PNEU 385/65R22,5 TRACMAX/D230A66088</t>
  </si>
  <si>
    <t>2166JH01-AR 18</t>
  </si>
  <si>
    <t>PNEU 385/65R22,5 TRACMAX/D230C66068</t>
  </si>
  <si>
    <t>PNEU 385/65R22.5 TRACMAX/D229B66012</t>
  </si>
  <si>
    <t>PNEU 385/65R22.5 DRIVMASTER/230109B0502</t>
  </si>
  <si>
    <t>3222FL01-AR 23</t>
  </si>
  <si>
    <t>PNEU 315/80R22,5 APLUS/W211052549</t>
  </si>
  <si>
    <t>1720JP01-AR 13</t>
  </si>
  <si>
    <t>PNEU 315/80R22,5 APLUS/W212111002</t>
  </si>
  <si>
    <t>PNEU 385/65R22,5 DRIVMASTER/230109B0313</t>
  </si>
  <si>
    <t>3100JH01-AR 17</t>
  </si>
  <si>
    <t>PNEU 315/80R22,5 VIGROUS/AD344247</t>
  </si>
  <si>
    <t>PNEU 385/65R22,5 DRIVMASTER/330112B0504</t>
  </si>
  <si>
    <t>PNEU 385/65R22,5 DRIVMASTER/330123B0303</t>
  </si>
  <si>
    <t>PNEU 385/65R22,5 DRIVMASTER/330112B0502</t>
  </si>
  <si>
    <t>PNEU 315/80R22,5 VIGROUS/AD344346-20000004506</t>
  </si>
  <si>
    <t>PNEU 315/80R22,5 VOGOROUS/AB414534</t>
  </si>
  <si>
    <t>PNEU 385/65R22,5 APLUS/W212118819</t>
  </si>
  <si>
    <t>PNEU 385/65R22,5 APLUS/W212119377</t>
  </si>
  <si>
    <t>3495JJ01-AR 20</t>
  </si>
  <si>
    <t>PNEU 385/65R22,5 APLUS/W212119721</t>
  </si>
  <si>
    <t>2557JY01-AR 14</t>
  </si>
  <si>
    <t>PNEU 385/65R22,5 APLUS/W212118558</t>
  </si>
  <si>
    <t>PNEU 385/65R22,5 APLUS/W212118568</t>
  </si>
  <si>
    <t>PAYE CHEQUE 8631057</t>
  </si>
  <si>
    <t>PNEU 315/80R22,5 APLUS/W302103929-W302103931</t>
  </si>
  <si>
    <t>PNEU 385/65R22,5 DRIVMASTER/330113B0307</t>
  </si>
  <si>
    <t>PNEU 315/80R22,5 APLUS/302096573</t>
  </si>
  <si>
    <t>4703JY01-AR 13</t>
  </si>
  <si>
    <t>PNEU 385/65R22,5 DRIVEMASTER/230105B0502</t>
  </si>
  <si>
    <t>PNEU 385/65R22,5 DRIVMASTER/330304B0504</t>
  </si>
  <si>
    <t>PNEU 385/65R22,5DRIVMASTER/130209B0313</t>
  </si>
  <si>
    <t>PNEU 385/65R22,5 DRIVMASTER/230114B0504</t>
  </si>
  <si>
    <t>2013JP01-AR 29</t>
  </si>
  <si>
    <t>PNEU 385/65R22,5 DRIVMASTER/230214B0514</t>
  </si>
  <si>
    <t>PNEU 385/65R22,5 DRIVMASTER/330224B0301</t>
  </si>
  <si>
    <t>REGLEMENT</t>
  </si>
  <si>
    <t>ESPECES</t>
  </si>
  <si>
    <t>PNEU 295/80R22.5 ONEKING</t>
  </si>
  <si>
    <t>1722JP01/AR 24</t>
  </si>
  <si>
    <t>PNEU 385/65R22.5 FIRMAX/CC046731</t>
  </si>
  <si>
    <t>JANTE 22.5</t>
  </si>
  <si>
    <t>5091HZ01/AR 27</t>
  </si>
  <si>
    <t>PNEU 385/65R22.5 FIREMAX/CA02515K</t>
  </si>
  <si>
    <t>PNEU 295/80R22.5 ROADHING/D218A20096</t>
  </si>
  <si>
    <t>1720JP01/AR 15</t>
  </si>
  <si>
    <t>PNEU 315/80R22.5 FIREMAX/AA173839</t>
  </si>
  <si>
    <t>4097JY01/AR 18</t>
  </si>
  <si>
    <t>COSSE DE BATTERIE +CABLE</t>
  </si>
  <si>
    <t xml:space="preserve">2557JZ01-AR 14 </t>
  </si>
  <si>
    <t>PNEU 315/80R22.5 FAIRKING/3C04151503</t>
  </si>
  <si>
    <t>PNEU 385/65R22.5 FIRMAX/CA199251</t>
  </si>
  <si>
    <t>PNEU 315/80R22.5 MIXTE FIREMAX/BG009114-BD007008</t>
  </si>
  <si>
    <t>1893KN01/AR 37</t>
  </si>
  <si>
    <t>PNEU 385/65R22.5 FIREMAX/CA211461</t>
  </si>
  <si>
    <t>3558LY01</t>
  </si>
  <si>
    <t>PNEU 385/65R22.5 FIREMAX/CA19849J-CC03720J</t>
  </si>
  <si>
    <t>PNEU 315/80R22.5 FAIRKING/3C09251513-3C16251510</t>
  </si>
  <si>
    <t>4096JY01-AR 17</t>
  </si>
  <si>
    <t>PNEU 385/65R22.5 APLUS/W212118812</t>
  </si>
  <si>
    <t>2557JZ01-AR 35</t>
  </si>
  <si>
    <t>PNEU 385/65R22.5 DRIVMASTER/130209B0514</t>
  </si>
  <si>
    <t>PNEU 385/65R22.5 DRIVEMASTER/230223B0303</t>
  </si>
  <si>
    <t>PNEU 11R22.5 XCENT/DA02608B</t>
  </si>
  <si>
    <t>PNEU 385/65R22.5 APLUS/W212069368</t>
  </si>
  <si>
    <t>3995HE01-AR 28</t>
  </si>
  <si>
    <t>PNEU 315/80R22.5 APLUS/ W303081209</t>
  </si>
  <si>
    <t>PNEU 315/80R22.5 APLUS/ W303081308-W303080979</t>
  </si>
  <si>
    <t>3487JZ01</t>
  </si>
  <si>
    <t>BATTERIE 120AH ORSUN</t>
  </si>
  <si>
    <t>BATTERIE 150AH AUTO ENERGIE</t>
  </si>
  <si>
    <t>PNEU 315/80R22.5 APLUS/W303107756</t>
  </si>
  <si>
    <t>2013JP01-AR 36</t>
  </si>
  <si>
    <t>PNEU 385/65R22.5 APLUS/W212069443</t>
  </si>
  <si>
    <t>5257JZ01-AR 14</t>
  </si>
  <si>
    <t>PNEU 385/65R22.5 DRIVMASTER/330208B0315</t>
  </si>
  <si>
    <t>PNEU 385/65R22.5 FIRMAX/CA213251</t>
  </si>
  <si>
    <t>997LC01</t>
  </si>
  <si>
    <t>PNEU 385/65R22.5 APLUS/W212069455</t>
  </si>
  <si>
    <t>PNEU 315/80R22.5 APLUS/W303080749</t>
  </si>
  <si>
    <t>3487JE01-AR 18</t>
  </si>
  <si>
    <t>PNEU 315/80R22.5 WINMAX/S319F21092</t>
  </si>
  <si>
    <t>3495GG01</t>
  </si>
  <si>
    <t>PNEU 315/80R22.5 WINMAX/S321G53026-S319G53074</t>
  </si>
  <si>
    <t>PNEU 385/65R22.5 DRIVMASTER/330208B0303</t>
  </si>
  <si>
    <t>PNEU 315/80R22.5 WINMAX/S319H51089</t>
  </si>
  <si>
    <t>PNEU 385/65R22.5 MACROYAL/130512A1611</t>
  </si>
  <si>
    <t>PNEU 385/65R22.5 APLUS/W212118488</t>
  </si>
  <si>
    <t>PNEU 385/65R22.5 MACROYAL/230513A1607</t>
  </si>
  <si>
    <t>1693HT01-AR 14</t>
  </si>
  <si>
    <t>PNEU 315/80R22.5 APLUS/W303135266</t>
  </si>
  <si>
    <t>PNEU 315/80R22.5 WINMAX/S318G49109</t>
  </si>
  <si>
    <t>PNEU 315/80R22.5 WINMAX/S318G49009</t>
  </si>
  <si>
    <t>PNEU 385/65R22.5 MACROYAL/230512A1613</t>
  </si>
  <si>
    <t>PNEU 385/65R22.5 MACROYAL/330513A1613</t>
  </si>
  <si>
    <t>PNEU 315/80R22.5 WINMAX PD/S314F31038-G320F52118</t>
  </si>
  <si>
    <t>BATTERIE 150AH AOKLY</t>
  </si>
  <si>
    <t>PNEU 385/65R22.5 MACROYAL/130515A1609</t>
  </si>
  <si>
    <t>PNEU 385/65R22.5 MACROYAL/130510A1605-230515A1609</t>
  </si>
  <si>
    <t>PNEU 385/65R22.5 MACROYAL/130514A1607-130513A1615</t>
  </si>
  <si>
    <t>PNEU 385/65R22.5 MACROYAL/130517A1603</t>
  </si>
  <si>
    <t>PNEU 315/80R22.5 WINMAX/S319H39072</t>
  </si>
  <si>
    <t>1693HP01</t>
  </si>
  <si>
    <t>PNEU 385/65R22.5 MACROYAL/230514A1601</t>
  </si>
  <si>
    <t>PNEU 385/65R22.5 MACROYAL/130672A2004</t>
  </si>
  <si>
    <t>PNEU 295/80R22.5 ROADKING/D219C0044</t>
  </si>
  <si>
    <t>PNEU 315/80R22.5 WINMAX/S326C06011</t>
  </si>
  <si>
    <t>BATTERIE 159AH ESAN</t>
  </si>
  <si>
    <t>PNEU 315/80R22.5 WINMAX/S326030014</t>
  </si>
  <si>
    <t>PNEU 11R22.5 XCENT/DC05204A</t>
  </si>
  <si>
    <t>6756HU01-AR 25</t>
  </si>
  <si>
    <t>PNEU 315/80R22.5 WINMAX/S326B06009</t>
  </si>
  <si>
    <t xml:space="preserve">COLLAGE </t>
  </si>
  <si>
    <t>PNEU 385/65R22.5 FIRMAX/CC03833J</t>
  </si>
  <si>
    <t>PNEU 385/65R22.5 FIRMAX/ CC04656J</t>
  </si>
  <si>
    <t>PNEU 385/65R22.5 FAIRKING/3C04351512</t>
  </si>
  <si>
    <t>PNEU 315/80R22.5 MIXTE FIRMAX/ AA174229-AA174299</t>
  </si>
  <si>
    <t>PNEU 315/80R22.5 MIXTE FAIRKING/3C0725158-3C04251513</t>
  </si>
  <si>
    <t>PNEU 385/65R22.5 FAIRMAX/CB21154J</t>
  </si>
  <si>
    <t>PNEU 315/80R22.5 WINMAX/S3226H51027</t>
  </si>
  <si>
    <t>PNEU 385/65R22.5 MACROYAL/1305626A2012</t>
  </si>
  <si>
    <t>PNEU 385/65R22.5 MACROYAL /130627A1601</t>
  </si>
  <si>
    <t>PNEU 385/65R22.5 MACROYAL/130626A2006</t>
  </si>
  <si>
    <t>1693HT01-AR 17</t>
  </si>
  <si>
    <t>PNEU 385/65R22.5 MACROYAL/130627A2006</t>
  </si>
  <si>
    <t>PNEU 385/65R22,5 MACROYAL/130626A1611</t>
  </si>
  <si>
    <t>PNEU 385/65R22,5 MACROYAL/330626A1605</t>
  </si>
  <si>
    <t>PNEU 385/65R22,5 MACROYAL/330626A1615</t>
  </si>
  <si>
    <t>JANTE 22,5 AV</t>
  </si>
  <si>
    <t>PNEU 385/65R22,5 HUNTERROD/DB10766D</t>
  </si>
  <si>
    <t>PNEU 385/65R22,5 HUNTERROAD/DA06865C</t>
  </si>
  <si>
    <t>PNEU 385/65R22,5 APLUS</t>
  </si>
  <si>
    <t>PNEU 315/80R22,5 FIRMAX/BA008047</t>
  </si>
  <si>
    <t>PNEU 385/65R22,5 APLUS/W305220471</t>
  </si>
  <si>
    <t>BATTERIE 150AH EVERLIFE</t>
  </si>
  <si>
    <t>PNEU 315/80R22,5 FIREMAX/BD016399</t>
  </si>
  <si>
    <t>PNEU 385/65R22,5 APLUS/W305200329</t>
  </si>
  <si>
    <t>2557Z01-AR 14</t>
  </si>
  <si>
    <t>PNEU 385/65R22.5 APLUS/ W305220676</t>
  </si>
  <si>
    <t>6742FY01-AR 6</t>
  </si>
  <si>
    <t>8069F01-AR 39</t>
  </si>
  <si>
    <t>PNEU 385/65R22.5 APLUS/W305220192</t>
  </si>
  <si>
    <t>1722P01-AR 24</t>
  </si>
  <si>
    <t>PNEU 315/80R22.5 WINMAX/S330G51001</t>
  </si>
  <si>
    <t>PNEU 385/65R22.5 APLUS/W304041323</t>
  </si>
  <si>
    <t>2557Z01</t>
  </si>
  <si>
    <t>2608Z01</t>
  </si>
  <si>
    <t>GANTE 385</t>
  </si>
  <si>
    <t>PNEU 315/80R22.5 APLUS/W304017709-303058124</t>
  </si>
  <si>
    <t>PNEU 385/65R22.5 APLUS/W304041323-W304041926</t>
  </si>
  <si>
    <t>3558Y01</t>
  </si>
  <si>
    <t>PNEU 385/65R22.5 WINMAX/23030B0510</t>
  </si>
  <si>
    <t>6752HU01-AR 39</t>
  </si>
  <si>
    <t>PNEU 385/65R22.5 APLUS/W303044546</t>
  </si>
  <si>
    <t>PNEU 385/65R22.5 APLUS/W303050461</t>
  </si>
  <si>
    <t>4096JY01-AR 38</t>
  </si>
  <si>
    <t>PNEU 385/65R22,5 APLUS/W303050704</t>
  </si>
  <si>
    <t>PNEU 385/65R22,5 APLUS/W304020095</t>
  </si>
  <si>
    <t>PNEU 295/80R22,5 ROADKING/D253A10024</t>
  </si>
  <si>
    <t>PNEU 385/65R22,5 APLUS/W301087436</t>
  </si>
  <si>
    <t>TUYEAU GONFLAGE 1MM</t>
  </si>
  <si>
    <t>CONTRÔLE A AIR</t>
  </si>
  <si>
    <t>PNEU 385/65R22,5 APLUS/W303044474</t>
  </si>
  <si>
    <t>BATTERIE 150AH ST POWER BLINDEE</t>
  </si>
  <si>
    <t>PNEU 385/65R22,5 APLUS/W303050441</t>
  </si>
  <si>
    <t>PNEU 315/80R22,5 APLUS/W306099321</t>
  </si>
  <si>
    <t>PNEU 315/80R22,5 APLUS /W308002803</t>
  </si>
  <si>
    <t>3395JC01-AR 04</t>
  </si>
  <si>
    <t>PNEU 315/80R22,5 APLUS/ W306098079</t>
  </si>
  <si>
    <t>8069JF01-AR20</t>
  </si>
  <si>
    <t>PNEU 385/65R22,5 FIREMAX /BF009674</t>
  </si>
  <si>
    <t xml:space="preserve">1034KN01-AR40 </t>
  </si>
  <si>
    <t>PNEU 385/65R22,5 FIREMAX / BF010637-BF010581</t>
  </si>
  <si>
    <t>PNEU 315/80R22,5 APLUS / W308037099</t>
  </si>
  <si>
    <t>PNEU 315/80R22,5 APLUS / W308019762</t>
  </si>
  <si>
    <t>4703JY01-AR29</t>
  </si>
  <si>
    <t>PNEU 385/65R22,5 FIREMAX / BF009771</t>
  </si>
  <si>
    <t>PNEU 385/65R22,5 FIRMAX/BF010479</t>
  </si>
  <si>
    <t>PNEU 385/65R22,5 FIRMAX/BF010805</t>
  </si>
  <si>
    <t>PNEU 385/65R22,5 FIRMAX/BF010681</t>
  </si>
  <si>
    <t xml:space="preserve">BATTERIE 150AH STPOWER </t>
  </si>
  <si>
    <t>PNEU 315/80R22,5 APLUS/W306099508-306099415-306099586</t>
  </si>
  <si>
    <t>1034KN01-AR 40</t>
  </si>
  <si>
    <t>PNEU 385/65R22,5 FIRMAX/BF009621</t>
  </si>
  <si>
    <t>PNEU 385/65R22,5 FIRMAX/BF044527</t>
  </si>
  <si>
    <t>PNEU 385/65R22,5 FIRMAX/BF044503</t>
  </si>
  <si>
    <t>PNEU 315/80R22,5 APLUS PD/W304188173</t>
  </si>
  <si>
    <t>PNEU 385/65R22,5 MACROYAL/130713A2004</t>
  </si>
  <si>
    <t>4097JY01-AR 37</t>
  </si>
  <si>
    <t>PNEU 295/80R22,5 KAPSEN/1712031033357</t>
  </si>
  <si>
    <t>PNEU 315/80R22,5 APLUS MIXTE/W307000861</t>
  </si>
  <si>
    <t>PNEU 385/65R22,5 MARCROYAL/330701A2004</t>
  </si>
  <si>
    <t>PNEU 385/65R22,5 MACROYAL/331010A2510</t>
  </si>
  <si>
    <t>PNEU 11R22,5 TAITONG/1716031022183</t>
  </si>
  <si>
    <t>BATTERIE 200AH VEGA</t>
  </si>
  <si>
    <t>PNEU 315/80R22,5 APLUS/W307071526</t>
  </si>
  <si>
    <t>2608JZ01-AR 02</t>
  </si>
  <si>
    <t>PNEU 315/80R22,5 APLUS/DB01669D</t>
  </si>
  <si>
    <t>PNEU 385/65R22,5 SUNWID</t>
  </si>
  <si>
    <t>PNEU 315/80R22,5 APLUS/W307071742</t>
  </si>
  <si>
    <t>PNEU 385/65R22,5 MACROYAL/330713A2001</t>
  </si>
  <si>
    <t>PNEU 315/80R22,5 WINMAX/S344G39087-S344F39071</t>
  </si>
  <si>
    <t>PNEU 315/80R22,5 APLUS/W306007059-W306019575</t>
  </si>
  <si>
    <t>PNEU 385/65R22,5 MACROYAL/231106B0107</t>
  </si>
  <si>
    <t>PNEU 385/65R22,5 MACROYAL/130712A2004</t>
  </si>
  <si>
    <t>PNEU 315/80R22,5 WINMAX/S344F040014</t>
  </si>
  <si>
    <t>PNEU 315/80R22,5 WINMAX /G336H24106</t>
  </si>
  <si>
    <t>PNEU 385/65R22,5 MACROYAL/231106B0101</t>
  </si>
  <si>
    <t xml:space="preserve">1034KN01-AR 40 </t>
  </si>
  <si>
    <t>PNEU 13R22,5 APLUS /W303098173</t>
  </si>
  <si>
    <t>JANTE  13</t>
  </si>
  <si>
    <t>PNEU 315/80R22,5 APLUS/W308250793-W309103489</t>
  </si>
  <si>
    <t xml:space="preserve">COSSE BATTERIE </t>
  </si>
  <si>
    <t>PNEU 315/80R22,5 APLUS/W309103422</t>
  </si>
  <si>
    <t>997LC01-AR 41</t>
  </si>
  <si>
    <t>PNEU 385/65R22,5 FIREMAX/BF0009886</t>
  </si>
  <si>
    <t>PNEU 385/65R22,5 FIREMAX/BF010893-BF009787</t>
  </si>
  <si>
    <t>PNEU 385/65R22,5 FIREMAX/BF010468</t>
  </si>
  <si>
    <t>PNEU 385/65R22,5 FIREMAX/BF009588</t>
  </si>
  <si>
    <t>PNEU 315/80R22,5 WINMAX/G336F24102-G337H24050</t>
  </si>
  <si>
    <t>PNEU 385/65R22,5 FIRMAX/BF010920</t>
  </si>
  <si>
    <t>REGLEMENT CHEQUE ACCESS CREDIT</t>
  </si>
  <si>
    <t>PNEU 385/65R22,5 LONGTRACK/140104A2107</t>
  </si>
  <si>
    <t>PNEU 385/65R22,5 LONGTRACK/ 140104A2115</t>
  </si>
  <si>
    <t>1720JP01-AR 21</t>
  </si>
  <si>
    <t>PNEU 385/65R22,5 LONGTRAC/G337H24022-G336G24070</t>
  </si>
  <si>
    <t>6069JF01-AR 20</t>
  </si>
  <si>
    <t>PNEU 385/65R22,5 LONGTRACK/140101A2111</t>
  </si>
  <si>
    <t>6756HU01-AR 10</t>
  </si>
  <si>
    <t>PNEU 385/65R22,5 LONGTRACK/231130A2107</t>
  </si>
  <si>
    <t>6069JF01</t>
  </si>
  <si>
    <t>PNEU 315/80R22,5 MAXES GD/3J08230708-3J1013718</t>
  </si>
  <si>
    <t>PNEU 385/65R22,5 LONGTRAK/140104A2113</t>
  </si>
  <si>
    <t>PNEU 385/65R22,5 LONGTRACK/240105A2101-140105A2107</t>
  </si>
  <si>
    <t>4703JY01-3558LY01</t>
  </si>
  <si>
    <t>1434KN01-AR 40</t>
  </si>
  <si>
    <t>PNEU 13R22,5 MACROYAL/G33CA55049</t>
  </si>
  <si>
    <t>PNEU 315/80R22,5 PD/ G336F24092</t>
  </si>
  <si>
    <t>HUILE MOTEUR SHILDOX 20W50 5L</t>
  </si>
  <si>
    <t>HUILE</t>
  </si>
  <si>
    <t>HUILE MOTEUR SAIBOT SAE50 20L</t>
  </si>
  <si>
    <t>PNEU 315/80R22,5 BLAC RIDER/1721073094278-3027024</t>
  </si>
  <si>
    <t>PNEU 385/65R22,5 LONGTRACK/230810B0501</t>
  </si>
  <si>
    <t>PNEU 385/65R22,5 LONGTRAK/230811B0511</t>
  </si>
  <si>
    <t>HUILE+FILTRE</t>
  </si>
  <si>
    <t>FILTRE A HUILE DAF CE1120</t>
  </si>
  <si>
    <t>FILTRE A GASOILE CE0300</t>
  </si>
  <si>
    <t>FILTRE A GASOILE CE1363</t>
  </si>
  <si>
    <t>487JE01-AR 13</t>
  </si>
  <si>
    <t>PNEU 315/80R22,5 BLACRIDER/1721073036034</t>
  </si>
  <si>
    <t>BATTERIE 150AH OUSRUN</t>
  </si>
  <si>
    <t>4097JY01-AR 39</t>
  </si>
  <si>
    <t>PNEU 385/65R22,5 HUNTEREOAD</t>
  </si>
  <si>
    <t>PARALLELISME AR</t>
  </si>
  <si>
    <t>PNEU 385/65R22,5 LONGTRACK/24014A2117</t>
  </si>
  <si>
    <t>3495jj01-AR 23</t>
  </si>
  <si>
    <t>PNEU 385/65R22,5 LONGTRAC/ 140115A2129</t>
  </si>
  <si>
    <t>PNEU 315/80R22,5 BLACRIDER/ 172107305244</t>
  </si>
  <si>
    <t xml:space="preserve">COSSE BATERIE </t>
  </si>
  <si>
    <t>PNEU 315/80RR2,5 MIXTE/1721073094250</t>
  </si>
  <si>
    <t>PNEU 315/80R22,5 BLACRIDER/171073035509</t>
  </si>
  <si>
    <t>BATTERIE 180AH OURSUN</t>
  </si>
  <si>
    <t>PNEU385/65R22,5 DRIVMASTER/330727A1606</t>
  </si>
  <si>
    <t>6069JF01-AR 37</t>
  </si>
  <si>
    <t>PNEU 315/80R22,5 BLACRIDER/1721073027865-1721073036825</t>
  </si>
  <si>
    <t>PNEU 385/65R22,5 DRIVMASTER/330808A1612</t>
  </si>
  <si>
    <t>PNEU 315/80R22,5 BLACRIDER/1721073036947</t>
  </si>
  <si>
    <t>PNEU 235/75R17,5 DURAN/1711084109009</t>
  </si>
  <si>
    <t>PNEU 385/65R22,5 DRIVMASTER/330809A1606</t>
  </si>
  <si>
    <t>PNEU 385/65R22,5 DRIVMASTER/130728A1609</t>
  </si>
  <si>
    <t>3487JE01-AR 39</t>
  </si>
  <si>
    <t>PNEU 315/80R22,5 BLACRIDER/1721073036944</t>
  </si>
  <si>
    <t xml:space="preserve">BATTERIE </t>
  </si>
  <si>
    <t>PNEU 315/80R22,5 BLACRIDER/1721073036433</t>
  </si>
  <si>
    <t>3558LY01-AR 20</t>
  </si>
  <si>
    <t>PNEU 385/65R22,5 DRIVEMASTER/330727A1607</t>
  </si>
  <si>
    <t>VIEUX BAMABA</t>
  </si>
  <si>
    <t xml:space="preserve">FILTRE </t>
  </si>
  <si>
    <t>FILTRE A AIR ACTROS</t>
  </si>
  <si>
    <t>PNEU 385/65R2,5 DRIVEMASTER/330809A1602</t>
  </si>
  <si>
    <t>PNEU 315/80R22,5 BLACRIDER/1721073094752</t>
  </si>
  <si>
    <t>PNEU 385/65R22,5 DRIVMASTER/330808A1609</t>
  </si>
  <si>
    <t>PNEU 385/65R22,5 DRIVEMASTER/130810A1613</t>
  </si>
  <si>
    <t>PNEU 315/80R22,5 BLACRIDER/1721073037849</t>
  </si>
  <si>
    <t>7598HE-AR 02</t>
  </si>
  <si>
    <t>PNEU 315/80R22,5 BLACRIDER/1721073035685</t>
  </si>
  <si>
    <t>PNEU 315/80R22,5 BLACRIDER/</t>
  </si>
  <si>
    <t>3495JJ0</t>
  </si>
  <si>
    <t>TRANSPORTT</t>
  </si>
  <si>
    <t>PNEU 315/80R22,5 BLACRIDER/1721073037424</t>
  </si>
  <si>
    <t>PNEU 385/65R22,5 DRIVMASTER/130728A1610</t>
  </si>
  <si>
    <t>PNEU 385/65R22,5 DRIVMASTER/330728A1613</t>
  </si>
  <si>
    <t>PNEU 385/65R22,5 LONGTRAC/340101A2113</t>
  </si>
  <si>
    <t>PNEU 385/65R22,5 DRIVMASTER/230808A1605</t>
  </si>
  <si>
    <t>PNEU 385/65R22,5 DRIVMASTER/230728A1603</t>
  </si>
  <si>
    <t>PNEU 385/65R22,5 DRIVMASTER/130806A1601</t>
  </si>
  <si>
    <t>PNEU 315/80R22,5 BLACRIDER/1721073094866</t>
  </si>
  <si>
    <t>PNEU 385/65R22,5 DRIVMASTER/130806A1607-230807A1613-230808A1607</t>
  </si>
  <si>
    <t>PNEU 385/65R22,5 DRIVMASTER/230808A1615</t>
  </si>
  <si>
    <t>PNEU 385/65R22,5 DRIVEMASTER/ 330728A1616</t>
  </si>
  <si>
    <t xml:space="preserve">HUILE </t>
  </si>
  <si>
    <t>HUILE HYDROLIQUE SAIBOT 20L</t>
  </si>
  <si>
    <t>HUILE MOTEUR SAIBOT SAE50 200L</t>
  </si>
  <si>
    <t>HUILE YDROLIQUE SAIBOT 68 200L</t>
  </si>
  <si>
    <t>AVOIR</t>
  </si>
  <si>
    <t>PNEU 315/80R22,5 BLACRIDER/172107394847</t>
  </si>
  <si>
    <t>3494JJ01</t>
  </si>
  <si>
    <t>PNEU 385/65R22,5 DRIVMASTER/330727A1602</t>
  </si>
  <si>
    <t>PNEU 385/65R22,5 LONGTRAC/130719B0509</t>
  </si>
  <si>
    <t>4097JY01-AR 32</t>
  </si>
  <si>
    <t>PNEU 385/65R22,5 DRIVMASTER/230813B0503</t>
  </si>
  <si>
    <t>PNEU 11R22,5 EXCENT</t>
  </si>
  <si>
    <t>PNEU 385/65R22,5 LONG</t>
  </si>
  <si>
    <t>AD BLUE</t>
  </si>
  <si>
    <t>PNEU 315/80R22,5 APLUS/W312204080</t>
  </si>
  <si>
    <t>PNEU 385/65R22,5 LONGTRACK/130815A2008</t>
  </si>
  <si>
    <t>PNEU 385/65R22,5 LONGTRACK/130720B0505</t>
  </si>
  <si>
    <t>AA-532FC</t>
  </si>
  <si>
    <t>PNEU 315/80R22,5 ROADTRAC/131027C1807-131030C802</t>
  </si>
  <si>
    <t>PNEU 385/65R22,5 LONGTRACK/330813B0501</t>
  </si>
  <si>
    <t>PNEU 315/80R22,5 ROADTRACK/131027C1816</t>
  </si>
  <si>
    <t>PNEU 315/80R22,5 ROADTRACK/231029C1811-140112B0610</t>
  </si>
  <si>
    <t>PNEU 315/80R22,5 APLUS/W312004324</t>
  </si>
  <si>
    <t>AA-632-FC</t>
  </si>
  <si>
    <t>BATTERIE 180AH CONTINATAL</t>
  </si>
  <si>
    <t>3558LY01-AR 05</t>
  </si>
  <si>
    <t>PNEU 315/80R22,5 ROADTRACK/ 331127C1815</t>
  </si>
  <si>
    <t>AA-567-FC-AR 20</t>
  </si>
  <si>
    <t>PNEU 315/80R22,5 LONGTRACK/34123A1909-331127C2311</t>
  </si>
  <si>
    <t>BALLONE DAF SP 55813-L</t>
  </si>
  <si>
    <t>PNEU 385/65R22,5 LONGTRACK/240103A2129</t>
  </si>
  <si>
    <t xml:space="preserve">1693HT01-AR 14 </t>
  </si>
  <si>
    <t>PNEU 385/65R22,5 LONGTRACK/140106A2129</t>
  </si>
  <si>
    <t>PNEU 315/80R22,5 LONGTRACK/340125A1905</t>
  </si>
  <si>
    <t>CABLE +TRANSPORT</t>
  </si>
  <si>
    <t>PNEU 385/65R22,5 LONGTRACK/240105A2129</t>
  </si>
  <si>
    <t>PNEU 385/65R22,5 LONGTRACK/240101A2117</t>
  </si>
  <si>
    <t>PNEU 385/65R22,5 LONGTRACK/130719B0511</t>
  </si>
  <si>
    <t>997KC01-AR 41</t>
  </si>
  <si>
    <t>PNEU 385/65R22,5 LONGTRACK/230719B0509</t>
  </si>
  <si>
    <t>2557JZ01-AR 10</t>
  </si>
  <si>
    <t>PNEU 385/65R22,5 LONGTRACK/340221B0105</t>
  </si>
  <si>
    <t>1720JP01-AR 18</t>
  </si>
  <si>
    <t>PNEU 385/65R22,5 LONGTRACK /340106A2131</t>
  </si>
  <si>
    <t>3222FL01-AR 10</t>
  </si>
  <si>
    <t>PNEU 315/80R22,5 LONGTRACK/340222A0813</t>
  </si>
  <si>
    <t>PNEU 315/80R22,5 LONGTRACK/140222A1815</t>
  </si>
  <si>
    <t>AA-541-FC/AR 37</t>
  </si>
  <si>
    <t>PNEU 315/80R22,5 LONGTRACK/140320A1813-240219A1916</t>
  </si>
  <si>
    <t>2013JP-AR 36</t>
  </si>
  <si>
    <t>PNEU 315/80R22,5 LONGTRACK/140320A1901</t>
  </si>
  <si>
    <t>PNEU 385/65R22,5 LONGTRACK/140109A2131</t>
  </si>
  <si>
    <t>PNEU 385/65R22,5 LONGTRACK/240105A2127</t>
  </si>
  <si>
    <t>AA-541-FC</t>
  </si>
  <si>
    <t>3495JJ01-AR 23</t>
  </si>
  <si>
    <t>PNEU 385/65R22,5 LONGTRACK/104A2123</t>
  </si>
  <si>
    <t>2557JZ01-AR 32</t>
  </si>
  <si>
    <t>PNEU 385/65R22,5 APLUS/W305126028</t>
  </si>
  <si>
    <t>PNEU 315/80R22,5 BLACRIDER/1812029904-18120210904</t>
  </si>
  <si>
    <t>4704Y01-AR 28</t>
  </si>
  <si>
    <t>PNEU 385/65R22,5 BLACRIDER/1822013004392</t>
  </si>
  <si>
    <t>8069JF01-AR 14</t>
  </si>
  <si>
    <t>PNEU 385/65R22,5 BLACRIDER/ 1822013004482</t>
  </si>
  <si>
    <t>6699HU01-AR 01</t>
  </si>
  <si>
    <t>BATTERIE 180AH CONTINATAL/C0234-C0239</t>
  </si>
  <si>
    <t>PNEU 385/65R22,5 /1822013004576-1822013000357</t>
  </si>
  <si>
    <t>PNEU 385/65R22,5 BLACRIDER/1822103004587</t>
  </si>
  <si>
    <t>2166JH01-AR 10</t>
  </si>
  <si>
    <t>PNEU 315/80R22,5 BLACRIDER/1721063079435</t>
  </si>
  <si>
    <t>PIECES</t>
  </si>
  <si>
    <t>BALONE MERCEDES SP 551622/ 1034KN01</t>
  </si>
  <si>
    <t>BOLONE BEN SP 55813/</t>
  </si>
  <si>
    <t>PNEU 295/80R22,5 XCENT/DB343361</t>
  </si>
  <si>
    <t>PNEU 385/65R22,5 BLACRIDER/182201300206-1822013004691</t>
  </si>
  <si>
    <t>BALLONE DAF / 813,K1</t>
  </si>
  <si>
    <t>BATTERIE 180AH OURSUN/L18B3L19E193-L18B3L19E0185</t>
  </si>
  <si>
    <t>2608JZ01-AR 15</t>
  </si>
  <si>
    <t>PNEU 385/65R22,5 BLACRIDER/1822013004677</t>
  </si>
  <si>
    <t>PNEU 315/80R22,5 WINMAX/S346851071</t>
  </si>
  <si>
    <t>PNEU 315/80R22,5 DOTORMER/240122A0520</t>
  </si>
  <si>
    <t>BATTERIE 200AH TACOMA/B01A4B21A0031-B02A4B21A0081</t>
  </si>
  <si>
    <t>3100JH01-AR 39</t>
  </si>
  <si>
    <t>PNEU 315/80R22,5 WINMAX/S344F39040</t>
  </si>
  <si>
    <t>PNEU 385/65R22,5 BLACRIDER/1822013004583</t>
  </si>
  <si>
    <t>AA-632-FC-/AR 35</t>
  </si>
  <si>
    <t>PNEU 385/65R22,5 BLACRIDER/1822013004791</t>
  </si>
  <si>
    <t>PNEU 315/80R22,5 GD BLACRIDER/1812021029855-1812021007612</t>
  </si>
  <si>
    <t>AA-632-FC01</t>
  </si>
  <si>
    <t>BALONE DAF EURO 6</t>
  </si>
  <si>
    <t>PNEU 385/65R22,5 BLACRIDER/1822013000392</t>
  </si>
  <si>
    <t>1693HT01-AR 10</t>
  </si>
  <si>
    <t>PNEU 385/65R22,5 BLACRIDER/1822013004530</t>
  </si>
  <si>
    <t>3487JE01-AR 40</t>
  </si>
  <si>
    <t>PNEU 385/65R22,5 BLACRIDER/1822013004447</t>
  </si>
  <si>
    <t>PNEU 315/80R22,5 DRIVMASTER/S418H50119-S419G20003</t>
  </si>
  <si>
    <t>BATTERIE 150AH WHIL-L21B3L23G0071-L21BL23GG0074</t>
  </si>
  <si>
    <t>BALON DAF SP556754-K</t>
  </si>
  <si>
    <t>PNEU 385/65R22,5 BLACRIDER/1822013004793</t>
  </si>
  <si>
    <t>PNEU 315/80R22,5 DRIVMASTER/S419G200025-S418H50119</t>
  </si>
  <si>
    <t>PNEU 385/65R22,5 BLACRIDER/1822013000367</t>
  </si>
  <si>
    <t>BATTERIE 150AH WHIL</t>
  </si>
  <si>
    <t>PNEU 385/65R22,5 BLACRIDER/1822013004624</t>
  </si>
  <si>
    <t>PNEU 385/65R22,5 BLACRIDER/1822013000289-1822013000212-18220130004311</t>
  </si>
  <si>
    <t>AA-541-FC-AR 37</t>
  </si>
  <si>
    <t>PNEU 315/80R22,5 DRIVMASTER/S419F20003-S4191H20015-S419F50013-S419G20069</t>
  </si>
  <si>
    <t>PNEU 315/80R22,5 TECHSHILD/AD344823</t>
  </si>
  <si>
    <t>4703JY01-AR 28</t>
  </si>
  <si>
    <t>PNEU 385/65R22,5 BLACRIDER/1822013004952</t>
  </si>
  <si>
    <t>4704JY01-5151HX01-5091HZ01-4096JY01</t>
  </si>
  <si>
    <t>EXTINCTEUR 2K</t>
  </si>
  <si>
    <t>PNEU 385/65R22,5 BLACRIDER/182201300348-1822013000310</t>
  </si>
  <si>
    <t>PNEU 315/80R22,5 DRIVEMASTER/S418G52089</t>
  </si>
  <si>
    <t>PNEU 315/80R22,5 DRIVMASTER/S418G20109</t>
  </si>
  <si>
    <t>PNEU 385/65R22,5 BLACRIDER/1822013004929</t>
  </si>
  <si>
    <t>JANTE 385 AV</t>
  </si>
  <si>
    <t>3100JH01-AR 37</t>
  </si>
  <si>
    <t>PNEU 385/65R22,5 BLACRIDER/1822013004757</t>
  </si>
  <si>
    <t>PNEU 315/80R22,5 ROADTRACK/140507B0609-240509B1104</t>
  </si>
  <si>
    <t>MONTAGE AU PORT</t>
  </si>
  <si>
    <t>PNEU 385/65R22,5 BLACKRIDER/1822013004849</t>
  </si>
  <si>
    <t>PNEU 315/80R22,5 ROADTRACK/340507B1105</t>
  </si>
  <si>
    <t>TRANSPORT + MONTAGE</t>
  </si>
  <si>
    <t>PNEU 385/65R22,5 BLACKRIDER/1822013004951</t>
  </si>
  <si>
    <t>PNEU 385/65R22,5 BLACKRIDER/1822013000043</t>
  </si>
  <si>
    <t>PNEU 315/80R22,5 ROADTRACK/140406B1115</t>
  </si>
  <si>
    <t>BATTERIE 150AH ESAN/</t>
  </si>
  <si>
    <t>PNEU 315/80R22,5 MIXTE/24057F0110</t>
  </si>
  <si>
    <t>AA-632-FC/ AR 35</t>
  </si>
  <si>
    <t>PNEU 385/65R22,5 BLACRIDER/ 1822013004405</t>
  </si>
  <si>
    <t>6069JF01-AR 14</t>
  </si>
  <si>
    <t>PNEU 385/65R22,5 BLACRIDRE/1822013000089</t>
  </si>
  <si>
    <t>1693HT01-AR 38</t>
  </si>
  <si>
    <t>PNEU 385/65R22,5 BLACKRIDER/1822013004993</t>
  </si>
  <si>
    <t>PNEU 315/80R22,5 ROADTRAK/140729B1104</t>
  </si>
  <si>
    <t>BATTERIE 150AH WHILL/L21B3L23G0067</t>
  </si>
  <si>
    <t>PNEU 3858/65R22,5 BLACKRIDER/1822013004453</t>
  </si>
  <si>
    <t>EAU DE RADIATEUR 20L</t>
  </si>
  <si>
    <t>PNEU 385/65R22,5 BLACKRIDER/ 1822013004728</t>
  </si>
  <si>
    <t>AA-532-FC/AR 21</t>
  </si>
  <si>
    <t>PNEU 385/65R22,5 BLACKRIDER/ 1822013004935</t>
  </si>
  <si>
    <t>2551JZ01-AR 18</t>
  </si>
  <si>
    <t>PNEU 385/65R22,5 BLACKRIDER/1822013004637</t>
  </si>
  <si>
    <t>3395JC01-AR 01</t>
  </si>
  <si>
    <t>PNEU 315/80R22,5 WINMAX/ G421H47101-G421C47057</t>
  </si>
  <si>
    <t>PNEU 385/65R22,5 BLACRIDER/1822013000288</t>
  </si>
  <si>
    <t>PNEU 385/65R22,5 BLACRIDER/1822013004585-1822013004989</t>
  </si>
  <si>
    <t>BATTERIE 150AH ESAN/CI92N6A24H525</t>
  </si>
  <si>
    <t>AA-532-FC</t>
  </si>
  <si>
    <t>AA-567-FC/ AR 20</t>
  </si>
  <si>
    <t>PNEU 385/65R22,5 BLACRIDER/ 1822013066739</t>
  </si>
  <si>
    <t>PNEU 315/80R22,5 XCENT/DB204681</t>
  </si>
  <si>
    <t>PNEU 385/65R22,5 BLACRIDER/1822013064185</t>
  </si>
  <si>
    <t>2557JZ01-AR 36</t>
  </si>
  <si>
    <t>PNEU 315/80R22,5 BLACRIDER/340714B1104</t>
  </si>
  <si>
    <t>4704JY01-AR 13</t>
  </si>
  <si>
    <t>PNEU 385/65R22,5 BLACRIDER/1822013066256</t>
  </si>
  <si>
    <t>PNEU 385/65R22,5 BLACRIDER/1822013004454</t>
  </si>
  <si>
    <t>1683HT01-AR 38</t>
  </si>
  <si>
    <t>PNEU 385/65R22,5 BLACRIDER/1822013069352</t>
  </si>
  <si>
    <t>AA-532-FC / AR 21</t>
  </si>
  <si>
    <t>PNEU 315/70R22,5 VELTOUR/DB204511-DA06261</t>
  </si>
  <si>
    <t>PNEU 315/80R22,5 PD/G434G51098</t>
  </si>
  <si>
    <t>PNEU 385/65R22,5 BLACRIDER/1822013068107</t>
  </si>
  <si>
    <t>6742FY01-AR10</t>
  </si>
  <si>
    <t>PNEU 315/80R22,5 ROADTRACK</t>
  </si>
  <si>
    <t>AA567FC-AR20</t>
  </si>
  <si>
    <t>PNEU 385/65R22,5 BLACRIDER/1822013069102</t>
  </si>
  <si>
    <t xml:space="preserve">1722JP01-AR24 </t>
  </si>
  <si>
    <t>PNEU 385/65R22.5 BLACKRIDER / 1822013066991</t>
  </si>
  <si>
    <t>PNEU 385/65R22.5 BLACKRIDER/ 1822013069998</t>
  </si>
  <si>
    <t>PNEU 385/65R22.5 BLACKRIDER /1822013068224</t>
  </si>
  <si>
    <t>8069JF01-AR15</t>
  </si>
  <si>
    <t>8069JF01-AR16</t>
  </si>
  <si>
    <t>6956HU01</t>
  </si>
  <si>
    <t>PNEU 315/80R22.5 ROADTRACK/ 141009A2006</t>
  </si>
  <si>
    <t>PNEU 385/65R22.5 BLACKRIDER / 1822013064298</t>
  </si>
  <si>
    <t>AA-532-FC-AR22</t>
  </si>
  <si>
    <t>PNEU 295/80R22.5 XCENT/ DB343851-DC19602J</t>
  </si>
  <si>
    <t>2757JZ01-AR36</t>
  </si>
  <si>
    <t>PNEU 385/65R22/5 BLACKRIDER/ 1822013068002</t>
  </si>
  <si>
    <t>PNEU 385/65R22.5 BLACKRIDER / 1822013064865</t>
  </si>
  <si>
    <t>4704JY01-AR41</t>
  </si>
  <si>
    <t>PNEU 315/80R22.5 ROADTRACK/341012C1811</t>
  </si>
  <si>
    <t xml:space="preserve">AA-532-FC-AR 21 </t>
  </si>
  <si>
    <t>PNEU 385/65R22.5 BLACKRIDER/ 1822013066940-1822014069321</t>
  </si>
  <si>
    <t xml:space="preserve">AA-632-FC-AR 35 </t>
  </si>
  <si>
    <t>PNEU 385/65R22.5 BLACKRIDER /1822013068520-1822013069451</t>
  </si>
  <si>
    <t>AA-632-FC-AR35</t>
  </si>
  <si>
    <t>PNEU 315/80R22.5 ROADTRACK / 341009A2003-314009C0907</t>
  </si>
  <si>
    <t>AA-632-FC-AR36</t>
  </si>
  <si>
    <t>PNEU 315/80R22.5 BLACKRIDER / 182301310581-182301308139</t>
  </si>
  <si>
    <t>21/012025</t>
  </si>
  <si>
    <t>PNEU 385/65R22.5 BLACKRIDER / 1822013068336</t>
  </si>
  <si>
    <t>AA-541-FCAR-37</t>
  </si>
  <si>
    <t>PNEU 385/65R22.5 HUNTEROAD/EB046391/EB014831</t>
  </si>
  <si>
    <t>3558LY01-AR05</t>
  </si>
  <si>
    <t>PNEU 315/80R22.5 BLACKRIDER/ 1823013013062428</t>
  </si>
  <si>
    <t>27/01/202544</t>
  </si>
  <si>
    <t xml:space="preserve">BARIQUE 15W40 200L </t>
  </si>
  <si>
    <t>3495JJ01-AR23</t>
  </si>
  <si>
    <t>PNEU 315/80R22.5 BLACKRIDER / 1823013108374 - 1822053078597</t>
  </si>
  <si>
    <t>PNEU 315/80R22.5 BLACKRIDER / 1822053094588</t>
  </si>
  <si>
    <t>PNEU 385/65R22.5 LONGTRACK / 141113A2612</t>
  </si>
  <si>
    <t>PNEU 315/80R22.5 BLACKRIDER /182301310789</t>
  </si>
  <si>
    <t>PNEU 315/80R222.5 ZEXTOUR / 24204A16037</t>
  </si>
  <si>
    <t>PNEU 385/65R22.5 LONGTRACK / 241111A2613</t>
  </si>
  <si>
    <t>PNEU 385/65444R22.5 KELLY /37989177</t>
  </si>
  <si>
    <t>PNEU 385/65R22.5 LONGTRACK/24110A2603-24114A2604</t>
  </si>
  <si>
    <t>348JE01</t>
  </si>
  <si>
    <t>2557JZ01-AR06</t>
  </si>
  <si>
    <t>PNEU 385/65R22.5 LONGTRACK / 140922A2312</t>
  </si>
  <si>
    <t>AA-567-FC AR20</t>
  </si>
  <si>
    <t>PNEU 385/65R22.5 ROADTRACK / 341117A264</t>
  </si>
  <si>
    <t>AA-541-FC AR37</t>
  </si>
  <si>
    <t>PNEU 315/80R22.5  HUNTERROAD / EA41026K</t>
  </si>
  <si>
    <t xml:space="preserve">PNEU 295/80RR22.5 KELLY . DA44523K - DA44542K </t>
  </si>
  <si>
    <t>PNEU 385/65R22.5 JK / C0059484524</t>
  </si>
  <si>
    <t>AA-532-FC AR21</t>
  </si>
  <si>
    <t>PNEU 385.65R22.5 JK / C0050252424</t>
  </si>
  <si>
    <t xml:space="preserve">PAYE ESPECE </t>
  </si>
  <si>
    <t>PNEU 13R22.5 BLACKRIDER /1815011026812/1815011022147</t>
  </si>
  <si>
    <t>PNEU 385/65R22.5 RTAITONG/1822013058863</t>
  </si>
  <si>
    <t>PNEU 315/80R22.5 BLACKRIDR/18230130282941</t>
  </si>
  <si>
    <t>PNEU 315/80R22.5 BLACKRIDER /1823013062197</t>
  </si>
  <si>
    <t>6742FY01-AR29/</t>
  </si>
  <si>
    <t xml:space="preserve">PNEU 385/65R22.5  TAITONG </t>
  </si>
  <si>
    <t xml:space="preserve">HUILE MOTEUR SAIBOT SAE 50 </t>
  </si>
  <si>
    <t xml:space="preserve">PNEU 385/65R22.5 TAITONG </t>
  </si>
  <si>
    <t>PNEU 385/65R22.5 TAITONG /1822013058494</t>
  </si>
  <si>
    <t>PNEU 315/80R22.5 BLACKRIDER/1822053093661</t>
  </si>
  <si>
    <t>AA243NN</t>
  </si>
  <si>
    <t>PNEU 385/65R22/5TAITONG/1822013058455</t>
  </si>
  <si>
    <t xml:space="preserve">6756HU01-BEN 23 </t>
  </si>
  <si>
    <t>PNEU 385/65R22.5 /EC49926K</t>
  </si>
  <si>
    <t>JANTE</t>
  </si>
  <si>
    <t>PNEU 385/65R22.5 TAITONG 18220130058503 /FB56717A</t>
  </si>
  <si>
    <t>2266LA01</t>
  </si>
  <si>
    <t>PNEU 385/65R22.5 /FB56717A</t>
  </si>
  <si>
    <t>PNEU 295/80R22.5 BRIDGESTONNE /M0Y408200</t>
  </si>
  <si>
    <t xml:space="preserve">BATTERIE 150 AH WHILL </t>
  </si>
  <si>
    <t>6756HU-N23</t>
  </si>
  <si>
    <t>PNEU 385/65R22.5 /FB50410A</t>
  </si>
  <si>
    <t>PNEU 315/80R22.5 BLACKRIDER/ 1822053094322/1823013051535</t>
  </si>
  <si>
    <t xml:space="preserve">HUILE BIUDON SAE 50 </t>
  </si>
  <si>
    <t>HUILE BIUDON SAE 50</t>
  </si>
  <si>
    <t>PNEU BLACKRIDER 13R22.5 MIXYE 1819041039241/1819041039228</t>
  </si>
  <si>
    <t>PNEU 385/65R22.5/EA53632K</t>
  </si>
  <si>
    <t>3558LY01-1056KA01-CB09361L</t>
  </si>
  <si>
    <t xml:space="preserve">PNEU 11R22.5 </t>
  </si>
  <si>
    <t xml:space="preserve">COCH DE BATTERIE </t>
  </si>
  <si>
    <t xml:space="preserve">PNEU 385/65R22.5 FIREMAX </t>
  </si>
  <si>
    <t xml:space="preserve">BATTERIE 150 AH BEYONIX </t>
  </si>
  <si>
    <t xml:space="preserve">PNEU 385/65R22.5 </t>
  </si>
  <si>
    <t xml:space="preserve">BATTERIE 180 AH </t>
  </si>
  <si>
    <t xml:space="preserve">BIDON HUILE SAE 50 </t>
  </si>
  <si>
    <t>PNEU 155/70R13 TRANSMATE/AA-966-T</t>
  </si>
  <si>
    <t>PNEU 155/70R13 TRANSMATE/AA-314-EG</t>
  </si>
  <si>
    <t>PNEU 155/70R13 TRANSMATE/AA-297-EG</t>
  </si>
  <si>
    <t>PNEU 155/70R13 TRANSMATE</t>
  </si>
  <si>
    <t>PNEU 155/70R13 TRANSMATE /1024</t>
  </si>
  <si>
    <t>PNEU TRANSMATTE 155/70R13 /1024LT01</t>
  </si>
  <si>
    <t>PNEU TRANSMATE 155/70R13</t>
  </si>
  <si>
    <t xml:space="preserve">PNEU TRANSMATTE155/70R13 /AA-759-AL </t>
  </si>
  <si>
    <t>PNEU TRANSMATTE 155/70R13 /969LT01</t>
  </si>
  <si>
    <t>PNEU 155/70R13 /AA-987-AP</t>
  </si>
  <si>
    <t>PARALLELISME/ 233HE01</t>
  </si>
  <si>
    <t>PNEU TRANSMATE 235/55R17</t>
  </si>
  <si>
    <t>PNEUTRANSMATE 225/45R17</t>
  </si>
  <si>
    <t xml:space="preserve">PNEU 315/80R22,5 EUROPEEN </t>
  </si>
  <si>
    <t xml:space="preserve">JANTE 15 ALU </t>
  </si>
  <si>
    <t>RAS DE BACHE</t>
  </si>
  <si>
    <t>BEDLINER</t>
  </si>
  <si>
    <t xml:space="preserve">PAR-BUFLE AVANT </t>
  </si>
  <si>
    <t xml:space="preserve">HUILE BIDON SAE 50 </t>
  </si>
  <si>
    <t xml:space="preserve">BATTERIE 75 AH GSM </t>
  </si>
  <si>
    <t>BATTERIE 74 AH BOSCH</t>
  </si>
  <si>
    <t>PNEU 225/70R16C MXSS</t>
  </si>
  <si>
    <t>PNEU 195/60R15</t>
  </si>
  <si>
    <t>BATTERIE 140 AH BOSH</t>
  </si>
  <si>
    <t xml:space="preserve">PNEU 265/55R19 DUNLOP </t>
  </si>
  <si>
    <t>PNEU 245/40R20 GLEDE</t>
  </si>
  <si>
    <t>PNEU 235/60R18 GLEDE</t>
  </si>
  <si>
    <t>PNEU 225/50R17 GLEDDE</t>
  </si>
  <si>
    <t>PNEU 235/60R18 TRANSMATE</t>
  </si>
  <si>
    <t>PNEU 235/55R19 GLEDE</t>
  </si>
  <si>
    <t>SAMFO</t>
  </si>
  <si>
    <t xml:space="preserve">4 BRAS DE HAUT </t>
  </si>
  <si>
    <t xml:space="preserve">CYLINTEBLOC AVANT </t>
  </si>
  <si>
    <t xml:space="preserve">PNEU 255/55R20 GLEDE </t>
  </si>
  <si>
    <t xml:space="preserve">HUILE MOTEUR 10W40 5L </t>
  </si>
  <si>
    <t xml:space="preserve">PNEU 155/70R13 TRANSMATTE </t>
  </si>
  <si>
    <t>PNEU 205/16C BRIDGESTONNE</t>
  </si>
  <si>
    <t>PNEU 265/65R17DUNLOP</t>
  </si>
  <si>
    <t>PNEU 385/65R22.5 LONG TRACK/241231A2608</t>
  </si>
  <si>
    <t>PNEU 255/50R20 GLEDE</t>
  </si>
  <si>
    <t>PNEU 13R22?5 MIXTE</t>
  </si>
  <si>
    <t xml:space="preserve">PNEU 225/65R17 GLEDE </t>
  </si>
  <si>
    <t xml:space="preserve">PNEU 825R16 MIXTE </t>
  </si>
  <si>
    <t>PNEU 825/16 MIXTE</t>
  </si>
  <si>
    <t>PNEU 13RR2.5 MIXTE</t>
  </si>
  <si>
    <t>PNEU 205/55R16 GLEDE</t>
  </si>
  <si>
    <t>PNEU 225.65R17 GLEDE</t>
  </si>
  <si>
    <t xml:space="preserve">PNEU 235/60R18 GLED </t>
  </si>
  <si>
    <t>PNEU 215/50R17 GLEDE</t>
  </si>
  <si>
    <t xml:space="preserve">HUILE MOTEUR SAE 50 20L </t>
  </si>
  <si>
    <t>SILENTBLOC DE BRAS AV</t>
  </si>
  <si>
    <t>PNEU 155/70R13 / AA-131-AN</t>
  </si>
  <si>
    <t xml:space="preserve">PNEU 385.65R22.5 </t>
  </si>
  <si>
    <t>PNEU 155/70R16 TRANSMATE</t>
  </si>
  <si>
    <t>22/07/2025 / LIQUIDE RADIATEUR</t>
  </si>
  <si>
    <t xml:space="preserve">  22/07/2025 CABLE DE VITESSE COMPLET </t>
  </si>
  <si>
    <t xml:space="preserve">22/07/2025/ MAIN DOEUVRE </t>
  </si>
  <si>
    <t xml:space="preserve">COSH DE BATTERIE </t>
  </si>
  <si>
    <t>BATTERIE 75 AH KING LION</t>
  </si>
  <si>
    <t>PNEU 155/70R13 TRANSMATE/970LT01</t>
  </si>
  <si>
    <t>PNEU 385/65R22.5 /50091HZ01-AR 18 /150104A2603</t>
  </si>
  <si>
    <t xml:space="preserve">MOUNTAIN TOP </t>
  </si>
  <si>
    <t>ROLL BAR</t>
  </si>
  <si>
    <t xml:space="preserve">PAR BUFLE AV </t>
  </si>
  <si>
    <t xml:space="preserve">PAR BUFLE ARRIERE </t>
  </si>
  <si>
    <t xml:space="preserve">PNEU 235/60R18 GLEDE </t>
  </si>
  <si>
    <t>PNEU 285/70R19.5</t>
  </si>
  <si>
    <t xml:space="preserve">BALAI ESSUI GLASS </t>
  </si>
  <si>
    <t>BATTERIE 200 AH AUTO ENERGY /7598HE01</t>
  </si>
  <si>
    <t>NETCOM</t>
  </si>
  <si>
    <t>PNEU BLACKRIDER 315/80R22.5 MIXTE</t>
  </si>
  <si>
    <t>BATTERIE 150 AH AUTO ENERGY</t>
  </si>
  <si>
    <t>PNEU 2385/65R22.5 LONGTRACK/AA-532-FC/25011A2613</t>
  </si>
  <si>
    <t xml:space="preserve">PNEU 225/55R18 GLEDE </t>
  </si>
  <si>
    <t>PNEU 245/50R20 KHUMO</t>
  </si>
  <si>
    <t xml:space="preserve">BEDLINER AR </t>
  </si>
  <si>
    <t xml:space="preserve">BATTERIE 180 AH ESAN </t>
  </si>
  <si>
    <t>PNEU 155/70R13 TRANSMATE/AA770 AL</t>
  </si>
  <si>
    <t xml:space="preserve">PAYE PARCHEQUE </t>
  </si>
  <si>
    <t>PNEU 31X10-50R15</t>
  </si>
  <si>
    <t>SAIBOT ISO 68</t>
  </si>
  <si>
    <t>PNEU 385/65R22.5 LONGTRACK/3487JE01-AR15/24230A2613</t>
  </si>
  <si>
    <t>PAYE CHEQU E</t>
  </si>
  <si>
    <t>PNEU 385/65R22.5 APPOLO</t>
  </si>
  <si>
    <t>BIDON D'HUILE 15W40 20L</t>
  </si>
  <si>
    <t xml:space="preserve">BARRIQUE DE GRAISSE </t>
  </si>
  <si>
    <t>PNEU 7.50R16</t>
  </si>
  <si>
    <t xml:space="preserve">PNEU 315/80R22.5 ZEXTOUR </t>
  </si>
  <si>
    <t>FILTRE A HUILE 15600-41010</t>
  </si>
  <si>
    <t>HUILE DE FREIN STOP</t>
  </si>
  <si>
    <t>BLACKRIDER 315/80R22,5</t>
  </si>
  <si>
    <t>PNEU 225/75R16C</t>
  </si>
  <si>
    <t>BATTERIE 200AH</t>
  </si>
  <si>
    <t>BATTERIE 180AH</t>
  </si>
  <si>
    <t xml:space="preserve">PNEU 9.5R17,5 TAITONG </t>
  </si>
  <si>
    <t xml:space="preserve">PNEU 7.50R16 PD TAITONG </t>
  </si>
  <si>
    <t>PNEU 13R22,5 KAPSEN MXTE</t>
  </si>
  <si>
    <t>HUILE MOTEUR 15W40 SAIBOT 20L</t>
  </si>
  <si>
    <t xml:space="preserve">HUILE APEX 68 HYDRAULIQUE </t>
  </si>
  <si>
    <t xml:space="preserve">BARIQUE HUILE SAE 50 200L </t>
  </si>
  <si>
    <t>BARIQUE DE GRAISSE EP-3 180KG</t>
  </si>
  <si>
    <t>PNEU 385/65R22,5 LONGTRACK</t>
  </si>
  <si>
    <t xml:space="preserve">BATTERIE 200AH TACOMA </t>
  </si>
  <si>
    <t>BATTERIE 100AH CONTINENTAL</t>
  </si>
  <si>
    <t>BATTERIE 75AH CONTINENTAL</t>
  </si>
  <si>
    <t xml:space="preserve">HUILE DE FREIN </t>
  </si>
  <si>
    <t>BARIQUE D'HUILE HYDRAULIQUE 200L</t>
  </si>
  <si>
    <t>BIDON D'HUILE 68 20L</t>
  </si>
  <si>
    <t>HUILE 15W40 20L</t>
  </si>
  <si>
    <t>BARIQUE HUILE 10W</t>
  </si>
  <si>
    <t>BARRIQUE DE GRAISSE EP3</t>
  </si>
  <si>
    <t>BARIQUE HUILE 15W40 SAIBOT 200L</t>
  </si>
  <si>
    <t xml:space="preserve">PNEU 185R14C </t>
  </si>
  <si>
    <t>PNEU 275/60R20</t>
  </si>
  <si>
    <t>PNEU BRIDGESTONE 205R16</t>
  </si>
  <si>
    <t>BATTERIE BEYONIX 150AH</t>
  </si>
  <si>
    <t>BATTERIE BEYONIX 120AH</t>
  </si>
  <si>
    <t>BATTERIE 120AH CONTINENTAL</t>
  </si>
  <si>
    <t>PNEU 825/20</t>
  </si>
  <si>
    <t>PNEU 900/20</t>
  </si>
  <si>
    <t>BARIQUE D'HUILE G10 15W40</t>
  </si>
  <si>
    <t>BARIQUE 10W 200L</t>
  </si>
  <si>
    <t>BARIQUE 15W40 G10 200L</t>
  </si>
  <si>
    <t>BARIQUE 15W SAIBOT 200L</t>
  </si>
  <si>
    <t>BARIQUE SAE 50 SAIBOT 200L</t>
  </si>
  <si>
    <t>BARIQUE  SAE 50 200L</t>
  </si>
  <si>
    <t>BARIQUE 68 200L</t>
  </si>
  <si>
    <t>BATTERIE 200AH VISCA POWER</t>
  </si>
  <si>
    <t xml:space="preserve">BATTERIE 75AH BEYONIX </t>
  </si>
  <si>
    <t xml:space="preserve">PNEU 275/70R22,5 TAITONG </t>
  </si>
  <si>
    <t xml:space="preserve">PNEU 315/80R22,5 MIXTE </t>
  </si>
  <si>
    <t xml:space="preserve">PNEU 265/70R19,5 TAITONG </t>
  </si>
  <si>
    <t>PNEU 9.22.5</t>
  </si>
  <si>
    <t>PNEEU 315/80R22.5</t>
  </si>
  <si>
    <t xml:space="preserve">CRICK HYDR0LIQUE </t>
  </si>
  <si>
    <t>PNEU BLACKRIDER 750/16</t>
  </si>
  <si>
    <t>PNEU 1195/65R15 GLEDE</t>
  </si>
  <si>
    <t xml:space="preserve">PNEU 700/16 TAITONG </t>
  </si>
  <si>
    <t>BATTERIE 70 AH CONTINETAL</t>
  </si>
  <si>
    <t>HUILE MOTEUR SAE50 20L</t>
  </si>
  <si>
    <t>BATTERIE 200 AH VISCA</t>
  </si>
  <si>
    <t>PNEU  13R22.5 MIXTE</t>
  </si>
  <si>
    <t xml:space="preserve">BATTERIE 120 AH BEYONIX </t>
  </si>
  <si>
    <t>SAE 50 20L</t>
  </si>
  <si>
    <t>HYDROLIQUE 68 20 L</t>
  </si>
  <si>
    <t xml:space="preserve">PNEU 315/80R22.5 JK </t>
  </si>
  <si>
    <t>HUILE 46 20</t>
  </si>
  <si>
    <t xml:space="preserve">BARIQUE 80W90 200L </t>
  </si>
  <si>
    <t>BARIQUE 15W40 200L</t>
  </si>
  <si>
    <t>BARIQUE 10 W 200 L</t>
  </si>
  <si>
    <t xml:space="preserve">PNEU 9.5R17.5 </t>
  </si>
  <si>
    <t>PNEU 265/70R19.5</t>
  </si>
  <si>
    <t>BATTERIE 170 AH ALAMAN</t>
  </si>
  <si>
    <t xml:space="preserve">HUILE HYDROLIQUE 68 SAIBOT </t>
  </si>
  <si>
    <t xml:space="preserve">HUILE HYDROLIQUE46 SAIBOT 20L </t>
  </si>
  <si>
    <t xml:space="preserve">ISO 680 200L SAIBOT </t>
  </si>
  <si>
    <t>HYDROLIQUE 68 200 L</t>
  </si>
  <si>
    <t xml:space="preserve">SAE 50 200L </t>
  </si>
  <si>
    <t xml:space="preserve">HUILE 10 W 200L SAIBOT </t>
  </si>
  <si>
    <t xml:space="preserve">PNEU 195/65R15 GLEDE </t>
  </si>
  <si>
    <t>PNEU 225/70R15C MXSS</t>
  </si>
  <si>
    <t>PNEU 195R15C HABLID</t>
  </si>
  <si>
    <t>PNEU 265/65R17 KINGBOSS</t>
  </si>
  <si>
    <t>PNEU 245/70R16 KINGBOSS</t>
  </si>
  <si>
    <t>BATTERIE 100 AH NOVAL</t>
  </si>
  <si>
    <t xml:space="preserve">BATTERIE 75 AH NOVAL </t>
  </si>
  <si>
    <t>BOOSTER DE VOLVO</t>
  </si>
  <si>
    <t>BARIQUE DHUILE 15W40 200 L</t>
  </si>
  <si>
    <t>LIQUIDE DE REFROIDISSEMENT 5L VALEO</t>
  </si>
  <si>
    <t xml:space="preserve">BATTERIE 90 AH FREEBAT </t>
  </si>
  <si>
    <t xml:space="preserve">PNEU 13R22.5 BLACKRIDER </t>
  </si>
  <si>
    <t xml:space="preserve">PNEU 13R22.5 MIXYE </t>
  </si>
  <si>
    <t>HUILE MOTEUR 80W90 20 L</t>
  </si>
  <si>
    <t>13/05/2025£</t>
  </si>
  <si>
    <t>PNEU 225/60R17 GLEDE</t>
  </si>
  <si>
    <t xml:space="preserve">BARIQUE 10 W 200L SAIBOT </t>
  </si>
  <si>
    <t xml:space="preserve">BARIQUE DE GRAISSE 180 KG </t>
  </si>
  <si>
    <t xml:space="preserve">BARIQUE 220 SAIBOT 200L </t>
  </si>
  <si>
    <t>HUILE SAE 50 20L</t>
  </si>
  <si>
    <t xml:space="preserve">SAIBOT SAE 50 </t>
  </si>
  <si>
    <t>SAIBOT SAE 68</t>
  </si>
  <si>
    <t xml:space="preserve">BALON DAF </t>
  </si>
  <si>
    <t>PNEU TAITONG 235/75R17.5</t>
  </si>
  <si>
    <t>BATTERIE 180 AH</t>
  </si>
  <si>
    <t>PNEU 315/80R22.5 PD</t>
  </si>
  <si>
    <t>PNEU 225/60R17 KAPSEN</t>
  </si>
  <si>
    <t>HUILE 680 200L</t>
  </si>
  <si>
    <t>HUILE MOTEUR SAE50200L</t>
  </si>
  <si>
    <t>PNEU 315/80R22.5 UPD</t>
  </si>
  <si>
    <t>PNEU 225/60R18</t>
  </si>
  <si>
    <t>G10 SAE 10 W</t>
  </si>
  <si>
    <t xml:space="preserve">ISO 15W40 200L </t>
  </si>
  <si>
    <t>PNEU 205R16C KAPSEN</t>
  </si>
  <si>
    <t>PNEU 385/65R22.5 GOODYEAR</t>
  </si>
  <si>
    <t>PNEU 235/70R16 GLEDE</t>
  </si>
  <si>
    <t>BIDON 15W40 20L</t>
  </si>
  <si>
    <t>BIDON SAE 50 20L</t>
  </si>
  <si>
    <t>PNEU 205R16C</t>
  </si>
  <si>
    <t xml:space="preserve">PNEU BLACKRIDER13R22.5 </t>
  </si>
  <si>
    <t>BIDON HUILE SAIBOT 20L 68</t>
  </si>
  <si>
    <t>HUILE BIDON SAIBOT SAE 50 20L</t>
  </si>
  <si>
    <t>PNEU 235/70R16 KING BOSS</t>
  </si>
  <si>
    <t xml:space="preserve">PNEU 195/70R15C TRANSMATE </t>
  </si>
  <si>
    <t xml:space="preserve">185/65R15 NAATS </t>
  </si>
  <si>
    <t>PNEU 185/65R14 GLEDE</t>
  </si>
  <si>
    <t>PNEU MXSS 225/70R15C</t>
  </si>
  <si>
    <t>BATTERIE AUTO ENERGY 150 AH</t>
  </si>
  <si>
    <t xml:space="preserve">BATTERIE AUTO ENERGY 100 AH </t>
  </si>
  <si>
    <t xml:space="preserve">BATTERIE AUTO ENERGY 75 AH </t>
  </si>
  <si>
    <t>PNEU 245/65R17 GLEDE</t>
  </si>
  <si>
    <t>PNEU GLEDE 225/65R17 GLEDE</t>
  </si>
  <si>
    <t xml:space="preserve">BATTERIE 200 AH </t>
  </si>
  <si>
    <t xml:space="preserve">BATTERIE 75 AH KING LION </t>
  </si>
  <si>
    <t xml:space="preserve">PNEU 215/55R18 GLEDE </t>
  </si>
  <si>
    <t xml:space="preserve">HUILE ISO 68 200L </t>
  </si>
  <si>
    <t>BATTERIE 100 AH AUTO ENERGY</t>
  </si>
  <si>
    <t>BATTERIE 75 AH AUTO ENERGY</t>
  </si>
  <si>
    <t>PAYEV</t>
  </si>
  <si>
    <t>HUILE 46 20L</t>
  </si>
  <si>
    <t>ESSUIE GLESS BOSH 16/18/20</t>
  </si>
  <si>
    <t>HUILE DE FREIN CARTON</t>
  </si>
  <si>
    <t>SAE 10 W</t>
  </si>
  <si>
    <t>PNEU 195R15C GLEDE</t>
  </si>
  <si>
    <t>HUILE 10W</t>
  </si>
  <si>
    <t>BIDON HUILE 80W90 20L</t>
  </si>
  <si>
    <t>PNEU 235/55R18 GLEDE</t>
  </si>
  <si>
    <t xml:space="preserve">1419LR01/ 155/70R13 TRANSMATE </t>
  </si>
  <si>
    <t xml:space="preserve">PNEU 185/65R15 </t>
  </si>
  <si>
    <t>PNEU 265/60R18 GLEDE</t>
  </si>
  <si>
    <t xml:space="preserve">PNEU 155/70R13 TRANSMATE </t>
  </si>
  <si>
    <t>PNEU 225/50R17 GLEDE</t>
  </si>
  <si>
    <t>PNEU 155/70R13 TRANSMATE -AA-751AL</t>
  </si>
  <si>
    <t>PNEU 155/70R13 TRANSMATE/AA-154 AQ</t>
  </si>
  <si>
    <t>PNEU 155/70R13 TRANSMATE AA-746AL</t>
  </si>
  <si>
    <t>PNEU 385/65R22.5 LONGTRACK/341231A2611</t>
  </si>
  <si>
    <t>PNEU 315/80R22.5 BLACKRIDER/1822053034625</t>
  </si>
  <si>
    <t>HUILE MOTEUR SAE 50  20L</t>
  </si>
  <si>
    <t>BATTERIE 75 AH LION KING</t>
  </si>
  <si>
    <t xml:space="preserve">BATTERIE 100 AH LION KING </t>
  </si>
  <si>
    <t>PNEU 265/60R18</t>
  </si>
  <si>
    <t xml:space="preserve">PNEU 825/16 </t>
  </si>
  <si>
    <t xml:space="preserve">PNEU 205/16C BRIDGESTPONNE </t>
  </si>
  <si>
    <t>PARALELLISME</t>
  </si>
  <si>
    <t>PNEU 315/70R22.5</t>
  </si>
  <si>
    <t xml:space="preserve">PNEU 155/70R13 TRAN??SMATE/065LT </t>
  </si>
  <si>
    <t>PNEU 155/70R13 TRANSMATE /174LE</t>
  </si>
  <si>
    <t>HUILE MTEUR SAE 50 20L</t>
  </si>
  <si>
    <t>PNEU 385/65R22.5/FA27060A/4096Y01</t>
  </si>
  <si>
    <t>VIDANGE AA695 / SUZUKI</t>
  </si>
  <si>
    <t>NAPE DE CLAXON SUZUKI</t>
  </si>
  <si>
    <t xml:space="preserve">PNEU 175/65R14 GOOD YEAR </t>
  </si>
  <si>
    <t>PAYE PAR CHEQUE</t>
  </si>
  <si>
    <t>DEMARCHEUR/116000</t>
  </si>
  <si>
    <t xml:space="preserve">HUILE MOTEUR SAE50 200L </t>
  </si>
  <si>
    <t>PNEU 255/55R20 GLEDE</t>
  </si>
  <si>
    <t>PNEU 265/65R18 GLEDE</t>
  </si>
  <si>
    <t>BATTERIE 75 AH LION KING MR ZALZALE</t>
  </si>
  <si>
    <t>EVAPEAU DE CLIM KIA MR ZALZALE</t>
  </si>
  <si>
    <t>TOLERIE PËINTURE KIA MR ZALZALE</t>
  </si>
  <si>
    <t xml:space="preserve">B ATTERIE 100 MR ZALZALE </t>
  </si>
  <si>
    <t xml:space="preserve">BATTERIE 180H </t>
  </si>
  <si>
    <t xml:space="preserve">BOUGIE </t>
  </si>
  <si>
    <t xml:space="preserve">BEDLINER </t>
  </si>
  <si>
    <t xml:space="preserve">ROLL BAR </t>
  </si>
  <si>
    <t xml:space="preserve">PNEU 13R22.5 MIXTE </t>
  </si>
  <si>
    <t xml:space="preserve">BATTERIE 75 AH LION KING </t>
  </si>
  <si>
    <t>PNE 205/60R16 GLEDE</t>
  </si>
  <si>
    <t>PNEU 155/70R13 TRANSMATE /1744LE01</t>
  </si>
  <si>
    <t>PNEU 155/70R13 TRANSMATE /AA-492-EQ</t>
  </si>
  <si>
    <t xml:space="preserve">PNEU 155/70R13 TRANSMATE /AA-653-AJ </t>
  </si>
  <si>
    <t>PNEU 13R22.5 CAMION/ 1907</t>
  </si>
  <si>
    <t>PNEU 155/70R13 TRANSMATE /AA-309-AG</t>
  </si>
  <si>
    <t xml:space="preserve">PNEU 155/70R13 TRANSMATE /AA-748-AL </t>
  </si>
  <si>
    <t>PLAQUETTE DE FREIN HILUX</t>
  </si>
  <si>
    <t xml:space="preserve">GARNITURE AR HILUX </t>
  </si>
  <si>
    <t xml:space="preserve">PLAQUETE AV CAMIONETTE </t>
  </si>
  <si>
    <t xml:space="preserve">GARNITURE AR CAMIONETTE </t>
  </si>
  <si>
    <t xml:space="preserve">PNEU 225/65R17 BRIDGESTONNE </t>
  </si>
  <si>
    <t>PNEU TRANSMATE 155/70R13 AA-746al</t>
  </si>
  <si>
    <t xml:space="preserve">PNEU 265/65R17 BRIDGESTONNE </t>
  </si>
  <si>
    <t xml:space="preserve">ESSUI GLASSE </t>
  </si>
  <si>
    <t xml:space="preserve">PNEU 235/55R19 GLEDE </t>
  </si>
  <si>
    <t xml:space="preserve">MOUTAIN TOP </t>
  </si>
  <si>
    <t xml:space="preserve">PNEU 13RR22.5 MIXTE </t>
  </si>
  <si>
    <t xml:space="preserve">PNEU 155/70 R13 TRANSMATE </t>
  </si>
  <si>
    <t>PNEU 315/80R22.5 BLACKRIDER /18190210706</t>
  </si>
  <si>
    <t>PNEU 385/65R22.5 HUNTEROAD FA1120A</t>
  </si>
  <si>
    <t>PNEU 315/80R22.5 MIXTE /150226A2613</t>
  </si>
  <si>
    <t xml:space="preserve">REPARATION TOYOTA HILUX </t>
  </si>
  <si>
    <t xml:space="preserve">BATTERIE 75 1H </t>
  </si>
  <si>
    <t xml:space="preserve">COSH BE BATERIE </t>
  </si>
  <si>
    <t>PNEU  385/65R22.5 LONGTRACK/ 181503102198</t>
  </si>
  <si>
    <t>PNEU 385/65R22.5 LONGTRACK / 150227A2609</t>
  </si>
  <si>
    <t>PNEU 315/80R22.5 BLACKRIDER  / 18120221023446</t>
  </si>
  <si>
    <t>PNEU 385/65R22.5 LONGTRACK / 1812021014990</t>
  </si>
  <si>
    <t>PNEU 315/80R22.2 BLACKRIDER / 250210A2602</t>
  </si>
  <si>
    <t>PNEU 315/80R.22.5 BLACKRUSER /1815031017466- 181202101441-1819021023649</t>
  </si>
  <si>
    <t>PNEU 315/80R22.5 BLACKRIDER / 182301350788</t>
  </si>
  <si>
    <t>PNEU 11R22.5 / 250925B1808</t>
  </si>
  <si>
    <t>PNEU 385/65R22.5 LONGTRACK / 250231129881</t>
  </si>
  <si>
    <t>PNEU 385/65R22.5 /150212A2615</t>
  </si>
  <si>
    <t xml:space="preserve">JANTE 315 </t>
  </si>
  <si>
    <t xml:space="preserve">BATTERIE 180AH </t>
  </si>
  <si>
    <t>PNEU 315§80R22.5 BLACKRIDER/ 1822053034626</t>
  </si>
  <si>
    <t>PNEU 385/65R22.5 LONGTRACK / 0250226A2614</t>
  </si>
  <si>
    <t>PNEU 385/65R22.5 LONGTRACK / 2502210A2618</t>
  </si>
  <si>
    <t>PNEU 385/65R22.5 LONGTRACK / 150220A25275</t>
  </si>
  <si>
    <t>PNEU 315/80R22.5 BLACKRIDER / 1821033140675</t>
  </si>
  <si>
    <t>PNEU 11R22.5 MIXTE / B315033732</t>
  </si>
  <si>
    <t>BATTERIZ 75AH KING LION</t>
  </si>
  <si>
    <t xml:space="preserve">PNEU 215/75R17.5 </t>
  </si>
  <si>
    <t xml:space="preserve">HUILE 80W90 20L </t>
  </si>
  <si>
    <t xml:space="preserve">ATF 20L </t>
  </si>
  <si>
    <t xml:space="preserve">LIQUIDE DE RADIATEUR </t>
  </si>
  <si>
    <t xml:space="preserve">HUILE 15W40 20L </t>
  </si>
  <si>
    <t xml:space="preserve">PNEU 750R16 </t>
  </si>
  <si>
    <t xml:space="preserve">PLAQUETTE </t>
  </si>
  <si>
    <t xml:space="preserve">CRICK 50 T </t>
  </si>
  <si>
    <t xml:space="preserve">CRICK 32T </t>
  </si>
  <si>
    <t xml:space="preserve">BARIQUE HUILE 220 200L </t>
  </si>
  <si>
    <t>BARIQUE HUILE MOTEZUR SAE50 200L</t>
  </si>
  <si>
    <t xml:space="preserve">HUILE HYDROLIQUE 68 200L </t>
  </si>
  <si>
    <t>PNEU 215/75R17.5 / EL AHJ</t>
  </si>
  <si>
    <t>PNEU 215/75R17.5 /AA794AP</t>
  </si>
  <si>
    <t>PNEU 155/70R13 /970LT01</t>
  </si>
  <si>
    <t>PNEU 155/70R13/1744LE01</t>
  </si>
  <si>
    <t>PNEU 155/70R13 /AA-625-AJ</t>
  </si>
  <si>
    <t>TOLERIE/PEINTURE/POLYESTER GHALEB Z</t>
  </si>
  <si>
    <t>BATTERIE 74 AH B OSH</t>
  </si>
  <si>
    <t>PNEU 13R22.5 MIXTE / 20212A09</t>
  </si>
  <si>
    <t>PNEU 315/80R22.5 MIXTE/2419</t>
  </si>
  <si>
    <t>PNEU 315/80R22.5 MIXTE/4919JC01</t>
  </si>
  <si>
    <t>BATTERIE 180 AH /1693HT01</t>
  </si>
  <si>
    <t>BEDLINER /CH286900</t>
  </si>
  <si>
    <t>ROLBAR /CH 286900</t>
  </si>
  <si>
    <t>MOUNTAIN TOP / CH 286900</t>
  </si>
  <si>
    <t>8651JH01BPNEU 225/70R15C</t>
  </si>
  <si>
    <t xml:space="preserve">GARNITURE </t>
  </si>
  <si>
    <t>PNEU 13R22.5 LONGTRACK</t>
  </si>
  <si>
    <t xml:space="preserve">PNEU 385/65R22.5 LONGTRACK </t>
  </si>
  <si>
    <t>PNEU 13R22.5 LONGTRACK GD</t>
  </si>
  <si>
    <t xml:space="preserve">PNEU 225/655R19 GLEDE </t>
  </si>
  <si>
    <t xml:space="preserve">PNEU 225/60R18 GLEDE </t>
  </si>
  <si>
    <t xml:space="preserve">PNEU 255/40R18 GLEDE </t>
  </si>
  <si>
    <t xml:space="preserve">PNEU 225./60R17 GLEDE </t>
  </si>
  <si>
    <t xml:space="preserve">PNEU 245/50R18 GLEDE </t>
  </si>
  <si>
    <t xml:space="preserve">PNEU 225/60R17 GLEDE </t>
  </si>
  <si>
    <t xml:space="preserve">PNEU 245/40R20 GLEDE </t>
  </si>
  <si>
    <t xml:space="preserve">PNEU 265/65R17 GLEDE </t>
  </si>
  <si>
    <t xml:space="preserve">PNEU 235/65R17 GLEDE </t>
  </si>
  <si>
    <t xml:space="preserve">PNEU 275/45R21 GLEDE </t>
  </si>
  <si>
    <t xml:space="preserve">PNEU 175/65R14 GLEDE </t>
  </si>
  <si>
    <t>JANTE 16 /CH985262</t>
  </si>
  <si>
    <t>PNEU 215/60R16 KING BOSS</t>
  </si>
  <si>
    <t>PNEU 315/40R21</t>
  </si>
  <si>
    <t>PNEU 275/45R21</t>
  </si>
  <si>
    <t xml:space="preserve">MONTAGE/ PARALLELISME </t>
  </si>
  <si>
    <t>PNEU 155/70R13 TRANSMATE /AA-167-AQ</t>
  </si>
  <si>
    <t xml:space="preserve">PNEU 750/16 </t>
  </si>
  <si>
    <t>CRICK 50 T</t>
  </si>
  <si>
    <t>HAUT PARLEUR / KIA MR ZALZALE</t>
  </si>
  <si>
    <t>AGRAPHE/PASSAGE DE ROUX / GHALEB .Z</t>
  </si>
  <si>
    <t>ANTI BROUILLARD /GHALEB.Z</t>
  </si>
  <si>
    <t>PAR BRISE /GHALEB .Z</t>
  </si>
  <si>
    <t xml:space="preserve">PHARE AVANT /GHALEB.Z </t>
  </si>
  <si>
    <t xml:space="preserve">PNEU 155/70R13 TRANSMATE /2679LP 01 </t>
  </si>
  <si>
    <t xml:space="preserve">NATTERIE 75 AH ESAN </t>
  </si>
  <si>
    <t xml:space="preserve">PNEU 155/70R16 TRANSMATE/AA-194-AN </t>
  </si>
  <si>
    <t>PAYER EN ESP</t>
  </si>
  <si>
    <t xml:space="preserve">PNEU 155/70R16 TRANSMATE /AA-239-AR </t>
  </si>
  <si>
    <t>PNEU 385/65R22.5 6756HU01</t>
  </si>
  <si>
    <t>PNEU 385/65R22.5 MARCROYAL</t>
  </si>
  <si>
    <t>PNEU 155/70R13 TRANSMATE /AA-770-AN</t>
  </si>
  <si>
    <t xml:space="preserve">PNEU 385.65R22.5 WINMAX </t>
  </si>
  <si>
    <t>ALM</t>
  </si>
  <si>
    <t>185/65R15</t>
  </si>
  <si>
    <t>185/65R14</t>
  </si>
  <si>
    <t>195/70R15C</t>
  </si>
  <si>
    <t>195/65R15</t>
  </si>
  <si>
    <t>225/45R17</t>
  </si>
  <si>
    <t>225/55R17</t>
  </si>
  <si>
    <t>245/70R16</t>
  </si>
  <si>
    <t>225/60R17</t>
  </si>
  <si>
    <t>265/65R17</t>
  </si>
  <si>
    <t xml:space="preserve">13R22.5 WINMAX GD </t>
  </si>
  <si>
    <t>265/70R17</t>
  </si>
  <si>
    <t>13R22.5 GD</t>
  </si>
  <si>
    <t xml:space="preserve">385/65R22.5 </t>
  </si>
  <si>
    <t xml:space="preserve">PNEU 225/65R16 </t>
  </si>
  <si>
    <t>COUR DIST 136 D</t>
  </si>
  <si>
    <t>COUR 4PK 950</t>
  </si>
  <si>
    <t>COURR 5PK 950</t>
  </si>
  <si>
    <t>COUR DIT 177D</t>
  </si>
  <si>
    <t>COURR 6 PK 2253</t>
  </si>
  <si>
    <t>COUUR DIST 140 D</t>
  </si>
  <si>
    <t>COUR DIST 151 D</t>
  </si>
  <si>
    <t>COURR 6 PK1725</t>
  </si>
  <si>
    <t xml:space="preserve">BOULON / SIGNE NISSAN </t>
  </si>
  <si>
    <t>PNEU 155/70R13 TRANSMATTE /AA-174-AQ</t>
  </si>
  <si>
    <t xml:space="preserve">JANT ALU 16 </t>
  </si>
  <si>
    <t xml:space="preserve">BALAIS ESSUI GLASS </t>
  </si>
  <si>
    <t>CRICK 5 T</t>
  </si>
  <si>
    <t xml:space="preserve">CLE D E ROUX </t>
  </si>
  <si>
    <t>PAZYE ESPECE</t>
  </si>
  <si>
    <t>PNEU 825/15</t>
  </si>
  <si>
    <t>PARALLELISME/ 2716HE01</t>
  </si>
  <si>
    <t xml:space="preserve">PNEU 13R22. 5 MIXTE </t>
  </si>
  <si>
    <t>PNEU 155/70R13 TRANSMATE/AA-842HE</t>
  </si>
  <si>
    <t>PNEU 13R22.5 MIXTE /1860</t>
  </si>
  <si>
    <t>PNEU 385/65R22.5 MARCROYAL/1455</t>
  </si>
  <si>
    <t xml:space="preserve">PNEU 385/65R22.5 MARCROYAL </t>
  </si>
  <si>
    <t xml:space="preserve">PNEU 275/70R22.5 </t>
  </si>
  <si>
    <t>COUR 10X875</t>
  </si>
  <si>
    <t>COUR 5 PK 850</t>
  </si>
  <si>
    <t>COUR 5PK 925</t>
  </si>
  <si>
    <t>COUR 4PK1125</t>
  </si>
  <si>
    <t>COUR 6PK1250</t>
  </si>
  <si>
    <t>COUR13X1025</t>
  </si>
  <si>
    <t>COUR13X1350</t>
  </si>
  <si>
    <t>COUR6PK2513</t>
  </si>
  <si>
    <t>COUR 6PK 1740</t>
  </si>
  <si>
    <t>COUR6PK 2553</t>
  </si>
  <si>
    <t>COUR6PK1015</t>
  </si>
  <si>
    <t>COUR6PK2080</t>
  </si>
  <si>
    <t>COUR 6PK1520</t>
  </si>
  <si>
    <t>COUR 6PK1560</t>
  </si>
  <si>
    <t>COUR6PK1513</t>
  </si>
  <si>
    <t>COUR6PK2565</t>
  </si>
  <si>
    <t>COUR6PK2585</t>
  </si>
  <si>
    <t>COURR 6PK 1432</t>
  </si>
  <si>
    <t>FILTRE A GAZOIL5930</t>
  </si>
  <si>
    <t>COUR6PK1230</t>
  </si>
  <si>
    <t>COURR6PK1740</t>
  </si>
  <si>
    <t>COUR DIST153D</t>
  </si>
  <si>
    <t>COUR6PK1725</t>
  </si>
  <si>
    <t>PNEU 155/70R13 TRANSMATE /9891LT01</t>
  </si>
  <si>
    <t xml:space="preserve">BATTERIE 90 AH </t>
  </si>
  <si>
    <t xml:space="preserve">PNEU 215/65R16 </t>
  </si>
  <si>
    <t xml:space="preserve">AMPOULE LED </t>
  </si>
  <si>
    <t>225/65R16C</t>
  </si>
  <si>
    <t>PNEU 385/65R225 MARCROYAL</t>
  </si>
  <si>
    <t xml:space="preserve">GRAISSE 15 KG </t>
  </si>
  <si>
    <t xml:space="preserve">PNEU 9.5/17.5 </t>
  </si>
  <si>
    <t xml:space="preserve">PNEU 215/70R16 </t>
  </si>
  <si>
    <t xml:space="preserve">PNEU 235/75R17.5 </t>
  </si>
  <si>
    <t>PNEU 205/16C</t>
  </si>
  <si>
    <t xml:space="preserve">BATTERIE 40 AH </t>
  </si>
  <si>
    <t xml:space="preserve">PARALELLISME </t>
  </si>
  <si>
    <t xml:space="preserve">HUILE MOTEUR 10W40 </t>
  </si>
  <si>
    <t xml:space="preserve">FILTRE A HUILE BOSH </t>
  </si>
  <si>
    <t xml:space="preserve">ENTRETIEN COMPLET </t>
  </si>
  <si>
    <t>PNEU 235/60R18 BRIDGESTONE</t>
  </si>
  <si>
    <t xml:space="preserve">CRICK 10 T </t>
  </si>
  <si>
    <t>BATTERIE 90 AH LION KING/MOHAMED ALII NASSAR</t>
  </si>
  <si>
    <t xml:space="preserve">BATTERIE 75 AH ESAN VOISIN </t>
  </si>
  <si>
    <t>PNEU 245/45R18 GLEDE /MOHAMED ALI ZALZLAE</t>
  </si>
  <si>
    <t xml:space="preserve">BARIQUE SAE 50 200L </t>
  </si>
  <si>
    <t xml:space="preserve">BATTERIE 150 AH ESAN </t>
  </si>
  <si>
    <t xml:space="preserve">BATTERIE 45 AH TACOMA </t>
  </si>
  <si>
    <t>PNEU 215/60R17</t>
  </si>
  <si>
    <t>PNEU 215/60R17 KAPSEN</t>
  </si>
  <si>
    <t xml:space="preserve">HUILE MOTEUR SAIBOT 5W40 5L </t>
  </si>
  <si>
    <t xml:space="preserve">INOUSSA / 315/80R22.5 </t>
  </si>
  <si>
    <t xml:space="preserve">INOUSSA/385/65R22.5 </t>
  </si>
  <si>
    <t xml:space="preserve">PARBUFLE AV </t>
  </si>
  <si>
    <t xml:space="preserve">PARBUFFLE AR </t>
  </si>
  <si>
    <t xml:space="preserve">PNEU 225/55R18 KAPSEN </t>
  </si>
  <si>
    <t>HUILE BARIQUE 15W40 200L G10</t>
  </si>
  <si>
    <t xml:space="preserve">HUILE BARIQUE 10 W 200L </t>
  </si>
  <si>
    <t>HUILE MOTEUR SAE 50 20L SAIBOT</t>
  </si>
  <si>
    <t xml:space="preserve">HUILE MOTEUR 15W40 5L </t>
  </si>
  <si>
    <t>HUILE MOTEUR 5W30 5L</t>
  </si>
  <si>
    <t xml:space="preserve">HUILE MOTEUR 5W40 5L </t>
  </si>
  <si>
    <t xml:space="preserve">BARIQUE SAIBOT 140 200L </t>
  </si>
  <si>
    <t xml:space="preserve">HUILE SAE 50 200L </t>
  </si>
  <si>
    <t>PNEU 13R22.5 DOYPRO</t>
  </si>
  <si>
    <t xml:space="preserve">80W90 200L APEX </t>
  </si>
  <si>
    <t xml:space="preserve">GRAAISSE 15 KG </t>
  </si>
  <si>
    <t xml:space="preserve">BARIQUE 68 200L </t>
  </si>
  <si>
    <t xml:space="preserve">BARIQUE SAE 50 </t>
  </si>
  <si>
    <t xml:space="preserve">PARALELLSIME </t>
  </si>
  <si>
    <t xml:space="preserve">ESSUI GLASS </t>
  </si>
  <si>
    <t xml:space="preserve">PNEU 155/70R13/1AA759 AL </t>
  </si>
  <si>
    <t>PNEU 155/70T13 /1014LT</t>
  </si>
  <si>
    <t>PNEU 155/70R13/2149L1</t>
  </si>
  <si>
    <t>PNEU 13R22.5 MIXTE /5920</t>
  </si>
  <si>
    <t>PNEU 385/65R22.5 /7221</t>
  </si>
  <si>
    <t>PARALLELSIME</t>
  </si>
  <si>
    <t xml:space="preserve">PNEU 225/60R17 </t>
  </si>
  <si>
    <t>FACTURE PEINTURE</t>
  </si>
  <si>
    <t>PNEU 195/14C</t>
  </si>
  <si>
    <t xml:space="preserve">PNEU 255/55R19 </t>
  </si>
  <si>
    <t xml:space="preserve">BATTERIE 45 AH </t>
  </si>
  <si>
    <t>PARALLELISME / 233HE01</t>
  </si>
  <si>
    <t>PARALLELISME / 225JT01</t>
  </si>
  <si>
    <t xml:space="preserve">HUILE HYDRAULIQUE 68 200L </t>
  </si>
  <si>
    <t xml:space="preserve">PNEU 235/50R20 BRIDGESTONE / MAZDA </t>
  </si>
  <si>
    <t>PNEU 155/70R13 TRANSMATE / AA-478-EH</t>
  </si>
  <si>
    <t>PNEU 155/70R13 TRANSMATE / AA-720-</t>
  </si>
  <si>
    <t>PNEU 155/70R13 TRANSMATE /AA-168-AQ</t>
  </si>
  <si>
    <t>PNEU 385/65R22.5 LONGTRACK/ 150304A2606</t>
  </si>
  <si>
    <t>PNEU 315/80R22.5 LONGTRACK / 350507C1113</t>
  </si>
  <si>
    <t xml:space="preserve">PNEU 385/65R22.5 MACROYAL </t>
  </si>
  <si>
    <t xml:space="preserve">PNEU 315/80R22.5 LONGTRACK / CAMION </t>
  </si>
  <si>
    <t>VIDANGE  CHANGAN - 382JN01</t>
  </si>
  <si>
    <t>BOBINE / CHANGAN</t>
  </si>
  <si>
    <t>PNEU 155/70R13 TRANSMATE/ AA-257-AP</t>
  </si>
  <si>
    <t>PNEU 155/70R13 TRANSMATE / AA-944-LT</t>
  </si>
  <si>
    <t>PARALLELISME / AA-450-AQ</t>
  </si>
  <si>
    <t>BEDLINBER / CH 985394</t>
  </si>
  <si>
    <t>MOUNTAIN TOP / CH 985294</t>
  </si>
  <si>
    <t>MARCHE-PIEDS / CH646129</t>
  </si>
  <si>
    <t xml:space="preserve">VIDANGE COMPLET - AA-277-AH MITSUBISHI </t>
  </si>
  <si>
    <t>LIQUIDE DE REFROIDISSEMENT 5L</t>
  </si>
  <si>
    <t xml:space="preserve">BATTERIE 44AH </t>
  </si>
  <si>
    <t xml:space="preserve">PAYE PAR ORANGE MONEY </t>
  </si>
  <si>
    <t>PNEU 315/80R22.5 WINMAX 4096JY</t>
  </si>
  <si>
    <t>PARALLELISME / AA-168-AT</t>
  </si>
  <si>
    <t xml:space="preserve">DISQUE R CAMION VALEO </t>
  </si>
  <si>
    <t xml:space="preserve">BALAI ESSUI GLASS 550 </t>
  </si>
  <si>
    <t>BALAI ESSUI GLASS600</t>
  </si>
  <si>
    <t xml:space="preserve">BALAIS ESSUI GLASE 500 </t>
  </si>
  <si>
    <t xml:space="preserve">PNEU 195/14C TRANSMATE </t>
  </si>
  <si>
    <t xml:space="preserve">195/70R15C </t>
  </si>
  <si>
    <t xml:space="preserve">PNEU 13R22.5 WINMAX </t>
  </si>
  <si>
    <t>BALAIS ESSUI GLASSE 600</t>
  </si>
  <si>
    <t>PAYER PAR CHEQUE N°000428</t>
  </si>
  <si>
    <t>BATTERIE 75AH ESAN / PEUGEOT 4008</t>
  </si>
  <si>
    <t>PNEU 155/70R13 TRANSMATE -AA-239-AR</t>
  </si>
  <si>
    <t xml:space="preserve">BATTERIE 100AH ESAN </t>
  </si>
  <si>
    <t>PNEU 155/70R13 TRANSMATE - 1020LT01</t>
  </si>
  <si>
    <t>PNEU 155.70R13 TRANSMATE /1419LR01</t>
  </si>
  <si>
    <t>PNEU 315/80R22.5 LONGTRCAK</t>
  </si>
  <si>
    <t xml:space="preserve">HOUSSE FAUTEUIL </t>
  </si>
  <si>
    <t xml:space="preserve">COUVRE VOLANT </t>
  </si>
  <si>
    <t>K</t>
  </si>
  <si>
    <t xml:space="preserve">PAYER </t>
  </si>
  <si>
    <t>PNEU 155/70R13 TRANSMATE - AA-754-AL</t>
  </si>
  <si>
    <t>PNEU 385/65R22.5 LONGTRACK - 1457</t>
  </si>
  <si>
    <t>315/80R22.5 - 1457</t>
  </si>
  <si>
    <t>PNEU 385/65R22.5 LONGTRCAK - 1018</t>
  </si>
  <si>
    <t>PNEU 215/60R17 / AA-722-CV</t>
  </si>
  <si>
    <t>PAYER PAR CHEQUE N°</t>
  </si>
  <si>
    <t>PNEU 305/40R20 PIRELI - BMW AA-417-HG</t>
  </si>
  <si>
    <t>PNEU 275/45R20 PIRELI - BMW</t>
  </si>
  <si>
    <t xml:space="preserve">JANTE 385 AV </t>
  </si>
  <si>
    <t>PNEU 155/70R13 TRANSMATE - AA-986-AP - AA-664-AJ</t>
  </si>
  <si>
    <t xml:space="preserve">Mme SADIA BOUGIES + PARALLELISME </t>
  </si>
  <si>
    <t xml:space="preserve">BATTERIE 75AH / KONE MAMADOU </t>
  </si>
  <si>
    <t>PARALLELISME / 2740JS01</t>
  </si>
  <si>
    <t>BEDLINER / CH985204</t>
  </si>
  <si>
    <t>MARCHE-PIEDS / CH 985204</t>
  </si>
  <si>
    <t>PARE-BUFFLE AV / CH 985204</t>
  </si>
  <si>
    <t xml:space="preserve">PNEU 265/70R16 ROAD BOSS </t>
  </si>
  <si>
    <t>PNEU 385/65R22.5 - EKDS ADONIS</t>
  </si>
  <si>
    <t>VIDANGE - FILTRE A HUILE / AA-695-JH</t>
  </si>
  <si>
    <t>HUILZ HYDRAULIQUE 68</t>
  </si>
  <si>
    <t>PAYER  PAR CHEQUE N°2205120</t>
  </si>
  <si>
    <t xml:space="preserve">HUILE MOTEUR </t>
  </si>
  <si>
    <t>CONDENSSEUR DE CLIM - SUZUKI</t>
  </si>
  <si>
    <t>GAZ DE CLIM - SUZUKI</t>
  </si>
  <si>
    <t>RELET DE CLIM - SUZUKI</t>
  </si>
  <si>
    <t>PNEU 155.70R13 TRANSMATE /AA-131-AN</t>
  </si>
  <si>
    <t xml:space="preserve">BATTERIE 75AH BOSCH - ZALZALE GABI </t>
  </si>
  <si>
    <t>PNEU 321.10.5OR15 DUNLOP</t>
  </si>
  <si>
    <t>PARALLELISME / 766KV01</t>
  </si>
  <si>
    <t>PARALLELISME / 5966KY01</t>
  </si>
  <si>
    <t>PNEU 155/70R13 TRANSMATE / AA-304-EG</t>
  </si>
  <si>
    <t>PNEU 155/70R13 KAPSEN - AA-720-AN</t>
  </si>
  <si>
    <t xml:space="preserve">FILTRE A GASOIL </t>
  </si>
  <si>
    <t xml:space="preserve">FILTRE A POLAINE </t>
  </si>
  <si>
    <t>HUILE MOTEUR 50W40 - FORD 244LJ01</t>
  </si>
  <si>
    <t>PARALLELISME /1946LR01</t>
  </si>
  <si>
    <t>PARALLELSME / 2319LG01</t>
  </si>
  <si>
    <t>PNEU 155/70R13 KAPSEN AA-971-AP</t>
  </si>
  <si>
    <t>PNEU 155/70R13  KAPSEN - AA-194-AN</t>
  </si>
  <si>
    <t>PARALLELISME - 680BH01</t>
  </si>
  <si>
    <t>PNEU 265/65R17 FERSTONE</t>
  </si>
  <si>
    <t>PNEU 155/70R13 KAPSEN - 595LZ01</t>
  </si>
  <si>
    <t>PARALLELSIME -</t>
  </si>
  <si>
    <t>PARALLELISME / 1325JR01</t>
  </si>
  <si>
    <t>PNEU 155/70R13 KAPSEN - AA-590-EP</t>
  </si>
  <si>
    <t>PARALLELISME - 3739LJ01</t>
  </si>
  <si>
    <t xml:space="preserve">PNEU 175/70R14 - 8718JC01 </t>
  </si>
  <si>
    <t>PNEU 7.50R16 BLACKRIDER -AA-623-QZ</t>
  </si>
  <si>
    <t>PNEU 155/70R13 KAPSEN / AA-154AQ</t>
  </si>
  <si>
    <t>VIDANGE - 836KT01 MERCEDES</t>
  </si>
  <si>
    <t>VIDANGE COMPLET - KARIM GANDOUR / HYUNDAI</t>
  </si>
  <si>
    <t>PNEU 225/65R17 - 3632JK01</t>
  </si>
  <si>
    <t>BATTERIE 75AH BEYONIX - RAV4</t>
  </si>
  <si>
    <t>PNEU 155/70R13 KAPSEN - AA-186-AQ</t>
  </si>
  <si>
    <t>TAPIS AUTO - 5733EV01 TOYOTA</t>
  </si>
  <si>
    <t xml:space="preserve">BATTERIE 200AH ESAN </t>
  </si>
  <si>
    <t>PNEU 155/70R13 KAPSEN -AA-174-AJ</t>
  </si>
  <si>
    <t>PARALELLISME - 2700JS01</t>
  </si>
  <si>
    <t>PNEU 155/70R13 - AA-304-EG</t>
  </si>
  <si>
    <t xml:space="preserve">PNEU 315/80E22.5 MIXTZE </t>
  </si>
  <si>
    <t>PARALELLISME - 692LP01</t>
  </si>
  <si>
    <t>PARALELLISME - 119</t>
  </si>
  <si>
    <t>PNEU 155/70R13 KAPSEN - AA-482-EH</t>
  </si>
  <si>
    <t xml:space="preserve">PAYER PAR CHEQUE </t>
  </si>
  <si>
    <t>PNEU 315/80R22.5 PD -1018</t>
  </si>
  <si>
    <t>PNEU 385/65R22.5 - 1018</t>
  </si>
  <si>
    <t>PNEU 13R22.5 MIXTE - 7479</t>
  </si>
  <si>
    <t>PNEU 155/7013 KAPSEN - AA-663</t>
  </si>
  <si>
    <t>PNEU 265/65R17 DUNLOP - AA-224-BV</t>
  </si>
  <si>
    <t>PNEU 155/70R13 KAPSEN - AA-174-AQ</t>
  </si>
  <si>
    <t>03/01/2026 - AA-309 PNEU 155/70R13</t>
  </si>
  <si>
    <t>PNEU 215/55R18</t>
  </si>
  <si>
    <t>LIQUIDE DE REFROIDISSEMENT VC</t>
  </si>
  <si>
    <t xml:space="preserve">PNEU 255/50R20 </t>
  </si>
  <si>
    <t xml:space="preserve">PNEU 265/65R17 BRIGESTONE </t>
  </si>
  <si>
    <t xml:space="preserve">PNEU 12R22.5 MIXTE </t>
  </si>
  <si>
    <t xml:space="preserve">BATTERIE TACOMA 150 AH </t>
  </si>
  <si>
    <t xml:space="preserve">PNEU 750 /16 </t>
  </si>
  <si>
    <t>PNEU 31.10R15</t>
  </si>
  <si>
    <t>PNEU 265/65R18</t>
  </si>
  <si>
    <t xml:space="preserve">BATTERIE ESAN 200 AH </t>
  </si>
  <si>
    <t>PNEU 14.00R24</t>
  </si>
  <si>
    <t xml:space="preserve">PNEU 13R22?5 </t>
  </si>
  <si>
    <t xml:space="preserve">13R22.5 GD </t>
  </si>
  <si>
    <t>PNEU 12.5/80R18</t>
  </si>
  <si>
    <t xml:space="preserve">PNEU 750/16 GOOD YEAR </t>
  </si>
  <si>
    <t xml:space="preserve">315/80R22.5 </t>
  </si>
  <si>
    <t xml:space="preserve">SAE 50 ?200L </t>
  </si>
  <si>
    <t>265/60R18</t>
  </si>
  <si>
    <t>245/65R17</t>
  </si>
  <si>
    <t>205/16C</t>
  </si>
  <si>
    <t xml:space="preserve">15W40 20L </t>
  </si>
  <si>
    <t xml:space="preserve">9.5R17.5 </t>
  </si>
  <si>
    <t xml:space="preserve">PNEU 265/70R16 </t>
  </si>
  <si>
    <t>HUILE HYDROLIQUE 68</t>
  </si>
  <si>
    <t>PNEU 12.00R24</t>
  </si>
  <si>
    <t>12.00R24</t>
  </si>
  <si>
    <t>PNEU 13R2.5</t>
  </si>
  <si>
    <t xml:space="preserve">PNEU LIQUIDE DE REFROIDISEMENT </t>
  </si>
  <si>
    <t xml:space="preserve">BATTERIE 150 AH TACOMA </t>
  </si>
  <si>
    <t xml:space="preserve">DOT ULTRA </t>
  </si>
  <si>
    <t>PNEU  235/65R16C</t>
  </si>
  <si>
    <t xml:space="preserve">13R22.5 </t>
  </si>
  <si>
    <t xml:space="preserve">HYDROLIQUE 68 20L </t>
  </si>
  <si>
    <t xml:space="preserve">10W 200L </t>
  </si>
  <si>
    <t xml:space="preserve">BEYONIX 150 AH </t>
  </si>
  <si>
    <t xml:space="preserve">HYDROLIQUE 46 20L  </t>
  </si>
  <si>
    <t>PNEU 155/70R13 KAPSEN - AA-987-AP</t>
  </si>
  <si>
    <t>29/12/2025 PNEU 155/70R13 KAPSEN AA-257-AP</t>
  </si>
  <si>
    <t>29/12/2025 PNEU 155/70R13 KAPSEN AA-753-AL</t>
  </si>
  <si>
    <t>µµ</t>
  </si>
  <si>
    <t xml:space="preserve">GABRIS ZALZALE BBATERIE 200 AH </t>
  </si>
  <si>
    <t xml:space="preserve">MOUNTAIN TOP / CH 284897 </t>
  </si>
  <si>
    <t>BEDLINER / CH 284897</t>
  </si>
  <si>
    <t>PNEU 155/70R13 - AA-719-Jh01</t>
  </si>
  <si>
    <t>AMPOULE 10</t>
  </si>
  <si>
    <t xml:space="preserve">HASSAN HAMOUD 2 PNEU </t>
  </si>
  <si>
    <t>PNEU 155/70R13 KAPSEN - AA-154-AQ</t>
  </si>
  <si>
    <t>PNEU 155/70R13 KAPSEN - 1419LR01</t>
  </si>
  <si>
    <t>JEU DE PLAQUETTE DE FREIN AV - 266KX01 TOYOTA</t>
  </si>
  <si>
    <t>JEU DE PLAQUETTE DE FREIN AR - 266KX01</t>
  </si>
  <si>
    <t xml:space="preserve">ETRIER DE FREIN - 266KX01 TOYOTA </t>
  </si>
  <si>
    <t>PARALLELISME - AA-321-KA</t>
  </si>
  <si>
    <t>PARALLELISME - 9070</t>
  </si>
  <si>
    <t>BATTERIE 45AH AYOYA- 204LT01</t>
  </si>
  <si>
    <t>PNEU 155/70R13 KPASEN - 891LT01</t>
  </si>
  <si>
    <t xml:space="preserve">PNEU 235/55R17 GLEDE /NOEL AKIL </t>
  </si>
  <si>
    <t xml:space="preserve">AMPOULE DE PHARE / NOEL AKIL </t>
  </si>
  <si>
    <t xml:space="preserve">PARALLELISME/ NOEL AKIL </t>
  </si>
  <si>
    <t xml:space="preserve">KONE MAMADOU. DISQUE DE ROUX </t>
  </si>
  <si>
    <t xml:space="preserve">KONE MAMADOU. PLAQUETE AV ET AR </t>
  </si>
  <si>
    <t xml:space="preserve">PNEU 155/70R13 KAPSEN </t>
  </si>
  <si>
    <t>PNEU 155/70R13 KAPSEN - 1024LT01</t>
  </si>
  <si>
    <t>PNEU 155/70R13 KAPSEN - AA-167-AQ</t>
  </si>
  <si>
    <t>VIDANGE RENAULT DUSTER -8891HB01</t>
  </si>
  <si>
    <t>PNEU 155/70R22.5 KAPSEN - AA-310-EG</t>
  </si>
  <si>
    <t>VIDANGE - 2494HR01 AUDI</t>
  </si>
  <si>
    <t>PNEU 155/70R13 -AA-751-AL</t>
  </si>
  <si>
    <t>PARALLELISME - 1806KB01</t>
  </si>
  <si>
    <t>PARALLELISME/</t>
  </si>
  <si>
    <t>KONE MAMADOU PNEU 215/60R18</t>
  </si>
  <si>
    <t>PNEU 155.70R13 KAPSEN - AA-304-EQ</t>
  </si>
  <si>
    <t>PNEU 215/75R17.5 - AA-774-AP</t>
  </si>
  <si>
    <t>PNEU 8.25R16</t>
  </si>
  <si>
    <t>PNEU 155/70R13  KAPSEN - AA-306-EQ</t>
  </si>
  <si>
    <t>RIDEAU / LINA</t>
  </si>
  <si>
    <t xml:space="preserve">PNEU 155/70R13 AA-151 AQ </t>
  </si>
  <si>
    <t>PNEU 155/70R13 - 2149LR01</t>
  </si>
  <si>
    <t xml:space="preserve">PNEU 7.50R16 BLACKRIDER </t>
  </si>
  <si>
    <t>PARALLELISME - AA-839-GV</t>
  </si>
  <si>
    <t>KIA TUCSO REPARATION CULASS /pot ech</t>
  </si>
  <si>
    <t>BATTERIE 150AH - BILAL</t>
  </si>
  <si>
    <t xml:space="preserve">LIQUIDE DE REFROIDISSEMENT 5L </t>
  </si>
  <si>
    <t>PNEU 245/40R18 BAROM - 3326JN01</t>
  </si>
  <si>
    <t>PNEU 195R15C KAPSEN - 3568KU01</t>
  </si>
  <si>
    <t>PNEU 155/70R13 - KAPSEN - AA-482-EH</t>
  </si>
  <si>
    <t>HUILE MOTEUR 10W40 5L - HADY</t>
  </si>
  <si>
    <t>PNEU 265/65R17 BRIDGESTONE - 638KC01</t>
  </si>
  <si>
    <t>PNEU 155/70R13 KAPSEN -AA-754-AL</t>
  </si>
  <si>
    <t xml:space="preserve">PNEU 185/65R15 NAATS </t>
  </si>
  <si>
    <t>JEU DE JANTE ALU 16 - CH 985389</t>
  </si>
  <si>
    <t>285/50/20</t>
  </si>
  <si>
    <t xml:space="preserve">PNEU 315/80R22.5 JETWAY </t>
  </si>
  <si>
    <t>JEU DE PLAQUETTE DE FREIN AV - HUYNDAI</t>
  </si>
  <si>
    <t>MAIN D'ŒUVRE - HUYNDAI - 2063LU01</t>
  </si>
  <si>
    <t xml:space="preserve">PAYER EN ESPECES </t>
  </si>
  <si>
    <t xml:space="preserve">PNEU 155/70R13 - KAPSEN -  AA-971-AP </t>
  </si>
  <si>
    <t>PNEU 155/70R13 KAPSEN  AA419EF</t>
  </si>
  <si>
    <t>PARALLELISME / AA-249-BY TUGUAN</t>
  </si>
  <si>
    <t xml:space="preserve">03/02/2026 - PNEU 13R22.5 GD </t>
  </si>
  <si>
    <t>04/02/2026 - PNEU 315/80R22.5 - 2419</t>
  </si>
  <si>
    <t>ROULEMNTQ AR -AA-719-JH</t>
  </si>
  <si>
    <t>MAIN D'ŒUVRE AA-719-JH</t>
  </si>
  <si>
    <t>PARALLELISME  - 1203LH01</t>
  </si>
  <si>
    <t>BATT 150AH - ABASS ZALZALE</t>
  </si>
  <si>
    <t>PARALLELISME - 1344LT01</t>
  </si>
  <si>
    <t>PNEU 225/70R15C MXSS- 6293GN01</t>
  </si>
  <si>
    <t>PNEU 155/70R13 KAPSEN - AA-749-AL</t>
  </si>
  <si>
    <t xml:space="preserve">PNEU 155/70R13 KAPSEN - 970 LT 01 </t>
  </si>
  <si>
    <t>PNEU 385/65R22.5 DRIVEMASTER 278JH01</t>
  </si>
  <si>
    <t>PAYER PAR CHEQUE</t>
  </si>
  <si>
    <t>PARALLELISME / 487KG01</t>
  </si>
  <si>
    <t>MARCHE-PIEDS - CH986366</t>
  </si>
  <si>
    <t>JEU DE JANTE ALLU 16 CH646005</t>
  </si>
  <si>
    <t>BEDLINER - CH646005</t>
  </si>
  <si>
    <t>MARCHE - PIEDS - CH646005</t>
  </si>
  <si>
    <t xml:space="preserve">PNEU 385/65R22,5 LONGTRACK </t>
  </si>
  <si>
    <t xml:space="preserve">PNEU 315/80R22,5 DRIVEMASTER </t>
  </si>
  <si>
    <t xml:space="preserve">PNEU 155/70R13 KAPSEN - AA-174-AJ </t>
  </si>
  <si>
    <t>FILS MOHMED ZALZALE - CAPTEUR DE TEMPERATURE - 780202001 - A</t>
  </si>
  <si>
    <t xml:space="preserve">BATTERIE 100AH ESAN - 9939HU01 </t>
  </si>
  <si>
    <t>VUE SOLDE CLIENT</t>
  </si>
  <si>
    <t xml:space="preserve">PNEU 185/65R14 GLEDE - SUZUKI </t>
  </si>
  <si>
    <t xml:space="preserve">5W40 APEX  5L </t>
  </si>
  <si>
    <t>FILTRE A HUILE 90915-10001 toyota</t>
  </si>
  <si>
    <t xml:space="preserve">FILTRE CLIM 87139-ON010 toyota </t>
  </si>
  <si>
    <t>FILTRE A AIR 17801-77050  toyta</t>
  </si>
  <si>
    <t>PNEU 195R15C PERFLY</t>
  </si>
  <si>
    <t xml:space="preserve">HUILE MOTEUR 10W40 5L - TOYOTA HILUX </t>
  </si>
  <si>
    <t xml:space="preserve">FILTRE A HUILE BOSH -TOYOTA HILUX </t>
  </si>
  <si>
    <t xml:space="preserve">FILTRE A AIR - TOYOTA HILUX </t>
  </si>
  <si>
    <t xml:space="preserve">FILTRE A POLLEN- TOYOTA HILUX </t>
  </si>
  <si>
    <t xml:space="preserve">MAIN D'ŒUVRE -TOYOTA HILUX </t>
  </si>
  <si>
    <t xml:space="preserve">SOLDE DEPART </t>
  </si>
  <si>
    <t xml:space="preserve">FILTRE A HUILE SUZUKI </t>
  </si>
  <si>
    <t xml:space="preserve">BATTERIE 45 AMPERE ESAN </t>
  </si>
  <si>
    <t>ENTRETIEN DURITE EN FER (COLLE AB )</t>
  </si>
  <si>
    <t xml:space="preserve">PNEU 225/45R18 GLEDE </t>
  </si>
  <si>
    <t>PNEU 155/70R13 KAPSEN AA-478-EH</t>
  </si>
  <si>
    <t xml:space="preserve">CONDENSSEUR DE CLIM - HUYNDAI </t>
  </si>
  <si>
    <t>COMPRESSEUR DE CLIM - HUYNDAI</t>
  </si>
  <si>
    <t xml:space="preserve">DETENDEUR DE CLIM -C HUYNDAI </t>
  </si>
  <si>
    <t>GAZ DE CLIM - HUYNDAI</t>
  </si>
  <si>
    <t xml:space="preserve">HUILE DE COMPRESSEUR - HUY DAI </t>
  </si>
  <si>
    <t xml:space="preserve">MAIN D'ŒUVRE - HUYNDAI </t>
  </si>
  <si>
    <t xml:space="preserve">BATTERIE 75 AH ENERGY MAZDA </t>
  </si>
  <si>
    <t>£</t>
  </si>
  <si>
    <t>AMORTISSEURS AR MITSUBISHI PAJERO</t>
  </si>
  <si>
    <t xml:space="preserve">DISQUE AVANT MUTSIBISHI PAJERO </t>
  </si>
  <si>
    <t xml:space="preserve">DISQUE AR MUTSIBISHI PAJERO </t>
  </si>
  <si>
    <t>PLAQUETTE AVANT ET AR MITSU PAJERO</t>
  </si>
  <si>
    <t xml:space="preserve">AMPOULE MITSUBISHI PAJERO </t>
  </si>
  <si>
    <t xml:space="preserve">BALAIE ESSUIE GLACE MITSUBISHI PAJERO </t>
  </si>
  <si>
    <t>CHROME DE CALANDRE AVANT MITS PAJERO</t>
  </si>
  <si>
    <t xml:space="preserve">PARALLELISME MITSUBISHI PAJERO </t>
  </si>
  <si>
    <t xml:space="preserve">MAIN D'ŒUVRE MITSUBISHI PAJERO </t>
  </si>
  <si>
    <t>F ZALZALE CAPTEUR TEMPERATURE MERCO</t>
  </si>
  <si>
    <t xml:space="preserve">FILS ZALZALE 5 LITRE 5W40 APEX </t>
  </si>
  <si>
    <t>MOUNTAIN TOP - CH 986366</t>
  </si>
  <si>
    <t xml:space="preserve">FILS ZALZALE FILTRE A HUILE P7177 BOSCH </t>
  </si>
  <si>
    <t>NUMERO : 0707275252</t>
  </si>
  <si>
    <t>Travaux sur la toyota 4runner AA650ZS</t>
  </si>
  <si>
    <t>PARALLELISME ET EQUILIBRAGE AA 968 YP</t>
  </si>
  <si>
    <t>BATTERIE150AH</t>
  </si>
  <si>
    <t xml:space="preserve">GINANE VOISI? - POMPE A ESSENCE NISSAN </t>
  </si>
  <si>
    <t xml:space="preserve">5W30 APEX  5L </t>
  </si>
  <si>
    <t xml:space="preserve">FILTRE A POLLEN </t>
  </si>
  <si>
    <t>JOINT DE VIDANGE</t>
  </si>
  <si>
    <t xml:space="preserve">PNEU 235/70R13 KINGBOSS </t>
  </si>
  <si>
    <t xml:space="preserve">PNEU 13R22,5 CRAMPONS </t>
  </si>
  <si>
    <t xml:space="preserve">BATTERIE 75AH ENERGY - TOYOTA </t>
  </si>
  <si>
    <t xml:space="preserve">195/65R15 GLEDE </t>
  </si>
  <si>
    <t xml:space="preserve">EXTINCTEUR 1000ML </t>
  </si>
  <si>
    <t xml:space="preserve">HUILE DE FREIN STOP </t>
  </si>
  <si>
    <t xml:space="preserve">FILTRE A AIR TOYOTA </t>
  </si>
  <si>
    <t xml:space="preserve">265/65R17 GLEDE </t>
  </si>
  <si>
    <t xml:space="preserve"> 175/70R14 GLEDE </t>
  </si>
  <si>
    <t xml:space="preserve">payer par cheque </t>
  </si>
  <si>
    <t>PARALLELISME / AA-547-AS</t>
  </si>
  <si>
    <t xml:space="preserve">PNEU 245/55R19 GLEDE </t>
  </si>
  <si>
    <t>PNEU 155/70R13 KAPSEN AA492EQ</t>
  </si>
  <si>
    <t>PNEU 155/70R13 KAPSEN - AA-297-EG</t>
  </si>
  <si>
    <t>PNEU 315/80R22,5 DRIVEMASTER</t>
  </si>
  <si>
    <t>PARALLELISME  1994LL01</t>
  </si>
  <si>
    <t>LIQUIDE DE REFROIDISSEMENT BLEU 5L</t>
  </si>
  <si>
    <t>ENTRETIEN + ELECTRICITE HILUX 2682KK01</t>
  </si>
  <si>
    <t>NETTOYAGE DE CIRCUIT DE CLIM ALTO</t>
  </si>
  <si>
    <t>EXPERTISE LAMINE (VOIR DEVIS PNEU VID )</t>
  </si>
  <si>
    <t>245/55R19 GLEDE</t>
  </si>
  <si>
    <t xml:space="preserve">TETE DE FLEXIBLE DE REFROIDISSEMENT </t>
  </si>
  <si>
    <t>PARALLELISME 1611JB01</t>
  </si>
  <si>
    <t xml:space="preserve">TRAVAUX GROS CAMION </t>
  </si>
  <si>
    <t xml:space="preserve">315/80R22,5 DRIVEMASTER </t>
  </si>
  <si>
    <t>PARALELLISME AA703EC</t>
  </si>
  <si>
    <t xml:space="preserve">VERSEMENT PAR CHEQUE </t>
  </si>
  <si>
    <t>PNEU 155/70R13 KAPSEN  AA 492 EQ</t>
  </si>
  <si>
    <t xml:space="preserve">BATTERIE 75 AH DONGHA </t>
  </si>
  <si>
    <t>165/70R14 GLEDE</t>
  </si>
  <si>
    <t xml:space="preserve">15W40 200 LITRES </t>
  </si>
  <si>
    <t xml:space="preserve">OSO 46 200 LITRES </t>
  </si>
  <si>
    <t xml:space="preserve">OSO 68 200 LITRES </t>
  </si>
  <si>
    <t>BATTERIE 100 AH ADNAN SAYEGH</t>
  </si>
  <si>
    <t>235/55R19</t>
  </si>
  <si>
    <t>PNEU 155/70R13 KAPSEN 1020LT01</t>
  </si>
  <si>
    <t>parallelisme 2716kh01</t>
  </si>
  <si>
    <t>TENDEUR DE COURROIE + COURROIE + M.O</t>
  </si>
  <si>
    <t>PNEU 155/70R22.5 KAPSEN - AA-171-AQ</t>
  </si>
  <si>
    <t>PARALLELISME WOLSWAGEN</t>
  </si>
  <si>
    <t xml:space="preserve">245/50R18 GLEDE </t>
  </si>
  <si>
    <t xml:space="preserve">ABDALLAH KDOUH </t>
  </si>
  <si>
    <t>PNEU 265/70R19,5 KAPSEN</t>
  </si>
  <si>
    <t xml:space="preserve">13/80R20 MITAS </t>
  </si>
  <si>
    <t xml:space="preserve">SOLDE DE DEPART </t>
  </si>
  <si>
    <t>13R22,5 MIXTE DRIVEMASTER</t>
  </si>
  <si>
    <t>PNEU 225/70R15C MXSS/ 9939HU01</t>
  </si>
  <si>
    <t>PARALLELISME SUZUKI</t>
  </si>
  <si>
    <t xml:space="preserve">PEINTURE NISSAN </t>
  </si>
  <si>
    <t>PARALELLISME 1056KB01</t>
  </si>
  <si>
    <t>Vidange complet  d115018 ford</t>
  </si>
  <si>
    <t xml:space="preserve">NETTOYAGE DE SYSTÈME CLIM </t>
  </si>
  <si>
    <t>MAIN DOEUVRE D115018</t>
  </si>
  <si>
    <t>RENIFLEUR D'AIR SUZUKI + MAIN DOEUVRE</t>
  </si>
  <si>
    <t xml:space="preserve">PNEU 385/65R22,5 MACROYAL </t>
  </si>
  <si>
    <t xml:space="preserve">FIXATION PLAQUE DE PROTECTION </t>
  </si>
  <si>
    <t>POMPE A EAU ELECTRONIQUE 5024</t>
  </si>
  <si>
    <t>COURROIE  5024</t>
  </si>
  <si>
    <t>TENDEUR DE COURROIE 5024</t>
  </si>
  <si>
    <t>LIQUIDE DE RADIA 5024</t>
  </si>
  <si>
    <t>REPARATION TURBO 5024</t>
  </si>
  <si>
    <t>MAIN DOEUVRE 5024</t>
  </si>
  <si>
    <t>PNEU 6.00-9</t>
  </si>
  <si>
    <t xml:space="preserve">khalil pbd disque AR </t>
  </si>
  <si>
    <t xml:space="preserve">PLAQUETTE AV ET AR </t>
  </si>
  <si>
    <t>HUILE MOTEUR 10W40 5L APEX</t>
  </si>
  <si>
    <t>REMORQUAGE ABJ BASSAM 5024</t>
  </si>
  <si>
    <t>VIDANGE COMPLET 5101</t>
  </si>
  <si>
    <t>HUILE DE FREIN 5101</t>
  </si>
  <si>
    <t>GARNITURE DE FREIN 5101</t>
  </si>
  <si>
    <t>LIQUIDE DE RADIA 5101</t>
  </si>
  <si>
    <t>CRIQUE 16 T</t>
  </si>
  <si>
    <t>VIDANGE COMPLETE AA695 SUZUKI</t>
  </si>
  <si>
    <t>N</t>
  </si>
  <si>
    <t xml:space="preserve">PNEU 385/65R22.5 MIXTE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</si>
</sst>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#,##0\ [$CFA-300C]"/>
    <numFmt numFmtId="165" formatCode="_-* #,##0\ _€_-;\-* #,##0\ _€_-;_-* &quot;-&quot;??\ _€_-;_-@_-"/>
    <numFmt numFmtId="166" formatCode="#,##0.00\ [$CFA-300C]"/>
    <numFmt numFmtId="167" formatCode="[$-1300C]dd/mm/yyyy;@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2"/>
      <color rgb="FFC00000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C00000"/>
      <name val="Calibri"/>
      <family val="2"/>
      <scheme val="minor"/>
    </font>
    <font>
      <b/>
      <sz val="22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rgb="FFC0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hadow/>
      <sz val="12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C00000"/>
      <name val="Calibri"/>
      <family val="2"/>
      <scheme val="minor"/>
    </font>
    <font>
      <b/>
      <sz val="22"/>
      <color rgb="FFC00000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C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rgb="FFC00000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C0000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theme="1"/>
      </patternFill>
    </fill>
    <fill>
      <patternFill patternType="solid">
        <fgColor theme="4"/>
        <bgColor indexed="64"/>
      </patternFill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7" fillId="0" borderId="6" applyNumberFormat="0" applyFill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</cellStyleXfs>
  <cellXfs count="188">
    <xf numFmtId="0" fontId="0" fillId="0" borderId="0" xfId="0"/>
    <xf numFmtId="0" fontId="0" fillId="0" borderId="0" xfId="0" applyProtection="1">
      <protection locked="0"/>
    </xf>
    <xf numFmtId="0" fontId="4" fillId="2" borderId="0" xfId="0" applyFont="1" applyFill="1" applyProtection="1">
      <protection locked="0"/>
    </xf>
    <xf numFmtId="0" fontId="5" fillId="3" borderId="3" xfId="0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165" fontId="2" fillId="0" borderId="0" xfId="1" applyNumberFormat="1" applyFont="1" applyProtection="1"/>
    <xf numFmtId="165" fontId="2" fillId="0" borderId="0" xfId="1" applyNumberFormat="1" applyFont="1" applyAlignment="1" applyProtection="1">
      <alignment horizontal="center" vertical="center"/>
    </xf>
    <xf numFmtId="165" fontId="6" fillId="0" borderId="0" xfId="1" applyNumberFormat="1" applyFont="1" applyProtection="1"/>
    <xf numFmtId="165" fontId="6" fillId="0" borderId="0" xfId="1" applyNumberFormat="1" applyFont="1" applyAlignment="1" applyProtection="1">
      <alignment horizontal="center" vertical="center"/>
    </xf>
    <xf numFmtId="165" fontId="2" fillId="0" borderId="0" xfId="1" applyNumberFormat="1" applyFont="1" applyProtection="1">
      <protection locked="0"/>
    </xf>
    <xf numFmtId="165" fontId="6" fillId="0" borderId="0" xfId="1" applyNumberFormat="1" applyFont="1" applyProtection="1">
      <protection locked="0"/>
    </xf>
    <xf numFmtId="14" fontId="8" fillId="0" borderId="0" xfId="0" applyNumberFormat="1" applyFont="1" applyProtection="1">
      <protection locked="0"/>
    </xf>
    <xf numFmtId="165" fontId="8" fillId="0" borderId="0" xfId="1" applyNumberFormat="1" applyFont="1" applyProtection="1">
      <protection locked="0"/>
    </xf>
    <xf numFmtId="165" fontId="10" fillId="0" borderId="0" xfId="1" applyNumberFormat="1" applyFont="1" applyProtection="1">
      <protection locked="0"/>
    </xf>
    <xf numFmtId="14" fontId="11" fillId="0" borderId="0" xfId="0" applyNumberFormat="1" applyFont="1" applyProtection="1">
      <protection locked="0"/>
    </xf>
    <xf numFmtId="165" fontId="11" fillId="0" borderId="0" xfId="1" applyNumberFormat="1" applyFont="1" applyProtection="1">
      <protection locked="0"/>
    </xf>
    <xf numFmtId="165" fontId="12" fillId="0" borderId="0" xfId="1" applyNumberFormat="1" applyFont="1" applyProtection="1">
      <protection locked="0"/>
    </xf>
    <xf numFmtId="0" fontId="13" fillId="5" borderId="1" xfId="0" applyFont="1" applyFill="1" applyBorder="1" applyAlignment="1">
      <alignment horizontal="center"/>
    </xf>
    <xf numFmtId="3" fontId="14" fillId="0" borderId="1" xfId="2" applyNumberFormat="1" applyFont="1" applyFill="1" applyBorder="1" applyAlignment="1">
      <alignment horizontal="right"/>
    </xf>
    <xf numFmtId="0" fontId="13" fillId="5" borderId="1" xfId="0" applyFont="1" applyFill="1" applyBorder="1" applyAlignment="1" applyProtection="1">
      <alignment horizontal="center"/>
      <protection locked="0"/>
    </xf>
    <xf numFmtId="3" fontId="14" fillId="0" borderId="1" xfId="2" applyNumberFormat="1" applyFont="1" applyFill="1" applyBorder="1" applyAlignment="1" applyProtection="1">
      <alignment horizontal="right"/>
      <protection locked="0"/>
    </xf>
    <xf numFmtId="165" fontId="15" fillId="0" borderId="0" xfId="1" applyNumberFormat="1" applyFont="1" applyProtection="1">
      <protection locked="0"/>
    </xf>
    <xf numFmtId="165" fontId="15" fillId="5" borderId="0" xfId="1" applyNumberFormat="1" applyFont="1" applyFill="1" applyBorder="1" applyAlignment="1" applyProtection="1">
      <alignment horizontal="center"/>
      <protection locked="0"/>
    </xf>
    <xf numFmtId="14" fontId="17" fillId="0" borderId="0" xfId="0" applyNumberFormat="1" applyFont="1" applyProtection="1">
      <protection locked="0"/>
    </xf>
    <xf numFmtId="165" fontId="17" fillId="0" borderId="0" xfId="1" applyNumberFormat="1" applyFont="1" applyProtection="1">
      <protection locked="0"/>
    </xf>
    <xf numFmtId="165" fontId="18" fillId="0" borderId="0" xfId="1" applyNumberFormat="1" applyFont="1" applyProtection="1">
      <protection locked="0"/>
    </xf>
    <xf numFmtId="165" fontId="18" fillId="0" borderId="0" xfId="1" applyNumberFormat="1" applyFont="1" applyAlignment="1" applyProtection="1">
      <alignment horizontal="center" vertical="center"/>
    </xf>
    <xf numFmtId="165" fontId="19" fillId="0" borderId="0" xfId="1" applyNumberFormat="1" applyFont="1" applyProtection="1">
      <protection locked="0"/>
    </xf>
    <xf numFmtId="165" fontId="18" fillId="0" borderId="0" xfId="1" applyNumberFormat="1" applyFont="1" applyProtection="1"/>
    <xf numFmtId="165" fontId="15" fillId="0" borderId="0" xfId="1" applyNumberFormat="1" applyFont="1" applyFill="1" applyBorder="1" applyAlignment="1" applyProtection="1">
      <alignment horizontal="right"/>
      <protection locked="0"/>
    </xf>
    <xf numFmtId="165" fontId="20" fillId="0" borderId="0" xfId="1" applyNumberFormat="1" applyFont="1" applyProtection="1">
      <protection locked="0"/>
    </xf>
    <xf numFmtId="0" fontId="7" fillId="0" borderId="0" xfId="0" applyFont="1" applyProtection="1">
      <protection locked="0"/>
    </xf>
    <xf numFmtId="0" fontId="7" fillId="0" borderId="0" xfId="0" applyFont="1"/>
    <xf numFmtId="0" fontId="5" fillId="3" borderId="4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22" fillId="3" borderId="13" xfId="0" applyFont="1" applyFill="1" applyBorder="1" applyAlignment="1">
      <alignment horizontal="center" vertical="center"/>
    </xf>
    <xf numFmtId="49" fontId="3" fillId="0" borderId="2" xfId="0" applyNumberFormat="1" applyFont="1" applyBorder="1"/>
    <xf numFmtId="49" fontId="3" fillId="0" borderId="14" xfId="0" applyNumberFormat="1" applyFont="1" applyBorder="1"/>
    <xf numFmtId="164" fontId="23" fillId="0" borderId="14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4" fontId="21" fillId="0" borderId="0" xfId="0" applyNumberFormat="1" applyFont="1"/>
    <xf numFmtId="14" fontId="16" fillId="0" borderId="1" xfId="0" applyNumberFormat="1" applyFont="1" applyBorder="1" applyProtection="1">
      <protection locked="0"/>
    </xf>
    <xf numFmtId="165" fontId="16" fillId="0" borderId="1" xfId="1" applyNumberFormat="1" applyFont="1" applyBorder="1" applyProtection="1">
      <protection locked="0"/>
    </xf>
    <xf numFmtId="1" fontId="4" fillId="0" borderId="1" xfId="1" applyNumberFormat="1" applyFont="1" applyBorder="1" applyAlignment="1" applyProtection="1">
      <alignment horizontal="right"/>
      <protection locked="0"/>
    </xf>
    <xf numFmtId="165" fontId="4" fillId="0" borderId="1" xfId="1" applyNumberFormat="1" applyFont="1" applyBorder="1" applyAlignment="1" applyProtection="1">
      <alignment horizontal="center" vertical="center"/>
      <protection locked="0"/>
    </xf>
    <xf numFmtId="165" fontId="4" fillId="0" borderId="1" xfId="1" applyNumberFormat="1" applyFont="1" applyBorder="1" applyAlignment="1" applyProtection="1">
      <alignment horizontal="center" vertical="center"/>
    </xf>
    <xf numFmtId="165" fontId="15" fillId="0" borderId="1" xfId="1" applyNumberFormat="1" applyFont="1" applyBorder="1" applyProtection="1">
      <protection locked="0"/>
    </xf>
    <xf numFmtId="165" fontId="4" fillId="0" borderId="1" xfId="1" applyNumberFormat="1" applyFont="1" applyBorder="1" applyProtection="1"/>
    <xf numFmtId="166" fontId="24" fillId="0" borderId="2" xfId="0" applyNumberFormat="1" applyFont="1" applyBorder="1"/>
    <xf numFmtId="0" fontId="25" fillId="0" borderId="0" xfId="0" applyFont="1" applyProtection="1">
      <protection locked="0"/>
    </xf>
    <xf numFmtId="22" fontId="25" fillId="0" borderId="0" xfId="0" applyNumberFormat="1" applyFont="1"/>
    <xf numFmtId="165" fontId="13" fillId="5" borderId="1" xfId="1" applyNumberFormat="1" applyFont="1" applyFill="1" applyBorder="1" applyAlignment="1" applyProtection="1">
      <alignment horizontal="center"/>
      <protection locked="0"/>
    </xf>
    <xf numFmtId="165" fontId="14" fillId="0" borderId="1" xfId="1" applyNumberFormat="1" applyFont="1" applyFill="1" applyBorder="1" applyAlignment="1" applyProtection="1">
      <alignment horizontal="right"/>
      <protection locked="0"/>
    </xf>
    <xf numFmtId="165" fontId="0" fillId="0" borderId="0" xfId="1" applyNumberFormat="1" applyFont="1" applyProtection="1">
      <protection locked="0"/>
    </xf>
    <xf numFmtId="14" fontId="26" fillId="0" borderId="0" xfId="0" applyNumberFormat="1" applyFont="1" applyProtection="1">
      <protection locked="0"/>
    </xf>
    <xf numFmtId="165" fontId="26" fillId="0" borderId="0" xfId="1" applyNumberFormat="1" applyFont="1" applyProtection="1">
      <protection locked="0"/>
    </xf>
    <xf numFmtId="165" fontId="27" fillId="0" borderId="0" xfId="1" applyNumberFormat="1" applyFont="1" applyProtection="1">
      <protection locked="0"/>
    </xf>
    <xf numFmtId="165" fontId="27" fillId="0" borderId="0" xfId="1" applyNumberFormat="1" applyFont="1" applyAlignment="1" applyProtection="1">
      <alignment horizontal="center" vertical="center"/>
    </xf>
    <xf numFmtId="165" fontId="28" fillId="0" borderId="0" xfId="1" applyNumberFormat="1" applyFont="1" applyProtection="1">
      <protection locked="0"/>
    </xf>
    <xf numFmtId="165" fontId="27" fillId="0" borderId="0" xfId="1" applyNumberFormat="1" applyFont="1" applyProtection="1"/>
    <xf numFmtId="165" fontId="8" fillId="0" borderId="0" xfId="1" applyNumberFormat="1" applyFont="1" applyBorder="1"/>
    <xf numFmtId="165" fontId="2" fillId="0" borderId="0" xfId="1" applyNumberFormat="1" applyFont="1" applyAlignment="1" applyProtection="1">
      <alignment horizontal="center" vertical="center"/>
      <protection locked="0"/>
    </xf>
    <xf numFmtId="165" fontId="29" fillId="0" borderId="0" xfId="1" applyNumberFormat="1" applyFont="1" applyAlignment="1" applyProtection="1">
      <alignment horizontal="center" vertical="center"/>
    </xf>
    <xf numFmtId="165" fontId="30" fillId="0" borderId="0" xfId="1" applyNumberFormat="1" applyFont="1" applyProtection="1">
      <protection locked="0"/>
    </xf>
    <xf numFmtId="165" fontId="29" fillId="0" borderId="0" xfId="1" applyNumberFormat="1" applyFont="1" applyProtection="1"/>
    <xf numFmtId="14" fontId="31" fillId="0" borderId="0" xfId="0" applyNumberFormat="1" applyFont="1" applyProtection="1">
      <protection locked="0"/>
    </xf>
    <xf numFmtId="165" fontId="29" fillId="0" borderId="0" xfId="1" applyNumberFormat="1" applyFont="1" applyProtection="1">
      <protection locked="0"/>
    </xf>
    <xf numFmtId="14" fontId="16" fillId="0" borderId="1" xfId="1" applyNumberFormat="1" applyFont="1" applyBorder="1" applyProtection="1">
      <protection locked="0"/>
    </xf>
    <xf numFmtId="167" fontId="32" fillId="0" borderId="1" xfId="3" applyNumberFormat="1" applyFont="1" applyFill="1" applyBorder="1" applyAlignment="1" applyProtection="1">
      <alignment horizontal="center"/>
      <protection locked="0"/>
    </xf>
    <xf numFmtId="14" fontId="32" fillId="0" borderId="1" xfId="0" applyNumberFormat="1" applyFont="1" applyBorder="1" applyAlignment="1" applyProtection="1">
      <alignment horizontal="center"/>
      <protection locked="0"/>
    </xf>
    <xf numFmtId="167" fontId="32" fillId="0" borderId="1" xfId="0" applyNumberFormat="1" applyFont="1" applyBorder="1" applyAlignment="1" applyProtection="1">
      <alignment horizontal="left"/>
      <protection locked="0"/>
    </xf>
    <xf numFmtId="165" fontId="4" fillId="0" borderId="0" xfId="1" applyNumberFormat="1" applyFont="1" applyAlignment="1" applyProtection="1">
      <alignment horizontal="center" vertical="center"/>
    </xf>
    <xf numFmtId="165" fontId="4" fillId="0" borderId="0" xfId="1" applyNumberFormat="1" applyFont="1" applyProtection="1"/>
    <xf numFmtId="165" fontId="32" fillId="0" borderId="1" xfId="1" applyNumberFormat="1" applyFont="1" applyBorder="1" applyProtection="1">
      <protection locked="0"/>
    </xf>
    <xf numFmtId="14" fontId="32" fillId="0" borderId="15" xfId="0" applyNumberFormat="1" applyFont="1" applyBorder="1" applyAlignment="1" applyProtection="1">
      <alignment horizontal="center"/>
      <protection locked="0"/>
    </xf>
    <xf numFmtId="165" fontId="32" fillId="0" borderId="16" xfId="1" applyNumberFormat="1" applyFont="1" applyBorder="1" applyAlignment="1" applyProtection="1">
      <alignment horizontal="center"/>
      <protection locked="0"/>
    </xf>
    <xf numFmtId="165" fontId="32" fillId="0" borderId="1" xfId="1" applyNumberFormat="1" applyFont="1" applyBorder="1" applyAlignment="1" applyProtection="1">
      <alignment horizontal="center" vertical="center"/>
      <protection locked="0"/>
    </xf>
    <xf numFmtId="165" fontId="4" fillId="0" borderId="17" xfId="1" applyNumberFormat="1" applyFont="1" applyBorder="1" applyAlignment="1" applyProtection="1">
      <alignment horizontal="center" vertical="center"/>
    </xf>
    <xf numFmtId="165" fontId="4" fillId="0" borderId="0" xfId="1" applyNumberFormat="1" applyFont="1" applyAlignment="1" applyProtection="1">
      <alignment horizontal="center" vertical="center"/>
      <protection locked="0"/>
    </xf>
    <xf numFmtId="0" fontId="33" fillId="0" borderId="0" xfId="0" applyFont="1" applyAlignment="1">
      <alignment horizontal="center" vertical="center"/>
    </xf>
    <xf numFmtId="14" fontId="34" fillId="0" borderId="0" xfId="0" applyNumberFormat="1" applyFont="1" applyProtection="1">
      <protection locked="0"/>
    </xf>
    <xf numFmtId="165" fontId="34" fillId="0" borderId="0" xfId="1" applyNumberFormat="1" applyFont="1" applyProtection="1">
      <protection locked="0"/>
    </xf>
    <xf numFmtId="165" fontId="35" fillId="0" borderId="0" xfId="1" applyNumberFormat="1" applyFont="1" applyProtection="1">
      <protection locked="0"/>
    </xf>
    <xf numFmtId="165" fontId="35" fillId="0" borderId="0" xfId="1" applyNumberFormat="1" applyFont="1" applyAlignment="1" applyProtection="1">
      <alignment horizontal="center" vertical="center"/>
    </xf>
    <xf numFmtId="165" fontId="36" fillId="0" borderId="0" xfId="1" applyNumberFormat="1" applyFont="1" applyProtection="1">
      <protection locked="0"/>
    </xf>
    <xf numFmtId="165" fontId="35" fillId="0" borderId="0" xfId="1" applyNumberFormat="1" applyFont="1" applyProtection="1"/>
    <xf numFmtId="165" fontId="37" fillId="0" borderId="0" xfId="1" applyNumberFormat="1" applyFont="1" applyProtection="1">
      <protection locked="0"/>
    </xf>
    <xf numFmtId="14" fontId="38" fillId="0" borderId="0" xfId="0" applyNumberFormat="1" applyFont="1" applyProtection="1">
      <protection locked="0"/>
    </xf>
    <xf numFmtId="165" fontId="39" fillId="0" borderId="0" xfId="1" applyNumberFormat="1" applyFont="1" applyProtection="1">
      <protection locked="0"/>
    </xf>
    <xf numFmtId="165" fontId="39" fillId="0" borderId="0" xfId="1" applyNumberFormat="1" applyFont="1" applyAlignment="1" applyProtection="1">
      <alignment horizontal="center" vertical="center"/>
    </xf>
    <xf numFmtId="165" fontId="40" fillId="0" borderId="0" xfId="1" applyNumberFormat="1" applyFont="1" applyProtection="1">
      <protection locked="0"/>
    </xf>
    <xf numFmtId="165" fontId="2" fillId="0" borderId="0" xfId="0" applyNumberFormat="1" applyFont="1" applyAlignment="1">
      <alignment horizontal="center" vertical="center"/>
    </xf>
    <xf numFmtId="165" fontId="8" fillId="0" borderId="0" xfId="0" applyNumberFormat="1" applyFont="1" applyProtection="1">
      <protection locked="0"/>
    </xf>
    <xf numFmtId="165" fontId="2" fillId="0" borderId="0" xfId="0" applyNumberFormat="1" applyFont="1" applyProtection="1">
      <protection locked="0"/>
    </xf>
    <xf numFmtId="165" fontId="16" fillId="0" borderId="3" xfId="1" applyNumberFormat="1" applyFont="1" applyBorder="1" applyProtection="1">
      <protection locked="0"/>
    </xf>
    <xf numFmtId="14" fontId="16" fillId="0" borderId="3" xfId="0" applyNumberFormat="1" applyFont="1" applyBorder="1" applyProtection="1">
      <protection locked="0"/>
    </xf>
    <xf numFmtId="1" fontId="4" fillId="0" borderId="3" xfId="1" applyNumberFormat="1" applyFont="1" applyBorder="1" applyAlignment="1" applyProtection="1">
      <alignment horizontal="right"/>
      <protection locked="0"/>
    </xf>
    <xf numFmtId="165" fontId="4" fillId="0" borderId="3" xfId="1" applyNumberFormat="1" applyFont="1" applyBorder="1" applyAlignment="1" applyProtection="1">
      <alignment horizontal="center" vertical="center"/>
      <protection locked="0"/>
    </xf>
    <xf numFmtId="165" fontId="4" fillId="0" borderId="3" xfId="1" applyNumberFormat="1" applyFont="1" applyBorder="1" applyAlignment="1" applyProtection="1">
      <alignment horizontal="center" vertical="center"/>
    </xf>
    <xf numFmtId="165" fontId="15" fillId="0" borderId="3" xfId="1" applyNumberFormat="1" applyFont="1" applyBorder="1" applyProtection="1">
      <protection locked="0"/>
    </xf>
    <xf numFmtId="14" fontId="16" fillId="0" borderId="18" xfId="0" applyNumberFormat="1" applyFont="1" applyBorder="1" applyProtection="1">
      <protection locked="0"/>
    </xf>
    <xf numFmtId="14" fontId="16" fillId="0" borderId="19" xfId="0" applyNumberFormat="1" applyFont="1" applyBorder="1" applyProtection="1">
      <protection locked="0"/>
    </xf>
    <xf numFmtId="165" fontId="16" fillId="0" borderId="19" xfId="1" applyNumberFormat="1" applyFont="1" applyBorder="1" applyProtection="1">
      <protection locked="0"/>
    </xf>
    <xf numFmtId="1" fontId="4" fillId="0" borderId="19" xfId="1" applyNumberFormat="1" applyFont="1" applyBorder="1" applyAlignment="1" applyProtection="1">
      <alignment horizontal="right"/>
      <protection locked="0"/>
    </xf>
    <xf numFmtId="165" fontId="4" fillId="0" borderId="19" xfId="1" applyNumberFormat="1" applyFont="1" applyBorder="1" applyAlignment="1" applyProtection="1">
      <alignment horizontal="center" vertical="center"/>
      <protection locked="0"/>
    </xf>
    <xf numFmtId="165" fontId="4" fillId="0" borderId="19" xfId="1" applyNumberFormat="1" applyFont="1" applyBorder="1" applyAlignment="1" applyProtection="1">
      <alignment horizontal="center" vertical="center"/>
    </xf>
    <xf numFmtId="165" fontId="15" fillId="0" borderId="19" xfId="1" applyNumberFormat="1" applyFont="1" applyBorder="1" applyProtection="1">
      <protection locked="0"/>
    </xf>
    <xf numFmtId="49" fontId="42" fillId="0" borderId="14" xfId="0" applyNumberFormat="1" applyFont="1" applyBorder="1"/>
    <xf numFmtId="14" fontId="44" fillId="0" borderId="0" xfId="0" applyNumberFormat="1" applyFont="1" applyProtection="1">
      <protection locked="0"/>
    </xf>
    <xf numFmtId="165" fontId="44" fillId="0" borderId="0" xfId="1" applyNumberFormat="1" applyFont="1" applyProtection="1">
      <protection locked="0"/>
    </xf>
    <xf numFmtId="165" fontId="45" fillId="0" borderId="0" xfId="1" applyNumberFormat="1" applyFont="1" applyProtection="1">
      <protection locked="0"/>
    </xf>
    <xf numFmtId="165" fontId="45" fillId="0" borderId="0" xfId="1" applyNumberFormat="1" applyFont="1" applyAlignment="1" applyProtection="1">
      <alignment horizontal="center" vertical="center"/>
    </xf>
    <xf numFmtId="165" fontId="46" fillId="0" borderId="0" xfId="1" applyNumberFormat="1" applyFont="1" applyProtection="1">
      <protection locked="0"/>
    </xf>
    <xf numFmtId="165" fontId="45" fillId="0" borderId="0" xfId="1" applyNumberFormat="1" applyFont="1" applyProtection="1"/>
    <xf numFmtId="14" fontId="47" fillId="0" borderId="0" xfId="0" applyNumberFormat="1" applyFont="1" applyProtection="1">
      <protection locked="0"/>
    </xf>
    <xf numFmtId="165" fontId="47" fillId="0" borderId="0" xfId="1" applyNumberFormat="1" applyFont="1" applyProtection="1">
      <protection locked="0"/>
    </xf>
    <xf numFmtId="165" fontId="48" fillId="0" borderId="0" xfId="1" applyNumberFormat="1" applyFont="1" applyProtection="1">
      <protection locked="0"/>
    </xf>
    <xf numFmtId="165" fontId="48" fillId="0" borderId="0" xfId="1" applyNumberFormat="1" applyFont="1" applyAlignment="1" applyProtection="1">
      <alignment horizontal="center" vertical="center"/>
    </xf>
    <xf numFmtId="165" fontId="49" fillId="0" borderId="0" xfId="1" applyNumberFormat="1" applyFont="1" applyProtection="1">
      <protection locked="0"/>
    </xf>
    <xf numFmtId="165" fontId="48" fillId="0" borderId="0" xfId="1" applyNumberFormat="1" applyFont="1" applyProtection="1"/>
    <xf numFmtId="0" fontId="7" fillId="0" borderId="7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0" fillId="0" borderId="8" xfId="0" applyBorder="1" applyProtection="1">
      <protection locked="0"/>
    </xf>
    <xf numFmtId="0" fontId="0" fillId="0" borderId="8" xfId="0" applyBorder="1"/>
    <xf numFmtId="0" fontId="0" fillId="0" borderId="9" xfId="0" applyBorder="1"/>
    <xf numFmtId="0" fontId="7" fillId="0" borderId="20" xfId="0" applyFont="1" applyBorder="1" applyProtection="1">
      <protection locked="0"/>
    </xf>
    <xf numFmtId="0" fontId="7" fillId="0" borderId="0" xfId="0" applyFont="1" applyBorder="1" applyProtection="1">
      <protection locked="0"/>
    </xf>
    <xf numFmtId="0" fontId="7" fillId="0" borderId="21" xfId="0" applyFont="1" applyBorder="1" applyProtection="1">
      <protection locked="0"/>
    </xf>
    <xf numFmtId="164" fontId="3" fillId="0" borderId="22" xfId="0" applyNumberFormat="1" applyFont="1" applyBorder="1" applyAlignment="1">
      <alignment horizontal="center" vertical="center"/>
    </xf>
    <xf numFmtId="0" fontId="0" fillId="0" borderId="20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Border="1"/>
    <xf numFmtId="0" fontId="0" fillId="0" borderId="21" xfId="0" applyBorder="1"/>
    <xf numFmtId="0" fontId="25" fillId="0" borderId="0" xfId="0" applyFon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1" xfId="0" applyBorder="1"/>
    <xf numFmtId="0" fontId="0" fillId="0" borderId="12" xfId="0" applyBorder="1"/>
    <xf numFmtId="164" fontId="23" fillId="0" borderId="23" xfId="0" applyNumberFormat="1" applyFont="1" applyBorder="1" applyAlignment="1">
      <alignment horizontal="center" vertical="center"/>
    </xf>
    <xf numFmtId="0" fontId="7" fillId="0" borderId="8" xfId="0" applyFont="1" applyBorder="1"/>
    <xf numFmtId="0" fontId="7" fillId="0" borderId="9" xfId="0" applyFont="1" applyBorder="1"/>
    <xf numFmtId="0" fontId="5" fillId="7" borderId="0" xfId="0" applyFont="1" applyFill="1" applyBorder="1" applyAlignment="1">
      <alignment horizontal="center" vertical="center"/>
    </xf>
    <xf numFmtId="0" fontId="7" fillId="0" borderId="0" xfId="0" applyFont="1" applyBorder="1"/>
    <xf numFmtId="0" fontId="7" fillId="0" borderId="21" xfId="0" applyFont="1" applyBorder="1"/>
    <xf numFmtId="0" fontId="21" fillId="5" borderId="0" xfId="0" applyFont="1" applyFill="1" applyBorder="1" applyProtection="1">
      <protection locked="0"/>
    </xf>
    <xf numFmtId="0" fontId="7" fillId="0" borderId="10" xfId="0" applyFont="1" applyBorder="1" applyProtection="1">
      <protection locked="0"/>
    </xf>
    <xf numFmtId="0" fontId="7" fillId="0" borderId="11" xfId="0" applyFont="1" applyBorder="1" applyProtection="1">
      <protection locked="0"/>
    </xf>
    <xf numFmtId="0" fontId="7" fillId="0" borderId="11" xfId="0" applyFont="1" applyBorder="1"/>
    <xf numFmtId="0" fontId="7" fillId="0" borderId="12" xfId="0" applyFont="1" applyBorder="1"/>
    <xf numFmtId="0" fontId="21" fillId="0" borderId="0" xfId="0" applyFont="1" applyBorder="1" applyProtection="1">
      <protection locked="0"/>
    </xf>
    <xf numFmtId="0" fontId="7" fillId="0" borderId="12" xfId="0" applyFont="1" applyBorder="1" applyProtection="1">
      <protection locked="0"/>
    </xf>
    <xf numFmtId="0" fontId="25" fillId="0" borderId="0" xfId="0" applyFont="1" applyBorder="1"/>
    <xf numFmtId="3" fontId="14" fillId="0" borderId="1" xfId="2" applyNumberFormat="1" applyFont="1" applyFill="1" applyBorder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0" fontId="52" fillId="5" borderId="1" xfId="0" applyFont="1" applyFill="1" applyBorder="1" applyAlignment="1">
      <alignment horizontal="center" vertical="center"/>
    </xf>
    <xf numFmtId="165" fontId="53" fillId="0" borderId="0" xfId="1" applyNumberFormat="1" applyFont="1" applyAlignment="1" applyProtection="1">
      <alignment vertical="center"/>
      <protection locked="0"/>
    </xf>
    <xf numFmtId="3" fontId="54" fillId="0" borderId="1" xfId="4" applyNumberFormat="1" applyFont="1" applyFill="1" applyBorder="1" applyAlignment="1" applyProtection="1">
      <alignment horizontal="center" vertical="center"/>
      <protection locked="0"/>
    </xf>
    <xf numFmtId="3" fontId="54" fillId="0" borderId="1" xfId="2" applyNumberFormat="1" applyFont="1" applyFill="1" applyBorder="1" applyAlignment="1" applyProtection="1">
      <alignment horizontal="center" vertical="center"/>
      <protection locked="0"/>
    </xf>
    <xf numFmtId="165" fontId="16" fillId="0" borderId="0" xfId="1" applyNumberFormat="1" applyFont="1" applyProtection="1">
      <protection locked="0"/>
    </xf>
    <xf numFmtId="0" fontId="7" fillId="0" borderId="8" xfId="0" applyNumberFormat="1" applyFont="1" applyBorder="1" applyProtection="1">
      <protection locked="0"/>
    </xf>
    <xf numFmtId="0" fontId="7" fillId="0" borderId="0" xfId="0" applyNumberFormat="1" applyFont="1" applyBorder="1" applyProtection="1">
      <protection locked="0"/>
    </xf>
    <xf numFmtId="0" fontId="5" fillId="3" borderId="3" xfId="0" applyNumberFormat="1" applyFont="1" applyFill="1" applyBorder="1" applyAlignment="1">
      <alignment horizontal="center" vertical="center"/>
    </xf>
    <xf numFmtId="0" fontId="0" fillId="0" borderId="11" xfId="0" applyNumberFormat="1" applyBorder="1" applyProtection="1">
      <protection locked="0"/>
    </xf>
    <xf numFmtId="0" fontId="4" fillId="2" borderId="0" xfId="0" applyNumberFormat="1" applyFont="1" applyFill="1" applyProtection="1">
      <protection locked="0"/>
    </xf>
    <xf numFmtId="0" fontId="8" fillId="0" borderId="0" xfId="0" applyNumberFormat="1" applyFont="1" applyProtection="1">
      <protection locked="0"/>
    </xf>
    <xf numFmtId="0" fontId="0" fillId="0" borderId="0" xfId="0" applyNumberFormat="1" applyProtection="1">
      <protection locked="0"/>
    </xf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49" fontId="55" fillId="12" borderId="20" xfId="0" applyNumberFormat="1" applyFont="1" applyFill="1" applyBorder="1" applyAlignment="1" applyProtection="1">
      <alignment horizontal="center"/>
      <protection locked="0"/>
    </xf>
    <xf numFmtId="49" fontId="55" fillId="12" borderId="0" xfId="0" applyNumberFormat="1" applyFont="1" applyFill="1" applyBorder="1" applyAlignment="1" applyProtection="1">
      <alignment horizontal="center"/>
      <protection locked="0"/>
    </xf>
    <xf numFmtId="164" fontId="50" fillId="6" borderId="7" xfId="0" applyNumberFormat="1" applyFont="1" applyFill="1" applyBorder="1" applyAlignment="1">
      <alignment horizontal="center" vertical="center"/>
    </xf>
    <xf numFmtId="164" fontId="50" fillId="6" borderId="8" xfId="0" applyNumberFormat="1" applyFont="1" applyFill="1" applyBorder="1" applyAlignment="1">
      <alignment horizontal="center" vertical="center"/>
    </xf>
    <xf numFmtId="164" fontId="50" fillId="6" borderId="9" xfId="0" applyNumberFormat="1" applyFont="1" applyFill="1" applyBorder="1" applyAlignment="1">
      <alignment horizontal="center" vertical="center"/>
    </xf>
    <xf numFmtId="164" fontId="50" fillId="6" borderId="10" xfId="0" applyNumberFormat="1" applyFont="1" applyFill="1" applyBorder="1" applyAlignment="1">
      <alignment horizontal="center" vertical="center"/>
    </xf>
    <xf numFmtId="164" fontId="50" fillId="6" borderId="11" xfId="0" applyNumberFormat="1" applyFont="1" applyFill="1" applyBorder="1" applyAlignment="1">
      <alignment horizontal="center" vertical="center"/>
    </xf>
    <xf numFmtId="164" fontId="50" fillId="6" borderId="12" xfId="0" applyNumberFormat="1" applyFont="1" applyFill="1" applyBorder="1" applyAlignment="1">
      <alignment horizontal="center" vertical="center"/>
    </xf>
    <xf numFmtId="0" fontId="51" fillId="8" borderId="7" xfId="0" applyFont="1" applyFill="1" applyBorder="1" applyAlignment="1" applyProtection="1">
      <alignment horizontal="right" vertical="center"/>
      <protection locked="0"/>
    </xf>
    <xf numFmtId="0" fontId="51" fillId="8" borderId="9" xfId="0" applyFont="1" applyFill="1" applyBorder="1" applyAlignment="1" applyProtection="1">
      <alignment horizontal="right" vertical="center"/>
      <protection locked="0"/>
    </xf>
    <xf numFmtId="0" fontId="51" fillId="8" borderId="10" xfId="0" applyFont="1" applyFill="1" applyBorder="1" applyAlignment="1" applyProtection="1">
      <alignment horizontal="right" vertical="center"/>
      <protection locked="0"/>
    </xf>
    <xf numFmtId="0" fontId="51" fillId="8" borderId="12" xfId="0" applyFont="1" applyFill="1" applyBorder="1" applyAlignment="1" applyProtection="1">
      <alignment horizontal="right" vertical="center"/>
      <protection locked="0"/>
    </xf>
    <xf numFmtId="0" fontId="43" fillId="11" borderId="7" xfId="0" applyFont="1" applyFill="1" applyBorder="1" applyAlignment="1" applyProtection="1">
      <alignment horizontal="center"/>
      <protection locked="0"/>
    </xf>
    <xf numFmtId="0" fontId="43" fillId="11" borderId="8" xfId="0" applyFont="1" applyFill="1" applyBorder="1" applyAlignment="1" applyProtection="1">
      <alignment horizontal="center"/>
      <protection locked="0"/>
    </xf>
    <xf numFmtId="0" fontId="43" fillId="11" borderId="9" xfId="0" applyFont="1" applyFill="1" applyBorder="1" applyAlignment="1" applyProtection="1">
      <alignment horizontal="center"/>
      <protection locked="0"/>
    </xf>
    <xf numFmtId="0" fontId="43" fillId="11" borderId="10" xfId="0" applyFont="1" applyFill="1" applyBorder="1" applyAlignment="1" applyProtection="1">
      <alignment horizontal="center"/>
      <protection locked="0"/>
    </xf>
    <xf numFmtId="0" fontId="43" fillId="11" borderId="11" xfId="0" applyFont="1" applyFill="1" applyBorder="1" applyAlignment="1" applyProtection="1">
      <alignment horizontal="center"/>
      <protection locked="0"/>
    </xf>
    <xf numFmtId="0" fontId="43" fillId="11" borderId="12" xfId="0" applyFont="1" applyFill="1" applyBorder="1" applyAlignment="1" applyProtection="1">
      <alignment horizontal="center"/>
      <protection locked="0"/>
    </xf>
  </cellXfs>
  <cellStyles count="5">
    <cellStyle name="Accent1" xfId="3" builtinId="29"/>
    <cellStyle name="Accent4" xfId="4" builtinId="41"/>
    <cellStyle name="Milliers" xfId="1" builtinId="3"/>
    <cellStyle name="Normal" xfId="0" builtinId="0"/>
    <cellStyle name="Total" xfId="2" builtinId="25"/>
  </cellStyles>
  <dxfs count="1027"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" formatCode="0"/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b/>
      </font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strike/>
        <color theme="1"/>
      </font>
      <fill>
        <patternFill>
          <f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strike val="0"/>
        <outline val="0"/>
        <shadow val="0"/>
        <u val="none"/>
        <vertAlign val="baseline"/>
        <sz val="22"/>
        <color rgb="FFFF0000"/>
        <name val="Calibri"/>
        <scheme val="minor"/>
      </font>
      <numFmt numFmtId="165" formatCode="_-* #,##0\ _€_-;\-* #,##0\ _€_-;_-* &quot;-&quot;??\ _€_-;_-@_-"/>
      <alignment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1"/>
      </font>
      <fill>
        <patternFill>
          <bgColor theme="1"/>
        </patternFill>
      </fill>
      <border>
        <left/>
        <right/>
        <top/>
        <bottom/>
      </border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border outline="0">
        <left style="thin">
          <color indexed="64"/>
        </lef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strike val="0"/>
        <outline val="0"/>
        <shadow val="0"/>
        <u val="none"/>
        <vertAlign val="baseline"/>
        <sz val="22"/>
        <color rgb="FFFF000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_-* #,##0\ _€_-;\-* #,##0\ _€_-;_-* &quot;-&quot;??\ _€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_-* #,##0\ _€_-;\-* #,##0\ _€_-;_-* &quot;-&quot;??\ _€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_-* #,##0\ _€_-;\-* #,##0\ _€_-;_-* &quot;-&quot;??\ _€_-;_-@_-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_-* #,##0\ _€_-;\-* #,##0\ _€_-;_-* &quot;-&quot;??\ _€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name val="Calibri"/>
        <scheme val="minor"/>
      </font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1"/>
      </font>
      <fill>
        <patternFill>
          <bgColor theme="1"/>
        </patternFill>
      </fill>
      <border>
        <left/>
        <right/>
        <top/>
        <bottom/>
      </border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/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ill>
        <patternFill>
          <bgColor rgb="FFC0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2"/>
        <color rgb="FFC00000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_-* #,##0\ _€_-;\-* #,##0\ _€_-;_-* &quot;-&quot;??\ _€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dd/mm/yyyy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>
          <bgColor theme="8"/>
        </patternFill>
      </fill>
      <protection locked="0" hidden="0"/>
    </dxf>
    <dxf>
      <font>
        <color theme="1"/>
      </font>
      <fill>
        <patternFill>
          <bgColor theme="1"/>
        </patternFill>
      </fill>
      <border>
        <left/>
        <right/>
        <top/>
        <bottom/>
      </border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GS AFRIQUE GROUPE SERVICE'!A1"/><Relationship Id="rId18" Type="http://schemas.openxmlformats.org/officeDocument/2006/relationships/hyperlink" Target="#ATL!A1"/><Relationship Id="rId26" Type="http://schemas.openxmlformats.org/officeDocument/2006/relationships/hyperlink" Target="#FBD!A1"/><Relationship Id="rId39" Type="http://schemas.openxmlformats.org/officeDocument/2006/relationships/hyperlink" Target="#'AUTO RAY(CLIENT)'!A1"/><Relationship Id="rId21" Type="http://schemas.openxmlformats.org/officeDocument/2006/relationships/hyperlink" Target="#'ABBAS ABDUL REDA'!A1"/><Relationship Id="rId34" Type="http://schemas.openxmlformats.org/officeDocument/2006/relationships/hyperlink" Target="#SAMFO!A1"/><Relationship Id="rId42" Type="http://schemas.openxmlformats.org/officeDocument/2006/relationships/hyperlink" Target="#NAFCO!A1"/><Relationship Id="rId47" Type="http://schemas.openxmlformats.org/officeDocument/2006/relationships/hyperlink" Target="#NETCOM!A1"/><Relationship Id="rId7" Type="http://schemas.openxmlformats.org/officeDocument/2006/relationships/hyperlink" Target="#'KONE MOUSTAPHA'!A1"/><Relationship Id="rId2" Type="http://schemas.openxmlformats.org/officeDocument/2006/relationships/hyperlink" Target="#FIDAA!A1"/><Relationship Id="rId16" Type="http://schemas.openxmlformats.org/officeDocument/2006/relationships/hyperlink" Target="#'HACHICH INDIEN'!A1"/><Relationship Id="rId29" Type="http://schemas.openxmlformats.org/officeDocument/2006/relationships/hyperlink" Target="#'MEHDY MADY'!A1"/><Relationship Id="rId11" Type="http://schemas.openxmlformats.org/officeDocument/2006/relationships/hyperlink" Target="#'A.H GROUPE'!A1"/><Relationship Id="rId24" Type="http://schemas.openxmlformats.org/officeDocument/2006/relationships/hyperlink" Target="#'ADAM AFRIQUE '!A1"/><Relationship Id="rId32" Type="http://schemas.openxmlformats.org/officeDocument/2006/relationships/hyperlink" Target="#SOGODO!A1"/><Relationship Id="rId37" Type="http://schemas.openxmlformats.org/officeDocument/2006/relationships/hyperlink" Target="#CFAO!A1"/><Relationship Id="rId40" Type="http://schemas.openxmlformats.org/officeDocument/2006/relationships/hyperlink" Target="#BATIPLUS!A1"/><Relationship Id="rId45" Type="http://schemas.openxmlformats.org/officeDocument/2006/relationships/hyperlink" Target="#KOBEISSI!A1"/><Relationship Id="rId5" Type="http://schemas.openxmlformats.org/officeDocument/2006/relationships/hyperlink" Target="#BERNARD!A1"/><Relationship Id="rId15" Type="http://schemas.openxmlformats.org/officeDocument/2006/relationships/hyperlink" Target="#ARTCI!A1"/><Relationship Id="rId23" Type="http://schemas.openxmlformats.org/officeDocument/2006/relationships/hyperlink" Target="#'AFCHEM-SOFACO'!A1"/><Relationship Id="rId28" Type="http://schemas.openxmlformats.org/officeDocument/2006/relationships/hyperlink" Target="#'MAN TPS'!A1"/><Relationship Id="rId36" Type="http://schemas.openxmlformats.org/officeDocument/2006/relationships/hyperlink" Target="#'SENAT BL'!A1"/><Relationship Id="rId49" Type="http://schemas.openxmlformats.org/officeDocument/2006/relationships/hyperlink" Target="#REPORTING!A1"/><Relationship Id="rId10" Type="http://schemas.openxmlformats.org/officeDocument/2006/relationships/hyperlink" Target="#'BILAL BIG MAT'!A1"/><Relationship Id="rId19" Type="http://schemas.openxmlformats.org/officeDocument/2006/relationships/hyperlink" Target="#'GMS GAKOU'!A1"/><Relationship Id="rId31" Type="http://schemas.openxmlformats.org/officeDocument/2006/relationships/hyperlink" Target="#'PETIT SOLO'!A1"/><Relationship Id="rId44" Type="http://schemas.openxmlformats.org/officeDocument/2006/relationships/hyperlink" Target="#EZONE!A1"/><Relationship Id="rId4" Type="http://schemas.openxmlformats.org/officeDocument/2006/relationships/hyperlink" Target="#SEINA!A1"/><Relationship Id="rId9" Type="http://schemas.openxmlformats.org/officeDocument/2006/relationships/hyperlink" Target="#'SIDI MOHAMAD '!A1"/><Relationship Id="rId14" Type="http://schemas.openxmlformats.org/officeDocument/2006/relationships/hyperlink" Target="#AYOKI!A1"/><Relationship Id="rId22" Type="http://schemas.openxmlformats.org/officeDocument/2006/relationships/hyperlink" Target="#'ABBAS ZALZALE'!A1"/><Relationship Id="rId27" Type="http://schemas.openxmlformats.org/officeDocument/2006/relationships/hyperlink" Target="#'MR. KEBE'!A1"/><Relationship Id="rId30" Type="http://schemas.openxmlformats.org/officeDocument/2006/relationships/hyperlink" Target="#'MR KOUAME ASSOUA LUDOVIC'!A1"/><Relationship Id="rId35" Type="http://schemas.openxmlformats.org/officeDocument/2006/relationships/hyperlink" Target="#SOLO!A1"/><Relationship Id="rId43" Type="http://schemas.openxmlformats.org/officeDocument/2006/relationships/hyperlink" Target="#'DSC BATIME'!A1"/><Relationship Id="rId48" Type="http://schemas.openxmlformats.org/officeDocument/2006/relationships/hyperlink" Target="#ALM!A1"/><Relationship Id="rId8" Type="http://schemas.openxmlformats.org/officeDocument/2006/relationships/hyperlink" Target="#'DISTRICT DU ZANZAN'!A1"/><Relationship Id="rId3" Type="http://schemas.openxmlformats.org/officeDocument/2006/relationships/hyperlink" Target="#WAEL!A1"/><Relationship Id="rId12" Type="http://schemas.openxmlformats.org/officeDocument/2006/relationships/hyperlink" Target="#'ALI JOMAA'!A1"/><Relationship Id="rId17" Type="http://schemas.openxmlformats.org/officeDocument/2006/relationships/hyperlink" Target="#'ALI CHERRI'!A1"/><Relationship Id="rId25" Type="http://schemas.openxmlformats.org/officeDocument/2006/relationships/hyperlink" Target="#AEC!A1"/><Relationship Id="rId33" Type="http://schemas.openxmlformats.org/officeDocument/2006/relationships/hyperlink" Target="#'SAMAKE KEBE'!A1"/><Relationship Id="rId38" Type="http://schemas.openxmlformats.org/officeDocument/2006/relationships/hyperlink" Target="#'DIVERS CLIENT'!A1"/><Relationship Id="rId46" Type="http://schemas.openxmlformats.org/officeDocument/2006/relationships/hyperlink" Target="#'YOUBA ADZOPE'!A1"/><Relationship Id="rId20" Type="http://schemas.openxmlformats.org/officeDocument/2006/relationships/hyperlink" Target="#'ADNAN PRIME PRESTIGE'!A1"/><Relationship Id="rId41" Type="http://schemas.openxmlformats.org/officeDocument/2006/relationships/hyperlink" Target="#'ABDALLAH KDOUH '!A1"/><Relationship Id="rId1" Type="http://schemas.openxmlformats.org/officeDocument/2006/relationships/hyperlink" Target="#'CABF ALLCC'!A1"/><Relationship Id="rId6" Type="http://schemas.openxmlformats.org/officeDocument/2006/relationships/hyperlink" Target="#'SALIF KONE 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TABLEAU!A1"/></Relationships>
</file>

<file path=xl/drawings/_rels/drawing50.xml.rels><?xml version="1.0" encoding="UTF-8" standalone="yes"?>
<Relationships xmlns="http://schemas.openxmlformats.org/package/2006/relationships"><Relationship Id="rId13" Type="http://schemas.openxmlformats.org/officeDocument/2006/relationships/hyperlink" Target="#'DIVERS CLIENT'!A1"/><Relationship Id="rId18" Type="http://schemas.openxmlformats.org/officeDocument/2006/relationships/hyperlink" Target="#'MR. KEBE'!A1"/><Relationship Id="rId26" Type="http://schemas.openxmlformats.org/officeDocument/2006/relationships/hyperlink" Target="#'ADNAN PRIME PRESTIGE'!A1"/><Relationship Id="rId39" Type="http://schemas.openxmlformats.org/officeDocument/2006/relationships/hyperlink" Target="#'AUTO RAY(CLIENT)'!A1"/><Relationship Id="rId21" Type="http://schemas.openxmlformats.org/officeDocument/2006/relationships/hyperlink" Target="#FBD!A1"/><Relationship Id="rId34" Type="http://schemas.openxmlformats.org/officeDocument/2006/relationships/hyperlink" Target="#TABLEAU!A1"/><Relationship Id="rId42" Type="http://schemas.openxmlformats.org/officeDocument/2006/relationships/hyperlink" Target="#'IMEX PHARMA'!A1"/><Relationship Id="rId47" Type="http://schemas.openxmlformats.org/officeDocument/2006/relationships/hyperlink" Target="#'YOUBA ADZOPE'!A1"/><Relationship Id="rId7" Type="http://schemas.openxmlformats.org/officeDocument/2006/relationships/hyperlink" Target="#'A.H GROUPE'!A1"/><Relationship Id="rId2" Type="http://schemas.openxmlformats.org/officeDocument/2006/relationships/hyperlink" Target="#ARTCI!A1"/><Relationship Id="rId16" Type="http://schemas.openxmlformats.org/officeDocument/2006/relationships/hyperlink" Target="#'ALI JOMAA'!A1"/><Relationship Id="rId29" Type="http://schemas.openxmlformats.org/officeDocument/2006/relationships/hyperlink" Target="#'ALI CHERRI'!A1"/><Relationship Id="rId11" Type="http://schemas.openxmlformats.org/officeDocument/2006/relationships/hyperlink" Target="#'AGS AFRIQUE GROUPE SERVICE'!A1"/><Relationship Id="rId24" Type="http://schemas.openxmlformats.org/officeDocument/2006/relationships/hyperlink" Target="#'ABBAS ABDUL REDA'!A1"/><Relationship Id="rId32" Type="http://schemas.openxmlformats.org/officeDocument/2006/relationships/hyperlink" Target="#'PETIT SOLO'!A1"/><Relationship Id="rId37" Type="http://schemas.openxmlformats.org/officeDocument/2006/relationships/hyperlink" Target="#'SIDI MOHAMAD '!A1"/><Relationship Id="rId40" Type="http://schemas.openxmlformats.org/officeDocument/2006/relationships/hyperlink" Target="#BATIPLUS!A1"/><Relationship Id="rId45" Type="http://schemas.openxmlformats.org/officeDocument/2006/relationships/hyperlink" Target="#KOBEISSI!A1"/><Relationship Id="rId5" Type="http://schemas.openxmlformats.org/officeDocument/2006/relationships/hyperlink" Target="#'MEHDY MADY'!A1"/><Relationship Id="rId15" Type="http://schemas.openxmlformats.org/officeDocument/2006/relationships/hyperlink" Target="#SOGODO!A1"/><Relationship Id="rId23" Type="http://schemas.openxmlformats.org/officeDocument/2006/relationships/hyperlink" Target="#'SAMAKE KEBE'!A1"/><Relationship Id="rId28" Type="http://schemas.openxmlformats.org/officeDocument/2006/relationships/hyperlink" Target="#'AFCHEM-SOFACO'!A1"/><Relationship Id="rId36" Type="http://schemas.openxmlformats.org/officeDocument/2006/relationships/hyperlink" Target="#SEINA!A1"/><Relationship Id="rId49" Type="http://schemas.openxmlformats.org/officeDocument/2006/relationships/hyperlink" Target="#ALM!A1"/><Relationship Id="rId10" Type="http://schemas.openxmlformats.org/officeDocument/2006/relationships/hyperlink" Target="#'GMS GAKOU'!A1"/><Relationship Id="rId19" Type="http://schemas.openxmlformats.org/officeDocument/2006/relationships/hyperlink" Target="#SAMFO!A1"/><Relationship Id="rId31" Type="http://schemas.openxmlformats.org/officeDocument/2006/relationships/hyperlink" Target="#SOLO!A1"/><Relationship Id="rId44" Type="http://schemas.openxmlformats.org/officeDocument/2006/relationships/hyperlink" Target="#EZONE!A1"/><Relationship Id="rId4" Type="http://schemas.openxmlformats.org/officeDocument/2006/relationships/hyperlink" Target="#'ADAM AFRIQUE '!A1"/><Relationship Id="rId9" Type="http://schemas.openxmlformats.org/officeDocument/2006/relationships/hyperlink" Target="#CFAO!A1"/><Relationship Id="rId14" Type="http://schemas.openxmlformats.org/officeDocument/2006/relationships/hyperlink" Target="#'KONE MOUSTAPHA'!A1"/><Relationship Id="rId22" Type="http://schemas.openxmlformats.org/officeDocument/2006/relationships/hyperlink" Target="#'MAN TPS'!A1"/><Relationship Id="rId27" Type="http://schemas.openxmlformats.org/officeDocument/2006/relationships/hyperlink" Target="#AEC!A1"/><Relationship Id="rId30" Type="http://schemas.openxmlformats.org/officeDocument/2006/relationships/hyperlink" Target="#BERNARD!A1"/><Relationship Id="rId35" Type="http://schemas.openxmlformats.org/officeDocument/2006/relationships/hyperlink" Target="#'SALIF KONE '!A1"/><Relationship Id="rId43" Type="http://schemas.openxmlformats.org/officeDocument/2006/relationships/hyperlink" Target="#'DISTRICT DU ZANZAN'!A1"/><Relationship Id="rId48" Type="http://schemas.openxmlformats.org/officeDocument/2006/relationships/hyperlink" Target="#NETCOM!A1"/><Relationship Id="rId8" Type="http://schemas.openxmlformats.org/officeDocument/2006/relationships/hyperlink" Target="#ATL!A1"/><Relationship Id="rId3" Type="http://schemas.openxmlformats.org/officeDocument/2006/relationships/hyperlink" Target="#'CABF ALLCC'!A1"/><Relationship Id="rId12" Type="http://schemas.openxmlformats.org/officeDocument/2006/relationships/hyperlink" Target="#AYOKI!A1"/><Relationship Id="rId17" Type="http://schemas.openxmlformats.org/officeDocument/2006/relationships/hyperlink" Target="#'MR KOUAME ASSOUA LUDOVIC'!A1"/><Relationship Id="rId25" Type="http://schemas.openxmlformats.org/officeDocument/2006/relationships/hyperlink" Target="#'ABBAS ZALZALE'!A1"/><Relationship Id="rId33" Type="http://schemas.openxmlformats.org/officeDocument/2006/relationships/hyperlink" Target="#WAEL!A1"/><Relationship Id="rId38" Type="http://schemas.openxmlformats.org/officeDocument/2006/relationships/hyperlink" Target="#'BILAL BIG MAT'!A1"/><Relationship Id="rId46" Type="http://schemas.openxmlformats.org/officeDocument/2006/relationships/hyperlink" Target="#'DSC BATIME'!A1"/><Relationship Id="rId20" Type="http://schemas.openxmlformats.org/officeDocument/2006/relationships/hyperlink" Target="#FIDAA!A1"/><Relationship Id="rId41" Type="http://schemas.openxmlformats.org/officeDocument/2006/relationships/hyperlink" Target="#NAFCO!A1"/><Relationship Id="rId1" Type="http://schemas.openxmlformats.org/officeDocument/2006/relationships/hyperlink" Target="#'HACHICH INDIEN'!A1"/><Relationship Id="rId6" Type="http://schemas.openxmlformats.org/officeDocument/2006/relationships/hyperlink" Target="#'SENAT BL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555998</xdr:colOff>
      <xdr:row>4</xdr:row>
      <xdr:rowOff>161612</xdr:rowOff>
    </xdr:from>
    <xdr:to>
      <xdr:col>6</xdr:col>
      <xdr:colOff>756908</xdr:colOff>
      <xdr:row>6</xdr:row>
      <xdr:rowOff>158309</xdr:rowOff>
    </xdr:to>
    <xdr:sp macro="" textlink="">
      <xdr:nvSpPr>
        <xdr:cNvPr id="34" name="Rectangle à coins arrondi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3725918" y="893132"/>
          <a:ext cx="1785870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CABF ALLCC</a:t>
          </a:r>
        </a:p>
      </xdr:txBody>
    </xdr:sp>
    <xdr:clientData/>
  </xdr:twoCellAnchor>
  <xdr:twoCellAnchor>
    <xdr:from>
      <xdr:col>4</xdr:col>
      <xdr:colOff>586478</xdr:colOff>
      <xdr:row>19</xdr:row>
      <xdr:rowOff>128851</xdr:rowOff>
    </xdr:from>
    <xdr:to>
      <xdr:col>6</xdr:col>
      <xdr:colOff>792136</xdr:colOff>
      <xdr:row>21</xdr:row>
      <xdr:rowOff>125548</xdr:rowOff>
    </xdr:to>
    <xdr:sp macro="" textlink="">
      <xdr:nvSpPr>
        <xdr:cNvPr id="36" name="Rectangle à coins arrondis 3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3756398" y="3603571"/>
          <a:ext cx="1790618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FIDAA</a:t>
          </a:r>
        </a:p>
      </xdr:txBody>
    </xdr:sp>
    <xdr:clientData/>
  </xdr:twoCellAnchor>
  <xdr:twoCellAnchor>
    <xdr:from>
      <xdr:col>9</xdr:col>
      <xdr:colOff>460507</xdr:colOff>
      <xdr:row>24</xdr:row>
      <xdr:rowOff>157368</xdr:rowOff>
    </xdr:from>
    <xdr:to>
      <xdr:col>11</xdr:col>
      <xdr:colOff>665458</xdr:colOff>
      <xdr:row>26</xdr:row>
      <xdr:rowOff>154065</xdr:rowOff>
    </xdr:to>
    <xdr:sp macro="" textlink="">
      <xdr:nvSpPr>
        <xdr:cNvPr id="38" name="Rectangle à coins arrondis 3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7592827" y="4546488"/>
          <a:ext cx="1789911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WAEL</a:t>
          </a:r>
        </a:p>
      </xdr:txBody>
    </xdr:sp>
    <xdr:clientData/>
  </xdr:twoCellAnchor>
  <xdr:twoCellAnchor>
    <xdr:from>
      <xdr:col>9</xdr:col>
      <xdr:colOff>482488</xdr:colOff>
      <xdr:row>12</xdr:row>
      <xdr:rowOff>16897</xdr:rowOff>
    </xdr:from>
    <xdr:to>
      <xdr:col>11</xdr:col>
      <xdr:colOff>687439</xdr:colOff>
      <xdr:row>14</xdr:row>
      <xdr:rowOff>13594</xdr:rowOff>
    </xdr:to>
    <xdr:sp macro="" textlink="">
      <xdr:nvSpPr>
        <xdr:cNvPr id="43" name="Rectangle à coins arrondis 4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7614808" y="2211457"/>
          <a:ext cx="1789911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SEINA</a:t>
          </a:r>
        </a:p>
      </xdr:txBody>
    </xdr:sp>
    <xdr:clientData/>
  </xdr:twoCellAnchor>
  <xdr:twoCellAnchor>
    <xdr:from>
      <xdr:col>2</xdr:col>
      <xdr:colOff>274335</xdr:colOff>
      <xdr:row>22</xdr:row>
      <xdr:rowOff>46649</xdr:rowOff>
    </xdr:from>
    <xdr:to>
      <xdr:col>4</xdr:col>
      <xdr:colOff>479287</xdr:colOff>
      <xdr:row>24</xdr:row>
      <xdr:rowOff>43346</xdr:rowOff>
    </xdr:to>
    <xdr:sp macro="" textlink="">
      <xdr:nvSpPr>
        <xdr:cNvPr id="45" name="Rectangle à coins arrondis 4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1859295" y="4070009"/>
          <a:ext cx="1789912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BERNARD</a:t>
          </a:r>
        </a:p>
      </xdr:txBody>
    </xdr:sp>
    <xdr:clientData/>
  </xdr:twoCellAnchor>
  <xdr:twoCellAnchor>
    <xdr:from>
      <xdr:col>9</xdr:col>
      <xdr:colOff>451129</xdr:colOff>
      <xdr:row>4</xdr:row>
      <xdr:rowOff>161612</xdr:rowOff>
    </xdr:from>
    <xdr:to>
      <xdr:col>11</xdr:col>
      <xdr:colOff>656080</xdr:colOff>
      <xdr:row>6</xdr:row>
      <xdr:rowOff>158309</xdr:rowOff>
    </xdr:to>
    <xdr:sp macro="" textlink="">
      <xdr:nvSpPr>
        <xdr:cNvPr id="49" name="Rectangle à coins arrondis 4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7583449" y="893132"/>
          <a:ext cx="1789911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SALIF KONE </a:t>
          </a:r>
        </a:p>
      </xdr:txBody>
    </xdr:sp>
    <xdr:clientData/>
  </xdr:twoCellAnchor>
  <xdr:twoCellAnchor>
    <xdr:from>
      <xdr:col>7</xdr:col>
      <xdr:colOff>114038</xdr:colOff>
      <xdr:row>9</xdr:row>
      <xdr:rowOff>152884</xdr:rowOff>
    </xdr:from>
    <xdr:to>
      <xdr:col>9</xdr:col>
      <xdr:colOff>318990</xdr:colOff>
      <xdr:row>11</xdr:row>
      <xdr:rowOff>149581</xdr:rowOff>
    </xdr:to>
    <xdr:sp macro="" textlink="">
      <xdr:nvSpPr>
        <xdr:cNvPr id="55" name="Rectangle à coins arrondis 5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5661398" y="1798804"/>
          <a:ext cx="1789912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KONE MOUSTAPHA</a:t>
          </a:r>
        </a:p>
      </xdr:txBody>
    </xdr:sp>
    <xdr:clientData/>
  </xdr:twoCellAnchor>
  <xdr:twoCellAnchor>
    <xdr:from>
      <xdr:col>4</xdr:col>
      <xdr:colOff>555998</xdr:colOff>
      <xdr:row>12</xdr:row>
      <xdr:rowOff>16897</xdr:rowOff>
    </xdr:from>
    <xdr:to>
      <xdr:col>6</xdr:col>
      <xdr:colOff>760949</xdr:colOff>
      <xdr:row>14</xdr:row>
      <xdr:rowOff>13594</xdr:rowOff>
    </xdr:to>
    <xdr:sp macro="" textlink="">
      <xdr:nvSpPr>
        <xdr:cNvPr id="56" name="Rectangle à coins arrondis 5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3725918" y="2211457"/>
          <a:ext cx="1789911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Dist</a:t>
          </a:r>
          <a:r>
            <a:rPr lang="fr-FR" sz="14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ZANZAN</a:t>
          </a:r>
          <a:endParaRPr lang="fr-FR" sz="1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482487</xdr:colOff>
      <xdr:row>17</xdr:row>
      <xdr:rowOff>929</xdr:rowOff>
    </xdr:from>
    <xdr:to>
      <xdr:col>11</xdr:col>
      <xdr:colOff>687439</xdr:colOff>
      <xdr:row>18</xdr:row>
      <xdr:rowOff>180506</xdr:rowOff>
    </xdr:to>
    <xdr:sp macro="" textlink="">
      <xdr:nvSpPr>
        <xdr:cNvPr id="57" name="Rectangle à coins arrondis 5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7614807" y="3109889"/>
          <a:ext cx="1789912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SIDI MOHAMAD </a:t>
          </a:r>
        </a:p>
      </xdr:txBody>
    </xdr:sp>
    <xdr:clientData/>
  </xdr:twoCellAnchor>
  <xdr:twoCellAnchor>
    <xdr:from>
      <xdr:col>2</xdr:col>
      <xdr:colOff>273629</xdr:colOff>
      <xdr:row>19</xdr:row>
      <xdr:rowOff>128851</xdr:rowOff>
    </xdr:from>
    <xdr:to>
      <xdr:col>4</xdr:col>
      <xdr:colOff>479287</xdr:colOff>
      <xdr:row>21</xdr:row>
      <xdr:rowOff>125548</xdr:rowOff>
    </xdr:to>
    <xdr:sp macro="" textlink="">
      <xdr:nvSpPr>
        <xdr:cNvPr id="60" name="Rectangle à coins arrondis 5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1858589" y="3603571"/>
          <a:ext cx="1790618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BILAL BIG MAT</a:t>
          </a:r>
        </a:p>
      </xdr:txBody>
    </xdr:sp>
    <xdr:clientData/>
  </xdr:twoCellAnchor>
  <xdr:twoCellAnchor>
    <xdr:from>
      <xdr:col>0</xdr:col>
      <xdr:colOff>0</xdr:colOff>
      <xdr:row>22</xdr:row>
      <xdr:rowOff>46649</xdr:rowOff>
    </xdr:from>
    <xdr:to>
      <xdr:col>2</xdr:col>
      <xdr:colOff>204952</xdr:colOff>
      <xdr:row>24</xdr:row>
      <xdr:rowOff>43346</xdr:rowOff>
    </xdr:to>
    <xdr:sp macro="" textlink="">
      <xdr:nvSpPr>
        <xdr:cNvPr id="39" name="Rectangle à coins arrondis 3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4070009"/>
          <a:ext cx="1789912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AH GROUP</a:t>
          </a:r>
        </a:p>
      </xdr:txBody>
    </xdr:sp>
    <xdr:clientData/>
  </xdr:twoCellAnchor>
  <xdr:twoCellAnchor>
    <xdr:from>
      <xdr:col>2</xdr:col>
      <xdr:colOff>263449</xdr:colOff>
      <xdr:row>7</xdr:row>
      <xdr:rowOff>70758</xdr:rowOff>
    </xdr:from>
    <xdr:to>
      <xdr:col>4</xdr:col>
      <xdr:colOff>469107</xdr:colOff>
      <xdr:row>9</xdr:row>
      <xdr:rowOff>67455</xdr:rowOff>
    </xdr:to>
    <xdr:sp macro="" textlink="">
      <xdr:nvSpPr>
        <xdr:cNvPr id="42" name="Rectangle à coins arrondis 4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848409" y="1350918"/>
          <a:ext cx="1790618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ALI JOMAA</a:t>
          </a:r>
        </a:p>
      </xdr:txBody>
    </xdr:sp>
    <xdr:clientData/>
  </xdr:twoCellAnchor>
  <xdr:twoCellAnchor>
    <xdr:from>
      <xdr:col>2</xdr:col>
      <xdr:colOff>274764</xdr:colOff>
      <xdr:row>4</xdr:row>
      <xdr:rowOff>133037</xdr:rowOff>
    </xdr:from>
    <xdr:to>
      <xdr:col>4</xdr:col>
      <xdr:colOff>475674</xdr:colOff>
      <xdr:row>6</xdr:row>
      <xdr:rowOff>129734</xdr:rowOff>
    </xdr:to>
    <xdr:sp macro="" textlink="">
      <xdr:nvSpPr>
        <xdr:cNvPr id="46" name="Rectangle à coins arrondis 4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1855914" y="856937"/>
          <a:ext cx="1782060" cy="35864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AGS AFRIQUE</a:t>
          </a:r>
          <a:r>
            <a:rPr lang="fr-FR" sz="14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GROUPE SERVICE</a:t>
          </a:r>
          <a:endParaRPr lang="fr-FR" sz="1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252136</xdr:colOff>
      <xdr:row>17</xdr:row>
      <xdr:rowOff>929</xdr:rowOff>
    </xdr:from>
    <xdr:to>
      <xdr:col>4</xdr:col>
      <xdr:colOff>457087</xdr:colOff>
      <xdr:row>18</xdr:row>
      <xdr:rowOff>180506</xdr:rowOff>
    </xdr:to>
    <xdr:sp macro="" textlink="">
      <xdr:nvSpPr>
        <xdr:cNvPr id="47" name="Rectangle à coins arrondis 4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1837096" y="3109889"/>
          <a:ext cx="1789911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AYOKI</a:t>
          </a:r>
        </a:p>
      </xdr:txBody>
    </xdr:sp>
    <xdr:clientData/>
  </xdr:twoCellAnchor>
  <xdr:twoCellAnchor>
    <xdr:from>
      <xdr:col>2</xdr:col>
      <xdr:colOff>263449</xdr:colOff>
      <xdr:row>12</xdr:row>
      <xdr:rowOff>16897</xdr:rowOff>
    </xdr:from>
    <xdr:to>
      <xdr:col>4</xdr:col>
      <xdr:colOff>468400</xdr:colOff>
      <xdr:row>14</xdr:row>
      <xdr:rowOff>13594</xdr:rowOff>
    </xdr:to>
    <xdr:sp macro="" textlink="">
      <xdr:nvSpPr>
        <xdr:cNvPr id="50" name="Rectangle à coins arrondis 4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1848409" y="2211457"/>
          <a:ext cx="1789911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ARTCI</a:t>
          </a:r>
        </a:p>
      </xdr:txBody>
    </xdr:sp>
    <xdr:clientData/>
  </xdr:twoCellAnchor>
  <xdr:twoCellAnchor>
    <xdr:from>
      <xdr:col>0</xdr:col>
      <xdr:colOff>0</xdr:colOff>
      <xdr:row>19</xdr:row>
      <xdr:rowOff>128851</xdr:rowOff>
    </xdr:from>
    <xdr:to>
      <xdr:col>2</xdr:col>
      <xdr:colOff>200910</xdr:colOff>
      <xdr:row>21</xdr:row>
      <xdr:rowOff>125548</xdr:rowOff>
    </xdr:to>
    <xdr:sp macro="" textlink="">
      <xdr:nvSpPr>
        <xdr:cNvPr id="52" name="Rectangle à coins arrondis 5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3603571"/>
          <a:ext cx="1785870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HACHICH INDIEN</a:t>
          </a:r>
        </a:p>
      </xdr:txBody>
    </xdr:sp>
    <xdr:clientData/>
  </xdr:twoCellAnchor>
  <xdr:twoCellAnchor>
    <xdr:from>
      <xdr:col>2</xdr:col>
      <xdr:colOff>263449</xdr:colOff>
      <xdr:row>9</xdr:row>
      <xdr:rowOff>152884</xdr:rowOff>
    </xdr:from>
    <xdr:to>
      <xdr:col>4</xdr:col>
      <xdr:colOff>468401</xdr:colOff>
      <xdr:row>11</xdr:row>
      <xdr:rowOff>149581</xdr:rowOff>
    </xdr:to>
    <xdr:sp macro="" textlink="">
      <xdr:nvSpPr>
        <xdr:cNvPr id="54" name="Rectangle à coins arrondis 5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1848409" y="1798804"/>
          <a:ext cx="1789912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ALI CHERRI</a:t>
          </a:r>
        </a:p>
      </xdr:txBody>
    </xdr:sp>
    <xdr:clientData/>
  </xdr:twoCellAnchor>
  <xdr:twoCellAnchor>
    <xdr:from>
      <xdr:col>2</xdr:col>
      <xdr:colOff>246480</xdr:colOff>
      <xdr:row>14</xdr:row>
      <xdr:rowOff>99925</xdr:rowOff>
    </xdr:from>
    <xdr:to>
      <xdr:col>4</xdr:col>
      <xdr:colOff>451432</xdr:colOff>
      <xdr:row>16</xdr:row>
      <xdr:rowOff>96622</xdr:rowOff>
    </xdr:to>
    <xdr:sp macro="" textlink="">
      <xdr:nvSpPr>
        <xdr:cNvPr id="61" name="Rectangle à coins arrondis 6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1831440" y="2660245"/>
          <a:ext cx="1789912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ATL</a:t>
          </a:r>
        </a:p>
      </xdr:txBody>
    </xdr:sp>
    <xdr:clientData/>
  </xdr:twoCellAnchor>
  <xdr:twoCellAnchor>
    <xdr:from>
      <xdr:col>7</xdr:col>
      <xdr:colOff>91178</xdr:colOff>
      <xdr:row>4</xdr:row>
      <xdr:rowOff>153329</xdr:rowOff>
    </xdr:from>
    <xdr:to>
      <xdr:col>9</xdr:col>
      <xdr:colOff>367332</xdr:colOff>
      <xdr:row>6</xdr:row>
      <xdr:rowOff>150026</xdr:rowOff>
    </xdr:to>
    <xdr:sp macro="" textlink="">
      <xdr:nvSpPr>
        <xdr:cNvPr id="62" name="Rectangle à coins arrondis 6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638538" y="884849"/>
          <a:ext cx="1861114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GMS GAKOU</a:t>
          </a:r>
        </a:p>
      </xdr:txBody>
    </xdr:sp>
    <xdr:clientData/>
  </xdr:twoCellAnchor>
  <xdr:twoCellAnchor>
    <xdr:from>
      <xdr:col>0</xdr:col>
      <xdr:colOff>0</xdr:colOff>
      <xdr:row>12</xdr:row>
      <xdr:rowOff>16897</xdr:rowOff>
    </xdr:from>
    <xdr:to>
      <xdr:col>2</xdr:col>
      <xdr:colOff>204951</xdr:colOff>
      <xdr:row>14</xdr:row>
      <xdr:rowOff>13594</xdr:rowOff>
    </xdr:to>
    <xdr:sp macro="" textlink="">
      <xdr:nvSpPr>
        <xdr:cNvPr id="35" name="Rectangle à coins arrondis 3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2211457"/>
          <a:ext cx="1789911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ADNAN PRIME PRESTIGE</a:t>
          </a:r>
        </a:p>
      </xdr:txBody>
    </xdr:sp>
    <xdr:clientData/>
  </xdr:twoCellAnchor>
  <xdr:twoCellAnchor>
    <xdr:from>
      <xdr:col>0</xdr:col>
      <xdr:colOff>0</xdr:colOff>
      <xdr:row>4</xdr:row>
      <xdr:rowOff>161612</xdr:rowOff>
    </xdr:from>
    <xdr:to>
      <xdr:col>2</xdr:col>
      <xdr:colOff>204951</xdr:colOff>
      <xdr:row>6</xdr:row>
      <xdr:rowOff>158309</xdr:rowOff>
    </xdr:to>
    <xdr:sp macro="" textlink="">
      <xdr:nvSpPr>
        <xdr:cNvPr id="41" name="Rectangle à coins arrondis 4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893132"/>
          <a:ext cx="1789911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ABBAS ABDUL REDA</a:t>
          </a:r>
        </a:p>
      </xdr:txBody>
    </xdr:sp>
    <xdr:clientData/>
  </xdr:twoCellAnchor>
  <xdr:twoCellAnchor>
    <xdr:from>
      <xdr:col>0</xdr:col>
      <xdr:colOff>0</xdr:colOff>
      <xdr:row>7</xdr:row>
      <xdr:rowOff>70758</xdr:rowOff>
    </xdr:from>
    <xdr:to>
      <xdr:col>2</xdr:col>
      <xdr:colOff>205658</xdr:colOff>
      <xdr:row>9</xdr:row>
      <xdr:rowOff>67455</xdr:rowOff>
    </xdr:to>
    <xdr:sp macro="" textlink="">
      <xdr:nvSpPr>
        <xdr:cNvPr id="48" name="Rectangle à coins arrondis 47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1350918"/>
          <a:ext cx="1790618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ABBAS ZALZALE</a:t>
          </a:r>
        </a:p>
      </xdr:txBody>
    </xdr:sp>
    <xdr:clientData/>
  </xdr:twoCellAnchor>
  <xdr:twoCellAnchor>
    <xdr:from>
      <xdr:col>0</xdr:col>
      <xdr:colOff>0</xdr:colOff>
      <xdr:row>17</xdr:row>
      <xdr:rowOff>929</xdr:rowOff>
    </xdr:from>
    <xdr:to>
      <xdr:col>2</xdr:col>
      <xdr:colOff>204952</xdr:colOff>
      <xdr:row>18</xdr:row>
      <xdr:rowOff>180506</xdr:rowOff>
    </xdr:to>
    <xdr:sp macro="" textlink="">
      <xdr:nvSpPr>
        <xdr:cNvPr id="51" name="Rectangle à coins arrondis 50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3109889"/>
          <a:ext cx="1789912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AFCHEM-SOFACO</a:t>
          </a:r>
        </a:p>
      </xdr:txBody>
    </xdr:sp>
    <xdr:clientData/>
  </xdr:twoCellAnchor>
  <xdr:twoCellAnchor>
    <xdr:from>
      <xdr:col>0</xdr:col>
      <xdr:colOff>0</xdr:colOff>
      <xdr:row>9</xdr:row>
      <xdr:rowOff>152884</xdr:rowOff>
    </xdr:from>
    <xdr:to>
      <xdr:col>2</xdr:col>
      <xdr:colOff>205658</xdr:colOff>
      <xdr:row>11</xdr:row>
      <xdr:rowOff>149581</xdr:rowOff>
    </xdr:to>
    <xdr:sp macro="" textlink="">
      <xdr:nvSpPr>
        <xdr:cNvPr id="59" name="Rectangle à coins arrondis 58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1798804"/>
          <a:ext cx="1790618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ADAM AFRIQUE </a:t>
          </a:r>
        </a:p>
      </xdr:txBody>
    </xdr:sp>
    <xdr:clientData/>
  </xdr:twoCellAnchor>
  <xdr:twoCellAnchor>
    <xdr:from>
      <xdr:col>0</xdr:col>
      <xdr:colOff>0</xdr:colOff>
      <xdr:row>14</xdr:row>
      <xdr:rowOff>99925</xdr:rowOff>
    </xdr:from>
    <xdr:to>
      <xdr:col>2</xdr:col>
      <xdr:colOff>204952</xdr:colOff>
      <xdr:row>16</xdr:row>
      <xdr:rowOff>96622</xdr:rowOff>
    </xdr:to>
    <xdr:sp macro="" textlink="">
      <xdr:nvSpPr>
        <xdr:cNvPr id="63" name="Rectangle à coins arrondis 62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2660245"/>
          <a:ext cx="1789912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AEC</a:t>
          </a:r>
        </a:p>
      </xdr:txBody>
    </xdr:sp>
    <xdr:clientData/>
  </xdr:twoCellAnchor>
  <xdr:twoCellAnchor>
    <xdr:from>
      <xdr:col>4</xdr:col>
      <xdr:colOff>594098</xdr:colOff>
      <xdr:row>22</xdr:row>
      <xdr:rowOff>46649</xdr:rowOff>
    </xdr:from>
    <xdr:to>
      <xdr:col>7</xdr:col>
      <xdr:colOff>6570</xdr:colOff>
      <xdr:row>24</xdr:row>
      <xdr:rowOff>43346</xdr:rowOff>
    </xdr:to>
    <xdr:sp macro="" textlink="">
      <xdr:nvSpPr>
        <xdr:cNvPr id="64" name="Rectangle à coins arrondis 63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3764018" y="4070009"/>
          <a:ext cx="1789912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FBD</a:t>
          </a:r>
        </a:p>
      </xdr:txBody>
    </xdr:sp>
    <xdr:clientData/>
  </xdr:twoCellAnchor>
  <xdr:twoCellAnchor>
    <xdr:from>
      <xdr:col>7</xdr:col>
      <xdr:colOff>130372</xdr:colOff>
      <xdr:row>17</xdr:row>
      <xdr:rowOff>929</xdr:rowOff>
    </xdr:from>
    <xdr:to>
      <xdr:col>9</xdr:col>
      <xdr:colOff>335323</xdr:colOff>
      <xdr:row>18</xdr:row>
      <xdr:rowOff>180506</xdr:rowOff>
    </xdr:to>
    <xdr:sp macro="" textlink="">
      <xdr:nvSpPr>
        <xdr:cNvPr id="3" name="Rectangle à coins arrondis 2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677732" y="3109889"/>
          <a:ext cx="1789911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</a:t>
          </a:r>
          <a:r>
            <a:rPr lang="fr-FR" sz="14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KEBE</a:t>
          </a:r>
          <a:endParaRPr lang="fr-FR" sz="1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130371</xdr:colOff>
      <xdr:row>12</xdr:row>
      <xdr:rowOff>16897</xdr:rowOff>
    </xdr:from>
    <xdr:to>
      <xdr:col>9</xdr:col>
      <xdr:colOff>335323</xdr:colOff>
      <xdr:row>14</xdr:row>
      <xdr:rowOff>13594</xdr:rowOff>
    </xdr:to>
    <xdr:sp macro="" textlink="">
      <xdr:nvSpPr>
        <xdr:cNvPr id="33" name="Rectangle à coins arrondis 32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677731" y="2211457"/>
          <a:ext cx="1789912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MAN TPS</a:t>
          </a:r>
        </a:p>
      </xdr:txBody>
    </xdr:sp>
    <xdr:clientData/>
  </xdr:twoCellAnchor>
  <xdr:twoCellAnchor>
    <xdr:from>
      <xdr:col>7</xdr:col>
      <xdr:colOff>134413</xdr:colOff>
      <xdr:row>14</xdr:row>
      <xdr:rowOff>99925</xdr:rowOff>
    </xdr:from>
    <xdr:to>
      <xdr:col>9</xdr:col>
      <xdr:colOff>335323</xdr:colOff>
      <xdr:row>16</xdr:row>
      <xdr:rowOff>96622</xdr:rowOff>
    </xdr:to>
    <xdr:sp macro="" textlink="">
      <xdr:nvSpPr>
        <xdr:cNvPr id="40" name="Rectangle à coins arrondis 39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5681773" y="2660245"/>
          <a:ext cx="1785870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MEHDY</a:t>
          </a:r>
          <a:r>
            <a:rPr lang="fr-FR" sz="14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MADY</a:t>
          </a:r>
          <a:endParaRPr lang="fr-FR" sz="1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130372</xdr:colOff>
      <xdr:row>19</xdr:row>
      <xdr:rowOff>128851</xdr:rowOff>
    </xdr:from>
    <xdr:to>
      <xdr:col>9</xdr:col>
      <xdr:colOff>335323</xdr:colOff>
      <xdr:row>21</xdr:row>
      <xdr:rowOff>125548</xdr:rowOff>
    </xdr:to>
    <xdr:sp macro="" textlink="">
      <xdr:nvSpPr>
        <xdr:cNvPr id="44" name="Rectangle à coins arrondis 43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5677732" y="3603571"/>
          <a:ext cx="1789911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 KOUAME</a:t>
          </a:r>
          <a:r>
            <a:rPr lang="fr-FR" sz="14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LUDOVIC</a:t>
          </a:r>
          <a:endParaRPr lang="fr-FR" sz="1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137708</xdr:colOff>
      <xdr:row>24</xdr:row>
      <xdr:rowOff>157368</xdr:rowOff>
    </xdr:from>
    <xdr:to>
      <xdr:col>9</xdr:col>
      <xdr:colOff>343366</xdr:colOff>
      <xdr:row>26</xdr:row>
      <xdr:rowOff>154065</xdr:rowOff>
    </xdr:to>
    <xdr:sp macro="" textlink="">
      <xdr:nvSpPr>
        <xdr:cNvPr id="67" name="Rectangle à coins arrondis 66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5685068" y="4546488"/>
          <a:ext cx="1790618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PETIT SOLO</a:t>
          </a:r>
        </a:p>
      </xdr:txBody>
    </xdr:sp>
    <xdr:clientData/>
  </xdr:twoCellAnchor>
  <xdr:twoCellAnchor>
    <xdr:from>
      <xdr:col>9</xdr:col>
      <xdr:colOff>474738</xdr:colOff>
      <xdr:row>19</xdr:row>
      <xdr:rowOff>128851</xdr:rowOff>
    </xdr:from>
    <xdr:to>
      <xdr:col>11</xdr:col>
      <xdr:colOff>679689</xdr:colOff>
      <xdr:row>21</xdr:row>
      <xdr:rowOff>125548</xdr:rowOff>
    </xdr:to>
    <xdr:sp macro="" textlink="">
      <xdr:nvSpPr>
        <xdr:cNvPr id="53" name="Rectangle à coins arrondis 52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7607058" y="3603571"/>
          <a:ext cx="1789911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SOGODO</a:t>
          </a:r>
        </a:p>
      </xdr:txBody>
    </xdr:sp>
    <xdr:clientData/>
  </xdr:twoCellAnchor>
  <xdr:twoCellAnchor>
    <xdr:from>
      <xdr:col>9</xdr:col>
      <xdr:colOff>450705</xdr:colOff>
      <xdr:row>7</xdr:row>
      <xdr:rowOff>70758</xdr:rowOff>
    </xdr:from>
    <xdr:to>
      <xdr:col>11</xdr:col>
      <xdr:colOff>655656</xdr:colOff>
      <xdr:row>9</xdr:row>
      <xdr:rowOff>67455</xdr:rowOff>
    </xdr:to>
    <xdr:sp macro="" textlink="">
      <xdr:nvSpPr>
        <xdr:cNvPr id="58" name="Rectangle à coins arrondis 57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7583025" y="1350918"/>
          <a:ext cx="1789911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SAMAKE KEBE</a:t>
          </a:r>
        </a:p>
      </xdr:txBody>
    </xdr:sp>
    <xdr:clientData/>
  </xdr:twoCellAnchor>
  <xdr:twoCellAnchor>
    <xdr:from>
      <xdr:col>9</xdr:col>
      <xdr:colOff>450704</xdr:colOff>
      <xdr:row>9</xdr:row>
      <xdr:rowOff>152884</xdr:rowOff>
    </xdr:from>
    <xdr:to>
      <xdr:col>11</xdr:col>
      <xdr:colOff>655656</xdr:colOff>
      <xdr:row>11</xdr:row>
      <xdr:rowOff>149581</xdr:rowOff>
    </xdr:to>
    <xdr:sp macro="" textlink="">
      <xdr:nvSpPr>
        <xdr:cNvPr id="65" name="Rectangle à coins arrondis 6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7583024" y="1798804"/>
          <a:ext cx="1789912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SAMFO</a:t>
          </a:r>
        </a:p>
      </xdr:txBody>
    </xdr:sp>
    <xdr:clientData/>
  </xdr:twoCellAnchor>
  <xdr:twoCellAnchor>
    <xdr:from>
      <xdr:col>9</xdr:col>
      <xdr:colOff>459799</xdr:colOff>
      <xdr:row>22</xdr:row>
      <xdr:rowOff>46649</xdr:rowOff>
    </xdr:from>
    <xdr:to>
      <xdr:col>11</xdr:col>
      <xdr:colOff>665457</xdr:colOff>
      <xdr:row>24</xdr:row>
      <xdr:rowOff>43346</xdr:rowOff>
    </xdr:to>
    <xdr:sp macro="" textlink="">
      <xdr:nvSpPr>
        <xdr:cNvPr id="66" name="Rectangle à coins arrondis 65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7592119" y="4070009"/>
          <a:ext cx="1790618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SOLO</a:t>
          </a:r>
        </a:p>
      </xdr:txBody>
    </xdr:sp>
    <xdr:clientData/>
  </xdr:twoCellAnchor>
  <xdr:twoCellAnchor>
    <xdr:from>
      <xdr:col>9</xdr:col>
      <xdr:colOff>474030</xdr:colOff>
      <xdr:row>14</xdr:row>
      <xdr:rowOff>99925</xdr:rowOff>
    </xdr:from>
    <xdr:to>
      <xdr:col>11</xdr:col>
      <xdr:colOff>679688</xdr:colOff>
      <xdr:row>16</xdr:row>
      <xdr:rowOff>96622</xdr:rowOff>
    </xdr:to>
    <xdr:sp macro="" textlink="">
      <xdr:nvSpPr>
        <xdr:cNvPr id="68" name="Rectangle à coins arrondis 67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7606350" y="2660245"/>
          <a:ext cx="1790618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SENAT BL</a:t>
          </a:r>
        </a:p>
      </xdr:txBody>
    </xdr:sp>
    <xdr:clientData/>
  </xdr:twoCellAnchor>
  <xdr:twoCellAnchor>
    <xdr:from>
      <xdr:col>4</xdr:col>
      <xdr:colOff>555998</xdr:colOff>
      <xdr:row>7</xdr:row>
      <xdr:rowOff>70758</xdr:rowOff>
    </xdr:from>
    <xdr:to>
      <xdr:col>6</xdr:col>
      <xdr:colOff>760950</xdr:colOff>
      <xdr:row>9</xdr:row>
      <xdr:rowOff>67455</xdr:rowOff>
    </xdr:to>
    <xdr:sp macro="" textlink="">
      <xdr:nvSpPr>
        <xdr:cNvPr id="70" name="Rectangle à coins arrondis 69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3725918" y="1350918"/>
          <a:ext cx="1789912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CFA MOTORS</a:t>
          </a:r>
        </a:p>
      </xdr:txBody>
    </xdr:sp>
    <xdr:clientData/>
  </xdr:twoCellAnchor>
  <xdr:twoCellAnchor>
    <xdr:from>
      <xdr:col>4</xdr:col>
      <xdr:colOff>555998</xdr:colOff>
      <xdr:row>9</xdr:row>
      <xdr:rowOff>152884</xdr:rowOff>
    </xdr:from>
    <xdr:to>
      <xdr:col>6</xdr:col>
      <xdr:colOff>761656</xdr:colOff>
      <xdr:row>11</xdr:row>
      <xdr:rowOff>149581</xdr:rowOff>
    </xdr:to>
    <xdr:sp macro="" textlink="">
      <xdr:nvSpPr>
        <xdr:cNvPr id="71" name="Rectangle à coins arrondis 70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3725918" y="1798804"/>
          <a:ext cx="1790618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CLIENT DIVERS</a:t>
          </a:r>
        </a:p>
      </xdr:txBody>
    </xdr:sp>
    <xdr:clientData/>
  </xdr:twoCellAnchor>
  <xdr:twoCellAnchor>
    <xdr:from>
      <xdr:col>0</xdr:col>
      <xdr:colOff>0</xdr:colOff>
      <xdr:row>24</xdr:row>
      <xdr:rowOff>157368</xdr:rowOff>
    </xdr:from>
    <xdr:to>
      <xdr:col>2</xdr:col>
      <xdr:colOff>190500</xdr:colOff>
      <xdr:row>27</xdr:row>
      <xdr:rowOff>34519</xdr:rowOff>
    </xdr:to>
    <xdr:sp macro="" textlink="">
      <xdr:nvSpPr>
        <xdr:cNvPr id="69" name="Rectangle à coins arrondis 68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4627768"/>
          <a:ext cx="1782233" cy="435951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AUTO</a:t>
          </a:r>
          <a:r>
            <a:rPr lang="fr-FR" sz="14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RAY</a:t>
          </a:r>
          <a:endParaRPr lang="fr-FR" sz="1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274335</xdr:colOff>
      <xdr:row>24</xdr:row>
      <xdr:rowOff>157368</xdr:rowOff>
    </xdr:from>
    <xdr:to>
      <xdr:col>4</xdr:col>
      <xdr:colOff>464835</xdr:colOff>
      <xdr:row>27</xdr:row>
      <xdr:rowOff>34519</xdr:rowOff>
    </xdr:to>
    <xdr:sp macro="" textlink="">
      <xdr:nvSpPr>
        <xdr:cNvPr id="72" name="Rectangle à coins arrondis 71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1859295" y="4546488"/>
          <a:ext cx="1775460" cy="425791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BATIPLUS</a:t>
          </a:r>
        </a:p>
      </xdr:txBody>
    </xdr:sp>
    <xdr:clientData/>
  </xdr:twoCellAnchor>
  <xdr:twoCellAnchor>
    <xdr:from>
      <xdr:col>7</xdr:col>
      <xdr:colOff>121920</xdr:colOff>
      <xdr:row>7</xdr:row>
      <xdr:rowOff>99989</xdr:rowOff>
    </xdr:from>
    <xdr:to>
      <xdr:col>9</xdr:col>
      <xdr:colOff>312420</xdr:colOff>
      <xdr:row>9</xdr:row>
      <xdr:rowOff>99060</xdr:rowOff>
    </xdr:to>
    <xdr:sp macro="" textlink="">
      <xdr:nvSpPr>
        <xdr:cNvPr id="73" name="Rectangle à coins arrondis 72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5669280" y="1380149"/>
          <a:ext cx="1775460" cy="364831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ABDALLAH</a:t>
          </a:r>
          <a:r>
            <a:rPr lang="fr-FR" sz="14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KDOUH</a:t>
          </a:r>
        </a:p>
      </xdr:txBody>
    </xdr:sp>
    <xdr:clientData/>
  </xdr:twoCellAnchor>
  <xdr:twoCellAnchor>
    <xdr:from>
      <xdr:col>7</xdr:col>
      <xdr:colOff>137992</xdr:colOff>
      <xdr:row>22</xdr:row>
      <xdr:rowOff>46649</xdr:rowOff>
    </xdr:from>
    <xdr:to>
      <xdr:col>9</xdr:col>
      <xdr:colOff>342943</xdr:colOff>
      <xdr:row>24</xdr:row>
      <xdr:rowOff>43346</xdr:rowOff>
    </xdr:to>
    <xdr:sp macro="" textlink="">
      <xdr:nvSpPr>
        <xdr:cNvPr id="74" name="Rectangle à coins arrondis 73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5685352" y="4070009"/>
          <a:ext cx="1789911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NAFCO</a:t>
          </a:r>
        </a:p>
      </xdr:txBody>
    </xdr:sp>
    <xdr:clientData/>
  </xdr:twoCellAnchor>
  <xdr:twoCellAnchor>
    <xdr:from>
      <xdr:col>4</xdr:col>
      <xdr:colOff>563618</xdr:colOff>
      <xdr:row>14</xdr:row>
      <xdr:rowOff>99925</xdr:rowOff>
    </xdr:from>
    <xdr:to>
      <xdr:col>6</xdr:col>
      <xdr:colOff>768569</xdr:colOff>
      <xdr:row>16</xdr:row>
      <xdr:rowOff>96622</xdr:rowOff>
    </xdr:to>
    <xdr:sp macro="" textlink="">
      <xdr:nvSpPr>
        <xdr:cNvPr id="75" name="Rectangle à coins arrondis 7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3733538" y="2660245"/>
          <a:ext cx="1789911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DSC BATIME</a:t>
          </a:r>
        </a:p>
      </xdr:txBody>
    </xdr:sp>
    <xdr:clientData/>
  </xdr:twoCellAnchor>
  <xdr:twoCellAnchor>
    <xdr:from>
      <xdr:col>4</xdr:col>
      <xdr:colOff>555998</xdr:colOff>
      <xdr:row>17</xdr:row>
      <xdr:rowOff>929</xdr:rowOff>
    </xdr:from>
    <xdr:to>
      <xdr:col>6</xdr:col>
      <xdr:colOff>760949</xdr:colOff>
      <xdr:row>18</xdr:row>
      <xdr:rowOff>180506</xdr:rowOff>
    </xdr:to>
    <xdr:sp macro="" textlink="">
      <xdr:nvSpPr>
        <xdr:cNvPr id="76" name="Rectangle à coins arrondis 75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3725918" y="3109889"/>
          <a:ext cx="1789911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EZONE</a:t>
          </a:r>
        </a:p>
      </xdr:txBody>
    </xdr:sp>
    <xdr:clientData/>
  </xdr:twoCellAnchor>
  <xdr:twoCellAnchor>
    <xdr:from>
      <xdr:col>4</xdr:col>
      <xdr:colOff>616958</xdr:colOff>
      <xdr:row>24</xdr:row>
      <xdr:rowOff>145709</xdr:rowOff>
    </xdr:from>
    <xdr:to>
      <xdr:col>7</xdr:col>
      <xdr:colOff>29430</xdr:colOff>
      <xdr:row>26</xdr:row>
      <xdr:rowOff>142406</xdr:rowOff>
    </xdr:to>
    <xdr:sp macro="" textlink="">
      <xdr:nvSpPr>
        <xdr:cNvPr id="77" name="Rectangle à coins arrondis 76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3786878" y="4534829"/>
          <a:ext cx="1789912" cy="362457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KOBEISSI</a:t>
          </a:r>
        </a:p>
      </xdr:txBody>
    </xdr:sp>
    <xdr:clientData/>
  </xdr:twoCellAnchor>
  <xdr:twoCellAnchor>
    <xdr:from>
      <xdr:col>0</xdr:col>
      <xdr:colOff>0</xdr:colOff>
      <xdr:row>27</xdr:row>
      <xdr:rowOff>106568</xdr:rowOff>
    </xdr:from>
    <xdr:to>
      <xdr:col>2</xdr:col>
      <xdr:colOff>190500</xdr:colOff>
      <xdr:row>29</xdr:row>
      <xdr:rowOff>169986</xdr:rowOff>
    </xdr:to>
    <xdr:sp macro="" textlink="">
      <xdr:nvSpPr>
        <xdr:cNvPr id="78" name="Rectangle à coins arrondis 77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5135768"/>
          <a:ext cx="1782233" cy="435951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YOUBA ADZOPE</a:t>
          </a:r>
        </a:p>
      </xdr:txBody>
    </xdr:sp>
    <xdr:clientData/>
  </xdr:twoCellAnchor>
  <xdr:twoCellAnchor>
    <xdr:from>
      <xdr:col>2</xdr:col>
      <xdr:colOff>266700</xdr:colOff>
      <xdr:row>27</xdr:row>
      <xdr:rowOff>87518</xdr:rowOff>
    </xdr:from>
    <xdr:to>
      <xdr:col>4</xdr:col>
      <xdr:colOff>457200</xdr:colOff>
      <xdr:row>29</xdr:row>
      <xdr:rowOff>150936</xdr:rowOff>
    </xdr:to>
    <xdr:sp macro="" textlink="">
      <xdr:nvSpPr>
        <xdr:cNvPr id="2" name="Rectangle à coins arrondis 77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51660" y="5025278"/>
          <a:ext cx="1775460" cy="429178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NETCOM</a:t>
          </a:r>
        </a:p>
      </xdr:txBody>
    </xdr:sp>
    <xdr:clientData/>
  </xdr:twoCellAnchor>
  <xdr:twoCellAnchor>
    <xdr:from>
      <xdr:col>4</xdr:col>
      <xdr:colOff>594360</xdr:colOff>
      <xdr:row>27</xdr:row>
      <xdr:rowOff>57038</xdr:rowOff>
    </xdr:from>
    <xdr:to>
      <xdr:col>6</xdr:col>
      <xdr:colOff>784860</xdr:colOff>
      <xdr:row>29</xdr:row>
      <xdr:rowOff>120456</xdr:rowOff>
    </xdr:to>
    <xdr:sp macro="" textlink="">
      <xdr:nvSpPr>
        <xdr:cNvPr id="4" name="Rectangle à coins arrondis 77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764280" y="4994798"/>
          <a:ext cx="1775460" cy="429178"/>
        </a:xfrm>
        <a:prstGeom prst="roundRect">
          <a:avLst/>
        </a:prstGeom>
        <a:solidFill>
          <a:schemeClr val="accent1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ALM</a:t>
          </a:r>
        </a:p>
      </xdr:txBody>
    </xdr:sp>
    <xdr:clientData/>
  </xdr:twoCellAnchor>
  <xdr:twoCellAnchor>
    <xdr:from>
      <xdr:col>9</xdr:col>
      <xdr:colOff>464820</xdr:colOff>
      <xdr:row>0</xdr:row>
      <xdr:rowOff>60960</xdr:rowOff>
    </xdr:from>
    <xdr:to>
      <xdr:col>12</xdr:col>
      <xdr:colOff>289560</xdr:colOff>
      <xdr:row>2</xdr:row>
      <xdr:rowOff>152400</xdr:rowOff>
    </xdr:to>
    <xdr:sp macro="" textlink="">
      <xdr:nvSpPr>
        <xdr:cNvPr id="5" name="Rectangle 4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89F1DB22-C951-6033-EE6F-64D5F8486E0C}"/>
            </a:ext>
          </a:extLst>
        </xdr:cNvPr>
        <xdr:cNvSpPr/>
      </xdr:nvSpPr>
      <xdr:spPr>
        <a:xfrm>
          <a:off x="7597140" y="60960"/>
          <a:ext cx="2202180" cy="4572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/>
            <a:t>VOIR</a:t>
          </a:r>
          <a:r>
            <a:rPr lang="fr-FR" sz="2000" baseline="0"/>
            <a:t> REPORTING</a:t>
          </a:r>
          <a:endParaRPr lang="fr-FR" sz="2000"/>
        </a:p>
      </xdr:txBody>
    </xdr:sp>
    <xdr:clientData/>
  </xdr:twoCellAnchor>
  <xdr:twoCellAnchor>
    <xdr:from>
      <xdr:col>0</xdr:col>
      <xdr:colOff>15240</xdr:colOff>
      <xdr:row>0</xdr:row>
      <xdr:rowOff>68580</xdr:rowOff>
    </xdr:from>
    <xdr:to>
      <xdr:col>9</xdr:col>
      <xdr:colOff>388620</xdr:colOff>
      <xdr:row>2</xdr:row>
      <xdr:rowOff>160020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D13692C-1F57-60E8-C7EB-1D1FE5493120}"/>
            </a:ext>
          </a:extLst>
        </xdr:cNvPr>
        <xdr:cNvSpPr/>
      </xdr:nvSpPr>
      <xdr:spPr>
        <a:xfrm>
          <a:off x="15240" y="68580"/>
          <a:ext cx="7505700" cy="457200"/>
        </a:xfrm>
        <a:prstGeom prst="rect">
          <a:avLst/>
        </a:prstGeom>
        <a:solidFill>
          <a:schemeClr val="tx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400" b="1"/>
            <a:t>SUIVI VENTE CLIENT</a:t>
          </a:r>
          <a:r>
            <a:rPr lang="fr-FR" sz="2400" b="1" baseline="0"/>
            <a:t> PBD</a:t>
          </a:r>
          <a:endParaRPr lang="fr-FR" sz="2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272143</xdr:rowOff>
    </xdr:from>
    <xdr:to>
      <xdr:col>0</xdr:col>
      <xdr:colOff>1442357</xdr:colOff>
      <xdr:row>6</xdr:row>
      <xdr:rowOff>162966</xdr:rowOff>
    </xdr:to>
    <xdr:sp macro="" textlink="">
      <xdr:nvSpPr>
        <xdr:cNvPr id="2" name="Flèche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1956163"/>
          <a:ext cx="1442357" cy="73664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200" b="1"/>
            <a:t>RETOUR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272143</xdr:rowOff>
    </xdr:from>
    <xdr:to>
      <xdr:col>0</xdr:col>
      <xdr:colOff>1442357</xdr:colOff>
      <xdr:row>6</xdr:row>
      <xdr:rowOff>162966</xdr:rowOff>
    </xdr:to>
    <xdr:sp macro="" textlink="">
      <xdr:nvSpPr>
        <xdr:cNvPr id="2" name="Flèche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1967593"/>
          <a:ext cx="1442357" cy="72902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200" b="1"/>
            <a:t>RETOUR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40182</xdr:colOff>
      <xdr:row>4</xdr:row>
      <xdr:rowOff>150798</xdr:rowOff>
    </xdr:from>
    <xdr:to>
      <xdr:col>0</xdr:col>
      <xdr:colOff>1156607</xdr:colOff>
      <xdr:row>6</xdr:row>
      <xdr:rowOff>54108</xdr:rowOff>
    </xdr:to>
    <xdr:sp macro="" textlink="">
      <xdr:nvSpPr>
        <xdr:cNvPr id="2" name="Flèche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40182" y="1851691"/>
          <a:ext cx="1116425" cy="733346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12968</xdr:colOff>
      <xdr:row>4</xdr:row>
      <xdr:rowOff>164406</xdr:rowOff>
    </xdr:from>
    <xdr:to>
      <xdr:col>0</xdr:col>
      <xdr:colOff>1333500</xdr:colOff>
      <xdr:row>6</xdr:row>
      <xdr:rowOff>67716</xdr:rowOff>
    </xdr:to>
    <xdr:sp macro="" textlink="">
      <xdr:nvSpPr>
        <xdr:cNvPr id="2" name="Flèche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2968" y="1863031"/>
          <a:ext cx="1320532" cy="72881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272143</xdr:rowOff>
    </xdr:from>
    <xdr:to>
      <xdr:col>0</xdr:col>
      <xdr:colOff>1442357</xdr:colOff>
      <xdr:row>6</xdr:row>
      <xdr:rowOff>162966</xdr:rowOff>
    </xdr:to>
    <xdr:sp macro="" textlink="">
      <xdr:nvSpPr>
        <xdr:cNvPr id="2" name="Flèche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0" y="1483179"/>
          <a:ext cx="1442357" cy="72085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200" b="1"/>
            <a:t>RETOUR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40182</xdr:colOff>
      <xdr:row>4</xdr:row>
      <xdr:rowOff>14727</xdr:rowOff>
    </xdr:from>
    <xdr:to>
      <xdr:col>0</xdr:col>
      <xdr:colOff>1279071</xdr:colOff>
      <xdr:row>7</xdr:row>
      <xdr:rowOff>13287</xdr:rowOff>
    </xdr:to>
    <xdr:sp macro="" textlink="">
      <xdr:nvSpPr>
        <xdr:cNvPr id="2" name="Flèche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40182" y="1225763"/>
          <a:ext cx="1238889" cy="101909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53789</xdr:colOff>
      <xdr:row>4</xdr:row>
      <xdr:rowOff>147170</xdr:rowOff>
    </xdr:from>
    <xdr:to>
      <xdr:col>1</xdr:col>
      <xdr:colOff>31750</xdr:colOff>
      <xdr:row>6</xdr:row>
      <xdr:rowOff>52294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53789" y="1845795"/>
          <a:ext cx="1152711" cy="7306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85190</xdr:colOff>
      <xdr:row>4</xdr:row>
      <xdr:rowOff>167472</xdr:rowOff>
    </xdr:from>
    <xdr:to>
      <xdr:col>0</xdr:col>
      <xdr:colOff>1308379</xdr:colOff>
      <xdr:row>6</xdr:row>
      <xdr:rowOff>152498</xdr:rowOff>
    </xdr:to>
    <xdr:sp macro="" textlink="">
      <xdr:nvSpPr>
        <xdr:cNvPr id="2" name="Flèche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85190" y="1863131"/>
          <a:ext cx="1223189" cy="82238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81003</xdr:colOff>
      <xdr:row>5</xdr:row>
      <xdr:rowOff>1120</xdr:rowOff>
    </xdr:from>
    <xdr:to>
      <xdr:col>0</xdr:col>
      <xdr:colOff>1049190</xdr:colOff>
      <xdr:row>6</xdr:row>
      <xdr:rowOff>108537</xdr:rowOff>
    </xdr:to>
    <xdr:sp macro="" textlink="">
      <xdr:nvSpPr>
        <xdr:cNvPr id="2" name="Flèche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81003" y="1416263"/>
          <a:ext cx="968187" cy="57006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42583</xdr:colOff>
      <xdr:row>4</xdr:row>
      <xdr:rowOff>190500</xdr:rowOff>
    </xdr:from>
    <xdr:to>
      <xdr:col>0</xdr:col>
      <xdr:colOff>1131794</xdr:colOff>
      <xdr:row>6</xdr:row>
      <xdr:rowOff>161365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42583" y="1893794"/>
          <a:ext cx="1089211" cy="811306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53789</xdr:colOff>
      <xdr:row>4</xdr:row>
      <xdr:rowOff>212912</xdr:rowOff>
    </xdr:from>
    <xdr:to>
      <xdr:col>0</xdr:col>
      <xdr:colOff>1143000</xdr:colOff>
      <xdr:row>6</xdr:row>
      <xdr:rowOff>161365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53789" y="1916206"/>
          <a:ext cx="1089211" cy="78889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143995</xdr:rowOff>
    </xdr:from>
    <xdr:to>
      <xdr:col>0</xdr:col>
      <xdr:colOff>1143000</xdr:colOff>
      <xdr:row>6</xdr:row>
      <xdr:rowOff>138019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0" y="1159995"/>
          <a:ext cx="1143000" cy="10100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201706</xdr:rowOff>
    </xdr:from>
    <xdr:to>
      <xdr:col>0</xdr:col>
      <xdr:colOff>1131794</xdr:colOff>
      <xdr:row>6</xdr:row>
      <xdr:rowOff>150159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0" y="1905000"/>
          <a:ext cx="1131794" cy="78889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53789</xdr:colOff>
      <xdr:row>4</xdr:row>
      <xdr:rowOff>14727</xdr:rowOff>
    </xdr:from>
    <xdr:to>
      <xdr:col>0</xdr:col>
      <xdr:colOff>1224643</xdr:colOff>
      <xdr:row>7</xdr:row>
      <xdr:rowOff>13287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53789" y="1225763"/>
          <a:ext cx="1170854" cy="101909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398928</xdr:rowOff>
    </xdr:from>
    <xdr:to>
      <xdr:col>0</xdr:col>
      <xdr:colOff>1131794</xdr:colOff>
      <xdr:row>6</xdr:row>
      <xdr:rowOff>156883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0" y="1698810"/>
          <a:ext cx="1131794" cy="100180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179294</xdr:rowOff>
    </xdr:from>
    <xdr:to>
      <xdr:col>0</xdr:col>
      <xdr:colOff>1064559</xdr:colOff>
      <xdr:row>6</xdr:row>
      <xdr:rowOff>138953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0" y="1882588"/>
          <a:ext cx="1064559" cy="8001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73959</xdr:rowOff>
    </xdr:from>
    <xdr:to>
      <xdr:col>0</xdr:col>
      <xdr:colOff>1143000</xdr:colOff>
      <xdr:row>6</xdr:row>
      <xdr:rowOff>89647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0" y="1772584"/>
          <a:ext cx="1143000" cy="84118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20172</xdr:colOff>
      <xdr:row>4</xdr:row>
      <xdr:rowOff>6724</xdr:rowOff>
    </xdr:from>
    <xdr:to>
      <xdr:col>0</xdr:col>
      <xdr:colOff>1173480</xdr:colOff>
      <xdr:row>7</xdr:row>
      <xdr:rowOff>4483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20172" y="1698364"/>
          <a:ext cx="1153308" cy="103407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6164</xdr:colOff>
      <xdr:row>4</xdr:row>
      <xdr:rowOff>190500</xdr:rowOff>
    </xdr:from>
    <xdr:to>
      <xdr:col>1</xdr:col>
      <xdr:colOff>0</xdr:colOff>
      <xdr:row>6</xdr:row>
      <xdr:rowOff>138019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6164" y="1889125"/>
          <a:ext cx="1168586" cy="77301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96370</xdr:rowOff>
    </xdr:from>
    <xdr:to>
      <xdr:col>1</xdr:col>
      <xdr:colOff>15875</xdr:colOff>
      <xdr:row>5</xdr:row>
      <xdr:rowOff>455519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0" y="1794995"/>
          <a:ext cx="1190625" cy="7242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63500</xdr:rowOff>
    </xdr:from>
    <xdr:to>
      <xdr:col>0</xdr:col>
      <xdr:colOff>1079500</xdr:colOff>
      <xdr:row>6</xdr:row>
      <xdr:rowOff>138019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0" y="1762125"/>
          <a:ext cx="1079500" cy="90001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117289</xdr:colOff>
      <xdr:row>4</xdr:row>
      <xdr:rowOff>147170</xdr:rowOff>
    </xdr:from>
    <xdr:to>
      <xdr:col>1</xdr:col>
      <xdr:colOff>0</xdr:colOff>
      <xdr:row>6</xdr:row>
      <xdr:rowOff>52294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117289" y="1845795"/>
          <a:ext cx="1057461" cy="7306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228600</xdr:rowOff>
    </xdr:from>
    <xdr:to>
      <xdr:col>0</xdr:col>
      <xdr:colOff>1143000</xdr:colOff>
      <xdr:row>6</xdr:row>
      <xdr:rowOff>166594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0" y="1917700"/>
          <a:ext cx="1143000" cy="77619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58270</xdr:rowOff>
    </xdr:from>
    <xdr:to>
      <xdr:col>0</xdr:col>
      <xdr:colOff>1143000</xdr:colOff>
      <xdr:row>5</xdr:row>
      <xdr:rowOff>433294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0" y="1756895"/>
          <a:ext cx="1143000" cy="74014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203200</xdr:rowOff>
    </xdr:from>
    <xdr:to>
      <xdr:col>0</xdr:col>
      <xdr:colOff>1130300</xdr:colOff>
      <xdr:row>7</xdr:row>
      <xdr:rowOff>1494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0" y="1384300"/>
          <a:ext cx="1130300" cy="81429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200" b="1"/>
            <a:t>RETOUR</a:t>
          </a:r>
          <a:endParaRPr lang="fr-FR" sz="1400" b="1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147170</xdr:rowOff>
    </xdr:from>
    <xdr:to>
      <xdr:col>0</xdr:col>
      <xdr:colOff>1158875</xdr:colOff>
      <xdr:row>6</xdr:row>
      <xdr:rowOff>52294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0" y="1845795"/>
          <a:ext cx="1158875" cy="7306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2989</xdr:colOff>
      <xdr:row>4</xdr:row>
      <xdr:rowOff>147170</xdr:rowOff>
    </xdr:from>
    <xdr:to>
      <xdr:col>0</xdr:col>
      <xdr:colOff>1127125</xdr:colOff>
      <xdr:row>6</xdr:row>
      <xdr:rowOff>52294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>
          <a:off x="2989" y="1845795"/>
          <a:ext cx="1124136" cy="7306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109070</xdr:rowOff>
    </xdr:from>
    <xdr:to>
      <xdr:col>0</xdr:col>
      <xdr:colOff>1254125</xdr:colOff>
      <xdr:row>6</xdr:row>
      <xdr:rowOff>14194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0" y="1807695"/>
          <a:ext cx="1254125" cy="7306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4</xdr:row>
      <xdr:rowOff>238125</xdr:rowOff>
    </xdr:from>
    <xdr:to>
      <xdr:col>0</xdr:col>
      <xdr:colOff>1158875</xdr:colOff>
      <xdr:row>6</xdr:row>
      <xdr:rowOff>128494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/>
      </xdr:nvSpPr>
      <xdr:spPr>
        <a:xfrm>
          <a:off x="50800" y="1936750"/>
          <a:ext cx="1108075" cy="71586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86591</xdr:rowOff>
    </xdr:from>
    <xdr:to>
      <xdr:col>0</xdr:col>
      <xdr:colOff>1108364</xdr:colOff>
      <xdr:row>6</xdr:row>
      <xdr:rowOff>137730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/>
      </xdr:nvSpPr>
      <xdr:spPr>
        <a:xfrm>
          <a:off x="0" y="1783773"/>
          <a:ext cx="1108364" cy="88241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117290</xdr:colOff>
      <xdr:row>4</xdr:row>
      <xdr:rowOff>174625</xdr:rowOff>
    </xdr:from>
    <xdr:to>
      <xdr:col>0</xdr:col>
      <xdr:colOff>1158876</xdr:colOff>
      <xdr:row>6</xdr:row>
      <xdr:rowOff>141194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/>
      </xdr:nvSpPr>
      <xdr:spPr>
        <a:xfrm>
          <a:off x="117290" y="1873250"/>
          <a:ext cx="1041586" cy="79206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2989</xdr:colOff>
      <xdr:row>3</xdr:row>
      <xdr:rowOff>172570</xdr:rowOff>
    </xdr:from>
    <xdr:to>
      <xdr:col>0</xdr:col>
      <xdr:colOff>1181100</xdr:colOff>
      <xdr:row>6</xdr:row>
      <xdr:rowOff>76200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/>
      </xdr:nvSpPr>
      <xdr:spPr>
        <a:xfrm>
          <a:off x="2989" y="1175870"/>
          <a:ext cx="1178111" cy="74183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53789</xdr:colOff>
      <xdr:row>4</xdr:row>
      <xdr:rowOff>261257</xdr:rowOff>
    </xdr:from>
    <xdr:to>
      <xdr:col>0</xdr:col>
      <xdr:colOff>1077686</xdr:colOff>
      <xdr:row>7</xdr:row>
      <xdr:rowOff>1494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/>
      </xdr:nvSpPr>
      <xdr:spPr>
        <a:xfrm>
          <a:off x="53789" y="1937657"/>
          <a:ext cx="1023897" cy="76349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 b="1"/>
            <a:t>RETOUR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66489</xdr:colOff>
      <xdr:row>4</xdr:row>
      <xdr:rowOff>299570</xdr:rowOff>
    </xdr:from>
    <xdr:to>
      <xdr:col>0</xdr:col>
      <xdr:colOff>1034676</xdr:colOff>
      <xdr:row>6</xdr:row>
      <xdr:rowOff>26894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/>
      </xdr:nvSpPr>
      <xdr:spPr>
        <a:xfrm>
          <a:off x="66489" y="1480670"/>
          <a:ext cx="968187" cy="5655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66489</xdr:colOff>
      <xdr:row>4</xdr:row>
      <xdr:rowOff>147170</xdr:rowOff>
    </xdr:from>
    <xdr:to>
      <xdr:col>0</xdr:col>
      <xdr:colOff>1168400</xdr:colOff>
      <xdr:row>6</xdr:row>
      <xdr:rowOff>52294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/>
      </xdr:nvSpPr>
      <xdr:spPr>
        <a:xfrm>
          <a:off x="66489" y="1836270"/>
          <a:ext cx="1101911" cy="7433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109070</xdr:rowOff>
    </xdr:from>
    <xdr:to>
      <xdr:col>0</xdr:col>
      <xdr:colOff>1136276</xdr:colOff>
      <xdr:row>6</xdr:row>
      <xdr:rowOff>14194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/>
      </xdr:nvSpPr>
      <xdr:spPr>
        <a:xfrm>
          <a:off x="0" y="1807695"/>
          <a:ext cx="1136276" cy="7306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</xdr:row>
      <xdr:rowOff>335280</xdr:rowOff>
    </xdr:from>
    <xdr:to>
      <xdr:col>0</xdr:col>
      <xdr:colOff>914401</xdr:colOff>
      <xdr:row>6</xdr:row>
      <xdr:rowOff>87854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SpPr/>
      </xdr:nvSpPr>
      <xdr:spPr>
        <a:xfrm>
          <a:off x="1" y="1615440"/>
          <a:ext cx="914400" cy="65173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 b="1"/>
            <a:t>RETOUR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129989</xdr:colOff>
      <xdr:row>4</xdr:row>
      <xdr:rowOff>152400</xdr:rowOff>
    </xdr:from>
    <xdr:to>
      <xdr:col>0</xdr:col>
      <xdr:colOff>1193800</xdr:colOff>
      <xdr:row>7</xdr:row>
      <xdr:rowOff>1494</xdr:rowOff>
    </xdr:to>
    <xdr:sp macro="" textlink="">
      <xdr:nvSpPr>
        <xdr:cNvPr id="2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SpPr/>
      </xdr:nvSpPr>
      <xdr:spPr>
        <a:xfrm>
          <a:off x="129989" y="1841500"/>
          <a:ext cx="1063811" cy="86509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180789</xdr:colOff>
      <xdr:row>4</xdr:row>
      <xdr:rowOff>324970</xdr:rowOff>
    </xdr:from>
    <xdr:to>
      <xdr:col>0</xdr:col>
      <xdr:colOff>1148976</xdr:colOff>
      <xdr:row>6</xdr:row>
      <xdr:rowOff>90394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SpPr/>
      </xdr:nvSpPr>
      <xdr:spPr>
        <a:xfrm>
          <a:off x="180789" y="2014070"/>
          <a:ext cx="968187" cy="6036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53789</xdr:colOff>
      <xdr:row>3</xdr:row>
      <xdr:rowOff>363070</xdr:rowOff>
    </xdr:from>
    <xdr:to>
      <xdr:col>0</xdr:col>
      <xdr:colOff>1539240</xdr:colOff>
      <xdr:row>6</xdr:row>
      <xdr:rowOff>91440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SpPr/>
      </xdr:nvSpPr>
      <xdr:spPr>
        <a:xfrm>
          <a:off x="53789" y="1597510"/>
          <a:ext cx="1485451" cy="103901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2000" b="1"/>
            <a:t>RETOUR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86591</xdr:rowOff>
    </xdr:from>
    <xdr:to>
      <xdr:col>0</xdr:col>
      <xdr:colOff>1108364</xdr:colOff>
      <xdr:row>6</xdr:row>
      <xdr:rowOff>137730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SpPr/>
      </xdr:nvSpPr>
      <xdr:spPr>
        <a:xfrm>
          <a:off x="0" y="1770611"/>
          <a:ext cx="1108364" cy="89695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86591</xdr:rowOff>
    </xdr:from>
    <xdr:to>
      <xdr:col>0</xdr:col>
      <xdr:colOff>1108364</xdr:colOff>
      <xdr:row>6</xdr:row>
      <xdr:rowOff>137730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SpPr/>
      </xdr:nvSpPr>
      <xdr:spPr>
        <a:xfrm>
          <a:off x="0" y="1770611"/>
          <a:ext cx="1108364" cy="89695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86591</xdr:rowOff>
    </xdr:from>
    <xdr:to>
      <xdr:col>0</xdr:col>
      <xdr:colOff>1108364</xdr:colOff>
      <xdr:row>6</xdr:row>
      <xdr:rowOff>137730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/>
      </xdr:nvSpPr>
      <xdr:spPr>
        <a:xfrm>
          <a:off x="0" y="1770611"/>
          <a:ext cx="1108364" cy="89695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86591</xdr:rowOff>
    </xdr:from>
    <xdr:to>
      <xdr:col>0</xdr:col>
      <xdr:colOff>1108364</xdr:colOff>
      <xdr:row>6</xdr:row>
      <xdr:rowOff>137730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SpPr/>
      </xdr:nvSpPr>
      <xdr:spPr>
        <a:xfrm>
          <a:off x="0" y="1770611"/>
          <a:ext cx="1108364" cy="89695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86591</xdr:rowOff>
    </xdr:from>
    <xdr:to>
      <xdr:col>0</xdr:col>
      <xdr:colOff>1108364</xdr:colOff>
      <xdr:row>6</xdr:row>
      <xdr:rowOff>137730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SpPr/>
      </xdr:nvSpPr>
      <xdr:spPr>
        <a:xfrm>
          <a:off x="0" y="1770611"/>
          <a:ext cx="1108364" cy="89695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86591</xdr:rowOff>
    </xdr:from>
    <xdr:to>
      <xdr:col>0</xdr:col>
      <xdr:colOff>1108364</xdr:colOff>
      <xdr:row>6</xdr:row>
      <xdr:rowOff>137730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SpPr/>
      </xdr:nvSpPr>
      <xdr:spPr>
        <a:xfrm>
          <a:off x="0" y="1770611"/>
          <a:ext cx="1108364" cy="89695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86591</xdr:rowOff>
    </xdr:from>
    <xdr:to>
      <xdr:col>0</xdr:col>
      <xdr:colOff>1108364</xdr:colOff>
      <xdr:row>6</xdr:row>
      <xdr:rowOff>137730</xdr:rowOff>
    </xdr:to>
    <xdr:sp macro="" textlink="">
      <xdr:nvSpPr>
        <xdr:cNvPr id="3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SpPr/>
      </xdr:nvSpPr>
      <xdr:spPr>
        <a:xfrm>
          <a:off x="0" y="1770611"/>
          <a:ext cx="1108364" cy="89695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86591</xdr:rowOff>
    </xdr:from>
    <xdr:to>
      <xdr:col>0</xdr:col>
      <xdr:colOff>1108364</xdr:colOff>
      <xdr:row>6</xdr:row>
      <xdr:rowOff>137730</xdr:rowOff>
    </xdr:to>
    <xdr:sp macro="" textlink="">
      <xdr:nvSpPr>
        <xdr:cNvPr id="2" name="Flèche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SpPr/>
      </xdr:nvSpPr>
      <xdr:spPr>
        <a:xfrm>
          <a:off x="0" y="1770611"/>
          <a:ext cx="1108364" cy="89695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/>
            <a:t>RETOUR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289832</xdr:colOff>
      <xdr:row>4</xdr:row>
      <xdr:rowOff>134470</xdr:rowOff>
    </xdr:from>
    <xdr:to>
      <xdr:col>3</xdr:col>
      <xdr:colOff>33707</xdr:colOff>
      <xdr:row>8</xdr:row>
      <xdr:rowOff>164470</xdr:rowOff>
    </xdr:to>
    <xdr:sp macro="" textlink="">
      <xdr:nvSpPr>
        <xdr:cNvPr id="3" name="Rectangle à coins arrondi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SpPr/>
      </xdr:nvSpPr>
      <xdr:spPr>
        <a:xfrm>
          <a:off x="2105185" y="907676"/>
          <a:ext cx="1805757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HACHICH INDIEN</a:t>
          </a:r>
        </a:p>
      </xdr:txBody>
    </xdr:sp>
    <xdr:clientData/>
  </xdr:twoCellAnchor>
  <xdr:twoCellAnchor>
    <xdr:from>
      <xdr:col>4</xdr:col>
      <xdr:colOff>27647</xdr:colOff>
      <xdr:row>4</xdr:row>
      <xdr:rowOff>134470</xdr:rowOff>
    </xdr:from>
    <xdr:to>
      <xdr:col>4</xdr:col>
      <xdr:colOff>1863647</xdr:colOff>
      <xdr:row>8</xdr:row>
      <xdr:rowOff>164470</xdr:rowOff>
    </xdr:to>
    <xdr:sp macro="" textlink="">
      <xdr:nvSpPr>
        <xdr:cNvPr id="4" name="Rectangle à coins arrondis 3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SpPr/>
      </xdr:nvSpPr>
      <xdr:spPr>
        <a:xfrm>
          <a:off x="4308294" y="907676"/>
          <a:ext cx="18360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ARTCI</a:t>
          </a:r>
        </a:p>
      </xdr:txBody>
    </xdr:sp>
    <xdr:clientData/>
  </xdr:twoCellAnchor>
  <xdr:twoCellAnchor>
    <xdr:from>
      <xdr:col>6</xdr:col>
      <xdr:colOff>48666</xdr:colOff>
      <xdr:row>16</xdr:row>
      <xdr:rowOff>78441</xdr:rowOff>
    </xdr:from>
    <xdr:to>
      <xdr:col>6</xdr:col>
      <xdr:colOff>1884666</xdr:colOff>
      <xdr:row>20</xdr:row>
      <xdr:rowOff>108441</xdr:rowOff>
    </xdr:to>
    <xdr:sp macro="" textlink="">
      <xdr:nvSpPr>
        <xdr:cNvPr id="5" name="Rectangle à coins arrondis 3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SpPr/>
      </xdr:nvSpPr>
      <xdr:spPr>
        <a:xfrm>
          <a:off x="6738578" y="3563470"/>
          <a:ext cx="18360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CABF</a:t>
          </a:r>
          <a:r>
            <a:rPr lang="fr-FR" sz="20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ALLCC</a:t>
          </a:r>
          <a:endParaRPr lang="fr-FR" sz="2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315245</xdr:colOff>
      <xdr:row>22</xdr:row>
      <xdr:rowOff>78441</xdr:rowOff>
    </xdr:from>
    <xdr:to>
      <xdr:col>4</xdr:col>
      <xdr:colOff>1891833</xdr:colOff>
      <xdr:row>26</xdr:row>
      <xdr:rowOff>108441</xdr:rowOff>
    </xdr:to>
    <xdr:sp macro="" textlink="">
      <xdr:nvSpPr>
        <xdr:cNvPr id="6" name="Rectangle à coins arrondis 3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SpPr/>
      </xdr:nvSpPr>
      <xdr:spPr>
        <a:xfrm>
          <a:off x="4192480" y="4953000"/>
          <a:ext cx="19800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ADAM AFRIQUE</a:t>
          </a:r>
        </a:p>
      </xdr:txBody>
    </xdr:sp>
    <xdr:clientData/>
  </xdr:twoCellAnchor>
  <xdr:twoCellAnchor>
    <xdr:from>
      <xdr:col>9</xdr:col>
      <xdr:colOff>321518</xdr:colOff>
      <xdr:row>4</xdr:row>
      <xdr:rowOff>134470</xdr:rowOff>
    </xdr:from>
    <xdr:to>
      <xdr:col>10</xdr:col>
      <xdr:colOff>1906930</xdr:colOff>
      <xdr:row>8</xdr:row>
      <xdr:rowOff>164470</xdr:rowOff>
    </xdr:to>
    <xdr:sp macro="" textlink="">
      <xdr:nvSpPr>
        <xdr:cNvPr id="7" name="Rectangle à coins arrondis 3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SpPr/>
      </xdr:nvSpPr>
      <xdr:spPr>
        <a:xfrm>
          <a:off x="11191224" y="907676"/>
          <a:ext cx="19440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MEHDY MADY</a:t>
          </a:r>
        </a:p>
      </xdr:txBody>
    </xdr:sp>
    <xdr:clientData/>
  </xdr:twoCellAnchor>
  <xdr:twoCellAnchor>
    <xdr:from>
      <xdr:col>11</xdr:col>
      <xdr:colOff>328172</xdr:colOff>
      <xdr:row>4</xdr:row>
      <xdr:rowOff>134470</xdr:rowOff>
    </xdr:from>
    <xdr:to>
      <xdr:col>13</xdr:col>
      <xdr:colOff>1</xdr:colOff>
      <xdr:row>8</xdr:row>
      <xdr:rowOff>164470</xdr:rowOff>
    </xdr:to>
    <xdr:sp macro="" textlink="">
      <xdr:nvSpPr>
        <xdr:cNvPr id="8" name="Rectangle à coins arrondis 3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3100-000008000000}"/>
            </a:ext>
          </a:extLst>
        </xdr:cNvPr>
        <xdr:cNvSpPr/>
      </xdr:nvSpPr>
      <xdr:spPr>
        <a:xfrm>
          <a:off x="13472672" y="907676"/>
          <a:ext cx="1980241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SENAT BL</a:t>
          </a:r>
        </a:p>
      </xdr:txBody>
    </xdr:sp>
    <xdr:clientData/>
  </xdr:twoCellAnchor>
  <xdr:twoCellAnchor>
    <xdr:from>
      <xdr:col>1</xdr:col>
      <xdr:colOff>289832</xdr:colOff>
      <xdr:row>11</xdr:row>
      <xdr:rowOff>27628</xdr:rowOff>
    </xdr:from>
    <xdr:to>
      <xdr:col>3</xdr:col>
      <xdr:colOff>35150</xdr:colOff>
      <xdr:row>14</xdr:row>
      <xdr:rowOff>248128</xdr:rowOff>
    </xdr:to>
    <xdr:sp macro="" textlink="">
      <xdr:nvSpPr>
        <xdr:cNvPr id="9" name="Rectangle à coins arrondis 3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3100-000009000000}"/>
            </a:ext>
          </a:extLst>
        </xdr:cNvPr>
        <xdr:cNvSpPr/>
      </xdr:nvSpPr>
      <xdr:spPr>
        <a:xfrm>
          <a:off x="2105185" y="2212775"/>
          <a:ext cx="18072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AH GROUP</a:t>
          </a:r>
        </a:p>
      </xdr:txBody>
    </xdr:sp>
    <xdr:clientData/>
  </xdr:twoCellAnchor>
  <xdr:twoCellAnchor>
    <xdr:from>
      <xdr:col>4</xdr:col>
      <xdr:colOff>27647</xdr:colOff>
      <xdr:row>11</xdr:row>
      <xdr:rowOff>27628</xdr:rowOff>
    </xdr:from>
    <xdr:to>
      <xdr:col>4</xdr:col>
      <xdr:colOff>1863647</xdr:colOff>
      <xdr:row>14</xdr:row>
      <xdr:rowOff>248128</xdr:rowOff>
    </xdr:to>
    <xdr:sp macro="" textlink="">
      <xdr:nvSpPr>
        <xdr:cNvPr id="10" name="Rectangle à coins arrondis 3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3100-00000A000000}"/>
            </a:ext>
          </a:extLst>
        </xdr:cNvPr>
        <xdr:cNvSpPr/>
      </xdr:nvSpPr>
      <xdr:spPr>
        <a:xfrm>
          <a:off x="4308294" y="2212775"/>
          <a:ext cx="18360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ATL</a:t>
          </a:r>
        </a:p>
      </xdr:txBody>
    </xdr:sp>
    <xdr:clientData/>
  </xdr:twoCellAnchor>
  <xdr:twoCellAnchor>
    <xdr:from>
      <xdr:col>5</xdr:col>
      <xdr:colOff>485695</xdr:colOff>
      <xdr:row>22</xdr:row>
      <xdr:rowOff>83657</xdr:rowOff>
    </xdr:from>
    <xdr:to>
      <xdr:col>7</xdr:col>
      <xdr:colOff>20430</xdr:colOff>
      <xdr:row>26</xdr:row>
      <xdr:rowOff>113657</xdr:rowOff>
    </xdr:to>
    <xdr:sp macro="" textlink="">
      <xdr:nvSpPr>
        <xdr:cNvPr id="11" name="Rectangle à coins arrondis 4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3100-00000B000000}"/>
            </a:ext>
          </a:extLst>
        </xdr:cNvPr>
        <xdr:cNvSpPr/>
      </xdr:nvSpPr>
      <xdr:spPr>
        <a:xfrm>
          <a:off x="6682548" y="4958216"/>
          <a:ext cx="19440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CFAO</a:t>
          </a:r>
          <a:r>
            <a:rPr lang="fr-FR" sz="20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MOTORS</a:t>
          </a:r>
          <a:endParaRPr lang="fr-FR" sz="2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304038</xdr:colOff>
      <xdr:row>11</xdr:row>
      <xdr:rowOff>27628</xdr:rowOff>
    </xdr:from>
    <xdr:to>
      <xdr:col>9</xdr:col>
      <xdr:colOff>20450</xdr:colOff>
      <xdr:row>14</xdr:row>
      <xdr:rowOff>248128</xdr:rowOff>
    </xdr:to>
    <xdr:sp macro="" textlink="">
      <xdr:nvSpPr>
        <xdr:cNvPr id="12" name="Rectangle à coins arrondis 4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3100-00000C000000}"/>
            </a:ext>
          </a:extLst>
        </xdr:cNvPr>
        <xdr:cNvSpPr/>
      </xdr:nvSpPr>
      <xdr:spPr>
        <a:xfrm>
          <a:off x="8910156" y="2212775"/>
          <a:ext cx="19800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GMS</a:t>
          </a:r>
          <a:r>
            <a:rPr lang="fr-FR" sz="20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KAKOU</a:t>
          </a:r>
          <a:endParaRPr lang="fr-FR" sz="2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289832</xdr:colOff>
      <xdr:row>16</xdr:row>
      <xdr:rowOff>94008</xdr:rowOff>
    </xdr:from>
    <xdr:to>
      <xdr:col>3</xdr:col>
      <xdr:colOff>35150</xdr:colOff>
      <xdr:row>20</xdr:row>
      <xdr:rowOff>124008</xdr:rowOff>
    </xdr:to>
    <xdr:sp macro="" textlink="">
      <xdr:nvSpPr>
        <xdr:cNvPr id="15" name="Rectangle à coins arrondis 4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3100-00000F000000}"/>
            </a:ext>
          </a:extLst>
        </xdr:cNvPr>
        <xdr:cNvSpPr/>
      </xdr:nvSpPr>
      <xdr:spPr>
        <a:xfrm>
          <a:off x="2105185" y="3579037"/>
          <a:ext cx="18072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AGS AFRQUE</a:t>
          </a:r>
        </a:p>
      </xdr:txBody>
    </xdr:sp>
    <xdr:clientData/>
  </xdr:twoCellAnchor>
  <xdr:twoCellAnchor>
    <xdr:from>
      <xdr:col>4</xdr:col>
      <xdr:colOff>27647</xdr:colOff>
      <xdr:row>16</xdr:row>
      <xdr:rowOff>94008</xdr:rowOff>
    </xdr:from>
    <xdr:to>
      <xdr:col>4</xdr:col>
      <xdr:colOff>1863647</xdr:colOff>
      <xdr:row>20</xdr:row>
      <xdr:rowOff>124008</xdr:rowOff>
    </xdr:to>
    <xdr:sp macro="" textlink="">
      <xdr:nvSpPr>
        <xdr:cNvPr id="16" name="Rectangle à coins arrondis 4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3100-000010000000}"/>
            </a:ext>
          </a:extLst>
        </xdr:cNvPr>
        <xdr:cNvSpPr/>
      </xdr:nvSpPr>
      <xdr:spPr>
        <a:xfrm>
          <a:off x="4308294" y="3579037"/>
          <a:ext cx="18360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AYOKI</a:t>
          </a:r>
        </a:p>
      </xdr:txBody>
    </xdr:sp>
    <xdr:clientData/>
  </xdr:twoCellAnchor>
  <xdr:twoCellAnchor>
    <xdr:from>
      <xdr:col>5</xdr:col>
      <xdr:colOff>485695</xdr:colOff>
      <xdr:row>28</xdr:row>
      <xdr:rowOff>60390</xdr:rowOff>
    </xdr:from>
    <xdr:to>
      <xdr:col>7</xdr:col>
      <xdr:colOff>20430</xdr:colOff>
      <xdr:row>32</xdr:row>
      <xdr:rowOff>90390</xdr:rowOff>
    </xdr:to>
    <xdr:sp macro="" textlink="">
      <xdr:nvSpPr>
        <xdr:cNvPr id="17" name="Rectangle à coins arrondis 4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3100-000011000000}"/>
            </a:ext>
          </a:extLst>
        </xdr:cNvPr>
        <xdr:cNvSpPr/>
      </xdr:nvSpPr>
      <xdr:spPr>
        <a:xfrm>
          <a:off x="6682548" y="6324478"/>
          <a:ext cx="19440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CLIENTS</a:t>
          </a:r>
          <a:r>
            <a:rPr lang="fr-FR" sz="20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DIVERS</a:t>
          </a:r>
          <a:endParaRPr lang="fr-FR" sz="2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326449</xdr:colOff>
      <xdr:row>16</xdr:row>
      <xdr:rowOff>94008</xdr:rowOff>
    </xdr:from>
    <xdr:to>
      <xdr:col>9</xdr:col>
      <xdr:colOff>33618</xdr:colOff>
      <xdr:row>20</xdr:row>
      <xdr:rowOff>124008</xdr:rowOff>
    </xdr:to>
    <xdr:sp macro="" textlink="">
      <xdr:nvSpPr>
        <xdr:cNvPr id="18" name="Rectangle à coins arrondis 4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3100-000012000000}"/>
            </a:ext>
          </a:extLst>
        </xdr:cNvPr>
        <xdr:cNvSpPr/>
      </xdr:nvSpPr>
      <xdr:spPr>
        <a:xfrm>
          <a:off x="8932567" y="3590243"/>
          <a:ext cx="1970757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FR" sz="1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KONE MOUSTAPHA</a:t>
          </a:r>
        </a:p>
      </xdr:txBody>
    </xdr:sp>
    <xdr:clientData/>
  </xdr:twoCellAnchor>
  <xdr:twoCellAnchor>
    <xdr:from>
      <xdr:col>11</xdr:col>
      <xdr:colOff>339378</xdr:colOff>
      <xdr:row>11</xdr:row>
      <xdr:rowOff>27628</xdr:rowOff>
    </xdr:from>
    <xdr:to>
      <xdr:col>12</xdr:col>
      <xdr:colOff>1882589</xdr:colOff>
      <xdr:row>14</xdr:row>
      <xdr:rowOff>248128</xdr:rowOff>
    </xdr:to>
    <xdr:sp macro="" textlink="">
      <xdr:nvSpPr>
        <xdr:cNvPr id="19" name="Rectangle à coins arrondis 4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3100-000013000000}"/>
            </a:ext>
          </a:extLst>
        </xdr:cNvPr>
        <xdr:cNvSpPr/>
      </xdr:nvSpPr>
      <xdr:spPr>
        <a:xfrm>
          <a:off x="13483878" y="2212775"/>
          <a:ext cx="1935417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SOGOGO</a:t>
          </a:r>
        </a:p>
      </xdr:txBody>
    </xdr:sp>
    <xdr:clientData/>
  </xdr:twoCellAnchor>
  <xdr:twoCellAnchor>
    <xdr:from>
      <xdr:col>1</xdr:col>
      <xdr:colOff>289832</xdr:colOff>
      <xdr:row>22</xdr:row>
      <xdr:rowOff>113937</xdr:rowOff>
    </xdr:from>
    <xdr:to>
      <xdr:col>3</xdr:col>
      <xdr:colOff>35150</xdr:colOff>
      <xdr:row>26</xdr:row>
      <xdr:rowOff>143937</xdr:rowOff>
    </xdr:to>
    <xdr:sp macro="" textlink="">
      <xdr:nvSpPr>
        <xdr:cNvPr id="21" name="Rectangle à coins arrondis 5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3100-000015000000}"/>
            </a:ext>
          </a:extLst>
        </xdr:cNvPr>
        <xdr:cNvSpPr/>
      </xdr:nvSpPr>
      <xdr:spPr>
        <a:xfrm>
          <a:off x="2105185" y="4999702"/>
          <a:ext cx="18072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ALI JOMAA</a:t>
          </a:r>
        </a:p>
      </xdr:txBody>
    </xdr:sp>
    <xdr:clientData/>
  </xdr:twoCellAnchor>
  <xdr:twoCellAnchor>
    <xdr:from>
      <xdr:col>9</xdr:col>
      <xdr:colOff>321518</xdr:colOff>
      <xdr:row>16</xdr:row>
      <xdr:rowOff>94008</xdr:rowOff>
    </xdr:from>
    <xdr:to>
      <xdr:col>10</xdr:col>
      <xdr:colOff>1906930</xdr:colOff>
      <xdr:row>20</xdr:row>
      <xdr:rowOff>124008</xdr:rowOff>
    </xdr:to>
    <xdr:sp macro="" textlink="">
      <xdr:nvSpPr>
        <xdr:cNvPr id="24" name="Rectangle à coins arrondis 5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3100-000018000000}"/>
            </a:ext>
          </a:extLst>
        </xdr:cNvPr>
        <xdr:cNvSpPr/>
      </xdr:nvSpPr>
      <xdr:spPr>
        <a:xfrm>
          <a:off x="11191224" y="3579037"/>
          <a:ext cx="19440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 KOUAME ASSOUA</a:t>
          </a:r>
        </a:p>
      </xdr:txBody>
    </xdr:sp>
    <xdr:clientData/>
  </xdr:twoCellAnchor>
  <xdr:twoCellAnchor>
    <xdr:from>
      <xdr:col>9</xdr:col>
      <xdr:colOff>321518</xdr:colOff>
      <xdr:row>11</xdr:row>
      <xdr:rowOff>27628</xdr:rowOff>
    </xdr:from>
    <xdr:to>
      <xdr:col>10</xdr:col>
      <xdr:colOff>1906930</xdr:colOff>
      <xdr:row>14</xdr:row>
      <xdr:rowOff>248128</xdr:rowOff>
    </xdr:to>
    <xdr:sp macro="" textlink="">
      <xdr:nvSpPr>
        <xdr:cNvPr id="25" name="Rectangle à coins arrondis 5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3100-000019000000}"/>
            </a:ext>
          </a:extLst>
        </xdr:cNvPr>
        <xdr:cNvSpPr/>
      </xdr:nvSpPr>
      <xdr:spPr>
        <a:xfrm>
          <a:off x="11191224" y="2212775"/>
          <a:ext cx="19440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 KEBE</a:t>
          </a:r>
        </a:p>
      </xdr:txBody>
    </xdr:sp>
    <xdr:clientData/>
  </xdr:twoCellAnchor>
  <xdr:twoCellAnchor>
    <xdr:from>
      <xdr:col>9</xdr:col>
      <xdr:colOff>321518</xdr:colOff>
      <xdr:row>28</xdr:row>
      <xdr:rowOff>95566</xdr:rowOff>
    </xdr:from>
    <xdr:to>
      <xdr:col>10</xdr:col>
      <xdr:colOff>1906930</xdr:colOff>
      <xdr:row>32</xdr:row>
      <xdr:rowOff>125566</xdr:rowOff>
    </xdr:to>
    <xdr:sp macro="" textlink="">
      <xdr:nvSpPr>
        <xdr:cNvPr id="27" name="Rectangle à coins arrondis 56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3100-00001B000000}"/>
            </a:ext>
          </a:extLst>
        </xdr:cNvPr>
        <xdr:cNvSpPr/>
      </xdr:nvSpPr>
      <xdr:spPr>
        <a:xfrm>
          <a:off x="11191224" y="6382066"/>
          <a:ext cx="19440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SAMFO</a:t>
          </a:r>
        </a:p>
      </xdr:txBody>
    </xdr:sp>
    <xdr:clientData/>
  </xdr:twoCellAnchor>
  <xdr:twoCellAnchor>
    <xdr:from>
      <xdr:col>8</xdr:col>
      <xdr:colOff>3842</xdr:colOff>
      <xdr:row>4</xdr:row>
      <xdr:rowOff>174007</xdr:rowOff>
    </xdr:from>
    <xdr:to>
      <xdr:col>9</xdr:col>
      <xdr:colOff>31636</xdr:colOff>
      <xdr:row>9</xdr:row>
      <xdr:rowOff>13507</xdr:rowOff>
    </xdr:to>
    <xdr:sp macro="" textlink="">
      <xdr:nvSpPr>
        <xdr:cNvPr id="28" name="Rectangle à coins arrondis 57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3100-00001C000000}"/>
            </a:ext>
          </a:extLst>
        </xdr:cNvPr>
        <xdr:cNvSpPr/>
      </xdr:nvSpPr>
      <xdr:spPr>
        <a:xfrm>
          <a:off x="8957342" y="947213"/>
          <a:ext cx="19440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FIDAA</a:t>
          </a:r>
        </a:p>
      </xdr:txBody>
    </xdr:sp>
    <xdr:clientData/>
  </xdr:twoCellAnchor>
  <xdr:twoCellAnchor>
    <xdr:from>
      <xdr:col>7</xdr:col>
      <xdr:colOff>292832</xdr:colOff>
      <xdr:row>22</xdr:row>
      <xdr:rowOff>113937</xdr:rowOff>
    </xdr:from>
    <xdr:to>
      <xdr:col>9</xdr:col>
      <xdr:colOff>9244</xdr:colOff>
      <xdr:row>26</xdr:row>
      <xdr:rowOff>143937</xdr:rowOff>
    </xdr:to>
    <xdr:sp macro="" textlink="">
      <xdr:nvSpPr>
        <xdr:cNvPr id="29" name="Rectangle à coins arrondis 58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3100-00001D000000}"/>
            </a:ext>
          </a:extLst>
        </xdr:cNvPr>
        <xdr:cNvSpPr/>
      </xdr:nvSpPr>
      <xdr:spPr>
        <a:xfrm>
          <a:off x="8898950" y="4999702"/>
          <a:ext cx="19800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FBD</a:t>
          </a:r>
        </a:p>
      </xdr:txBody>
    </xdr:sp>
    <xdr:clientData/>
  </xdr:twoCellAnchor>
  <xdr:twoCellAnchor>
    <xdr:from>
      <xdr:col>7</xdr:col>
      <xdr:colOff>326449</xdr:colOff>
      <xdr:row>28</xdr:row>
      <xdr:rowOff>95566</xdr:rowOff>
    </xdr:from>
    <xdr:to>
      <xdr:col>9</xdr:col>
      <xdr:colOff>42861</xdr:colOff>
      <xdr:row>32</xdr:row>
      <xdr:rowOff>125566</xdr:rowOff>
    </xdr:to>
    <xdr:sp macro="" textlink="">
      <xdr:nvSpPr>
        <xdr:cNvPr id="30" name="Rectangle à coins arrondis 59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3100-00001E000000}"/>
            </a:ext>
          </a:extLst>
        </xdr:cNvPr>
        <xdr:cNvSpPr/>
      </xdr:nvSpPr>
      <xdr:spPr>
        <a:xfrm>
          <a:off x="8932567" y="6382066"/>
          <a:ext cx="19800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MAN TPS</a:t>
          </a:r>
        </a:p>
      </xdr:txBody>
    </xdr:sp>
    <xdr:clientData/>
  </xdr:twoCellAnchor>
  <xdr:twoCellAnchor>
    <xdr:from>
      <xdr:col>9</xdr:col>
      <xdr:colOff>321518</xdr:colOff>
      <xdr:row>22</xdr:row>
      <xdr:rowOff>113937</xdr:rowOff>
    </xdr:from>
    <xdr:to>
      <xdr:col>10</xdr:col>
      <xdr:colOff>1906930</xdr:colOff>
      <xdr:row>26</xdr:row>
      <xdr:rowOff>143937</xdr:rowOff>
    </xdr:to>
    <xdr:sp macro="" textlink="">
      <xdr:nvSpPr>
        <xdr:cNvPr id="31" name="Rectangle à coins arrondis 60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3100-00001F000000}"/>
            </a:ext>
          </a:extLst>
        </xdr:cNvPr>
        <xdr:cNvSpPr/>
      </xdr:nvSpPr>
      <xdr:spPr>
        <a:xfrm>
          <a:off x="11191224" y="4999702"/>
          <a:ext cx="19440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SAMAKE KEBE</a:t>
          </a:r>
        </a:p>
      </xdr:txBody>
    </xdr:sp>
    <xdr:clientData/>
  </xdr:twoCellAnchor>
  <xdr:twoCellAnchor>
    <xdr:from>
      <xdr:col>0</xdr:col>
      <xdr:colOff>0</xdr:colOff>
      <xdr:row>4</xdr:row>
      <xdr:rowOff>134470</xdr:rowOff>
    </xdr:from>
    <xdr:to>
      <xdr:col>0</xdr:col>
      <xdr:colOff>1810800</xdr:colOff>
      <xdr:row>8</xdr:row>
      <xdr:rowOff>164470</xdr:rowOff>
    </xdr:to>
    <xdr:sp macro="" textlink="">
      <xdr:nvSpPr>
        <xdr:cNvPr id="2" name="Rectangle à coins arrondis 2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SpPr/>
      </xdr:nvSpPr>
      <xdr:spPr>
        <a:xfrm>
          <a:off x="0" y="907676"/>
          <a:ext cx="18108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ABBAS</a:t>
          </a:r>
          <a:r>
            <a:rPr lang="fr-FR" sz="20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ABDUL</a:t>
          </a:r>
        </a:p>
      </xdr:txBody>
    </xdr:sp>
    <xdr:clientData/>
  </xdr:twoCellAnchor>
  <xdr:twoCellAnchor>
    <xdr:from>
      <xdr:col>0</xdr:col>
      <xdr:colOff>0</xdr:colOff>
      <xdr:row>11</xdr:row>
      <xdr:rowOff>27628</xdr:rowOff>
    </xdr:from>
    <xdr:to>
      <xdr:col>0</xdr:col>
      <xdr:colOff>1810800</xdr:colOff>
      <xdr:row>14</xdr:row>
      <xdr:rowOff>248128</xdr:rowOff>
    </xdr:to>
    <xdr:sp macro="" textlink="">
      <xdr:nvSpPr>
        <xdr:cNvPr id="14" name="Rectangle à coins arrondis 43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3100-00000E000000}"/>
            </a:ext>
          </a:extLst>
        </xdr:cNvPr>
        <xdr:cNvSpPr/>
      </xdr:nvSpPr>
      <xdr:spPr>
        <a:xfrm>
          <a:off x="0" y="2212775"/>
          <a:ext cx="18108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ABBAS ZALZALE</a:t>
          </a:r>
        </a:p>
        <a:p>
          <a:pPr algn="ctr"/>
          <a:endParaRPr lang="fr-FR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9525</xdr:colOff>
      <xdr:row>16</xdr:row>
      <xdr:rowOff>94008</xdr:rowOff>
    </xdr:from>
    <xdr:to>
      <xdr:col>1</xdr:col>
      <xdr:colOff>1050</xdr:colOff>
      <xdr:row>20</xdr:row>
      <xdr:rowOff>124008</xdr:rowOff>
    </xdr:to>
    <xdr:sp macro="" textlink="">
      <xdr:nvSpPr>
        <xdr:cNvPr id="20" name="Rectangle à coins arrondis 49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3100-000014000000}"/>
            </a:ext>
          </a:extLst>
        </xdr:cNvPr>
        <xdr:cNvSpPr/>
      </xdr:nvSpPr>
      <xdr:spPr>
        <a:xfrm>
          <a:off x="9525" y="3579037"/>
          <a:ext cx="1806878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ADNAN PRIME</a:t>
          </a:r>
        </a:p>
      </xdr:txBody>
    </xdr:sp>
    <xdr:clientData/>
  </xdr:twoCellAnchor>
  <xdr:twoCellAnchor>
    <xdr:from>
      <xdr:col>0</xdr:col>
      <xdr:colOff>0</xdr:colOff>
      <xdr:row>22</xdr:row>
      <xdr:rowOff>113937</xdr:rowOff>
    </xdr:from>
    <xdr:to>
      <xdr:col>0</xdr:col>
      <xdr:colOff>1810800</xdr:colOff>
      <xdr:row>26</xdr:row>
      <xdr:rowOff>143937</xdr:rowOff>
    </xdr:to>
    <xdr:sp macro="" textlink="">
      <xdr:nvSpPr>
        <xdr:cNvPr id="26" name="Rectangle à coins arrondis 55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3100-00001A000000}"/>
            </a:ext>
          </a:extLst>
        </xdr:cNvPr>
        <xdr:cNvSpPr/>
      </xdr:nvSpPr>
      <xdr:spPr>
        <a:xfrm>
          <a:off x="0" y="4999702"/>
          <a:ext cx="18108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AEC</a:t>
          </a:r>
        </a:p>
      </xdr:txBody>
    </xdr:sp>
    <xdr:clientData/>
  </xdr:twoCellAnchor>
  <xdr:twoCellAnchor>
    <xdr:from>
      <xdr:col>0</xdr:col>
      <xdr:colOff>9525</xdr:colOff>
      <xdr:row>28</xdr:row>
      <xdr:rowOff>116541</xdr:rowOff>
    </xdr:from>
    <xdr:to>
      <xdr:col>1</xdr:col>
      <xdr:colOff>1050</xdr:colOff>
      <xdr:row>32</xdr:row>
      <xdr:rowOff>125566</xdr:rowOff>
    </xdr:to>
    <xdr:sp macro="" textlink="">
      <xdr:nvSpPr>
        <xdr:cNvPr id="32" name="Rectangle à coins arrondis 61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3100-000020000000}"/>
            </a:ext>
          </a:extLst>
        </xdr:cNvPr>
        <xdr:cNvSpPr/>
      </xdr:nvSpPr>
      <xdr:spPr>
        <a:xfrm>
          <a:off x="9525" y="6149788"/>
          <a:ext cx="1865149" cy="726202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AFCHEM</a:t>
          </a:r>
          <a:r>
            <a:rPr lang="fr-FR" sz="20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SOFACO</a:t>
          </a:r>
        </a:p>
      </xdr:txBody>
    </xdr:sp>
    <xdr:clientData/>
  </xdr:twoCellAnchor>
  <xdr:twoCellAnchor>
    <xdr:from>
      <xdr:col>1</xdr:col>
      <xdr:colOff>289832</xdr:colOff>
      <xdr:row>28</xdr:row>
      <xdr:rowOff>95566</xdr:rowOff>
    </xdr:from>
    <xdr:to>
      <xdr:col>3</xdr:col>
      <xdr:colOff>35150</xdr:colOff>
      <xdr:row>32</xdr:row>
      <xdr:rowOff>125566</xdr:rowOff>
    </xdr:to>
    <xdr:sp macro="" textlink="">
      <xdr:nvSpPr>
        <xdr:cNvPr id="33" name="Rectangle à coins arrondis 62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3100-000021000000}"/>
            </a:ext>
          </a:extLst>
        </xdr:cNvPr>
        <xdr:cNvSpPr/>
      </xdr:nvSpPr>
      <xdr:spPr>
        <a:xfrm>
          <a:off x="2105185" y="6382066"/>
          <a:ext cx="18072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ALI CHERRI</a:t>
          </a:r>
        </a:p>
      </xdr:txBody>
    </xdr:sp>
    <xdr:clientData/>
  </xdr:twoCellAnchor>
  <xdr:twoCellAnchor>
    <xdr:from>
      <xdr:col>5</xdr:col>
      <xdr:colOff>487088</xdr:colOff>
      <xdr:row>11</xdr:row>
      <xdr:rowOff>61948</xdr:rowOff>
    </xdr:from>
    <xdr:to>
      <xdr:col>6</xdr:col>
      <xdr:colOff>1830029</xdr:colOff>
      <xdr:row>14</xdr:row>
      <xdr:rowOff>282448</xdr:rowOff>
    </xdr:to>
    <xdr:sp macro="" textlink="">
      <xdr:nvSpPr>
        <xdr:cNvPr id="34" name="Rectangle à coins arrondis 62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3100-000022000000}"/>
            </a:ext>
          </a:extLst>
        </xdr:cNvPr>
        <xdr:cNvSpPr/>
      </xdr:nvSpPr>
      <xdr:spPr>
        <a:xfrm>
          <a:off x="6683941" y="2247095"/>
          <a:ext cx="18360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BERNARD</a:t>
          </a:r>
        </a:p>
      </xdr:txBody>
    </xdr:sp>
    <xdr:clientData/>
  </xdr:twoCellAnchor>
  <xdr:twoCellAnchor>
    <xdr:from>
      <xdr:col>11</xdr:col>
      <xdr:colOff>328172</xdr:colOff>
      <xdr:row>16</xdr:row>
      <xdr:rowOff>94008</xdr:rowOff>
    </xdr:from>
    <xdr:to>
      <xdr:col>13</xdr:col>
      <xdr:colOff>56029</xdr:colOff>
      <xdr:row>20</xdr:row>
      <xdr:rowOff>124008</xdr:rowOff>
    </xdr:to>
    <xdr:sp macro="" textlink="">
      <xdr:nvSpPr>
        <xdr:cNvPr id="37" name="Rectangle à coins arrondis 53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3100-000025000000}"/>
            </a:ext>
          </a:extLst>
        </xdr:cNvPr>
        <xdr:cNvSpPr/>
      </xdr:nvSpPr>
      <xdr:spPr>
        <a:xfrm>
          <a:off x="13472672" y="3579037"/>
          <a:ext cx="2036269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SOLO</a:t>
          </a:r>
        </a:p>
      </xdr:txBody>
    </xdr:sp>
    <xdr:clientData/>
  </xdr:twoCellAnchor>
  <xdr:twoCellAnchor>
    <xdr:from>
      <xdr:col>11</xdr:col>
      <xdr:colOff>328172</xdr:colOff>
      <xdr:row>22</xdr:row>
      <xdr:rowOff>113937</xdr:rowOff>
    </xdr:from>
    <xdr:to>
      <xdr:col>13</xdr:col>
      <xdr:colOff>67236</xdr:colOff>
      <xdr:row>26</xdr:row>
      <xdr:rowOff>143937</xdr:rowOff>
    </xdr:to>
    <xdr:sp macro="" textlink="">
      <xdr:nvSpPr>
        <xdr:cNvPr id="38" name="Rectangle à coins arrondis 53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3100-000026000000}"/>
            </a:ext>
          </a:extLst>
        </xdr:cNvPr>
        <xdr:cNvSpPr/>
      </xdr:nvSpPr>
      <xdr:spPr>
        <a:xfrm>
          <a:off x="13472672" y="4999702"/>
          <a:ext cx="2047476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PETIT</a:t>
          </a:r>
          <a:r>
            <a:rPr lang="fr-FR" sz="20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SOLO</a:t>
          </a:r>
          <a:endParaRPr lang="fr-FR" sz="2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328172</xdr:colOff>
      <xdr:row>28</xdr:row>
      <xdr:rowOff>95566</xdr:rowOff>
    </xdr:from>
    <xdr:to>
      <xdr:col>13</xdr:col>
      <xdr:colOff>124701</xdr:colOff>
      <xdr:row>32</xdr:row>
      <xdr:rowOff>125566</xdr:rowOff>
    </xdr:to>
    <xdr:sp macro="" textlink="">
      <xdr:nvSpPr>
        <xdr:cNvPr id="39" name="Rectangle à coins arrondis 53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3100-000027000000}"/>
            </a:ext>
          </a:extLst>
        </xdr:cNvPr>
        <xdr:cNvSpPr/>
      </xdr:nvSpPr>
      <xdr:spPr>
        <a:xfrm>
          <a:off x="13472672" y="6382066"/>
          <a:ext cx="2104941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WAEL</a:t>
          </a:r>
        </a:p>
      </xdr:txBody>
    </xdr:sp>
    <xdr:clientData/>
  </xdr:twoCellAnchor>
  <xdr:twoCellAnchor>
    <xdr:from>
      <xdr:col>0</xdr:col>
      <xdr:colOff>134471</xdr:colOff>
      <xdr:row>0</xdr:row>
      <xdr:rowOff>1</xdr:rowOff>
    </xdr:from>
    <xdr:to>
      <xdr:col>0</xdr:col>
      <xdr:colOff>1104831</xdr:colOff>
      <xdr:row>1</xdr:row>
      <xdr:rowOff>168089</xdr:rowOff>
    </xdr:to>
    <xdr:sp macro="" textlink="">
      <xdr:nvSpPr>
        <xdr:cNvPr id="22" name="Flèche gauche 1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3100-000016000000}"/>
            </a:ext>
          </a:extLst>
        </xdr:cNvPr>
        <xdr:cNvSpPr/>
      </xdr:nvSpPr>
      <xdr:spPr>
        <a:xfrm>
          <a:off x="134471" y="1"/>
          <a:ext cx="970360" cy="35858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400" b="1"/>
            <a:t>RETOUR</a:t>
          </a:r>
        </a:p>
      </xdr:txBody>
    </xdr:sp>
    <xdr:clientData/>
  </xdr:twoCellAnchor>
  <xdr:twoCellAnchor>
    <xdr:from>
      <xdr:col>13</xdr:col>
      <xdr:colOff>367442</xdr:colOff>
      <xdr:row>4</xdr:row>
      <xdr:rowOff>115196</xdr:rowOff>
    </xdr:from>
    <xdr:to>
      <xdr:col>14</xdr:col>
      <xdr:colOff>1811236</xdr:colOff>
      <xdr:row>8</xdr:row>
      <xdr:rowOff>145196</xdr:rowOff>
    </xdr:to>
    <xdr:sp macro="" textlink="">
      <xdr:nvSpPr>
        <xdr:cNvPr id="40" name="Rectangle à coins arrondis 37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3100-000028000000}"/>
            </a:ext>
          </a:extLst>
        </xdr:cNvPr>
        <xdr:cNvSpPr/>
      </xdr:nvSpPr>
      <xdr:spPr>
        <a:xfrm>
          <a:off x="16278002" y="1593476"/>
          <a:ext cx="1855274" cy="76152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SALIF</a:t>
          </a:r>
          <a:r>
            <a:rPr lang="fr-FR" sz="20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KONE</a:t>
          </a:r>
          <a:endParaRPr lang="fr-FR" sz="2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371475</xdr:colOff>
      <xdr:row>11</xdr:row>
      <xdr:rowOff>27628</xdr:rowOff>
    </xdr:from>
    <xdr:to>
      <xdr:col>14</xdr:col>
      <xdr:colOff>1815269</xdr:colOff>
      <xdr:row>14</xdr:row>
      <xdr:rowOff>248128</xdr:rowOff>
    </xdr:to>
    <xdr:sp macro="" textlink="">
      <xdr:nvSpPr>
        <xdr:cNvPr id="41" name="Rectangle à coins arrondis 48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3100-000029000000}"/>
            </a:ext>
          </a:extLst>
        </xdr:cNvPr>
        <xdr:cNvSpPr/>
      </xdr:nvSpPr>
      <xdr:spPr>
        <a:xfrm>
          <a:off x="15824387" y="2212775"/>
          <a:ext cx="18360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SEINA</a:t>
          </a:r>
        </a:p>
      </xdr:txBody>
    </xdr:sp>
    <xdr:clientData/>
  </xdr:twoCellAnchor>
  <xdr:twoCellAnchor>
    <xdr:from>
      <xdr:col>13</xdr:col>
      <xdr:colOff>337857</xdr:colOff>
      <xdr:row>16</xdr:row>
      <xdr:rowOff>94008</xdr:rowOff>
    </xdr:from>
    <xdr:to>
      <xdr:col>14</xdr:col>
      <xdr:colOff>1781651</xdr:colOff>
      <xdr:row>20</xdr:row>
      <xdr:rowOff>124008</xdr:rowOff>
    </xdr:to>
    <xdr:sp macro="" textlink="">
      <xdr:nvSpPr>
        <xdr:cNvPr id="42" name="Rectangle à coins arrondis 53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3100-00002A000000}"/>
            </a:ext>
          </a:extLst>
        </xdr:cNvPr>
        <xdr:cNvSpPr/>
      </xdr:nvSpPr>
      <xdr:spPr>
        <a:xfrm>
          <a:off x="16248417" y="4254528"/>
          <a:ext cx="1855274" cy="76152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SIDI MOHAMAD</a:t>
          </a:r>
        </a:p>
      </xdr:txBody>
    </xdr:sp>
    <xdr:clientData/>
  </xdr:twoCellAnchor>
  <xdr:twoCellAnchor>
    <xdr:from>
      <xdr:col>5</xdr:col>
      <xdr:colOff>487088</xdr:colOff>
      <xdr:row>4</xdr:row>
      <xdr:rowOff>102731</xdr:rowOff>
    </xdr:from>
    <xdr:to>
      <xdr:col>6</xdr:col>
      <xdr:colOff>1830029</xdr:colOff>
      <xdr:row>8</xdr:row>
      <xdr:rowOff>132731</xdr:rowOff>
    </xdr:to>
    <xdr:sp macro="" textlink="">
      <xdr:nvSpPr>
        <xdr:cNvPr id="46" name="Rectangle à coins arrondis 42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3100-00002E000000}"/>
            </a:ext>
          </a:extLst>
        </xdr:cNvPr>
        <xdr:cNvSpPr/>
      </xdr:nvSpPr>
      <xdr:spPr>
        <a:xfrm>
          <a:off x="6683941" y="875937"/>
          <a:ext cx="1836000" cy="7920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BILAL</a:t>
          </a:r>
          <a:r>
            <a:rPr lang="fr-FR" sz="20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BIG MAT</a:t>
          </a:r>
          <a:endParaRPr lang="fr-FR" sz="2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325691</xdr:colOff>
      <xdr:row>28</xdr:row>
      <xdr:rowOff>113496</xdr:rowOff>
    </xdr:from>
    <xdr:to>
      <xdr:col>4</xdr:col>
      <xdr:colOff>1783268</xdr:colOff>
      <xdr:row>32</xdr:row>
      <xdr:rowOff>143496</xdr:rowOff>
    </xdr:to>
    <xdr:sp macro="" textlink="">
      <xdr:nvSpPr>
        <xdr:cNvPr id="43" name="Rectangle à coins arrondis 62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3100-00002B000000}"/>
            </a:ext>
          </a:extLst>
        </xdr:cNvPr>
        <xdr:cNvSpPr/>
      </xdr:nvSpPr>
      <xdr:spPr>
        <a:xfrm>
          <a:off x="4323950" y="6146743"/>
          <a:ext cx="1869953" cy="747177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AUTO</a:t>
          </a:r>
          <a:r>
            <a:rPr lang="fr-FR" sz="20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RAY</a:t>
          </a:r>
          <a:endParaRPr lang="fr-FR" sz="2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265420</xdr:colOff>
      <xdr:row>22</xdr:row>
      <xdr:rowOff>87043</xdr:rowOff>
    </xdr:from>
    <xdr:to>
      <xdr:col>15</xdr:col>
      <xdr:colOff>76201</xdr:colOff>
      <xdr:row>26</xdr:row>
      <xdr:rowOff>117043</xdr:rowOff>
    </xdr:to>
    <xdr:sp macro="" textlink="">
      <xdr:nvSpPr>
        <xdr:cNvPr id="44" name="Rectangle à coins arrondis 53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3100-00002C000000}"/>
            </a:ext>
          </a:extLst>
        </xdr:cNvPr>
        <xdr:cNvSpPr/>
      </xdr:nvSpPr>
      <xdr:spPr>
        <a:xfrm>
          <a:off x="16132949" y="4784549"/>
          <a:ext cx="2105746" cy="747176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BATIPLUS</a:t>
          </a:r>
        </a:p>
      </xdr:txBody>
    </xdr:sp>
    <xdr:clientData/>
  </xdr:twoCellAnchor>
  <xdr:twoCellAnchor>
    <xdr:from>
      <xdr:col>13</xdr:col>
      <xdr:colOff>328172</xdr:colOff>
      <xdr:row>28</xdr:row>
      <xdr:rowOff>68672</xdr:rowOff>
    </xdr:from>
    <xdr:to>
      <xdr:col>15</xdr:col>
      <xdr:colOff>196418</xdr:colOff>
      <xdr:row>32</xdr:row>
      <xdr:rowOff>98672</xdr:rowOff>
    </xdr:to>
    <xdr:sp macro="" textlink="">
      <xdr:nvSpPr>
        <xdr:cNvPr id="45" name="Rectangle à coins arrondis 53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3100-00002D000000}"/>
            </a:ext>
          </a:extLst>
        </xdr:cNvPr>
        <xdr:cNvSpPr/>
      </xdr:nvSpPr>
      <xdr:spPr>
        <a:xfrm>
          <a:off x="16238732" y="6941912"/>
          <a:ext cx="2169486" cy="76152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NAFCO</a:t>
          </a:r>
        </a:p>
      </xdr:txBody>
    </xdr:sp>
    <xdr:clientData/>
  </xdr:twoCellAnchor>
  <xdr:twoCellAnchor>
    <xdr:from>
      <xdr:col>15</xdr:col>
      <xdr:colOff>230282</xdr:colOff>
      <xdr:row>4</xdr:row>
      <xdr:rowOff>160916</xdr:rowOff>
    </xdr:from>
    <xdr:to>
      <xdr:col>16</xdr:col>
      <xdr:colOff>1767840</xdr:colOff>
      <xdr:row>9</xdr:row>
      <xdr:rowOff>8036</xdr:rowOff>
    </xdr:to>
    <xdr:sp macro="" textlink="">
      <xdr:nvSpPr>
        <xdr:cNvPr id="47" name="Rectangle à coins arrondis 37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3100-00002F000000}"/>
            </a:ext>
          </a:extLst>
        </xdr:cNvPr>
        <xdr:cNvSpPr/>
      </xdr:nvSpPr>
      <xdr:spPr>
        <a:xfrm>
          <a:off x="18442082" y="1639196"/>
          <a:ext cx="1903318" cy="76152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IMEX</a:t>
          </a:r>
          <a:r>
            <a:rPr lang="fr-FR" sz="20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PHARMA</a:t>
          </a:r>
          <a:endParaRPr lang="fr-FR" sz="2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340995</xdr:colOff>
      <xdr:row>11</xdr:row>
      <xdr:rowOff>42868</xdr:rowOff>
    </xdr:from>
    <xdr:to>
      <xdr:col>17</xdr:col>
      <xdr:colOff>47429</xdr:colOff>
      <xdr:row>14</xdr:row>
      <xdr:rowOff>263368</xdr:rowOff>
    </xdr:to>
    <xdr:sp macro="" textlink="">
      <xdr:nvSpPr>
        <xdr:cNvPr id="48" name="Rectangle à coins arrondis 48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3100-000030000000}"/>
            </a:ext>
          </a:extLst>
        </xdr:cNvPr>
        <xdr:cNvSpPr/>
      </xdr:nvSpPr>
      <xdr:spPr>
        <a:xfrm>
          <a:off x="18552795" y="2907988"/>
          <a:ext cx="1855274" cy="78438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DIST</a:t>
          </a:r>
          <a:r>
            <a:rPr lang="fr-FR" sz="20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ZANZAN</a:t>
          </a:r>
          <a:endParaRPr lang="fr-FR" sz="2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16</xdr:col>
      <xdr:colOff>17817</xdr:colOff>
      <xdr:row>16</xdr:row>
      <xdr:rowOff>109248</xdr:rowOff>
    </xdr:from>
    <xdr:to>
      <xdr:col>17</xdr:col>
      <xdr:colOff>90011</xdr:colOff>
      <xdr:row>20</xdr:row>
      <xdr:rowOff>139248</xdr:rowOff>
    </xdr:to>
    <xdr:sp macro="" textlink="">
      <xdr:nvSpPr>
        <xdr:cNvPr id="49" name="Rectangle à coins arrondis 53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3100-000031000000}"/>
            </a:ext>
          </a:extLst>
        </xdr:cNvPr>
        <xdr:cNvSpPr/>
      </xdr:nvSpPr>
      <xdr:spPr>
        <a:xfrm>
          <a:off x="18595377" y="4269768"/>
          <a:ext cx="1855274" cy="76152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EZONE</a:t>
          </a:r>
        </a:p>
      </xdr:txBody>
    </xdr:sp>
    <xdr:clientData/>
  </xdr:twoCellAnchor>
  <xdr:twoCellAnchor>
    <xdr:from>
      <xdr:col>15</xdr:col>
      <xdr:colOff>353097</xdr:colOff>
      <xdr:row>16</xdr:row>
      <xdr:rowOff>63528</xdr:rowOff>
    </xdr:from>
    <xdr:to>
      <xdr:col>17</xdr:col>
      <xdr:colOff>59531</xdr:colOff>
      <xdr:row>20</xdr:row>
      <xdr:rowOff>93528</xdr:rowOff>
    </xdr:to>
    <xdr:sp macro="" textlink="">
      <xdr:nvSpPr>
        <xdr:cNvPr id="50" name="Rectangle à coins arrondis 53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3100-000032000000}"/>
            </a:ext>
          </a:extLst>
        </xdr:cNvPr>
        <xdr:cNvSpPr/>
      </xdr:nvSpPr>
      <xdr:spPr>
        <a:xfrm>
          <a:off x="18564897" y="4224048"/>
          <a:ext cx="1855274" cy="76152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EZONE</a:t>
          </a:r>
        </a:p>
      </xdr:txBody>
    </xdr:sp>
    <xdr:clientData/>
  </xdr:twoCellAnchor>
  <xdr:twoCellAnchor>
    <xdr:from>
      <xdr:col>16</xdr:col>
      <xdr:colOff>2577</xdr:colOff>
      <xdr:row>22</xdr:row>
      <xdr:rowOff>94008</xdr:rowOff>
    </xdr:from>
    <xdr:to>
      <xdr:col>17</xdr:col>
      <xdr:colOff>74771</xdr:colOff>
      <xdr:row>26</xdr:row>
      <xdr:rowOff>124008</xdr:rowOff>
    </xdr:to>
    <xdr:sp macro="" textlink="">
      <xdr:nvSpPr>
        <xdr:cNvPr id="51" name="Rectangle à coins arrondis 53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3100-000033000000}"/>
            </a:ext>
          </a:extLst>
        </xdr:cNvPr>
        <xdr:cNvSpPr/>
      </xdr:nvSpPr>
      <xdr:spPr>
        <a:xfrm>
          <a:off x="18580137" y="5610888"/>
          <a:ext cx="1855274" cy="76152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KOBEISSI</a:t>
          </a:r>
        </a:p>
      </xdr:txBody>
    </xdr:sp>
    <xdr:clientData/>
  </xdr:twoCellAnchor>
  <xdr:twoCellAnchor>
    <xdr:from>
      <xdr:col>15</xdr:col>
      <xdr:colOff>282452</xdr:colOff>
      <xdr:row>28</xdr:row>
      <xdr:rowOff>68672</xdr:rowOff>
    </xdr:from>
    <xdr:to>
      <xdr:col>17</xdr:col>
      <xdr:colOff>92927</xdr:colOff>
      <xdr:row>32</xdr:row>
      <xdr:rowOff>98672</xdr:rowOff>
    </xdr:to>
    <xdr:sp macro="" textlink="">
      <xdr:nvSpPr>
        <xdr:cNvPr id="52" name="Rectangle à coins arrondis 53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0000000-0008-0000-3100-000034000000}"/>
            </a:ext>
          </a:extLst>
        </xdr:cNvPr>
        <xdr:cNvSpPr/>
      </xdr:nvSpPr>
      <xdr:spPr>
        <a:xfrm>
          <a:off x="18031476" y="6968489"/>
          <a:ext cx="1878097" cy="773415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DSC BATIME</a:t>
          </a:r>
        </a:p>
      </xdr:txBody>
    </xdr:sp>
    <xdr:clientData/>
  </xdr:twoCellAnchor>
  <xdr:twoCellAnchor>
    <xdr:from>
      <xdr:col>0</xdr:col>
      <xdr:colOff>0</xdr:colOff>
      <xdr:row>34</xdr:row>
      <xdr:rowOff>86061</xdr:rowOff>
    </xdr:from>
    <xdr:to>
      <xdr:col>0</xdr:col>
      <xdr:colOff>1866045</xdr:colOff>
      <xdr:row>38</xdr:row>
      <xdr:rowOff>95086</xdr:rowOff>
    </xdr:to>
    <xdr:sp macro="" textlink="">
      <xdr:nvSpPr>
        <xdr:cNvPr id="53" name="Rectangle à coins arrondis 61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3100-000035000000}"/>
            </a:ext>
          </a:extLst>
        </xdr:cNvPr>
        <xdr:cNvSpPr/>
      </xdr:nvSpPr>
      <xdr:spPr>
        <a:xfrm>
          <a:off x="0" y="8315661"/>
          <a:ext cx="1866045" cy="740545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YOUBA</a:t>
          </a:r>
          <a:r>
            <a:rPr lang="fr-FR" sz="18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ADZOPE</a:t>
          </a:r>
          <a:endParaRPr lang="fr-FR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226017</xdr:colOff>
      <xdr:row>34</xdr:row>
      <xdr:rowOff>69917</xdr:rowOff>
    </xdr:from>
    <xdr:to>
      <xdr:col>2</xdr:col>
      <xdr:colOff>1712031</xdr:colOff>
      <xdr:row>38</xdr:row>
      <xdr:rowOff>78942</xdr:rowOff>
    </xdr:to>
    <xdr:sp macro="" textlink="">
      <xdr:nvSpPr>
        <xdr:cNvPr id="13" name="Rectangle à coins arrondis 61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0000000-0008-0000-3100-00000D000000}"/>
            </a:ext>
          </a:extLst>
        </xdr:cNvPr>
        <xdr:cNvSpPr/>
      </xdr:nvSpPr>
      <xdr:spPr>
        <a:xfrm>
          <a:off x="2034153" y="8529409"/>
          <a:ext cx="1808895" cy="78394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NETCOM</a:t>
          </a:r>
        </a:p>
      </xdr:txBody>
    </xdr:sp>
    <xdr:clientData/>
  </xdr:twoCellAnchor>
  <xdr:twoCellAnchor>
    <xdr:from>
      <xdr:col>3</xdr:col>
      <xdr:colOff>378417</xdr:colOff>
      <xdr:row>34</xdr:row>
      <xdr:rowOff>108017</xdr:rowOff>
    </xdr:from>
    <xdr:to>
      <xdr:col>4</xdr:col>
      <xdr:colOff>1769181</xdr:colOff>
      <xdr:row>38</xdr:row>
      <xdr:rowOff>117042</xdr:rowOff>
    </xdr:to>
    <xdr:sp macro="" textlink="">
      <xdr:nvSpPr>
        <xdr:cNvPr id="23" name="Rectangle à coins arrondis 61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0000000-0008-0000-3100-000017000000}"/>
            </a:ext>
          </a:extLst>
        </xdr:cNvPr>
        <xdr:cNvSpPr/>
      </xdr:nvSpPr>
      <xdr:spPr>
        <a:xfrm>
          <a:off x="4359867" y="8470967"/>
          <a:ext cx="1809864" cy="771025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ALM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46" name="SENATBL47" displayName="SENATBL47" ref="A8:G159" totalsRowShown="0" headerRowDxfId="1022" dataDxfId="1021">
  <autoFilter ref="A8:G159"/>
  <tableColumns count="7">
    <tableColumn id="1" name="DATE" dataDxfId="1020" totalsRowDxfId="1019"/>
    <tableColumn id="2" name="DESIGNATION" dataDxfId="1018" totalsRowDxfId="1017" dataCellStyle="Milliers"/>
    <tableColumn id="3" name="QUANTITE" dataDxfId="1016" totalsRowDxfId="1015" dataCellStyle="Milliers"/>
    <tableColumn id="4" name="PRIX UNITAIRE" dataDxfId="1014" totalsRowDxfId="1013" dataCellStyle="Milliers"/>
    <tableColumn id="5" name="TOTAL MONTANT" dataDxfId="1012" totalsRowDxfId="1011" dataCellStyle="Milliers">
      <calculatedColumnFormula>+$H$2+(SENATBL47[[#This Row],[QUANTITE]]*SENATBL47[[#This Row],[PRIX UNITAIRE]])</calculatedColumnFormula>
    </tableColumn>
    <tableColumn id="6" name="VERSEMENT" dataDxfId="1010" totalsRowDxfId="1009" dataCellStyle="Milliers"/>
    <tableColumn id="7" name="SOLDE" dataDxfId="1008" totalsRowDxfId="1007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47" name="NETCOM" displayName="NETCOM" ref="A8:G109" totalsRowShown="0" headerRowDxfId="1002" dataDxfId="1001">
  <autoFilter ref="A8:G109"/>
  <tableColumns count="7">
    <tableColumn id="1" name="DATE" dataDxfId="1000" totalsRowDxfId="999"/>
    <tableColumn id="2" name="DESIGNATION" dataDxfId="998" totalsRowDxfId="997" dataCellStyle="Milliers"/>
    <tableColumn id="3" name="QUANTITE" dataDxfId="996" totalsRowDxfId="995" dataCellStyle="Milliers"/>
    <tableColumn id="4" name="PRIX UNITAIRE" dataDxfId="994" totalsRowDxfId="993" dataCellStyle="Milliers"/>
    <tableColumn id="5" name="TOTAL MONTANT" dataDxfId="992" totalsRowDxfId="991" dataCellStyle="Milliers">
      <calculatedColumnFormula>+$I$2+(NETCOM[[#This Row],[QUANTITE]]*NETCOM[[#This Row],[PRIX UNITAIRE]])</calculatedColumnFormula>
    </tableColumn>
    <tableColumn id="6" name="VERSEMENT" dataDxfId="990" totalsRowDxfId="989" dataCellStyle="Milliers"/>
    <tableColumn id="7" name="SOLDE" dataDxfId="988" totalsRowDxfId="987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id="2" name="FIDAA" displayName="FIDAA" ref="A8:G512" totalsRowShown="0" headerRowDxfId="982" dataDxfId="981">
  <autoFilter ref="A8:G512"/>
  <tableColumns count="7">
    <tableColumn id="1" name="DATE" dataDxfId="980" totalsRowDxfId="979"/>
    <tableColumn id="2" name="DESIGNATION" dataDxfId="978" totalsRowDxfId="977" dataCellStyle="Milliers"/>
    <tableColumn id="3" name="QUANTITE" dataDxfId="976" totalsRowDxfId="975" dataCellStyle="Milliers"/>
    <tableColumn id="4" name="PRIX UNITAIRE" dataDxfId="974" totalsRowDxfId="973" dataCellStyle="Milliers"/>
    <tableColumn id="5" name="TOTAL MONTANT" dataDxfId="972" totalsRowDxfId="971" dataCellStyle="Milliers">
      <calculatedColumnFormula>+$I$2+(FIDAA[[#This Row],[QUANTITE]]*FIDAA[[#This Row],[PRIX UNITAIRE]])</calculatedColumnFormula>
    </tableColumn>
    <tableColumn id="6" name="VERSEMENT" dataDxfId="970" totalsRowDxfId="969" dataCellStyle="Milliers"/>
    <tableColumn id="7" name="SOLDE" dataDxfId="968" totalsRowDxfId="967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id="36" name="SOLO" displayName="SOLO" ref="A8:G45" totalsRowShown="0" headerRowDxfId="963" dataDxfId="962">
  <autoFilter ref="A8:G45"/>
  <tableColumns count="7">
    <tableColumn id="1" name="DATE" dataDxfId="961" totalsRowDxfId="960"/>
    <tableColumn id="2" name="DESIGNATION" dataDxfId="959" totalsRowDxfId="958" dataCellStyle="Milliers"/>
    <tableColumn id="3" name="QUANTITE" dataDxfId="957" totalsRowDxfId="956" dataCellStyle="Milliers"/>
    <tableColumn id="4" name="PRIX UNITAIRE" dataDxfId="955" totalsRowDxfId="954" dataCellStyle="Milliers"/>
    <tableColumn id="5" name="TOTAL MONTANT" dataDxfId="953" totalsRowDxfId="952" dataCellStyle="Milliers">
      <calculatedColumnFormula>+$I$2+(SOLO[[#This Row],[QUANTITE]]*SOLO[[#This Row],[PRIX UNITAIRE]])</calculatedColumnFormula>
    </tableColumn>
    <tableColumn id="6" name="VERSEMENT" dataDxfId="951" totalsRowDxfId="950" dataCellStyle="Milliers"/>
    <tableColumn id="7" name="SOLDE" dataDxfId="949" totalsRowDxfId="948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id="38" name="SENATBL" displayName="SENATBL" ref="A8:G109" totalsRowShown="0" headerRowDxfId="944" dataDxfId="943">
  <autoFilter ref="A8:G109"/>
  <tableColumns count="7">
    <tableColumn id="1" name="DATE" dataDxfId="942" totalsRowDxfId="941"/>
    <tableColumn id="2" name="DESIGNATION" dataDxfId="940" totalsRowDxfId="939" dataCellStyle="Milliers"/>
    <tableColumn id="3" name="QUANTITE" dataDxfId="938" totalsRowDxfId="937" dataCellStyle="Milliers"/>
    <tableColumn id="4" name="PRIX UNITAIRE" dataDxfId="936" totalsRowDxfId="935" dataCellStyle="Milliers"/>
    <tableColumn id="5" name="TOTAL MONTANT" dataDxfId="934" totalsRowDxfId="933" dataCellStyle="Milliers">
      <calculatedColumnFormula>SENATBL[[#This Row],[PRIX UNITAIRE]]*SENATBL[[#This Row],[QUANTITE]]</calculatedColumnFormula>
    </tableColumn>
    <tableColumn id="6" name="VERSEMENT" dataDxfId="932" totalsRowDxfId="931" dataCellStyle="Milliers"/>
    <tableColumn id="7" name="SOLDE" dataDxfId="930" totalsRowDxfId="929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id="37" name="PETITSOLO" displayName="PETITSOLO" ref="A8:G109" totalsRowShown="0" headerRowDxfId="925" dataDxfId="924">
  <autoFilter ref="A8:G109"/>
  <tableColumns count="7">
    <tableColumn id="1" name="DATE" dataDxfId="923" totalsRowDxfId="922"/>
    <tableColumn id="2" name="DESIGNATION" dataDxfId="921" totalsRowDxfId="920" dataCellStyle="Milliers"/>
    <tableColumn id="3" name="QUANTITE" dataDxfId="919" totalsRowDxfId="918" dataCellStyle="Milliers"/>
    <tableColumn id="4" name="PRIX UNITAIRE" dataDxfId="917" totalsRowDxfId="916" dataCellStyle="Milliers"/>
    <tableColumn id="5" name="TOTAL MONTANT" dataDxfId="915" totalsRowDxfId="914" dataCellStyle="Milliers">
      <calculatedColumnFormula>+$I$2+(PETITSOLO[[#This Row],[QUANTITE]]*PETITSOLO[[#This Row],[PRIX UNITAIRE]])</calculatedColumnFormula>
    </tableColumn>
    <tableColumn id="6" name="VERSEMENT" dataDxfId="913" totalsRowDxfId="912" dataCellStyle="Milliers"/>
    <tableColumn id="7" name="SOLDE" dataDxfId="911" totalsRowDxfId="910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id="24" name="SEINA" displayName="SEINA" ref="A8:G112" totalsRowShown="0" headerRowDxfId="906" dataDxfId="905">
  <autoFilter ref="A8:G112"/>
  <tableColumns count="7">
    <tableColumn id="1" name="DATE" dataDxfId="904" totalsRowDxfId="903"/>
    <tableColumn id="2" name="DESIGNATION" dataDxfId="902" totalsRowDxfId="901" dataCellStyle="Milliers"/>
    <tableColumn id="3" name="QUANTITE" dataDxfId="900" totalsRowDxfId="899" dataCellStyle="Milliers"/>
    <tableColumn id="4" name="PRIX UNITAIRE" dataDxfId="898" totalsRowDxfId="897" dataCellStyle="Milliers"/>
    <tableColumn id="5" name="TOTAL MONTANT" dataDxfId="896" totalsRowDxfId="895" dataCellStyle="Milliers">
      <calculatedColumnFormula>+$I$2+(SEINA[[#This Row],[QUANTITE]]*SEINA[[#This Row],[PRIX UNITAIRE]])</calculatedColumnFormula>
    </tableColumn>
    <tableColumn id="6" name="VERSEMENT" dataDxfId="894" totalsRowDxfId="893" dataCellStyle="Milliers"/>
    <tableColumn id="7" name="SOLDE" dataDxfId="892" totalsRowDxfId="891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id="34" name="SAMFO" displayName="SAMFO" ref="A8:G278" totalsRowShown="0" headerRowDxfId="887" dataDxfId="886">
  <autoFilter ref="A8:G278"/>
  <tableColumns count="7">
    <tableColumn id="1" name="DATE" dataDxfId="885" totalsRowDxfId="884"/>
    <tableColumn id="2" name="DESIGNATION" dataDxfId="883" totalsRowDxfId="882" dataCellStyle="Milliers"/>
    <tableColumn id="3" name="QUANTITE" dataDxfId="881" totalsRowDxfId="880" dataCellStyle="Milliers"/>
    <tableColumn id="4" name="PRIX UNITAIRE" dataDxfId="879" totalsRowDxfId="878" dataCellStyle="Milliers"/>
    <tableColumn id="5" name="TOTAL MONTANT" dataDxfId="877" totalsRowDxfId="876" dataCellStyle="Milliers">
      <calculatedColumnFormula>+$I$2+(SAMFO[[#This Row],[QUANTITE]]*SAMFO[[#This Row],[PRIX UNITAIRE]])</calculatedColumnFormula>
    </tableColumn>
    <tableColumn id="6" name="VERSEMENT" dataDxfId="875" totalsRowDxfId="874" dataCellStyle="Milliers"/>
    <tableColumn id="7" name="SOLDE" dataDxfId="873" totalsRowDxfId="872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id="35" name="FBD" displayName="FBD" ref="A8:G529" totalsRowShown="0" headerRowDxfId="863" dataDxfId="862">
  <autoFilter ref="A8:G529"/>
  <tableColumns count="7">
    <tableColumn id="1" name="DATE" dataDxfId="861" totalsRowDxfId="860"/>
    <tableColumn id="2" name="DESIGNATION" dataDxfId="859" totalsRowDxfId="858" dataCellStyle="Milliers"/>
    <tableColumn id="3" name="QUANTITE" dataDxfId="857" totalsRowDxfId="856" dataCellStyle="Milliers"/>
    <tableColumn id="4" name="PRIX UNITAIRE" dataDxfId="855" totalsRowDxfId="854" dataCellStyle="Milliers"/>
    <tableColumn id="5" name="TOTAL MONTANT" dataDxfId="853" totalsRowDxfId="852" dataCellStyle="Milliers">
      <calculatedColumnFormula>+$I$2+(FBD[[#This Row],[QUANTITE]]*FBD[[#This Row],[PRIX UNITAIRE]])</calculatedColumnFormula>
    </tableColumn>
    <tableColumn id="6" name="VERSEMENT" dataDxfId="851" totalsRowDxfId="850" dataCellStyle="Total"/>
    <tableColumn id="7" name="SOLDE" dataDxfId="849" totalsRowDxfId="848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id="1" name="ARTCI" displayName="ARTCI" ref="A8:G71" totalsRowShown="0" headerRowDxfId="844" dataDxfId="843">
  <autoFilter ref="A8:G71"/>
  <tableColumns count="7">
    <tableColumn id="1" name="DATE" dataDxfId="842" totalsRowDxfId="841"/>
    <tableColumn id="2" name="DESIGNATION" dataDxfId="840" totalsRowDxfId="839" dataCellStyle="Milliers"/>
    <tableColumn id="3" name="QUANTITE" dataDxfId="838" totalsRowDxfId="837" dataCellStyle="Milliers"/>
    <tableColumn id="4" name="PRIX UNITAIRE" dataDxfId="836" totalsRowDxfId="835" dataCellStyle="Milliers"/>
    <tableColumn id="5" name="TOTAL MONTANT" dataDxfId="834" totalsRowDxfId="833" dataCellStyle="Milliers">
      <calculatedColumnFormula>$I$1+(ARTCI[[#This Row],[QUANTITE]]*ARTCI[[#This Row],[PRIX UNITAIRE]])</calculatedColumnFormula>
    </tableColumn>
    <tableColumn id="6" name="VERSEMENT" dataDxfId="832" totalsRowDxfId="831" dataCellStyle="Milliers"/>
    <tableColumn id="7" name="SOLDE" dataDxfId="830" totalsRowDxfId="829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id="3" name="SOFACO" displayName="SOFACO" ref="A8:G72" totalsRowShown="0" headerRowDxfId="825" dataDxfId="824">
  <autoFilter ref="A8:G72"/>
  <tableColumns count="7">
    <tableColumn id="1" name="DATE" dataDxfId="823" totalsRowDxfId="822"/>
    <tableColumn id="2" name="DESIGNATION" dataDxfId="821" totalsRowDxfId="820" dataCellStyle="Milliers"/>
    <tableColumn id="3" name="QUANTITE" dataDxfId="819" totalsRowDxfId="818" dataCellStyle="Milliers"/>
    <tableColumn id="4" name="PRIX UNITAIRE" dataDxfId="817" totalsRowDxfId="816" dataCellStyle="Milliers"/>
    <tableColumn id="5" name="TOTAL MONTANT" dataDxfId="815" totalsRowDxfId="814" dataCellStyle="Milliers">
      <calculatedColumnFormula>+$I$2+(SOFACO[[#This Row],[QUANTITE]]*SOFACO[[#This Row],[PRIX UNITAIRE]])</calculatedColumnFormula>
    </tableColumn>
    <tableColumn id="6" name="VERSEMENT" dataDxfId="813" totalsRowDxfId="812" dataCellStyle="Milliers"/>
    <tableColumn id="7" name="SOLDE" dataDxfId="811" totalsRowDxfId="810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12.xml><?xml version="1.0" encoding="utf-8"?>
<table xmlns="http://schemas.openxmlformats.org/spreadsheetml/2006/main" id="4" name="MANTPS" displayName="MANTPS" ref="A8:G291" totalsRowShown="0" headerRowDxfId="806" dataDxfId="805">
  <autoFilter ref="A8:G291"/>
  <tableColumns count="7">
    <tableColumn id="1" name="DATE" dataDxfId="804" totalsRowDxfId="803"/>
    <tableColumn id="2" name="DESIGNATION" dataDxfId="802" totalsRowDxfId="801" dataCellStyle="Milliers"/>
    <tableColumn id="3" name="QUANTITE" dataDxfId="800" totalsRowDxfId="799" dataCellStyle="Milliers"/>
    <tableColumn id="4" name="PRIX UNITAIRE" dataDxfId="798" totalsRowDxfId="797" dataCellStyle="Milliers"/>
    <tableColumn id="5" name="TOTAL MONTANT" dataDxfId="796" totalsRowDxfId="795" dataCellStyle="Milliers">
      <calculatedColumnFormula>+$I$2+(MANTPS[[#This Row],[QUANTITE]]*MANTPS[[#This Row],[PRIX UNITAIRE]])</calculatedColumnFormula>
    </tableColumn>
    <tableColumn id="6" name="VERSEMENT" dataDxfId="794" totalsRowDxfId="793" dataCellStyle="Milliers"/>
    <tableColumn id="7" name="SOLDE" dataDxfId="792" totalsRowDxfId="791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13.xml><?xml version="1.0" encoding="utf-8"?>
<table xmlns="http://schemas.openxmlformats.org/spreadsheetml/2006/main" id="5" name="HACHICHINDIEN" displayName="HACHICHINDIEN" ref="A8:G71" totalsRowShown="0" headerRowDxfId="787" dataDxfId="786">
  <autoFilter ref="A8:G71"/>
  <tableColumns count="7">
    <tableColumn id="1" name="DATE" dataDxfId="785" totalsRowDxfId="784"/>
    <tableColumn id="2" name="DESIGNATION" dataDxfId="783" totalsRowDxfId="782" dataCellStyle="Milliers"/>
    <tableColumn id="3" name="QUANTITE" dataDxfId="781" totalsRowDxfId="780" dataCellStyle="Milliers"/>
    <tableColumn id="4" name="PRIX UNITAIRE" dataDxfId="779" totalsRowDxfId="778" dataCellStyle="Milliers"/>
    <tableColumn id="5" name="TOTAL MONTANT" dataDxfId="777" totalsRowDxfId="776" dataCellStyle="Milliers">
      <calculatedColumnFormula>+$I$2+(HACHICHINDIEN[[#This Row],[QUANTITE]]*HACHICHINDIEN[[#This Row],[PRIX UNITAIRE]])</calculatedColumnFormula>
    </tableColumn>
    <tableColumn id="6" name="VERSEMENT" dataDxfId="775" totalsRowDxfId="774" dataCellStyle="Milliers"/>
    <tableColumn id="7" name="SOLDE" dataDxfId="773" dataCellStyle="Milliers">
      <calculatedColumnFormula>+HACHICHINDIEN[[#This Row],[TOTAL MONTANT]]-HACHICHINDIEN[[#This Row],[VERSEMENT]]</calculatedColumnFormula>
    </tableColumn>
  </tableColumns>
  <tableStyleInfo name="TableStyleMedium15" showFirstColumn="0" showLastColumn="0" showRowStripes="1" showColumnStripes="0"/>
</table>
</file>

<file path=xl/tables/table14.xml><?xml version="1.0" encoding="utf-8"?>
<table xmlns="http://schemas.openxmlformats.org/spreadsheetml/2006/main" id="6" name="DIVERSCLIENTS" displayName="DIVERSCLIENTS" ref="A8:H69" totalsRowShown="0" headerRowDxfId="769" dataDxfId="768">
  <autoFilter ref="A8:H69"/>
  <tableColumns count="8">
    <tableColumn id="1" name="DATE" dataDxfId="767" totalsRowDxfId="766"/>
    <tableColumn id="8" name="NOM CLIENT" dataDxfId="765" totalsRowDxfId="764"/>
    <tableColumn id="2" name="DESIGNATION" dataDxfId="763" totalsRowDxfId="762" dataCellStyle="Milliers"/>
    <tableColumn id="3" name="QUANTITE" dataDxfId="761" totalsRowDxfId="760" dataCellStyle="Milliers"/>
    <tableColumn id="4" name="PRIX UNITAIRE" dataDxfId="759" totalsRowDxfId="758" dataCellStyle="Milliers"/>
    <tableColumn id="5" name="TOTAL MONTANT" dataDxfId="757" totalsRowDxfId="756" dataCellStyle="Milliers">
      <calculatedColumnFormula>+$I$2+(DIVERSCLIENTS[[#This Row],[QUANTITE]]*DIVERSCLIENTS[[#This Row],[PRIX UNITAIRE]])</calculatedColumnFormula>
    </tableColumn>
    <tableColumn id="6" name="VERSEMENT" dataDxfId="755" totalsRowDxfId="754" dataCellStyle="Milliers"/>
    <tableColumn id="7" name="SOLDE" dataDxfId="753" totalsRowDxfId="752" dataCellStyle="Milliers">
      <calculatedColumnFormula>+SUM($F$9:F9)-SUM($G$9:G9)</calculatedColumnFormula>
    </tableColumn>
  </tableColumns>
  <tableStyleInfo name="TableStyleMedium15" showFirstColumn="0" showLastColumn="0" showRowStripes="1" showColumnStripes="0"/>
</table>
</file>

<file path=xl/tables/table15.xml><?xml version="1.0" encoding="utf-8"?>
<table xmlns="http://schemas.openxmlformats.org/spreadsheetml/2006/main" id="7" name="SOGODO" displayName="SOGODO" ref="A8:G69" totalsRowShown="0" headerRowDxfId="748" dataDxfId="747">
  <autoFilter ref="A8:G69"/>
  <tableColumns count="7">
    <tableColumn id="1" name="DATE" dataDxfId="746" totalsRowDxfId="745"/>
    <tableColumn id="2" name="DESIGNATION" dataDxfId="744" totalsRowDxfId="743" dataCellStyle="Milliers"/>
    <tableColumn id="3" name="QUANTITE" dataDxfId="742" totalsRowDxfId="741" dataCellStyle="Milliers"/>
    <tableColumn id="4" name="PRIX UNITAIRE" dataDxfId="740" totalsRowDxfId="739" dataCellStyle="Milliers"/>
    <tableColumn id="5" name="TOTAL MONTANT" dataDxfId="738" totalsRowDxfId="737" dataCellStyle="Milliers">
      <calculatedColumnFormula>+$I$2+(SOGODO[[#This Row],[QUANTITE]]*SOGODO[[#This Row],[PRIX UNITAIRE]])</calculatedColumnFormula>
    </tableColumn>
    <tableColumn id="6" name="VERSEMENT" dataDxfId="736" totalsRowDxfId="735" dataCellStyle="Milliers"/>
    <tableColumn id="7" name="SOLDE" dataDxfId="734" totalsRowDxfId="733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16.xml><?xml version="1.0" encoding="utf-8"?>
<table xmlns="http://schemas.openxmlformats.org/spreadsheetml/2006/main" id="8" name="ALICHERRI" displayName="ALICHERRI" ref="A8:G69" totalsRowShown="0" headerRowDxfId="729" dataDxfId="728">
  <autoFilter ref="A8:G69"/>
  <tableColumns count="7">
    <tableColumn id="1" name="DATE" dataDxfId="727" totalsRowDxfId="726"/>
    <tableColumn id="2" name="DESIGNATION" dataDxfId="725" totalsRowDxfId="724" dataCellStyle="Milliers"/>
    <tableColumn id="3" name="QUANTITE" dataDxfId="723" totalsRowDxfId="722" dataCellStyle="Milliers"/>
    <tableColumn id="4" name="PRIX UNITAIRE" dataDxfId="721" totalsRowDxfId="720" dataCellStyle="Milliers"/>
    <tableColumn id="5" name="TOTAL MONTANT" dataDxfId="719" totalsRowDxfId="718" dataCellStyle="Milliers">
      <calculatedColumnFormula>+$I$2+(ALICHERRI[[#This Row],[QUANTITE]]*ALICHERRI[[#This Row],[PRIX UNITAIRE]])</calculatedColumnFormula>
    </tableColumn>
    <tableColumn id="6" name="VERSEMENT" dataDxfId="717" totalsRowDxfId="716" dataCellStyle="Milliers"/>
    <tableColumn id="7" name="SOLDE" dataDxfId="715" totalsRowDxfId="714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17.xml><?xml version="1.0" encoding="utf-8"?>
<table xmlns="http://schemas.openxmlformats.org/spreadsheetml/2006/main" id="9" name="KONEMOUSTAPHA" displayName="KONEMOUSTAPHA" ref="A8:G69" totalsRowShown="0" headerRowDxfId="710" dataDxfId="709">
  <autoFilter ref="A8:G69"/>
  <tableColumns count="7">
    <tableColumn id="1" name="DATE" dataDxfId="708" totalsRowDxfId="707"/>
    <tableColumn id="2" name="DESIGNATION" dataDxfId="706" totalsRowDxfId="705" dataCellStyle="Milliers"/>
    <tableColumn id="3" name="QUANTITE" dataDxfId="704" totalsRowDxfId="703" dataCellStyle="Milliers"/>
    <tableColumn id="4" name="PRIX UNITAIRE" dataDxfId="702" totalsRowDxfId="701" dataCellStyle="Milliers"/>
    <tableColumn id="5" name="TOTAL MONTANT" dataDxfId="700" totalsRowDxfId="699" dataCellStyle="Milliers">
      <calculatedColumnFormula>+$I$2+(KONEMOUSTAPHA[[#This Row],[QUANTITE]]*KONEMOUSTAPHA[[#This Row],[PRIX UNITAIRE]])</calculatedColumnFormula>
    </tableColumn>
    <tableColumn id="6" name="VERSEMENT" dataDxfId="698" totalsRowDxfId="697" dataCellStyle="Milliers"/>
    <tableColumn id="7" name="SOLDE" dataDxfId="696" totalsRowDxfId="695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18.xml><?xml version="1.0" encoding="utf-8"?>
<table xmlns="http://schemas.openxmlformats.org/spreadsheetml/2006/main" id="10" name="DSCBATIME" displayName="DSCBATIME" ref="A8:G180" totalsRowShown="0" headerRowDxfId="691" dataDxfId="690">
  <autoFilter ref="A8:G180"/>
  <tableColumns count="7">
    <tableColumn id="1" name="DATE" dataDxfId="689" totalsRowDxfId="688"/>
    <tableColumn id="2" name="DESIGNATION" dataDxfId="687" totalsRowDxfId="686" dataCellStyle="Milliers"/>
    <tableColumn id="3" name="QUANTITE" dataDxfId="685" totalsRowDxfId="684" dataCellStyle="Milliers"/>
    <tableColumn id="4" name="PRIX UNITAIRE" dataDxfId="683" totalsRowDxfId="682" dataCellStyle="Milliers"/>
    <tableColumn id="5" name="TOTAL MONTANT" dataDxfId="681" totalsRowDxfId="680" dataCellStyle="Milliers">
      <calculatedColumnFormula>+$I$2+(DSCBATIME[[#This Row],[QUANTITE]]*DSCBATIME[[#This Row],[PRIX UNITAIRE]])</calculatedColumnFormula>
    </tableColumn>
    <tableColumn id="6" name="VERSEMENT" dataDxfId="679" totalsRowDxfId="678" dataCellStyle="Milliers"/>
    <tableColumn id="7" name="SOLDE" dataDxfId="677" totalsRowDxfId="676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19.xml><?xml version="1.0" encoding="utf-8"?>
<table xmlns="http://schemas.openxmlformats.org/spreadsheetml/2006/main" id="11" name="SIDIMOHAMAD" displayName="SIDIMOHAMAD" ref="A8:G69" totalsRowShown="0" headerRowDxfId="672" dataDxfId="671">
  <autoFilter ref="A8:G69"/>
  <tableColumns count="7">
    <tableColumn id="1" name="DATE" dataDxfId="670" totalsRowDxfId="669"/>
    <tableColumn id="2" name="DESIGNATION" dataDxfId="668" totalsRowDxfId="667" dataCellStyle="Milliers"/>
    <tableColumn id="3" name="QUANTITE" dataDxfId="666" totalsRowDxfId="665" dataCellStyle="Milliers"/>
    <tableColumn id="4" name="PRIX UNITAIRE" dataDxfId="664" totalsRowDxfId="663" dataCellStyle="Milliers"/>
    <tableColumn id="5" name="TOTAL MONTANT" dataDxfId="662" totalsRowDxfId="661" dataCellStyle="Milliers">
      <calculatedColumnFormula>+$I$2+(SIDIMOHAMAD[[#This Row],[QUANTITE]]*SIDIMOHAMAD[[#This Row],[PRIX UNITAIRE]])</calculatedColumnFormula>
    </tableColumn>
    <tableColumn id="6" name="VERSEMENT" dataDxfId="660" totalsRowDxfId="659" dataCellStyle="Milliers"/>
    <tableColumn id="7" name="SOLDE" dataDxfId="658" totalsRowDxfId="657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20.xml><?xml version="1.0" encoding="utf-8"?>
<table xmlns="http://schemas.openxmlformats.org/spreadsheetml/2006/main" id="12" name="SAMAKEKEBE" displayName="SAMAKEKEBE" ref="A8:G69" totalsRowShown="0" headerRowDxfId="653" dataDxfId="652">
  <autoFilter ref="A8:G69"/>
  <tableColumns count="7">
    <tableColumn id="1" name="DATE" dataDxfId="651" totalsRowDxfId="650"/>
    <tableColumn id="2" name="DESIGNATION" dataDxfId="649" totalsRowDxfId="648" dataCellStyle="Milliers"/>
    <tableColumn id="3" name="QUANTITE" dataDxfId="647" totalsRowDxfId="646" dataCellStyle="Milliers"/>
    <tableColumn id="4" name="PRIX UNITAIRE" dataDxfId="645" totalsRowDxfId="644" dataCellStyle="Milliers"/>
    <tableColumn id="5" name="TOTAL MONTANT" dataDxfId="643" totalsRowDxfId="642" dataCellStyle="Milliers">
      <calculatedColumnFormula>+$I$2+(SAMAKEKEBE[[#This Row],[QUANTITE]]*SAMAKEKEBE[[#This Row],[PRIX UNITAIRE]])</calculatedColumnFormula>
    </tableColumn>
    <tableColumn id="6" name="VERSEMENT" dataDxfId="641" totalsRowDxfId="640" dataCellStyle="Milliers"/>
    <tableColumn id="7" name="SOLDE" dataDxfId="639" totalsRowDxfId="638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21.xml><?xml version="1.0" encoding="utf-8"?>
<table xmlns="http://schemas.openxmlformats.org/spreadsheetml/2006/main" id="13" name="ADAMAFRIQUE" displayName="ADAMAFRIQUE" ref="A8:G77" totalsRowShown="0" headerRowDxfId="633" dataDxfId="632">
  <autoFilter ref="A8:G77"/>
  <tableColumns count="7">
    <tableColumn id="1" name="DATE" dataDxfId="631" totalsRowDxfId="630"/>
    <tableColumn id="2" name="DESIGNATION" dataDxfId="629" totalsRowDxfId="628" dataCellStyle="Milliers"/>
    <tableColumn id="3" name="QUANTITE" dataDxfId="627" totalsRowDxfId="626" dataCellStyle="Milliers"/>
    <tableColumn id="4" name="PRIX UNITAIRE" dataDxfId="625" totalsRowDxfId="624" dataCellStyle="Milliers"/>
    <tableColumn id="5" name="TOTAL MONTANT" dataDxfId="623" totalsRowDxfId="622" dataCellStyle="Milliers">
      <calculatedColumnFormula>$I$2+(ADAMAFRIQUE[[#This Row],[QUANTITE]]*ADAMAFRIQUE[[#This Row],[PRIX UNITAIRE]])</calculatedColumnFormula>
    </tableColumn>
    <tableColumn id="6" name="VERSEMENT" dataDxfId="621" totalsRowDxfId="620" dataCellStyle="Milliers"/>
    <tableColumn id="7" name="SOLDE" dataDxfId="619" totalsRowDxfId="618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22.xml><?xml version="1.0" encoding="utf-8"?>
<table xmlns="http://schemas.openxmlformats.org/spreadsheetml/2006/main" id="14" name="BILABIGMAT" displayName="BILABIGMAT" ref="A8:G70" totalsRowShown="0" headerRowDxfId="614" dataDxfId="613">
  <autoFilter ref="A8:G70"/>
  <tableColumns count="7">
    <tableColumn id="1" name="DATE" dataDxfId="612" totalsRowDxfId="611"/>
    <tableColumn id="2" name="DESIGNATION" dataDxfId="610" totalsRowDxfId="609" dataCellStyle="Milliers"/>
    <tableColumn id="3" name="QUANTITE" dataDxfId="608" totalsRowDxfId="607" dataCellStyle="Milliers"/>
    <tableColumn id="4" name="PRIX UNITAIRE" dataDxfId="606" totalsRowDxfId="605" dataCellStyle="Milliers"/>
    <tableColumn id="5" name="TOTAL MONTANT" dataDxfId="604" totalsRowDxfId="603" dataCellStyle="Milliers">
      <calculatedColumnFormula>+$I$2+(BILABIGMAT[[#This Row],[QUANTITE]]*BILABIGMAT[[#This Row],[PRIX UNITAIRE]])</calculatedColumnFormula>
    </tableColumn>
    <tableColumn id="6" name="VERSEMENT" dataDxfId="602" totalsRowDxfId="601" dataCellStyle="Milliers"/>
    <tableColumn id="7" name="SOLDE" dataDxfId="600" totalsRowDxfId="599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23.xml><?xml version="1.0" encoding="utf-8"?>
<table xmlns="http://schemas.openxmlformats.org/spreadsheetml/2006/main" id="15" name="ATL" displayName="ATL" ref="A8:G69" totalsRowShown="0" headerRowDxfId="595" dataDxfId="594">
  <autoFilter ref="A8:G69"/>
  <tableColumns count="7">
    <tableColumn id="1" name="DATE" dataDxfId="593" totalsRowDxfId="592"/>
    <tableColumn id="2" name="DESIGNATION" dataDxfId="591" totalsRowDxfId="590" dataCellStyle="Milliers"/>
    <tableColumn id="3" name="QUANTITE" dataDxfId="589" totalsRowDxfId="588" dataCellStyle="Milliers"/>
    <tableColumn id="4" name="PRIX UNITAIRE" dataDxfId="587" totalsRowDxfId="586" dataCellStyle="Milliers"/>
    <tableColumn id="5" name="TOTAL MONTANT" dataDxfId="585" totalsRowDxfId="584" dataCellStyle="Milliers">
      <calculatedColumnFormula>+$I$2+(ATL[[#This Row],[QUANTITE]]*ATL[[#This Row],[PRIX UNITAIRE]])</calculatedColumnFormula>
    </tableColumn>
    <tableColumn id="6" name="VERSEMENT" dataDxfId="583" totalsRowDxfId="582" dataCellStyle="Milliers"/>
    <tableColumn id="7" name="SOLDE" dataDxfId="581" totalsRowDxfId="580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24.xml><?xml version="1.0" encoding="utf-8"?>
<table xmlns="http://schemas.openxmlformats.org/spreadsheetml/2006/main" id="16" name="SALIFKONE" displayName="SALIFKONE" ref="A8:G122" totalsRowShown="0" headerRowDxfId="575" dataDxfId="574">
  <autoFilter ref="A8:G122"/>
  <tableColumns count="7">
    <tableColumn id="1" name="DATE" dataDxfId="573" totalsRowDxfId="572"/>
    <tableColumn id="2" name="DESIGNATION" dataDxfId="571" totalsRowDxfId="570" dataCellStyle="Milliers"/>
    <tableColumn id="3" name="QUANTITE" dataDxfId="569" totalsRowDxfId="568" dataCellStyle="Milliers"/>
    <tableColumn id="4" name="PRIX UNITAIRE" dataDxfId="567" totalsRowDxfId="566" dataCellStyle="Milliers"/>
    <tableColumn id="5" name="TOTAL MONTANT" dataDxfId="565" totalsRowDxfId="564" dataCellStyle="Milliers">
      <calculatedColumnFormula>+$I$2+(SALIFKONE[[#This Row],[QUANTITE]]*SALIFKONE[[#This Row],[PRIX UNITAIRE]])</calculatedColumnFormula>
    </tableColumn>
    <tableColumn id="6" name="VERSEMENT" dataDxfId="563" totalsRowDxfId="562" dataCellStyle="Milliers"/>
    <tableColumn id="7" name="SOLDE" dataDxfId="561" totalsRowDxfId="560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25.xml><?xml version="1.0" encoding="utf-8"?>
<table xmlns="http://schemas.openxmlformats.org/spreadsheetml/2006/main" id="17" name="ABBASZALZALE" displayName="ABBASZALZALE" ref="A8:G122" totalsRowShown="0" headerRowDxfId="555" dataDxfId="554">
  <autoFilter ref="A8:G122"/>
  <tableColumns count="7">
    <tableColumn id="1" name="DATE" dataDxfId="553" totalsRowDxfId="552"/>
    <tableColumn id="2" name="DESIGNATION" dataDxfId="551" totalsRowDxfId="550" dataCellStyle="Milliers"/>
    <tableColumn id="3" name="QUANTITE" dataDxfId="549" totalsRowDxfId="548" dataCellStyle="Milliers"/>
    <tableColumn id="4" name="PRIX UNITAIRE" dataDxfId="547" totalsRowDxfId="546" dataCellStyle="Milliers"/>
    <tableColumn id="5" name="TOTAL MONTANT" dataDxfId="545" totalsRowDxfId="544" dataCellStyle="Milliers">
      <calculatedColumnFormula>+$I$2+(ABBASZALZALE[[#This Row],[QUANTITE]]*ABBASZALZALE[[#This Row],[PRIX UNITAIRE]])</calculatedColumnFormula>
    </tableColumn>
    <tableColumn id="6" name="VERSEMENT" dataDxfId="543" totalsRowDxfId="542" dataCellStyle="Milliers"/>
    <tableColumn id="7" name="SOLDE" dataDxfId="541" totalsRowDxfId="540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26.xml><?xml version="1.0" encoding="utf-8"?>
<table xmlns="http://schemas.openxmlformats.org/spreadsheetml/2006/main" id="18" name="GMSKAKOU" displayName="GMSKAKOU" ref="A8:G172" totalsRowShown="0" headerRowDxfId="536" dataDxfId="535">
  <autoFilter ref="A8:G172"/>
  <tableColumns count="7">
    <tableColumn id="1" name="DATE" dataDxfId="534" totalsRowDxfId="533"/>
    <tableColumn id="2" name="DESIGNATION" dataDxfId="532" totalsRowDxfId="531" dataCellStyle="Milliers"/>
    <tableColumn id="3" name="QUANTITE" dataDxfId="530" totalsRowDxfId="529" dataCellStyle="Milliers"/>
    <tableColumn id="4" name="PRIX UNITAIRE" dataDxfId="528" totalsRowDxfId="527" dataCellStyle="Milliers"/>
    <tableColumn id="5" name="TOTAL MONTANT" dataDxfId="526" totalsRowDxfId="525" dataCellStyle="Milliers">
      <calculatedColumnFormula>+$I$2+(GMSKAKOU[[#This Row],[QUANTITE]]*GMSKAKOU[[#This Row],[PRIX UNITAIRE]])</calculatedColumnFormula>
    </tableColumn>
    <tableColumn id="6" name="VERSEMENT" dataDxfId="524" totalsRowDxfId="523" dataCellStyle="Milliers"/>
    <tableColumn id="7" name="SOLDE" dataDxfId="522" totalsRowDxfId="521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27.xml><?xml version="1.0" encoding="utf-8"?>
<table xmlns="http://schemas.openxmlformats.org/spreadsheetml/2006/main" id="19" name="AEC" displayName="AEC" ref="A8:G122" totalsRowShown="0" headerRowDxfId="517" dataDxfId="516">
  <autoFilter ref="A8:G122"/>
  <tableColumns count="7">
    <tableColumn id="1" name="DATE" dataDxfId="515" totalsRowDxfId="514"/>
    <tableColumn id="2" name="DESIGNATION" dataDxfId="513" totalsRowDxfId="512" dataCellStyle="Milliers"/>
    <tableColumn id="3" name="QUANTITE" dataDxfId="511" totalsRowDxfId="510" dataCellStyle="Milliers"/>
    <tableColumn id="4" name="PRIX UNITAIRE" dataDxfId="509" totalsRowDxfId="508" dataCellStyle="Milliers"/>
    <tableColumn id="5" name="TOTAL MONTANT" dataDxfId="507" totalsRowDxfId="506" dataCellStyle="Milliers">
      <calculatedColumnFormula>+$I$2+(AEC[[#This Row],[QUANTITE]]*AEC[[#This Row],[PRIX UNITAIRE]])</calculatedColumnFormula>
    </tableColumn>
    <tableColumn id="6" name="VERSEMENT" dataDxfId="505" totalsRowDxfId="504" dataCellStyle="Milliers"/>
    <tableColumn id="7" name="SOLDE" dataDxfId="503" totalsRowDxfId="502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28.xml><?xml version="1.0" encoding="utf-8"?>
<table xmlns="http://schemas.openxmlformats.org/spreadsheetml/2006/main" id="20" name="AYOKI" displayName="AYOKI" ref="A8:G72" totalsRowShown="0" headerRowDxfId="497" dataDxfId="496">
  <autoFilter ref="A8:G72"/>
  <tableColumns count="7">
    <tableColumn id="1" name="DATE" dataDxfId="495" totalsRowDxfId="494"/>
    <tableColumn id="2" name="DESIGNATION" dataDxfId="493" totalsRowDxfId="492" dataCellStyle="Milliers"/>
    <tableColumn id="3" name="QUANTITE" dataDxfId="491" totalsRowDxfId="490" dataCellStyle="Milliers"/>
    <tableColumn id="4" name="PRIX UNITAIRE" dataDxfId="489" totalsRowDxfId="488" dataCellStyle="Milliers"/>
    <tableColumn id="5" name="TOTAL MONTANT" dataDxfId="487" totalsRowDxfId="486" dataCellStyle="Milliers">
      <calculatedColumnFormula>+$I$2+(AYOKI[[#This Row],[QUANTITE]]*AYOKI[[#This Row],[PRIX UNITAIRE]])</calculatedColumnFormula>
    </tableColumn>
    <tableColumn id="6" name="VERSEMENT" dataDxfId="485" totalsRowDxfId="484" dataCellStyle="Milliers"/>
    <tableColumn id="7" name="SOLDE" dataDxfId="483" totalsRowDxfId="482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29.xml><?xml version="1.0" encoding="utf-8"?>
<table xmlns="http://schemas.openxmlformats.org/spreadsheetml/2006/main" id="21" name="AGSAFRIQUE" displayName="AGSAFRIQUE" ref="A8:G250" totalsRowShown="0" headerRowDxfId="477" dataDxfId="476">
  <autoFilter ref="A8:G250"/>
  <tableColumns count="7">
    <tableColumn id="1" name="DATE" dataDxfId="475" totalsRowDxfId="474"/>
    <tableColumn id="2" name="DESIGNATION" dataDxfId="473" totalsRowDxfId="472" dataCellStyle="Milliers"/>
    <tableColumn id="3" name="QUANTITE" dataDxfId="471" totalsRowDxfId="470" dataCellStyle="Milliers"/>
    <tableColumn id="4" name="PRIX UNITAIRE" dataDxfId="469" totalsRowDxfId="468" dataCellStyle="Milliers"/>
    <tableColumn id="5" name="TOTAL MONTANT" dataDxfId="467" totalsRowDxfId="466" dataCellStyle="Milliers">
      <calculatedColumnFormula>+$I$2+(AGSAFRIQUE[[#This Row],[QUANTITE]]*AGSAFRIQUE[[#This Row],[PRIX UNITAIRE]])</calculatedColumnFormula>
    </tableColumn>
    <tableColumn id="6" name="VERSEMENT" dataDxfId="465" totalsRowDxfId="464" dataCellStyle="Milliers"/>
    <tableColumn id="7" name="SOLDE" dataDxfId="463" totalsRowDxfId="462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30.xml><?xml version="1.0" encoding="utf-8"?>
<table xmlns="http://schemas.openxmlformats.org/spreadsheetml/2006/main" id="22" name="BERNARD" displayName="BERNARD" ref="A8:G82" totalsRowShown="0" headerRowDxfId="458" dataDxfId="457">
  <autoFilter ref="A8:G82"/>
  <tableColumns count="7">
    <tableColumn id="1" name="DATE" dataDxfId="456" totalsRowDxfId="455"/>
    <tableColumn id="2" name="DESIGNATION" dataDxfId="454" totalsRowDxfId="453" dataCellStyle="Milliers"/>
    <tableColumn id="3" name="QUANTITE" dataDxfId="452" totalsRowDxfId="451" dataCellStyle="Milliers"/>
    <tableColumn id="4" name="PRIX UNITAIRE" dataDxfId="450" totalsRowDxfId="449" dataCellStyle="Milliers"/>
    <tableColumn id="5" name="TOTAL MONTANT" dataDxfId="448" totalsRowDxfId="447" dataCellStyle="Milliers">
      <calculatedColumnFormula>+$I$2+(BERNARD[[#This Row],[QUANTITE]]*BERNARD[[#This Row],[PRIX UNITAIRE]])</calculatedColumnFormula>
    </tableColumn>
    <tableColumn id="6" name="VERSEMENT" dataDxfId="446" totalsRowDxfId="445" dataCellStyle="Milliers"/>
    <tableColumn id="7" name="SOLDE" dataDxfId="444" totalsRowDxfId="443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31.xml><?xml version="1.0" encoding="utf-8"?>
<table xmlns="http://schemas.openxmlformats.org/spreadsheetml/2006/main" id="23" name="KOUAME" displayName="KOUAME" ref="A8:G72" totalsRowShown="0" headerRowDxfId="439" dataDxfId="438">
  <autoFilter ref="A8:G72"/>
  <tableColumns count="7">
    <tableColumn id="1" name="DATE" dataDxfId="437" totalsRowDxfId="436"/>
    <tableColumn id="2" name="DESIGNATION" dataDxfId="435" totalsRowDxfId="434" dataCellStyle="Milliers"/>
    <tableColumn id="3" name="QUANTITE" dataDxfId="433" totalsRowDxfId="432" dataCellStyle="Milliers"/>
    <tableColumn id="4" name="PRIX UNITAIRE" dataDxfId="431" totalsRowDxfId="430" dataCellStyle="Milliers"/>
    <tableColumn id="5" name="TOTAL MONTANT" dataDxfId="429" totalsRowDxfId="428" dataCellStyle="Milliers">
      <calculatedColumnFormula>+$I$2+(KOUAME[[#This Row],[QUANTITE]]*KOUAME[[#This Row],[PRIX UNITAIRE]])</calculatedColumnFormula>
    </tableColumn>
    <tableColumn id="6" name="VERSEMENT" dataDxfId="427" totalsRowDxfId="426" dataCellStyle="Milliers"/>
    <tableColumn id="7" name="SOLDE" dataDxfId="425" totalsRowDxfId="424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32.xml><?xml version="1.0" encoding="utf-8"?>
<table xmlns="http://schemas.openxmlformats.org/spreadsheetml/2006/main" id="25" name="ALIJONA" displayName="ALIJONA" ref="A8:G153" totalsRowShown="0" headerRowDxfId="420" dataDxfId="419">
  <autoFilter ref="A8:G153"/>
  <tableColumns count="7">
    <tableColumn id="1" name="DATE" dataDxfId="418" totalsRowDxfId="417"/>
    <tableColumn id="2" name="DESIGNATION" dataDxfId="416" totalsRowDxfId="415" dataCellStyle="Milliers"/>
    <tableColumn id="3" name="QUANTITE" dataDxfId="414" totalsRowDxfId="413" dataCellStyle="Milliers"/>
    <tableColumn id="4" name="PRIX UNITAIRE" dataDxfId="412" totalsRowDxfId="411" dataCellStyle="Milliers"/>
    <tableColumn id="5" name="TOTAL MONTANT" dataDxfId="410" totalsRowDxfId="409" dataCellStyle="Milliers">
      <calculatedColumnFormula>+$I$2+(ALIJONA[[#This Row],[QUANTITE]]*ALIJONA[[#This Row],[PRIX UNITAIRE]])</calculatedColumnFormula>
    </tableColumn>
    <tableColumn id="6" name="VERSEMENT" dataDxfId="408" dataCellStyle="Milliers"/>
    <tableColumn id="7" name="SOLDE" dataDxfId="407" totalsRowDxfId="406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33.xml><?xml version="1.0" encoding="utf-8"?>
<table xmlns="http://schemas.openxmlformats.org/spreadsheetml/2006/main" id="28" name="MEDIMADI" displayName="MEDIMADI" ref="A8:G122" totalsRowShown="0" headerRowDxfId="402" dataDxfId="401">
  <autoFilter ref="A8:G122"/>
  <tableColumns count="7">
    <tableColumn id="1" name="DATE" dataDxfId="400" totalsRowDxfId="399"/>
    <tableColumn id="2" name="DESIGNATION" dataDxfId="398" totalsRowDxfId="397" dataCellStyle="Milliers"/>
    <tableColumn id="3" name="QUANTITE" dataDxfId="396" totalsRowDxfId="395" dataCellStyle="Milliers"/>
    <tableColumn id="4" name="PRIX UNITAIRE" dataDxfId="394" totalsRowDxfId="393" dataCellStyle="Milliers"/>
    <tableColumn id="5" name="TOTAL MONTANT" dataDxfId="392" totalsRowDxfId="391" dataCellStyle="Milliers">
      <calculatedColumnFormula>+$I$2+(MEDIMADI[[#This Row],[QUANTITE]]*MEDIMADI[[#This Row],[PRIX UNITAIRE]])</calculatedColumnFormula>
    </tableColumn>
    <tableColumn id="6" name="VERSEMENT" dataDxfId="390" totalsRowDxfId="389" dataCellStyle="Milliers"/>
    <tableColumn id="7" name="SOLDE" dataDxfId="388" totalsRowDxfId="387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34.xml><?xml version="1.0" encoding="utf-8"?>
<table xmlns="http://schemas.openxmlformats.org/spreadsheetml/2006/main" id="26" name="ADNANPRIME" displayName="ADNANPRIME" ref="A8:G236" totalsRowCount="1" headerRowDxfId="381" dataDxfId="380">
  <autoFilter ref="A8:G235"/>
  <tableColumns count="7">
    <tableColumn id="1" name="DATE" dataDxfId="379" totalsRowDxfId="378"/>
    <tableColumn id="2" name="DESIGNATION" dataDxfId="377" totalsRowDxfId="376" dataCellStyle="Milliers"/>
    <tableColumn id="3" name="QUANTITE" dataDxfId="375" totalsRowDxfId="374" dataCellStyle="Milliers"/>
    <tableColumn id="4" name="PRIX UNITAIRE" dataDxfId="373" totalsRowDxfId="372" dataCellStyle="Milliers"/>
    <tableColumn id="5" name="TOTAL MONTANT" totalsRowFunction="sum" dataDxfId="371" totalsRowDxfId="370" dataCellStyle="Milliers">
      <calculatedColumnFormula>+$I$2+(ADNANPRIME[[#This Row],[QUANTITE]]*ADNANPRIME[[#This Row],[PRIX UNITAIRE]])</calculatedColumnFormula>
    </tableColumn>
    <tableColumn id="6" name="VERSEMENT" totalsRowFunction="sum" dataDxfId="369" totalsRowDxfId="368" dataCellStyle="Milliers"/>
    <tableColumn id="7" name="SOLDE" totalsRowFunction="sum" dataDxfId="367" totalsRowDxfId="366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35.xml><?xml version="1.0" encoding="utf-8"?>
<table xmlns="http://schemas.openxmlformats.org/spreadsheetml/2006/main" id="27" name="REDA" displayName="REDA" ref="A8:G364" totalsRowShown="0" headerRowDxfId="362" dataDxfId="361">
  <autoFilter ref="A8:G364"/>
  <tableColumns count="7">
    <tableColumn id="1" name="DATE" dataDxfId="360" totalsRowDxfId="359"/>
    <tableColumn id="2" name="DESIGNATION" dataDxfId="358" totalsRowDxfId="357" dataCellStyle="Milliers"/>
    <tableColumn id="3" name="QUANTITE" dataDxfId="356" totalsRowDxfId="355" dataCellStyle="Milliers"/>
    <tableColumn id="4" name="PRIX UNITAIRE" dataDxfId="354" totalsRowDxfId="353" dataCellStyle="Milliers"/>
    <tableColumn id="5" name="TOTAL MONTANT" dataDxfId="352" totalsRowDxfId="351" dataCellStyle="Milliers">
      <calculatedColumnFormula>+$H$2+(REDA[[#This Row],[QUANTITE]]*REDA[[#This Row],[PRIX UNITAIRE]])</calculatedColumnFormula>
    </tableColumn>
    <tableColumn id="6" name="VERSEMENT" dataDxfId="350" totalsRowDxfId="349" dataCellStyle="Milliers"/>
    <tableColumn id="7" name="SOLDE" dataDxfId="348" totalsRowDxfId="347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36.xml><?xml version="1.0" encoding="utf-8"?>
<table xmlns="http://schemas.openxmlformats.org/spreadsheetml/2006/main" id="29" name="AHGROUP" displayName="AHGROUP" ref="A8:G72" totalsRowShown="0" headerRowDxfId="343" dataDxfId="342">
  <autoFilter ref="A8:G72"/>
  <tableColumns count="7">
    <tableColumn id="1" name="DATE" dataDxfId="341" totalsRowDxfId="340"/>
    <tableColumn id="2" name="DESIGNATION" dataDxfId="339" totalsRowDxfId="338" dataCellStyle="Milliers"/>
    <tableColumn id="3" name="QUANTITE" dataDxfId="337" totalsRowDxfId="336" dataCellStyle="Milliers"/>
    <tableColumn id="4" name="PRIX UNITAIRE" dataDxfId="335" totalsRowDxfId="334" dataCellStyle="Milliers"/>
    <tableColumn id="5" name="TOTAL MONTANT" dataDxfId="333" totalsRowDxfId="332" dataCellStyle="Milliers">
      <calculatedColumnFormula>+$I$2+(AHGROUP[[#This Row],[QUANTITE]]*AHGROUP[[#This Row],[PRIX UNITAIRE]])</calculatedColumnFormula>
    </tableColumn>
    <tableColumn id="6" name="VERSEMENT" dataDxfId="331" totalsRowDxfId="330" dataCellStyle="Milliers"/>
    <tableColumn id="7" name="SOLDE" dataDxfId="329" totalsRowDxfId="328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37.xml><?xml version="1.0" encoding="utf-8"?>
<table xmlns="http://schemas.openxmlformats.org/spreadsheetml/2006/main" id="30" name="WAEL" displayName="WAEL" ref="A8:G257" totalsRowShown="0" headerRowDxfId="324" dataDxfId="323">
  <autoFilter ref="A8:G257"/>
  <tableColumns count="7">
    <tableColumn id="1" name="DATE" dataDxfId="322" totalsRowDxfId="321"/>
    <tableColumn id="2" name="DESIGNATION" dataDxfId="320" totalsRowDxfId="319" dataCellStyle="Milliers"/>
    <tableColumn id="3" name="QUANTITE" dataDxfId="318" totalsRowDxfId="317" dataCellStyle="Milliers"/>
    <tableColumn id="4" name="PRIX UNITAIRE" dataDxfId="316" totalsRowDxfId="315" dataCellStyle="Milliers"/>
    <tableColumn id="5" name="TOTAL MONTANT" dataDxfId="314" totalsRowDxfId="313" dataCellStyle="Milliers">
      <calculatedColumnFormula>+$I$2+(WAEL[[#This Row],[QUANTITE]]*WAEL[[#This Row],[PRIX UNITAIRE]])</calculatedColumnFormula>
    </tableColumn>
    <tableColumn id="6" name="VERSEMENT" dataDxfId="312" totalsRowDxfId="311" dataCellStyle="Milliers"/>
    <tableColumn id="7" name="SOLDE" dataDxfId="310" totalsRowDxfId="309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38.xml><?xml version="1.0" encoding="utf-8"?>
<table xmlns="http://schemas.openxmlformats.org/spreadsheetml/2006/main" id="33" name="CFAO" displayName="CFAO" ref="A8:G163" totalsRowShown="0" headerRowDxfId="305" dataDxfId="304">
  <autoFilter ref="A8:G163"/>
  <tableColumns count="7">
    <tableColumn id="1" name="DATE" dataDxfId="303" totalsRowDxfId="302"/>
    <tableColumn id="2" name="DESIGNATION" dataDxfId="301" totalsRowDxfId="300" dataCellStyle="Milliers"/>
    <tableColumn id="3" name="QUANTITE" dataDxfId="299" totalsRowDxfId="298" dataCellStyle="Milliers"/>
    <tableColumn id="4" name="PRIX UNITAIRE" dataDxfId="297" totalsRowDxfId="296" dataCellStyle="Milliers"/>
    <tableColumn id="5" name="TOTAL MONTANT" dataDxfId="295" totalsRowDxfId="294" dataCellStyle="Milliers">
      <calculatedColumnFormula>+$I$2+(CFAO[[#This Row],[QUANTITE]]*CFAO[[#This Row],[PRIX UNITAIRE]])</calculatedColumnFormula>
    </tableColumn>
    <tableColumn id="6" name="VERSEMENT" dataDxfId="293" totalsRowDxfId="292" dataCellStyle="Milliers"/>
    <tableColumn id="7" name="SOLDE" dataDxfId="291" totalsRowDxfId="290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39.xml><?xml version="1.0" encoding="utf-8"?>
<table xmlns="http://schemas.openxmlformats.org/spreadsheetml/2006/main" id="31" name="CABF" displayName="CABF" ref="A8:G477" totalsRowShown="0" headerRowDxfId="286" dataDxfId="285">
  <autoFilter ref="A8:G477"/>
  <tableColumns count="7">
    <tableColumn id="1" name="DATE" dataDxfId="284" totalsRowDxfId="283"/>
    <tableColumn id="2" name="DESIGNATION" dataDxfId="282" totalsRowDxfId="281" dataCellStyle="Milliers"/>
    <tableColumn id="3" name="QUANTITE" dataDxfId="280" totalsRowDxfId="279" dataCellStyle="Milliers"/>
    <tableColumn id="4" name="PRIX UNITAIRE" dataDxfId="278" totalsRowDxfId="277" dataCellStyle="Milliers"/>
    <tableColumn id="5" name="TOTAL MONTANT" dataDxfId="276" totalsRowDxfId="275" dataCellStyle="Milliers">
      <calculatedColumnFormula>+$I$2+(CABF[[#This Row],[QUANTITE]]*CABF[[#This Row],[PRIX UNITAIRE]])</calculatedColumnFormula>
    </tableColumn>
    <tableColumn id="6" name="VERSEMENT" dataDxfId="274" totalsRowDxfId="273" dataCellStyle="Milliers"/>
    <tableColumn id="7" name="SOLDE" dataDxfId="272" totalsRowDxfId="271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40.xml><?xml version="1.0" encoding="utf-8"?>
<table xmlns="http://schemas.openxmlformats.org/spreadsheetml/2006/main" id="32" name="CLIENT" displayName="CLIENT" ref="A8:H1779" totalsRowShown="0" headerRowDxfId="265" dataDxfId="264">
  <autoFilter ref="A8:H1779"/>
  <sortState ref="A9:H151">
    <sortCondition ref="A8:A151"/>
  </sortState>
  <tableColumns count="8">
    <tableColumn id="1" name="DATE" dataDxfId="263" totalsRowDxfId="262"/>
    <tableColumn id="8" name="IMMATRICULATION" dataDxfId="261" totalsRowDxfId="260"/>
    <tableColumn id="2" name="DESIGNATION" dataDxfId="259" totalsRowDxfId="258" dataCellStyle="Milliers"/>
    <tableColumn id="3" name="QUANTITE" dataDxfId="257" totalsRowDxfId="256" dataCellStyle="Milliers"/>
    <tableColumn id="4" name="PRIX UNITAIRE" dataDxfId="255" totalsRowDxfId="254" dataCellStyle="Milliers"/>
    <tableColumn id="5" name="TOTAL MONTANT" dataDxfId="253" totalsRowDxfId="252" dataCellStyle="Milliers">
      <calculatedColumnFormula>+$I$4+(CLIENT[[#This Row],[QUANTITE]]*CLIENT[[#This Row],[PRIX UNITAIRE]])</calculatedColumnFormula>
    </tableColumn>
    <tableColumn id="6" name="VERSEMENT" dataDxfId="251" totalsRowDxfId="250" dataCellStyle="Milliers"/>
    <tableColumn id="7" name="SOLDE" dataDxfId="249" totalsRowDxfId="248" dataCellStyle="Milliers">
      <calculatedColumnFormula>+SUM($F$9:F9)-SUM($G$9:G9)</calculatedColumnFormula>
    </tableColumn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id="39" name="BERNARD40" displayName="BERNARD40" ref="A8:G82" totalsRowShown="0" headerRowDxfId="244" dataDxfId="243">
  <autoFilter ref="A8:G82"/>
  <tableColumns count="7">
    <tableColumn id="1" name="DATE" dataDxfId="242" totalsRowDxfId="241"/>
    <tableColumn id="2" name="DESIGNATION" dataDxfId="240" totalsRowDxfId="239" dataCellStyle="Milliers"/>
    <tableColumn id="3" name="QUANTITE" dataDxfId="238" totalsRowDxfId="237" dataCellStyle="Milliers"/>
    <tableColumn id="4" name="PRIX UNITAIRE" dataDxfId="236" totalsRowDxfId="235" dataCellStyle="Milliers"/>
    <tableColumn id="5" name="TOTAL MONTANT" dataDxfId="234" totalsRowDxfId="233" dataCellStyle="Milliers">
      <calculatedColumnFormula>+$I$2+(BERNARD40[[#This Row],[QUANTITE]]*BERNARD40[[#This Row],[PRIX UNITAIRE]])</calculatedColumnFormula>
    </tableColumn>
    <tableColumn id="6" name="VERSEMENT" dataDxfId="232" totalsRowDxfId="231" dataCellStyle="Milliers"/>
    <tableColumn id="7" name="SOLDE" dataDxfId="230" totalsRowDxfId="229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42.xml><?xml version="1.0" encoding="utf-8"?>
<table xmlns="http://schemas.openxmlformats.org/spreadsheetml/2006/main" id="40" name="BERNARD4041" displayName="BERNARD4041" ref="A8:G82" totalsRowShown="0" headerRowDxfId="225" dataDxfId="224">
  <autoFilter ref="A8:G82"/>
  <tableColumns count="7">
    <tableColumn id="1" name="DATE" dataDxfId="223" totalsRowDxfId="222"/>
    <tableColumn id="2" name="DESIGNATION" dataDxfId="221" totalsRowDxfId="220" dataCellStyle="Milliers"/>
    <tableColumn id="3" name="QUANTITE" dataDxfId="219" totalsRowDxfId="218" dataCellStyle="Milliers"/>
    <tableColumn id="4" name="PRIX UNITAIRE" dataDxfId="217" totalsRowDxfId="216" dataCellStyle="Milliers"/>
    <tableColumn id="5" name="TOTAL MONTANT" dataDxfId="215" totalsRowDxfId="214" dataCellStyle="Milliers">
      <calculatedColumnFormula>+$I$2+(BERNARD4041[[#This Row],[QUANTITE]]*BERNARD4041[[#This Row],[PRIX UNITAIRE]])</calculatedColumnFormula>
    </tableColumn>
    <tableColumn id="6" name="VERSEMENT" dataDxfId="213" totalsRowDxfId="212" dataCellStyle="Milliers"/>
    <tableColumn id="7" name="SOLDE" dataDxfId="211" totalsRowDxfId="210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43.xml><?xml version="1.0" encoding="utf-8"?>
<table xmlns="http://schemas.openxmlformats.org/spreadsheetml/2006/main" id="41" name="BERNARD404142" displayName="BERNARD404142" ref="A8:G82" totalsRowShown="0" headerRowDxfId="206" dataDxfId="205">
  <autoFilter ref="A8:G82"/>
  <tableColumns count="7">
    <tableColumn id="1" name="DATE" dataDxfId="204" totalsRowDxfId="203"/>
    <tableColumn id="2" name="DESIGNATION" dataDxfId="202" totalsRowDxfId="201" dataCellStyle="Milliers"/>
    <tableColumn id="3" name="QUANTITE" dataDxfId="200" totalsRowDxfId="199" dataCellStyle="Milliers"/>
    <tableColumn id="4" name="PRIX UNITAIRE" dataDxfId="198" totalsRowDxfId="197" dataCellStyle="Milliers"/>
    <tableColumn id="5" name="TOTAL MONTANT" dataDxfId="196" totalsRowDxfId="195" dataCellStyle="Milliers">
      <calculatedColumnFormula>+$I$2+(BERNARD404142[[#This Row],[QUANTITE]]*BERNARD404142[[#This Row],[PRIX UNITAIRE]])</calculatedColumnFormula>
    </tableColumn>
    <tableColumn id="6" name="VERSEMENT" dataDxfId="194" totalsRowDxfId="193" dataCellStyle="Milliers"/>
    <tableColumn id="7" name="SOLDE" dataDxfId="192" totalsRowDxfId="191" dataCellStyle="Milliers">
      <calculatedColumnFormula>+SUM(E$9:$E9)-SUM(F$9:$F9)</calculatedColumnFormula>
    </tableColumn>
  </tableColumns>
  <tableStyleInfo name="TableStyleMedium15" showFirstColumn="0" showLastColumn="0" showRowStripes="1" showColumnStripes="0"/>
</table>
</file>

<file path=xl/tables/table44.xml><?xml version="1.0" encoding="utf-8"?>
<table xmlns="http://schemas.openxmlformats.org/spreadsheetml/2006/main" id="42" name="BERNARD40414243" displayName="BERNARD40414243" ref="A8:G82" totalsRowShown="0" headerRowDxfId="187" dataDxfId="186">
  <autoFilter ref="A8:G82"/>
  <tableColumns count="7">
    <tableColumn id="1" name="DATE" dataDxfId="185" totalsRowDxfId="184"/>
    <tableColumn id="2" name="DESIGNATION" dataDxfId="183" totalsRowDxfId="182" dataCellStyle="Milliers"/>
    <tableColumn id="3" name="QUANTITE" dataDxfId="181" totalsRowDxfId="180" dataCellStyle="Milliers"/>
    <tableColumn id="4" name="PRIX UNITAIRE" dataDxfId="179" totalsRowDxfId="178" dataCellStyle="Milliers"/>
    <tableColumn id="5" name="TOTAL MONTANT" dataDxfId="177" totalsRowDxfId="176" dataCellStyle="Milliers">
      <calculatedColumnFormula>+$I$2+(BERNARD40414243[[#This Row],[QUANTITE]]*BERNARD40414243[[#This Row],[PRIX UNITAIRE]])</calculatedColumnFormula>
    </tableColumn>
    <tableColumn id="6" name="VERSEMENT" dataDxfId="175" totalsRowDxfId="174" dataCellStyle="Milliers"/>
    <tableColumn id="7" name="SOLDE" dataDxfId="173" totalsRowDxfId="172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ables/table45.xml><?xml version="1.0" encoding="utf-8"?>
<table xmlns="http://schemas.openxmlformats.org/spreadsheetml/2006/main" id="44" name="BERNARD4041424345" displayName="BERNARD4041424345" ref="A8:G82" totalsRowShown="0" headerRowDxfId="168" dataDxfId="167">
  <autoFilter ref="A8:G82"/>
  <tableColumns count="7">
    <tableColumn id="1" name="DATE" dataDxfId="166" totalsRowDxfId="165"/>
    <tableColumn id="2" name="DESIGNATION" dataDxfId="164" totalsRowDxfId="163" dataCellStyle="Milliers"/>
    <tableColumn id="3" name="QUANTITE" dataDxfId="162" totalsRowDxfId="161" dataCellStyle="Milliers"/>
    <tableColumn id="4" name="PRIX UNITAIRE" dataDxfId="160" totalsRowDxfId="159" dataCellStyle="Milliers"/>
    <tableColumn id="5" name="TOTAL MONTANT" dataDxfId="158" totalsRowDxfId="157" dataCellStyle="Milliers">
      <calculatedColumnFormula>+$H$2+(BERNARD4041424345[[#This Row],[QUANTITE]]*BERNARD4041424345[[#This Row],[PRIX UNITAIRE]])</calculatedColumnFormula>
    </tableColumn>
    <tableColumn id="6" name="VERSEMENT" dataDxfId="156" totalsRowDxfId="155" dataCellStyle="Milliers"/>
    <tableColumn id="7" name="SOLDE" dataDxfId="154" totalsRowDxfId="153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ables/table46.xml><?xml version="1.0" encoding="utf-8"?>
<table xmlns="http://schemas.openxmlformats.org/spreadsheetml/2006/main" id="45" name="BERNARD404142434546" displayName="BERNARD404142434546" ref="A8:G83" totalsRowCount="1" headerRowDxfId="149" dataDxfId="148">
  <autoFilter ref="A8:G82"/>
  <tableColumns count="7">
    <tableColumn id="1" name="DATE" dataDxfId="147" totalsRowDxfId="146"/>
    <tableColumn id="2" name="DESIGNATION" dataDxfId="145" totalsRowDxfId="144" dataCellStyle="Milliers"/>
    <tableColumn id="3" name="QUANTITE" dataDxfId="143" totalsRowDxfId="142" dataCellStyle="Milliers"/>
    <tableColumn id="4" name="PRIX UNITAIRE" dataDxfId="141" totalsRowDxfId="140" dataCellStyle="Milliers"/>
    <tableColumn id="5" name="TOTAL MONTANT" totalsRowFunction="sum" dataDxfId="139" totalsRowDxfId="138" dataCellStyle="Milliers">
      <calculatedColumnFormula>+$I$2+(BERNARD404142434546[[#This Row],[QUANTITE]]*BERNARD404142434546[[#This Row],[PRIX UNITAIRE]])</calculatedColumnFormula>
    </tableColumn>
    <tableColumn id="6" name="VERSEMENT" totalsRowFunction="sum" dataDxfId="137" totalsRowDxfId="136" dataCellStyle="Milliers"/>
    <tableColumn id="7" name="SOLDE" totalsRowFunction="sum" dataDxfId="135" totalsRowDxfId="134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ables/table47.xml><?xml version="1.0" encoding="utf-8"?>
<table xmlns="http://schemas.openxmlformats.org/spreadsheetml/2006/main" id="43" name="BERNARD40414244" displayName="BERNARD40414244" ref="A8:G82" totalsRowShown="0" headerRowDxfId="130" dataDxfId="129">
  <autoFilter ref="A8:G82"/>
  <tableColumns count="7">
    <tableColumn id="1" name="DATE" dataDxfId="128" totalsRowDxfId="127"/>
    <tableColumn id="2" name="DESIGNATION" dataDxfId="126" totalsRowDxfId="125" dataCellStyle="Milliers"/>
    <tableColumn id="3" name="QUANTITE" dataDxfId="124" totalsRowDxfId="123" dataCellStyle="Milliers"/>
    <tableColumn id="4" name="PRIX UNITAIRE" dataDxfId="122" totalsRowDxfId="121" dataCellStyle="Milliers"/>
    <tableColumn id="5" name="TOTAL MONTANT" dataDxfId="120" totalsRowDxfId="119" dataCellStyle="Milliers">
      <calculatedColumnFormula>+$H$2+(BERNARD40414244[[#This Row],[QUANTITE]]*BERNARD40414244[[#This Row],[PRIX UNITAIRE]])</calculatedColumnFormula>
    </tableColumn>
    <tableColumn id="6" name="VERSEMENT" dataDxfId="118" totalsRowDxfId="117" dataCellStyle="Milliers"/>
    <tableColumn id="7" name="SOLDE" dataDxfId="116" totalsRowDxfId="115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ables/table48.xml><?xml version="1.0" encoding="utf-8"?>
<table xmlns="http://schemas.openxmlformats.org/spreadsheetml/2006/main" id="48" name="BERNARD4041424449" displayName="BERNARD4041424449" ref="A8:G82" totalsRowShown="0" headerRowDxfId="111" dataDxfId="110">
  <autoFilter ref="A8:G82"/>
  <tableColumns count="7">
    <tableColumn id="1" name="DATE" dataDxfId="109" totalsRowDxfId="108"/>
    <tableColumn id="2" name="DESIGNATION" dataDxfId="107" totalsRowDxfId="106" dataCellStyle="Milliers"/>
    <tableColumn id="3" name="QUANTITE" dataDxfId="105" totalsRowDxfId="104" dataCellStyle="Milliers"/>
    <tableColumn id="4" name="PRIX UNITAIRE" dataDxfId="103" totalsRowDxfId="102" dataCellStyle="Milliers"/>
    <tableColumn id="5" name="TOTAL MONTANT" dataDxfId="101" totalsRowDxfId="100" dataCellStyle="Milliers">
      <calculatedColumnFormula>+$I$2+(BERNARD4041424449[[#This Row],[QUANTITE]]*BERNARD4041424449[[#This Row],[PRIX UNITAIRE]])</calculatedColumnFormula>
    </tableColumn>
    <tableColumn id="6" name="VERSEMENT" dataDxfId="99" totalsRowDxfId="98" dataCellStyle="Milliers"/>
    <tableColumn id="7" name="SOLDE" dataDxfId="97" totalsRowDxfId="96" dataCellStyle="Milliers">
      <calculatedColumnFormula>SUM(E$9:$E9)-SUM(F$9:$F9)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8.x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"/>
  <sheetViews>
    <sheetView showGridLines="0" tabSelected="1" zoomScaleNormal="100" workbookViewId="0"/>
  </sheetViews>
  <sheetFormatPr baseColWidth="10" defaultRowHeight="14.4" x14ac:dyDescent="0.3"/>
  <sheetData>
    <row r="1" spans="1:1" x14ac:dyDescent="0.3">
      <c r="A1" t="s">
        <v>3560</v>
      </c>
    </row>
  </sheetData>
  <pageMargins left="0.7" right="0.7" top="0.75" bottom="0.75" header="0.3" footer="0.3"/>
  <pageSetup paperSize="9" scale="6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/>
  <dimension ref="A1:H159"/>
  <sheetViews>
    <sheetView showGridLines="0" zoomScale="60" zoomScaleNormal="60" workbookViewId="0">
      <pane ySplit="8" topLeftCell="A9" activePane="bottomLeft" state="frozen"/>
      <selection sqref="A1:G4"/>
      <selection pane="bottomLeft"/>
    </sheetView>
  </sheetViews>
  <sheetFormatPr baseColWidth="10" defaultColWidth="11.5546875" defaultRowHeight="14.4" x14ac:dyDescent="0.3"/>
  <cols>
    <col min="1" max="1" width="22.77734375" style="1" bestFit="1" customWidth="1"/>
    <col min="2" max="2" width="51.21875" style="1" customWidth="1"/>
    <col min="3" max="3" width="19.77734375" style="1" bestFit="1" customWidth="1"/>
    <col min="4" max="4" width="45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 customWidth="1"/>
    <col min="9" max="16384" width="11.5546875" style="1"/>
  </cols>
  <sheetData>
    <row r="1" spans="1:8" x14ac:dyDescent="0.3">
      <c r="A1" s="32"/>
      <c r="B1" s="32"/>
      <c r="C1" s="32"/>
    </row>
    <row r="2" spans="1:8" ht="36" customHeight="1" thickBot="1" x14ac:dyDescent="0.65">
      <c r="A2" s="32"/>
      <c r="B2" s="32"/>
      <c r="C2" s="32"/>
      <c r="D2" s="39"/>
      <c r="E2" s="40"/>
      <c r="F2" s="40"/>
      <c r="G2" s="40"/>
      <c r="H2" s="1">
        <v>0</v>
      </c>
    </row>
    <row r="3" spans="1:8" ht="31.8" thickBot="1" x14ac:dyDescent="0.35">
      <c r="A3" s="32"/>
      <c r="B3" s="32"/>
      <c r="C3" s="32"/>
      <c r="D3" s="34" t="s">
        <v>1223</v>
      </c>
      <c r="E3" s="35" t="s">
        <v>1221</v>
      </c>
      <c r="F3" s="36" t="s">
        <v>8</v>
      </c>
      <c r="G3" s="37" t="s">
        <v>6</v>
      </c>
    </row>
    <row r="4" spans="1:8" ht="31.2" x14ac:dyDescent="0.6">
      <c r="A4" s="32"/>
      <c r="B4" s="32"/>
      <c r="C4" s="32"/>
      <c r="D4" s="38" t="s">
        <v>1224</v>
      </c>
      <c r="E4" s="41">
        <f>+SUM(SENATBL47[TOTAL MONTANT])</f>
        <v>580000</v>
      </c>
      <c r="F4" s="41">
        <f>+SUM(SENATBL47[VERSEMENT])</f>
        <v>0</v>
      </c>
      <c r="G4" s="41">
        <f>+E4-F4</f>
        <v>580000</v>
      </c>
    </row>
    <row r="5" spans="1:8" ht="29.4" thickBot="1" x14ac:dyDescent="0.35">
      <c r="B5" s="3" t="s">
        <v>7</v>
      </c>
    </row>
    <row r="6" spans="1:8" ht="37.200000000000003" thickBot="1" x14ac:dyDescent="0.75">
      <c r="B6" s="168" t="s">
        <v>1273</v>
      </c>
      <c r="C6" s="169"/>
      <c r="E6" s="51" t="b">
        <v>1</v>
      </c>
    </row>
    <row r="8" spans="1:8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8" ht="28.8" x14ac:dyDescent="0.55000000000000004">
      <c r="A9" s="12">
        <v>46049</v>
      </c>
      <c r="B9" s="13" t="s">
        <v>3392</v>
      </c>
      <c r="C9" s="10">
        <v>2</v>
      </c>
      <c r="D9" s="10">
        <v>75000</v>
      </c>
      <c r="E9" s="7">
        <f>+$H$2+(SENATBL47[[#This Row],[QUANTITE]]*SENATBL47[[#This Row],[PRIX UNITAIRE]])</f>
        <v>150000</v>
      </c>
      <c r="F9" s="22"/>
      <c r="G9" s="10">
        <f>SUM(E$9:$E9)-SUM(F$9:$F9)</f>
        <v>150000</v>
      </c>
    </row>
    <row r="10" spans="1:8" ht="28.8" x14ac:dyDescent="0.55000000000000004">
      <c r="A10" s="24"/>
      <c r="B10" s="81"/>
      <c r="C10" s="26"/>
      <c r="D10" s="26"/>
      <c r="E10" s="27">
        <f>+$H$2+(SENATBL47[[#This Row],[QUANTITE]]*SENATBL47[[#This Row],[PRIX UNITAIRE]])</f>
        <v>0</v>
      </c>
      <c r="F10" s="31"/>
      <c r="G10" s="29">
        <f>SUM(E$9:$E10)-SUM(F$9:$F10)</f>
        <v>150000</v>
      </c>
    </row>
    <row r="11" spans="1:8" ht="28.8" x14ac:dyDescent="0.55000000000000004">
      <c r="A11" s="24">
        <v>46049</v>
      </c>
      <c r="B11" s="13" t="s">
        <v>230</v>
      </c>
      <c r="C11" s="26">
        <v>2</v>
      </c>
      <c r="D11" s="26">
        <v>85000</v>
      </c>
      <c r="E11" s="27">
        <f>+$H$2+(SENATBL47[[#This Row],[QUANTITE]]*SENATBL47[[#This Row],[PRIX UNITAIRE]])</f>
        <v>170000</v>
      </c>
      <c r="F11" s="31"/>
      <c r="G11" s="29">
        <f>SUM(E$9:$E11)-SUM(F$9:$F11)</f>
        <v>320000</v>
      </c>
    </row>
    <row r="12" spans="1:8" ht="28.8" x14ac:dyDescent="0.55000000000000004">
      <c r="A12" s="24">
        <v>46063</v>
      </c>
      <c r="B12" s="13" t="s">
        <v>249</v>
      </c>
      <c r="C12" s="26">
        <v>2</v>
      </c>
      <c r="D12" s="26">
        <v>130000</v>
      </c>
      <c r="E12" s="27">
        <f>+$H$2+(SENATBL47[[#This Row],[QUANTITE]]*SENATBL47[[#This Row],[PRIX UNITAIRE]])</f>
        <v>260000</v>
      </c>
      <c r="F12" s="31"/>
      <c r="G12" s="29">
        <f>SUM(E$9:$E12)-SUM(F$9:$F12)</f>
        <v>580000</v>
      </c>
    </row>
    <row r="13" spans="1:8" ht="28.8" x14ac:dyDescent="0.55000000000000004">
      <c r="A13" s="24"/>
      <c r="B13" s="25"/>
      <c r="C13" s="26"/>
      <c r="D13" s="26"/>
      <c r="E13" s="27">
        <f>+$H$2+(SENATBL47[[#This Row],[QUANTITE]]*SENATBL47[[#This Row],[PRIX UNITAIRE]])</f>
        <v>0</v>
      </c>
      <c r="F13" s="31"/>
      <c r="G13" s="29">
        <f>SUM(E$9:$E13)-SUM(F$9:$F13)</f>
        <v>580000</v>
      </c>
    </row>
    <row r="14" spans="1:8" ht="28.8" x14ac:dyDescent="0.55000000000000004">
      <c r="A14" s="24"/>
      <c r="B14" s="25"/>
      <c r="C14" s="26"/>
      <c r="D14" s="26"/>
      <c r="E14" s="27">
        <f>+$H$2+(SENATBL47[[#This Row],[QUANTITE]]*SENATBL47[[#This Row],[PRIX UNITAIRE]])</f>
        <v>0</v>
      </c>
      <c r="F14" s="31"/>
      <c r="G14" s="29">
        <f>SUM(E$9:$E14)-SUM(F$9:$F14)</f>
        <v>580000</v>
      </c>
    </row>
    <row r="15" spans="1:8" ht="28.8" x14ac:dyDescent="0.55000000000000004">
      <c r="A15" s="24"/>
      <c r="B15" s="25"/>
      <c r="C15" s="26"/>
      <c r="D15" s="26"/>
      <c r="E15" s="27">
        <f>+$H$2+(SENATBL47[[#This Row],[QUANTITE]]*SENATBL47[[#This Row],[PRIX UNITAIRE]])</f>
        <v>0</v>
      </c>
      <c r="F15" s="31"/>
      <c r="G15" s="29">
        <f>SUM(E$9:$E15)-SUM(F$9:$F15)</f>
        <v>580000</v>
      </c>
    </row>
    <row r="16" spans="1:8" ht="28.8" x14ac:dyDescent="0.55000000000000004">
      <c r="A16" s="24"/>
      <c r="B16" s="25"/>
      <c r="C16" s="26"/>
      <c r="D16" s="26"/>
      <c r="E16" s="27">
        <f>+$H$2+(SENATBL47[[#This Row],[QUANTITE]]*SENATBL47[[#This Row],[PRIX UNITAIRE]])</f>
        <v>0</v>
      </c>
      <c r="F16" s="31"/>
      <c r="G16" s="29">
        <f>SUM(E$9:$E16)-SUM(F$9:$F16)</f>
        <v>580000</v>
      </c>
    </row>
    <row r="17" spans="1:7" ht="28.8" x14ac:dyDescent="0.55000000000000004">
      <c r="A17" s="24"/>
      <c r="B17" s="25"/>
      <c r="C17" s="26"/>
      <c r="D17" s="26"/>
      <c r="E17" s="27">
        <f>+$H$2+(SENATBL47[[#This Row],[QUANTITE]]*SENATBL47[[#This Row],[PRIX UNITAIRE]])</f>
        <v>0</v>
      </c>
      <c r="F17" s="31"/>
      <c r="G17" s="29">
        <f>SUM(E$9:$E17)-SUM(F$9:$F17)</f>
        <v>580000</v>
      </c>
    </row>
    <row r="18" spans="1:7" ht="28.8" x14ac:dyDescent="0.55000000000000004">
      <c r="A18" s="24"/>
      <c r="B18" s="25"/>
      <c r="C18" s="26"/>
      <c r="D18" s="26"/>
      <c r="E18" s="27">
        <f>+$H$2+(SENATBL47[[#This Row],[QUANTITE]]*SENATBL47[[#This Row],[PRIX UNITAIRE]])</f>
        <v>0</v>
      </c>
      <c r="F18" s="31"/>
      <c r="G18" s="29">
        <f>SUM(E$9:$E18)-SUM(F$9:$F18)</f>
        <v>580000</v>
      </c>
    </row>
    <row r="19" spans="1:7" ht="28.8" x14ac:dyDescent="0.55000000000000004">
      <c r="A19" s="24"/>
      <c r="B19" s="25"/>
      <c r="C19" s="26"/>
      <c r="D19" s="26"/>
      <c r="E19" s="27">
        <f>+$H$2+(SENATBL47[[#This Row],[QUANTITE]]*SENATBL47[[#This Row],[PRIX UNITAIRE]])</f>
        <v>0</v>
      </c>
      <c r="F19" s="31"/>
      <c r="G19" s="29">
        <f>SUM(E$9:$E19)-SUM(F$9:$F19)</f>
        <v>580000</v>
      </c>
    </row>
    <row r="20" spans="1:7" ht="28.8" x14ac:dyDescent="0.55000000000000004">
      <c r="A20" s="24"/>
      <c r="B20" s="25"/>
      <c r="C20" s="26"/>
      <c r="D20" s="26"/>
      <c r="E20" s="27">
        <f>+$H$2+(SENATBL47[[#This Row],[QUANTITE]]*SENATBL47[[#This Row],[PRIX UNITAIRE]])</f>
        <v>0</v>
      </c>
      <c r="F20" s="31"/>
      <c r="G20" s="29">
        <f>SUM(E$9:$E20)-SUM(F$9:$F20)</f>
        <v>580000</v>
      </c>
    </row>
    <row r="21" spans="1:7" ht="28.8" x14ac:dyDescent="0.55000000000000004">
      <c r="A21" s="24"/>
      <c r="B21" s="25"/>
      <c r="C21" s="26"/>
      <c r="D21" s="26"/>
      <c r="E21" s="27">
        <f>+$H$2+(SENATBL47[[#This Row],[QUANTITE]]*SENATBL47[[#This Row],[PRIX UNITAIRE]])</f>
        <v>0</v>
      </c>
      <c r="F21" s="31"/>
      <c r="G21" s="29">
        <f>SUM(E$9:$E21)-SUM(F$9:$F21)</f>
        <v>580000</v>
      </c>
    </row>
    <row r="22" spans="1:7" ht="28.8" x14ac:dyDescent="0.55000000000000004">
      <c r="A22" s="24"/>
      <c r="B22" s="25"/>
      <c r="C22" s="26"/>
      <c r="D22" s="26"/>
      <c r="E22" s="27">
        <f>+$H$2+(SENATBL47[[#This Row],[QUANTITE]]*SENATBL47[[#This Row],[PRIX UNITAIRE]])</f>
        <v>0</v>
      </c>
      <c r="F22" s="31"/>
      <c r="G22" s="29">
        <f>SUM(E$9:$E22)-SUM(F$9:$F22)</f>
        <v>580000</v>
      </c>
    </row>
    <row r="23" spans="1:7" ht="28.8" x14ac:dyDescent="0.55000000000000004">
      <c r="A23" s="24"/>
      <c r="B23" s="25"/>
      <c r="C23" s="26"/>
      <c r="D23" s="26"/>
      <c r="E23" s="27">
        <f>+$H$2+(SENATBL47[[#This Row],[QUANTITE]]*SENATBL47[[#This Row],[PRIX UNITAIRE]])</f>
        <v>0</v>
      </c>
      <c r="F23" s="31"/>
      <c r="G23" s="29">
        <f>SUM(E$9:$E23)-SUM(F$9:$F23)</f>
        <v>580000</v>
      </c>
    </row>
    <row r="24" spans="1:7" ht="28.8" x14ac:dyDescent="0.55000000000000004">
      <c r="A24" s="24"/>
      <c r="B24" s="25"/>
      <c r="C24" s="26"/>
      <c r="D24" s="26"/>
      <c r="E24" s="27">
        <f>+$H$2+(SENATBL47[[#This Row],[QUANTITE]]*SENATBL47[[#This Row],[PRIX UNITAIRE]])</f>
        <v>0</v>
      </c>
      <c r="F24" s="31"/>
      <c r="G24" s="29">
        <f>SUM(E$9:$E24)-SUM(F$9:$F24)</f>
        <v>580000</v>
      </c>
    </row>
    <row r="25" spans="1:7" ht="28.8" x14ac:dyDescent="0.55000000000000004">
      <c r="A25" s="24"/>
      <c r="B25" s="25"/>
      <c r="C25" s="26"/>
      <c r="D25" s="26"/>
      <c r="E25" s="27">
        <f>+$H$2+(SENATBL47[[#This Row],[QUANTITE]]*SENATBL47[[#This Row],[PRIX UNITAIRE]])</f>
        <v>0</v>
      </c>
      <c r="F25" s="31"/>
      <c r="G25" s="29">
        <f>SUM(E$9:$E25)-SUM(F$9:$F25)</f>
        <v>580000</v>
      </c>
    </row>
    <row r="26" spans="1:7" ht="28.8" x14ac:dyDescent="0.55000000000000004">
      <c r="A26" s="24"/>
      <c r="B26" s="25"/>
      <c r="C26" s="26"/>
      <c r="D26" s="26"/>
      <c r="E26" s="27">
        <f>+$H$2+(SENATBL47[[#This Row],[QUANTITE]]*SENATBL47[[#This Row],[PRIX UNITAIRE]])</f>
        <v>0</v>
      </c>
      <c r="F26" s="31"/>
      <c r="G26" s="29">
        <f>SUM(E$9:$E26)-SUM(F$9:$F26)</f>
        <v>580000</v>
      </c>
    </row>
    <row r="27" spans="1:7" ht="28.8" x14ac:dyDescent="0.55000000000000004">
      <c r="A27" s="24"/>
      <c r="B27" s="25"/>
      <c r="C27" s="26"/>
      <c r="D27" s="26"/>
      <c r="E27" s="27">
        <f>+$H$2+(SENATBL47[[#This Row],[QUANTITE]]*SENATBL47[[#This Row],[PRIX UNITAIRE]])</f>
        <v>0</v>
      </c>
      <c r="F27" s="31"/>
      <c r="G27" s="29">
        <f>SUM(E$9:$E27)-SUM(F$9:$F27)</f>
        <v>580000</v>
      </c>
    </row>
    <row r="28" spans="1:7" ht="28.8" x14ac:dyDescent="0.55000000000000004">
      <c r="A28" s="24"/>
      <c r="B28" s="25"/>
      <c r="C28" s="26"/>
      <c r="D28" s="26"/>
      <c r="E28" s="27">
        <f>+$H$2+(SENATBL47[[#This Row],[QUANTITE]]*SENATBL47[[#This Row],[PRIX UNITAIRE]])</f>
        <v>0</v>
      </c>
      <c r="F28" s="31"/>
      <c r="G28" s="29">
        <f>SUM(E$9:$E28)-SUM(F$9:$F28)</f>
        <v>580000</v>
      </c>
    </row>
    <row r="29" spans="1:7" ht="28.8" x14ac:dyDescent="0.55000000000000004">
      <c r="A29" s="24"/>
      <c r="B29" s="25"/>
      <c r="C29" s="26"/>
      <c r="D29" s="26"/>
      <c r="E29" s="27">
        <f>+$H$2+(SENATBL47[[#This Row],[QUANTITE]]*SENATBL47[[#This Row],[PRIX UNITAIRE]])</f>
        <v>0</v>
      </c>
      <c r="F29" s="31"/>
      <c r="G29" s="29">
        <f>SUM(E$9:$E29)-SUM(F$9:$F29)</f>
        <v>580000</v>
      </c>
    </row>
    <row r="30" spans="1:7" ht="28.8" x14ac:dyDescent="0.55000000000000004">
      <c r="A30" s="24"/>
      <c r="B30" s="25"/>
      <c r="C30" s="26"/>
      <c r="D30" s="26"/>
      <c r="E30" s="27">
        <f>+$H$2+(SENATBL47[[#This Row],[QUANTITE]]*SENATBL47[[#This Row],[PRIX UNITAIRE]])</f>
        <v>0</v>
      </c>
      <c r="F30" s="31"/>
      <c r="G30" s="29">
        <f>SUM(E$9:$E30)-SUM(F$9:$F30)</f>
        <v>580000</v>
      </c>
    </row>
    <row r="31" spans="1:7" ht="28.8" x14ac:dyDescent="0.55000000000000004">
      <c r="A31" s="24"/>
      <c r="B31" s="25"/>
      <c r="C31" s="26"/>
      <c r="D31" s="26"/>
      <c r="E31" s="27">
        <f>+$H$2+(SENATBL47[[#This Row],[QUANTITE]]*SENATBL47[[#This Row],[PRIX UNITAIRE]])</f>
        <v>0</v>
      </c>
      <c r="F31" s="31"/>
      <c r="G31" s="29">
        <f>SUM(E$9:$E31)-SUM(F$9:$F31)</f>
        <v>580000</v>
      </c>
    </row>
    <row r="32" spans="1:7" ht="28.8" x14ac:dyDescent="0.55000000000000004">
      <c r="A32" s="24"/>
      <c r="B32" s="25"/>
      <c r="C32" s="26"/>
      <c r="D32" s="26"/>
      <c r="E32" s="27">
        <f>+$H$2+(SENATBL47[[#This Row],[QUANTITE]]*SENATBL47[[#This Row],[PRIX UNITAIRE]])</f>
        <v>0</v>
      </c>
      <c r="F32" s="31"/>
      <c r="G32" s="29">
        <f>SUM(E$9:$E32)-SUM(F$9:$F32)</f>
        <v>580000</v>
      </c>
    </row>
    <row r="33" spans="1:7" ht="28.8" x14ac:dyDescent="0.55000000000000004">
      <c r="A33" s="24"/>
      <c r="B33" s="25"/>
      <c r="C33" s="26"/>
      <c r="D33" s="26"/>
      <c r="E33" s="27">
        <f>+$H$2+(SENATBL47[[#This Row],[QUANTITE]]*SENATBL47[[#This Row],[PRIX UNITAIRE]])</f>
        <v>0</v>
      </c>
      <c r="F33" s="31"/>
      <c r="G33" s="29">
        <f>SUM(E$9:$E33)-SUM(F$9:$F33)</f>
        <v>580000</v>
      </c>
    </row>
    <row r="34" spans="1:7" ht="28.8" x14ac:dyDescent="0.55000000000000004">
      <c r="A34" s="24"/>
      <c r="B34" s="25"/>
      <c r="C34" s="26"/>
      <c r="D34" s="26"/>
      <c r="E34" s="27">
        <f>+$H$2+(SENATBL47[[#This Row],[QUANTITE]]*SENATBL47[[#This Row],[PRIX UNITAIRE]])</f>
        <v>0</v>
      </c>
      <c r="F34" s="31"/>
      <c r="G34" s="29">
        <f>SUM(E$9:$E34)-SUM(F$9:$F34)</f>
        <v>580000</v>
      </c>
    </row>
    <row r="35" spans="1:7" ht="28.8" x14ac:dyDescent="0.55000000000000004">
      <c r="A35" s="24"/>
      <c r="B35" s="25"/>
      <c r="C35" s="26"/>
      <c r="D35" s="26"/>
      <c r="E35" s="27">
        <f>+$H$2+(SENATBL47[[#This Row],[QUANTITE]]*SENATBL47[[#This Row],[PRIX UNITAIRE]])</f>
        <v>0</v>
      </c>
      <c r="F35" s="31"/>
      <c r="G35" s="29">
        <f>SUM(E$9:$E35)-SUM(F$9:$F35)</f>
        <v>580000</v>
      </c>
    </row>
    <row r="36" spans="1:7" ht="28.8" x14ac:dyDescent="0.55000000000000004">
      <c r="A36" s="24"/>
      <c r="B36" s="25"/>
      <c r="C36" s="26"/>
      <c r="D36" s="26"/>
      <c r="E36" s="27">
        <f>+$H$2+(SENATBL47[[#This Row],[QUANTITE]]*SENATBL47[[#This Row],[PRIX UNITAIRE]])</f>
        <v>0</v>
      </c>
      <c r="F36" s="31"/>
      <c r="G36" s="29">
        <f>SUM(E$9:$E36)-SUM(F$9:$F36)</f>
        <v>580000</v>
      </c>
    </row>
    <row r="37" spans="1:7" ht="28.8" x14ac:dyDescent="0.55000000000000004">
      <c r="A37" s="24"/>
      <c r="B37" s="25"/>
      <c r="C37" s="26"/>
      <c r="D37" s="26"/>
      <c r="E37" s="27">
        <f>+$H$2+(SENATBL47[[#This Row],[QUANTITE]]*SENATBL47[[#This Row],[PRIX UNITAIRE]])</f>
        <v>0</v>
      </c>
      <c r="F37" s="31"/>
      <c r="G37" s="29">
        <f>SUM(E$9:$E37)-SUM(F$9:$F37)</f>
        <v>580000</v>
      </c>
    </row>
    <row r="38" spans="1:7" ht="28.8" x14ac:dyDescent="0.55000000000000004">
      <c r="A38" s="24"/>
      <c r="B38" s="25"/>
      <c r="C38" s="26"/>
      <c r="D38" s="26"/>
      <c r="E38" s="27">
        <f>+$H$2+(SENATBL47[[#This Row],[QUANTITE]]*SENATBL47[[#This Row],[PRIX UNITAIRE]])</f>
        <v>0</v>
      </c>
      <c r="F38" s="31"/>
      <c r="G38" s="29">
        <f>SUM(E$9:$E38)-SUM(F$9:$F38)</f>
        <v>580000</v>
      </c>
    </row>
    <row r="39" spans="1:7" ht="28.8" x14ac:dyDescent="0.55000000000000004">
      <c r="A39" s="24"/>
      <c r="B39" s="25"/>
      <c r="C39" s="26"/>
      <c r="D39" s="26"/>
      <c r="E39" s="27">
        <f>+$H$2+(SENATBL47[[#This Row],[QUANTITE]]*SENATBL47[[#This Row],[PRIX UNITAIRE]])</f>
        <v>0</v>
      </c>
      <c r="F39" s="31"/>
      <c r="G39" s="29">
        <f>SUM(E$9:$E39)-SUM(F$9:$F39)</f>
        <v>580000</v>
      </c>
    </row>
    <row r="40" spans="1:7" ht="28.8" x14ac:dyDescent="0.55000000000000004">
      <c r="A40" s="24"/>
      <c r="B40" s="25"/>
      <c r="C40" s="26"/>
      <c r="D40" s="26"/>
      <c r="E40" s="27">
        <f>+$H$2+(SENATBL47[[#This Row],[QUANTITE]]*SENATBL47[[#This Row],[PRIX UNITAIRE]])</f>
        <v>0</v>
      </c>
      <c r="F40" s="31"/>
      <c r="G40" s="29">
        <f>SUM(E$9:$E40)-SUM(F$9:$F40)</f>
        <v>580000</v>
      </c>
    </row>
    <row r="41" spans="1:7" ht="28.8" x14ac:dyDescent="0.55000000000000004">
      <c r="A41" s="24"/>
      <c r="B41" s="25"/>
      <c r="C41" s="26"/>
      <c r="D41" s="26"/>
      <c r="E41" s="27">
        <f>+$H$2+(SENATBL47[[#This Row],[QUANTITE]]*SENATBL47[[#This Row],[PRIX UNITAIRE]])</f>
        <v>0</v>
      </c>
      <c r="F41" s="31"/>
      <c r="G41" s="29">
        <f>SUM(E$9:$E41)-SUM(F$9:$F41)</f>
        <v>580000</v>
      </c>
    </row>
    <row r="42" spans="1:7" ht="28.8" x14ac:dyDescent="0.55000000000000004">
      <c r="A42" s="24"/>
      <c r="B42" s="25"/>
      <c r="C42" s="26"/>
      <c r="D42" s="26"/>
      <c r="E42" s="27">
        <f>+$H$2+(SENATBL47[[#This Row],[QUANTITE]]*SENATBL47[[#This Row],[PRIX UNITAIRE]])</f>
        <v>0</v>
      </c>
      <c r="F42" s="31"/>
      <c r="G42" s="29">
        <f>SUM(E$9:$E42)-SUM(F$9:$F42)</f>
        <v>580000</v>
      </c>
    </row>
    <row r="43" spans="1:7" ht="28.8" x14ac:dyDescent="0.55000000000000004">
      <c r="A43" s="24"/>
      <c r="B43" s="25"/>
      <c r="C43" s="26"/>
      <c r="D43" s="26"/>
      <c r="E43" s="27">
        <f>+$H$2+(SENATBL47[[#This Row],[QUANTITE]]*SENATBL47[[#This Row],[PRIX UNITAIRE]])</f>
        <v>0</v>
      </c>
      <c r="F43" s="31"/>
      <c r="G43" s="29">
        <f>SUM(E$9:$E43)-SUM(F$9:$F43)</f>
        <v>580000</v>
      </c>
    </row>
    <row r="44" spans="1:7" ht="28.8" x14ac:dyDescent="0.55000000000000004">
      <c r="A44" s="24"/>
      <c r="B44" s="25"/>
      <c r="C44" s="26"/>
      <c r="D44" s="26"/>
      <c r="E44" s="27">
        <f>+$H$2+(SENATBL47[[#This Row],[QUANTITE]]*SENATBL47[[#This Row],[PRIX UNITAIRE]])</f>
        <v>0</v>
      </c>
      <c r="F44" s="31"/>
      <c r="G44" s="29">
        <f>SUM(E$9:$E44)-SUM(F$9:$F44)</f>
        <v>580000</v>
      </c>
    </row>
    <row r="45" spans="1:7" ht="28.8" x14ac:dyDescent="0.55000000000000004">
      <c r="A45" s="24"/>
      <c r="B45" s="25"/>
      <c r="C45" s="26"/>
      <c r="D45" s="26"/>
      <c r="E45" s="27">
        <f>+$H$2+(SENATBL47[[#This Row],[QUANTITE]]*SENATBL47[[#This Row],[PRIX UNITAIRE]])</f>
        <v>0</v>
      </c>
      <c r="F45" s="31"/>
      <c r="G45" s="29">
        <f>SUM(E$9:$E45)-SUM(F$9:$F45)</f>
        <v>580000</v>
      </c>
    </row>
    <row r="46" spans="1:7" ht="28.8" x14ac:dyDescent="0.55000000000000004">
      <c r="A46" s="24"/>
      <c r="B46" s="25"/>
      <c r="C46" s="26"/>
      <c r="D46" s="26"/>
      <c r="E46" s="27">
        <f>+$H$2+(SENATBL47[[#This Row],[QUANTITE]]*SENATBL47[[#This Row],[PRIX UNITAIRE]])</f>
        <v>0</v>
      </c>
      <c r="F46" s="31"/>
      <c r="G46" s="29">
        <f>SUM(E$9:$E46)-SUM(F$9:$F46)</f>
        <v>580000</v>
      </c>
    </row>
    <row r="47" spans="1:7" ht="28.8" x14ac:dyDescent="0.55000000000000004">
      <c r="A47" s="24"/>
      <c r="B47" s="25"/>
      <c r="C47" s="26"/>
      <c r="D47" s="26"/>
      <c r="E47" s="27">
        <f>+$H$2+(SENATBL47[[#This Row],[QUANTITE]]*SENATBL47[[#This Row],[PRIX UNITAIRE]])</f>
        <v>0</v>
      </c>
      <c r="F47" s="31"/>
      <c r="G47" s="29">
        <f>SUM(E$9:$E47)-SUM(F$9:$F47)</f>
        <v>580000</v>
      </c>
    </row>
    <row r="48" spans="1:7" ht="28.8" x14ac:dyDescent="0.55000000000000004">
      <c r="A48" s="24"/>
      <c r="B48" s="25"/>
      <c r="C48" s="26"/>
      <c r="D48" s="26"/>
      <c r="E48" s="27">
        <f>+$H$2+(SENATBL47[[#This Row],[QUANTITE]]*SENATBL47[[#This Row],[PRIX UNITAIRE]])</f>
        <v>0</v>
      </c>
      <c r="F48" s="31"/>
      <c r="G48" s="29">
        <f>SUM(E$9:$E48)-SUM(F$9:$F48)</f>
        <v>580000</v>
      </c>
    </row>
    <row r="49" spans="1:7" ht="28.8" x14ac:dyDescent="0.55000000000000004">
      <c r="A49" s="24"/>
      <c r="B49" s="25"/>
      <c r="C49" s="26"/>
      <c r="D49" s="26"/>
      <c r="E49" s="27">
        <f>+$H$2+(SENATBL47[[#This Row],[QUANTITE]]*SENATBL47[[#This Row],[PRIX UNITAIRE]])</f>
        <v>0</v>
      </c>
      <c r="F49" s="31"/>
      <c r="G49" s="29">
        <f>SUM(E$9:$E49)-SUM(F$9:$F49)</f>
        <v>580000</v>
      </c>
    </row>
    <row r="50" spans="1:7" ht="28.8" x14ac:dyDescent="0.55000000000000004">
      <c r="A50" s="24"/>
      <c r="B50" s="25"/>
      <c r="C50" s="26"/>
      <c r="D50" s="26"/>
      <c r="E50" s="27">
        <f>+$H$2+(SENATBL47[[#This Row],[QUANTITE]]*SENATBL47[[#This Row],[PRIX UNITAIRE]])</f>
        <v>0</v>
      </c>
      <c r="F50" s="31"/>
      <c r="G50" s="29">
        <f>SUM(E$9:$E50)-SUM(F$9:$F50)</f>
        <v>580000</v>
      </c>
    </row>
    <row r="51" spans="1:7" ht="28.8" x14ac:dyDescent="0.55000000000000004">
      <c r="A51" s="24"/>
      <c r="B51" s="25"/>
      <c r="C51" s="26"/>
      <c r="D51" s="26"/>
      <c r="E51" s="27">
        <f>+$H$2+(SENATBL47[[#This Row],[QUANTITE]]*SENATBL47[[#This Row],[PRIX UNITAIRE]])</f>
        <v>0</v>
      </c>
      <c r="F51" s="31"/>
      <c r="G51" s="29">
        <f>SUM(E$9:$E51)-SUM(F$9:$F51)</f>
        <v>580000</v>
      </c>
    </row>
    <row r="52" spans="1:7" ht="28.8" x14ac:dyDescent="0.55000000000000004">
      <c r="A52" s="24"/>
      <c r="B52" s="25"/>
      <c r="C52" s="26"/>
      <c r="D52" s="26"/>
      <c r="E52" s="27">
        <f>+$H$2+(SENATBL47[[#This Row],[QUANTITE]]*SENATBL47[[#This Row],[PRIX UNITAIRE]])</f>
        <v>0</v>
      </c>
      <c r="F52" s="31"/>
      <c r="G52" s="29">
        <f>SUM(E$9:$E52)-SUM(F$9:$F52)</f>
        <v>580000</v>
      </c>
    </row>
    <row r="53" spans="1:7" ht="28.8" x14ac:dyDescent="0.55000000000000004">
      <c r="A53" s="24"/>
      <c r="B53" s="25"/>
      <c r="C53" s="26"/>
      <c r="D53" s="26"/>
      <c r="E53" s="27">
        <f>+$H$2+(SENATBL47[[#This Row],[QUANTITE]]*SENATBL47[[#This Row],[PRIX UNITAIRE]])</f>
        <v>0</v>
      </c>
      <c r="F53" s="31"/>
      <c r="G53" s="29">
        <f>SUM(E$9:$E53)-SUM(F$9:$F53)</f>
        <v>580000</v>
      </c>
    </row>
    <row r="54" spans="1:7" ht="28.8" x14ac:dyDescent="0.55000000000000004">
      <c r="A54" s="24"/>
      <c r="B54" s="25"/>
      <c r="C54" s="26"/>
      <c r="D54" s="26"/>
      <c r="E54" s="27">
        <f>+$H$2+(SENATBL47[[#This Row],[QUANTITE]]*SENATBL47[[#This Row],[PRIX UNITAIRE]])</f>
        <v>0</v>
      </c>
      <c r="F54" s="31"/>
      <c r="G54" s="29">
        <f>SUM(E$9:$E54)-SUM(F$9:$F54)</f>
        <v>580000</v>
      </c>
    </row>
    <row r="55" spans="1:7" ht="28.8" x14ac:dyDescent="0.55000000000000004">
      <c r="A55" s="24"/>
      <c r="B55" s="25"/>
      <c r="C55" s="26"/>
      <c r="D55" s="26"/>
      <c r="E55" s="27">
        <f>+$H$2+(SENATBL47[[#This Row],[QUANTITE]]*SENATBL47[[#This Row],[PRIX UNITAIRE]])</f>
        <v>0</v>
      </c>
      <c r="F55" s="31"/>
      <c r="G55" s="29">
        <f>SUM(E$9:$E55)-SUM(F$9:$F55)</f>
        <v>580000</v>
      </c>
    </row>
    <row r="56" spans="1:7" ht="28.8" x14ac:dyDescent="0.55000000000000004">
      <c r="A56" s="24"/>
      <c r="B56" s="25"/>
      <c r="C56" s="26"/>
      <c r="D56" s="26"/>
      <c r="E56" s="27">
        <f>+$H$2+(SENATBL47[[#This Row],[QUANTITE]]*SENATBL47[[#This Row],[PRIX UNITAIRE]])</f>
        <v>0</v>
      </c>
      <c r="F56" s="31"/>
      <c r="G56" s="29">
        <f>SUM(E$9:$E56)-SUM(F$9:$F56)</f>
        <v>580000</v>
      </c>
    </row>
    <row r="57" spans="1:7" ht="28.8" x14ac:dyDescent="0.55000000000000004">
      <c r="A57" s="24"/>
      <c r="B57" s="25"/>
      <c r="C57" s="26"/>
      <c r="D57" s="26"/>
      <c r="E57" s="27">
        <f>+$H$2+(SENATBL47[[#This Row],[QUANTITE]]*SENATBL47[[#This Row],[PRIX UNITAIRE]])</f>
        <v>0</v>
      </c>
      <c r="F57" s="31"/>
      <c r="G57" s="29">
        <f>SUM(E$9:$E57)-SUM(F$9:$F57)</f>
        <v>580000</v>
      </c>
    </row>
    <row r="58" spans="1:7" ht="28.8" x14ac:dyDescent="0.55000000000000004">
      <c r="A58" s="24"/>
      <c r="B58" s="25"/>
      <c r="C58" s="26"/>
      <c r="D58" s="26"/>
      <c r="E58" s="27">
        <f>+$H$2+(SENATBL47[[#This Row],[QUANTITE]]*SENATBL47[[#This Row],[PRIX UNITAIRE]])</f>
        <v>0</v>
      </c>
      <c r="F58" s="31"/>
      <c r="G58" s="29">
        <f>SUM(E$9:$E58)-SUM(F$9:$F58)</f>
        <v>580000</v>
      </c>
    </row>
    <row r="59" spans="1:7" ht="28.8" x14ac:dyDescent="0.55000000000000004">
      <c r="A59" s="24"/>
      <c r="B59" s="25"/>
      <c r="C59" s="26"/>
      <c r="D59" s="26"/>
      <c r="E59" s="27">
        <f>+$H$2+(SENATBL47[[#This Row],[QUANTITE]]*SENATBL47[[#This Row],[PRIX UNITAIRE]])</f>
        <v>0</v>
      </c>
      <c r="F59" s="31"/>
      <c r="G59" s="29">
        <f>SUM(E$9:$E59)-SUM(F$9:$F59)</f>
        <v>580000</v>
      </c>
    </row>
    <row r="60" spans="1:7" ht="28.8" x14ac:dyDescent="0.55000000000000004">
      <c r="A60" s="24"/>
      <c r="B60" s="25"/>
      <c r="C60" s="26"/>
      <c r="D60" s="26"/>
      <c r="E60" s="27">
        <f>+$H$2+(SENATBL47[[#This Row],[QUANTITE]]*SENATBL47[[#This Row],[PRIX UNITAIRE]])</f>
        <v>0</v>
      </c>
      <c r="F60" s="31"/>
      <c r="G60" s="29">
        <f>SUM(E$9:$E60)-SUM(F$9:$F60)</f>
        <v>580000</v>
      </c>
    </row>
    <row r="61" spans="1:7" ht="28.8" x14ac:dyDescent="0.55000000000000004">
      <c r="A61" s="24"/>
      <c r="B61" s="25"/>
      <c r="C61" s="26"/>
      <c r="D61" s="26"/>
      <c r="E61" s="27">
        <f>+$H$2+(SENATBL47[[#This Row],[QUANTITE]]*SENATBL47[[#This Row],[PRIX UNITAIRE]])</f>
        <v>0</v>
      </c>
      <c r="F61" s="31"/>
      <c r="G61" s="29">
        <f>SUM(E$9:$E61)-SUM(F$9:$F61)</f>
        <v>580000</v>
      </c>
    </row>
    <row r="62" spans="1:7" ht="28.8" x14ac:dyDescent="0.55000000000000004">
      <c r="A62" s="24"/>
      <c r="B62" s="25"/>
      <c r="C62" s="26"/>
      <c r="D62" s="26"/>
      <c r="E62" s="27">
        <f>+$H$2+(SENATBL47[[#This Row],[QUANTITE]]*SENATBL47[[#This Row],[PRIX UNITAIRE]])</f>
        <v>0</v>
      </c>
      <c r="F62" s="31"/>
      <c r="G62" s="29">
        <f>SUM(E$9:$E62)-SUM(F$9:$F62)</f>
        <v>580000</v>
      </c>
    </row>
    <row r="63" spans="1:7" ht="28.8" x14ac:dyDescent="0.55000000000000004">
      <c r="A63" s="24"/>
      <c r="B63" s="25"/>
      <c r="C63" s="26"/>
      <c r="D63" s="26"/>
      <c r="E63" s="27">
        <f>+$H$2+(SENATBL47[[#This Row],[QUANTITE]]*SENATBL47[[#This Row],[PRIX UNITAIRE]])</f>
        <v>0</v>
      </c>
      <c r="F63" s="31"/>
      <c r="G63" s="29">
        <f>SUM(E$9:$E63)-SUM(F$9:$F63)</f>
        <v>580000</v>
      </c>
    </row>
    <row r="64" spans="1:7" ht="28.8" x14ac:dyDescent="0.55000000000000004">
      <c r="A64" s="24"/>
      <c r="B64" s="25"/>
      <c r="C64" s="26"/>
      <c r="D64" s="26"/>
      <c r="E64" s="27">
        <f>+$H$2+(SENATBL47[[#This Row],[QUANTITE]]*SENATBL47[[#This Row],[PRIX UNITAIRE]])</f>
        <v>0</v>
      </c>
      <c r="F64" s="31"/>
      <c r="G64" s="29">
        <f>SUM(E$9:$E64)-SUM(F$9:$F64)</f>
        <v>580000</v>
      </c>
    </row>
    <row r="65" spans="1:7" ht="28.8" x14ac:dyDescent="0.55000000000000004">
      <c r="A65" s="24"/>
      <c r="B65" s="25"/>
      <c r="C65" s="26"/>
      <c r="D65" s="26"/>
      <c r="E65" s="27">
        <f>+$H$2+(SENATBL47[[#This Row],[QUANTITE]]*SENATBL47[[#This Row],[PRIX UNITAIRE]])</f>
        <v>0</v>
      </c>
      <c r="F65" s="31"/>
      <c r="G65" s="29">
        <f>SUM(E$9:$E65)-SUM(F$9:$F65)</f>
        <v>580000</v>
      </c>
    </row>
    <row r="66" spans="1:7" ht="28.8" x14ac:dyDescent="0.55000000000000004">
      <c r="A66" s="24"/>
      <c r="B66" s="25"/>
      <c r="C66" s="26"/>
      <c r="D66" s="26"/>
      <c r="E66" s="27">
        <f>+$H$2+(SENATBL47[[#This Row],[QUANTITE]]*SENATBL47[[#This Row],[PRIX UNITAIRE]])</f>
        <v>0</v>
      </c>
      <c r="F66" s="31"/>
      <c r="G66" s="29">
        <f>SUM(E$9:$E66)-SUM(F$9:$F66)</f>
        <v>580000</v>
      </c>
    </row>
    <row r="67" spans="1:7" ht="28.8" x14ac:dyDescent="0.55000000000000004">
      <c r="A67" s="24"/>
      <c r="B67" s="25"/>
      <c r="C67" s="26"/>
      <c r="D67" s="26"/>
      <c r="E67" s="27">
        <f>+$H$2+(SENATBL47[[#This Row],[QUANTITE]]*SENATBL47[[#This Row],[PRIX UNITAIRE]])</f>
        <v>0</v>
      </c>
      <c r="F67" s="31"/>
      <c r="G67" s="29">
        <f>SUM(E$9:$E67)-SUM(F$9:$F67)</f>
        <v>580000</v>
      </c>
    </row>
    <row r="68" spans="1:7" ht="28.8" x14ac:dyDescent="0.55000000000000004">
      <c r="A68" s="24"/>
      <c r="B68" s="25"/>
      <c r="C68" s="26"/>
      <c r="D68" s="26"/>
      <c r="E68" s="27">
        <f>+$H$2+(SENATBL47[[#This Row],[QUANTITE]]*SENATBL47[[#This Row],[PRIX UNITAIRE]])</f>
        <v>0</v>
      </c>
      <c r="F68" s="31"/>
      <c r="G68" s="29">
        <f>SUM(E$9:$E68)-SUM(F$9:$F68)</f>
        <v>580000</v>
      </c>
    </row>
    <row r="69" spans="1:7" ht="28.8" x14ac:dyDescent="0.55000000000000004">
      <c r="A69" s="24"/>
      <c r="B69" s="25"/>
      <c r="C69" s="26"/>
      <c r="D69" s="26"/>
      <c r="E69" s="27">
        <f>+$H$2+(SENATBL47[[#This Row],[QUANTITE]]*SENATBL47[[#This Row],[PRIX UNITAIRE]])</f>
        <v>0</v>
      </c>
      <c r="F69" s="31"/>
      <c r="G69" s="29">
        <f>SUM(E$9:$E69)-SUM(F$9:$F69)</f>
        <v>580000</v>
      </c>
    </row>
    <row r="70" spans="1:7" ht="28.8" x14ac:dyDescent="0.55000000000000004">
      <c r="A70" s="24"/>
      <c r="B70" s="25"/>
      <c r="C70" s="26"/>
      <c r="D70" s="26"/>
      <c r="E70" s="27">
        <f>+$H$2+(SENATBL47[[#This Row],[QUANTITE]]*SENATBL47[[#This Row],[PRIX UNITAIRE]])</f>
        <v>0</v>
      </c>
      <c r="F70" s="31"/>
      <c r="G70" s="29">
        <f>SUM(E$9:$E70)-SUM(F$9:$F70)</f>
        <v>580000</v>
      </c>
    </row>
    <row r="71" spans="1:7" ht="28.8" x14ac:dyDescent="0.55000000000000004">
      <c r="A71" s="24"/>
      <c r="B71" s="25"/>
      <c r="C71" s="26"/>
      <c r="D71" s="26"/>
      <c r="E71" s="27">
        <f>+$H$2+(SENATBL47[[#This Row],[QUANTITE]]*SENATBL47[[#This Row],[PRIX UNITAIRE]])</f>
        <v>0</v>
      </c>
      <c r="F71" s="31"/>
      <c r="G71" s="29">
        <f>SUM(E$9:$E71)-SUM(F$9:$F71)</f>
        <v>580000</v>
      </c>
    </row>
    <row r="72" spans="1:7" ht="28.8" x14ac:dyDescent="0.55000000000000004">
      <c r="A72" s="24"/>
      <c r="B72" s="25"/>
      <c r="C72" s="26"/>
      <c r="D72" s="26"/>
      <c r="E72" s="27">
        <f>+$H$2+(SENATBL47[[#This Row],[QUANTITE]]*SENATBL47[[#This Row],[PRIX UNITAIRE]])</f>
        <v>0</v>
      </c>
      <c r="F72" s="31"/>
      <c r="G72" s="29">
        <f>SUM(E$9:$E72)-SUM(F$9:$F72)</f>
        <v>580000</v>
      </c>
    </row>
    <row r="73" spans="1:7" ht="28.8" x14ac:dyDescent="0.55000000000000004">
      <c r="A73" s="24"/>
      <c r="B73" s="25"/>
      <c r="C73" s="26"/>
      <c r="D73" s="26"/>
      <c r="E73" s="27">
        <f>+$H$2+(SENATBL47[[#This Row],[QUANTITE]]*SENATBL47[[#This Row],[PRIX UNITAIRE]])</f>
        <v>0</v>
      </c>
      <c r="F73" s="31"/>
      <c r="G73" s="29">
        <f>SUM(E$9:$E73)-SUM(F$9:$F73)</f>
        <v>580000</v>
      </c>
    </row>
    <row r="74" spans="1:7" ht="28.8" x14ac:dyDescent="0.55000000000000004">
      <c r="A74" s="24"/>
      <c r="B74" s="25"/>
      <c r="C74" s="26"/>
      <c r="D74" s="26"/>
      <c r="E74" s="27">
        <f>+$H$2+(SENATBL47[[#This Row],[QUANTITE]]*SENATBL47[[#This Row],[PRIX UNITAIRE]])</f>
        <v>0</v>
      </c>
      <c r="F74" s="31"/>
      <c r="G74" s="29">
        <f>SUM(E$9:$E74)-SUM(F$9:$F74)</f>
        <v>580000</v>
      </c>
    </row>
    <row r="75" spans="1:7" ht="28.8" x14ac:dyDescent="0.55000000000000004">
      <c r="A75" s="24"/>
      <c r="B75" s="25"/>
      <c r="C75" s="26"/>
      <c r="D75" s="26"/>
      <c r="E75" s="27">
        <f>+$H$2+(SENATBL47[[#This Row],[QUANTITE]]*SENATBL47[[#This Row],[PRIX UNITAIRE]])</f>
        <v>0</v>
      </c>
      <c r="F75" s="31"/>
      <c r="G75" s="29">
        <f>SUM(E$9:$E75)-SUM(F$9:$F75)</f>
        <v>580000</v>
      </c>
    </row>
    <row r="76" spans="1:7" ht="28.8" x14ac:dyDescent="0.55000000000000004">
      <c r="A76" s="24"/>
      <c r="B76" s="25"/>
      <c r="C76" s="26"/>
      <c r="D76" s="26"/>
      <c r="E76" s="27">
        <f>+$H$2+(SENATBL47[[#This Row],[QUANTITE]]*SENATBL47[[#This Row],[PRIX UNITAIRE]])</f>
        <v>0</v>
      </c>
      <c r="F76" s="31"/>
      <c r="G76" s="29">
        <f>SUM(E$9:$E76)-SUM(F$9:$F76)</f>
        <v>580000</v>
      </c>
    </row>
    <row r="77" spans="1:7" ht="28.8" x14ac:dyDescent="0.55000000000000004">
      <c r="A77" s="24"/>
      <c r="B77" s="25"/>
      <c r="C77" s="26"/>
      <c r="D77" s="26"/>
      <c r="E77" s="27">
        <f>+$H$2+(SENATBL47[[#This Row],[QUANTITE]]*SENATBL47[[#This Row],[PRIX UNITAIRE]])</f>
        <v>0</v>
      </c>
      <c r="F77" s="31"/>
      <c r="G77" s="29">
        <f>SUM(E$9:$E77)-SUM(F$9:$F77)</f>
        <v>580000</v>
      </c>
    </row>
    <row r="78" spans="1:7" ht="28.8" x14ac:dyDescent="0.55000000000000004">
      <c r="A78" s="24"/>
      <c r="B78" s="25"/>
      <c r="C78" s="26"/>
      <c r="D78" s="26"/>
      <c r="E78" s="27">
        <f>+$H$2+(SENATBL47[[#This Row],[QUANTITE]]*SENATBL47[[#This Row],[PRIX UNITAIRE]])</f>
        <v>0</v>
      </c>
      <c r="F78" s="31"/>
      <c r="G78" s="29">
        <f>SUM(E$9:$E78)-SUM(F$9:$F78)</f>
        <v>580000</v>
      </c>
    </row>
    <row r="79" spans="1:7" ht="28.8" x14ac:dyDescent="0.55000000000000004">
      <c r="A79" s="24"/>
      <c r="B79" s="25"/>
      <c r="C79" s="26"/>
      <c r="D79" s="26"/>
      <c r="E79" s="27">
        <f>+$H$2+(SENATBL47[[#This Row],[QUANTITE]]*SENATBL47[[#This Row],[PRIX UNITAIRE]])</f>
        <v>0</v>
      </c>
      <c r="F79" s="31"/>
      <c r="G79" s="29">
        <f>SUM(E$9:$E79)-SUM(F$9:$F79)</f>
        <v>580000</v>
      </c>
    </row>
    <row r="80" spans="1:7" ht="28.8" x14ac:dyDescent="0.55000000000000004">
      <c r="A80" s="24"/>
      <c r="B80" s="25"/>
      <c r="C80" s="26"/>
      <c r="D80" s="26"/>
      <c r="E80" s="27">
        <f>+$H$2+(SENATBL47[[#This Row],[QUANTITE]]*SENATBL47[[#This Row],[PRIX UNITAIRE]])</f>
        <v>0</v>
      </c>
      <c r="F80" s="31"/>
      <c r="G80" s="29">
        <f>SUM(E$9:$E80)-SUM(F$9:$F80)</f>
        <v>580000</v>
      </c>
    </row>
    <row r="81" spans="1:7" ht="28.8" x14ac:dyDescent="0.55000000000000004">
      <c r="A81" s="24"/>
      <c r="B81" s="25"/>
      <c r="C81" s="26"/>
      <c r="D81" s="26"/>
      <c r="E81" s="27">
        <f>+$H$2+(SENATBL47[[#This Row],[QUANTITE]]*SENATBL47[[#This Row],[PRIX UNITAIRE]])</f>
        <v>0</v>
      </c>
      <c r="F81" s="31"/>
      <c r="G81" s="29">
        <f>SUM(E$9:$E81)-SUM(F$9:$F81)</f>
        <v>580000</v>
      </c>
    </row>
    <row r="82" spans="1:7" ht="28.8" x14ac:dyDescent="0.55000000000000004">
      <c r="A82" s="24"/>
      <c r="B82" s="25"/>
      <c r="C82" s="26"/>
      <c r="D82" s="26"/>
      <c r="E82" s="27">
        <f>+$H$2+(SENATBL47[[#This Row],[QUANTITE]]*SENATBL47[[#This Row],[PRIX UNITAIRE]])</f>
        <v>0</v>
      </c>
      <c r="F82" s="31"/>
      <c r="G82" s="29">
        <f>SUM(E$9:$E82)-SUM(F$9:$F82)</f>
        <v>580000</v>
      </c>
    </row>
    <row r="83" spans="1:7" ht="28.8" x14ac:dyDescent="0.55000000000000004">
      <c r="A83" s="24"/>
      <c r="B83" s="25"/>
      <c r="C83" s="26"/>
      <c r="D83" s="26"/>
      <c r="E83" s="27">
        <f>+$H$2+(SENATBL47[[#This Row],[QUANTITE]]*SENATBL47[[#This Row],[PRIX UNITAIRE]])</f>
        <v>0</v>
      </c>
      <c r="F83" s="31"/>
      <c r="G83" s="29">
        <f>SUM(E$9:$E83)-SUM(F$9:$F83)</f>
        <v>580000</v>
      </c>
    </row>
    <row r="84" spans="1:7" ht="28.8" x14ac:dyDescent="0.55000000000000004">
      <c r="A84" s="24"/>
      <c r="B84" s="25"/>
      <c r="C84" s="26"/>
      <c r="D84" s="26"/>
      <c r="E84" s="27">
        <f>+$H$2+(SENATBL47[[#This Row],[QUANTITE]]*SENATBL47[[#This Row],[PRIX UNITAIRE]])</f>
        <v>0</v>
      </c>
      <c r="F84" s="31"/>
      <c r="G84" s="29">
        <f>SUM(E$9:$E84)-SUM(F$9:$F84)</f>
        <v>580000</v>
      </c>
    </row>
    <row r="85" spans="1:7" ht="28.8" x14ac:dyDescent="0.55000000000000004">
      <c r="A85" s="24"/>
      <c r="B85" s="25"/>
      <c r="C85" s="26"/>
      <c r="D85" s="26"/>
      <c r="E85" s="27">
        <f>+$H$2+(SENATBL47[[#This Row],[QUANTITE]]*SENATBL47[[#This Row],[PRIX UNITAIRE]])</f>
        <v>0</v>
      </c>
      <c r="F85" s="31"/>
      <c r="G85" s="29">
        <f>SUM(E$9:$E85)-SUM(F$9:$F85)</f>
        <v>580000</v>
      </c>
    </row>
    <row r="86" spans="1:7" ht="28.8" x14ac:dyDescent="0.55000000000000004">
      <c r="A86" s="24"/>
      <c r="B86" s="25"/>
      <c r="C86" s="26"/>
      <c r="D86" s="26"/>
      <c r="E86" s="27">
        <f>+$H$2+(SENATBL47[[#This Row],[QUANTITE]]*SENATBL47[[#This Row],[PRIX UNITAIRE]])</f>
        <v>0</v>
      </c>
      <c r="F86" s="31"/>
      <c r="G86" s="29">
        <f>SUM(E$9:$E86)-SUM(F$9:$F86)</f>
        <v>580000</v>
      </c>
    </row>
    <row r="87" spans="1:7" ht="28.8" x14ac:dyDescent="0.55000000000000004">
      <c r="A87" s="24"/>
      <c r="B87" s="25"/>
      <c r="C87" s="26"/>
      <c r="D87" s="26"/>
      <c r="E87" s="27">
        <f>+$H$2+(SENATBL47[[#This Row],[QUANTITE]]*SENATBL47[[#This Row],[PRIX UNITAIRE]])</f>
        <v>0</v>
      </c>
      <c r="F87" s="31"/>
      <c r="G87" s="29">
        <f>SUM(E$9:$E87)-SUM(F$9:$F87)</f>
        <v>580000</v>
      </c>
    </row>
    <row r="88" spans="1:7" ht="28.8" x14ac:dyDescent="0.55000000000000004">
      <c r="A88" s="24"/>
      <c r="B88" s="25"/>
      <c r="C88" s="26"/>
      <c r="D88" s="26"/>
      <c r="E88" s="27">
        <f>+$H$2+(SENATBL47[[#This Row],[QUANTITE]]*SENATBL47[[#This Row],[PRIX UNITAIRE]])</f>
        <v>0</v>
      </c>
      <c r="F88" s="31"/>
      <c r="G88" s="29">
        <f>SUM(E$9:$E88)-SUM(F$9:$F88)</f>
        <v>580000</v>
      </c>
    </row>
    <row r="89" spans="1:7" ht="28.8" x14ac:dyDescent="0.55000000000000004">
      <c r="A89" s="24"/>
      <c r="B89" s="25"/>
      <c r="C89" s="26"/>
      <c r="D89" s="26"/>
      <c r="E89" s="27">
        <f>+$H$2+(SENATBL47[[#This Row],[QUANTITE]]*SENATBL47[[#This Row],[PRIX UNITAIRE]])</f>
        <v>0</v>
      </c>
      <c r="F89" s="31"/>
      <c r="G89" s="29">
        <f>SUM(E$9:$E89)-SUM(F$9:$F89)</f>
        <v>580000</v>
      </c>
    </row>
    <row r="90" spans="1:7" ht="28.8" x14ac:dyDescent="0.55000000000000004">
      <c r="A90" s="24"/>
      <c r="B90" s="25"/>
      <c r="C90" s="26"/>
      <c r="D90" s="26"/>
      <c r="E90" s="27">
        <f>+$H$2+(SENATBL47[[#This Row],[QUANTITE]]*SENATBL47[[#This Row],[PRIX UNITAIRE]])</f>
        <v>0</v>
      </c>
      <c r="F90" s="31"/>
      <c r="G90" s="29">
        <f>SUM(E$9:$E90)-SUM(F$9:$F90)</f>
        <v>580000</v>
      </c>
    </row>
    <row r="91" spans="1:7" ht="28.8" x14ac:dyDescent="0.55000000000000004">
      <c r="A91" s="24"/>
      <c r="B91" s="25"/>
      <c r="C91" s="26"/>
      <c r="D91" s="26"/>
      <c r="E91" s="27">
        <f>+$H$2+(SENATBL47[[#This Row],[QUANTITE]]*SENATBL47[[#This Row],[PRIX UNITAIRE]])</f>
        <v>0</v>
      </c>
      <c r="F91" s="31"/>
      <c r="G91" s="29">
        <f>SUM(E$9:$E91)-SUM(F$9:$F91)</f>
        <v>580000</v>
      </c>
    </row>
    <row r="92" spans="1:7" ht="28.8" x14ac:dyDescent="0.55000000000000004">
      <c r="A92" s="24"/>
      <c r="B92" s="25"/>
      <c r="C92" s="26"/>
      <c r="D92" s="26"/>
      <c r="E92" s="27">
        <f>+$H$2+(SENATBL47[[#This Row],[QUANTITE]]*SENATBL47[[#This Row],[PRIX UNITAIRE]])</f>
        <v>0</v>
      </c>
      <c r="F92" s="31"/>
      <c r="G92" s="29">
        <f>SUM(E$9:$E92)-SUM(F$9:$F92)</f>
        <v>580000</v>
      </c>
    </row>
    <row r="93" spans="1:7" ht="28.8" x14ac:dyDescent="0.55000000000000004">
      <c r="A93" s="24"/>
      <c r="B93" s="25"/>
      <c r="C93" s="26"/>
      <c r="D93" s="26"/>
      <c r="E93" s="27">
        <f>+$H$2+(SENATBL47[[#This Row],[QUANTITE]]*SENATBL47[[#This Row],[PRIX UNITAIRE]])</f>
        <v>0</v>
      </c>
      <c r="F93" s="31"/>
      <c r="G93" s="29">
        <f>SUM(E$9:$E93)-SUM(F$9:$F93)</f>
        <v>580000</v>
      </c>
    </row>
    <row r="94" spans="1:7" ht="28.8" x14ac:dyDescent="0.55000000000000004">
      <c r="A94" s="24"/>
      <c r="B94" s="25"/>
      <c r="C94" s="26"/>
      <c r="D94" s="26"/>
      <c r="E94" s="27">
        <f>+$H$2+(SENATBL47[[#This Row],[QUANTITE]]*SENATBL47[[#This Row],[PRIX UNITAIRE]])</f>
        <v>0</v>
      </c>
      <c r="F94" s="31"/>
      <c r="G94" s="29">
        <f>SUM(E$9:$E94)-SUM(F$9:$F94)</f>
        <v>580000</v>
      </c>
    </row>
    <row r="95" spans="1:7" ht="28.8" x14ac:dyDescent="0.55000000000000004">
      <c r="A95" s="24"/>
      <c r="B95" s="25"/>
      <c r="C95" s="26"/>
      <c r="D95" s="26"/>
      <c r="E95" s="27">
        <f>+$H$2+(SENATBL47[[#This Row],[QUANTITE]]*SENATBL47[[#This Row],[PRIX UNITAIRE]])</f>
        <v>0</v>
      </c>
      <c r="F95" s="31"/>
      <c r="G95" s="29">
        <f>SUM(E$9:$E95)-SUM(F$9:$F95)</f>
        <v>580000</v>
      </c>
    </row>
    <row r="96" spans="1:7" ht="28.8" x14ac:dyDescent="0.55000000000000004">
      <c r="A96" s="24"/>
      <c r="B96" s="25"/>
      <c r="C96" s="26"/>
      <c r="D96" s="26"/>
      <c r="E96" s="27">
        <f>+$H$2+(SENATBL47[[#This Row],[QUANTITE]]*SENATBL47[[#This Row],[PRIX UNITAIRE]])</f>
        <v>0</v>
      </c>
      <c r="F96" s="31"/>
      <c r="G96" s="29">
        <f>SUM(E$9:$E96)-SUM(F$9:$F96)</f>
        <v>580000</v>
      </c>
    </row>
    <row r="97" spans="1:7" ht="28.8" x14ac:dyDescent="0.55000000000000004">
      <c r="A97" s="24"/>
      <c r="B97" s="25"/>
      <c r="C97" s="26"/>
      <c r="D97" s="26"/>
      <c r="E97" s="27">
        <f>+$H$2+(SENATBL47[[#This Row],[QUANTITE]]*SENATBL47[[#This Row],[PRIX UNITAIRE]])</f>
        <v>0</v>
      </c>
      <c r="F97" s="31"/>
      <c r="G97" s="29">
        <f>SUM(E$9:$E97)-SUM(F$9:$F97)</f>
        <v>580000</v>
      </c>
    </row>
    <row r="98" spans="1:7" ht="28.8" x14ac:dyDescent="0.55000000000000004">
      <c r="A98" s="24"/>
      <c r="B98" s="25"/>
      <c r="C98" s="26"/>
      <c r="D98" s="26"/>
      <c r="E98" s="27">
        <f>+$H$2+(SENATBL47[[#This Row],[QUANTITE]]*SENATBL47[[#This Row],[PRIX UNITAIRE]])</f>
        <v>0</v>
      </c>
      <c r="F98" s="31"/>
      <c r="G98" s="29">
        <f>SUM(E$9:$E98)-SUM(F$9:$F98)</f>
        <v>580000</v>
      </c>
    </row>
    <row r="99" spans="1:7" ht="28.8" x14ac:dyDescent="0.55000000000000004">
      <c r="A99" s="24"/>
      <c r="B99" s="25"/>
      <c r="C99" s="26"/>
      <c r="D99" s="26"/>
      <c r="E99" s="27">
        <f>+$H$2+(SENATBL47[[#This Row],[QUANTITE]]*SENATBL47[[#This Row],[PRIX UNITAIRE]])</f>
        <v>0</v>
      </c>
      <c r="F99" s="31"/>
      <c r="G99" s="29">
        <f>SUM(E$9:$E99)-SUM(F$9:$F99)</f>
        <v>580000</v>
      </c>
    </row>
    <row r="100" spans="1:7" ht="28.8" x14ac:dyDescent="0.55000000000000004">
      <c r="A100" s="24"/>
      <c r="B100" s="25"/>
      <c r="C100" s="26"/>
      <c r="D100" s="26"/>
      <c r="E100" s="27">
        <f>+$H$2+(SENATBL47[[#This Row],[QUANTITE]]*SENATBL47[[#This Row],[PRIX UNITAIRE]])</f>
        <v>0</v>
      </c>
      <c r="F100" s="31"/>
      <c r="G100" s="29">
        <f>SUM(E$9:$E100)-SUM(F$9:$F100)</f>
        <v>580000</v>
      </c>
    </row>
    <row r="101" spans="1:7" ht="28.8" x14ac:dyDescent="0.55000000000000004">
      <c r="A101" s="24"/>
      <c r="B101" s="25"/>
      <c r="C101" s="26"/>
      <c r="D101" s="26"/>
      <c r="E101" s="27">
        <f>+$H$2+(SENATBL47[[#This Row],[QUANTITE]]*SENATBL47[[#This Row],[PRIX UNITAIRE]])</f>
        <v>0</v>
      </c>
      <c r="F101" s="31"/>
      <c r="G101" s="29">
        <f>SUM(E$9:$E101)-SUM(F$9:$F101)</f>
        <v>580000</v>
      </c>
    </row>
    <row r="102" spans="1:7" ht="28.8" x14ac:dyDescent="0.55000000000000004">
      <c r="A102" s="24"/>
      <c r="B102" s="25"/>
      <c r="C102" s="26"/>
      <c r="D102" s="26"/>
      <c r="E102" s="27">
        <f>+$H$2+(SENATBL47[[#This Row],[QUANTITE]]*SENATBL47[[#This Row],[PRIX UNITAIRE]])</f>
        <v>0</v>
      </c>
      <c r="F102" s="31"/>
      <c r="G102" s="29">
        <f>SUM(E$9:$E102)-SUM(F$9:$F102)</f>
        <v>580000</v>
      </c>
    </row>
    <row r="103" spans="1:7" ht="28.8" x14ac:dyDescent="0.55000000000000004">
      <c r="A103" s="24"/>
      <c r="B103" s="25"/>
      <c r="C103" s="26"/>
      <c r="D103" s="26"/>
      <c r="E103" s="27">
        <f>+$H$2+(SENATBL47[[#This Row],[QUANTITE]]*SENATBL47[[#This Row],[PRIX UNITAIRE]])</f>
        <v>0</v>
      </c>
      <c r="F103" s="31"/>
      <c r="G103" s="29">
        <f>SUM(E$9:$E103)-SUM(F$9:$F103)</f>
        <v>580000</v>
      </c>
    </row>
    <row r="104" spans="1:7" ht="28.8" x14ac:dyDescent="0.55000000000000004">
      <c r="A104" s="24"/>
      <c r="B104" s="25"/>
      <c r="C104" s="26"/>
      <c r="D104" s="26"/>
      <c r="E104" s="27">
        <f>+$H$2+(SENATBL47[[#This Row],[QUANTITE]]*SENATBL47[[#This Row],[PRIX UNITAIRE]])</f>
        <v>0</v>
      </c>
      <c r="F104" s="31"/>
      <c r="G104" s="29">
        <f>SUM(E$9:$E104)-SUM(F$9:$F104)</f>
        <v>580000</v>
      </c>
    </row>
    <row r="105" spans="1:7" ht="28.8" x14ac:dyDescent="0.55000000000000004">
      <c r="A105" s="24"/>
      <c r="B105" s="25"/>
      <c r="C105" s="26"/>
      <c r="D105" s="26"/>
      <c r="E105" s="27">
        <f>+$H$2+(SENATBL47[[#This Row],[QUANTITE]]*SENATBL47[[#This Row],[PRIX UNITAIRE]])</f>
        <v>0</v>
      </c>
      <c r="F105" s="31"/>
      <c r="G105" s="29">
        <f>SUM(E$9:$E105)-SUM(F$9:$F105)</f>
        <v>580000</v>
      </c>
    </row>
    <row r="106" spans="1:7" ht="28.8" x14ac:dyDescent="0.55000000000000004">
      <c r="A106" s="24"/>
      <c r="B106" s="25"/>
      <c r="C106" s="26"/>
      <c r="D106" s="26"/>
      <c r="E106" s="27">
        <f>+$H$2+(SENATBL47[[#This Row],[QUANTITE]]*SENATBL47[[#This Row],[PRIX UNITAIRE]])</f>
        <v>0</v>
      </c>
      <c r="F106" s="31"/>
      <c r="G106" s="29">
        <f>SUM(E$9:$E106)-SUM(F$9:$F106)</f>
        <v>580000</v>
      </c>
    </row>
    <row r="107" spans="1:7" ht="28.8" x14ac:dyDescent="0.55000000000000004">
      <c r="A107" s="24"/>
      <c r="B107" s="25"/>
      <c r="C107" s="26"/>
      <c r="D107" s="26"/>
      <c r="E107" s="27">
        <f>+$H$2+(SENATBL47[[#This Row],[QUANTITE]]*SENATBL47[[#This Row],[PRIX UNITAIRE]])</f>
        <v>0</v>
      </c>
      <c r="F107" s="31"/>
      <c r="G107" s="29">
        <f>SUM(E$9:$E107)-SUM(F$9:$F107)</f>
        <v>580000</v>
      </c>
    </row>
    <row r="108" spans="1:7" ht="28.8" x14ac:dyDescent="0.55000000000000004">
      <c r="A108" s="24"/>
      <c r="B108" s="25"/>
      <c r="C108" s="26"/>
      <c r="D108" s="26"/>
      <c r="E108" s="27">
        <f>+$H$2+(SENATBL47[[#This Row],[QUANTITE]]*SENATBL47[[#This Row],[PRIX UNITAIRE]])</f>
        <v>0</v>
      </c>
      <c r="F108" s="31"/>
      <c r="G108" s="29">
        <f>SUM(E$9:$E108)-SUM(F$9:$F108)</f>
        <v>580000</v>
      </c>
    </row>
    <row r="109" spans="1:7" ht="28.8" x14ac:dyDescent="0.55000000000000004">
      <c r="A109" s="24"/>
      <c r="B109" s="25"/>
      <c r="C109" s="26"/>
      <c r="D109" s="26"/>
      <c r="E109" s="27">
        <f>+$H$2+(SENATBL47[[#This Row],[QUANTITE]]*SENATBL47[[#This Row],[PRIX UNITAIRE]])</f>
        <v>0</v>
      </c>
      <c r="F109" s="31"/>
      <c r="G109" s="29">
        <f>SUM(E$9:$E109)-SUM(F$9:$F109)</f>
        <v>580000</v>
      </c>
    </row>
    <row r="110" spans="1:7" ht="28.8" x14ac:dyDescent="0.55000000000000004">
      <c r="A110" s="82"/>
      <c r="B110" s="83"/>
      <c r="C110" s="84"/>
      <c r="D110" s="84"/>
      <c r="E110" s="85">
        <f>+$H$2+(SENATBL47[[#This Row],[QUANTITE]]*SENATBL47[[#This Row],[PRIX UNITAIRE]])</f>
        <v>0</v>
      </c>
      <c r="F110" s="88"/>
      <c r="G110" s="87">
        <f>SUM(E$9:$E110)-SUM(F$9:$F110)</f>
        <v>580000</v>
      </c>
    </row>
    <row r="111" spans="1:7" ht="28.8" x14ac:dyDescent="0.55000000000000004">
      <c r="A111" s="82"/>
      <c r="B111" s="83"/>
      <c r="C111" s="84"/>
      <c r="D111" s="84"/>
      <c r="E111" s="85">
        <f>+$H$2+(SENATBL47[[#This Row],[QUANTITE]]*SENATBL47[[#This Row],[PRIX UNITAIRE]])</f>
        <v>0</v>
      </c>
      <c r="F111" s="88"/>
      <c r="G111" s="87">
        <f>SUM(E$9:$E111)-SUM(F$9:$F111)</f>
        <v>580000</v>
      </c>
    </row>
    <row r="112" spans="1:7" ht="28.8" x14ac:dyDescent="0.55000000000000004">
      <c r="A112" s="82"/>
      <c r="B112" s="83"/>
      <c r="C112" s="84"/>
      <c r="D112" s="84"/>
      <c r="E112" s="85">
        <f>+$H$2+(SENATBL47[[#This Row],[QUANTITE]]*SENATBL47[[#This Row],[PRIX UNITAIRE]])</f>
        <v>0</v>
      </c>
      <c r="F112" s="88"/>
      <c r="G112" s="87">
        <f>SUM(E$9:$E112)-SUM(F$9:$F112)</f>
        <v>580000</v>
      </c>
    </row>
    <row r="113" spans="1:7" ht="28.8" x14ac:dyDescent="0.55000000000000004">
      <c r="A113" s="82"/>
      <c r="B113" s="83"/>
      <c r="C113" s="84"/>
      <c r="D113" s="84"/>
      <c r="E113" s="85">
        <f>+$H$2+(SENATBL47[[#This Row],[QUANTITE]]*SENATBL47[[#This Row],[PRIX UNITAIRE]])</f>
        <v>0</v>
      </c>
      <c r="F113" s="88"/>
      <c r="G113" s="87">
        <f>SUM(E$9:$E113)-SUM(F$9:$F113)</f>
        <v>580000</v>
      </c>
    </row>
    <row r="114" spans="1:7" ht="28.8" x14ac:dyDescent="0.55000000000000004">
      <c r="A114" s="82"/>
      <c r="B114" s="83"/>
      <c r="C114" s="84"/>
      <c r="D114" s="84"/>
      <c r="E114" s="85">
        <f>+$H$2+(SENATBL47[[#This Row],[QUANTITE]]*SENATBL47[[#This Row],[PRIX UNITAIRE]])</f>
        <v>0</v>
      </c>
      <c r="F114" s="88"/>
      <c r="G114" s="87">
        <f>SUM(E$9:$E114)-SUM(F$9:$F114)</f>
        <v>580000</v>
      </c>
    </row>
    <row r="115" spans="1:7" ht="28.8" x14ac:dyDescent="0.55000000000000004">
      <c r="A115" s="82"/>
      <c r="B115" s="83"/>
      <c r="C115" s="84"/>
      <c r="D115" s="84"/>
      <c r="E115" s="85">
        <f>+$H$2+(SENATBL47[[#This Row],[QUANTITE]]*SENATBL47[[#This Row],[PRIX UNITAIRE]])</f>
        <v>0</v>
      </c>
      <c r="F115" s="88"/>
      <c r="G115" s="87">
        <f>SUM(E$9:$E115)-SUM(F$9:$F115)</f>
        <v>580000</v>
      </c>
    </row>
    <row r="116" spans="1:7" ht="28.8" x14ac:dyDescent="0.55000000000000004">
      <c r="A116" s="82"/>
      <c r="B116" s="83"/>
      <c r="C116" s="84"/>
      <c r="D116" s="84"/>
      <c r="E116" s="85">
        <f>+$H$2+(SENATBL47[[#This Row],[QUANTITE]]*SENATBL47[[#This Row],[PRIX UNITAIRE]])</f>
        <v>0</v>
      </c>
      <c r="F116" s="88"/>
      <c r="G116" s="87">
        <f>SUM(E$9:$E116)-SUM(F$9:$F116)</f>
        <v>580000</v>
      </c>
    </row>
    <row r="117" spans="1:7" ht="28.8" x14ac:dyDescent="0.55000000000000004">
      <c r="A117" s="82"/>
      <c r="B117" s="83"/>
      <c r="C117" s="84"/>
      <c r="D117" s="84"/>
      <c r="E117" s="85">
        <f>+$H$2+(SENATBL47[[#This Row],[QUANTITE]]*SENATBL47[[#This Row],[PRIX UNITAIRE]])</f>
        <v>0</v>
      </c>
      <c r="F117" s="88"/>
      <c r="G117" s="87">
        <f>SUM(E$9:$E117)-SUM(F$9:$F117)</f>
        <v>580000</v>
      </c>
    </row>
    <row r="118" spans="1:7" ht="28.8" x14ac:dyDescent="0.55000000000000004">
      <c r="A118" s="82"/>
      <c r="B118" s="83"/>
      <c r="C118" s="84"/>
      <c r="D118" s="84"/>
      <c r="E118" s="85">
        <f>+$H$2+(SENATBL47[[#This Row],[QUANTITE]]*SENATBL47[[#This Row],[PRIX UNITAIRE]])</f>
        <v>0</v>
      </c>
      <c r="F118" s="88"/>
      <c r="G118" s="87">
        <f>SUM(E$9:$E118)-SUM(F$9:$F118)</f>
        <v>580000</v>
      </c>
    </row>
    <row r="119" spans="1:7" ht="28.8" x14ac:dyDescent="0.55000000000000004">
      <c r="A119" s="82"/>
      <c r="B119" s="83"/>
      <c r="C119" s="84"/>
      <c r="D119" s="84"/>
      <c r="E119" s="85">
        <f>+$H$2+(SENATBL47[[#This Row],[QUANTITE]]*SENATBL47[[#This Row],[PRIX UNITAIRE]])</f>
        <v>0</v>
      </c>
      <c r="F119" s="88"/>
      <c r="G119" s="87">
        <f>SUM(E$9:$E119)-SUM(F$9:$F119)</f>
        <v>580000</v>
      </c>
    </row>
    <row r="120" spans="1:7" ht="28.8" x14ac:dyDescent="0.55000000000000004">
      <c r="A120" s="82"/>
      <c r="B120" s="83"/>
      <c r="C120" s="84"/>
      <c r="D120" s="84"/>
      <c r="E120" s="85">
        <f>+$H$2+(SENATBL47[[#This Row],[QUANTITE]]*SENATBL47[[#This Row],[PRIX UNITAIRE]])</f>
        <v>0</v>
      </c>
      <c r="F120" s="88"/>
      <c r="G120" s="87">
        <f>SUM(E$9:$E120)-SUM(F$9:$F120)</f>
        <v>580000</v>
      </c>
    </row>
    <row r="121" spans="1:7" ht="28.8" x14ac:dyDescent="0.55000000000000004">
      <c r="A121" s="82"/>
      <c r="B121" s="83"/>
      <c r="C121" s="84"/>
      <c r="D121" s="84"/>
      <c r="E121" s="85">
        <f>+$H$2+(SENATBL47[[#This Row],[QUANTITE]]*SENATBL47[[#This Row],[PRIX UNITAIRE]])</f>
        <v>0</v>
      </c>
      <c r="F121" s="88"/>
      <c r="G121" s="87">
        <f>SUM(E$9:$E121)-SUM(F$9:$F121)</f>
        <v>580000</v>
      </c>
    </row>
    <row r="122" spans="1:7" ht="28.8" x14ac:dyDescent="0.55000000000000004">
      <c r="A122" s="82"/>
      <c r="B122" s="83"/>
      <c r="C122" s="84"/>
      <c r="D122" s="84"/>
      <c r="E122" s="85">
        <f>+$H$2+(SENATBL47[[#This Row],[QUANTITE]]*SENATBL47[[#This Row],[PRIX UNITAIRE]])</f>
        <v>0</v>
      </c>
      <c r="F122" s="88"/>
      <c r="G122" s="87">
        <f>SUM(E$9:$E122)-SUM(F$9:$F122)</f>
        <v>580000</v>
      </c>
    </row>
    <row r="123" spans="1:7" ht="28.8" x14ac:dyDescent="0.55000000000000004">
      <c r="A123" s="82"/>
      <c r="B123" s="83"/>
      <c r="C123" s="84"/>
      <c r="D123" s="84"/>
      <c r="E123" s="85">
        <f>+$H$2+(SENATBL47[[#This Row],[QUANTITE]]*SENATBL47[[#This Row],[PRIX UNITAIRE]])</f>
        <v>0</v>
      </c>
      <c r="F123" s="88"/>
      <c r="G123" s="87">
        <f>SUM(E$9:$E123)-SUM(F$9:$F123)</f>
        <v>580000</v>
      </c>
    </row>
    <row r="124" spans="1:7" ht="28.8" x14ac:dyDescent="0.55000000000000004">
      <c r="A124" s="82"/>
      <c r="B124" s="83"/>
      <c r="C124" s="84"/>
      <c r="D124" s="84"/>
      <c r="E124" s="85">
        <f>+$H$2+(SENATBL47[[#This Row],[QUANTITE]]*SENATBL47[[#This Row],[PRIX UNITAIRE]])</f>
        <v>0</v>
      </c>
      <c r="F124" s="88"/>
      <c r="G124" s="87">
        <f>SUM(E$9:$E124)-SUM(F$9:$F124)</f>
        <v>580000</v>
      </c>
    </row>
    <row r="125" spans="1:7" ht="28.8" x14ac:dyDescent="0.55000000000000004">
      <c r="A125" s="82"/>
      <c r="B125" s="83"/>
      <c r="C125" s="84"/>
      <c r="D125" s="84"/>
      <c r="E125" s="85">
        <f>+$H$2+(SENATBL47[[#This Row],[QUANTITE]]*SENATBL47[[#This Row],[PRIX UNITAIRE]])</f>
        <v>0</v>
      </c>
      <c r="F125" s="88"/>
      <c r="G125" s="87">
        <f>SUM(E$9:$E125)-SUM(F$9:$F125)</f>
        <v>580000</v>
      </c>
    </row>
    <row r="126" spans="1:7" ht="28.8" x14ac:dyDescent="0.55000000000000004">
      <c r="A126" s="82"/>
      <c r="B126" s="83"/>
      <c r="C126" s="84"/>
      <c r="D126" s="84"/>
      <c r="E126" s="85">
        <f>+$H$2+(SENATBL47[[#This Row],[QUANTITE]]*SENATBL47[[#This Row],[PRIX UNITAIRE]])</f>
        <v>0</v>
      </c>
      <c r="F126" s="88"/>
      <c r="G126" s="87">
        <f>SUM(E$9:$E126)-SUM(F$9:$F126)</f>
        <v>580000</v>
      </c>
    </row>
    <row r="127" spans="1:7" ht="28.8" x14ac:dyDescent="0.55000000000000004">
      <c r="A127" s="82"/>
      <c r="B127" s="83"/>
      <c r="C127" s="84"/>
      <c r="D127" s="84"/>
      <c r="E127" s="85">
        <f>+$H$2+(SENATBL47[[#This Row],[QUANTITE]]*SENATBL47[[#This Row],[PRIX UNITAIRE]])</f>
        <v>0</v>
      </c>
      <c r="F127" s="88"/>
      <c r="G127" s="87">
        <f>SUM(E$9:$E127)-SUM(F$9:$F127)</f>
        <v>580000</v>
      </c>
    </row>
    <row r="128" spans="1:7" ht="28.8" x14ac:dyDescent="0.55000000000000004">
      <c r="A128" s="82"/>
      <c r="B128" s="83"/>
      <c r="C128" s="84"/>
      <c r="D128" s="84"/>
      <c r="E128" s="85">
        <f>+$H$2+(SENATBL47[[#This Row],[QUANTITE]]*SENATBL47[[#This Row],[PRIX UNITAIRE]])</f>
        <v>0</v>
      </c>
      <c r="F128" s="88"/>
      <c r="G128" s="87">
        <f>SUM(E$9:$E128)-SUM(F$9:$F128)</f>
        <v>580000</v>
      </c>
    </row>
    <row r="129" spans="1:7" ht="28.8" x14ac:dyDescent="0.55000000000000004">
      <c r="A129" s="82"/>
      <c r="B129" s="83"/>
      <c r="C129" s="84"/>
      <c r="D129" s="84"/>
      <c r="E129" s="85">
        <f>+$H$2+(SENATBL47[[#This Row],[QUANTITE]]*SENATBL47[[#This Row],[PRIX UNITAIRE]])</f>
        <v>0</v>
      </c>
      <c r="F129" s="88"/>
      <c r="G129" s="87">
        <f>SUM(E$9:$E129)-SUM(F$9:$F129)</f>
        <v>580000</v>
      </c>
    </row>
    <row r="130" spans="1:7" ht="28.8" x14ac:dyDescent="0.55000000000000004">
      <c r="A130" s="82"/>
      <c r="B130" s="83"/>
      <c r="C130" s="84"/>
      <c r="D130" s="84"/>
      <c r="E130" s="85">
        <f>+$H$2+(SENATBL47[[#This Row],[QUANTITE]]*SENATBL47[[#This Row],[PRIX UNITAIRE]])</f>
        <v>0</v>
      </c>
      <c r="F130" s="88"/>
      <c r="G130" s="87">
        <f>SUM(E$9:$E130)-SUM(F$9:$F130)</f>
        <v>580000</v>
      </c>
    </row>
    <row r="131" spans="1:7" ht="28.8" x14ac:dyDescent="0.55000000000000004">
      <c r="A131" s="82"/>
      <c r="B131" s="83"/>
      <c r="C131" s="84"/>
      <c r="D131" s="84"/>
      <c r="E131" s="85">
        <f>+$H$2+(SENATBL47[[#This Row],[QUANTITE]]*SENATBL47[[#This Row],[PRIX UNITAIRE]])</f>
        <v>0</v>
      </c>
      <c r="F131" s="88"/>
      <c r="G131" s="87">
        <f>SUM(E$9:$E131)-SUM(F$9:$F131)</f>
        <v>580000</v>
      </c>
    </row>
    <row r="132" spans="1:7" ht="28.8" x14ac:dyDescent="0.55000000000000004">
      <c r="A132" s="82"/>
      <c r="B132" s="83"/>
      <c r="C132" s="84"/>
      <c r="D132" s="84"/>
      <c r="E132" s="85">
        <f>+$H$2+(SENATBL47[[#This Row],[QUANTITE]]*SENATBL47[[#This Row],[PRIX UNITAIRE]])</f>
        <v>0</v>
      </c>
      <c r="F132" s="88"/>
      <c r="G132" s="87">
        <f>SUM(E$9:$E132)-SUM(F$9:$F132)</f>
        <v>580000</v>
      </c>
    </row>
    <row r="133" spans="1:7" ht="28.8" x14ac:dyDescent="0.55000000000000004">
      <c r="A133" s="82"/>
      <c r="B133" s="83"/>
      <c r="C133" s="84"/>
      <c r="D133" s="84"/>
      <c r="E133" s="85">
        <f>+$H$2+(SENATBL47[[#This Row],[QUANTITE]]*SENATBL47[[#This Row],[PRIX UNITAIRE]])</f>
        <v>0</v>
      </c>
      <c r="F133" s="88"/>
      <c r="G133" s="87">
        <f>SUM(E$9:$E133)-SUM(F$9:$F133)</f>
        <v>580000</v>
      </c>
    </row>
    <row r="134" spans="1:7" ht="28.8" x14ac:dyDescent="0.55000000000000004">
      <c r="A134" s="82"/>
      <c r="B134" s="83"/>
      <c r="C134" s="84"/>
      <c r="D134" s="84"/>
      <c r="E134" s="85">
        <f>+$H$2+(SENATBL47[[#This Row],[QUANTITE]]*SENATBL47[[#This Row],[PRIX UNITAIRE]])</f>
        <v>0</v>
      </c>
      <c r="F134" s="88"/>
      <c r="G134" s="87">
        <f>SUM(E$9:$E134)-SUM(F$9:$F134)</f>
        <v>580000</v>
      </c>
    </row>
    <row r="135" spans="1:7" ht="28.8" x14ac:dyDescent="0.55000000000000004">
      <c r="A135" s="82"/>
      <c r="B135" s="83"/>
      <c r="C135" s="84"/>
      <c r="D135" s="84"/>
      <c r="E135" s="85">
        <f>+$H$2+(SENATBL47[[#This Row],[QUANTITE]]*SENATBL47[[#This Row],[PRIX UNITAIRE]])</f>
        <v>0</v>
      </c>
      <c r="F135" s="88"/>
      <c r="G135" s="87">
        <f>SUM(E$9:$E135)-SUM(F$9:$F135)</f>
        <v>580000</v>
      </c>
    </row>
    <row r="136" spans="1:7" ht="28.8" x14ac:dyDescent="0.55000000000000004">
      <c r="A136" s="82"/>
      <c r="B136" s="83"/>
      <c r="C136" s="84"/>
      <c r="D136" s="84"/>
      <c r="E136" s="85">
        <f>+$H$2+(SENATBL47[[#This Row],[QUANTITE]]*SENATBL47[[#This Row],[PRIX UNITAIRE]])</f>
        <v>0</v>
      </c>
      <c r="F136" s="88"/>
      <c r="G136" s="87">
        <f>SUM(E$9:$E136)-SUM(F$9:$F136)</f>
        <v>580000</v>
      </c>
    </row>
    <row r="137" spans="1:7" ht="28.8" x14ac:dyDescent="0.55000000000000004">
      <c r="A137" s="82"/>
      <c r="B137" s="83"/>
      <c r="C137" s="84"/>
      <c r="D137" s="84"/>
      <c r="E137" s="85">
        <f>+$H$2+(SENATBL47[[#This Row],[QUANTITE]]*SENATBL47[[#This Row],[PRIX UNITAIRE]])</f>
        <v>0</v>
      </c>
      <c r="F137" s="88"/>
      <c r="G137" s="87">
        <f>SUM(E$9:$E137)-SUM(F$9:$F137)</f>
        <v>580000</v>
      </c>
    </row>
    <row r="138" spans="1:7" ht="28.8" x14ac:dyDescent="0.55000000000000004">
      <c r="A138" s="82"/>
      <c r="B138" s="83"/>
      <c r="C138" s="84"/>
      <c r="D138" s="84"/>
      <c r="E138" s="85">
        <f>+$H$2+(SENATBL47[[#This Row],[QUANTITE]]*SENATBL47[[#This Row],[PRIX UNITAIRE]])</f>
        <v>0</v>
      </c>
      <c r="F138" s="88"/>
      <c r="G138" s="87">
        <f>SUM(E$9:$E138)-SUM(F$9:$F138)</f>
        <v>580000</v>
      </c>
    </row>
    <row r="139" spans="1:7" ht="28.8" x14ac:dyDescent="0.55000000000000004">
      <c r="A139" s="82"/>
      <c r="B139" s="83"/>
      <c r="C139" s="84"/>
      <c r="D139" s="84"/>
      <c r="E139" s="85">
        <f>+$H$2+(SENATBL47[[#This Row],[QUANTITE]]*SENATBL47[[#This Row],[PRIX UNITAIRE]])</f>
        <v>0</v>
      </c>
      <c r="F139" s="88"/>
      <c r="G139" s="87">
        <f>SUM(E$9:$E139)-SUM(F$9:$F139)</f>
        <v>580000</v>
      </c>
    </row>
    <row r="140" spans="1:7" ht="28.8" x14ac:dyDescent="0.55000000000000004">
      <c r="A140" s="82"/>
      <c r="B140" s="83"/>
      <c r="C140" s="84"/>
      <c r="D140" s="84"/>
      <c r="E140" s="85">
        <f>+$H$2+(SENATBL47[[#This Row],[QUANTITE]]*SENATBL47[[#This Row],[PRIX UNITAIRE]])</f>
        <v>0</v>
      </c>
      <c r="F140" s="88"/>
      <c r="G140" s="87">
        <f>SUM(E$9:$E140)-SUM(F$9:$F140)</f>
        <v>580000</v>
      </c>
    </row>
    <row r="141" spans="1:7" ht="28.8" x14ac:dyDescent="0.55000000000000004">
      <c r="A141" s="82"/>
      <c r="B141" s="83"/>
      <c r="C141" s="84"/>
      <c r="D141" s="84"/>
      <c r="E141" s="85">
        <f>+$H$2+(SENATBL47[[#This Row],[QUANTITE]]*SENATBL47[[#This Row],[PRIX UNITAIRE]])</f>
        <v>0</v>
      </c>
      <c r="F141" s="88"/>
      <c r="G141" s="87">
        <f>SUM(E$9:$E141)-SUM(F$9:$F141)</f>
        <v>580000</v>
      </c>
    </row>
    <row r="142" spans="1:7" ht="28.8" x14ac:dyDescent="0.55000000000000004">
      <c r="A142" s="82"/>
      <c r="B142" s="83"/>
      <c r="C142" s="84"/>
      <c r="D142" s="84"/>
      <c r="E142" s="85">
        <f>+$H$2+(SENATBL47[[#This Row],[QUANTITE]]*SENATBL47[[#This Row],[PRIX UNITAIRE]])</f>
        <v>0</v>
      </c>
      <c r="F142" s="88"/>
      <c r="G142" s="87">
        <f>SUM(E$9:$E142)-SUM(F$9:$F142)</f>
        <v>580000</v>
      </c>
    </row>
    <row r="143" spans="1:7" ht="28.8" x14ac:dyDescent="0.55000000000000004">
      <c r="A143" s="82"/>
      <c r="B143" s="83"/>
      <c r="C143" s="84"/>
      <c r="D143" s="84"/>
      <c r="E143" s="85">
        <f>+$H$2+(SENATBL47[[#This Row],[QUANTITE]]*SENATBL47[[#This Row],[PRIX UNITAIRE]])</f>
        <v>0</v>
      </c>
      <c r="F143" s="88"/>
      <c r="G143" s="87">
        <f>SUM(E$9:$E143)-SUM(F$9:$F143)</f>
        <v>580000</v>
      </c>
    </row>
    <row r="144" spans="1:7" ht="28.8" x14ac:dyDescent="0.55000000000000004">
      <c r="A144" s="82"/>
      <c r="B144" s="83"/>
      <c r="C144" s="84"/>
      <c r="D144" s="84"/>
      <c r="E144" s="85">
        <f>+$H$2+(SENATBL47[[#This Row],[QUANTITE]]*SENATBL47[[#This Row],[PRIX UNITAIRE]])</f>
        <v>0</v>
      </c>
      <c r="F144" s="88"/>
      <c r="G144" s="87">
        <f>SUM(E$9:$E144)-SUM(F$9:$F144)</f>
        <v>580000</v>
      </c>
    </row>
    <row r="145" spans="1:7" ht="28.8" x14ac:dyDescent="0.55000000000000004">
      <c r="A145" s="82"/>
      <c r="B145" s="83"/>
      <c r="C145" s="84"/>
      <c r="D145" s="84"/>
      <c r="E145" s="85">
        <f>+$H$2+(SENATBL47[[#This Row],[QUANTITE]]*SENATBL47[[#This Row],[PRIX UNITAIRE]])</f>
        <v>0</v>
      </c>
      <c r="F145" s="88"/>
      <c r="G145" s="87">
        <f>SUM(E$9:$E145)-SUM(F$9:$F145)</f>
        <v>580000</v>
      </c>
    </row>
    <row r="146" spans="1:7" ht="28.8" x14ac:dyDescent="0.55000000000000004">
      <c r="A146" s="82"/>
      <c r="B146" s="83"/>
      <c r="C146" s="84"/>
      <c r="D146" s="84"/>
      <c r="E146" s="85">
        <f>+$H$2+(SENATBL47[[#This Row],[QUANTITE]]*SENATBL47[[#This Row],[PRIX UNITAIRE]])</f>
        <v>0</v>
      </c>
      <c r="F146" s="88"/>
      <c r="G146" s="87">
        <f>SUM(E$9:$E146)-SUM(F$9:$F146)</f>
        <v>580000</v>
      </c>
    </row>
    <row r="147" spans="1:7" ht="28.8" x14ac:dyDescent="0.55000000000000004">
      <c r="A147" s="82"/>
      <c r="B147" s="83"/>
      <c r="C147" s="84"/>
      <c r="D147" s="84"/>
      <c r="E147" s="85">
        <f>+$H$2+(SENATBL47[[#This Row],[QUANTITE]]*SENATBL47[[#This Row],[PRIX UNITAIRE]])</f>
        <v>0</v>
      </c>
      <c r="F147" s="88"/>
      <c r="G147" s="87">
        <f>SUM(E$9:$E147)-SUM(F$9:$F147)</f>
        <v>580000</v>
      </c>
    </row>
    <row r="148" spans="1:7" ht="28.8" x14ac:dyDescent="0.55000000000000004">
      <c r="A148" s="82"/>
      <c r="B148" s="83"/>
      <c r="C148" s="84"/>
      <c r="D148" s="84"/>
      <c r="E148" s="85">
        <f>+$H$2+(SENATBL47[[#This Row],[QUANTITE]]*SENATBL47[[#This Row],[PRIX UNITAIRE]])</f>
        <v>0</v>
      </c>
      <c r="F148" s="88"/>
      <c r="G148" s="87">
        <f>SUM(E$9:$E148)-SUM(F$9:$F148)</f>
        <v>580000</v>
      </c>
    </row>
    <row r="149" spans="1:7" ht="28.8" x14ac:dyDescent="0.55000000000000004">
      <c r="A149" s="82"/>
      <c r="B149" s="83"/>
      <c r="C149" s="84"/>
      <c r="D149" s="84"/>
      <c r="E149" s="85">
        <f>+$H$2+(SENATBL47[[#This Row],[QUANTITE]]*SENATBL47[[#This Row],[PRIX UNITAIRE]])</f>
        <v>0</v>
      </c>
      <c r="F149" s="88"/>
      <c r="G149" s="87">
        <f>SUM(E$9:$E149)-SUM(F$9:$F149)</f>
        <v>580000</v>
      </c>
    </row>
    <row r="150" spans="1:7" ht="28.8" x14ac:dyDescent="0.55000000000000004">
      <c r="A150" s="82"/>
      <c r="B150" s="83"/>
      <c r="C150" s="84"/>
      <c r="D150" s="84"/>
      <c r="E150" s="85">
        <f>+$H$2+(SENATBL47[[#This Row],[QUANTITE]]*SENATBL47[[#This Row],[PRIX UNITAIRE]])</f>
        <v>0</v>
      </c>
      <c r="F150" s="88"/>
      <c r="G150" s="87">
        <f>SUM(E$9:$E150)-SUM(F$9:$F150)</f>
        <v>580000</v>
      </c>
    </row>
    <row r="151" spans="1:7" ht="28.8" x14ac:dyDescent="0.55000000000000004">
      <c r="A151" s="82"/>
      <c r="B151" s="83"/>
      <c r="C151" s="84"/>
      <c r="D151" s="84"/>
      <c r="E151" s="85">
        <f>+$H$2+(SENATBL47[[#This Row],[QUANTITE]]*SENATBL47[[#This Row],[PRIX UNITAIRE]])</f>
        <v>0</v>
      </c>
      <c r="F151" s="88"/>
      <c r="G151" s="87">
        <f>SUM(E$9:$E151)-SUM(F$9:$F151)</f>
        <v>580000</v>
      </c>
    </row>
    <row r="152" spans="1:7" ht="28.8" x14ac:dyDescent="0.55000000000000004">
      <c r="A152" s="82"/>
      <c r="B152" s="83"/>
      <c r="C152" s="84"/>
      <c r="D152" s="84"/>
      <c r="E152" s="85">
        <f>+$H$2+(SENATBL47[[#This Row],[QUANTITE]]*SENATBL47[[#This Row],[PRIX UNITAIRE]])</f>
        <v>0</v>
      </c>
      <c r="F152" s="88"/>
      <c r="G152" s="87">
        <f>SUM(E$9:$E152)-SUM(F$9:$F152)</f>
        <v>580000</v>
      </c>
    </row>
    <row r="153" spans="1:7" ht="28.8" x14ac:dyDescent="0.55000000000000004">
      <c r="A153" s="82"/>
      <c r="B153" s="83"/>
      <c r="C153" s="84"/>
      <c r="D153" s="84"/>
      <c r="E153" s="85">
        <f>+$H$2+(SENATBL47[[#This Row],[QUANTITE]]*SENATBL47[[#This Row],[PRIX UNITAIRE]])</f>
        <v>0</v>
      </c>
      <c r="F153" s="88"/>
      <c r="G153" s="87">
        <f>SUM(E$9:$E153)-SUM(F$9:$F153)</f>
        <v>580000</v>
      </c>
    </row>
    <row r="154" spans="1:7" ht="28.8" x14ac:dyDescent="0.55000000000000004">
      <c r="A154" s="82"/>
      <c r="B154" s="83"/>
      <c r="C154" s="84"/>
      <c r="D154" s="84"/>
      <c r="E154" s="85">
        <f>+$H$2+(SENATBL47[[#This Row],[QUANTITE]]*SENATBL47[[#This Row],[PRIX UNITAIRE]])</f>
        <v>0</v>
      </c>
      <c r="F154" s="88"/>
      <c r="G154" s="87">
        <f>SUM(E$9:$E154)-SUM(F$9:$F154)</f>
        <v>580000</v>
      </c>
    </row>
    <row r="155" spans="1:7" ht="28.8" x14ac:dyDescent="0.55000000000000004">
      <c r="A155" s="82"/>
      <c r="B155" s="83"/>
      <c r="C155" s="84"/>
      <c r="D155" s="84"/>
      <c r="E155" s="85">
        <f>+$H$2+(SENATBL47[[#This Row],[QUANTITE]]*SENATBL47[[#This Row],[PRIX UNITAIRE]])</f>
        <v>0</v>
      </c>
      <c r="F155" s="88"/>
      <c r="G155" s="87">
        <f>SUM(E$9:$E155)-SUM(F$9:$F155)</f>
        <v>580000</v>
      </c>
    </row>
    <row r="156" spans="1:7" ht="28.8" x14ac:dyDescent="0.55000000000000004">
      <c r="A156" s="82"/>
      <c r="B156" s="83"/>
      <c r="C156" s="84"/>
      <c r="D156" s="84"/>
      <c r="E156" s="85">
        <f>+$H$2+(SENATBL47[[#This Row],[QUANTITE]]*SENATBL47[[#This Row],[PRIX UNITAIRE]])</f>
        <v>0</v>
      </c>
      <c r="F156" s="88"/>
      <c r="G156" s="87">
        <f>SUM(E$9:$E156)-SUM(F$9:$F156)</f>
        <v>580000</v>
      </c>
    </row>
    <row r="157" spans="1:7" ht="28.8" x14ac:dyDescent="0.55000000000000004">
      <c r="A157" s="82"/>
      <c r="B157" s="83"/>
      <c r="C157" s="84"/>
      <c r="D157" s="84"/>
      <c r="E157" s="85">
        <f>+$H$2+(SENATBL47[[#This Row],[QUANTITE]]*SENATBL47[[#This Row],[PRIX UNITAIRE]])</f>
        <v>0</v>
      </c>
      <c r="F157" s="88"/>
      <c r="G157" s="87">
        <f>SUM(E$9:$E157)-SUM(F$9:$F157)</f>
        <v>580000</v>
      </c>
    </row>
    <row r="158" spans="1:7" ht="28.8" x14ac:dyDescent="0.55000000000000004">
      <c r="A158" s="82"/>
      <c r="B158" s="83"/>
      <c r="C158" s="84"/>
      <c r="D158" s="84"/>
      <c r="E158" s="85">
        <f>+$H$2+(SENATBL47[[#This Row],[QUANTITE]]*SENATBL47[[#This Row],[PRIX UNITAIRE]])</f>
        <v>0</v>
      </c>
      <c r="F158" s="88"/>
      <c r="G158" s="87">
        <f>SUM(E$9:$E158)-SUM(F$9:$F158)</f>
        <v>580000</v>
      </c>
    </row>
    <row r="159" spans="1:7" ht="28.8" x14ac:dyDescent="0.55000000000000004">
      <c r="A159" s="82"/>
      <c r="B159" s="83"/>
      <c r="C159" s="84"/>
      <c r="D159" s="84"/>
      <c r="E159" s="85">
        <f>+$H$2+(SENATBL47[[#This Row],[QUANTITE]]*SENATBL47[[#This Row],[PRIX UNITAIRE]])</f>
        <v>0</v>
      </c>
      <c r="F159" s="88"/>
      <c r="G159" s="87">
        <f>SUM(E$9:$E159)-SUM(F$9:$F159)</f>
        <v>580000</v>
      </c>
    </row>
  </sheetData>
  <sheetProtection selectLockedCells="1" autoFilter="0"/>
  <mergeCells count="1">
    <mergeCell ref="B6:C6"/>
  </mergeCells>
  <conditionalFormatting sqref="B9 B11:B109">
    <cfRule type="expression" dxfId="1026" priority="6">
      <formula>$F9</formula>
    </cfRule>
  </conditionalFormatting>
  <conditionalFormatting sqref="G4">
    <cfRule type="cellIs" dxfId="1025" priority="3" operator="lessThan">
      <formula>0</formula>
    </cfRule>
    <cfRule type="cellIs" dxfId="1024" priority="4" operator="greaterThan">
      <formula>0</formula>
    </cfRule>
  </conditionalFormatting>
  <conditionalFormatting sqref="A1:C1 A2:G4">
    <cfRule type="expression" dxfId="1023" priority="2">
      <formula>$E$6=FALSE</formula>
    </cfRule>
  </conditionalFormatting>
  <dataValidations count="1">
    <dataValidation type="date" operator="greaterThan" allowBlank="1" showInputMessage="1" showErrorMessage="1" error="VEILLEZ ENTRER UNE DATE VALIDE" sqref="A9:A159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I109"/>
  <sheetViews>
    <sheetView showGridLines="0" zoomScale="60" zoomScaleNormal="60" workbookViewId="0">
      <pane ySplit="8" topLeftCell="A19" activePane="bottomLeft" state="frozen"/>
      <selection sqref="A1:G4"/>
      <selection pane="bottomLeft" activeCell="B33" sqref="B33"/>
    </sheetView>
  </sheetViews>
  <sheetFormatPr baseColWidth="10" defaultColWidth="11.5546875" defaultRowHeight="14.4" x14ac:dyDescent="0.3"/>
  <cols>
    <col min="1" max="1" width="22.77734375" style="1" bestFit="1" customWidth="1"/>
    <col min="2" max="2" width="51.21875" style="1" customWidth="1"/>
    <col min="3" max="3" width="19.77734375" style="1" bestFit="1" customWidth="1"/>
    <col min="4" max="4" width="45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32"/>
      <c r="B1" s="32"/>
      <c r="C1" s="32"/>
    </row>
    <row r="2" spans="1:9" ht="36" customHeight="1" thickBot="1" x14ac:dyDescent="0.65">
      <c r="A2" s="32"/>
      <c r="B2" s="32"/>
      <c r="C2" s="32"/>
      <c r="D2" s="39"/>
      <c r="E2" s="40"/>
      <c r="F2" s="40"/>
      <c r="G2" s="40"/>
      <c r="I2" s="1">
        <v>0</v>
      </c>
    </row>
    <row r="3" spans="1:9" ht="31.8" thickBot="1" x14ac:dyDescent="0.35">
      <c r="A3" s="32"/>
      <c r="B3" s="32"/>
      <c r="C3" s="32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32"/>
      <c r="B4" s="32"/>
      <c r="C4" s="32"/>
      <c r="D4" s="38" t="s">
        <v>1224</v>
      </c>
      <c r="E4" s="41">
        <f>+SUM(NETCOM[TOTAL MONTANT])</f>
        <v>7550000</v>
      </c>
      <c r="F4" s="41">
        <f>+SUM(NETCOM[VERSEMENT])</f>
        <v>3890000</v>
      </c>
      <c r="G4" s="41">
        <f>+E4-F4</f>
        <v>3660000</v>
      </c>
    </row>
    <row r="5" spans="1:9" ht="29.4" thickBot="1" x14ac:dyDescent="0.35">
      <c r="B5" s="3" t="s">
        <v>7</v>
      </c>
    </row>
    <row r="6" spans="1:9" ht="37.200000000000003" thickBot="1" x14ac:dyDescent="0.75">
      <c r="B6" s="168" t="s">
        <v>2781</v>
      </c>
      <c r="C6" s="169"/>
      <c r="E6" s="51" t="b">
        <v>1</v>
      </c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45863</v>
      </c>
      <c r="B9" s="13" t="s">
        <v>2781</v>
      </c>
      <c r="C9" s="10"/>
      <c r="D9" s="10"/>
      <c r="E9" s="7">
        <f>+$I$2+(NETCOM[[#This Row],[QUANTITE]]*NETCOM[[#This Row],[PRIX UNITAIRE]])</f>
        <v>0</v>
      </c>
      <c r="F9" s="22"/>
      <c r="G9" s="6">
        <f>SUM(E$9:$E9)-SUM(F$9:$F9)</f>
        <v>0</v>
      </c>
    </row>
    <row r="10" spans="1:9" ht="28.8" x14ac:dyDescent="0.55000000000000004">
      <c r="A10" s="12">
        <v>45863</v>
      </c>
      <c r="B10" s="13" t="s">
        <v>2782</v>
      </c>
      <c r="C10" s="10">
        <v>4</v>
      </c>
      <c r="D10" s="10">
        <v>150000</v>
      </c>
      <c r="E10" s="27">
        <f>+$I$2+(NETCOM[[#This Row],[QUANTITE]]*NETCOM[[#This Row],[PRIX UNITAIRE]])</f>
        <v>600000</v>
      </c>
      <c r="F10" s="31"/>
      <c r="G10" s="29">
        <f>SUM(E$9:$E10)-SUM(F$9:$F10)</f>
        <v>600000</v>
      </c>
    </row>
    <row r="11" spans="1:9" ht="28.8" x14ac:dyDescent="0.55000000000000004">
      <c r="A11" s="12">
        <v>45863</v>
      </c>
      <c r="B11" s="13" t="s">
        <v>260</v>
      </c>
      <c r="C11" s="10">
        <v>1</v>
      </c>
      <c r="D11" s="10">
        <v>165000</v>
      </c>
      <c r="E11" s="27">
        <f>+$I$2+(NETCOM[[#This Row],[QUANTITE]]*NETCOM[[#This Row],[PRIX UNITAIRE]])</f>
        <v>165000</v>
      </c>
      <c r="F11" s="31"/>
      <c r="G11" s="10">
        <f>SUM(E$9:$E11)-SUM(F$9:$F11)</f>
        <v>765000</v>
      </c>
    </row>
    <row r="12" spans="1:9" ht="28.8" x14ac:dyDescent="0.55000000000000004">
      <c r="A12" s="12">
        <v>45863</v>
      </c>
      <c r="B12" s="13" t="s">
        <v>1243</v>
      </c>
      <c r="C12" s="10">
        <v>2</v>
      </c>
      <c r="D12" s="10">
        <v>185000</v>
      </c>
      <c r="E12" s="27">
        <f>+$I$2+(NETCOM[[#This Row],[QUANTITE]]*NETCOM[[#This Row],[PRIX UNITAIRE]])</f>
        <v>370000</v>
      </c>
      <c r="F12" s="31"/>
      <c r="G12" s="29">
        <f>SUM(E$9:$E12)-SUM(F$9:$F12)</f>
        <v>1135000</v>
      </c>
    </row>
    <row r="13" spans="1:9" ht="28.8" x14ac:dyDescent="0.55000000000000004">
      <c r="A13" s="12">
        <v>45863</v>
      </c>
      <c r="B13" s="13" t="s">
        <v>2783</v>
      </c>
      <c r="C13" s="10">
        <v>4</v>
      </c>
      <c r="D13" s="10">
        <v>110000</v>
      </c>
      <c r="E13" s="27">
        <f>+$I$2+(NETCOM[[#This Row],[QUANTITE]]*NETCOM[[#This Row],[PRIX UNITAIRE]])</f>
        <v>440000</v>
      </c>
      <c r="F13" s="31"/>
      <c r="G13" s="29">
        <f>SUM(E$9:$E13)-SUM(F$9:$F13)</f>
        <v>1575000</v>
      </c>
    </row>
    <row r="14" spans="1:9" ht="28.8" x14ac:dyDescent="0.55000000000000004">
      <c r="A14" s="12">
        <v>45863</v>
      </c>
      <c r="B14" s="13" t="s">
        <v>1244</v>
      </c>
      <c r="C14" s="10"/>
      <c r="D14" s="10"/>
      <c r="E14" s="27">
        <f>+$I$2+(NETCOM[[#This Row],[QUANTITE]]*NETCOM[[#This Row],[PRIX UNITAIRE]])</f>
        <v>0</v>
      </c>
      <c r="F14" s="31">
        <v>1575000</v>
      </c>
      <c r="G14" s="29">
        <f>SUM(E$9:$E14)-SUM(F$9:$F14)</f>
        <v>0</v>
      </c>
    </row>
    <row r="15" spans="1:9" ht="28.8" x14ac:dyDescent="0.55000000000000004">
      <c r="A15" s="24">
        <v>45871</v>
      </c>
      <c r="B15" s="13" t="s">
        <v>2965</v>
      </c>
      <c r="C15" s="26">
        <v>1</v>
      </c>
      <c r="D15" s="26">
        <v>400000</v>
      </c>
      <c r="E15" s="27">
        <f>+$I$2+(NETCOM[[#This Row],[QUANTITE]]*NETCOM[[#This Row],[PRIX UNITAIRE]])</f>
        <v>400000</v>
      </c>
      <c r="F15" s="31"/>
      <c r="G15" s="29">
        <f>SUM(E$9:$E15)-SUM(F$9:$F15)</f>
        <v>400000</v>
      </c>
    </row>
    <row r="16" spans="1:9" ht="28.8" x14ac:dyDescent="0.55000000000000004">
      <c r="A16" s="24">
        <v>45871</v>
      </c>
      <c r="B16" s="13" t="s">
        <v>1006</v>
      </c>
      <c r="C16" s="26">
        <v>2</v>
      </c>
      <c r="D16" s="26">
        <v>400000</v>
      </c>
      <c r="E16" s="27">
        <f>+$I$2+(NETCOM[[#This Row],[QUANTITE]]*NETCOM[[#This Row],[PRIX UNITAIRE]])</f>
        <v>800000</v>
      </c>
      <c r="F16" s="31"/>
      <c r="G16" s="29">
        <f>SUM(E$9:$E16)-SUM(F$9:$F16)</f>
        <v>1200000</v>
      </c>
    </row>
    <row r="17" spans="1:7" ht="28.8" x14ac:dyDescent="0.55000000000000004">
      <c r="A17" s="24">
        <v>45871</v>
      </c>
      <c r="B17" s="13" t="s">
        <v>1244</v>
      </c>
      <c r="C17" s="26"/>
      <c r="D17" s="26"/>
      <c r="E17" s="27">
        <f>+$I$2+(NETCOM[[#This Row],[QUANTITE]]*NETCOM[[#This Row],[PRIX UNITAIRE]])</f>
        <v>0</v>
      </c>
      <c r="F17" s="31">
        <v>1200000</v>
      </c>
      <c r="G17" s="29">
        <f>SUM(E$9:$E17)-SUM(F$9:$F17)</f>
        <v>0</v>
      </c>
    </row>
    <row r="18" spans="1:7" ht="28.8" x14ac:dyDescent="0.55000000000000004">
      <c r="A18" s="24">
        <v>45882</v>
      </c>
      <c r="B18" s="13" t="s">
        <v>2966</v>
      </c>
      <c r="C18" s="26">
        <v>1</v>
      </c>
      <c r="D18" s="26">
        <v>80000</v>
      </c>
      <c r="E18" s="27">
        <f>+$I$2+(NETCOM[[#This Row],[QUANTITE]]*NETCOM[[#This Row],[PRIX UNITAIRE]])</f>
        <v>80000</v>
      </c>
      <c r="F18" s="31"/>
      <c r="G18" s="29">
        <f>SUM(E$9:$E18)-SUM(F$9:$F18)</f>
        <v>80000</v>
      </c>
    </row>
    <row r="19" spans="1:7" ht="28.8" x14ac:dyDescent="0.55000000000000004">
      <c r="A19" s="24">
        <v>45882</v>
      </c>
      <c r="B19" s="13" t="s">
        <v>2967</v>
      </c>
      <c r="C19" s="26">
        <v>1</v>
      </c>
      <c r="D19" s="26">
        <v>65000</v>
      </c>
      <c r="E19" s="27">
        <f>+$I$2+(NETCOM[[#This Row],[QUANTITE]]*NETCOM[[#This Row],[PRIX UNITAIRE]])</f>
        <v>65000</v>
      </c>
      <c r="F19" s="31"/>
      <c r="G19" s="29">
        <f>SUM(E$9:$E19)-SUM(F$9:$F19)</f>
        <v>145000</v>
      </c>
    </row>
    <row r="20" spans="1:7" ht="28.8" x14ac:dyDescent="0.55000000000000004">
      <c r="A20" s="24">
        <v>45888</v>
      </c>
      <c r="B20" s="13" t="s">
        <v>249</v>
      </c>
      <c r="C20" s="26">
        <v>4</v>
      </c>
      <c r="D20" s="26">
        <v>150000</v>
      </c>
      <c r="E20" s="27">
        <f>+$I$2+(NETCOM[[#This Row],[QUANTITE]]*NETCOM[[#This Row],[PRIX UNITAIRE]])</f>
        <v>600000</v>
      </c>
      <c r="F20" s="31"/>
      <c r="G20" s="29">
        <f>SUM(E$9:$E20)-SUM(F$9:$F20)</f>
        <v>745000</v>
      </c>
    </row>
    <row r="21" spans="1:7" ht="28.8" x14ac:dyDescent="0.55000000000000004">
      <c r="A21" s="24">
        <v>45888</v>
      </c>
      <c r="B21" s="13" t="s">
        <v>1243</v>
      </c>
      <c r="C21" s="26">
        <v>2</v>
      </c>
      <c r="D21" s="26">
        <v>185000</v>
      </c>
      <c r="E21" s="27">
        <f>+$I$2+(NETCOM[[#This Row],[QUANTITE]]*NETCOM[[#This Row],[PRIX UNITAIRE]])</f>
        <v>370000</v>
      </c>
      <c r="F21" s="31"/>
      <c r="G21" s="29">
        <f>SUM(E$9:$E21)-SUM(F$9:$F21)</f>
        <v>1115000</v>
      </c>
    </row>
    <row r="22" spans="1:7" ht="28.8" x14ac:dyDescent="0.55000000000000004">
      <c r="A22" s="24">
        <v>45951</v>
      </c>
      <c r="B22" s="13" t="s">
        <v>3190</v>
      </c>
      <c r="C22" s="26">
        <v>1</v>
      </c>
      <c r="D22" s="26">
        <v>400000</v>
      </c>
      <c r="E22" s="27">
        <f>+$I$2+(NETCOM[[#This Row],[QUANTITE]]*NETCOM[[#This Row],[PRIX UNITAIRE]])</f>
        <v>400000</v>
      </c>
      <c r="F22" s="31"/>
      <c r="G22" s="29">
        <f>SUM(E$9:$E22)-SUM(F$9:$F22)</f>
        <v>1515000</v>
      </c>
    </row>
    <row r="23" spans="1:7" ht="28.8" x14ac:dyDescent="0.55000000000000004">
      <c r="A23" s="24">
        <v>45951</v>
      </c>
      <c r="B23" s="13" t="s">
        <v>3191</v>
      </c>
      <c r="C23" s="26">
        <v>1</v>
      </c>
      <c r="D23" s="26">
        <v>400000</v>
      </c>
      <c r="E23" s="27">
        <f>+$I$2+(NETCOM[[#This Row],[QUANTITE]]*NETCOM[[#This Row],[PRIX UNITAIRE]])</f>
        <v>400000</v>
      </c>
      <c r="F23" s="31"/>
      <c r="G23" s="29">
        <f>SUM(E$9:$E23)-SUM(F$9:$F23)</f>
        <v>1915000</v>
      </c>
    </row>
    <row r="24" spans="1:7" ht="28.8" x14ac:dyDescent="0.55000000000000004">
      <c r="A24" s="24">
        <v>45964</v>
      </c>
      <c r="B24" s="13" t="s">
        <v>3207</v>
      </c>
      <c r="C24" s="26">
        <v>1</v>
      </c>
      <c r="D24" s="26">
        <v>400000</v>
      </c>
      <c r="E24" s="27">
        <f>+$I$2+(NETCOM[[#This Row],[QUANTITE]]*NETCOM[[#This Row],[PRIX UNITAIRE]])</f>
        <v>400000</v>
      </c>
      <c r="F24" s="31"/>
      <c r="G24" s="29">
        <f>SUM(E$9:$E24)-SUM(F$9:$F24)</f>
        <v>2315000</v>
      </c>
    </row>
    <row r="25" spans="1:7" ht="28.8" x14ac:dyDescent="0.55000000000000004">
      <c r="A25" s="24">
        <v>45978</v>
      </c>
      <c r="B25" s="13" t="s">
        <v>3238</v>
      </c>
      <c r="C25" s="26">
        <v>1</v>
      </c>
      <c r="D25" s="26">
        <v>0</v>
      </c>
      <c r="E25" s="27">
        <f>+$I$2+(NETCOM[[#This Row],[QUANTITE]]*NETCOM[[#This Row],[PRIX UNITAIRE]])</f>
        <v>0</v>
      </c>
      <c r="F25" s="31">
        <v>1115000</v>
      </c>
      <c r="G25" s="29">
        <f>SUM(E$9:$E25)-SUM(F$9:$F25)</f>
        <v>1200000</v>
      </c>
    </row>
    <row r="26" spans="1:7" ht="28.8" x14ac:dyDescent="0.55000000000000004">
      <c r="A26" s="24">
        <v>46000</v>
      </c>
      <c r="B26" s="13" t="s">
        <v>249</v>
      </c>
      <c r="C26" s="26">
        <v>4</v>
      </c>
      <c r="D26" s="26">
        <v>150000</v>
      </c>
      <c r="E26" s="27">
        <f>+$I$2+(NETCOM[[#This Row],[QUANTITE]]*NETCOM[[#This Row],[PRIX UNITAIRE]])</f>
        <v>600000</v>
      </c>
      <c r="F26" s="31"/>
      <c r="G26" s="29">
        <f>SUM(E$9:$E26)-SUM(F$9:$F26)</f>
        <v>1800000</v>
      </c>
    </row>
    <row r="27" spans="1:7" ht="28.8" x14ac:dyDescent="0.55000000000000004">
      <c r="A27" s="24">
        <v>46013</v>
      </c>
      <c r="B27" s="13" t="s">
        <v>3304</v>
      </c>
      <c r="C27" s="26">
        <v>2</v>
      </c>
      <c r="D27" s="26">
        <v>120000</v>
      </c>
      <c r="E27" s="27">
        <f>+$I$2+(NETCOM[[#This Row],[QUANTITE]]*NETCOM[[#This Row],[PRIX UNITAIRE]])</f>
        <v>240000</v>
      </c>
      <c r="F27" s="31"/>
      <c r="G27" s="29">
        <f>SUM(E$9:$E27)-SUM(F$9:$F27)</f>
        <v>2040000</v>
      </c>
    </row>
    <row r="28" spans="1:7" ht="28.8" x14ac:dyDescent="0.55000000000000004">
      <c r="A28" s="24">
        <v>46044</v>
      </c>
      <c r="B28" s="13" t="s">
        <v>1243</v>
      </c>
      <c r="C28" s="26">
        <v>2</v>
      </c>
      <c r="D28" s="26">
        <v>185000</v>
      </c>
      <c r="E28" s="27">
        <f>+$I$2+(NETCOM[[#This Row],[QUANTITE]]*NETCOM[[#This Row],[PRIX UNITAIRE]])</f>
        <v>370000</v>
      </c>
      <c r="F28" s="31"/>
      <c r="G28" s="29">
        <f>SUM(E$9:$E28)-SUM(F$9:$F28)</f>
        <v>2410000</v>
      </c>
    </row>
    <row r="29" spans="1:7" ht="28.8" x14ac:dyDescent="0.55000000000000004">
      <c r="A29" s="24">
        <v>46044</v>
      </c>
      <c r="B29" s="13" t="s">
        <v>260</v>
      </c>
      <c r="C29" s="26">
        <v>1</v>
      </c>
      <c r="D29" s="26">
        <v>165000</v>
      </c>
      <c r="E29" s="27">
        <f>+$I$2+(NETCOM[[#This Row],[QUANTITE]]*NETCOM[[#This Row],[PRIX UNITAIRE]])</f>
        <v>165000</v>
      </c>
      <c r="F29" s="31"/>
      <c r="G29" s="29">
        <f>SUM(E$9:$E29)-SUM(F$9:$F29)</f>
        <v>2575000</v>
      </c>
    </row>
    <row r="30" spans="1:7" ht="28.8" x14ac:dyDescent="0.55000000000000004">
      <c r="A30" s="24">
        <v>46044</v>
      </c>
      <c r="B30" s="13" t="s">
        <v>249</v>
      </c>
      <c r="C30" s="26">
        <v>3</v>
      </c>
      <c r="D30" s="26">
        <v>150000</v>
      </c>
      <c r="E30" s="27">
        <f>+$I$2+(NETCOM[[#This Row],[QUANTITE]]*NETCOM[[#This Row],[PRIX UNITAIRE]])</f>
        <v>450000</v>
      </c>
      <c r="F30" s="31"/>
      <c r="G30" s="29">
        <f>SUM(E$9:$E30)-SUM(F$9:$F30)</f>
        <v>3025000</v>
      </c>
    </row>
    <row r="31" spans="1:7" ht="28.8" x14ac:dyDescent="0.55000000000000004">
      <c r="A31" s="24">
        <v>46102</v>
      </c>
      <c r="B31" s="13" t="s">
        <v>249</v>
      </c>
      <c r="C31" s="26">
        <v>3</v>
      </c>
      <c r="D31" s="26">
        <v>150000</v>
      </c>
      <c r="E31" s="27">
        <f>+$I$2+(NETCOM[[#This Row],[QUANTITE]]*NETCOM[[#This Row],[PRIX UNITAIRE]])</f>
        <v>450000</v>
      </c>
      <c r="F31" s="31"/>
      <c r="G31" s="29">
        <f>SUM(E$9:$E31)-SUM(F$9:$F31)</f>
        <v>3475000</v>
      </c>
    </row>
    <row r="32" spans="1:7" ht="28.8" x14ac:dyDescent="0.55000000000000004">
      <c r="A32" s="24">
        <v>46102</v>
      </c>
      <c r="B32" s="13" t="s">
        <v>3561</v>
      </c>
      <c r="C32" s="26">
        <v>1</v>
      </c>
      <c r="D32" s="26">
        <v>185000</v>
      </c>
      <c r="E32" s="27">
        <f>+$I$2+(NETCOM[[#This Row],[QUANTITE]]*NETCOM[[#This Row],[PRIX UNITAIRE]])</f>
        <v>185000</v>
      </c>
      <c r="F32" s="31"/>
      <c r="G32" s="29">
        <f>SUM(E$9:$E32)-SUM(F$9:$F32)</f>
        <v>3660000</v>
      </c>
    </row>
    <row r="33" spans="1:7" ht="28.8" x14ac:dyDescent="0.55000000000000004">
      <c r="A33" s="24"/>
      <c r="B33" s="25"/>
      <c r="C33" s="26"/>
      <c r="D33" s="26"/>
      <c r="E33" s="27">
        <f>+$I$2+(NETCOM[[#This Row],[QUANTITE]]*NETCOM[[#This Row],[PRIX UNITAIRE]])</f>
        <v>0</v>
      </c>
      <c r="F33" s="31"/>
      <c r="G33" s="29">
        <f>SUM(E$9:$E33)-SUM(F$9:$F33)</f>
        <v>3660000</v>
      </c>
    </row>
    <row r="34" spans="1:7" ht="28.8" x14ac:dyDescent="0.55000000000000004">
      <c r="A34" s="24"/>
      <c r="B34" s="25"/>
      <c r="C34" s="26"/>
      <c r="D34" s="26"/>
      <c r="E34" s="27">
        <f>+$I$2+(NETCOM[[#This Row],[QUANTITE]]*NETCOM[[#This Row],[PRIX UNITAIRE]])</f>
        <v>0</v>
      </c>
      <c r="F34" s="31"/>
      <c r="G34" s="29">
        <f>SUM(E$9:$E34)-SUM(F$9:$F34)</f>
        <v>3660000</v>
      </c>
    </row>
    <row r="35" spans="1:7" ht="28.8" x14ac:dyDescent="0.55000000000000004">
      <c r="A35" s="24"/>
      <c r="B35" s="25"/>
      <c r="C35" s="26"/>
      <c r="D35" s="26"/>
      <c r="E35" s="27">
        <f>+$I$2+(NETCOM[[#This Row],[QUANTITE]]*NETCOM[[#This Row],[PRIX UNITAIRE]])</f>
        <v>0</v>
      </c>
      <c r="F35" s="31"/>
      <c r="G35" s="29">
        <f>SUM(E$9:$E35)-SUM(F$9:$F35)</f>
        <v>3660000</v>
      </c>
    </row>
    <row r="36" spans="1:7" ht="28.8" x14ac:dyDescent="0.55000000000000004">
      <c r="A36" s="24"/>
      <c r="B36" s="25"/>
      <c r="C36" s="26"/>
      <c r="D36" s="26"/>
      <c r="E36" s="27">
        <f>+$I$2+(NETCOM[[#This Row],[QUANTITE]]*NETCOM[[#This Row],[PRIX UNITAIRE]])</f>
        <v>0</v>
      </c>
      <c r="F36" s="31"/>
      <c r="G36" s="29">
        <f>SUM(E$9:$E36)-SUM(F$9:$F36)</f>
        <v>3660000</v>
      </c>
    </row>
    <row r="37" spans="1:7" ht="28.8" x14ac:dyDescent="0.55000000000000004">
      <c r="A37" s="24"/>
      <c r="B37" s="25"/>
      <c r="C37" s="26"/>
      <c r="D37" s="26"/>
      <c r="E37" s="27">
        <f>+$I$2+(NETCOM[[#This Row],[QUANTITE]]*NETCOM[[#This Row],[PRIX UNITAIRE]])</f>
        <v>0</v>
      </c>
      <c r="F37" s="31"/>
      <c r="G37" s="29">
        <f>SUM(E$9:$E37)-SUM(F$9:$F37)</f>
        <v>3660000</v>
      </c>
    </row>
    <row r="38" spans="1:7" ht="28.8" x14ac:dyDescent="0.55000000000000004">
      <c r="A38" s="24"/>
      <c r="B38" s="25"/>
      <c r="C38" s="26"/>
      <c r="D38" s="26"/>
      <c r="E38" s="27">
        <f>+$I$2+(NETCOM[[#This Row],[QUANTITE]]*NETCOM[[#This Row],[PRIX UNITAIRE]])</f>
        <v>0</v>
      </c>
      <c r="F38" s="31"/>
      <c r="G38" s="29">
        <f>SUM(E$9:$E38)-SUM(F$9:$F38)</f>
        <v>3660000</v>
      </c>
    </row>
    <row r="39" spans="1:7" ht="28.8" x14ac:dyDescent="0.55000000000000004">
      <c r="A39" s="24"/>
      <c r="B39" s="25"/>
      <c r="C39" s="26"/>
      <c r="D39" s="26"/>
      <c r="E39" s="27">
        <f>+$I$2+(NETCOM[[#This Row],[QUANTITE]]*NETCOM[[#This Row],[PRIX UNITAIRE]])</f>
        <v>0</v>
      </c>
      <c r="F39" s="31"/>
      <c r="G39" s="29">
        <f>SUM(E$9:$E39)-SUM(F$9:$F39)</f>
        <v>3660000</v>
      </c>
    </row>
    <row r="40" spans="1:7" ht="28.8" x14ac:dyDescent="0.55000000000000004">
      <c r="A40" s="24"/>
      <c r="B40" s="25"/>
      <c r="C40" s="26"/>
      <c r="D40" s="26"/>
      <c r="E40" s="27">
        <f>+$I$2+(NETCOM[[#This Row],[QUANTITE]]*NETCOM[[#This Row],[PRIX UNITAIRE]])</f>
        <v>0</v>
      </c>
      <c r="F40" s="31"/>
      <c r="G40" s="29">
        <f>SUM(E$9:$E40)-SUM(F$9:$F40)</f>
        <v>3660000</v>
      </c>
    </row>
    <row r="41" spans="1:7" ht="28.8" x14ac:dyDescent="0.55000000000000004">
      <c r="A41" s="24"/>
      <c r="B41" s="25"/>
      <c r="C41" s="26"/>
      <c r="D41" s="26"/>
      <c r="E41" s="27">
        <f>+$I$2+(NETCOM[[#This Row],[QUANTITE]]*NETCOM[[#This Row],[PRIX UNITAIRE]])</f>
        <v>0</v>
      </c>
      <c r="F41" s="31"/>
      <c r="G41" s="29">
        <f>SUM(E$9:$E41)-SUM(F$9:$F41)</f>
        <v>3660000</v>
      </c>
    </row>
    <row r="42" spans="1:7" ht="28.8" x14ac:dyDescent="0.55000000000000004">
      <c r="A42" s="24"/>
      <c r="B42" s="25"/>
      <c r="C42" s="26"/>
      <c r="D42" s="26"/>
      <c r="E42" s="27">
        <f>+$I$2+(NETCOM[[#This Row],[QUANTITE]]*NETCOM[[#This Row],[PRIX UNITAIRE]])</f>
        <v>0</v>
      </c>
      <c r="F42" s="31"/>
      <c r="G42" s="29">
        <f>SUM(E$9:$E42)-SUM(F$9:$F42)</f>
        <v>3660000</v>
      </c>
    </row>
    <row r="43" spans="1:7" ht="28.8" x14ac:dyDescent="0.55000000000000004">
      <c r="A43" s="24"/>
      <c r="B43" s="25"/>
      <c r="C43" s="26"/>
      <c r="D43" s="26"/>
      <c r="E43" s="27">
        <f>+$I$2+(NETCOM[[#This Row],[QUANTITE]]*NETCOM[[#This Row],[PRIX UNITAIRE]])</f>
        <v>0</v>
      </c>
      <c r="F43" s="31"/>
      <c r="G43" s="29">
        <f>SUM(E$9:$E43)-SUM(F$9:$F43)</f>
        <v>3660000</v>
      </c>
    </row>
    <row r="44" spans="1:7" ht="28.8" x14ac:dyDescent="0.55000000000000004">
      <c r="A44" s="24"/>
      <c r="B44" s="25"/>
      <c r="C44" s="26"/>
      <c r="D44" s="26"/>
      <c r="E44" s="27">
        <f>+$I$2+(NETCOM[[#This Row],[QUANTITE]]*NETCOM[[#This Row],[PRIX UNITAIRE]])</f>
        <v>0</v>
      </c>
      <c r="F44" s="31"/>
      <c r="G44" s="29">
        <f>SUM(E$9:$E44)-SUM(F$9:$F44)</f>
        <v>3660000</v>
      </c>
    </row>
    <row r="45" spans="1:7" ht="28.8" x14ac:dyDescent="0.55000000000000004">
      <c r="A45" s="24"/>
      <c r="B45" s="25"/>
      <c r="C45" s="26"/>
      <c r="D45" s="26"/>
      <c r="E45" s="27">
        <f>+$I$2+(NETCOM[[#This Row],[QUANTITE]]*NETCOM[[#This Row],[PRIX UNITAIRE]])</f>
        <v>0</v>
      </c>
      <c r="F45" s="31"/>
      <c r="G45" s="29">
        <f>SUM(E$9:$E45)-SUM(F$9:$F45)</f>
        <v>3660000</v>
      </c>
    </row>
    <row r="46" spans="1:7" ht="28.8" x14ac:dyDescent="0.55000000000000004">
      <c r="A46" s="24"/>
      <c r="B46" s="25"/>
      <c r="C46" s="26"/>
      <c r="D46" s="26"/>
      <c r="E46" s="27">
        <f>+$I$2+(NETCOM[[#This Row],[QUANTITE]]*NETCOM[[#This Row],[PRIX UNITAIRE]])</f>
        <v>0</v>
      </c>
      <c r="F46" s="31"/>
      <c r="G46" s="29">
        <f>SUM(E$9:$E46)-SUM(F$9:$F46)</f>
        <v>3660000</v>
      </c>
    </row>
    <row r="47" spans="1:7" ht="28.8" x14ac:dyDescent="0.55000000000000004">
      <c r="A47" s="24"/>
      <c r="B47" s="25"/>
      <c r="C47" s="26"/>
      <c r="D47" s="26"/>
      <c r="E47" s="27">
        <f>+$I$2+(NETCOM[[#This Row],[QUANTITE]]*NETCOM[[#This Row],[PRIX UNITAIRE]])</f>
        <v>0</v>
      </c>
      <c r="F47" s="31"/>
      <c r="G47" s="29">
        <f>SUM(E$9:$E47)-SUM(F$9:$F47)</f>
        <v>3660000</v>
      </c>
    </row>
    <row r="48" spans="1:7" ht="28.8" x14ac:dyDescent="0.55000000000000004">
      <c r="A48" s="24"/>
      <c r="B48" s="25"/>
      <c r="C48" s="26"/>
      <c r="D48" s="26"/>
      <c r="E48" s="27">
        <f>+$I$2+(NETCOM[[#This Row],[QUANTITE]]*NETCOM[[#This Row],[PRIX UNITAIRE]])</f>
        <v>0</v>
      </c>
      <c r="F48" s="31"/>
      <c r="G48" s="29">
        <f>SUM(E$9:$E48)-SUM(F$9:$F48)</f>
        <v>3660000</v>
      </c>
    </row>
    <row r="49" spans="1:7" ht="28.8" x14ac:dyDescent="0.55000000000000004">
      <c r="A49" s="24"/>
      <c r="B49" s="25"/>
      <c r="C49" s="26"/>
      <c r="D49" s="26"/>
      <c r="E49" s="27">
        <f>+$I$2+(NETCOM[[#This Row],[QUANTITE]]*NETCOM[[#This Row],[PRIX UNITAIRE]])</f>
        <v>0</v>
      </c>
      <c r="F49" s="31"/>
      <c r="G49" s="29">
        <f>SUM(E$9:$E49)-SUM(F$9:$F49)</f>
        <v>3660000</v>
      </c>
    </row>
    <row r="50" spans="1:7" ht="28.8" x14ac:dyDescent="0.55000000000000004">
      <c r="A50" s="24"/>
      <c r="B50" s="25"/>
      <c r="C50" s="26"/>
      <c r="D50" s="26"/>
      <c r="E50" s="27">
        <f>+$I$2+(NETCOM[[#This Row],[QUANTITE]]*NETCOM[[#This Row],[PRIX UNITAIRE]])</f>
        <v>0</v>
      </c>
      <c r="F50" s="31"/>
      <c r="G50" s="29">
        <f>SUM(E$9:$E50)-SUM(F$9:$F50)</f>
        <v>3660000</v>
      </c>
    </row>
    <row r="51" spans="1:7" ht="28.8" x14ac:dyDescent="0.55000000000000004">
      <c r="A51" s="24"/>
      <c r="B51" s="25"/>
      <c r="C51" s="26"/>
      <c r="D51" s="26"/>
      <c r="E51" s="27">
        <f>+$I$2+(NETCOM[[#This Row],[QUANTITE]]*NETCOM[[#This Row],[PRIX UNITAIRE]])</f>
        <v>0</v>
      </c>
      <c r="F51" s="31"/>
      <c r="G51" s="29">
        <f>SUM(E$9:$E51)-SUM(F$9:$F51)</f>
        <v>3660000</v>
      </c>
    </row>
    <row r="52" spans="1:7" ht="28.8" x14ac:dyDescent="0.55000000000000004">
      <c r="A52" s="24"/>
      <c r="B52" s="25"/>
      <c r="C52" s="26"/>
      <c r="D52" s="26"/>
      <c r="E52" s="27">
        <f>+$I$2+(NETCOM[[#This Row],[QUANTITE]]*NETCOM[[#This Row],[PRIX UNITAIRE]])</f>
        <v>0</v>
      </c>
      <c r="F52" s="31"/>
      <c r="G52" s="29">
        <f>SUM(E$9:$E52)-SUM(F$9:$F52)</f>
        <v>3660000</v>
      </c>
    </row>
    <row r="53" spans="1:7" ht="28.8" x14ac:dyDescent="0.55000000000000004">
      <c r="A53" s="24"/>
      <c r="B53" s="25"/>
      <c r="C53" s="26"/>
      <c r="D53" s="26"/>
      <c r="E53" s="27">
        <f>+$I$2+(NETCOM[[#This Row],[QUANTITE]]*NETCOM[[#This Row],[PRIX UNITAIRE]])</f>
        <v>0</v>
      </c>
      <c r="F53" s="31"/>
      <c r="G53" s="29">
        <f>SUM(E$9:$E53)-SUM(F$9:$F53)</f>
        <v>3660000</v>
      </c>
    </row>
    <row r="54" spans="1:7" ht="28.8" x14ac:dyDescent="0.55000000000000004">
      <c r="A54" s="24"/>
      <c r="B54" s="25"/>
      <c r="C54" s="26"/>
      <c r="D54" s="26"/>
      <c r="E54" s="27">
        <f>+$I$2+(NETCOM[[#This Row],[QUANTITE]]*NETCOM[[#This Row],[PRIX UNITAIRE]])</f>
        <v>0</v>
      </c>
      <c r="F54" s="31"/>
      <c r="G54" s="29">
        <f>SUM(E$9:$E54)-SUM(F$9:$F54)</f>
        <v>3660000</v>
      </c>
    </row>
    <row r="55" spans="1:7" ht="28.8" x14ac:dyDescent="0.55000000000000004">
      <c r="A55" s="24"/>
      <c r="B55" s="25"/>
      <c r="C55" s="26"/>
      <c r="D55" s="26"/>
      <c r="E55" s="27">
        <f>+$I$2+(NETCOM[[#This Row],[QUANTITE]]*NETCOM[[#This Row],[PRIX UNITAIRE]])</f>
        <v>0</v>
      </c>
      <c r="F55" s="31"/>
      <c r="G55" s="29">
        <f>SUM(E$9:$E55)-SUM(F$9:$F55)</f>
        <v>3660000</v>
      </c>
    </row>
    <row r="56" spans="1:7" ht="28.8" x14ac:dyDescent="0.55000000000000004">
      <c r="A56" s="24"/>
      <c r="B56" s="25"/>
      <c r="C56" s="26"/>
      <c r="D56" s="26"/>
      <c r="E56" s="27">
        <f>+$I$2+(NETCOM[[#This Row],[QUANTITE]]*NETCOM[[#This Row],[PRIX UNITAIRE]])</f>
        <v>0</v>
      </c>
      <c r="F56" s="31"/>
      <c r="G56" s="29">
        <f>SUM(E$9:$E56)-SUM(F$9:$F56)</f>
        <v>3660000</v>
      </c>
    </row>
    <row r="57" spans="1:7" ht="28.8" x14ac:dyDescent="0.55000000000000004">
      <c r="A57" s="24"/>
      <c r="B57" s="25"/>
      <c r="C57" s="26"/>
      <c r="D57" s="26"/>
      <c r="E57" s="27">
        <f>+$I$2+(NETCOM[[#This Row],[QUANTITE]]*NETCOM[[#This Row],[PRIX UNITAIRE]])</f>
        <v>0</v>
      </c>
      <c r="F57" s="31"/>
      <c r="G57" s="29">
        <f>SUM(E$9:$E57)-SUM(F$9:$F57)</f>
        <v>3660000</v>
      </c>
    </row>
    <row r="58" spans="1:7" ht="28.8" x14ac:dyDescent="0.55000000000000004">
      <c r="A58" s="24"/>
      <c r="B58" s="25"/>
      <c r="C58" s="26"/>
      <c r="D58" s="26"/>
      <c r="E58" s="27">
        <f>+$I$2+(NETCOM[[#This Row],[QUANTITE]]*NETCOM[[#This Row],[PRIX UNITAIRE]])</f>
        <v>0</v>
      </c>
      <c r="F58" s="31"/>
      <c r="G58" s="29">
        <f>SUM(E$9:$E58)-SUM(F$9:$F58)</f>
        <v>3660000</v>
      </c>
    </row>
    <row r="59" spans="1:7" ht="28.8" x14ac:dyDescent="0.55000000000000004">
      <c r="A59" s="24"/>
      <c r="B59" s="25"/>
      <c r="C59" s="26"/>
      <c r="D59" s="26"/>
      <c r="E59" s="27">
        <f>+$I$2+(NETCOM[[#This Row],[QUANTITE]]*NETCOM[[#This Row],[PRIX UNITAIRE]])</f>
        <v>0</v>
      </c>
      <c r="F59" s="31"/>
      <c r="G59" s="29">
        <f>SUM(E$9:$E59)-SUM(F$9:$F59)</f>
        <v>3660000</v>
      </c>
    </row>
    <row r="60" spans="1:7" ht="28.8" x14ac:dyDescent="0.55000000000000004">
      <c r="A60" s="24"/>
      <c r="B60" s="25"/>
      <c r="C60" s="26"/>
      <c r="D60" s="26"/>
      <c r="E60" s="27">
        <f>+$I$2+(NETCOM[[#This Row],[QUANTITE]]*NETCOM[[#This Row],[PRIX UNITAIRE]])</f>
        <v>0</v>
      </c>
      <c r="F60" s="31"/>
      <c r="G60" s="29">
        <f>SUM(E$9:$E60)-SUM(F$9:$F60)</f>
        <v>3660000</v>
      </c>
    </row>
    <row r="61" spans="1:7" ht="28.8" x14ac:dyDescent="0.55000000000000004">
      <c r="A61" s="24"/>
      <c r="B61" s="25"/>
      <c r="C61" s="26"/>
      <c r="D61" s="26"/>
      <c r="E61" s="27">
        <f>+$I$2+(NETCOM[[#This Row],[QUANTITE]]*NETCOM[[#This Row],[PRIX UNITAIRE]])</f>
        <v>0</v>
      </c>
      <c r="F61" s="31"/>
      <c r="G61" s="29">
        <f>SUM(E$9:$E61)-SUM(F$9:$F61)</f>
        <v>3660000</v>
      </c>
    </row>
    <row r="62" spans="1:7" ht="28.8" x14ac:dyDescent="0.55000000000000004">
      <c r="A62" s="24"/>
      <c r="B62" s="25"/>
      <c r="C62" s="26"/>
      <c r="D62" s="26"/>
      <c r="E62" s="27">
        <f>+$I$2+(NETCOM[[#This Row],[QUANTITE]]*NETCOM[[#This Row],[PRIX UNITAIRE]])</f>
        <v>0</v>
      </c>
      <c r="F62" s="31"/>
      <c r="G62" s="29">
        <f>SUM(E$9:$E62)-SUM(F$9:$F62)</f>
        <v>3660000</v>
      </c>
    </row>
    <row r="63" spans="1:7" ht="28.8" x14ac:dyDescent="0.55000000000000004">
      <c r="A63" s="24"/>
      <c r="B63" s="25"/>
      <c r="C63" s="26"/>
      <c r="D63" s="26"/>
      <c r="E63" s="27">
        <f>+$I$2+(NETCOM[[#This Row],[QUANTITE]]*NETCOM[[#This Row],[PRIX UNITAIRE]])</f>
        <v>0</v>
      </c>
      <c r="F63" s="31"/>
      <c r="G63" s="29">
        <f>SUM(E$9:$E63)-SUM(F$9:$F63)</f>
        <v>3660000</v>
      </c>
    </row>
    <row r="64" spans="1:7" ht="28.8" x14ac:dyDescent="0.55000000000000004">
      <c r="A64" s="24"/>
      <c r="B64" s="25"/>
      <c r="C64" s="26"/>
      <c r="D64" s="26"/>
      <c r="E64" s="27">
        <f>+$I$2+(NETCOM[[#This Row],[QUANTITE]]*NETCOM[[#This Row],[PRIX UNITAIRE]])</f>
        <v>0</v>
      </c>
      <c r="F64" s="31"/>
      <c r="G64" s="29">
        <f>SUM(E$9:$E64)-SUM(F$9:$F64)</f>
        <v>3660000</v>
      </c>
    </row>
    <row r="65" spans="1:7" ht="28.8" x14ac:dyDescent="0.55000000000000004">
      <c r="A65" s="24"/>
      <c r="B65" s="25"/>
      <c r="C65" s="26"/>
      <c r="D65" s="26"/>
      <c r="E65" s="27">
        <f>+$I$2+(NETCOM[[#This Row],[QUANTITE]]*NETCOM[[#This Row],[PRIX UNITAIRE]])</f>
        <v>0</v>
      </c>
      <c r="F65" s="31"/>
      <c r="G65" s="29">
        <f>SUM(E$9:$E65)-SUM(F$9:$F65)</f>
        <v>3660000</v>
      </c>
    </row>
    <row r="66" spans="1:7" ht="28.8" x14ac:dyDescent="0.55000000000000004">
      <c r="A66" s="24"/>
      <c r="B66" s="25"/>
      <c r="C66" s="26"/>
      <c r="D66" s="26"/>
      <c r="E66" s="27">
        <f>+$I$2+(NETCOM[[#This Row],[QUANTITE]]*NETCOM[[#This Row],[PRIX UNITAIRE]])</f>
        <v>0</v>
      </c>
      <c r="F66" s="31"/>
      <c r="G66" s="29">
        <f>SUM(E$9:$E66)-SUM(F$9:$F66)</f>
        <v>3660000</v>
      </c>
    </row>
    <row r="67" spans="1:7" ht="28.8" x14ac:dyDescent="0.55000000000000004">
      <c r="A67" s="24"/>
      <c r="B67" s="25"/>
      <c r="C67" s="26"/>
      <c r="D67" s="26"/>
      <c r="E67" s="27">
        <f>+$I$2+(NETCOM[[#This Row],[QUANTITE]]*NETCOM[[#This Row],[PRIX UNITAIRE]])</f>
        <v>0</v>
      </c>
      <c r="F67" s="31"/>
      <c r="G67" s="29">
        <f>SUM(E$9:$E67)-SUM(F$9:$F67)</f>
        <v>3660000</v>
      </c>
    </row>
    <row r="68" spans="1:7" ht="28.8" x14ac:dyDescent="0.55000000000000004">
      <c r="A68" s="24"/>
      <c r="B68" s="25"/>
      <c r="C68" s="26"/>
      <c r="D68" s="26"/>
      <c r="E68" s="27">
        <f>+$I$2+(NETCOM[[#This Row],[QUANTITE]]*NETCOM[[#This Row],[PRIX UNITAIRE]])</f>
        <v>0</v>
      </c>
      <c r="F68" s="31"/>
      <c r="G68" s="29">
        <f>SUM(E$9:$E68)-SUM(F$9:$F68)</f>
        <v>3660000</v>
      </c>
    </row>
    <row r="69" spans="1:7" ht="28.8" x14ac:dyDescent="0.55000000000000004">
      <c r="A69" s="24"/>
      <c r="B69" s="25"/>
      <c r="C69" s="26"/>
      <c r="D69" s="26"/>
      <c r="E69" s="27">
        <f>+$I$2+(NETCOM[[#This Row],[QUANTITE]]*NETCOM[[#This Row],[PRIX UNITAIRE]])</f>
        <v>0</v>
      </c>
      <c r="F69" s="31"/>
      <c r="G69" s="29">
        <f>SUM(E$9:$E69)-SUM(F$9:$F69)</f>
        <v>3660000</v>
      </c>
    </row>
    <row r="70" spans="1:7" ht="28.8" x14ac:dyDescent="0.55000000000000004">
      <c r="A70" s="24"/>
      <c r="B70" s="25"/>
      <c r="C70" s="26"/>
      <c r="D70" s="26"/>
      <c r="E70" s="27">
        <f>+$I$2+(NETCOM[[#This Row],[QUANTITE]]*NETCOM[[#This Row],[PRIX UNITAIRE]])</f>
        <v>0</v>
      </c>
      <c r="F70" s="31"/>
      <c r="G70" s="29">
        <f>SUM(E$9:$E70)-SUM(F$9:$F70)</f>
        <v>3660000</v>
      </c>
    </row>
    <row r="71" spans="1:7" ht="28.8" x14ac:dyDescent="0.55000000000000004">
      <c r="A71" s="24"/>
      <c r="B71" s="25"/>
      <c r="C71" s="26"/>
      <c r="D71" s="26"/>
      <c r="E71" s="27">
        <f>+$I$2+(NETCOM[[#This Row],[QUANTITE]]*NETCOM[[#This Row],[PRIX UNITAIRE]])</f>
        <v>0</v>
      </c>
      <c r="F71" s="31"/>
      <c r="G71" s="29">
        <f>SUM(E$9:$E71)-SUM(F$9:$F71)</f>
        <v>3660000</v>
      </c>
    </row>
    <row r="72" spans="1:7" ht="28.8" x14ac:dyDescent="0.55000000000000004">
      <c r="A72" s="24"/>
      <c r="B72" s="25"/>
      <c r="C72" s="26"/>
      <c r="D72" s="26"/>
      <c r="E72" s="27">
        <f>+$I$2+(NETCOM[[#This Row],[QUANTITE]]*NETCOM[[#This Row],[PRIX UNITAIRE]])</f>
        <v>0</v>
      </c>
      <c r="F72" s="31"/>
      <c r="G72" s="29">
        <f>SUM(E$9:$E72)-SUM(F$9:$F72)</f>
        <v>3660000</v>
      </c>
    </row>
    <row r="73" spans="1:7" ht="28.8" x14ac:dyDescent="0.55000000000000004">
      <c r="A73" s="24"/>
      <c r="B73" s="25"/>
      <c r="C73" s="26"/>
      <c r="D73" s="26"/>
      <c r="E73" s="27">
        <f>+$I$2+(NETCOM[[#This Row],[QUANTITE]]*NETCOM[[#This Row],[PRIX UNITAIRE]])</f>
        <v>0</v>
      </c>
      <c r="F73" s="31"/>
      <c r="G73" s="29">
        <f>SUM(E$9:$E73)-SUM(F$9:$F73)</f>
        <v>3660000</v>
      </c>
    </row>
    <row r="74" spans="1:7" ht="28.8" x14ac:dyDescent="0.55000000000000004">
      <c r="A74" s="24"/>
      <c r="B74" s="25"/>
      <c r="C74" s="26"/>
      <c r="D74" s="26"/>
      <c r="E74" s="27">
        <f>+$I$2+(NETCOM[[#This Row],[QUANTITE]]*NETCOM[[#This Row],[PRIX UNITAIRE]])</f>
        <v>0</v>
      </c>
      <c r="F74" s="31"/>
      <c r="G74" s="29">
        <f>SUM(E$9:$E74)-SUM(F$9:$F74)</f>
        <v>3660000</v>
      </c>
    </row>
    <row r="75" spans="1:7" ht="28.8" x14ac:dyDescent="0.55000000000000004">
      <c r="A75" s="24"/>
      <c r="B75" s="25"/>
      <c r="C75" s="26"/>
      <c r="D75" s="26"/>
      <c r="E75" s="27">
        <f>+$I$2+(NETCOM[[#This Row],[QUANTITE]]*NETCOM[[#This Row],[PRIX UNITAIRE]])</f>
        <v>0</v>
      </c>
      <c r="F75" s="31"/>
      <c r="G75" s="29">
        <f>SUM(E$9:$E75)-SUM(F$9:$F75)</f>
        <v>3660000</v>
      </c>
    </row>
    <row r="76" spans="1:7" ht="28.8" x14ac:dyDescent="0.55000000000000004">
      <c r="A76" s="24"/>
      <c r="B76" s="25"/>
      <c r="C76" s="26"/>
      <c r="D76" s="26"/>
      <c r="E76" s="27">
        <f>+$I$2+(NETCOM[[#This Row],[QUANTITE]]*NETCOM[[#This Row],[PRIX UNITAIRE]])</f>
        <v>0</v>
      </c>
      <c r="F76" s="31"/>
      <c r="G76" s="29">
        <f>SUM(E$9:$E76)-SUM(F$9:$F76)</f>
        <v>3660000</v>
      </c>
    </row>
    <row r="77" spans="1:7" ht="28.8" x14ac:dyDescent="0.55000000000000004">
      <c r="A77" s="24"/>
      <c r="B77" s="25"/>
      <c r="C77" s="26"/>
      <c r="D77" s="26"/>
      <c r="E77" s="27">
        <f>+$I$2+(NETCOM[[#This Row],[QUANTITE]]*NETCOM[[#This Row],[PRIX UNITAIRE]])</f>
        <v>0</v>
      </c>
      <c r="F77" s="31"/>
      <c r="G77" s="29">
        <f>SUM(E$9:$E77)-SUM(F$9:$F77)</f>
        <v>3660000</v>
      </c>
    </row>
    <row r="78" spans="1:7" ht="28.8" x14ac:dyDescent="0.55000000000000004">
      <c r="A78" s="24"/>
      <c r="B78" s="25"/>
      <c r="C78" s="26"/>
      <c r="D78" s="26"/>
      <c r="E78" s="27">
        <f>+$I$2+(NETCOM[[#This Row],[QUANTITE]]*NETCOM[[#This Row],[PRIX UNITAIRE]])</f>
        <v>0</v>
      </c>
      <c r="F78" s="31"/>
      <c r="G78" s="29">
        <f>SUM(E$9:$E78)-SUM(F$9:$F78)</f>
        <v>3660000</v>
      </c>
    </row>
    <row r="79" spans="1:7" ht="28.8" x14ac:dyDescent="0.55000000000000004">
      <c r="A79" s="24"/>
      <c r="B79" s="25"/>
      <c r="C79" s="26"/>
      <c r="D79" s="26"/>
      <c r="E79" s="27">
        <f>+$I$2+(NETCOM[[#This Row],[QUANTITE]]*NETCOM[[#This Row],[PRIX UNITAIRE]])</f>
        <v>0</v>
      </c>
      <c r="F79" s="31"/>
      <c r="G79" s="29">
        <f>SUM(E$9:$E79)-SUM(F$9:$F79)</f>
        <v>3660000</v>
      </c>
    </row>
    <row r="80" spans="1:7" ht="28.8" x14ac:dyDescent="0.55000000000000004">
      <c r="A80" s="24"/>
      <c r="B80" s="25"/>
      <c r="C80" s="26"/>
      <c r="D80" s="26"/>
      <c r="E80" s="27">
        <f>+$I$2+(NETCOM[[#This Row],[QUANTITE]]*NETCOM[[#This Row],[PRIX UNITAIRE]])</f>
        <v>0</v>
      </c>
      <c r="F80" s="31"/>
      <c r="G80" s="29">
        <f>SUM(E$9:$E80)-SUM(F$9:$F80)</f>
        <v>3660000</v>
      </c>
    </row>
    <row r="81" spans="1:7" ht="28.8" x14ac:dyDescent="0.55000000000000004">
      <c r="A81" s="24"/>
      <c r="B81" s="25"/>
      <c r="C81" s="26"/>
      <c r="D81" s="26"/>
      <c r="E81" s="27">
        <f>+$I$2+(NETCOM[[#This Row],[QUANTITE]]*NETCOM[[#This Row],[PRIX UNITAIRE]])</f>
        <v>0</v>
      </c>
      <c r="F81" s="31"/>
      <c r="G81" s="29">
        <f>SUM(E$9:$E81)-SUM(F$9:$F81)</f>
        <v>3660000</v>
      </c>
    </row>
    <row r="82" spans="1:7" ht="28.8" x14ac:dyDescent="0.55000000000000004">
      <c r="A82" s="24"/>
      <c r="B82" s="25"/>
      <c r="C82" s="26"/>
      <c r="D82" s="26"/>
      <c r="E82" s="27">
        <f>+$I$2+(NETCOM[[#This Row],[QUANTITE]]*NETCOM[[#This Row],[PRIX UNITAIRE]])</f>
        <v>0</v>
      </c>
      <c r="F82" s="31"/>
      <c r="G82" s="29">
        <f>SUM(E$9:$E82)-SUM(F$9:$F82)</f>
        <v>3660000</v>
      </c>
    </row>
    <row r="83" spans="1:7" ht="28.8" x14ac:dyDescent="0.55000000000000004">
      <c r="A83" s="24"/>
      <c r="B83" s="25"/>
      <c r="C83" s="26"/>
      <c r="D83" s="26"/>
      <c r="E83" s="27">
        <f>+$I$2+(NETCOM[[#This Row],[QUANTITE]]*NETCOM[[#This Row],[PRIX UNITAIRE]])</f>
        <v>0</v>
      </c>
      <c r="F83" s="31"/>
      <c r="G83" s="29">
        <f>SUM(E$9:$E83)-SUM(F$9:$F83)</f>
        <v>3660000</v>
      </c>
    </row>
    <row r="84" spans="1:7" ht="28.8" x14ac:dyDescent="0.55000000000000004">
      <c r="A84" s="24"/>
      <c r="B84" s="25"/>
      <c r="C84" s="26"/>
      <c r="D84" s="26"/>
      <c r="E84" s="27">
        <f>+$I$2+(NETCOM[[#This Row],[QUANTITE]]*NETCOM[[#This Row],[PRIX UNITAIRE]])</f>
        <v>0</v>
      </c>
      <c r="F84" s="31"/>
      <c r="G84" s="29">
        <f>SUM(E$9:$E84)-SUM(F$9:$F84)</f>
        <v>3660000</v>
      </c>
    </row>
    <row r="85" spans="1:7" ht="28.8" x14ac:dyDescent="0.55000000000000004">
      <c r="A85" s="24"/>
      <c r="B85" s="25"/>
      <c r="C85" s="26"/>
      <c r="D85" s="26"/>
      <c r="E85" s="27">
        <f>+$I$2+(NETCOM[[#This Row],[QUANTITE]]*NETCOM[[#This Row],[PRIX UNITAIRE]])</f>
        <v>0</v>
      </c>
      <c r="F85" s="31"/>
      <c r="G85" s="29">
        <f>SUM(E$9:$E85)-SUM(F$9:$F85)</f>
        <v>3660000</v>
      </c>
    </row>
    <row r="86" spans="1:7" ht="28.8" x14ac:dyDescent="0.55000000000000004">
      <c r="A86" s="24"/>
      <c r="B86" s="25"/>
      <c r="C86" s="26"/>
      <c r="D86" s="26"/>
      <c r="E86" s="27">
        <f>+$I$2+(NETCOM[[#This Row],[QUANTITE]]*NETCOM[[#This Row],[PRIX UNITAIRE]])</f>
        <v>0</v>
      </c>
      <c r="F86" s="31"/>
      <c r="G86" s="29">
        <f>SUM(E$9:$E86)-SUM(F$9:$F86)</f>
        <v>3660000</v>
      </c>
    </row>
    <row r="87" spans="1:7" ht="28.8" x14ac:dyDescent="0.55000000000000004">
      <c r="A87" s="24"/>
      <c r="B87" s="25"/>
      <c r="C87" s="26"/>
      <c r="D87" s="26"/>
      <c r="E87" s="27">
        <f>+$I$2+(NETCOM[[#This Row],[QUANTITE]]*NETCOM[[#This Row],[PRIX UNITAIRE]])</f>
        <v>0</v>
      </c>
      <c r="F87" s="31"/>
      <c r="G87" s="29">
        <f>SUM(E$9:$E87)-SUM(F$9:$F87)</f>
        <v>3660000</v>
      </c>
    </row>
    <row r="88" spans="1:7" ht="28.8" x14ac:dyDescent="0.55000000000000004">
      <c r="A88" s="24"/>
      <c r="B88" s="25"/>
      <c r="C88" s="26"/>
      <c r="D88" s="26"/>
      <c r="E88" s="27">
        <f>+$I$2+(NETCOM[[#This Row],[QUANTITE]]*NETCOM[[#This Row],[PRIX UNITAIRE]])</f>
        <v>0</v>
      </c>
      <c r="F88" s="31"/>
      <c r="G88" s="29">
        <f>SUM(E$9:$E88)-SUM(F$9:$F88)</f>
        <v>3660000</v>
      </c>
    </row>
    <row r="89" spans="1:7" ht="28.8" x14ac:dyDescent="0.55000000000000004">
      <c r="A89" s="24"/>
      <c r="B89" s="25"/>
      <c r="C89" s="26"/>
      <c r="D89" s="26"/>
      <c r="E89" s="27">
        <f>+$I$2+(NETCOM[[#This Row],[QUANTITE]]*NETCOM[[#This Row],[PRIX UNITAIRE]])</f>
        <v>0</v>
      </c>
      <c r="F89" s="31"/>
      <c r="G89" s="29">
        <f>SUM(E$9:$E89)-SUM(F$9:$F89)</f>
        <v>3660000</v>
      </c>
    </row>
    <row r="90" spans="1:7" ht="28.8" x14ac:dyDescent="0.55000000000000004">
      <c r="A90" s="24"/>
      <c r="B90" s="25"/>
      <c r="C90" s="26"/>
      <c r="D90" s="26"/>
      <c r="E90" s="27">
        <f>+$I$2+(NETCOM[[#This Row],[QUANTITE]]*NETCOM[[#This Row],[PRIX UNITAIRE]])</f>
        <v>0</v>
      </c>
      <c r="F90" s="31"/>
      <c r="G90" s="29">
        <f>SUM(E$9:$E90)-SUM(F$9:$F90)</f>
        <v>3660000</v>
      </c>
    </row>
    <row r="91" spans="1:7" ht="28.8" x14ac:dyDescent="0.55000000000000004">
      <c r="A91" s="24"/>
      <c r="B91" s="25"/>
      <c r="C91" s="26"/>
      <c r="D91" s="26"/>
      <c r="E91" s="27">
        <f>+$I$2+(NETCOM[[#This Row],[QUANTITE]]*NETCOM[[#This Row],[PRIX UNITAIRE]])</f>
        <v>0</v>
      </c>
      <c r="F91" s="31"/>
      <c r="G91" s="29">
        <f>SUM(E$9:$E91)-SUM(F$9:$F91)</f>
        <v>3660000</v>
      </c>
    </row>
    <row r="92" spans="1:7" ht="28.8" x14ac:dyDescent="0.55000000000000004">
      <c r="A92" s="24"/>
      <c r="B92" s="25"/>
      <c r="C92" s="26"/>
      <c r="D92" s="26"/>
      <c r="E92" s="27">
        <f>+$I$2+(NETCOM[[#This Row],[QUANTITE]]*NETCOM[[#This Row],[PRIX UNITAIRE]])</f>
        <v>0</v>
      </c>
      <c r="F92" s="31"/>
      <c r="G92" s="29">
        <f>SUM(E$9:$E92)-SUM(F$9:$F92)</f>
        <v>3660000</v>
      </c>
    </row>
    <row r="93" spans="1:7" ht="28.8" x14ac:dyDescent="0.55000000000000004">
      <c r="A93" s="24"/>
      <c r="B93" s="25"/>
      <c r="C93" s="26"/>
      <c r="D93" s="26"/>
      <c r="E93" s="27">
        <f>+$I$2+(NETCOM[[#This Row],[QUANTITE]]*NETCOM[[#This Row],[PRIX UNITAIRE]])</f>
        <v>0</v>
      </c>
      <c r="F93" s="31"/>
      <c r="G93" s="29">
        <f>SUM(E$9:$E93)-SUM(F$9:$F93)</f>
        <v>3660000</v>
      </c>
    </row>
    <row r="94" spans="1:7" ht="28.8" x14ac:dyDescent="0.55000000000000004">
      <c r="A94" s="24"/>
      <c r="B94" s="25"/>
      <c r="C94" s="26"/>
      <c r="D94" s="26"/>
      <c r="E94" s="27">
        <f>+$I$2+(NETCOM[[#This Row],[QUANTITE]]*NETCOM[[#This Row],[PRIX UNITAIRE]])</f>
        <v>0</v>
      </c>
      <c r="F94" s="31"/>
      <c r="G94" s="29">
        <f>SUM(E$9:$E94)-SUM(F$9:$F94)</f>
        <v>3660000</v>
      </c>
    </row>
    <row r="95" spans="1:7" ht="28.8" x14ac:dyDescent="0.55000000000000004">
      <c r="A95" s="24"/>
      <c r="B95" s="25"/>
      <c r="C95" s="26"/>
      <c r="D95" s="26"/>
      <c r="E95" s="27">
        <f>+$I$2+(NETCOM[[#This Row],[QUANTITE]]*NETCOM[[#This Row],[PRIX UNITAIRE]])</f>
        <v>0</v>
      </c>
      <c r="F95" s="31"/>
      <c r="G95" s="29">
        <f>SUM(E$9:$E95)-SUM(F$9:$F95)</f>
        <v>3660000</v>
      </c>
    </row>
    <row r="96" spans="1:7" ht="28.8" x14ac:dyDescent="0.55000000000000004">
      <c r="A96" s="24"/>
      <c r="B96" s="25"/>
      <c r="C96" s="26"/>
      <c r="D96" s="26"/>
      <c r="E96" s="27">
        <f>+$I$2+(NETCOM[[#This Row],[QUANTITE]]*NETCOM[[#This Row],[PRIX UNITAIRE]])</f>
        <v>0</v>
      </c>
      <c r="F96" s="31"/>
      <c r="G96" s="29">
        <f>SUM(E$9:$E96)-SUM(F$9:$F96)</f>
        <v>3660000</v>
      </c>
    </row>
    <row r="97" spans="1:7" ht="28.8" x14ac:dyDescent="0.55000000000000004">
      <c r="A97" s="24"/>
      <c r="B97" s="25"/>
      <c r="C97" s="26"/>
      <c r="D97" s="26"/>
      <c r="E97" s="27">
        <f>+$I$2+(NETCOM[[#This Row],[QUANTITE]]*NETCOM[[#This Row],[PRIX UNITAIRE]])</f>
        <v>0</v>
      </c>
      <c r="F97" s="31"/>
      <c r="G97" s="29">
        <f>SUM(E$9:$E97)-SUM(F$9:$F97)</f>
        <v>3660000</v>
      </c>
    </row>
    <row r="98" spans="1:7" ht="28.8" x14ac:dyDescent="0.55000000000000004">
      <c r="A98" s="24"/>
      <c r="B98" s="25"/>
      <c r="C98" s="26"/>
      <c r="D98" s="26"/>
      <c r="E98" s="27">
        <f>+$I$2+(NETCOM[[#This Row],[QUANTITE]]*NETCOM[[#This Row],[PRIX UNITAIRE]])</f>
        <v>0</v>
      </c>
      <c r="F98" s="31"/>
      <c r="G98" s="29">
        <f>SUM(E$9:$E98)-SUM(F$9:$F98)</f>
        <v>3660000</v>
      </c>
    </row>
    <row r="99" spans="1:7" ht="28.8" x14ac:dyDescent="0.55000000000000004">
      <c r="A99" s="24"/>
      <c r="B99" s="25"/>
      <c r="C99" s="26"/>
      <c r="D99" s="26"/>
      <c r="E99" s="27">
        <f>+$I$2+(NETCOM[[#This Row],[QUANTITE]]*NETCOM[[#This Row],[PRIX UNITAIRE]])</f>
        <v>0</v>
      </c>
      <c r="F99" s="31"/>
      <c r="G99" s="29">
        <f>SUM(E$9:$E99)-SUM(F$9:$F99)</f>
        <v>3660000</v>
      </c>
    </row>
    <row r="100" spans="1:7" ht="28.8" x14ac:dyDescent="0.55000000000000004">
      <c r="A100" s="24"/>
      <c r="B100" s="25"/>
      <c r="C100" s="26"/>
      <c r="D100" s="26"/>
      <c r="E100" s="27">
        <f>+$I$2+(NETCOM[[#This Row],[QUANTITE]]*NETCOM[[#This Row],[PRIX UNITAIRE]])</f>
        <v>0</v>
      </c>
      <c r="F100" s="31"/>
      <c r="G100" s="29">
        <f>SUM(E$9:$E100)-SUM(F$9:$F100)</f>
        <v>3660000</v>
      </c>
    </row>
    <row r="101" spans="1:7" ht="28.8" x14ac:dyDescent="0.55000000000000004">
      <c r="A101" s="24"/>
      <c r="B101" s="25"/>
      <c r="C101" s="26"/>
      <c r="D101" s="26"/>
      <c r="E101" s="27">
        <f>+$I$2+(NETCOM[[#This Row],[QUANTITE]]*NETCOM[[#This Row],[PRIX UNITAIRE]])</f>
        <v>0</v>
      </c>
      <c r="F101" s="31"/>
      <c r="G101" s="29">
        <f>SUM(E$9:$E101)-SUM(F$9:$F101)</f>
        <v>3660000</v>
      </c>
    </row>
    <row r="102" spans="1:7" ht="28.8" x14ac:dyDescent="0.55000000000000004">
      <c r="A102" s="24"/>
      <c r="B102" s="25"/>
      <c r="C102" s="26"/>
      <c r="D102" s="26"/>
      <c r="E102" s="27">
        <f>+$I$2+(NETCOM[[#This Row],[QUANTITE]]*NETCOM[[#This Row],[PRIX UNITAIRE]])</f>
        <v>0</v>
      </c>
      <c r="F102" s="31"/>
      <c r="G102" s="29">
        <f>SUM(E$9:$E102)-SUM(F$9:$F102)</f>
        <v>3660000</v>
      </c>
    </row>
    <row r="103" spans="1:7" ht="28.8" x14ac:dyDescent="0.55000000000000004">
      <c r="A103" s="24"/>
      <c r="B103" s="25"/>
      <c r="C103" s="26"/>
      <c r="D103" s="26"/>
      <c r="E103" s="27">
        <f>+$I$2+(NETCOM[[#This Row],[QUANTITE]]*NETCOM[[#This Row],[PRIX UNITAIRE]])</f>
        <v>0</v>
      </c>
      <c r="F103" s="31"/>
      <c r="G103" s="29">
        <f>SUM(E$9:$E103)-SUM(F$9:$F103)</f>
        <v>3660000</v>
      </c>
    </row>
    <row r="104" spans="1:7" ht="28.8" x14ac:dyDescent="0.55000000000000004">
      <c r="A104" s="24"/>
      <c r="B104" s="25"/>
      <c r="C104" s="26"/>
      <c r="D104" s="26"/>
      <c r="E104" s="27">
        <f>+$I$2+(NETCOM[[#This Row],[QUANTITE]]*NETCOM[[#This Row],[PRIX UNITAIRE]])</f>
        <v>0</v>
      </c>
      <c r="F104" s="31"/>
      <c r="G104" s="29">
        <f>SUM(E$9:$E104)-SUM(F$9:$F104)</f>
        <v>3660000</v>
      </c>
    </row>
    <row r="105" spans="1:7" ht="28.8" x14ac:dyDescent="0.55000000000000004">
      <c r="A105" s="24"/>
      <c r="B105" s="25"/>
      <c r="C105" s="26"/>
      <c r="D105" s="26"/>
      <c r="E105" s="27">
        <f>+$I$2+(NETCOM[[#This Row],[QUANTITE]]*NETCOM[[#This Row],[PRIX UNITAIRE]])</f>
        <v>0</v>
      </c>
      <c r="F105" s="31"/>
      <c r="G105" s="29">
        <f>SUM(E$9:$E105)-SUM(F$9:$F105)</f>
        <v>3660000</v>
      </c>
    </row>
    <row r="106" spans="1:7" ht="28.8" x14ac:dyDescent="0.55000000000000004">
      <c r="A106" s="24"/>
      <c r="B106" s="25"/>
      <c r="C106" s="26"/>
      <c r="D106" s="26"/>
      <c r="E106" s="27">
        <f>+$I$2+(NETCOM[[#This Row],[QUANTITE]]*NETCOM[[#This Row],[PRIX UNITAIRE]])</f>
        <v>0</v>
      </c>
      <c r="F106" s="31"/>
      <c r="G106" s="29">
        <f>SUM(E$9:$E106)-SUM(F$9:$F106)</f>
        <v>3660000</v>
      </c>
    </row>
    <row r="107" spans="1:7" ht="28.8" x14ac:dyDescent="0.55000000000000004">
      <c r="A107" s="24"/>
      <c r="B107" s="25"/>
      <c r="C107" s="26"/>
      <c r="D107" s="26"/>
      <c r="E107" s="27">
        <f>+$I$2+(NETCOM[[#This Row],[QUANTITE]]*NETCOM[[#This Row],[PRIX UNITAIRE]])</f>
        <v>0</v>
      </c>
      <c r="F107" s="31"/>
      <c r="G107" s="29">
        <f>SUM(E$9:$E107)-SUM(F$9:$F107)</f>
        <v>3660000</v>
      </c>
    </row>
    <row r="108" spans="1:7" ht="28.8" x14ac:dyDescent="0.55000000000000004">
      <c r="A108" s="24"/>
      <c r="B108" s="25"/>
      <c r="C108" s="26"/>
      <c r="D108" s="26"/>
      <c r="E108" s="27">
        <f>+$I$2+(NETCOM[[#This Row],[QUANTITE]]*NETCOM[[#This Row],[PRIX UNITAIRE]])</f>
        <v>0</v>
      </c>
      <c r="F108" s="31"/>
      <c r="G108" s="29">
        <f>SUM(E$9:$E108)-SUM(F$9:$F108)</f>
        <v>3660000</v>
      </c>
    </row>
    <row r="109" spans="1:7" ht="28.8" x14ac:dyDescent="0.55000000000000004">
      <c r="A109" s="24"/>
      <c r="B109" s="25"/>
      <c r="C109" s="26"/>
      <c r="D109" s="26"/>
      <c r="E109" s="27">
        <f>+$I$2+(NETCOM[[#This Row],[QUANTITE]]*NETCOM[[#This Row],[PRIX UNITAIRE]])</f>
        <v>0</v>
      </c>
      <c r="F109" s="31"/>
      <c r="G109" s="29">
        <f>SUM(E$9:$E109)-SUM(F$9:$F109)</f>
        <v>3660000</v>
      </c>
    </row>
  </sheetData>
  <sheetProtection selectLockedCells="1" autoFilter="0"/>
  <mergeCells count="1">
    <mergeCell ref="B6:C6"/>
  </mergeCells>
  <conditionalFormatting sqref="B15:B109">
    <cfRule type="expression" dxfId="1006" priority="6">
      <formula>$F15</formula>
    </cfRule>
  </conditionalFormatting>
  <conditionalFormatting sqref="G4">
    <cfRule type="cellIs" dxfId="1005" priority="3" operator="lessThan">
      <formula>0</formula>
    </cfRule>
    <cfRule type="cellIs" dxfId="1004" priority="4" operator="greaterThan">
      <formula>0</formula>
    </cfRule>
  </conditionalFormatting>
  <conditionalFormatting sqref="B9:B14">
    <cfRule type="expression" dxfId="1003" priority="1">
      <formula>$F9</formula>
    </cfRule>
  </conditionalFormatting>
  <dataValidations count="1">
    <dataValidation type="date" operator="greaterThan" allowBlank="1" showInputMessage="1" showErrorMessage="1" error="VEILLEZ ENTRER UNE DATE VALIDE" sqref="A9:A109">
      <formula1>45261</formula1>
    </dataValidation>
  </dataValidations>
  <pageMargins left="0.7" right="0.7" top="0.75" bottom="0.75" header="0.3" footer="0.3"/>
  <pageSetup paperSize="9" scale="15" fitToWidth="0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I512"/>
  <sheetViews>
    <sheetView showGridLines="0" zoomScale="60" zoomScaleNormal="60" workbookViewId="0">
      <pane ySplit="8" topLeftCell="A372" activePane="bottomLeft" state="frozen"/>
      <selection sqref="A1:G4"/>
      <selection pane="bottomLeft"/>
    </sheetView>
  </sheetViews>
  <sheetFormatPr baseColWidth="10" defaultColWidth="11.5546875" defaultRowHeight="14.4" x14ac:dyDescent="0.3"/>
  <cols>
    <col min="1" max="1" width="22.77734375" style="1" bestFit="1" customWidth="1"/>
    <col min="2" max="2" width="51.21875" style="1" customWidth="1"/>
    <col min="3" max="3" width="19.77734375" style="1" bestFit="1" customWidth="1"/>
    <col min="4" max="4" width="45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32"/>
      <c r="B1" s="32"/>
      <c r="C1" s="32"/>
    </row>
    <row r="2" spans="1:9" ht="36" customHeight="1" thickBot="1" x14ac:dyDescent="0.65">
      <c r="A2" s="32"/>
      <c r="B2" s="32"/>
      <c r="C2" s="32"/>
      <c r="D2" s="39"/>
      <c r="E2" s="40"/>
      <c r="F2" s="40"/>
      <c r="G2" s="40"/>
      <c r="I2" s="1">
        <v>0</v>
      </c>
    </row>
    <row r="3" spans="1:9" ht="31.8" thickBot="1" x14ac:dyDescent="0.35">
      <c r="A3" s="32"/>
      <c r="B3" s="32"/>
      <c r="C3" s="32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32"/>
      <c r="B4" s="32"/>
      <c r="C4" s="32"/>
      <c r="D4" s="38" t="s">
        <v>1224</v>
      </c>
      <c r="E4" s="41">
        <f>+SUM(FIDAA[TOTAL MONTANT])</f>
        <v>55549350</v>
      </c>
      <c r="F4" s="41">
        <f>+SUM(FIDAA[VERSEMENT])</f>
        <v>48815000</v>
      </c>
      <c r="G4" s="41">
        <f>+E4-F4</f>
        <v>6734350</v>
      </c>
    </row>
    <row r="5" spans="1:9" ht="29.4" thickBot="1" x14ac:dyDescent="0.35">
      <c r="B5" s="3" t="s">
        <v>7</v>
      </c>
    </row>
    <row r="6" spans="1:9" ht="37.200000000000003" thickBot="1" x14ac:dyDescent="0.75">
      <c r="B6" s="168" t="s">
        <v>277</v>
      </c>
      <c r="C6" s="169"/>
      <c r="E6" s="51" t="b">
        <v>1</v>
      </c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45363</v>
      </c>
      <c r="B9" s="13" t="s">
        <v>9</v>
      </c>
      <c r="C9" s="10">
        <v>2</v>
      </c>
      <c r="D9" s="10">
        <v>90000</v>
      </c>
      <c r="E9" s="7">
        <f>+$I$2+(FIDAA[[#This Row],[QUANTITE]]*FIDAA[[#This Row],[PRIX UNITAIRE]])</f>
        <v>180000</v>
      </c>
      <c r="F9" s="22"/>
      <c r="G9" s="6">
        <f>SUM(E$9:$E9)-SUM(F$9:$F9)</f>
        <v>180000</v>
      </c>
    </row>
    <row r="10" spans="1:9" ht="28.8" x14ac:dyDescent="0.55000000000000004">
      <c r="A10" s="12"/>
      <c r="B10" s="13" t="s">
        <v>10</v>
      </c>
      <c r="C10" s="11">
        <v>4</v>
      </c>
      <c r="D10" s="11">
        <v>70000</v>
      </c>
      <c r="E10" s="7">
        <f>+$I$2+(FIDAA[[#This Row],[QUANTITE]]*FIDAA[[#This Row],[PRIX UNITAIRE]])</f>
        <v>280000</v>
      </c>
      <c r="F10" s="22"/>
      <c r="G10" s="8">
        <f>SUM(E$9:$E10)-SUM(F$9:$F10)</f>
        <v>460000</v>
      </c>
    </row>
    <row r="11" spans="1:9" ht="28.8" x14ac:dyDescent="0.55000000000000004">
      <c r="A11" s="12"/>
      <c r="B11" s="13" t="s">
        <v>11</v>
      </c>
      <c r="C11" s="11">
        <v>4</v>
      </c>
      <c r="D11" s="11">
        <v>55000</v>
      </c>
      <c r="E11" s="7">
        <f>+$I$2+(FIDAA[[#This Row],[QUANTITE]]*FIDAA[[#This Row],[PRIX UNITAIRE]])</f>
        <v>220000</v>
      </c>
      <c r="F11" s="22"/>
      <c r="G11" s="8">
        <f>SUM(E$9:$E11)-SUM(F$9:$F11)</f>
        <v>680000</v>
      </c>
    </row>
    <row r="12" spans="1:9" ht="28.8" x14ac:dyDescent="0.55000000000000004">
      <c r="A12" s="12"/>
      <c r="B12" s="13" t="s">
        <v>12</v>
      </c>
      <c r="C12" s="11">
        <v>4</v>
      </c>
      <c r="D12" s="11">
        <v>48000</v>
      </c>
      <c r="E12" s="7">
        <f>+$I$2+(FIDAA[[#This Row],[QUANTITE]]*FIDAA[[#This Row],[PRIX UNITAIRE]])</f>
        <v>192000</v>
      </c>
      <c r="F12" s="22"/>
      <c r="G12" s="8">
        <f>SUM(E$9:$E12)-SUM(F$9:$F12)</f>
        <v>872000</v>
      </c>
    </row>
    <row r="13" spans="1:9" ht="28.8" x14ac:dyDescent="0.55000000000000004">
      <c r="A13" s="12"/>
      <c r="B13" s="13" t="s">
        <v>13</v>
      </c>
      <c r="C13" s="11">
        <v>10</v>
      </c>
      <c r="D13" s="11">
        <v>27500</v>
      </c>
      <c r="E13" s="7">
        <f>+$I$2+(FIDAA[[#This Row],[QUANTITE]]*FIDAA[[#This Row],[PRIX UNITAIRE]])</f>
        <v>275000</v>
      </c>
      <c r="F13" s="22"/>
      <c r="G13" s="8">
        <f>SUM(E$9:$E13)-SUM(F$9:$F13)</f>
        <v>1147000</v>
      </c>
    </row>
    <row r="14" spans="1:9" ht="28.8" x14ac:dyDescent="0.55000000000000004">
      <c r="A14" s="12"/>
      <c r="B14" s="13" t="s">
        <v>14</v>
      </c>
      <c r="C14" s="11">
        <v>4</v>
      </c>
      <c r="D14" s="11">
        <v>27000</v>
      </c>
      <c r="E14" s="7">
        <f>+$I$2+(FIDAA[[#This Row],[QUANTITE]]*FIDAA[[#This Row],[PRIX UNITAIRE]])</f>
        <v>108000</v>
      </c>
      <c r="F14" s="22"/>
      <c r="G14" s="8">
        <f>SUM(E$9:$E14)-SUM(F$9:$F14)</f>
        <v>1255000</v>
      </c>
    </row>
    <row r="15" spans="1:9" ht="28.8" x14ac:dyDescent="0.55000000000000004">
      <c r="A15" s="12"/>
      <c r="B15" s="13" t="s">
        <v>15</v>
      </c>
      <c r="C15" s="11">
        <v>2</v>
      </c>
      <c r="D15" s="11">
        <v>25000</v>
      </c>
      <c r="E15" s="7">
        <f>+$I$2+(FIDAA[[#This Row],[QUANTITE]]*FIDAA[[#This Row],[PRIX UNITAIRE]])</f>
        <v>50000</v>
      </c>
      <c r="F15" s="22"/>
      <c r="G15" s="8">
        <f>SUM(E$9:$E15)-SUM(F$9:$F15)</f>
        <v>1305000</v>
      </c>
    </row>
    <row r="16" spans="1:9" ht="28.8" x14ac:dyDescent="0.55000000000000004">
      <c r="A16" s="12"/>
      <c r="B16" s="13" t="s">
        <v>16</v>
      </c>
      <c r="C16" s="11">
        <v>2</v>
      </c>
      <c r="D16" s="11">
        <v>25000</v>
      </c>
      <c r="E16" s="7">
        <f>+$I$2+(FIDAA[[#This Row],[QUANTITE]]*FIDAA[[#This Row],[PRIX UNITAIRE]])</f>
        <v>50000</v>
      </c>
      <c r="F16" s="22"/>
      <c r="G16" s="8">
        <f>SUM(E$9:$E16)-SUM(F$9:$F16)</f>
        <v>1355000</v>
      </c>
    </row>
    <row r="17" spans="1:7" ht="28.8" x14ac:dyDescent="0.55000000000000004">
      <c r="A17" s="12"/>
      <c r="B17" s="13" t="s">
        <v>17</v>
      </c>
      <c r="C17" s="11">
        <v>2</v>
      </c>
      <c r="D17" s="11">
        <v>45000</v>
      </c>
      <c r="E17" s="7">
        <f>+$I$2+(FIDAA[[#This Row],[QUANTITE]]*FIDAA[[#This Row],[PRIX UNITAIRE]])</f>
        <v>90000</v>
      </c>
      <c r="F17" s="22"/>
      <c r="G17" s="8">
        <f>SUM(E$9:$E17)-SUM(F$9:$F17)</f>
        <v>1445000</v>
      </c>
    </row>
    <row r="18" spans="1:7" ht="28.8" x14ac:dyDescent="0.55000000000000004">
      <c r="A18" s="12"/>
      <c r="B18" s="13" t="s">
        <v>18</v>
      </c>
      <c r="C18" s="11">
        <v>4</v>
      </c>
      <c r="D18" s="11">
        <v>32000</v>
      </c>
      <c r="E18" s="7">
        <f>+$I$2+(FIDAA[[#This Row],[QUANTITE]]*FIDAA[[#This Row],[PRIX UNITAIRE]])</f>
        <v>128000</v>
      </c>
      <c r="F18" s="22"/>
      <c r="G18" s="8">
        <f>SUM(E$9:$E18)-SUM(F$9:$F18)</f>
        <v>1573000</v>
      </c>
    </row>
    <row r="19" spans="1:7" ht="28.8" x14ac:dyDescent="0.55000000000000004">
      <c r="A19" s="12"/>
      <c r="B19" s="13" t="s">
        <v>19</v>
      </c>
      <c r="C19" s="11">
        <v>4</v>
      </c>
      <c r="D19" s="11">
        <v>20000</v>
      </c>
      <c r="E19" s="7">
        <f>+$I$2+(FIDAA[[#This Row],[QUANTITE]]*FIDAA[[#This Row],[PRIX UNITAIRE]])</f>
        <v>80000</v>
      </c>
      <c r="F19" s="22"/>
      <c r="G19" s="8">
        <f>SUM(E$9:$E19)-SUM(F$9:$F19)</f>
        <v>1653000</v>
      </c>
    </row>
    <row r="20" spans="1:7" ht="28.8" x14ac:dyDescent="0.55000000000000004">
      <c r="A20" s="12"/>
      <c r="B20" s="13" t="s">
        <v>20</v>
      </c>
      <c r="C20" s="11">
        <v>4</v>
      </c>
      <c r="D20" s="11">
        <v>45000</v>
      </c>
      <c r="E20" s="7">
        <f>+$I$2+(FIDAA[[#This Row],[QUANTITE]]*FIDAA[[#This Row],[PRIX UNITAIRE]])</f>
        <v>180000</v>
      </c>
      <c r="F20" s="22"/>
      <c r="G20" s="8">
        <f>SUM(E$9:$E20)-SUM(F$9:$F20)</f>
        <v>1833000</v>
      </c>
    </row>
    <row r="21" spans="1:7" ht="28.8" x14ac:dyDescent="0.55000000000000004">
      <c r="A21" s="12"/>
      <c r="B21" s="13" t="s">
        <v>21</v>
      </c>
      <c r="C21" s="11">
        <v>4</v>
      </c>
      <c r="D21" s="11">
        <v>27500</v>
      </c>
      <c r="E21" s="7">
        <f>+$I$2+(FIDAA[[#This Row],[QUANTITE]]*FIDAA[[#This Row],[PRIX UNITAIRE]])</f>
        <v>110000</v>
      </c>
      <c r="F21" s="22"/>
      <c r="G21" s="8">
        <f>SUM(E$9:$E21)-SUM(F$9:$F21)</f>
        <v>1943000</v>
      </c>
    </row>
    <row r="22" spans="1:7" ht="28.8" x14ac:dyDescent="0.55000000000000004">
      <c r="A22" s="12"/>
      <c r="B22" s="13" t="s">
        <v>22</v>
      </c>
      <c r="C22" s="11">
        <v>2</v>
      </c>
      <c r="D22" s="11">
        <v>25000</v>
      </c>
      <c r="E22" s="7">
        <f>+$I$2+(FIDAA[[#This Row],[QUANTITE]]*FIDAA[[#This Row],[PRIX UNITAIRE]])</f>
        <v>50000</v>
      </c>
      <c r="F22" s="22"/>
      <c r="G22" s="8">
        <f>SUM(E$9:$E22)-SUM(F$9:$F22)</f>
        <v>1993000</v>
      </c>
    </row>
    <row r="23" spans="1:7" ht="28.8" x14ac:dyDescent="0.55000000000000004">
      <c r="A23" s="12"/>
      <c r="B23" s="13" t="s">
        <v>23</v>
      </c>
      <c r="C23" s="11">
        <v>2</v>
      </c>
      <c r="D23" s="11">
        <v>33000</v>
      </c>
      <c r="E23" s="7">
        <f>+$I$2+(FIDAA[[#This Row],[QUANTITE]]*FIDAA[[#This Row],[PRIX UNITAIRE]])</f>
        <v>66000</v>
      </c>
      <c r="F23" s="22"/>
      <c r="G23" s="8">
        <f>SUM(E$9:$E23)-SUM(F$9:$F23)</f>
        <v>2059000</v>
      </c>
    </row>
    <row r="24" spans="1:7" ht="28.8" x14ac:dyDescent="0.55000000000000004">
      <c r="A24" s="12"/>
      <c r="B24" s="13" t="s">
        <v>24</v>
      </c>
      <c r="C24" s="11">
        <v>2</v>
      </c>
      <c r="D24" s="11">
        <v>70000</v>
      </c>
      <c r="E24" s="7">
        <f>+$I$2+(FIDAA[[#This Row],[QUANTITE]]*FIDAA[[#This Row],[PRIX UNITAIRE]])</f>
        <v>140000</v>
      </c>
      <c r="F24" s="22"/>
      <c r="G24" s="8">
        <f>SUM(E$9:$E24)-SUM(F$9:$F24)</f>
        <v>2199000</v>
      </c>
    </row>
    <row r="25" spans="1:7" ht="28.8" x14ac:dyDescent="0.55000000000000004">
      <c r="A25" s="12"/>
      <c r="B25" s="13" t="s">
        <v>25</v>
      </c>
      <c r="C25" s="11">
        <v>2</v>
      </c>
      <c r="D25" s="11">
        <v>75000</v>
      </c>
      <c r="E25" s="7">
        <f>+$I$2+(FIDAA[[#This Row],[QUANTITE]]*FIDAA[[#This Row],[PRIX UNITAIRE]])</f>
        <v>150000</v>
      </c>
      <c r="F25" s="22"/>
      <c r="G25" s="8">
        <f>SUM(E$9:$E25)-SUM(F$9:$F25)</f>
        <v>2349000</v>
      </c>
    </row>
    <row r="26" spans="1:7" ht="28.8" x14ac:dyDescent="0.55000000000000004">
      <c r="A26" s="12"/>
      <c r="B26" s="13" t="s">
        <v>26</v>
      </c>
      <c r="C26" s="11">
        <v>4</v>
      </c>
      <c r="D26" s="11">
        <v>18000</v>
      </c>
      <c r="E26" s="7">
        <f>+$I$2+(FIDAA[[#This Row],[QUANTITE]]*FIDAA[[#This Row],[PRIX UNITAIRE]])</f>
        <v>72000</v>
      </c>
      <c r="F26" s="22"/>
      <c r="G26" s="8">
        <f>SUM(E$9:$E26)-SUM(F$9:$F26)</f>
        <v>2421000</v>
      </c>
    </row>
    <row r="27" spans="1:7" ht="28.8" x14ac:dyDescent="0.55000000000000004">
      <c r="A27" s="12"/>
      <c r="B27" s="13" t="s">
        <v>27</v>
      </c>
      <c r="C27" s="11">
        <v>4</v>
      </c>
      <c r="D27" s="11">
        <v>47500</v>
      </c>
      <c r="E27" s="7">
        <f>+$I$2+(FIDAA[[#This Row],[QUANTITE]]*FIDAA[[#This Row],[PRIX UNITAIRE]])</f>
        <v>190000</v>
      </c>
      <c r="F27" s="22"/>
      <c r="G27" s="8">
        <f>SUM(E$9:$E27)-SUM(F$9:$F27)</f>
        <v>2611000</v>
      </c>
    </row>
    <row r="28" spans="1:7" ht="28.8" x14ac:dyDescent="0.55000000000000004">
      <c r="A28" s="12">
        <v>45365</v>
      </c>
      <c r="B28" s="13" t="s">
        <v>28</v>
      </c>
      <c r="C28" s="11">
        <v>4</v>
      </c>
      <c r="D28" s="11">
        <v>40000</v>
      </c>
      <c r="E28" s="7">
        <f>+$I$2+(FIDAA[[#This Row],[QUANTITE]]*FIDAA[[#This Row],[PRIX UNITAIRE]])</f>
        <v>160000</v>
      </c>
      <c r="F28" s="22"/>
      <c r="G28" s="8">
        <f>SUM(E$9:$E28)-SUM(F$9:$F28)</f>
        <v>2771000</v>
      </c>
    </row>
    <row r="29" spans="1:7" ht="28.8" x14ac:dyDescent="0.55000000000000004">
      <c r="A29" s="12"/>
      <c r="B29" s="13" t="s">
        <v>29</v>
      </c>
      <c r="C29" s="11">
        <v>10</v>
      </c>
      <c r="D29" s="11">
        <v>16000</v>
      </c>
      <c r="E29" s="7">
        <f>+$I$2+(FIDAA[[#This Row],[QUANTITE]]*FIDAA[[#This Row],[PRIX UNITAIRE]])</f>
        <v>160000</v>
      </c>
      <c r="F29" s="22"/>
      <c r="G29" s="8">
        <f>SUM(E$9:$E29)-SUM(F$9:$F29)</f>
        <v>2931000</v>
      </c>
    </row>
    <row r="30" spans="1:7" ht="28.8" x14ac:dyDescent="0.55000000000000004">
      <c r="A30" s="12"/>
      <c r="B30" s="13" t="s">
        <v>30</v>
      </c>
      <c r="C30" s="11">
        <v>4</v>
      </c>
      <c r="D30" s="11">
        <v>22500</v>
      </c>
      <c r="E30" s="7">
        <f>+$I$2+(FIDAA[[#This Row],[QUANTITE]]*FIDAA[[#This Row],[PRIX UNITAIRE]])</f>
        <v>90000</v>
      </c>
      <c r="F30" s="22"/>
      <c r="G30" s="8">
        <f>SUM(E$9:$E30)-SUM(F$9:$F30)</f>
        <v>3021000</v>
      </c>
    </row>
    <row r="31" spans="1:7" ht="28.8" x14ac:dyDescent="0.55000000000000004">
      <c r="A31" s="12"/>
      <c r="B31" s="13" t="s">
        <v>31</v>
      </c>
      <c r="C31" s="11">
        <v>4</v>
      </c>
      <c r="D31" s="11">
        <v>22500</v>
      </c>
      <c r="E31" s="7">
        <f>+$I$2+(FIDAA[[#This Row],[QUANTITE]]*FIDAA[[#This Row],[PRIX UNITAIRE]])</f>
        <v>90000</v>
      </c>
      <c r="F31" s="22"/>
      <c r="G31" s="8">
        <f>SUM(E$9:$E31)-SUM(F$9:$F31)</f>
        <v>3111000</v>
      </c>
    </row>
    <row r="32" spans="1:7" ht="28.8" x14ac:dyDescent="0.55000000000000004">
      <c r="A32" s="12"/>
      <c r="B32" s="13" t="s">
        <v>32</v>
      </c>
      <c r="C32" s="11">
        <v>10</v>
      </c>
      <c r="D32" s="11">
        <v>33000</v>
      </c>
      <c r="E32" s="7">
        <f>+$I$2+(FIDAA[[#This Row],[QUANTITE]]*FIDAA[[#This Row],[PRIX UNITAIRE]])</f>
        <v>330000</v>
      </c>
      <c r="F32" s="22"/>
      <c r="G32" s="8">
        <f>SUM(E$9:$E32)-SUM(F$9:$F32)</f>
        <v>3441000</v>
      </c>
    </row>
    <row r="33" spans="1:7" ht="28.8" x14ac:dyDescent="0.55000000000000004">
      <c r="A33" s="12"/>
      <c r="B33" s="13" t="s">
        <v>33</v>
      </c>
      <c r="C33" s="11">
        <v>10</v>
      </c>
      <c r="D33" s="11">
        <v>32000</v>
      </c>
      <c r="E33" s="7">
        <f>+$I$2+(FIDAA[[#This Row],[QUANTITE]]*FIDAA[[#This Row],[PRIX UNITAIRE]])</f>
        <v>320000</v>
      </c>
      <c r="F33" s="22"/>
      <c r="G33" s="8">
        <f>SUM(E$9:$E33)-SUM(F$9:$F33)</f>
        <v>3761000</v>
      </c>
    </row>
    <row r="34" spans="1:7" ht="28.8" x14ac:dyDescent="0.55000000000000004">
      <c r="A34" s="12"/>
      <c r="B34" s="13" t="s">
        <v>34</v>
      </c>
      <c r="C34" s="11">
        <v>4</v>
      </c>
      <c r="D34" s="11">
        <v>35000</v>
      </c>
      <c r="E34" s="7">
        <f>+$I$2+(FIDAA[[#This Row],[QUANTITE]]*FIDAA[[#This Row],[PRIX UNITAIRE]])</f>
        <v>140000</v>
      </c>
      <c r="F34" s="22"/>
      <c r="G34" s="8">
        <f>SUM(E$9:$E34)-SUM(F$9:$F34)</f>
        <v>3901000</v>
      </c>
    </row>
    <row r="35" spans="1:7" ht="28.8" x14ac:dyDescent="0.55000000000000004">
      <c r="A35" s="12"/>
      <c r="B35" s="13" t="s">
        <v>35</v>
      </c>
      <c r="C35" s="11">
        <v>4</v>
      </c>
      <c r="D35" s="11">
        <v>33000</v>
      </c>
      <c r="E35" s="7">
        <f>+$I$2+(FIDAA[[#This Row],[QUANTITE]]*FIDAA[[#This Row],[PRIX UNITAIRE]])</f>
        <v>132000</v>
      </c>
      <c r="F35" s="22"/>
      <c r="G35" s="8">
        <f>SUM(E$9:$E35)-SUM(F$9:$F35)</f>
        <v>4033000</v>
      </c>
    </row>
    <row r="36" spans="1:7" ht="28.8" x14ac:dyDescent="0.55000000000000004">
      <c r="A36" s="12"/>
      <c r="B36" s="13" t="s">
        <v>36</v>
      </c>
      <c r="C36" s="11">
        <v>4</v>
      </c>
      <c r="D36" s="11">
        <v>35000</v>
      </c>
      <c r="E36" s="7">
        <f>+$I$2+(FIDAA[[#This Row],[QUANTITE]]*FIDAA[[#This Row],[PRIX UNITAIRE]])</f>
        <v>140000</v>
      </c>
      <c r="F36" s="22"/>
      <c r="G36" s="8">
        <f>SUM(E$9:$E36)-SUM(F$9:$F36)</f>
        <v>4173000</v>
      </c>
    </row>
    <row r="37" spans="1:7" ht="28.8" x14ac:dyDescent="0.55000000000000004">
      <c r="A37" s="12"/>
      <c r="B37" s="13" t="s">
        <v>37</v>
      </c>
      <c r="C37" s="11">
        <v>4</v>
      </c>
      <c r="D37" s="11">
        <v>65000</v>
      </c>
      <c r="E37" s="7">
        <f>+$I$2+(FIDAA[[#This Row],[QUANTITE]]*FIDAA[[#This Row],[PRIX UNITAIRE]])</f>
        <v>260000</v>
      </c>
      <c r="F37" s="22"/>
      <c r="G37" s="8">
        <f>SUM(E$9:$E37)-SUM(F$9:$F37)</f>
        <v>4433000</v>
      </c>
    </row>
    <row r="38" spans="1:7" ht="28.8" x14ac:dyDescent="0.55000000000000004">
      <c r="A38" s="12"/>
      <c r="B38" s="13" t="s">
        <v>38</v>
      </c>
      <c r="C38" s="11">
        <v>4</v>
      </c>
      <c r="D38" s="11">
        <v>40000</v>
      </c>
      <c r="E38" s="7">
        <f>+$I$2+(FIDAA[[#This Row],[QUANTITE]]*FIDAA[[#This Row],[PRIX UNITAIRE]])</f>
        <v>160000</v>
      </c>
      <c r="F38" s="22"/>
      <c r="G38" s="8">
        <f>SUM(E$9:$E38)-SUM(F$9:$F38)</f>
        <v>4593000</v>
      </c>
    </row>
    <row r="39" spans="1:7" ht="28.8" x14ac:dyDescent="0.55000000000000004">
      <c r="A39" s="12"/>
      <c r="B39" s="13" t="s">
        <v>39</v>
      </c>
      <c r="C39" s="11">
        <v>4</v>
      </c>
      <c r="D39" s="11">
        <v>55000</v>
      </c>
      <c r="E39" s="7">
        <f>+$I$2+(FIDAA[[#This Row],[QUANTITE]]*FIDAA[[#This Row],[PRIX UNITAIRE]])</f>
        <v>220000</v>
      </c>
      <c r="F39" s="22"/>
      <c r="G39" s="8">
        <f>SUM(E$9:$E39)-SUM(F$9:$F39)</f>
        <v>4813000</v>
      </c>
    </row>
    <row r="40" spans="1:7" ht="28.8" x14ac:dyDescent="0.55000000000000004">
      <c r="A40" s="12"/>
      <c r="B40" s="13" t="s">
        <v>40</v>
      </c>
      <c r="C40" s="10">
        <v>4</v>
      </c>
      <c r="D40" s="10">
        <v>102500</v>
      </c>
      <c r="E40" s="7">
        <f>+$I$2+(FIDAA[[#This Row],[QUANTITE]]*FIDAA[[#This Row],[PRIX UNITAIRE]])</f>
        <v>410000</v>
      </c>
      <c r="F40" s="22"/>
      <c r="G40" s="6">
        <f>SUM(E$9:$E40)-SUM(F$9:$F40)</f>
        <v>5223000</v>
      </c>
    </row>
    <row r="41" spans="1:7" ht="28.8" x14ac:dyDescent="0.55000000000000004">
      <c r="A41" s="12"/>
      <c r="B41" s="13" t="s">
        <v>41</v>
      </c>
      <c r="C41" s="10">
        <v>2</v>
      </c>
      <c r="D41" s="10">
        <v>100000</v>
      </c>
      <c r="E41" s="7">
        <f>+$I$2+(FIDAA[[#This Row],[QUANTITE]]*FIDAA[[#This Row],[PRIX UNITAIRE]])</f>
        <v>200000</v>
      </c>
      <c r="F41" s="22"/>
      <c r="G41" s="6">
        <f>SUM(E$9:$E41)-SUM(F$9:$F41)</f>
        <v>5423000</v>
      </c>
    </row>
    <row r="42" spans="1:7" ht="28.8" x14ac:dyDescent="0.55000000000000004">
      <c r="A42" s="12"/>
      <c r="B42" s="13" t="s">
        <v>42</v>
      </c>
      <c r="C42" s="10">
        <v>4</v>
      </c>
      <c r="D42" s="10">
        <v>20000</v>
      </c>
      <c r="E42" s="7">
        <f>+$I$2+(FIDAA[[#This Row],[QUANTITE]]*FIDAA[[#This Row],[PRIX UNITAIRE]])</f>
        <v>80000</v>
      </c>
      <c r="F42" s="22"/>
      <c r="G42" s="6">
        <f>SUM(E$9:$E42)-SUM(F$9:$F42)</f>
        <v>5503000</v>
      </c>
    </row>
    <row r="43" spans="1:7" ht="28.8" x14ac:dyDescent="0.55000000000000004">
      <c r="A43" s="12"/>
      <c r="B43" s="13" t="s">
        <v>43</v>
      </c>
      <c r="C43" s="10">
        <v>2</v>
      </c>
      <c r="D43" s="10">
        <v>135000</v>
      </c>
      <c r="E43" s="7">
        <f>+$I$2+(FIDAA[[#This Row],[QUANTITE]]*FIDAA[[#This Row],[PRIX UNITAIRE]])</f>
        <v>270000</v>
      </c>
      <c r="F43" s="22"/>
      <c r="G43" s="6">
        <f>SUM(E$9:$E43)-SUM(F$9:$F43)</f>
        <v>5773000</v>
      </c>
    </row>
    <row r="44" spans="1:7" ht="28.8" x14ac:dyDescent="0.55000000000000004">
      <c r="A44" s="12"/>
      <c r="B44" s="13" t="s">
        <v>44</v>
      </c>
      <c r="C44" s="10">
        <v>2</v>
      </c>
      <c r="D44" s="10">
        <v>130000</v>
      </c>
      <c r="E44" s="7">
        <f>+$I$2+(FIDAA[[#This Row],[QUANTITE]]*FIDAA[[#This Row],[PRIX UNITAIRE]])</f>
        <v>260000</v>
      </c>
      <c r="F44" s="22"/>
      <c r="G44" s="6">
        <f>SUM(E$9:$E44)-SUM(F$9:$F44)</f>
        <v>6033000</v>
      </c>
    </row>
    <row r="45" spans="1:7" ht="28.8" x14ac:dyDescent="0.55000000000000004">
      <c r="A45" s="12"/>
      <c r="B45" s="13" t="s">
        <v>45</v>
      </c>
      <c r="C45" s="10">
        <v>4</v>
      </c>
      <c r="D45" s="10">
        <v>47500</v>
      </c>
      <c r="E45" s="7">
        <f>+$I$2+(FIDAA[[#This Row],[QUANTITE]]*FIDAA[[#This Row],[PRIX UNITAIRE]])</f>
        <v>190000</v>
      </c>
      <c r="F45" s="22"/>
      <c r="G45" s="6">
        <f>SUM(E$9:$E45)-SUM(F$9:$F45)</f>
        <v>6223000</v>
      </c>
    </row>
    <row r="46" spans="1:7" ht="28.8" x14ac:dyDescent="0.55000000000000004">
      <c r="A46" s="12"/>
      <c r="B46" s="13" t="s">
        <v>46</v>
      </c>
      <c r="C46" s="10">
        <v>2</v>
      </c>
      <c r="D46" s="10">
        <v>12500</v>
      </c>
      <c r="E46" s="7">
        <f>+$I$2+(FIDAA[[#This Row],[QUANTITE]]*FIDAA[[#This Row],[PRIX UNITAIRE]])</f>
        <v>25000</v>
      </c>
      <c r="F46" s="22"/>
      <c r="G46" s="6">
        <f>SUM(E$9:$E46)-SUM(F$9:$F46)</f>
        <v>6248000</v>
      </c>
    </row>
    <row r="47" spans="1:7" ht="28.8" x14ac:dyDescent="0.55000000000000004">
      <c r="A47" s="12"/>
      <c r="B47" s="13" t="s">
        <v>47</v>
      </c>
      <c r="C47" s="10">
        <v>28</v>
      </c>
      <c r="D47" s="10">
        <v>950</v>
      </c>
      <c r="E47" s="7">
        <f>+$I$2+(FIDAA[[#This Row],[QUANTITE]]*FIDAA[[#This Row],[PRIX UNITAIRE]])</f>
        <v>26600</v>
      </c>
      <c r="F47" s="22"/>
      <c r="G47" s="6">
        <f>SUM(E$9:$E47)-SUM(F$9:$F47)</f>
        <v>6274600</v>
      </c>
    </row>
    <row r="48" spans="1:7" ht="28.8" x14ac:dyDescent="0.55000000000000004">
      <c r="A48" s="12"/>
      <c r="B48" s="13" t="s">
        <v>48</v>
      </c>
      <c r="C48" s="10">
        <v>4</v>
      </c>
      <c r="D48" s="10">
        <v>11500</v>
      </c>
      <c r="E48" s="7">
        <f>+$I$2+(FIDAA[[#This Row],[QUANTITE]]*FIDAA[[#This Row],[PRIX UNITAIRE]])</f>
        <v>46000</v>
      </c>
      <c r="F48" s="22"/>
      <c r="G48" s="6">
        <f>SUM(E$9:$E48)-SUM(F$9:$F48)</f>
        <v>6320600</v>
      </c>
    </row>
    <row r="49" spans="1:7" ht="28.8" x14ac:dyDescent="0.55000000000000004">
      <c r="A49" s="12"/>
      <c r="B49" s="13" t="s">
        <v>49</v>
      </c>
      <c r="C49" s="10">
        <v>5</v>
      </c>
      <c r="D49" s="10">
        <v>9000</v>
      </c>
      <c r="E49" s="7">
        <f>+$I$2+(FIDAA[[#This Row],[QUANTITE]]*FIDAA[[#This Row],[PRIX UNITAIRE]])</f>
        <v>45000</v>
      </c>
      <c r="F49" s="22"/>
      <c r="G49" s="6">
        <f>SUM(E$9:$E49)-SUM(F$9:$F49)</f>
        <v>6365600</v>
      </c>
    </row>
    <row r="50" spans="1:7" ht="28.8" x14ac:dyDescent="0.55000000000000004">
      <c r="A50" s="12"/>
      <c r="B50" s="13" t="s">
        <v>50</v>
      </c>
      <c r="C50" s="10">
        <v>9</v>
      </c>
      <c r="D50" s="10">
        <v>1750</v>
      </c>
      <c r="E50" s="7">
        <f>+$I$2+(FIDAA[[#This Row],[QUANTITE]]*FIDAA[[#This Row],[PRIX UNITAIRE]])</f>
        <v>15750</v>
      </c>
      <c r="F50" s="22"/>
      <c r="G50" s="6">
        <f>SUM(E$9:$E50)-SUM(F$9:$F50)</f>
        <v>6381350</v>
      </c>
    </row>
    <row r="51" spans="1:7" ht="28.8" x14ac:dyDescent="0.55000000000000004">
      <c r="A51" s="12"/>
      <c r="B51" s="13" t="s">
        <v>51</v>
      </c>
      <c r="C51" s="10">
        <v>2</v>
      </c>
      <c r="D51" s="10">
        <v>5000</v>
      </c>
      <c r="E51" s="7">
        <f>+$I$2+(FIDAA[[#This Row],[QUANTITE]]*FIDAA[[#This Row],[PRIX UNITAIRE]])</f>
        <v>10000</v>
      </c>
      <c r="F51" s="22"/>
      <c r="G51" s="6">
        <f>SUM(E$9:$E51)-SUM(F$9:$F51)</f>
        <v>6391350</v>
      </c>
    </row>
    <row r="52" spans="1:7" ht="28.8" x14ac:dyDescent="0.55000000000000004">
      <c r="A52" s="12"/>
      <c r="B52" s="13" t="s">
        <v>52</v>
      </c>
      <c r="C52" s="10">
        <v>2</v>
      </c>
      <c r="D52" s="10">
        <v>5000</v>
      </c>
      <c r="E52" s="7">
        <f>+$I$2+(FIDAA[[#This Row],[QUANTITE]]*FIDAA[[#This Row],[PRIX UNITAIRE]])</f>
        <v>10000</v>
      </c>
      <c r="F52" s="22"/>
      <c r="G52" s="6">
        <f>SUM(E$9:$E52)-SUM(F$9:$F52)</f>
        <v>6401350</v>
      </c>
    </row>
    <row r="53" spans="1:7" ht="28.8" x14ac:dyDescent="0.55000000000000004">
      <c r="A53" s="12"/>
      <c r="B53" s="13" t="s">
        <v>53</v>
      </c>
      <c r="C53" s="10">
        <v>2</v>
      </c>
      <c r="D53" s="10">
        <v>5000</v>
      </c>
      <c r="E53" s="7">
        <f>+$I$2+(FIDAA[[#This Row],[QUANTITE]]*FIDAA[[#This Row],[PRIX UNITAIRE]])</f>
        <v>10000</v>
      </c>
      <c r="F53" s="22"/>
      <c r="G53" s="6">
        <f>SUM(E$9:$E53)-SUM(F$9:$F53)</f>
        <v>6411350</v>
      </c>
    </row>
    <row r="54" spans="1:7" ht="28.8" x14ac:dyDescent="0.55000000000000004">
      <c r="A54" s="12"/>
      <c r="B54" s="13" t="s">
        <v>54</v>
      </c>
      <c r="C54" s="10">
        <v>2</v>
      </c>
      <c r="D54" s="10">
        <v>5000</v>
      </c>
      <c r="E54" s="7">
        <f>+$I$2+(FIDAA[[#This Row],[QUANTITE]]*FIDAA[[#This Row],[PRIX UNITAIRE]])</f>
        <v>10000</v>
      </c>
      <c r="F54" s="22"/>
      <c r="G54" s="6">
        <f>SUM(E$9:$E54)-SUM(F$9:$F54)</f>
        <v>6421350</v>
      </c>
    </row>
    <row r="55" spans="1:7" ht="28.8" x14ac:dyDescent="0.55000000000000004">
      <c r="A55" s="12"/>
      <c r="B55" s="13" t="s">
        <v>55</v>
      </c>
      <c r="C55" s="10">
        <v>2</v>
      </c>
      <c r="D55" s="10">
        <v>5000</v>
      </c>
      <c r="E55" s="7">
        <f>+$I$2+(FIDAA[[#This Row],[QUANTITE]]*FIDAA[[#This Row],[PRIX UNITAIRE]])</f>
        <v>10000</v>
      </c>
      <c r="F55" s="22"/>
      <c r="G55" s="6">
        <f>SUM(E$9:$E55)-SUM(F$9:$F55)</f>
        <v>6431350</v>
      </c>
    </row>
    <row r="56" spans="1:7" ht="28.8" x14ac:dyDescent="0.55000000000000004">
      <c r="A56" s="12"/>
      <c r="B56" s="13" t="s">
        <v>56</v>
      </c>
      <c r="C56" s="10">
        <v>2</v>
      </c>
      <c r="D56" s="10">
        <v>6000</v>
      </c>
      <c r="E56" s="7">
        <f>+$I$2+(FIDAA[[#This Row],[QUANTITE]]*FIDAA[[#This Row],[PRIX UNITAIRE]])</f>
        <v>12000</v>
      </c>
      <c r="F56" s="22"/>
      <c r="G56" s="6">
        <f>SUM(E$9:$E56)-SUM(F$9:$F56)</f>
        <v>6443350</v>
      </c>
    </row>
    <row r="57" spans="1:7" ht="28.8" x14ac:dyDescent="0.55000000000000004">
      <c r="A57" s="12"/>
      <c r="B57" s="13" t="s">
        <v>57</v>
      </c>
      <c r="C57" s="10">
        <v>2</v>
      </c>
      <c r="D57" s="10">
        <v>7500</v>
      </c>
      <c r="E57" s="7">
        <f>+$I$2+(FIDAA[[#This Row],[QUANTITE]]*FIDAA[[#This Row],[PRIX UNITAIRE]])</f>
        <v>15000</v>
      </c>
      <c r="F57" s="22"/>
      <c r="G57" s="6">
        <f>SUM(E$9:$E57)-SUM(F$9:$F57)</f>
        <v>6458350</v>
      </c>
    </row>
    <row r="58" spans="1:7" ht="28.8" x14ac:dyDescent="0.55000000000000004">
      <c r="A58" s="12"/>
      <c r="B58" s="13" t="s">
        <v>58</v>
      </c>
      <c r="C58" s="10">
        <v>1</v>
      </c>
      <c r="D58" s="10">
        <v>6000</v>
      </c>
      <c r="E58" s="7">
        <f>+$I$2+(FIDAA[[#This Row],[QUANTITE]]*FIDAA[[#This Row],[PRIX UNITAIRE]])</f>
        <v>6000</v>
      </c>
      <c r="F58" s="22"/>
      <c r="G58" s="6">
        <f>SUM(E$9:$E58)-SUM(F$9:$F58)</f>
        <v>6464350</v>
      </c>
    </row>
    <row r="59" spans="1:7" ht="28.8" x14ac:dyDescent="0.55000000000000004">
      <c r="A59" s="12"/>
      <c r="B59" s="13" t="s">
        <v>59</v>
      </c>
      <c r="C59" s="10">
        <v>1</v>
      </c>
      <c r="D59" s="10">
        <v>6000</v>
      </c>
      <c r="E59" s="7">
        <f>+$I$2+(FIDAA[[#This Row],[QUANTITE]]*FIDAA[[#This Row],[PRIX UNITAIRE]])</f>
        <v>6000</v>
      </c>
      <c r="F59" s="22"/>
      <c r="G59" s="6">
        <f>SUM(E$9:$E59)-SUM(F$9:$F59)</f>
        <v>6470350</v>
      </c>
    </row>
    <row r="60" spans="1:7" ht="28.8" x14ac:dyDescent="0.55000000000000004">
      <c r="A60" s="12"/>
      <c r="B60" s="13" t="s">
        <v>60</v>
      </c>
      <c r="C60" s="10">
        <v>2</v>
      </c>
      <c r="D60" s="10">
        <v>6000</v>
      </c>
      <c r="E60" s="7">
        <f>+$I$2+(FIDAA[[#This Row],[QUANTITE]]*FIDAA[[#This Row],[PRIX UNITAIRE]])</f>
        <v>12000</v>
      </c>
      <c r="F60" s="22"/>
      <c r="G60" s="6">
        <f>SUM(E$9:$E60)-SUM(F$9:$F60)</f>
        <v>6482350</v>
      </c>
    </row>
    <row r="61" spans="1:7" ht="28.8" x14ac:dyDescent="0.55000000000000004">
      <c r="A61" s="12"/>
      <c r="B61" s="13" t="s">
        <v>61</v>
      </c>
      <c r="C61" s="10">
        <v>4</v>
      </c>
      <c r="D61" s="10">
        <v>6000</v>
      </c>
      <c r="E61" s="7">
        <f>+$I$2+(FIDAA[[#This Row],[QUANTITE]]*FIDAA[[#This Row],[PRIX UNITAIRE]])</f>
        <v>24000</v>
      </c>
      <c r="F61" s="22"/>
      <c r="G61" s="6">
        <f>SUM(E$9:$E61)-SUM(F$9:$F61)</f>
        <v>6506350</v>
      </c>
    </row>
    <row r="62" spans="1:7" ht="28.8" x14ac:dyDescent="0.55000000000000004">
      <c r="A62" s="12"/>
      <c r="B62" s="13" t="s">
        <v>62</v>
      </c>
      <c r="C62" s="10">
        <v>2</v>
      </c>
      <c r="D62" s="10">
        <v>6000</v>
      </c>
      <c r="E62" s="7">
        <f>+$I$2+(FIDAA[[#This Row],[QUANTITE]]*FIDAA[[#This Row],[PRIX UNITAIRE]])</f>
        <v>12000</v>
      </c>
      <c r="F62" s="22"/>
      <c r="G62" s="6">
        <f>SUM(E$9:$E62)-SUM(F$9:$F62)</f>
        <v>6518350</v>
      </c>
    </row>
    <row r="63" spans="1:7" ht="28.8" x14ac:dyDescent="0.55000000000000004">
      <c r="A63" s="12"/>
      <c r="B63" s="13" t="s">
        <v>63</v>
      </c>
      <c r="C63" s="10">
        <v>2</v>
      </c>
      <c r="D63" s="10">
        <v>6000</v>
      </c>
      <c r="E63" s="7">
        <f>+$I$2+(FIDAA[[#This Row],[QUANTITE]]*FIDAA[[#This Row],[PRIX UNITAIRE]])</f>
        <v>12000</v>
      </c>
      <c r="F63" s="22"/>
      <c r="G63" s="6">
        <f>SUM(E$9:$E63)-SUM(F$9:$F63)</f>
        <v>6530350</v>
      </c>
    </row>
    <row r="64" spans="1:7" ht="28.8" x14ac:dyDescent="0.55000000000000004">
      <c r="A64" s="12"/>
      <c r="B64" s="13" t="s">
        <v>64</v>
      </c>
      <c r="C64" s="10">
        <v>2</v>
      </c>
      <c r="D64" s="10">
        <v>7000</v>
      </c>
      <c r="E64" s="7">
        <f>+$I$2+(FIDAA[[#This Row],[QUANTITE]]*FIDAA[[#This Row],[PRIX UNITAIRE]])</f>
        <v>14000</v>
      </c>
      <c r="F64" s="22"/>
      <c r="G64" s="6">
        <f>SUM(E$9:$E64)-SUM(F$9:$F64)</f>
        <v>6544350</v>
      </c>
    </row>
    <row r="65" spans="1:7" ht="28.8" x14ac:dyDescent="0.55000000000000004">
      <c r="A65" s="12"/>
      <c r="B65" s="13" t="s">
        <v>65</v>
      </c>
      <c r="C65" s="10">
        <v>2</v>
      </c>
      <c r="D65" s="10">
        <v>7500</v>
      </c>
      <c r="E65" s="7">
        <f>+$I$2+(FIDAA[[#This Row],[QUANTITE]]*FIDAA[[#This Row],[PRIX UNITAIRE]])</f>
        <v>15000</v>
      </c>
      <c r="F65" s="22"/>
      <c r="G65" s="6">
        <f>SUM(E$9:$E65)-SUM(F$9:$F65)</f>
        <v>6559350</v>
      </c>
    </row>
    <row r="66" spans="1:7" ht="28.8" x14ac:dyDescent="0.55000000000000004">
      <c r="A66" s="12"/>
      <c r="B66" s="13" t="s">
        <v>66</v>
      </c>
      <c r="C66" s="10">
        <v>4</v>
      </c>
      <c r="D66" s="10">
        <v>30000</v>
      </c>
      <c r="E66" s="7">
        <f>+$I$2+(FIDAA[[#This Row],[QUANTITE]]*FIDAA[[#This Row],[PRIX UNITAIRE]])</f>
        <v>120000</v>
      </c>
      <c r="F66" s="22"/>
      <c r="G66" s="6">
        <f>SUM(E$9:$E66)-SUM(F$9:$F66)</f>
        <v>6679350</v>
      </c>
    </row>
    <row r="67" spans="1:7" ht="28.8" x14ac:dyDescent="0.55000000000000004">
      <c r="A67" s="12"/>
      <c r="B67" s="13" t="s">
        <v>67</v>
      </c>
      <c r="C67" s="10">
        <v>2</v>
      </c>
      <c r="D67" s="10">
        <v>7500</v>
      </c>
      <c r="E67" s="7">
        <f>+$I$2+(FIDAA[[#This Row],[QUANTITE]]*FIDAA[[#This Row],[PRIX UNITAIRE]])</f>
        <v>15000</v>
      </c>
      <c r="F67" s="22"/>
      <c r="G67" s="6">
        <f>SUM(E$9:$E67)-SUM(F$9:$F67)</f>
        <v>6694350</v>
      </c>
    </row>
    <row r="68" spans="1:7" ht="28.8" x14ac:dyDescent="0.55000000000000004">
      <c r="A68" s="12">
        <v>45353</v>
      </c>
      <c r="B68" s="13" t="s">
        <v>68</v>
      </c>
      <c r="C68" s="10">
        <v>1</v>
      </c>
      <c r="D68" s="10">
        <v>0</v>
      </c>
      <c r="E68" s="7">
        <f>+$I$2+(FIDAA[[#This Row],[QUANTITE]]*FIDAA[[#This Row],[PRIX UNITAIRE]])</f>
        <v>0</v>
      </c>
      <c r="F68" s="22">
        <v>1000000</v>
      </c>
      <c r="G68" s="6">
        <f>SUM(E$9:$E68)-SUM(F$9:$F68)</f>
        <v>5694350</v>
      </c>
    </row>
    <row r="69" spans="1:7" ht="28.8" x14ac:dyDescent="0.55000000000000004">
      <c r="A69" s="12">
        <v>45376</v>
      </c>
      <c r="B69" s="13" t="s">
        <v>69</v>
      </c>
      <c r="C69" s="10">
        <v>1</v>
      </c>
      <c r="D69" s="10">
        <v>28000</v>
      </c>
      <c r="E69" s="7">
        <f>+$I$2+(FIDAA[[#This Row],[QUANTITE]]*FIDAA[[#This Row],[PRIX UNITAIRE]])</f>
        <v>28000</v>
      </c>
      <c r="F69" s="22"/>
      <c r="G69" s="6">
        <f>SUM(E$9:$E69)-SUM(F$9:$F69)</f>
        <v>5722350</v>
      </c>
    </row>
    <row r="70" spans="1:7" ht="28.8" x14ac:dyDescent="0.55000000000000004">
      <c r="A70" s="12"/>
      <c r="B70" s="13" t="s">
        <v>70</v>
      </c>
      <c r="C70" s="10">
        <v>1</v>
      </c>
      <c r="D70" s="10">
        <v>23000</v>
      </c>
      <c r="E70" s="7">
        <f>+$I$2+(FIDAA[[#This Row],[QUANTITE]]*FIDAA[[#This Row],[PRIX UNITAIRE]])</f>
        <v>23000</v>
      </c>
      <c r="F70" s="22"/>
      <c r="G70" s="6">
        <f>SUM(E$9:$E70)-SUM(F$9:$F70)</f>
        <v>5745350</v>
      </c>
    </row>
    <row r="71" spans="1:7" ht="28.8" x14ac:dyDescent="0.55000000000000004">
      <c r="A71" s="12"/>
      <c r="B71" s="13" t="s">
        <v>71</v>
      </c>
      <c r="C71" s="10">
        <v>4</v>
      </c>
      <c r="D71" s="10">
        <v>12000</v>
      </c>
      <c r="E71" s="7">
        <f>+$I$2+(FIDAA[[#This Row],[QUANTITE]]*FIDAA[[#This Row],[PRIX UNITAIRE]])</f>
        <v>48000</v>
      </c>
      <c r="F71" s="22"/>
      <c r="G71" s="6">
        <f>SUM(E$9:$E71)-SUM(F$9:$F71)</f>
        <v>5793350</v>
      </c>
    </row>
    <row r="72" spans="1:7" ht="28.8" x14ac:dyDescent="0.55000000000000004">
      <c r="A72" s="12"/>
      <c r="B72" s="13" t="s">
        <v>72</v>
      </c>
      <c r="C72" s="10">
        <v>4</v>
      </c>
      <c r="D72" s="10">
        <v>12000</v>
      </c>
      <c r="E72" s="7">
        <f>+$I$2+(FIDAA[[#This Row],[QUANTITE]]*FIDAA[[#This Row],[PRIX UNITAIRE]])</f>
        <v>48000</v>
      </c>
      <c r="F72" s="22"/>
      <c r="G72" s="6">
        <f>SUM(E$9:$E72)-SUM(F$9:$F72)</f>
        <v>5841350</v>
      </c>
    </row>
    <row r="73" spans="1:7" ht="28.8" x14ac:dyDescent="0.55000000000000004">
      <c r="A73" s="12"/>
      <c r="B73" s="13" t="s">
        <v>73</v>
      </c>
      <c r="C73" s="10">
        <v>4</v>
      </c>
      <c r="D73" s="10">
        <v>12000</v>
      </c>
      <c r="E73" s="7">
        <f>+$I$2+(FIDAA[[#This Row],[QUANTITE]]*FIDAA[[#This Row],[PRIX UNITAIRE]])</f>
        <v>48000</v>
      </c>
      <c r="F73" s="22"/>
      <c r="G73" s="6">
        <f>SUM(E$9:$E73)-SUM(F$9:$F73)</f>
        <v>5889350</v>
      </c>
    </row>
    <row r="74" spans="1:7" ht="28.8" x14ac:dyDescent="0.55000000000000004">
      <c r="A74" s="12"/>
      <c r="B74" s="13" t="s">
        <v>74</v>
      </c>
      <c r="C74" s="10">
        <v>10</v>
      </c>
      <c r="D74" s="10">
        <v>123000</v>
      </c>
      <c r="E74" s="7">
        <f>+$I$2+(FIDAA[[#This Row],[QUANTITE]]*FIDAA[[#This Row],[PRIX UNITAIRE]])</f>
        <v>1230000</v>
      </c>
      <c r="F74" s="22"/>
      <c r="G74" s="6">
        <f>SUM(E$9:$E74)-SUM(F$9:$F74)</f>
        <v>7119350</v>
      </c>
    </row>
    <row r="75" spans="1:7" ht="28.8" x14ac:dyDescent="0.55000000000000004">
      <c r="A75" s="12"/>
      <c r="B75" s="13" t="s">
        <v>75</v>
      </c>
      <c r="C75" s="10">
        <v>2</v>
      </c>
      <c r="D75" s="10">
        <v>7500</v>
      </c>
      <c r="E75" s="7">
        <f>+$I$2+(FIDAA[[#This Row],[QUANTITE]]*FIDAA[[#This Row],[PRIX UNITAIRE]])</f>
        <v>15000</v>
      </c>
      <c r="F75" s="22"/>
      <c r="G75" s="6">
        <f>SUM(E$9:$E75)-SUM(F$9:$F75)</f>
        <v>7134350</v>
      </c>
    </row>
    <row r="76" spans="1:7" ht="28.8" x14ac:dyDescent="0.55000000000000004">
      <c r="A76" s="12"/>
      <c r="B76" s="13" t="s">
        <v>76</v>
      </c>
      <c r="C76" s="10">
        <v>2</v>
      </c>
      <c r="D76" s="10">
        <v>22000</v>
      </c>
      <c r="E76" s="7">
        <f>+$I$2+(FIDAA[[#This Row],[QUANTITE]]*FIDAA[[#This Row],[PRIX UNITAIRE]])</f>
        <v>44000</v>
      </c>
      <c r="F76" s="22"/>
      <c r="G76" s="6">
        <f>SUM(E$9:$E76)-SUM(F$9:$F76)</f>
        <v>7178350</v>
      </c>
    </row>
    <row r="77" spans="1:7" ht="28.8" x14ac:dyDescent="0.55000000000000004">
      <c r="A77" s="12"/>
      <c r="B77" s="13" t="s">
        <v>77</v>
      </c>
      <c r="C77" s="10">
        <v>1</v>
      </c>
      <c r="D77" s="10">
        <v>42000</v>
      </c>
      <c r="E77" s="7">
        <f>+$I$2+(FIDAA[[#This Row],[QUANTITE]]*FIDAA[[#This Row],[PRIX UNITAIRE]])</f>
        <v>42000</v>
      </c>
      <c r="F77" s="22"/>
      <c r="G77" s="6">
        <f>SUM(E$9:$E77)-SUM(F$9:$F77)</f>
        <v>7220350</v>
      </c>
    </row>
    <row r="78" spans="1:7" ht="28.8" x14ac:dyDescent="0.55000000000000004">
      <c r="A78" s="12">
        <v>45381</v>
      </c>
      <c r="B78" s="13" t="s">
        <v>78</v>
      </c>
      <c r="C78" s="10">
        <v>4</v>
      </c>
      <c r="D78" s="10">
        <v>102500</v>
      </c>
      <c r="E78" s="7">
        <f>+$I$2+(FIDAA[[#This Row],[QUANTITE]]*FIDAA[[#This Row],[PRIX UNITAIRE]])</f>
        <v>410000</v>
      </c>
      <c r="F78" s="22"/>
      <c r="G78" s="6">
        <f>SUM(E$9:$E78)-SUM(F$9:$F78)</f>
        <v>7630350</v>
      </c>
    </row>
    <row r="79" spans="1:7" ht="28.8" x14ac:dyDescent="0.55000000000000004">
      <c r="A79" s="12"/>
      <c r="B79" s="13" t="s">
        <v>79</v>
      </c>
      <c r="C79" s="10">
        <v>4</v>
      </c>
      <c r="D79" s="10">
        <v>16000</v>
      </c>
      <c r="E79" s="7">
        <f>+$I$2+(FIDAA[[#This Row],[QUANTITE]]*FIDAA[[#This Row],[PRIX UNITAIRE]])</f>
        <v>64000</v>
      </c>
      <c r="F79" s="22"/>
      <c r="G79" s="6">
        <f>SUM(E$9:$E79)-SUM(F$9:$F79)</f>
        <v>7694350</v>
      </c>
    </row>
    <row r="80" spans="1:7" ht="28.8" x14ac:dyDescent="0.55000000000000004">
      <c r="A80" s="12"/>
      <c r="B80" s="13" t="s">
        <v>80</v>
      </c>
      <c r="C80" s="10">
        <v>4</v>
      </c>
      <c r="D80" s="10">
        <v>35000</v>
      </c>
      <c r="E80" s="7">
        <f>+$I$2+(FIDAA[[#This Row],[QUANTITE]]*FIDAA[[#This Row],[PRIX UNITAIRE]])</f>
        <v>140000</v>
      </c>
      <c r="F80" s="22"/>
      <c r="G80" s="6">
        <f>SUM(E$9:$E80)-SUM(F$9:$F80)</f>
        <v>7834350</v>
      </c>
    </row>
    <row r="81" spans="1:7" ht="28.8" x14ac:dyDescent="0.55000000000000004">
      <c r="A81" s="12"/>
      <c r="B81" s="13" t="s">
        <v>81</v>
      </c>
      <c r="C81" s="10">
        <v>4</v>
      </c>
      <c r="D81" s="10">
        <v>37500</v>
      </c>
      <c r="E81" s="7">
        <f>+$I$2+(FIDAA[[#This Row],[QUANTITE]]*FIDAA[[#This Row],[PRIX UNITAIRE]])</f>
        <v>150000</v>
      </c>
      <c r="F81" s="22"/>
      <c r="G81" s="6">
        <f>SUM(E$9:$E81)-SUM(F$9:$F81)</f>
        <v>7984350</v>
      </c>
    </row>
    <row r="82" spans="1:7" ht="28.8" x14ac:dyDescent="0.55000000000000004">
      <c r="A82" s="12"/>
      <c r="B82" s="13" t="s">
        <v>17</v>
      </c>
      <c r="C82" s="10">
        <v>4</v>
      </c>
      <c r="D82" s="10">
        <v>45000</v>
      </c>
      <c r="E82" s="7">
        <f>+$I$2+(FIDAA[[#This Row],[QUANTITE]]*FIDAA[[#This Row],[PRIX UNITAIRE]])</f>
        <v>180000</v>
      </c>
      <c r="F82" s="22"/>
      <c r="G82" s="6">
        <f>SUM(E$9:$E82)-SUM(F$9:$F82)</f>
        <v>8164350</v>
      </c>
    </row>
    <row r="83" spans="1:7" ht="28.8" x14ac:dyDescent="0.55000000000000004">
      <c r="A83" s="12"/>
      <c r="B83" s="13" t="s">
        <v>15</v>
      </c>
      <c r="C83" s="10">
        <v>4</v>
      </c>
      <c r="D83" s="10">
        <v>25000</v>
      </c>
      <c r="E83" s="7">
        <f>+$I$2+(FIDAA[[#This Row],[QUANTITE]]*FIDAA[[#This Row],[PRIX UNITAIRE]])</f>
        <v>100000</v>
      </c>
      <c r="F83" s="22"/>
      <c r="G83" s="6">
        <f>SUM(E$9:$E83)-SUM(F$9:$F83)</f>
        <v>8264350</v>
      </c>
    </row>
    <row r="84" spans="1:7" ht="28.8" x14ac:dyDescent="0.55000000000000004">
      <c r="A84" s="12"/>
      <c r="B84" s="13" t="s">
        <v>82</v>
      </c>
      <c r="C84" s="10">
        <v>2</v>
      </c>
      <c r="D84" s="10">
        <v>25000</v>
      </c>
      <c r="E84" s="7">
        <f>+$I$2+(FIDAA[[#This Row],[QUANTITE]]*FIDAA[[#This Row],[PRIX UNITAIRE]])</f>
        <v>50000</v>
      </c>
      <c r="F84" s="22"/>
      <c r="G84" s="6">
        <f>SUM(E$9:$E84)-SUM(F$9:$F84)</f>
        <v>8314350</v>
      </c>
    </row>
    <row r="85" spans="1:7" ht="28.8" x14ac:dyDescent="0.55000000000000004">
      <c r="A85" s="12"/>
      <c r="B85" s="13" t="s">
        <v>83</v>
      </c>
      <c r="C85" s="10">
        <v>2</v>
      </c>
      <c r="D85" s="10">
        <v>12000</v>
      </c>
      <c r="E85" s="7">
        <f>+$I$2+(FIDAA[[#This Row],[QUANTITE]]*FIDAA[[#This Row],[PRIX UNITAIRE]])</f>
        <v>24000</v>
      </c>
      <c r="F85" s="22"/>
      <c r="G85" s="6">
        <f>SUM(E$9:$E85)-SUM(F$9:$F85)</f>
        <v>8338350</v>
      </c>
    </row>
    <row r="86" spans="1:7" ht="28.8" x14ac:dyDescent="0.55000000000000004">
      <c r="A86" s="12"/>
      <c r="B86" s="13" t="s">
        <v>84</v>
      </c>
      <c r="C86" s="10">
        <v>4</v>
      </c>
      <c r="D86" s="10">
        <v>3500</v>
      </c>
      <c r="E86" s="7">
        <f>+$I$2+(FIDAA[[#This Row],[QUANTITE]]*FIDAA[[#This Row],[PRIX UNITAIRE]])</f>
        <v>14000</v>
      </c>
      <c r="F86" s="22"/>
      <c r="G86" s="6">
        <f>SUM(E$9:$E86)-SUM(F$9:$F86)</f>
        <v>8352350</v>
      </c>
    </row>
    <row r="87" spans="1:7" ht="28.8" x14ac:dyDescent="0.55000000000000004">
      <c r="A87" s="12"/>
      <c r="B87" s="13" t="s">
        <v>85</v>
      </c>
      <c r="C87" s="10">
        <v>6</v>
      </c>
      <c r="D87" s="10">
        <v>3500</v>
      </c>
      <c r="E87" s="7">
        <f>+$I$2+(FIDAA[[#This Row],[QUANTITE]]*FIDAA[[#This Row],[PRIX UNITAIRE]])</f>
        <v>21000</v>
      </c>
      <c r="F87" s="22"/>
      <c r="G87" s="6">
        <f>SUM(E$9:$E87)-SUM(F$9:$F87)</f>
        <v>8373350</v>
      </c>
    </row>
    <row r="88" spans="1:7" ht="28.8" x14ac:dyDescent="0.55000000000000004">
      <c r="A88" s="12"/>
      <c r="B88" s="13" t="s">
        <v>86</v>
      </c>
      <c r="C88" s="10">
        <v>3</v>
      </c>
      <c r="D88" s="10">
        <v>8500</v>
      </c>
      <c r="E88" s="7">
        <f>+$I$2+(FIDAA[[#This Row],[QUANTITE]]*FIDAA[[#This Row],[PRIX UNITAIRE]])</f>
        <v>25500</v>
      </c>
      <c r="F88" s="22"/>
      <c r="G88" s="6">
        <f>SUM(E$9:$E88)-SUM(F$9:$F88)</f>
        <v>8398850</v>
      </c>
    </row>
    <row r="89" spans="1:7" ht="28.8" x14ac:dyDescent="0.55000000000000004">
      <c r="A89" s="12"/>
      <c r="B89" s="13" t="s">
        <v>87</v>
      </c>
      <c r="C89" s="10">
        <v>3</v>
      </c>
      <c r="D89" s="10">
        <v>12500</v>
      </c>
      <c r="E89" s="7">
        <f>+$I$2+(FIDAA[[#This Row],[QUANTITE]]*FIDAA[[#This Row],[PRIX UNITAIRE]])</f>
        <v>37500</v>
      </c>
      <c r="F89" s="22"/>
      <c r="G89" s="6">
        <f>SUM(E$9:$E89)-SUM(F$9:$F89)</f>
        <v>8436350</v>
      </c>
    </row>
    <row r="90" spans="1:7" ht="28.8" x14ac:dyDescent="0.55000000000000004">
      <c r="A90" s="12"/>
      <c r="B90" s="13" t="s">
        <v>88</v>
      </c>
      <c r="C90" s="10">
        <v>2</v>
      </c>
      <c r="D90" s="10">
        <v>12500</v>
      </c>
      <c r="E90" s="7">
        <f>+$I$2+(FIDAA[[#This Row],[QUANTITE]]*FIDAA[[#This Row],[PRIX UNITAIRE]])</f>
        <v>25000</v>
      </c>
      <c r="F90" s="22"/>
      <c r="G90" s="6">
        <f>SUM(E$9:$E90)-SUM(F$9:$F90)</f>
        <v>8461350</v>
      </c>
    </row>
    <row r="91" spans="1:7" ht="28.8" x14ac:dyDescent="0.55000000000000004">
      <c r="A91" s="12"/>
      <c r="B91" s="13" t="s">
        <v>89</v>
      </c>
      <c r="C91" s="10">
        <v>2</v>
      </c>
      <c r="D91" s="10">
        <v>45000</v>
      </c>
      <c r="E91" s="7">
        <f>+$I$2+(FIDAA[[#This Row],[QUANTITE]]*FIDAA[[#This Row],[PRIX UNITAIRE]])</f>
        <v>90000</v>
      </c>
      <c r="F91" s="22"/>
      <c r="G91" s="6">
        <f>SUM(E$9:$E91)-SUM(F$9:$F91)</f>
        <v>8551350</v>
      </c>
    </row>
    <row r="92" spans="1:7" ht="28.8" x14ac:dyDescent="0.55000000000000004">
      <c r="A92" s="12"/>
      <c r="B92" s="13" t="s">
        <v>90</v>
      </c>
      <c r="C92" s="10">
        <v>2</v>
      </c>
      <c r="D92" s="10">
        <v>35000</v>
      </c>
      <c r="E92" s="7">
        <f>+$I$2+(FIDAA[[#This Row],[QUANTITE]]*FIDAA[[#This Row],[PRIX UNITAIRE]])</f>
        <v>70000</v>
      </c>
      <c r="F92" s="22"/>
      <c r="G92" s="6">
        <f>SUM(E$9:$E92)-SUM(F$9:$F92)</f>
        <v>8621350</v>
      </c>
    </row>
    <row r="93" spans="1:7" ht="28.8" x14ac:dyDescent="0.55000000000000004">
      <c r="A93" s="12"/>
      <c r="B93" s="13" t="s">
        <v>91</v>
      </c>
      <c r="C93" s="10">
        <v>4</v>
      </c>
      <c r="D93" s="10">
        <v>3500</v>
      </c>
      <c r="E93" s="7">
        <f>+$I$2+(FIDAA[[#This Row],[QUANTITE]]*FIDAA[[#This Row],[PRIX UNITAIRE]])</f>
        <v>14000</v>
      </c>
      <c r="F93" s="22"/>
      <c r="G93" s="6">
        <f>SUM(E$9:$E93)-SUM(F$9:$F93)</f>
        <v>8635350</v>
      </c>
    </row>
    <row r="94" spans="1:7" ht="28.8" x14ac:dyDescent="0.55000000000000004">
      <c r="A94" s="12"/>
      <c r="B94" s="13" t="s">
        <v>92</v>
      </c>
      <c r="C94" s="10">
        <v>2</v>
      </c>
      <c r="D94" s="10">
        <v>3000</v>
      </c>
      <c r="E94" s="7">
        <f>+$I$2+(FIDAA[[#This Row],[QUANTITE]]*FIDAA[[#This Row],[PRIX UNITAIRE]])</f>
        <v>6000</v>
      </c>
      <c r="F94" s="22"/>
      <c r="G94" s="6">
        <f>SUM(E$9:$E94)-SUM(F$9:$F94)</f>
        <v>8641350</v>
      </c>
    </row>
    <row r="95" spans="1:7" ht="28.8" x14ac:dyDescent="0.55000000000000004">
      <c r="A95" s="12"/>
      <c r="B95" s="13" t="s">
        <v>93</v>
      </c>
      <c r="C95" s="10">
        <v>2</v>
      </c>
      <c r="D95" s="10">
        <v>3500</v>
      </c>
      <c r="E95" s="7">
        <f>+$I$2+(FIDAA[[#This Row],[QUANTITE]]*FIDAA[[#This Row],[PRIX UNITAIRE]])</f>
        <v>7000</v>
      </c>
      <c r="F95" s="22"/>
      <c r="G95" s="6">
        <f>SUM(E$9:$E95)-SUM(F$9:$F95)</f>
        <v>8648350</v>
      </c>
    </row>
    <row r="96" spans="1:7" ht="28.8" x14ac:dyDescent="0.55000000000000004">
      <c r="A96" s="12">
        <v>45381</v>
      </c>
      <c r="B96" s="13" t="s">
        <v>68</v>
      </c>
      <c r="C96" s="10">
        <v>1</v>
      </c>
      <c r="D96" s="10">
        <v>0</v>
      </c>
      <c r="E96" s="7">
        <f>+$I$2+(FIDAA[[#This Row],[QUANTITE]]*FIDAA[[#This Row],[PRIX UNITAIRE]])</f>
        <v>0</v>
      </c>
      <c r="F96" s="22">
        <v>1000000</v>
      </c>
      <c r="G96" s="6">
        <f>SUM(E$9:$E96)-SUM(F$9:$F96)</f>
        <v>7648350</v>
      </c>
    </row>
    <row r="97" spans="1:7" ht="28.8" x14ac:dyDescent="0.55000000000000004">
      <c r="A97" s="12">
        <v>45383</v>
      </c>
      <c r="B97" s="13" t="s">
        <v>94</v>
      </c>
      <c r="C97" s="10">
        <v>4</v>
      </c>
      <c r="D97" s="10">
        <v>3000</v>
      </c>
      <c r="E97" s="7">
        <f>+$I$2+(FIDAA[[#This Row],[QUANTITE]]*FIDAA[[#This Row],[PRIX UNITAIRE]])</f>
        <v>12000</v>
      </c>
      <c r="F97" s="22"/>
      <c r="G97" s="6">
        <f>SUM(E$9:$E97)-SUM(F$9:$F97)</f>
        <v>7660350</v>
      </c>
    </row>
    <row r="98" spans="1:7" ht="28.8" x14ac:dyDescent="0.55000000000000004">
      <c r="A98" s="12"/>
      <c r="B98" s="13" t="s">
        <v>95</v>
      </c>
      <c r="C98" s="10">
        <v>4</v>
      </c>
      <c r="D98" s="10">
        <v>3500</v>
      </c>
      <c r="E98" s="7">
        <f>+$I$2+(FIDAA[[#This Row],[QUANTITE]]*FIDAA[[#This Row],[PRIX UNITAIRE]])</f>
        <v>14000</v>
      </c>
      <c r="F98" s="22"/>
      <c r="G98" s="6">
        <f>SUM(E$9:$E98)-SUM(F$9:$F98)</f>
        <v>7674350</v>
      </c>
    </row>
    <row r="99" spans="1:7" ht="28.8" x14ac:dyDescent="0.55000000000000004">
      <c r="A99" s="12"/>
      <c r="B99" s="13" t="s">
        <v>96</v>
      </c>
      <c r="C99" s="10">
        <v>1</v>
      </c>
      <c r="D99" s="10">
        <v>35000</v>
      </c>
      <c r="E99" s="7">
        <f>+$I$2+(FIDAA[[#This Row],[QUANTITE]]*FIDAA[[#This Row],[PRIX UNITAIRE]])</f>
        <v>35000</v>
      </c>
      <c r="F99" s="22"/>
      <c r="G99" s="6">
        <f>SUM(E$9:$E99)-SUM(F$9:$F99)</f>
        <v>7709350</v>
      </c>
    </row>
    <row r="100" spans="1:7" ht="28.8" x14ac:dyDescent="0.55000000000000004">
      <c r="A100" s="12"/>
      <c r="B100" s="13" t="s">
        <v>97</v>
      </c>
      <c r="C100" s="10">
        <v>1</v>
      </c>
      <c r="D100" s="10">
        <v>35000</v>
      </c>
      <c r="E100" s="7">
        <f>+$I$2+(FIDAA[[#This Row],[QUANTITE]]*FIDAA[[#This Row],[PRIX UNITAIRE]])</f>
        <v>35000</v>
      </c>
      <c r="F100" s="22"/>
      <c r="G100" s="6">
        <f>SUM(E$9:$E100)-SUM(F$9:$F100)</f>
        <v>7744350</v>
      </c>
    </row>
    <row r="101" spans="1:7" ht="28.8" x14ac:dyDescent="0.55000000000000004">
      <c r="A101" s="12"/>
      <c r="B101" s="13" t="s">
        <v>98</v>
      </c>
      <c r="C101" s="10">
        <v>1</v>
      </c>
      <c r="D101" s="10">
        <v>35000</v>
      </c>
      <c r="E101" s="7">
        <f>+$I$2+(FIDAA[[#This Row],[QUANTITE]]*FIDAA[[#This Row],[PRIX UNITAIRE]])</f>
        <v>35000</v>
      </c>
      <c r="F101" s="22"/>
      <c r="G101" s="6">
        <f>SUM(E$9:$E101)-SUM(F$9:$F101)</f>
        <v>7779350</v>
      </c>
    </row>
    <row r="102" spans="1:7" ht="28.8" x14ac:dyDescent="0.55000000000000004">
      <c r="A102" s="12">
        <v>45388</v>
      </c>
      <c r="B102" s="13" t="s">
        <v>78</v>
      </c>
      <c r="C102" s="10">
        <v>4</v>
      </c>
      <c r="D102" s="10">
        <v>102500</v>
      </c>
      <c r="E102" s="7">
        <f>+$I$2+(FIDAA[[#This Row],[QUANTITE]]*FIDAA[[#This Row],[PRIX UNITAIRE]])</f>
        <v>410000</v>
      </c>
      <c r="F102" s="22"/>
      <c r="G102" s="6">
        <f>SUM(E$9:$E102)-SUM(F$9:$F102)</f>
        <v>8189350</v>
      </c>
    </row>
    <row r="103" spans="1:7" ht="28.8" x14ac:dyDescent="0.55000000000000004">
      <c r="A103" s="12"/>
      <c r="B103" s="13" t="s">
        <v>99</v>
      </c>
      <c r="C103" s="10">
        <v>4</v>
      </c>
      <c r="D103" s="10">
        <v>65000</v>
      </c>
      <c r="E103" s="7">
        <f>+$I$2+(FIDAA[[#This Row],[QUANTITE]]*FIDAA[[#This Row],[PRIX UNITAIRE]])</f>
        <v>260000</v>
      </c>
      <c r="F103" s="22"/>
      <c r="G103" s="6">
        <f>SUM(E$9:$E103)-SUM(F$9:$F103)</f>
        <v>8449350</v>
      </c>
    </row>
    <row r="104" spans="1:7" ht="28.8" x14ac:dyDescent="0.55000000000000004">
      <c r="A104" s="12"/>
      <c r="B104" s="13" t="s">
        <v>100</v>
      </c>
      <c r="C104" s="10">
        <v>4</v>
      </c>
      <c r="D104" s="10">
        <v>67500</v>
      </c>
      <c r="E104" s="7">
        <f>+$I$2+(FIDAA[[#This Row],[QUANTITE]]*FIDAA[[#This Row],[PRIX UNITAIRE]])</f>
        <v>270000</v>
      </c>
      <c r="F104" s="22"/>
      <c r="G104" s="6">
        <f>SUM(E$9:$E104)-SUM(F$9:$F104)</f>
        <v>8719350</v>
      </c>
    </row>
    <row r="105" spans="1:7" ht="28.8" x14ac:dyDescent="0.55000000000000004">
      <c r="A105" s="12"/>
      <c r="B105" s="13" t="s">
        <v>101</v>
      </c>
      <c r="C105" s="10">
        <v>4</v>
      </c>
      <c r="D105" s="10">
        <v>70000</v>
      </c>
      <c r="E105" s="7">
        <f>+$I$2+(FIDAA[[#This Row],[QUANTITE]]*FIDAA[[#This Row],[PRIX UNITAIRE]])</f>
        <v>280000</v>
      </c>
      <c r="F105" s="22"/>
      <c r="G105" s="6">
        <f>SUM(E$9:$E105)-SUM(F$9:$F105)</f>
        <v>8999350</v>
      </c>
    </row>
    <row r="106" spans="1:7" ht="28.8" x14ac:dyDescent="0.55000000000000004">
      <c r="A106" s="12"/>
      <c r="B106" s="13" t="s">
        <v>102</v>
      </c>
      <c r="C106" s="10">
        <v>4</v>
      </c>
      <c r="D106" s="10">
        <v>42500</v>
      </c>
      <c r="E106" s="7">
        <f>+$I$2+(FIDAA[[#This Row],[QUANTITE]]*FIDAA[[#This Row],[PRIX UNITAIRE]])</f>
        <v>170000</v>
      </c>
      <c r="F106" s="22"/>
      <c r="G106" s="6">
        <f>SUM(E$9:$E106)-SUM(F$9:$F106)</f>
        <v>9169350</v>
      </c>
    </row>
    <row r="107" spans="1:7" ht="28.8" x14ac:dyDescent="0.55000000000000004">
      <c r="A107" s="12"/>
      <c r="B107" s="13" t="s">
        <v>103</v>
      </c>
      <c r="C107" s="10">
        <v>4</v>
      </c>
      <c r="D107" s="10">
        <v>40000</v>
      </c>
      <c r="E107" s="7">
        <f>+$I$2+(FIDAA[[#This Row],[QUANTITE]]*FIDAA[[#This Row],[PRIX UNITAIRE]])</f>
        <v>160000</v>
      </c>
      <c r="F107" s="22"/>
      <c r="G107" s="6">
        <f>SUM(E$9:$E107)-SUM(F$9:$F107)</f>
        <v>9329350</v>
      </c>
    </row>
    <row r="108" spans="1:7" ht="28.8" x14ac:dyDescent="0.55000000000000004">
      <c r="A108" s="12"/>
      <c r="B108" s="13" t="s">
        <v>104</v>
      </c>
      <c r="C108" s="10">
        <v>1</v>
      </c>
      <c r="D108" s="10">
        <v>5000</v>
      </c>
      <c r="E108" s="7">
        <f>+$I$2+(FIDAA[[#This Row],[QUANTITE]]*FIDAA[[#This Row],[PRIX UNITAIRE]])</f>
        <v>5000</v>
      </c>
      <c r="F108" s="22"/>
      <c r="G108" s="6">
        <f>SUM(E$9:$E108)-SUM(F$9:$F108)</f>
        <v>9334350</v>
      </c>
    </row>
    <row r="109" spans="1:7" ht="28.8" x14ac:dyDescent="0.55000000000000004">
      <c r="A109" s="12"/>
      <c r="B109" s="13" t="s">
        <v>105</v>
      </c>
      <c r="C109" s="10">
        <v>1</v>
      </c>
      <c r="D109" s="10">
        <v>5000</v>
      </c>
      <c r="E109" s="7">
        <f>+$I$2+(FIDAA[[#This Row],[QUANTITE]]*FIDAA[[#This Row],[PRIX UNITAIRE]])</f>
        <v>5000</v>
      </c>
      <c r="F109" s="22"/>
      <c r="G109" s="6">
        <f>SUM(E$9:$E109)-SUM(F$9:$F109)</f>
        <v>9339350</v>
      </c>
    </row>
    <row r="110" spans="1:7" ht="28.8" x14ac:dyDescent="0.55000000000000004">
      <c r="A110" s="12"/>
      <c r="B110" s="13" t="s">
        <v>106</v>
      </c>
      <c r="C110" s="10">
        <v>1</v>
      </c>
      <c r="D110" s="10">
        <v>5000</v>
      </c>
      <c r="E110" s="7">
        <f>+$I$2+(FIDAA[[#This Row],[QUANTITE]]*FIDAA[[#This Row],[PRIX UNITAIRE]])</f>
        <v>5000</v>
      </c>
      <c r="F110" s="22"/>
      <c r="G110" s="6">
        <f>SUM(E$9:$E110)-SUM(F$9:$F110)</f>
        <v>9344350</v>
      </c>
    </row>
    <row r="111" spans="1:7" ht="28.8" x14ac:dyDescent="0.55000000000000004">
      <c r="A111" s="12"/>
      <c r="B111" s="13" t="s">
        <v>107</v>
      </c>
      <c r="C111" s="10">
        <v>4</v>
      </c>
      <c r="D111" s="10">
        <v>46000</v>
      </c>
      <c r="E111" s="7">
        <f>+$I$2+(FIDAA[[#This Row],[QUANTITE]]*FIDAA[[#This Row],[PRIX UNITAIRE]])</f>
        <v>184000</v>
      </c>
      <c r="F111" s="22"/>
      <c r="G111" s="6">
        <f>SUM(E$9:$E111)-SUM(F$9:$F111)</f>
        <v>9528350</v>
      </c>
    </row>
    <row r="112" spans="1:7" ht="28.8" x14ac:dyDescent="0.55000000000000004">
      <c r="A112" s="12"/>
      <c r="B112" s="13" t="s">
        <v>83</v>
      </c>
      <c r="C112" s="10">
        <v>2</v>
      </c>
      <c r="D112" s="10">
        <v>12000</v>
      </c>
      <c r="E112" s="7">
        <f>+$I$2+(FIDAA[[#This Row],[QUANTITE]]*FIDAA[[#This Row],[PRIX UNITAIRE]])</f>
        <v>24000</v>
      </c>
      <c r="F112" s="22"/>
      <c r="G112" s="6">
        <f>SUM(E$9:$E112)-SUM(F$9:$F112)</f>
        <v>9552350</v>
      </c>
    </row>
    <row r="113" spans="1:7" ht="28.8" x14ac:dyDescent="0.55000000000000004">
      <c r="A113" s="12">
        <v>45388</v>
      </c>
      <c r="B113" s="13" t="s">
        <v>68</v>
      </c>
      <c r="C113" s="10">
        <v>1</v>
      </c>
      <c r="D113" s="10">
        <v>0</v>
      </c>
      <c r="E113" s="7">
        <f>+$I$2+(FIDAA[[#This Row],[QUANTITE]]*FIDAA[[#This Row],[PRIX UNITAIRE]])</f>
        <v>0</v>
      </c>
      <c r="F113" s="22">
        <v>1000000</v>
      </c>
      <c r="G113" s="6">
        <f>SUM(E$9:$E113)-SUM(F$9:$F113)</f>
        <v>8552350</v>
      </c>
    </row>
    <row r="114" spans="1:7" ht="28.8" x14ac:dyDescent="0.55000000000000004">
      <c r="A114" s="12">
        <v>45399</v>
      </c>
      <c r="B114" s="13" t="s">
        <v>108</v>
      </c>
      <c r="C114" s="10">
        <v>1</v>
      </c>
      <c r="D114" s="10">
        <v>6000</v>
      </c>
      <c r="E114" s="7">
        <f>+$I$2+(FIDAA[[#This Row],[QUANTITE]]*FIDAA[[#This Row],[PRIX UNITAIRE]])</f>
        <v>6000</v>
      </c>
      <c r="F114" s="22"/>
      <c r="G114" s="6">
        <f>SUM(E$9:$E114)-SUM(F$9:$F114)</f>
        <v>8558350</v>
      </c>
    </row>
    <row r="115" spans="1:7" ht="28.8" x14ac:dyDescent="0.55000000000000004">
      <c r="A115" s="12">
        <v>45399</v>
      </c>
      <c r="B115" s="13" t="s">
        <v>109</v>
      </c>
      <c r="C115" s="10">
        <v>1</v>
      </c>
      <c r="D115" s="10">
        <v>5000</v>
      </c>
      <c r="E115" s="7">
        <f>+$I$2+(FIDAA[[#This Row],[QUANTITE]]*FIDAA[[#This Row],[PRIX UNITAIRE]])</f>
        <v>5000</v>
      </c>
      <c r="F115" s="22"/>
      <c r="G115" s="6">
        <f>SUM(E$9:$E115)-SUM(F$9:$F115)</f>
        <v>8563350</v>
      </c>
    </row>
    <row r="116" spans="1:7" ht="28.8" x14ac:dyDescent="0.55000000000000004">
      <c r="A116" s="12">
        <v>45399</v>
      </c>
      <c r="B116" s="13" t="s">
        <v>110</v>
      </c>
      <c r="C116" s="10">
        <v>1</v>
      </c>
      <c r="D116" s="10">
        <v>3000</v>
      </c>
      <c r="E116" s="7">
        <f>+$I$2+(FIDAA[[#This Row],[QUANTITE]]*FIDAA[[#This Row],[PRIX UNITAIRE]])</f>
        <v>3000</v>
      </c>
      <c r="F116" s="22"/>
      <c r="G116" s="6">
        <f>SUM(E$9:$E116)-SUM(F$9:$F116)</f>
        <v>8566350</v>
      </c>
    </row>
    <row r="117" spans="1:7" ht="28.8" x14ac:dyDescent="0.55000000000000004">
      <c r="A117" s="12">
        <v>45399</v>
      </c>
      <c r="B117" s="13" t="s">
        <v>111</v>
      </c>
      <c r="C117" s="10">
        <v>1</v>
      </c>
      <c r="D117" s="10">
        <v>5000</v>
      </c>
      <c r="E117" s="7">
        <f>+$I$2+(FIDAA[[#This Row],[QUANTITE]]*FIDAA[[#This Row],[PRIX UNITAIRE]])</f>
        <v>5000</v>
      </c>
      <c r="F117" s="22"/>
      <c r="G117" s="6">
        <f>SUM(E$9:$E117)-SUM(F$9:$F117)</f>
        <v>8571350</v>
      </c>
    </row>
    <row r="118" spans="1:7" ht="28.8" x14ac:dyDescent="0.55000000000000004">
      <c r="A118" s="12">
        <v>45399</v>
      </c>
      <c r="B118" s="13" t="s">
        <v>112</v>
      </c>
      <c r="C118" s="10">
        <v>1</v>
      </c>
      <c r="D118" s="10">
        <v>5000</v>
      </c>
      <c r="E118" s="7">
        <f>+$I$2+(FIDAA[[#This Row],[QUANTITE]]*FIDAA[[#This Row],[PRIX UNITAIRE]])</f>
        <v>5000</v>
      </c>
      <c r="F118" s="22"/>
      <c r="G118" s="6">
        <f>SUM(E$9:$E118)-SUM(F$9:$F118)</f>
        <v>8576350</v>
      </c>
    </row>
    <row r="119" spans="1:7" ht="28.8" x14ac:dyDescent="0.55000000000000004">
      <c r="A119" s="12">
        <v>45399</v>
      </c>
      <c r="B119" s="13" t="s">
        <v>113</v>
      </c>
      <c r="C119" s="10">
        <v>1</v>
      </c>
      <c r="D119" s="10">
        <v>3000</v>
      </c>
      <c r="E119" s="7">
        <f>+$I$2+(FIDAA[[#This Row],[QUANTITE]]*FIDAA[[#This Row],[PRIX UNITAIRE]])</f>
        <v>3000</v>
      </c>
      <c r="F119" s="22"/>
      <c r="G119" s="6">
        <f>SUM(E$9:$E119)-SUM(F$9:$F119)</f>
        <v>8579350</v>
      </c>
    </row>
    <row r="120" spans="1:7" ht="28.8" x14ac:dyDescent="0.55000000000000004">
      <c r="A120" s="12">
        <v>45399</v>
      </c>
      <c r="B120" s="13" t="s">
        <v>114</v>
      </c>
      <c r="C120" s="10">
        <v>1</v>
      </c>
      <c r="D120" s="10">
        <v>6000</v>
      </c>
      <c r="E120" s="7">
        <f>+$I$2+(FIDAA[[#This Row],[QUANTITE]]*FIDAA[[#This Row],[PRIX UNITAIRE]])</f>
        <v>6000</v>
      </c>
      <c r="F120" s="22"/>
      <c r="G120" s="6">
        <f>SUM(E$9:$E120)-SUM(F$9:$F120)</f>
        <v>8585350</v>
      </c>
    </row>
    <row r="121" spans="1:7" ht="28.8" x14ac:dyDescent="0.55000000000000004">
      <c r="A121" s="12">
        <v>45399</v>
      </c>
      <c r="B121" s="13" t="s">
        <v>115</v>
      </c>
      <c r="C121" s="10">
        <v>1</v>
      </c>
      <c r="D121" s="10">
        <v>6000</v>
      </c>
      <c r="E121" s="7">
        <f>+$I$2+(FIDAA[[#This Row],[QUANTITE]]*FIDAA[[#This Row],[PRIX UNITAIRE]])</f>
        <v>6000</v>
      </c>
      <c r="F121" s="22"/>
      <c r="G121" s="6">
        <f>SUM(E$9:$E121)-SUM(F$9:$F121)</f>
        <v>8591350</v>
      </c>
    </row>
    <row r="122" spans="1:7" ht="28.8" x14ac:dyDescent="0.55000000000000004">
      <c r="A122" s="12">
        <v>45399</v>
      </c>
      <c r="B122" s="13" t="s">
        <v>116</v>
      </c>
      <c r="C122" s="10">
        <v>1</v>
      </c>
      <c r="D122" s="10">
        <v>6000</v>
      </c>
      <c r="E122" s="7">
        <f>+$I$2+(FIDAA[[#This Row],[QUANTITE]]*FIDAA[[#This Row],[PRIX UNITAIRE]])</f>
        <v>6000</v>
      </c>
      <c r="F122" s="22"/>
      <c r="G122" s="6">
        <f>SUM(E$9:$E122)-SUM(F$9:$F122)</f>
        <v>8597350</v>
      </c>
    </row>
    <row r="123" spans="1:7" ht="28.8" x14ac:dyDescent="0.55000000000000004">
      <c r="A123" s="12">
        <v>45399</v>
      </c>
      <c r="B123" s="13" t="s">
        <v>117</v>
      </c>
      <c r="C123" s="10">
        <v>1</v>
      </c>
      <c r="D123" s="10">
        <v>6000</v>
      </c>
      <c r="E123" s="7">
        <f>+$I$2+(FIDAA[[#This Row],[QUANTITE]]*FIDAA[[#This Row],[PRIX UNITAIRE]])</f>
        <v>6000</v>
      </c>
      <c r="F123" s="22"/>
      <c r="G123" s="6">
        <f>SUM(E$9:$E123)-SUM(F$9:$F123)</f>
        <v>8603350</v>
      </c>
    </row>
    <row r="124" spans="1:7" ht="28.8" x14ac:dyDescent="0.55000000000000004">
      <c r="A124" s="12">
        <v>45399</v>
      </c>
      <c r="B124" s="13" t="s">
        <v>118</v>
      </c>
      <c r="C124" s="10">
        <v>1</v>
      </c>
      <c r="D124" s="10">
        <v>3000</v>
      </c>
      <c r="E124" s="7">
        <f>+$I$2+(FIDAA[[#This Row],[QUANTITE]]*FIDAA[[#This Row],[PRIX UNITAIRE]])</f>
        <v>3000</v>
      </c>
      <c r="F124" s="22"/>
      <c r="G124" s="6">
        <f>SUM(E$9:$E124)-SUM(F$9:$F124)</f>
        <v>8606350</v>
      </c>
    </row>
    <row r="125" spans="1:7" ht="28.8" x14ac:dyDescent="0.55000000000000004">
      <c r="A125" s="12">
        <v>45399</v>
      </c>
      <c r="B125" s="13" t="s">
        <v>119</v>
      </c>
      <c r="C125" s="10">
        <v>1</v>
      </c>
      <c r="D125" s="10">
        <v>4000</v>
      </c>
      <c r="E125" s="7">
        <f>+$I$2+(FIDAA[[#This Row],[QUANTITE]]*FIDAA[[#This Row],[PRIX UNITAIRE]])</f>
        <v>4000</v>
      </c>
      <c r="F125" s="22"/>
      <c r="G125" s="6">
        <f>SUM(E$9:$E125)-SUM(F$9:$F125)</f>
        <v>8610350</v>
      </c>
    </row>
    <row r="126" spans="1:7" ht="28.8" x14ac:dyDescent="0.55000000000000004">
      <c r="A126" s="12">
        <v>45399</v>
      </c>
      <c r="B126" s="13" t="s">
        <v>120</v>
      </c>
      <c r="C126" s="10">
        <v>1</v>
      </c>
      <c r="D126" s="10">
        <v>4000</v>
      </c>
      <c r="E126" s="7">
        <f>+$I$2+(FIDAA[[#This Row],[QUANTITE]]*FIDAA[[#This Row],[PRIX UNITAIRE]])</f>
        <v>4000</v>
      </c>
      <c r="F126" s="22"/>
      <c r="G126" s="6">
        <f>SUM(E$9:$E126)-SUM(F$9:$F126)</f>
        <v>8614350</v>
      </c>
    </row>
    <row r="127" spans="1:7" ht="28.8" x14ac:dyDescent="0.55000000000000004">
      <c r="A127" s="12">
        <v>45400</v>
      </c>
      <c r="B127" s="13" t="s">
        <v>121</v>
      </c>
      <c r="C127" s="10">
        <v>1</v>
      </c>
      <c r="D127" s="10">
        <v>6000</v>
      </c>
      <c r="E127" s="7">
        <f>+$I$2+(FIDAA[[#This Row],[QUANTITE]]*FIDAA[[#This Row],[PRIX UNITAIRE]])</f>
        <v>6000</v>
      </c>
      <c r="F127" s="22"/>
      <c r="G127" s="6">
        <f>SUM(E$9:$E127)-SUM(F$9:$F127)</f>
        <v>8620350</v>
      </c>
    </row>
    <row r="128" spans="1:7" ht="28.8" x14ac:dyDescent="0.55000000000000004">
      <c r="A128" s="12" t="s">
        <v>122</v>
      </c>
      <c r="B128" s="13" t="s">
        <v>123</v>
      </c>
      <c r="C128" s="10">
        <v>1</v>
      </c>
      <c r="D128" s="10">
        <v>8000</v>
      </c>
      <c r="E128" s="7">
        <f>+$I$2+(FIDAA[[#This Row],[QUANTITE]]*FIDAA[[#This Row],[PRIX UNITAIRE]])</f>
        <v>8000</v>
      </c>
      <c r="F128" s="22"/>
      <c r="G128" s="6">
        <f>SUM(E$9:$E128)-SUM(F$9:$F128)</f>
        <v>8628350</v>
      </c>
    </row>
    <row r="129" spans="1:7" ht="28.8" x14ac:dyDescent="0.55000000000000004">
      <c r="A129" s="12">
        <v>45400</v>
      </c>
      <c r="B129" s="13" t="s">
        <v>124</v>
      </c>
      <c r="C129" s="10">
        <v>1</v>
      </c>
      <c r="D129" s="10">
        <v>15000</v>
      </c>
      <c r="E129" s="7">
        <f>+$I$2+(FIDAA[[#This Row],[QUANTITE]]*FIDAA[[#This Row],[PRIX UNITAIRE]])</f>
        <v>15000</v>
      </c>
      <c r="F129" s="22"/>
      <c r="G129" s="6">
        <f>SUM(E$9:$E129)-SUM(F$9:$F129)</f>
        <v>8643350</v>
      </c>
    </row>
    <row r="130" spans="1:7" ht="28.8" x14ac:dyDescent="0.55000000000000004">
      <c r="A130" s="12">
        <v>45400</v>
      </c>
      <c r="B130" s="13" t="s">
        <v>125</v>
      </c>
      <c r="C130" s="10">
        <v>1</v>
      </c>
      <c r="D130" s="10">
        <v>3000</v>
      </c>
      <c r="E130" s="7">
        <f>+$I$2+(FIDAA[[#This Row],[QUANTITE]]*FIDAA[[#This Row],[PRIX UNITAIRE]])</f>
        <v>3000</v>
      </c>
      <c r="F130" s="22"/>
      <c r="G130" s="6">
        <f>SUM(E$9:$E130)-SUM(F$9:$F130)</f>
        <v>8646350</v>
      </c>
    </row>
    <row r="131" spans="1:7" ht="28.8" x14ac:dyDescent="0.55000000000000004">
      <c r="A131" s="12">
        <v>45400</v>
      </c>
      <c r="B131" s="13" t="s">
        <v>126</v>
      </c>
      <c r="C131" s="10">
        <v>1</v>
      </c>
      <c r="D131" s="10">
        <v>5000</v>
      </c>
      <c r="E131" s="7">
        <f>+$I$2+(FIDAA[[#This Row],[QUANTITE]]*FIDAA[[#This Row],[PRIX UNITAIRE]])</f>
        <v>5000</v>
      </c>
      <c r="F131" s="22"/>
      <c r="G131" s="6">
        <f>SUM(E$9:$E131)-SUM(F$9:$F131)</f>
        <v>8651350</v>
      </c>
    </row>
    <row r="132" spans="1:7" ht="28.8" x14ac:dyDescent="0.55000000000000004">
      <c r="A132" s="12">
        <v>45400</v>
      </c>
      <c r="B132" s="13" t="s">
        <v>127</v>
      </c>
      <c r="C132" s="10">
        <v>1</v>
      </c>
      <c r="D132" s="10">
        <v>3000</v>
      </c>
      <c r="E132" s="7">
        <f>+$I$2+(FIDAA[[#This Row],[QUANTITE]]*FIDAA[[#This Row],[PRIX UNITAIRE]])</f>
        <v>3000</v>
      </c>
      <c r="F132" s="22"/>
      <c r="G132" s="6">
        <f>SUM(E$9:$E132)-SUM(F$9:$F132)</f>
        <v>8654350</v>
      </c>
    </row>
    <row r="133" spans="1:7" ht="28.8" x14ac:dyDescent="0.55000000000000004">
      <c r="A133" s="12">
        <v>45400</v>
      </c>
      <c r="B133" s="13" t="s">
        <v>128</v>
      </c>
      <c r="C133" s="10">
        <v>1</v>
      </c>
      <c r="D133" s="10">
        <v>9000</v>
      </c>
      <c r="E133" s="7">
        <f>+$I$2+(FIDAA[[#This Row],[QUANTITE]]*FIDAA[[#This Row],[PRIX UNITAIRE]])</f>
        <v>9000</v>
      </c>
      <c r="F133" s="22"/>
      <c r="G133" s="6">
        <f>SUM(E$9:$E133)-SUM(F$9:$F133)</f>
        <v>8663350</v>
      </c>
    </row>
    <row r="134" spans="1:7" ht="28.8" x14ac:dyDescent="0.55000000000000004">
      <c r="A134" s="12">
        <v>45400</v>
      </c>
      <c r="B134" s="13" t="s">
        <v>129</v>
      </c>
      <c r="C134" s="10">
        <v>1</v>
      </c>
      <c r="D134" s="10">
        <v>3000</v>
      </c>
      <c r="E134" s="7">
        <f>+$I$2+(FIDAA[[#This Row],[QUANTITE]]*FIDAA[[#This Row],[PRIX UNITAIRE]])</f>
        <v>3000</v>
      </c>
      <c r="F134" s="22"/>
      <c r="G134" s="6">
        <f>SUM(E$9:$E134)-SUM(F$9:$F134)</f>
        <v>8666350</v>
      </c>
    </row>
    <row r="135" spans="1:7" ht="28.8" x14ac:dyDescent="0.55000000000000004">
      <c r="A135" s="12">
        <v>45399</v>
      </c>
      <c r="B135" s="13" t="s">
        <v>130</v>
      </c>
      <c r="C135" s="10">
        <v>1</v>
      </c>
      <c r="D135" s="10">
        <v>5000</v>
      </c>
      <c r="E135" s="7">
        <f>+$I$2+(FIDAA[[#This Row],[QUANTITE]]*FIDAA[[#This Row],[PRIX UNITAIRE]])</f>
        <v>5000</v>
      </c>
      <c r="F135" s="22"/>
      <c r="G135" s="6">
        <f>SUM(E$9:$E135)-SUM(F$9:$F135)</f>
        <v>8671350</v>
      </c>
    </row>
    <row r="136" spans="1:7" ht="28.8" x14ac:dyDescent="0.55000000000000004">
      <c r="A136" s="12">
        <v>45399</v>
      </c>
      <c r="B136" s="13" t="s">
        <v>131</v>
      </c>
      <c r="C136" s="10">
        <v>1</v>
      </c>
      <c r="D136" s="10">
        <v>6000</v>
      </c>
      <c r="E136" s="7">
        <f>+$I$2+(FIDAA[[#This Row],[QUANTITE]]*FIDAA[[#This Row],[PRIX UNITAIRE]])</f>
        <v>6000</v>
      </c>
      <c r="F136" s="22"/>
      <c r="G136" s="6">
        <f>SUM(E$9:$E136)-SUM(F$9:$F136)</f>
        <v>8677350</v>
      </c>
    </row>
    <row r="137" spans="1:7" ht="28.8" x14ac:dyDescent="0.55000000000000004">
      <c r="A137" s="12">
        <v>45399</v>
      </c>
      <c r="B137" s="13" t="s">
        <v>132</v>
      </c>
      <c r="C137" s="10">
        <v>1</v>
      </c>
      <c r="D137" s="10">
        <v>8000</v>
      </c>
      <c r="E137" s="7">
        <f>+$I$2+(FIDAA[[#This Row],[QUANTITE]]*FIDAA[[#This Row],[PRIX UNITAIRE]])</f>
        <v>8000</v>
      </c>
      <c r="F137" s="22"/>
      <c r="G137" s="6">
        <f>SUM(E$9:$E137)-SUM(F$9:$F137)</f>
        <v>8685350</v>
      </c>
    </row>
    <row r="138" spans="1:7" ht="28.8" x14ac:dyDescent="0.55000000000000004">
      <c r="A138" s="12">
        <v>45399</v>
      </c>
      <c r="B138" s="13" t="s">
        <v>133</v>
      </c>
      <c r="C138" s="10">
        <v>1</v>
      </c>
      <c r="D138" s="10">
        <v>9000</v>
      </c>
      <c r="E138" s="7">
        <f>+$I$2+(FIDAA[[#This Row],[QUANTITE]]*FIDAA[[#This Row],[PRIX UNITAIRE]])</f>
        <v>9000</v>
      </c>
      <c r="F138" s="22"/>
      <c r="G138" s="6">
        <f>SUM(E$9:$E138)-SUM(F$9:$F138)</f>
        <v>8694350</v>
      </c>
    </row>
    <row r="139" spans="1:7" ht="28.8" x14ac:dyDescent="0.55000000000000004">
      <c r="A139" s="12">
        <v>45399</v>
      </c>
      <c r="B139" s="13" t="s">
        <v>134</v>
      </c>
      <c r="C139" s="10">
        <v>1</v>
      </c>
      <c r="D139" s="10">
        <v>7000</v>
      </c>
      <c r="E139" s="7">
        <f>+$I$2+(FIDAA[[#This Row],[QUANTITE]]*FIDAA[[#This Row],[PRIX UNITAIRE]])</f>
        <v>7000</v>
      </c>
      <c r="F139" s="22"/>
      <c r="G139" s="6">
        <f>SUM(E$9:$E139)-SUM(F$9:$F139)</f>
        <v>8701350</v>
      </c>
    </row>
    <row r="140" spans="1:7" ht="28.8" x14ac:dyDescent="0.55000000000000004">
      <c r="A140" s="12">
        <v>45399</v>
      </c>
      <c r="B140" s="13" t="s">
        <v>135</v>
      </c>
      <c r="C140" s="10">
        <v>1</v>
      </c>
      <c r="D140" s="10">
        <v>10000</v>
      </c>
      <c r="E140" s="7">
        <f>+$I$2+(FIDAA[[#This Row],[QUANTITE]]*FIDAA[[#This Row],[PRIX UNITAIRE]])</f>
        <v>10000</v>
      </c>
      <c r="F140" s="22"/>
      <c r="G140" s="6">
        <f>SUM(E$9:$E140)-SUM(F$9:$F140)</f>
        <v>8711350</v>
      </c>
    </row>
    <row r="141" spans="1:7" ht="28.8" x14ac:dyDescent="0.55000000000000004">
      <c r="A141" s="12">
        <v>45400</v>
      </c>
      <c r="B141" s="13" t="s">
        <v>136</v>
      </c>
      <c r="C141" s="10">
        <v>1</v>
      </c>
      <c r="D141" s="10">
        <v>4000</v>
      </c>
      <c r="E141" s="7">
        <f>+$I$2+(FIDAA[[#This Row],[QUANTITE]]*FIDAA[[#This Row],[PRIX UNITAIRE]])</f>
        <v>4000</v>
      </c>
      <c r="F141" s="22"/>
      <c r="G141" s="6">
        <f>SUM(E$9:$E141)-SUM(F$9:$F141)</f>
        <v>8715350</v>
      </c>
    </row>
    <row r="142" spans="1:7" ht="28.8" x14ac:dyDescent="0.55000000000000004">
      <c r="A142" s="12">
        <v>45400</v>
      </c>
      <c r="B142" s="13" t="s">
        <v>137</v>
      </c>
      <c r="C142" s="10">
        <v>1</v>
      </c>
      <c r="D142" s="10">
        <v>18000</v>
      </c>
      <c r="E142" s="7">
        <f>+$I$2+(FIDAA[[#This Row],[QUANTITE]]*FIDAA[[#This Row],[PRIX UNITAIRE]])</f>
        <v>18000</v>
      </c>
      <c r="F142" s="22"/>
      <c r="G142" s="6">
        <f>SUM(E$9:$E142)-SUM(F$9:$F142)</f>
        <v>8733350</v>
      </c>
    </row>
    <row r="143" spans="1:7" ht="28.8" x14ac:dyDescent="0.55000000000000004">
      <c r="A143" s="12">
        <v>45399</v>
      </c>
      <c r="B143" s="13" t="s">
        <v>138</v>
      </c>
      <c r="C143" s="10">
        <v>1</v>
      </c>
      <c r="D143" s="10">
        <v>20000</v>
      </c>
      <c r="E143" s="7">
        <f>+$I$2+(FIDAA[[#This Row],[QUANTITE]]*FIDAA[[#This Row],[PRIX UNITAIRE]])</f>
        <v>20000</v>
      </c>
      <c r="F143" s="22"/>
      <c r="G143" s="6">
        <f>SUM(E$9:$E143)-SUM(F$9:$F143)</f>
        <v>8753350</v>
      </c>
    </row>
    <row r="144" spans="1:7" ht="28.8" x14ac:dyDescent="0.55000000000000004">
      <c r="A144" s="12">
        <v>45399</v>
      </c>
      <c r="B144" s="13" t="s">
        <v>139</v>
      </c>
      <c r="C144" s="10">
        <v>1</v>
      </c>
      <c r="D144" s="10">
        <v>23000</v>
      </c>
      <c r="E144" s="7">
        <f>+$I$2+(FIDAA[[#This Row],[QUANTITE]]*FIDAA[[#This Row],[PRIX UNITAIRE]])</f>
        <v>23000</v>
      </c>
      <c r="F144" s="22"/>
      <c r="G144" s="6">
        <f>SUM(E$9:$E144)-SUM(F$9:$F144)</f>
        <v>8776350</v>
      </c>
    </row>
    <row r="145" spans="1:7" ht="28.8" x14ac:dyDescent="0.55000000000000004">
      <c r="A145" s="12">
        <v>45399</v>
      </c>
      <c r="B145" s="13" t="s">
        <v>140</v>
      </c>
      <c r="C145" s="10">
        <v>1</v>
      </c>
      <c r="D145" s="10">
        <v>15000</v>
      </c>
      <c r="E145" s="7">
        <f>+$I$2+(FIDAA[[#This Row],[QUANTITE]]*FIDAA[[#This Row],[PRIX UNITAIRE]])</f>
        <v>15000</v>
      </c>
      <c r="F145" s="22"/>
      <c r="G145" s="6">
        <f>SUM(E$9:$E145)-SUM(F$9:$F145)</f>
        <v>8791350</v>
      </c>
    </row>
    <row r="146" spans="1:7" ht="28.8" x14ac:dyDescent="0.55000000000000004">
      <c r="A146" s="12">
        <v>45399</v>
      </c>
      <c r="B146" s="13" t="s">
        <v>141</v>
      </c>
      <c r="C146" s="10">
        <v>1</v>
      </c>
      <c r="D146" s="10">
        <v>13000</v>
      </c>
      <c r="E146" s="7">
        <f>+$I$2+(FIDAA[[#This Row],[QUANTITE]]*FIDAA[[#This Row],[PRIX UNITAIRE]])</f>
        <v>13000</v>
      </c>
      <c r="F146" s="22"/>
      <c r="G146" s="6">
        <f>SUM(E$9:$E146)-SUM(F$9:$F146)</f>
        <v>8804350</v>
      </c>
    </row>
    <row r="147" spans="1:7" ht="28.8" x14ac:dyDescent="0.55000000000000004">
      <c r="A147" s="12">
        <v>45399</v>
      </c>
      <c r="B147" s="13" t="s">
        <v>142</v>
      </c>
      <c r="C147" s="10">
        <v>1</v>
      </c>
      <c r="D147" s="10">
        <v>14000</v>
      </c>
      <c r="E147" s="7">
        <f>+$I$2+(FIDAA[[#This Row],[QUANTITE]]*FIDAA[[#This Row],[PRIX UNITAIRE]])</f>
        <v>14000</v>
      </c>
      <c r="F147" s="22"/>
      <c r="G147" s="6">
        <f>SUM(E$9:$E147)-SUM(F$9:$F147)</f>
        <v>8818350</v>
      </c>
    </row>
    <row r="148" spans="1:7" ht="28.8" x14ac:dyDescent="0.55000000000000004">
      <c r="A148" s="12" t="s">
        <v>143</v>
      </c>
      <c r="B148" s="13" t="s">
        <v>144</v>
      </c>
      <c r="C148" s="10">
        <v>1</v>
      </c>
      <c r="D148" s="10">
        <v>17000</v>
      </c>
      <c r="E148" s="7">
        <f>+$I$2+(FIDAA[[#This Row],[QUANTITE]]*FIDAA[[#This Row],[PRIX UNITAIRE]])</f>
        <v>17000</v>
      </c>
      <c r="F148" s="22"/>
      <c r="G148" s="6">
        <f>SUM(E$9:$E148)-SUM(F$9:$F148)</f>
        <v>8835350</v>
      </c>
    </row>
    <row r="149" spans="1:7" ht="28.8" x14ac:dyDescent="0.55000000000000004">
      <c r="A149" s="12">
        <v>45399</v>
      </c>
      <c r="B149" s="13" t="s">
        <v>145</v>
      </c>
      <c r="C149" s="10">
        <v>1</v>
      </c>
      <c r="D149" s="10">
        <v>18000</v>
      </c>
      <c r="E149" s="7">
        <f>+$I$2+(FIDAA[[#This Row],[QUANTITE]]*FIDAA[[#This Row],[PRIX UNITAIRE]])</f>
        <v>18000</v>
      </c>
      <c r="F149" s="22"/>
      <c r="G149" s="6">
        <f>SUM(E$9:$E149)-SUM(F$9:$F149)</f>
        <v>8853350</v>
      </c>
    </row>
    <row r="150" spans="1:7" ht="28.8" x14ac:dyDescent="0.55000000000000004">
      <c r="A150" s="12" t="s">
        <v>146</v>
      </c>
      <c r="B150" s="13" t="s">
        <v>147</v>
      </c>
      <c r="C150" s="10">
        <v>1</v>
      </c>
      <c r="D150" s="10">
        <v>15000</v>
      </c>
      <c r="E150" s="7">
        <f>+$I$2+(FIDAA[[#This Row],[QUANTITE]]*FIDAA[[#This Row],[PRIX UNITAIRE]])</f>
        <v>15000</v>
      </c>
      <c r="F150" s="22"/>
      <c r="G150" s="6">
        <f>SUM(E$9:$E150)-SUM(F$9:$F150)</f>
        <v>8868350</v>
      </c>
    </row>
    <row r="151" spans="1:7" ht="28.8" x14ac:dyDescent="0.55000000000000004">
      <c r="A151" s="12">
        <v>45399</v>
      </c>
      <c r="B151" s="13" t="s">
        <v>148</v>
      </c>
      <c r="C151" s="10">
        <v>1</v>
      </c>
      <c r="D151" s="10">
        <v>18000</v>
      </c>
      <c r="E151" s="7">
        <f>+$I$2+(FIDAA[[#This Row],[QUANTITE]]*FIDAA[[#This Row],[PRIX UNITAIRE]])</f>
        <v>18000</v>
      </c>
      <c r="F151" s="22"/>
      <c r="G151" s="6">
        <f>SUM(E$9:$E151)-SUM(F$9:$F151)</f>
        <v>8886350</v>
      </c>
    </row>
    <row r="152" spans="1:7" ht="28.8" x14ac:dyDescent="0.55000000000000004">
      <c r="A152" s="12">
        <v>45399</v>
      </c>
      <c r="B152" s="13" t="s">
        <v>149</v>
      </c>
      <c r="C152" s="10">
        <v>1</v>
      </c>
      <c r="D152" s="10">
        <v>20000</v>
      </c>
      <c r="E152" s="7">
        <f>+$I$2+(FIDAA[[#This Row],[QUANTITE]]*FIDAA[[#This Row],[PRIX UNITAIRE]])</f>
        <v>20000</v>
      </c>
      <c r="F152" s="22"/>
      <c r="G152" s="6">
        <f>SUM(E$9:$E152)-SUM(F$9:$F152)</f>
        <v>8906350</v>
      </c>
    </row>
    <row r="153" spans="1:7" ht="28.8" x14ac:dyDescent="0.55000000000000004">
      <c r="A153" s="12">
        <v>45399</v>
      </c>
      <c r="B153" s="13" t="s">
        <v>150</v>
      </c>
      <c r="C153" s="10">
        <v>1</v>
      </c>
      <c r="D153" s="10">
        <v>18000</v>
      </c>
      <c r="E153" s="7">
        <f>+$I$2+(FIDAA[[#This Row],[QUANTITE]]*FIDAA[[#This Row],[PRIX UNITAIRE]])</f>
        <v>18000</v>
      </c>
      <c r="F153" s="22"/>
      <c r="G153" s="6">
        <f>SUM(E$9:$E153)-SUM(F$9:$F153)</f>
        <v>8924350</v>
      </c>
    </row>
    <row r="154" spans="1:7" ht="28.8" x14ac:dyDescent="0.55000000000000004">
      <c r="A154" s="12">
        <v>45399</v>
      </c>
      <c r="B154" s="13" t="s">
        <v>151</v>
      </c>
      <c r="C154" s="10">
        <v>1</v>
      </c>
      <c r="D154" s="10">
        <v>37000</v>
      </c>
      <c r="E154" s="7">
        <f>+$I$2+(FIDAA[[#This Row],[QUANTITE]]*FIDAA[[#This Row],[PRIX UNITAIRE]])</f>
        <v>37000</v>
      </c>
      <c r="F154" s="22"/>
      <c r="G154" s="6">
        <f>SUM(E$9:$E154)-SUM(F$9:$F154)</f>
        <v>8961350</v>
      </c>
    </row>
    <row r="155" spans="1:7" ht="28.8" x14ac:dyDescent="0.55000000000000004">
      <c r="A155" s="12">
        <v>45399</v>
      </c>
      <c r="B155" s="13" t="s">
        <v>152</v>
      </c>
      <c r="C155" s="10">
        <v>1</v>
      </c>
      <c r="D155" s="10">
        <v>34000</v>
      </c>
      <c r="E155" s="7">
        <f>+$I$2+(FIDAA[[#This Row],[QUANTITE]]*FIDAA[[#This Row],[PRIX UNITAIRE]])</f>
        <v>34000</v>
      </c>
      <c r="F155" s="22"/>
      <c r="G155" s="6">
        <f>SUM(E$9:$E155)-SUM(F$9:$F155)</f>
        <v>8995350</v>
      </c>
    </row>
    <row r="156" spans="1:7" ht="28.8" x14ac:dyDescent="0.55000000000000004">
      <c r="A156" s="12">
        <v>45399</v>
      </c>
      <c r="B156" s="13" t="s">
        <v>153</v>
      </c>
      <c r="C156" s="10">
        <v>1</v>
      </c>
      <c r="D156" s="10">
        <v>10000</v>
      </c>
      <c r="E156" s="7">
        <f>+$I$2+(FIDAA[[#This Row],[QUANTITE]]*FIDAA[[#This Row],[PRIX UNITAIRE]])</f>
        <v>10000</v>
      </c>
      <c r="F156" s="22"/>
      <c r="G156" s="6">
        <f>SUM(E$9:$E156)-SUM(F$9:$F156)</f>
        <v>9005350</v>
      </c>
    </row>
    <row r="157" spans="1:7" ht="28.8" x14ac:dyDescent="0.55000000000000004">
      <c r="A157" s="12">
        <v>45399</v>
      </c>
      <c r="B157" s="13" t="s">
        <v>154</v>
      </c>
      <c r="C157" s="10">
        <v>1</v>
      </c>
      <c r="D157" s="10">
        <v>17000</v>
      </c>
      <c r="E157" s="7">
        <f>+$I$2+(FIDAA[[#This Row],[QUANTITE]]*FIDAA[[#This Row],[PRIX UNITAIRE]])</f>
        <v>17000</v>
      </c>
      <c r="F157" s="22"/>
      <c r="G157" s="6">
        <f>SUM(E$9:$E157)-SUM(F$9:$F157)</f>
        <v>9022350</v>
      </c>
    </row>
    <row r="158" spans="1:7" ht="28.8" x14ac:dyDescent="0.55000000000000004">
      <c r="A158" s="12">
        <v>45399</v>
      </c>
      <c r="B158" s="13" t="s">
        <v>155</v>
      </c>
      <c r="C158" s="10">
        <v>1</v>
      </c>
      <c r="D158" s="10">
        <v>16000</v>
      </c>
      <c r="E158" s="7">
        <f>+$I$2+(FIDAA[[#This Row],[QUANTITE]]*FIDAA[[#This Row],[PRIX UNITAIRE]])</f>
        <v>16000</v>
      </c>
      <c r="F158" s="22"/>
      <c r="G158" s="6">
        <f>SUM(E$9:$E158)-SUM(F$9:$F158)</f>
        <v>9038350</v>
      </c>
    </row>
    <row r="159" spans="1:7" ht="28.8" x14ac:dyDescent="0.55000000000000004">
      <c r="A159" s="12">
        <v>45399</v>
      </c>
      <c r="B159" s="13" t="s">
        <v>156</v>
      </c>
      <c r="C159" s="10">
        <v>1</v>
      </c>
      <c r="D159" s="10">
        <v>12000</v>
      </c>
      <c r="E159" s="7">
        <f>+$I$2+(FIDAA[[#This Row],[QUANTITE]]*FIDAA[[#This Row],[PRIX UNITAIRE]])</f>
        <v>12000</v>
      </c>
      <c r="F159" s="22"/>
      <c r="G159" s="6">
        <f>SUM(E$9:$E159)-SUM(F$9:$F159)</f>
        <v>9050350</v>
      </c>
    </row>
    <row r="160" spans="1:7" ht="28.8" x14ac:dyDescent="0.55000000000000004">
      <c r="A160" s="12">
        <v>45399</v>
      </c>
      <c r="B160" s="13" t="s">
        <v>157</v>
      </c>
      <c r="C160" s="10">
        <v>1</v>
      </c>
      <c r="D160" s="10">
        <v>10000</v>
      </c>
      <c r="E160" s="7">
        <f>+$I$2+(FIDAA[[#This Row],[QUANTITE]]*FIDAA[[#This Row],[PRIX UNITAIRE]])</f>
        <v>10000</v>
      </c>
      <c r="F160" s="22"/>
      <c r="G160" s="6">
        <f>SUM(E$9:$E160)-SUM(F$9:$F160)</f>
        <v>9060350</v>
      </c>
    </row>
    <row r="161" spans="1:7" ht="28.8" x14ac:dyDescent="0.55000000000000004">
      <c r="A161" s="12">
        <v>45399</v>
      </c>
      <c r="B161" s="13" t="s">
        <v>158</v>
      </c>
      <c r="C161" s="10">
        <v>1</v>
      </c>
      <c r="D161" s="10">
        <v>13000</v>
      </c>
      <c r="E161" s="7">
        <f>+$I$2+(FIDAA[[#This Row],[QUANTITE]]*FIDAA[[#This Row],[PRIX UNITAIRE]])</f>
        <v>13000</v>
      </c>
      <c r="F161" s="22"/>
      <c r="G161" s="6">
        <f>SUM(E$9:$E161)-SUM(F$9:$F161)</f>
        <v>9073350</v>
      </c>
    </row>
    <row r="162" spans="1:7" ht="28.8" x14ac:dyDescent="0.55000000000000004">
      <c r="A162" s="12">
        <v>45399</v>
      </c>
      <c r="B162" s="13" t="s">
        <v>159</v>
      </c>
      <c r="C162" s="10">
        <v>1</v>
      </c>
      <c r="D162" s="10">
        <v>13000</v>
      </c>
      <c r="E162" s="7">
        <f>+$I$2+(FIDAA[[#This Row],[QUANTITE]]*FIDAA[[#This Row],[PRIX UNITAIRE]])</f>
        <v>13000</v>
      </c>
      <c r="F162" s="22"/>
      <c r="G162" s="6">
        <f>SUM(E$9:$E162)-SUM(F$9:$F162)</f>
        <v>9086350</v>
      </c>
    </row>
    <row r="163" spans="1:7" ht="28.8" x14ac:dyDescent="0.55000000000000004">
      <c r="A163" s="12">
        <v>45399</v>
      </c>
      <c r="B163" s="13" t="s">
        <v>160</v>
      </c>
      <c r="C163" s="10">
        <v>1</v>
      </c>
      <c r="D163" s="10">
        <v>12000</v>
      </c>
      <c r="E163" s="7">
        <f>+$I$2+(FIDAA[[#This Row],[QUANTITE]]*FIDAA[[#This Row],[PRIX UNITAIRE]])</f>
        <v>12000</v>
      </c>
      <c r="F163" s="22"/>
      <c r="G163" s="6">
        <f>SUM(E$9:$E163)-SUM(F$9:$F163)</f>
        <v>9098350</v>
      </c>
    </row>
    <row r="164" spans="1:7" ht="28.8" x14ac:dyDescent="0.55000000000000004">
      <c r="A164" s="12">
        <v>45399</v>
      </c>
      <c r="B164" s="13" t="s">
        <v>161</v>
      </c>
      <c r="C164" s="10">
        <v>1</v>
      </c>
      <c r="D164" s="10">
        <v>12000</v>
      </c>
      <c r="E164" s="7">
        <f>+$I$2+(FIDAA[[#This Row],[QUANTITE]]*FIDAA[[#This Row],[PRIX UNITAIRE]])</f>
        <v>12000</v>
      </c>
      <c r="F164" s="22"/>
      <c r="G164" s="6">
        <f>SUM(E$9:$E164)-SUM(F$9:$F164)</f>
        <v>9110350</v>
      </c>
    </row>
    <row r="165" spans="1:7" ht="28.8" x14ac:dyDescent="0.55000000000000004">
      <c r="A165" s="12">
        <v>45399</v>
      </c>
      <c r="B165" s="13" t="s">
        <v>162</v>
      </c>
      <c r="C165" s="10">
        <v>1</v>
      </c>
      <c r="D165" s="10">
        <v>12000</v>
      </c>
      <c r="E165" s="7">
        <f>+$I$2+(FIDAA[[#This Row],[QUANTITE]]*FIDAA[[#This Row],[PRIX UNITAIRE]])</f>
        <v>12000</v>
      </c>
      <c r="F165" s="22"/>
      <c r="G165" s="6">
        <f>SUM(E$9:$E165)-SUM(F$9:$F165)</f>
        <v>9122350</v>
      </c>
    </row>
    <row r="166" spans="1:7" ht="28.8" x14ac:dyDescent="0.55000000000000004">
      <c r="A166" s="12">
        <v>45399</v>
      </c>
      <c r="B166" s="13" t="s">
        <v>163</v>
      </c>
      <c r="C166" s="10">
        <v>1</v>
      </c>
      <c r="D166" s="10">
        <v>13000</v>
      </c>
      <c r="E166" s="7">
        <f>+$I$2+(FIDAA[[#This Row],[QUANTITE]]*FIDAA[[#This Row],[PRIX UNITAIRE]])</f>
        <v>13000</v>
      </c>
      <c r="F166" s="22"/>
      <c r="G166" s="6">
        <f>SUM(E$9:$E166)-SUM(F$9:$F166)</f>
        <v>9135350</v>
      </c>
    </row>
    <row r="167" spans="1:7" ht="28.8" x14ac:dyDescent="0.55000000000000004">
      <c r="A167" s="12">
        <v>45399</v>
      </c>
      <c r="B167" s="13" t="s">
        <v>164</v>
      </c>
      <c r="C167" s="10">
        <v>1</v>
      </c>
      <c r="D167" s="10">
        <v>14000</v>
      </c>
      <c r="E167" s="7">
        <f>+$I$2+(FIDAA[[#This Row],[QUANTITE]]*FIDAA[[#This Row],[PRIX UNITAIRE]])</f>
        <v>14000</v>
      </c>
      <c r="F167" s="22"/>
      <c r="G167" s="6">
        <f>SUM(E$9:$E167)-SUM(F$9:$F167)</f>
        <v>9149350</v>
      </c>
    </row>
    <row r="168" spans="1:7" ht="28.8" x14ac:dyDescent="0.55000000000000004">
      <c r="A168" s="12">
        <v>45399</v>
      </c>
      <c r="B168" s="13" t="s">
        <v>165</v>
      </c>
      <c r="C168" s="10">
        <v>1</v>
      </c>
      <c r="D168" s="10">
        <v>11000</v>
      </c>
      <c r="E168" s="7">
        <f>+$I$2+(FIDAA[[#This Row],[QUANTITE]]*FIDAA[[#This Row],[PRIX UNITAIRE]])</f>
        <v>11000</v>
      </c>
      <c r="F168" s="22"/>
      <c r="G168" s="6">
        <f>SUM(E$9:$E168)-SUM(F$9:$F168)</f>
        <v>9160350</v>
      </c>
    </row>
    <row r="169" spans="1:7" ht="28.8" x14ac:dyDescent="0.55000000000000004">
      <c r="A169" s="12">
        <v>45399</v>
      </c>
      <c r="B169" s="13" t="s">
        <v>166</v>
      </c>
      <c r="C169" s="10">
        <v>1</v>
      </c>
      <c r="D169" s="10">
        <v>9000</v>
      </c>
      <c r="E169" s="7">
        <f>+$I$2+(FIDAA[[#This Row],[QUANTITE]]*FIDAA[[#This Row],[PRIX UNITAIRE]])</f>
        <v>9000</v>
      </c>
      <c r="F169" s="22"/>
      <c r="G169" s="6">
        <f>SUM(E$9:$E169)-SUM(F$9:$F169)</f>
        <v>9169350</v>
      </c>
    </row>
    <row r="170" spans="1:7" ht="28.8" x14ac:dyDescent="0.55000000000000004">
      <c r="A170" s="12">
        <v>45399</v>
      </c>
      <c r="B170" s="13" t="s">
        <v>167</v>
      </c>
      <c r="C170" s="10">
        <v>1</v>
      </c>
      <c r="D170" s="10">
        <v>15000</v>
      </c>
      <c r="E170" s="7">
        <f>+$I$2+(FIDAA[[#This Row],[QUANTITE]]*FIDAA[[#This Row],[PRIX UNITAIRE]])</f>
        <v>15000</v>
      </c>
      <c r="F170" s="22"/>
      <c r="G170" s="6">
        <f>SUM(E$9:$E170)-SUM(F$9:$F170)</f>
        <v>9184350</v>
      </c>
    </row>
    <row r="171" spans="1:7" ht="28.8" x14ac:dyDescent="0.55000000000000004">
      <c r="A171" s="12">
        <v>45399</v>
      </c>
      <c r="B171" s="13" t="s">
        <v>168</v>
      </c>
      <c r="C171" s="10">
        <v>1</v>
      </c>
      <c r="D171" s="10">
        <v>8000</v>
      </c>
      <c r="E171" s="7">
        <f>+$I$2+(FIDAA[[#This Row],[QUANTITE]]*FIDAA[[#This Row],[PRIX UNITAIRE]])</f>
        <v>8000</v>
      </c>
      <c r="F171" s="22"/>
      <c r="G171" s="6">
        <f>SUM(E$9:$E171)-SUM(F$9:$F171)</f>
        <v>9192350</v>
      </c>
    </row>
    <row r="172" spans="1:7" ht="28.8" x14ac:dyDescent="0.55000000000000004">
      <c r="A172" s="12">
        <v>45399</v>
      </c>
      <c r="B172" s="13" t="s">
        <v>169</v>
      </c>
      <c r="C172" s="10">
        <v>1</v>
      </c>
      <c r="D172" s="10">
        <v>9000</v>
      </c>
      <c r="E172" s="7">
        <f>+$I$2+(FIDAA[[#This Row],[QUANTITE]]*FIDAA[[#This Row],[PRIX UNITAIRE]])</f>
        <v>9000</v>
      </c>
      <c r="F172" s="22"/>
      <c r="G172" s="6">
        <f>SUM(E$9:$E172)-SUM(F$9:$F172)</f>
        <v>9201350</v>
      </c>
    </row>
    <row r="173" spans="1:7" ht="28.8" x14ac:dyDescent="0.55000000000000004">
      <c r="A173" s="12">
        <v>45399</v>
      </c>
      <c r="B173" s="13" t="s">
        <v>170</v>
      </c>
      <c r="C173" s="10">
        <v>1</v>
      </c>
      <c r="D173" s="10">
        <v>11000</v>
      </c>
      <c r="E173" s="7">
        <f>+$I$2+(FIDAA[[#This Row],[QUANTITE]]*FIDAA[[#This Row],[PRIX UNITAIRE]])</f>
        <v>11000</v>
      </c>
      <c r="F173" s="22"/>
      <c r="G173" s="6">
        <f>SUM(E$9:$E173)-SUM(F$9:$F173)</f>
        <v>9212350</v>
      </c>
    </row>
    <row r="174" spans="1:7" ht="28.8" x14ac:dyDescent="0.55000000000000004">
      <c r="A174" s="12">
        <v>45399</v>
      </c>
      <c r="B174" s="13" t="s">
        <v>171</v>
      </c>
      <c r="C174" s="10">
        <v>1</v>
      </c>
      <c r="D174" s="10">
        <v>10000</v>
      </c>
      <c r="E174" s="7">
        <f>+$I$2+(FIDAA[[#This Row],[QUANTITE]]*FIDAA[[#This Row],[PRIX UNITAIRE]])</f>
        <v>10000</v>
      </c>
      <c r="F174" s="22"/>
      <c r="G174" s="6">
        <f>SUM(E$9:$E174)-SUM(F$9:$F174)</f>
        <v>9222350</v>
      </c>
    </row>
    <row r="175" spans="1:7" ht="28.8" x14ac:dyDescent="0.55000000000000004">
      <c r="A175" s="12">
        <v>45399</v>
      </c>
      <c r="B175" s="13" t="s">
        <v>172</v>
      </c>
      <c r="C175" s="10">
        <v>2</v>
      </c>
      <c r="D175" s="10">
        <v>8000</v>
      </c>
      <c r="E175" s="7">
        <f>+$I$2+(FIDAA[[#This Row],[QUANTITE]]*FIDAA[[#This Row],[PRIX UNITAIRE]])</f>
        <v>16000</v>
      </c>
      <c r="F175" s="22"/>
      <c r="G175" s="6">
        <f>SUM(E$9:$E175)-SUM(F$9:$F175)</f>
        <v>9238350</v>
      </c>
    </row>
    <row r="176" spans="1:7" ht="28.8" x14ac:dyDescent="0.55000000000000004">
      <c r="A176" s="12">
        <v>45399</v>
      </c>
      <c r="B176" s="13" t="s">
        <v>173</v>
      </c>
      <c r="C176" s="10">
        <v>2</v>
      </c>
      <c r="D176" s="10">
        <v>8000</v>
      </c>
      <c r="E176" s="7">
        <f>+$I$2+(FIDAA[[#This Row],[QUANTITE]]*FIDAA[[#This Row],[PRIX UNITAIRE]])</f>
        <v>16000</v>
      </c>
      <c r="F176" s="22"/>
      <c r="G176" s="6">
        <f>SUM(E$9:$E176)-SUM(F$9:$F176)</f>
        <v>9254350</v>
      </c>
    </row>
    <row r="177" spans="1:7" ht="28.8" x14ac:dyDescent="0.55000000000000004">
      <c r="A177" s="12">
        <v>45399</v>
      </c>
      <c r="B177" s="13" t="s">
        <v>174</v>
      </c>
      <c r="C177" s="10">
        <v>5</v>
      </c>
      <c r="D177" s="10">
        <v>4500</v>
      </c>
      <c r="E177" s="7">
        <f>+$I$2+(FIDAA[[#This Row],[QUANTITE]]*FIDAA[[#This Row],[PRIX UNITAIRE]])</f>
        <v>22500</v>
      </c>
      <c r="F177" s="22"/>
      <c r="G177" s="6">
        <f>SUM(E$9:$E177)-SUM(F$9:$F177)</f>
        <v>9276850</v>
      </c>
    </row>
    <row r="178" spans="1:7" ht="28.8" x14ac:dyDescent="0.55000000000000004">
      <c r="A178" s="12">
        <v>45399</v>
      </c>
      <c r="B178" s="13" t="s">
        <v>175</v>
      </c>
      <c r="C178" s="10">
        <v>10</v>
      </c>
      <c r="D178" s="10">
        <v>8000</v>
      </c>
      <c r="E178" s="7">
        <f>+$I$2+(FIDAA[[#This Row],[QUANTITE]]*FIDAA[[#This Row],[PRIX UNITAIRE]])</f>
        <v>80000</v>
      </c>
      <c r="F178" s="22"/>
      <c r="G178" s="6">
        <f>SUM(E$9:$E178)-SUM(F$9:$F178)</f>
        <v>9356850</v>
      </c>
    </row>
    <row r="179" spans="1:7" ht="28.8" x14ac:dyDescent="0.55000000000000004">
      <c r="A179" s="12">
        <v>45399</v>
      </c>
      <c r="B179" s="13" t="s">
        <v>176</v>
      </c>
      <c r="C179" s="10">
        <v>2</v>
      </c>
      <c r="D179" s="10">
        <v>8000</v>
      </c>
      <c r="E179" s="7">
        <f>+$I$2+(FIDAA[[#This Row],[QUANTITE]]*FIDAA[[#This Row],[PRIX UNITAIRE]])</f>
        <v>16000</v>
      </c>
      <c r="F179" s="22"/>
      <c r="G179" s="6">
        <f>SUM(E$9:$E179)-SUM(F$9:$F179)</f>
        <v>9372850</v>
      </c>
    </row>
    <row r="180" spans="1:7" ht="28.8" x14ac:dyDescent="0.55000000000000004">
      <c r="A180" s="12">
        <v>45399</v>
      </c>
      <c r="B180" s="13" t="s">
        <v>177</v>
      </c>
      <c r="C180" s="10">
        <v>10</v>
      </c>
      <c r="D180" s="10">
        <v>6000</v>
      </c>
      <c r="E180" s="7">
        <f>+$I$2+(FIDAA[[#This Row],[QUANTITE]]*FIDAA[[#This Row],[PRIX UNITAIRE]])</f>
        <v>60000</v>
      </c>
      <c r="F180" s="22"/>
      <c r="G180" s="6">
        <f>SUM(E$9:$E180)-SUM(F$9:$F180)</f>
        <v>9432850</v>
      </c>
    </row>
    <row r="181" spans="1:7" ht="28.8" x14ac:dyDescent="0.55000000000000004">
      <c r="A181" s="12">
        <v>45399</v>
      </c>
      <c r="B181" s="13" t="s">
        <v>178</v>
      </c>
      <c r="C181" s="10">
        <v>2</v>
      </c>
      <c r="D181" s="10">
        <v>8000</v>
      </c>
      <c r="E181" s="7">
        <f>+$I$2+(FIDAA[[#This Row],[QUANTITE]]*FIDAA[[#This Row],[PRIX UNITAIRE]])</f>
        <v>16000</v>
      </c>
      <c r="F181" s="22"/>
      <c r="G181" s="6">
        <f>SUM(E$9:$E181)-SUM(F$9:$F181)</f>
        <v>9448850</v>
      </c>
    </row>
    <row r="182" spans="1:7" ht="28.8" x14ac:dyDescent="0.55000000000000004">
      <c r="A182" s="12">
        <v>45399</v>
      </c>
      <c r="B182" s="13" t="s">
        <v>179</v>
      </c>
      <c r="C182" s="10">
        <v>20</v>
      </c>
      <c r="D182" s="10">
        <v>123000</v>
      </c>
      <c r="E182" s="7">
        <f>+$I$2+(FIDAA[[#This Row],[QUANTITE]]*FIDAA[[#This Row],[PRIX UNITAIRE]])</f>
        <v>2460000</v>
      </c>
      <c r="F182" s="22"/>
      <c r="G182" s="6">
        <f>SUM(E$9:$E182)-SUM(F$9:$F182)</f>
        <v>11908850</v>
      </c>
    </row>
    <row r="183" spans="1:7" ht="28.8" x14ac:dyDescent="0.55000000000000004">
      <c r="A183" s="12">
        <v>45399</v>
      </c>
      <c r="B183" s="13" t="s">
        <v>180</v>
      </c>
      <c r="C183" s="10">
        <v>4</v>
      </c>
      <c r="D183" s="10">
        <v>33000</v>
      </c>
      <c r="E183" s="7">
        <f>+$I$2+(FIDAA[[#This Row],[QUANTITE]]*FIDAA[[#This Row],[PRIX UNITAIRE]])</f>
        <v>132000</v>
      </c>
      <c r="F183" s="22"/>
      <c r="G183" s="6">
        <f>SUM(E$9:$E183)-SUM(F$9:$F183)</f>
        <v>12040850</v>
      </c>
    </row>
    <row r="184" spans="1:7" ht="28.8" x14ac:dyDescent="0.55000000000000004">
      <c r="A184" s="12">
        <v>45399</v>
      </c>
      <c r="B184" s="13" t="s">
        <v>181</v>
      </c>
      <c r="C184" s="10">
        <v>2</v>
      </c>
      <c r="D184" s="10">
        <v>30000</v>
      </c>
      <c r="E184" s="7">
        <f>+$I$2+(FIDAA[[#This Row],[QUANTITE]]*FIDAA[[#This Row],[PRIX UNITAIRE]])</f>
        <v>60000</v>
      </c>
      <c r="F184" s="22"/>
      <c r="G184" s="6">
        <f>SUM(E$9:$E184)-SUM(F$9:$F184)</f>
        <v>12100850</v>
      </c>
    </row>
    <row r="185" spans="1:7" ht="28.8" x14ac:dyDescent="0.55000000000000004">
      <c r="A185" s="12">
        <v>45399</v>
      </c>
      <c r="B185" s="13" t="s">
        <v>182</v>
      </c>
      <c r="C185" s="10">
        <v>1</v>
      </c>
      <c r="D185" s="10">
        <v>22000</v>
      </c>
      <c r="E185" s="7">
        <f>+$I$2+(FIDAA[[#This Row],[QUANTITE]]*FIDAA[[#This Row],[PRIX UNITAIRE]])</f>
        <v>22000</v>
      </c>
      <c r="F185" s="22"/>
      <c r="G185" s="6">
        <f>SUM(E$9:$E185)-SUM(F$9:$F185)</f>
        <v>12122850</v>
      </c>
    </row>
    <row r="186" spans="1:7" ht="28.8" x14ac:dyDescent="0.55000000000000004">
      <c r="A186" s="12">
        <v>45399</v>
      </c>
      <c r="B186" s="13" t="s">
        <v>183</v>
      </c>
      <c r="C186" s="10">
        <v>2</v>
      </c>
      <c r="D186" s="10">
        <v>40000</v>
      </c>
      <c r="E186" s="7">
        <f>+$I$2+(FIDAA[[#This Row],[QUANTITE]]*FIDAA[[#This Row],[PRIX UNITAIRE]])</f>
        <v>80000</v>
      </c>
      <c r="F186" s="22"/>
      <c r="G186" s="6">
        <f>SUM(E$9:$E186)-SUM(F$9:$F186)</f>
        <v>12202850</v>
      </c>
    </row>
    <row r="187" spans="1:7" ht="28.8" x14ac:dyDescent="0.55000000000000004">
      <c r="A187" s="12">
        <v>45402</v>
      </c>
      <c r="B187" s="13" t="s">
        <v>184</v>
      </c>
      <c r="C187" s="10">
        <v>20</v>
      </c>
      <c r="D187" s="10">
        <v>1250</v>
      </c>
      <c r="E187" s="7">
        <f>+$I$2+(FIDAA[[#This Row],[QUANTITE]]*FIDAA[[#This Row],[PRIX UNITAIRE]])</f>
        <v>25000</v>
      </c>
      <c r="F187" s="22"/>
      <c r="G187" s="6">
        <f>SUM(E$9:$E187)-SUM(F$9:$F187)</f>
        <v>12227850</v>
      </c>
    </row>
    <row r="188" spans="1:7" ht="28.8" x14ac:dyDescent="0.55000000000000004">
      <c r="A188" s="12">
        <v>45402</v>
      </c>
      <c r="B188" s="13" t="s">
        <v>185</v>
      </c>
      <c r="C188" s="10">
        <v>30</v>
      </c>
      <c r="D188" s="10">
        <v>2750</v>
      </c>
      <c r="E188" s="7">
        <f>+$I$2+(FIDAA[[#This Row],[QUANTITE]]*FIDAA[[#This Row],[PRIX UNITAIRE]])</f>
        <v>82500</v>
      </c>
      <c r="F188" s="22"/>
      <c r="G188" s="6">
        <f>SUM(E$9:$E188)-SUM(F$9:$F188)</f>
        <v>12310350</v>
      </c>
    </row>
    <row r="189" spans="1:7" ht="28.8" x14ac:dyDescent="0.55000000000000004">
      <c r="A189" s="12">
        <v>45402</v>
      </c>
      <c r="B189" s="13" t="s">
        <v>186</v>
      </c>
      <c r="C189" s="10">
        <v>12</v>
      </c>
      <c r="D189" s="10">
        <v>2500</v>
      </c>
      <c r="E189" s="7">
        <f>+$I$2+(FIDAA[[#This Row],[QUANTITE]]*FIDAA[[#This Row],[PRIX UNITAIRE]])</f>
        <v>30000</v>
      </c>
      <c r="F189" s="22"/>
      <c r="G189" s="6">
        <f>SUM(E$9:$E189)-SUM(F$9:$F189)</f>
        <v>12340350</v>
      </c>
    </row>
    <row r="190" spans="1:7" ht="28.8" x14ac:dyDescent="0.55000000000000004">
      <c r="A190" s="12">
        <v>45402</v>
      </c>
      <c r="B190" s="13" t="s">
        <v>187</v>
      </c>
      <c r="C190" s="10">
        <v>12</v>
      </c>
      <c r="D190" s="10">
        <v>3000</v>
      </c>
      <c r="E190" s="7">
        <f>+$I$2+(FIDAA[[#This Row],[QUANTITE]]*FIDAA[[#This Row],[PRIX UNITAIRE]])</f>
        <v>36000</v>
      </c>
      <c r="F190" s="22"/>
      <c r="G190" s="6">
        <f>SUM(E$9:$E190)-SUM(F$9:$F190)</f>
        <v>12376350</v>
      </c>
    </row>
    <row r="191" spans="1:7" ht="28.8" x14ac:dyDescent="0.55000000000000004">
      <c r="A191" s="12">
        <v>45402</v>
      </c>
      <c r="B191" s="13" t="s">
        <v>68</v>
      </c>
      <c r="C191" s="10">
        <v>1</v>
      </c>
      <c r="D191" s="10">
        <v>0</v>
      </c>
      <c r="E191" s="7">
        <f>+$I$2+(FIDAA[[#This Row],[QUANTITE]]*FIDAA[[#This Row],[PRIX UNITAIRE]])</f>
        <v>0</v>
      </c>
      <c r="F191" s="22">
        <v>1000000</v>
      </c>
      <c r="G191" s="6">
        <f>SUM(E$9:$E191)-SUM(F$9:$F191)</f>
        <v>11376350</v>
      </c>
    </row>
    <row r="192" spans="1:7" ht="28.8" x14ac:dyDescent="0.55000000000000004">
      <c r="A192" s="12">
        <v>45414</v>
      </c>
      <c r="B192" s="13" t="s">
        <v>188</v>
      </c>
      <c r="C192" s="10">
        <v>2</v>
      </c>
      <c r="D192" s="10">
        <v>67000</v>
      </c>
      <c r="E192" s="7">
        <f>+$I$2+(FIDAA[[#This Row],[QUANTITE]]*FIDAA[[#This Row],[PRIX UNITAIRE]])</f>
        <v>134000</v>
      </c>
      <c r="F192" s="22"/>
      <c r="G192" s="6">
        <f>SUM(E$9:$E192)-SUM(F$9:$F192)</f>
        <v>11510350</v>
      </c>
    </row>
    <row r="193" spans="1:7" ht="28.8" x14ac:dyDescent="0.55000000000000004">
      <c r="A193" s="12">
        <v>45414</v>
      </c>
      <c r="B193" s="13" t="s">
        <v>189</v>
      </c>
      <c r="C193" s="10">
        <v>2</v>
      </c>
      <c r="D193" s="10">
        <v>30000</v>
      </c>
      <c r="E193" s="7">
        <f>+$I$2+(FIDAA[[#This Row],[QUANTITE]]*FIDAA[[#This Row],[PRIX UNITAIRE]])</f>
        <v>60000</v>
      </c>
      <c r="F193" s="22"/>
      <c r="G193" s="6">
        <f>SUM(E$9:$E193)-SUM(F$9:$F193)</f>
        <v>11570350</v>
      </c>
    </row>
    <row r="194" spans="1:7" ht="28.8" x14ac:dyDescent="0.55000000000000004">
      <c r="A194" s="12">
        <v>45414</v>
      </c>
      <c r="B194" s="13" t="s">
        <v>190</v>
      </c>
      <c r="C194" s="10">
        <v>2</v>
      </c>
      <c r="D194" s="10">
        <v>32000</v>
      </c>
      <c r="E194" s="7">
        <f>+$I$2+(FIDAA[[#This Row],[QUANTITE]]*FIDAA[[#This Row],[PRIX UNITAIRE]])</f>
        <v>64000</v>
      </c>
      <c r="F194" s="22"/>
      <c r="G194" s="6">
        <f>SUM(E$9:$E194)-SUM(F$9:$F194)</f>
        <v>11634350</v>
      </c>
    </row>
    <row r="195" spans="1:7" ht="28.8" x14ac:dyDescent="0.55000000000000004">
      <c r="A195" s="12">
        <v>45414</v>
      </c>
      <c r="B195" s="13" t="s">
        <v>191</v>
      </c>
      <c r="C195" s="10">
        <v>4</v>
      </c>
      <c r="D195" s="10">
        <v>25000</v>
      </c>
      <c r="E195" s="7">
        <f>+$I$2+(FIDAA[[#This Row],[QUANTITE]]*FIDAA[[#This Row],[PRIX UNITAIRE]])</f>
        <v>100000</v>
      </c>
      <c r="F195" s="22"/>
      <c r="G195" s="6">
        <f>SUM(E$9:$E195)-SUM(F$9:$F195)</f>
        <v>11734350</v>
      </c>
    </row>
    <row r="196" spans="1:7" ht="28.8" x14ac:dyDescent="0.55000000000000004">
      <c r="A196" s="12">
        <v>45414</v>
      </c>
      <c r="B196" s="13" t="s">
        <v>192</v>
      </c>
      <c r="C196" s="10">
        <v>2</v>
      </c>
      <c r="D196" s="10">
        <v>27000</v>
      </c>
      <c r="E196" s="7">
        <f>+$I$2+(FIDAA[[#This Row],[QUANTITE]]*FIDAA[[#This Row],[PRIX UNITAIRE]])</f>
        <v>54000</v>
      </c>
      <c r="F196" s="22"/>
      <c r="G196" s="6">
        <f>SUM(E$9:$E196)-SUM(F$9:$F196)</f>
        <v>11788350</v>
      </c>
    </row>
    <row r="197" spans="1:7" ht="28.8" x14ac:dyDescent="0.55000000000000004">
      <c r="A197" s="12">
        <v>45418</v>
      </c>
      <c r="B197" s="13" t="s">
        <v>193</v>
      </c>
      <c r="C197" s="10">
        <v>2</v>
      </c>
      <c r="D197" s="10">
        <v>62500</v>
      </c>
      <c r="E197" s="7">
        <f>+$I$2+(FIDAA[[#This Row],[QUANTITE]]*FIDAA[[#This Row],[PRIX UNITAIRE]])</f>
        <v>125000</v>
      </c>
      <c r="F197" s="22"/>
      <c r="G197" s="6">
        <f>SUM(E$9:$E197)-SUM(F$9:$F197)</f>
        <v>11913350</v>
      </c>
    </row>
    <row r="198" spans="1:7" ht="28.8" x14ac:dyDescent="0.55000000000000004">
      <c r="A198" s="12">
        <v>45418</v>
      </c>
      <c r="B198" s="13" t="s">
        <v>194</v>
      </c>
      <c r="C198" s="10">
        <v>3</v>
      </c>
      <c r="D198" s="10">
        <v>34000</v>
      </c>
      <c r="E198" s="7">
        <f>+$I$2+(FIDAA[[#This Row],[QUANTITE]]*FIDAA[[#This Row],[PRIX UNITAIRE]])</f>
        <v>102000</v>
      </c>
      <c r="F198" s="22"/>
      <c r="G198" s="6">
        <f>SUM(E$9:$E198)-SUM(F$9:$F198)</f>
        <v>12015350</v>
      </c>
    </row>
    <row r="199" spans="1:7" ht="28.8" x14ac:dyDescent="0.55000000000000004">
      <c r="A199" s="12">
        <v>45418</v>
      </c>
      <c r="B199" s="13" t="s">
        <v>195</v>
      </c>
      <c r="C199" s="10">
        <v>14</v>
      </c>
      <c r="D199" s="10">
        <v>8000</v>
      </c>
      <c r="E199" s="7">
        <f>+$I$2+(FIDAA[[#This Row],[QUANTITE]]*FIDAA[[#This Row],[PRIX UNITAIRE]])</f>
        <v>112000</v>
      </c>
      <c r="F199" s="22"/>
      <c r="G199" s="6">
        <f>SUM(E$9:$E199)-SUM(F$9:$F199)</f>
        <v>12127350</v>
      </c>
    </row>
    <row r="200" spans="1:7" ht="28.8" x14ac:dyDescent="0.55000000000000004">
      <c r="A200" s="12">
        <v>45418</v>
      </c>
      <c r="B200" s="13" t="s">
        <v>68</v>
      </c>
      <c r="C200" s="10">
        <v>1</v>
      </c>
      <c r="D200" s="10">
        <v>0</v>
      </c>
      <c r="E200" s="7">
        <f>+$I$2+(FIDAA[[#This Row],[QUANTITE]]*FIDAA[[#This Row],[PRIX UNITAIRE]])</f>
        <v>0</v>
      </c>
      <c r="F200" s="22">
        <v>1000000</v>
      </c>
      <c r="G200" s="6">
        <f>SUM(E$9:$E200)-SUM(F$9:$F200)</f>
        <v>11127350</v>
      </c>
    </row>
    <row r="201" spans="1:7" ht="28.8" x14ac:dyDescent="0.55000000000000004">
      <c r="A201" s="12">
        <v>45430</v>
      </c>
      <c r="B201" s="13" t="s">
        <v>68</v>
      </c>
      <c r="C201" s="10">
        <v>1</v>
      </c>
      <c r="D201" s="10">
        <v>0</v>
      </c>
      <c r="E201" s="7">
        <f>+$I$2+(FIDAA[[#This Row],[QUANTITE]]*FIDAA[[#This Row],[PRIX UNITAIRE]])</f>
        <v>0</v>
      </c>
      <c r="F201" s="22">
        <v>1000000</v>
      </c>
      <c r="G201" s="6">
        <f>SUM(E$9:$E201)-SUM(F$9:$F201)</f>
        <v>10127350</v>
      </c>
    </row>
    <row r="202" spans="1:7" ht="28.8" x14ac:dyDescent="0.55000000000000004">
      <c r="A202" s="12">
        <v>45434</v>
      </c>
      <c r="B202" s="13" t="s">
        <v>43</v>
      </c>
      <c r="C202" s="10">
        <v>1</v>
      </c>
      <c r="D202" s="10">
        <v>135000</v>
      </c>
      <c r="E202" s="7">
        <f>+$I$2+(FIDAA[[#This Row],[QUANTITE]]*FIDAA[[#This Row],[PRIX UNITAIRE]])</f>
        <v>135000</v>
      </c>
      <c r="F202" s="22"/>
      <c r="G202" s="6">
        <f>SUM(E$9:$E202)-SUM(F$9:$F202)</f>
        <v>10262350</v>
      </c>
    </row>
    <row r="203" spans="1:7" ht="28.8" x14ac:dyDescent="0.55000000000000004">
      <c r="A203" s="12">
        <v>45439</v>
      </c>
      <c r="B203" s="13" t="s">
        <v>78</v>
      </c>
      <c r="C203" s="10">
        <v>6</v>
      </c>
      <c r="D203" s="10">
        <v>102500</v>
      </c>
      <c r="E203" s="7">
        <f>+$I$2+(FIDAA[[#This Row],[QUANTITE]]*FIDAA[[#This Row],[PRIX UNITAIRE]])</f>
        <v>615000</v>
      </c>
      <c r="F203" s="22"/>
      <c r="G203" s="6">
        <f>SUM(E$9:$E203)-SUM(F$9:$F203)</f>
        <v>10877350</v>
      </c>
    </row>
    <row r="204" spans="1:7" ht="28.8" x14ac:dyDescent="0.55000000000000004">
      <c r="A204" s="12"/>
      <c r="B204" s="13" t="s">
        <v>196</v>
      </c>
      <c r="C204" s="10">
        <v>25</v>
      </c>
      <c r="D204" s="10">
        <v>24000</v>
      </c>
      <c r="E204" s="7">
        <f>+$I$2+(FIDAA[[#This Row],[QUANTITE]]*FIDAA[[#This Row],[PRIX UNITAIRE]])</f>
        <v>600000</v>
      </c>
      <c r="F204" s="22"/>
      <c r="G204" s="6">
        <f>SUM(E$9:$E204)-SUM(F$9:$F204)</f>
        <v>11477350</v>
      </c>
    </row>
    <row r="205" spans="1:7" ht="28.8" x14ac:dyDescent="0.55000000000000004">
      <c r="A205" s="12"/>
      <c r="B205" s="13" t="s">
        <v>197</v>
      </c>
      <c r="C205" s="10">
        <v>2</v>
      </c>
      <c r="D205" s="10">
        <v>5000</v>
      </c>
      <c r="E205" s="7">
        <f>+$I$2+(FIDAA[[#This Row],[QUANTITE]]*FIDAA[[#This Row],[PRIX UNITAIRE]])</f>
        <v>10000</v>
      </c>
      <c r="F205" s="22"/>
      <c r="G205" s="6">
        <f>SUM(E$9:$E205)-SUM(F$9:$F205)</f>
        <v>11487350</v>
      </c>
    </row>
    <row r="206" spans="1:7" ht="28.8" x14ac:dyDescent="0.55000000000000004">
      <c r="A206" s="12">
        <v>45442</v>
      </c>
      <c r="B206" s="13" t="s">
        <v>43</v>
      </c>
      <c r="C206" s="10">
        <v>4</v>
      </c>
      <c r="D206" s="10">
        <v>135000</v>
      </c>
      <c r="E206" s="7">
        <f>+$I$2+(FIDAA[[#This Row],[QUANTITE]]*FIDAA[[#This Row],[PRIX UNITAIRE]])</f>
        <v>540000</v>
      </c>
      <c r="F206" s="22"/>
      <c r="G206" s="6">
        <f>SUM(E$9:$E206)-SUM(F$9:$F206)</f>
        <v>12027350</v>
      </c>
    </row>
    <row r="207" spans="1:7" ht="28.8" x14ac:dyDescent="0.55000000000000004">
      <c r="A207" s="12"/>
      <c r="B207" s="13" t="s">
        <v>78</v>
      </c>
      <c r="C207" s="10">
        <v>4</v>
      </c>
      <c r="D207" s="10">
        <v>105000</v>
      </c>
      <c r="E207" s="7">
        <f>+$I$2+(FIDAA[[#This Row],[QUANTITE]]*FIDAA[[#This Row],[PRIX UNITAIRE]])</f>
        <v>420000</v>
      </c>
      <c r="F207" s="22"/>
      <c r="G207" s="6">
        <f>SUM(E$9:$E207)-SUM(F$9:$F207)</f>
        <v>12447350</v>
      </c>
    </row>
    <row r="208" spans="1:7" ht="28.8" x14ac:dyDescent="0.55000000000000004">
      <c r="A208" s="12"/>
      <c r="B208" s="13" t="s">
        <v>198</v>
      </c>
      <c r="C208" s="10">
        <v>2</v>
      </c>
      <c r="D208" s="10">
        <v>20000</v>
      </c>
      <c r="E208" s="7">
        <f>+$I$2+(FIDAA[[#This Row],[QUANTITE]]*FIDAA[[#This Row],[PRIX UNITAIRE]])</f>
        <v>40000</v>
      </c>
      <c r="F208" s="22"/>
      <c r="G208" s="6">
        <f>SUM(E$9:$E208)-SUM(F$9:$F208)</f>
        <v>12487350</v>
      </c>
    </row>
    <row r="209" spans="1:7" ht="28.8" x14ac:dyDescent="0.55000000000000004">
      <c r="A209" s="12"/>
      <c r="B209" s="13" t="s">
        <v>11</v>
      </c>
      <c r="C209" s="10">
        <v>2</v>
      </c>
      <c r="D209" s="10">
        <v>55000</v>
      </c>
      <c r="E209" s="7">
        <f>+$I$2+(FIDAA[[#This Row],[QUANTITE]]*FIDAA[[#This Row],[PRIX UNITAIRE]])</f>
        <v>110000</v>
      </c>
      <c r="F209" s="22"/>
      <c r="G209" s="6">
        <f>SUM(E$9:$E209)-SUM(F$9:$F209)</f>
        <v>12597350</v>
      </c>
    </row>
    <row r="210" spans="1:7" ht="28.8" x14ac:dyDescent="0.55000000000000004">
      <c r="A210" s="12">
        <v>45444</v>
      </c>
      <c r="B210" s="13" t="s">
        <v>68</v>
      </c>
      <c r="C210" s="10">
        <v>1</v>
      </c>
      <c r="D210" s="10">
        <v>0</v>
      </c>
      <c r="E210" s="7">
        <f>+$I$2+(FIDAA[[#This Row],[QUANTITE]]*FIDAA[[#This Row],[PRIX UNITAIRE]])</f>
        <v>0</v>
      </c>
      <c r="F210" s="22">
        <v>1000000</v>
      </c>
      <c r="G210" s="6">
        <f>SUM(E$9:$E210)-SUM(F$9:$F210)</f>
        <v>11597350</v>
      </c>
    </row>
    <row r="211" spans="1:7" ht="28.8" x14ac:dyDescent="0.55000000000000004">
      <c r="A211" s="12">
        <v>45446</v>
      </c>
      <c r="B211" s="13" t="s">
        <v>199</v>
      </c>
      <c r="C211" s="10">
        <v>4</v>
      </c>
      <c r="D211" s="10">
        <v>55000</v>
      </c>
      <c r="E211" s="7">
        <f>+$I$2+(FIDAA[[#This Row],[QUANTITE]]*FIDAA[[#This Row],[PRIX UNITAIRE]])</f>
        <v>220000</v>
      </c>
      <c r="F211" s="22"/>
      <c r="G211" s="6">
        <f>SUM(E$9:$E211)-SUM(F$9:$F211)</f>
        <v>11817350</v>
      </c>
    </row>
    <row r="212" spans="1:7" ht="28.8" x14ac:dyDescent="0.55000000000000004">
      <c r="A212" s="12"/>
      <c r="B212" s="13" t="s">
        <v>200</v>
      </c>
      <c r="C212" s="10">
        <v>2</v>
      </c>
      <c r="D212" s="10">
        <v>60000</v>
      </c>
      <c r="E212" s="7">
        <f>+$I$2+(FIDAA[[#This Row],[QUANTITE]]*FIDAA[[#This Row],[PRIX UNITAIRE]])</f>
        <v>120000</v>
      </c>
      <c r="F212" s="22"/>
      <c r="G212" s="6">
        <f>SUM(E$9:$E212)-SUM(F$9:$F212)</f>
        <v>11937350</v>
      </c>
    </row>
    <row r="213" spans="1:7" ht="28.8" x14ac:dyDescent="0.55000000000000004">
      <c r="A213" s="12">
        <v>45430</v>
      </c>
      <c r="B213" s="13" t="s">
        <v>201</v>
      </c>
      <c r="C213" s="10">
        <v>4</v>
      </c>
      <c r="D213" s="10">
        <v>27500</v>
      </c>
      <c r="E213" s="7">
        <f>+$I$2+(FIDAA[[#This Row],[QUANTITE]]*FIDAA[[#This Row],[PRIX UNITAIRE]])</f>
        <v>110000</v>
      </c>
      <c r="F213" s="22"/>
      <c r="G213" s="6">
        <f>SUM(E$9:$E213)-SUM(F$9:$F213)</f>
        <v>12047350</v>
      </c>
    </row>
    <row r="214" spans="1:7" ht="28.8" x14ac:dyDescent="0.55000000000000004">
      <c r="A214" s="12"/>
      <c r="B214" s="13" t="s">
        <v>202</v>
      </c>
      <c r="C214" s="10">
        <v>4</v>
      </c>
      <c r="D214" s="10">
        <v>33000</v>
      </c>
      <c r="E214" s="7">
        <f>+$I$2+(FIDAA[[#This Row],[QUANTITE]]*FIDAA[[#This Row],[PRIX UNITAIRE]])</f>
        <v>132000</v>
      </c>
      <c r="F214" s="22"/>
      <c r="G214" s="6">
        <f>SUM(E$9:$E214)-SUM(F$9:$F214)</f>
        <v>12179350</v>
      </c>
    </row>
    <row r="215" spans="1:7" ht="28.8" x14ac:dyDescent="0.55000000000000004">
      <c r="A215" s="12">
        <v>45458</v>
      </c>
      <c r="B215" s="13" t="s">
        <v>68</v>
      </c>
      <c r="C215" s="10">
        <v>1</v>
      </c>
      <c r="D215" s="10">
        <v>0</v>
      </c>
      <c r="E215" s="7">
        <f>+$I$2+(FIDAA[[#This Row],[QUANTITE]]*FIDAA[[#This Row],[PRIX UNITAIRE]])</f>
        <v>0</v>
      </c>
      <c r="F215" s="22">
        <v>1250000</v>
      </c>
      <c r="G215" s="6">
        <f>SUM(E$9:$E215)-SUM(F$9:$F215)</f>
        <v>10929350</v>
      </c>
    </row>
    <row r="216" spans="1:7" ht="28.8" x14ac:dyDescent="0.55000000000000004">
      <c r="A216" s="12">
        <v>45461</v>
      </c>
      <c r="B216" s="13" t="s">
        <v>190</v>
      </c>
      <c r="C216" s="10">
        <v>4</v>
      </c>
      <c r="D216" s="10">
        <v>32500</v>
      </c>
      <c r="E216" s="7">
        <f>+$I$2+(FIDAA[[#This Row],[QUANTITE]]*FIDAA[[#This Row],[PRIX UNITAIRE]])</f>
        <v>130000</v>
      </c>
      <c r="F216" s="22"/>
      <c r="G216" s="6">
        <f>SUM(E$9:$E216)-SUM(F$9:$F216)</f>
        <v>11059350</v>
      </c>
    </row>
    <row r="217" spans="1:7" ht="28.8" x14ac:dyDescent="0.55000000000000004">
      <c r="A217" s="12">
        <v>45462</v>
      </c>
      <c r="B217" s="13" t="s">
        <v>203</v>
      </c>
      <c r="C217" s="10">
        <v>2</v>
      </c>
      <c r="D217" s="10">
        <v>32500</v>
      </c>
      <c r="E217" s="7">
        <f>+$I$2+(FIDAA[[#This Row],[QUANTITE]]*FIDAA[[#This Row],[PRIX UNITAIRE]])</f>
        <v>65000</v>
      </c>
      <c r="F217" s="22"/>
      <c r="G217" s="6">
        <f>SUM(E$9:$E217)-SUM(F$9:$F217)</f>
        <v>11124350</v>
      </c>
    </row>
    <row r="218" spans="1:7" ht="28.8" x14ac:dyDescent="0.55000000000000004">
      <c r="A218" s="12"/>
      <c r="B218" s="13" t="s">
        <v>204</v>
      </c>
      <c r="C218" s="10">
        <v>4</v>
      </c>
      <c r="D218" s="10">
        <v>42500</v>
      </c>
      <c r="E218" s="7">
        <f>+$I$2+(FIDAA[[#This Row],[QUANTITE]]*FIDAA[[#This Row],[PRIX UNITAIRE]])</f>
        <v>170000</v>
      </c>
      <c r="F218" s="22"/>
      <c r="G218" s="6">
        <f>SUM(E$9:$E218)-SUM(F$9:$F218)</f>
        <v>11294350</v>
      </c>
    </row>
    <row r="219" spans="1:7" ht="28.8" x14ac:dyDescent="0.55000000000000004">
      <c r="A219" s="12"/>
      <c r="B219" s="13" t="s">
        <v>205</v>
      </c>
      <c r="C219" s="10">
        <v>4</v>
      </c>
      <c r="D219" s="10">
        <v>26000</v>
      </c>
      <c r="E219" s="7">
        <f>+$I$2+(FIDAA[[#This Row],[QUANTITE]]*FIDAA[[#This Row],[PRIX UNITAIRE]])</f>
        <v>104000</v>
      </c>
      <c r="F219" s="22"/>
      <c r="G219" s="6">
        <f>SUM(E$9:$E219)-SUM(F$9:$F219)</f>
        <v>11398350</v>
      </c>
    </row>
    <row r="220" spans="1:7" ht="28.8" x14ac:dyDescent="0.55000000000000004">
      <c r="A220" s="12">
        <v>45465</v>
      </c>
      <c r="B220" s="13" t="s">
        <v>203</v>
      </c>
      <c r="C220" s="10">
        <v>4</v>
      </c>
      <c r="D220" s="10">
        <v>32500</v>
      </c>
      <c r="E220" s="7">
        <f>+$I$2+(FIDAA[[#This Row],[QUANTITE]]*FIDAA[[#This Row],[PRIX UNITAIRE]])</f>
        <v>130000</v>
      </c>
      <c r="F220" s="22"/>
      <c r="G220" s="6">
        <f>SUM(E$9:$E220)-SUM(F$9:$F220)</f>
        <v>11528350</v>
      </c>
    </row>
    <row r="221" spans="1:7" ht="28.8" x14ac:dyDescent="0.55000000000000004">
      <c r="A221" s="12"/>
      <c r="B221" s="13" t="s">
        <v>197</v>
      </c>
      <c r="C221" s="10">
        <v>4</v>
      </c>
      <c r="D221" s="10">
        <v>5000</v>
      </c>
      <c r="E221" s="7">
        <f>+$I$2+(FIDAA[[#This Row],[QUANTITE]]*FIDAA[[#This Row],[PRIX UNITAIRE]])</f>
        <v>20000</v>
      </c>
      <c r="F221" s="22"/>
      <c r="G221" s="6">
        <f>SUM(E$9:$E221)-SUM(F$9:$F221)</f>
        <v>11548350</v>
      </c>
    </row>
    <row r="222" spans="1:7" ht="28.8" x14ac:dyDescent="0.55000000000000004">
      <c r="A222" s="12">
        <v>45471</v>
      </c>
      <c r="B222" s="13" t="s">
        <v>206</v>
      </c>
      <c r="C222" s="10">
        <v>4</v>
      </c>
      <c r="D222" s="10">
        <v>42500</v>
      </c>
      <c r="E222" s="7">
        <f>+$I$2+(FIDAA[[#This Row],[QUANTITE]]*FIDAA[[#This Row],[PRIX UNITAIRE]])</f>
        <v>170000</v>
      </c>
      <c r="F222" s="22"/>
      <c r="G222" s="6">
        <f>SUM(E$9:$E222)-SUM(F$9:$F222)</f>
        <v>11718350</v>
      </c>
    </row>
    <row r="223" spans="1:7" ht="28.8" x14ac:dyDescent="0.55000000000000004">
      <c r="A223" s="12">
        <v>45471</v>
      </c>
      <c r="B223" s="13" t="s">
        <v>68</v>
      </c>
      <c r="C223" s="10">
        <v>1</v>
      </c>
      <c r="D223" s="10">
        <v>0</v>
      </c>
      <c r="E223" s="7">
        <f>+$I$2+(FIDAA[[#This Row],[QUANTITE]]*FIDAA[[#This Row],[PRIX UNITAIRE]])</f>
        <v>0</v>
      </c>
      <c r="F223" s="22">
        <v>1500000</v>
      </c>
      <c r="G223" s="6">
        <f>SUM(E$9:$E223)-SUM(F$9:$F223)</f>
        <v>10218350</v>
      </c>
    </row>
    <row r="224" spans="1:7" ht="28.8" x14ac:dyDescent="0.55000000000000004">
      <c r="A224" s="12">
        <v>45488</v>
      </c>
      <c r="B224" s="13" t="s">
        <v>207</v>
      </c>
      <c r="C224" s="10">
        <v>4</v>
      </c>
      <c r="D224" s="10">
        <v>33000</v>
      </c>
      <c r="E224" s="7">
        <f>+$I$2+(FIDAA[[#This Row],[QUANTITE]]*FIDAA[[#This Row],[PRIX UNITAIRE]])</f>
        <v>132000</v>
      </c>
      <c r="F224" s="22"/>
      <c r="G224" s="6">
        <f>SUM(E$9:$E224)-SUM(F$9:$F224)</f>
        <v>10350350</v>
      </c>
    </row>
    <row r="225" spans="1:7" ht="28.8" x14ac:dyDescent="0.55000000000000004">
      <c r="A225" s="12"/>
      <c r="B225" s="13" t="s">
        <v>208</v>
      </c>
      <c r="C225" s="10">
        <v>8</v>
      </c>
      <c r="D225" s="10">
        <v>33000</v>
      </c>
      <c r="E225" s="7">
        <f>+$I$2+(FIDAA[[#This Row],[QUANTITE]]*FIDAA[[#This Row],[PRIX UNITAIRE]])</f>
        <v>264000</v>
      </c>
      <c r="F225" s="22"/>
      <c r="G225" s="6">
        <f>SUM(E$9:$E225)-SUM(F$9:$F225)</f>
        <v>10614350</v>
      </c>
    </row>
    <row r="226" spans="1:7" ht="28.8" x14ac:dyDescent="0.55000000000000004">
      <c r="A226" s="12"/>
      <c r="B226" s="13" t="s">
        <v>188</v>
      </c>
      <c r="C226" s="10">
        <v>2</v>
      </c>
      <c r="D226" s="10">
        <v>65000</v>
      </c>
      <c r="E226" s="7">
        <f>+$I$2+(FIDAA[[#This Row],[QUANTITE]]*FIDAA[[#This Row],[PRIX UNITAIRE]])</f>
        <v>130000</v>
      </c>
      <c r="F226" s="22"/>
      <c r="G226" s="6">
        <f>SUM(E$9:$E226)-SUM(F$9:$F226)</f>
        <v>10744350</v>
      </c>
    </row>
    <row r="227" spans="1:7" ht="28.8" x14ac:dyDescent="0.55000000000000004">
      <c r="A227" s="12"/>
      <c r="B227" s="13" t="s">
        <v>209</v>
      </c>
      <c r="C227" s="10">
        <v>4</v>
      </c>
      <c r="D227" s="10">
        <v>47000</v>
      </c>
      <c r="E227" s="7">
        <f>+$I$2+(FIDAA[[#This Row],[QUANTITE]]*FIDAA[[#This Row],[PRIX UNITAIRE]])</f>
        <v>188000</v>
      </c>
      <c r="F227" s="22"/>
      <c r="G227" s="6">
        <f>SUM(E$9:$E227)-SUM(F$9:$F227)</f>
        <v>10932350</v>
      </c>
    </row>
    <row r="228" spans="1:7" ht="28.8" x14ac:dyDescent="0.55000000000000004">
      <c r="A228" s="12"/>
      <c r="B228" s="13" t="s">
        <v>210</v>
      </c>
      <c r="C228" s="10">
        <v>2</v>
      </c>
      <c r="D228" s="10">
        <v>45000</v>
      </c>
      <c r="E228" s="7">
        <f>+$I$2+(FIDAA[[#This Row],[QUANTITE]]*FIDAA[[#This Row],[PRIX UNITAIRE]])</f>
        <v>90000</v>
      </c>
      <c r="F228" s="22"/>
      <c r="G228" s="6">
        <f>SUM(E$9:$E228)-SUM(F$9:$F228)</f>
        <v>11022350</v>
      </c>
    </row>
    <row r="229" spans="1:7" ht="28.8" x14ac:dyDescent="0.55000000000000004">
      <c r="A229" s="12"/>
      <c r="B229" s="13" t="s">
        <v>211</v>
      </c>
      <c r="C229" s="10">
        <v>2</v>
      </c>
      <c r="D229" s="10">
        <v>55000</v>
      </c>
      <c r="E229" s="7">
        <f>+$I$2+(FIDAA[[#This Row],[QUANTITE]]*FIDAA[[#This Row],[PRIX UNITAIRE]])</f>
        <v>110000</v>
      </c>
      <c r="F229" s="22"/>
      <c r="G229" s="6">
        <f>SUM(E$9:$E229)-SUM(F$9:$F229)</f>
        <v>11132350</v>
      </c>
    </row>
    <row r="230" spans="1:7" ht="28.8" x14ac:dyDescent="0.55000000000000004">
      <c r="A230" s="12"/>
      <c r="B230" s="13" t="s">
        <v>212</v>
      </c>
      <c r="C230" s="10">
        <v>4</v>
      </c>
      <c r="D230" s="10">
        <v>12500</v>
      </c>
      <c r="E230" s="7">
        <f>+$I$2+(FIDAA[[#This Row],[QUANTITE]]*FIDAA[[#This Row],[PRIX UNITAIRE]])</f>
        <v>50000</v>
      </c>
      <c r="F230" s="22"/>
      <c r="G230" s="6">
        <f>SUM(E$9:$E230)-SUM(F$9:$F230)</f>
        <v>11182350</v>
      </c>
    </row>
    <row r="231" spans="1:7" ht="28.8" x14ac:dyDescent="0.55000000000000004">
      <c r="A231" s="12"/>
      <c r="B231" s="13" t="s">
        <v>213</v>
      </c>
      <c r="C231" s="10">
        <v>2</v>
      </c>
      <c r="D231" s="10">
        <v>130000</v>
      </c>
      <c r="E231" s="7">
        <f>+$I$2+(FIDAA[[#This Row],[QUANTITE]]*FIDAA[[#This Row],[PRIX UNITAIRE]])</f>
        <v>260000</v>
      </c>
      <c r="F231" s="22"/>
      <c r="G231" s="6">
        <f>SUM(E$9:$E231)-SUM(F$9:$F231)</f>
        <v>11442350</v>
      </c>
    </row>
    <row r="232" spans="1:7" ht="28.8" x14ac:dyDescent="0.55000000000000004">
      <c r="A232" s="12"/>
      <c r="B232" s="13" t="s">
        <v>204</v>
      </c>
      <c r="C232" s="10">
        <v>4</v>
      </c>
      <c r="D232" s="10">
        <v>37500</v>
      </c>
      <c r="E232" s="7">
        <f>+$I$2+(FIDAA[[#This Row],[QUANTITE]]*FIDAA[[#This Row],[PRIX UNITAIRE]])</f>
        <v>150000</v>
      </c>
      <c r="F232" s="22"/>
      <c r="G232" s="6">
        <f>SUM(E$9:$E232)-SUM(F$9:$F232)</f>
        <v>11592350</v>
      </c>
    </row>
    <row r="233" spans="1:7" ht="28.8" x14ac:dyDescent="0.55000000000000004">
      <c r="A233" s="12"/>
      <c r="B233" s="13" t="s">
        <v>214</v>
      </c>
      <c r="C233" s="10">
        <v>4</v>
      </c>
      <c r="D233" s="10">
        <v>17000</v>
      </c>
      <c r="E233" s="7">
        <f>+$I$2+(FIDAA[[#This Row],[QUANTITE]]*FIDAA[[#This Row],[PRIX UNITAIRE]])</f>
        <v>68000</v>
      </c>
      <c r="F233" s="22"/>
      <c r="G233" s="6">
        <f>SUM(E$9:$E233)-SUM(F$9:$F233)</f>
        <v>11660350</v>
      </c>
    </row>
    <row r="234" spans="1:7" ht="28.8" x14ac:dyDescent="0.55000000000000004">
      <c r="A234" s="12"/>
      <c r="B234" s="13" t="s">
        <v>215</v>
      </c>
      <c r="C234" s="10">
        <v>2</v>
      </c>
      <c r="D234" s="10">
        <v>40000</v>
      </c>
      <c r="E234" s="7">
        <f>+$I$2+(FIDAA[[#This Row],[QUANTITE]]*FIDAA[[#This Row],[PRIX UNITAIRE]])</f>
        <v>80000</v>
      </c>
      <c r="F234" s="22"/>
      <c r="G234" s="6">
        <f>SUM(E$9:$E234)-SUM(F$9:$F234)</f>
        <v>11740350</v>
      </c>
    </row>
    <row r="235" spans="1:7" ht="28.8" x14ac:dyDescent="0.55000000000000004">
      <c r="A235" s="12">
        <v>45490</v>
      </c>
      <c r="B235" s="13" t="s">
        <v>68</v>
      </c>
      <c r="C235" s="10">
        <v>1</v>
      </c>
      <c r="D235" s="10">
        <v>0</v>
      </c>
      <c r="E235" s="7">
        <f>+$I$2+(FIDAA[[#This Row],[QUANTITE]]*FIDAA[[#This Row],[PRIX UNITAIRE]])</f>
        <v>0</v>
      </c>
      <c r="F235" s="22">
        <v>1000000</v>
      </c>
      <c r="G235" s="6">
        <f>SUM(E$9:$E235)-SUM(F$9:$F235)</f>
        <v>10740350</v>
      </c>
    </row>
    <row r="236" spans="1:7" ht="28.8" x14ac:dyDescent="0.55000000000000004">
      <c r="A236" s="12">
        <v>45499</v>
      </c>
      <c r="B236" s="13" t="s">
        <v>78</v>
      </c>
      <c r="C236" s="10">
        <v>4</v>
      </c>
      <c r="D236" s="10">
        <v>105000</v>
      </c>
      <c r="E236" s="7">
        <f>+$I$2+(FIDAA[[#This Row],[QUANTITE]]*FIDAA[[#This Row],[PRIX UNITAIRE]])</f>
        <v>420000</v>
      </c>
      <c r="F236" s="22"/>
      <c r="G236" s="6">
        <f>SUM(E$9:$E236)-SUM(F$9:$F236)</f>
        <v>11160350</v>
      </c>
    </row>
    <row r="237" spans="1:7" ht="28.8" x14ac:dyDescent="0.55000000000000004">
      <c r="A237" s="12"/>
      <c r="B237" s="13" t="s">
        <v>213</v>
      </c>
      <c r="C237" s="10">
        <v>6</v>
      </c>
      <c r="D237" s="10">
        <v>130000</v>
      </c>
      <c r="E237" s="7">
        <f>+$I$2+(FIDAA[[#This Row],[QUANTITE]]*FIDAA[[#This Row],[PRIX UNITAIRE]])</f>
        <v>780000</v>
      </c>
      <c r="F237" s="22"/>
      <c r="G237" s="6">
        <f>SUM(E$9:$E237)-SUM(F$9:$F237)</f>
        <v>11940350</v>
      </c>
    </row>
    <row r="238" spans="1:7" ht="28.8" x14ac:dyDescent="0.55000000000000004">
      <c r="A238" s="12"/>
      <c r="B238" s="13" t="s">
        <v>216</v>
      </c>
      <c r="C238" s="10">
        <v>8</v>
      </c>
      <c r="D238" s="10">
        <v>30000</v>
      </c>
      <c r="E238" s="7">
        <f>+$I$2+(FIDAA[[#This Row],[QUANTITE]]*FIDAA[[#This Row],[PRIX UNITAIRE]])</f>
        <v>240000</v>
      </c>
      <c r="F238" s="22"/>
      <c r="G238" s="6">
        <f>SUM(E$9:$E238)-SUM(F$9:$F238)</f>
        <v>12180350</v>
      </c>
    </row>
    <row r="239" spans="1:7" ht="28.8" x14ac:dyDescent="0.55000000000000004">
      <c r="A239" s="12"/>
      <c r="B239" s="13" t="s">
        <v>100</v>
      </c>
      <c r="C239" s="10">
        <v>4</v>
      </c>
      <c r="D239" s="10">
        <v>67500</v>
      </c>
      <c r="E239" s="7">
        <f>+$I$2+(FIDAA[[#This Row],[QUANTITE]]*FIDAA[[#This Row],[PRIX UNITAIRE]])</f>
        <v>270000</v>
      </c>
      <c r="F239" s="22"/>
      <c r="G239" s="6">
        <f>SUM(E$9:$E239)-SUM(F$9:$F239)</f>
        <v>12450350</v>
      </c>
    </row>
    <row r="240" spans="1:7" ht="28.8" x14ac:dyDescent="0.55000000000000004">
      <c r="A240" s="12"/>
      <c r="B240" s="13" t="s">
        <v>217</v>
      </c>
      <c r="C240" s="10">
        <v>4</v>
      </c>
      <c r="D240" s="10">
        <v>62500</v>
      </c>
      <c r="E240" s="7">
        <f>+$I$2+(FIDAA[[#This Row],[QUANTITE]]*FIDAA[[#This Row],[PRIX UNITAIRE]])</f>
        <v>250000</v>
      </c>
      <c r="F240" s="22"/>
      <c r="G240" s="6">
        <f>SUM(E$9:$E240)-SUM(F$9:$F240)</f>
        <v>12700350</v>
      </c>
    </row>
    <row r="241" spans="1:7" ht="28.8" x14ac:dyDescent="0.55000000000000004">
      <c r="A241" s="12"/>
      <c r="B241" s="13" t="s">
        <v>218</v>
      </c>
      <c r="C241" s="10">
        <v>10</v>
      </c>
      <c r="D241" s="10">
        <v>8000</v>
      </c>
      <c r="E241" s="7">
        <f>+$I$2+(FIDAA[[#This Row],[QUANTITE]]*FIDAA[[#This Row],[PRIX UNITAIRE]])</f>
        <v>80000</v>
      </c>
      <c r="F241" s="22"/>
      <c r="G241" s="6">
        <f>SUM(E$9:$E241)-SUM(F$9:$F241)</f>
        <v>12780350</v>
      </c>
    </row>
    <row r="242" spans="1:7" ht="28.8" x14ac:dyDescent="0.55000000000000004">
      <c r="A242" s="12"/>
      <c r="B242" s="13" t="s">
        <v>81</v>
      </c>
      <c r="C242" s="10">
        <v>2</v>
      </c>
      <c r="D242" s="10">
        <v>35000</v>
      </c>
      <c r="E242" s="7">
        <f>+$I$2+(FIDAA[[#This Row],[QUANTITE]]*FIDAA[[#This Row],[PRIX UNITAIRE]])</f>
        <v>70000</v>
      </c>
      <c r="F242" s="22"/>
      <c r="G242" s="6">
        <f>SUM(E$9:$E242)-SUM(F$9:$F242)</f>
        <v>12850350</v>
      </c>
    </row>
    <row r="243" spans="1:7" ht="28.8" x14ac:dyDescent="0.55000000000000004">
      <c r="A243" s="12"/>
      <c r="B243" s="13" t="s">
        <v>189</v>
      </c>
      <c r="C243" s="10">
        <v>3</v>
      </c>
      <c r="D243" s="10">
        <v>30000</v>
      </c>
      <c r="E243" s="7">
        <f>+$I$2+(FIDAA[[#This Row],[QUANTITE]]*FIDAA[[#This Row],[PRIX UNITAIRE]])</f>
        <v>90000</v>
      </c>
      <c r="F243" s="22"/>
      <c r="G243" s="6">
        <f>SUM(E$9:$E243)-SUM(F$9:$F243)</f>
        <v>12940350</v>
      </c>
    </row>
    <row r="244" spans="1:7" ht="28.8" x14ac:dyDescent="0.55000000000000004">
      <c r="A244" s="12"/>
      <c r="B244" s="13" t="s">
        <v>219</v>
      </c>
      <c r="C244" s="10">
        <v>4</v>
      </c>
      <c r="D244" s="10">
        <v>42000</v>
      </c>
      <c r="E244" s="7">
        <f>+$I$2+(FIDAA[[#This Row],[QUANTITE]]*FIDAA[[#This Row],[PRIX UNITAIRE]])</f>
        <v>168000</v>
      </c>
      <c r="F244" s="22"/>
      <c r="G244" s="6">
        <f>SUM(E$9:$E244)-SUM(F$9:$F244)</f>
        <v>13108350</v>
      </c>
    </row>
    <row r="245" spans="1:7" ht="28.8" x14ac:dyDescent="0.55000000000000004">
      <c r="A245" s="12">
        <v>45511</v>
      </c>
      <c r="B245" s="13" t="s">
        <v>68</v>
      </c>
      <c r="C245" s="10">
        <v>1</v>
      </c>
      <c r="D245" s="10">
        <v>0</v>
      </c>
      <c r="E245" s="7">
        <f>+$I$2+(FIDAA[[#This Row],[QUANTITE]]*FIDAA[[#This Row],[PRIX UNITAIRE]])</f>
        <v>0</v>
      </c>
      <c r="F245" s="22">
        <v>2000000</v>
      </c>
      <c r="G245" s="6">
        <f>SUM(E$9:$E245)-SUM(F$9:$F245)</f>
        <v>11108350</v>
      </c>
    </row>
    <row r="246" spans="1:7" ht="28.8" x14ac:dyDescent="0.55000000000000004">
      <c r="A246" s="12">
        <v>45518</v>
      </c>
      <c r="B246" s="13" t="s">
        <v>78</v>
      </c>
      <c r="C246" s="10">
        <v>6</v>
      </c>
      <c r="D246" s="10">
        <v>105000</v>
      </c>
      <c r="E246" s="7">
        <f>+$I$2+(FIDAA[[#This Row],[QUANTITE]]*FIDAA[[#This Row],[PRIX UNITAIRE]])</f>
        <v>630000</v>
      </c>
      <c r="F246" s="22"/>
      <c r="G246" s="6">
        <f>SUM(E$9:$E246)-SUM(F$9:$F246)</f>
        <v>11738350</v>
      </c>
    </row>
    <row r="247" spans="1:7" ht="28.8" x14ac:dyDescent="0.55000000000000004">
      <c r="A247" s="12"/>
      <c r="B247" s="13" t="s">
        <v>213</v>
      </c>
      <c r="C247" s="10">
        <v>6</v>
      </c>
      <c r="D247" s="10">
        <v>130000</v>
      </c>
      <c r="E247" s="7">
        <f>+$I$2+(FIDAA[[#This Row],[QUANTITE]]*FIDAA[[#This Row],[PRIX UNITAIRE]])</f>
        <v>780000</v>
      </c>
      <c r="F247" s="22"/>
      <c r="G247" s="6">
        <f>SUM(E$9:$E247)-SUM(F$9:$F247)</f>
        <v>12518350</v>
      </c>
    </row>
    <row r="248" spans="1:7" ht="28.8" x14ac:dyDescent="0.55000000000000004">
      <c r="A248" s="12"/>
      <c r="B248" s="13" t="s">
        <v>204</v>
      </c>
      <c r="C248" s="10">
        <v>4</v>
      </c>
      <c r="D248" s="10">
        <v>37500</v>
      </c>
      <c r="E248" s="7">
        <f>+$I$2+(FIDAA[[#This Row],[QUANTITE]]*FIDAA[[#This Row],[PRIX UNITAIRE]])</f>
        <v>150000</v>
      </c>
      <c r="F248" s="22"/>
      <c r="G248" s="6">
        <f>SUM(E$9:$E248)-SUM(F$9:$F248)</f>
        <v>12668350</v>
      </c>
    </row>
    <row r="249" spans="1:7" ht="28.8" x14ac:dyDescent="0.55000000000000004">
      <c r="A249" s="12"/>
      <c r="B249" s="13" t="s">
        <v>220</v>
      </c>
      <c r="C249" s="10">
        <v>10</v>
      </c>
      <c r="D249" s="10">
        <v>27000</v>
      </c>
      <c r="E249" s="7">
        <f>+$I$2+(FIDAA[[#This Row],[QUANTITE]]*FIDAA[[#This Row],[PRIX UNITAIRE]])</f>
        <v>270000</v>
      </c>
      <c r="F249" s="22"/>
      <c r="G249" s="6">
        <f>SUM(E$9:$E249)-SUM(F$9:$F249)</f>
        <v>12938350</v>
      </c>
    </row>
    <row r="250" spans="1:7" ht="28.8" x14ac:dyDescent="0.55000000000000004">
      <c r="A250" s="12"/>
      <c r="B250" s="13" t="s">
        <v>210</v>
      </c>
      <c r="C250" s="10">
        <v>4</v>
      </c>
      <c r="D250" s="10">
        <v>45000</v>
      </c>
      <c r="E250" s="7">
        <f>+$I$2+(FIDAA[[#This Row],[QUANTITE]]*FIDAA[[#This Row],[PRIX UNITAIRE]])</f>
        <v>180000</v>
      </c>
      <c r="F250" s="22"/>
      <c r="G250" s="6">
        <f>SUM(E$9:$E250)-SUM(F$9:$F250)</f>
        <v>13118350</v>
      </c>
    </row>
    <row r="251" spans="1:7" ht="28.8" x14ac:dyDescent="0.55000000000000004">
      <c r="A251" s="12"/>
      <c r="B251" s="13" t="s">
        <v>221</v>
      </c>
      <c r="C251" s="10">
        <v>4</v>
      </c>
      <c r="D251" s="10">
        <v>40000</v>
      </c>
      <c r="E251" s="7">
        <f>+$I$2+(FIDAA[[#This Row],[QUANTITE]]*FIDAA[[#This Row],[PRIX UNITAIRE]])</f>
        <v>160000</v>
      </c>
      <c r="F251" s="22"/>
      <c r="G251" s="6">
        <f>SUM(E$9:$E251)-SUM(F$9:$F251)</f>
        <v>13278350</v>
      </c>
    </row>
    <row r="252" spans="1:7" ht="28.8" x14ac:dyDescent="0.55000000000000004">
      <c r="A252" s="12">
        <v>45528</v>
      </c>
      <c r="B252" s="13" t="s">
        <v>222</v>
      </c>
      <c r="C252" s="10">
        <v>2</v>
      </c>
      <c r="D252" s="10">
        <v>45000</v>
      </c>
      <c r="E252" s="7">
        <f>+$I$2+(FIDAA[[#This Row],[QUANTITE]]*FIDAA[[#This Row],[PRIX UNITAIRE]])</f>
        <v>90000</v>
      </c>
      <c r="F252" s="22"/>
      <c r="G252" s="6">
        <f>SUM(E$9:$E252)-SUM(F$9:$F252)</f>
        <v>13368350</v>
      </c>
    </row>
    <row r="253" spans="1:7" ht="28.8" x14ac:dyDescent="0.55000000000000004">
      <c r="A253" s="12">
        <v>45530</v>
      </c>
      <c r="B253" s="13" t="s">
        <v>223</v>
      </c>
      <c r="C253" s="10">
        <v>10</v>
      </c>
      <c r="D253" s="10">
        <v>35000</v>
      </c>
      <c r="E253" s="7">
        <f>+$I$2+(FIDAA[[#This Row],[QUANTITE]]*FIDAA[[#This Row],[PRIX UNITAIRE]])</f>
        <v>350000</v>
      </c>
      <c r="F253" s="22"/>
      <c r="G253" s="6">
        <f>SUM(E$9:$E253)-SUM(F$9:$F253)</f>
        <v>13718350</v>
      </c>
    </row>
    <row r="254" spans="1:7" ht="28.8" x14ac:dyDescent="0.55000000000000004">
      <c r="A254" s="12"/>
      <c r="B254" s="13" t="s">
        <v>224</v>
      </c>
      <c r="C254" s="10">
        <v>4</v>
      </c>
      <c r="D254" s="10">
        <v>35000</v>
      </c>
      <c r="E254" s="7">
        <f>+$I$2+(FIDAA[[#This Row],[QUANTITE]]*FIDAA[[#This Row],[PRIX UNITAIRE]])</f>
        <v>140000</v>
      </c>
      <c r="F254" s="22"/>
      <c r="G254" s="6">
        <f>SUM(E$9:$E254)-SUM(F$9:$F254)</f>
        <v>13858350</v>
      </c>
    </row>
    <row r="255" spans="1:7" ht="28.8" x14ac:dyDescent="0.55000000000000004">
      <c r="A255" s="12"/>
      <c r="B255" s="13" t="s">
        <v>222</v>
      </c>
      <c r="C255" s="10">
        <v>2</v>
      </c>
      <c r="D255" s="10">
        <v>45000</v>
      </c>
      <c r="E255" s="7">
        <f>+$I$2+(FIDAA[[#This Row],[QUANTITE]]*FIDAA[[#This Row],[PRIX UNITAIRE]])</f>
        <v>90000</v>
      </c>
      <c r="F255" s="22"/>
      <c r="G255" s="6">
        <f>SUM(E$9:$E255)-SUM(F$9:$F255)</f>
        <v>13948350</v>
      </c>
    </row>
    <row r="256" spans="1:7" ht="28.8" x14ac:dyDescent="0.55000000000000004">
      <c r="A256" s="12"/>
      <c r="B256" s="13" t="s">
        <v>225</v>
      </c>
      <c r="C256" s="10">
        <v>4</v>
      </c>
      <c r="D256" s="10">
        <v>16000</v>
      </c>
      <c r="E256" s="7">
        <f>+$I$2+(FIDAA[[#This Row],[QUANTITE]]*FIDAA[[#This Row],[PRIX UNITAIRE]])</f>
        <v>64000</v>
      </c>
      <c r="F256" s="22"/>
      <c r="G256" s="6">
        <f>SUM(E$9:$E256)-SUM(F$9:$F256)</f>
        <v>14012350</v>
      </c>
    </row>
    <row r="257" spans="1:7" ht="28.8" x14ac:dyDescent="0.55000000000000004">
      <c r="A257" s="12"/>
      <c r="B257" s="13" t="s">
        <v>226</v>
      </c>
      <c r="C257" s="10">
        <v>8</v>
      </c>
      <c r="D257" s="10">
        <v>17000</v>
      </c>
      <c r="E257" s="7">
        <f>+$I$2+(FIDAA[[#This Row],[QUANTITE]]*FIDAA[[#This Row],[PRIX UNITAIRE]])</f>
        <v>136000</v>
      </c>
      <c r="F257" s="22"/>
      <c r="G257" s="6">
        <f>SUM(E$9:$E257)-SUM(F$9:$F257)</f>
        <v>14148350</v>
      </c>
    </row>
    <row r="258" spans="1:7" ht="28.8" x14ac:dyDescent="0.55000000000000004">
      <c r="A258" s="12">
        <v>45532</v>
      </c>
      <c r="B258" s="13" t="s">
        <v>68</v>
      </c>
      <c r="C258" s="10">
        <v>1</v>
      </c>
      <c r="D258" s="10">
        <v>0</v>
      </c>
      <c r="E258" s="7">
        <f>+$I$2+(FIDAA[[#This Row],[QUANTITE]]*FIDAA[[#This Row],[PRIX UNITAIRE]])</f>
        <v>0</v>
      </c>
      <c r="F258" s="22">
        <v>2000000</v>
      </c>
      <c r="G258" s="6">
        <f>SUM(E$9:$E258)-SUM(F$9:$F258)</f>
        <v>12148350</v>
      </c>
    </row>
    <row r="259" spans="1:7" ht="28.8" x14ac:dyDescent="0.55000000000000004">
      <c r="A259" s="12">
        <v>45539</v>
      </c>
      <c r="B259" s="13" t="s">
        <v>213</v>
      </c>
      <c r="C259" s="10">
        <v>8</v>
      </c>
      <c r="D259" s="10">
        <v>130000</v>
      </c>
      <c r="E259" s="7">
        <f>+$I$2+(FIDAA[[#This Row],[QUANTITE]]*FIDAA[[#This Row],[PRIX UNITAIRE]])</f>
        <v>1040000</v>
      </c>
      <c r="F259" s="22"/>
      <c r="G259" s="6">
        <f>SUM(E$9:$E259)-SUM(F$9:$F259)</f>
        <v>13188350</v>
      </c>
    </row>
    <row r="260" spans="1:7" ht="28.8" x14ac:dyDescent="0.55000000000000004">
      <c r="A260" s="12"/>
      <c r="B260" s="13" t="s">
        <v>227</v>
      </c>
      <c r="C260" s="10">
        <v>6</v>
      </c>
      <c r="D260" s="10">
        <v>32500</v>
      </c>
      <c r="E260" s="7">
        <f>+$I$2+(FIDAA[[#This Row],[QUANTITE]]*FIDAA[[#This Row],[PRIX UNITAIRE]])</f>
        <v>195000</v>
      </c>
      <c r="F260" s="22"/>
      <c r="G260" s="6">
        <f>SUM(E$9:$E260)-SUM(F$9:$F260)</f>
        <v>13383350</v>
      </c>
    </row>
    <row r="261" spans="1:7" ht="28.8" x14ac:dyDescent="0.55000000000000004">
      <c r="A261" s="12"/>
      <c r="B261" s="13" t="s">
        <v>228</v>
      </c>
      <c r="C261" s="10">
        <v>4</v>
      </c>
      <c r="D261" s="10">
        <v>16000</v>
      </c>
      <c r="E261" s="7">
        <f>+$I$2+(FIDAA[[#This Row],[QUANTITE]]*FIDAA[[#This Row],[PRIX UNITAIRE]])</f>
        <v>64000</v>
      </c>
      <c r="F261" s="22"/>
      <c r="G261" s="6">
        <f>SUM(E$9:$E261)-SUM(F$9:$F261)</f>
        <v>13447350</v>
      </c>
    </row>
    <row r="262" spans="1:7" ht="28.8" x14ac:dyDescent="0.55000000000000004">
      <c r="A262" s="12"/>
      <c r="B262" s="13" t="s">
        <v>229</v>
      </c>
      <c r="C262" s="10">
        <v>4</v>
      </c>
      <c r="D262" s="10">
        <v>55000</v>
      </c>
      <c r="E262" s="7">
        <f>+$I$2+(FIDAA[[#This Row],[QUANTITE]]*FIDAA[[#This Row],[PRIX UNITAIRE]])</f>
        <v>220000</v>
      </c>
      <c r="F262" s="22"/>
      <c r="G262" s="6">
        <f>SUM(E$9:$E262)-SUM(F$9:$F262)</f>
        <v>13667350</v>
      </c>
    </row>
    <row r="263" spans="1:7" ht="28.8" x14ac:dyDescent="0.55000000000000004">
      <c r="A263" s="12"/>
      <c r="B263" s="13" t="s">
        <v>230</v>
      </c>
      <c r="C263" s="10">
        <v>4</v>
      </c>
      <c r="D263" s="10">
        <v>45000</v>
      </c>
      <c r="E263" s="7">
        <f>+$I$2+(FIDAA[[#This Row],[QUANTITE]]*FIDAA[[#This Row],[PRIX UNITAIRE]])</f>
        <v>180000</v>
      </c>
      <c r="F263" s="22"/>
      <c r="G263" s="6">
        <f>SUM(E$9:$E263)-SUM(F$9:$F263)</f>
        <v>13847350</v>
      </c>
    </row>
    <row r="264" spans="1:7" ht="28.8" x14ac:dyDescent="0.55000000000000004">
      <c r="A264" s="12"/>
      <c r="B264" s="13" t="s">
        <v>231</v>
      </c>
      <c r="C264" s="10">
        <v>3</v>
      </c>
      <c r="D264" s="10">
        <v>27000</v>
      </c>
      <c r="E264" s="7">
        <f>+$I$2+(FIDAA[[#This Row],[QUANTITE]]*FIDAA[[#This Row],[PRIX UNITAIRE]])</f>
        <v>81000</v>
      </c>
      <c r="F264" s="22"/>
      <c r="G264" s="6">
        <f>SUM(E$9:$E264)-SUM(F$9:$F264)</f>
        <v>13928350</v>
      </c>
    </row>
    <row r="265" spans="1:7" ht="28.8" x14ac:dyDescent="0.55000000000000004">
      <c r="A265" s="12"/>
      <c r="B265" s="13" t="s">
        <v>232</v>
      </c>
      <c r="C265" s="10">
        <v>4</v>
      </c>
      <c r="D265" s="10">
        <v>25000</v>
      </c>
      <c r="E265" s="7">
        <f>+$I$2+(FIDAA[[#This Row],[QUANTITE]]*FIDAA[[#This Row],[PRIX UNITAIRE]])</f>
        <v>100000</v>
      </c>
      <c r="F265" s="22"/>
      <c r="G265" s="6">
        <f>SUM(E$9:$E265)-SUM(F$9:$F265)</f>
        <v>14028350</v>
      </c>
    </row>
    <row r="266" spans="1:7" ht="28.8" x14ac:dyDescent="0.55000000000000004">
      <c r="A266" s="12"/>
      <c r="B266" s="13" t="s">
        <v>233</v>
      </c>
      <c r="C266" s="10">
        <v>1</v>
      </c>
      <c r="D266" s="10">
        <v>25000</v>
      </c>
      <c r="E266" s="7">
        <f>+$I$2+(FIDAA[[#This Row],[QUANTITE]]*FIDAA[[#This Row],[PRIX UNITAIRE]])</f>
        <v>25000</v>
      </c>
      <c r="F266" s="22"/>
      <c r="G266" s="6">
        <f>SUM(E$9:$E266)-SUM(F$9:$F266)</f>
        <v>14053350</v>
      </c>
    </row>
    <row r="267" spans="1:7" ht="28.8" x14ac:dyDescent="0.55000000000000004">
      <c r="A267" s="12">
        <v>45541</v>
      </c>
      <c r="B267" s="13" t="s">
        <v>68</v>
      </c>
      <c r="C267" s="10">
        <v>1</v>
      </c>
      <c r="D267" s="10">
        <v>0</v>
      </c>
      <c r="E267" s="7">
        <f>+$I$2+(FIDAA[[#This Row],[QUANTITE]]*FIDAA[[#This Row],[PRIX UNITAIRE]])</f>
        <v>0</v>
      </c>
      <c r="F267" s="22">
        <v>1500000</v>
      </c>
      <c r="G267" s="6">
        <f>SUM(E$9:$E267)-SUM(F$9:$F267)</f>
        <v>12553350</v>
      </c>
    </row>
    <row r="268" spans="1:7" ht="28.8" x14ac:dyDescent="0.55000000000000004">
      <c r="A268" s="12">
        <v>45565</v>
      </c>
      <c r="B268" s="13" t="s">
        <v>234</v>
      </c>
      <c r="C268" s="10">
        <v>4</v>
      </c>
      <c r="D268" s="10">
        <v>20000</v>
      </c>
      <c r="E268" s="7">
        <f>+$I$2+(FIDAA[[#This Row],[QUANTITE]]*FIDAA[[#This Row],[PRIX UNITAIRE]])</f>
        <v>80000</v>
      </c>
      <c r="F268" s="22"/>
      <c r="G268" s="6">
        <f>SUM(E$9:$E268)-SUM(F$9:$F268)</f>
        <v>12633350</v>
      </c>
    </row>
    <row r="269" spans="1:7" ht="28.8" x14ac:dyDescent="0.55000000000000004">
      <c r="A269" s="12"/>
      <c r="B269" s="13" t="s">
        <v>210</v>
      </c>
      <c r="C269" s="10">
        <v>2</v>
      </c>
      <c r="D269" s="10">
        <v>45000</v>
      </c>
      <c r="E269" s="7">
        <f>+$I$2+(FIDAA[[#This Row],[QUANTITE]]*FIDAA[[#This Row],[PRIX UNITAIRE]])</f>
        <v>90000</v>
      </c>
      <c r="F269" s="22"/>
      <c r="G269" s="6">
        <f>SUM(E$9:$E269)-SUM(F$9:$F269)</f>
        <v>12723350</v>
      </c>
    </row>
    <row r="270" spans="1:7" ht="28.8" x14ac:dyDescent="0.55000000000000004">
      <c r="A270" s="12"/>
      <c r="B270" s="13" t="s">
        <v>221</v>
      </c>
      <c r="C270" s="10">
        <v>2</v>
      </c>
      <c r="D270" s="10">
        <v>40000</v>
      </c>
      <c r="E270" s="7">
        <f>+$I$2+(FIDAA[[#This Row],[QUANTITE]]*FIDAA[[#This Row],[PRIX UNITAIRE]])</f>
        <v>80000</v>
      </c>
      <c r="F270" s="22"/>
      <c r="G270" s="6">
        <f>SUM(E$9:$E270)-SUM(F$9:$F270)</f>
        <v>12803350</v>
      </c>
    </row>
    <row r="271" spans="1:7" ht="28.8" x14ac:dyDescent="0.55000000000000004">
      <c r="A271" s="12"/>
      <c r="B271" s="13" t="s">
        <v>235</v>
      </c>
      <c r="C271" s="10">
        <v>3</v>
      </c>
      <c r="D271" s="10">
        <v>25000</v>
      </c>
      <c r="E271" s="7">
        <f>+$I$2+(FIDAA[[#This Row],[QUANTITE]]*FIDAA[[#This Row],[PRIX UNITAIRE]])</f>
        <v>75000</v>
      </c>
      <c r="F271" s="22"/>
      <c r="G271" s="6">
        <f>SUM(E$9:$E271)-SUM(F$9:$F271)</f>
        <v>12878350</v>
      </c>
    </row>
    <row r="272" spans="1:7" ht="28.8" x14ac:dyDescent="0.55000000000000004">
      <c r="A272" s="12"/>
      <c r="B272" s="13" t="s">
        <v>201</v>
      </c>
      <c r="C272" s="10">
        <v>8</v>
      </c>
      <c r="D272" s="10">
        <v>27000</v>
      </c>
      <c r="E272" s="7">
        <f>+$I$2+(FIDAA[[#This Row],[QUANTITE]]*FIDAA[[#This Row],[PRIX UNITAIRE]])</f>
        <v>216000</v>
      </c>
      <c r="F272" s="22"/>
      <c r="G272" s="6">
        <f>SUM(E$9:$E272)-SUM(F$9:$F272)</f>
        <v>13094350</v>
      </c>
    </row>
    <row r="273" spans="1:7" ht="28.8" x14ac:dyDescent="0.55000000000000004">
      <c r="A273" s="12"/>
      <c r="B273" s="13" t="s">
        <v>98</v>
      </c>
      <c r="C273" s="10">
        <v>4</v>
      </c>
      <c r="D273" s="10">
        <v>35000</v>
      </c>
      <c r="E273" s="7">
        <f>+$I$2+(FIDAA[[#This Row],[QUANTITE]]*FIDAA[[#This Row],[PRIX UNITAIRE]])</f>
        <v>140000</v>
      </c>
      <c r="F273" s="22"/>
      <c r="G273" s="6">
        <f>SUM(E$9:$E273)-SUM(F$9:$F273)</f>
        <v>13234350</v>
      </c>
    </row>
    <row r="274" spans="1:7" ht="28.8" x14ac:dyDescent="0.55000000000000004">
      <c r="A274" s="12"/>
      <c r="B274" s="13" t="s">
        <v>236</v>
      </c>
      <c r="C274" s="10">
        <v>5</v>
      </c>
      <c r="D274" s="10">
        <v>14000</v>
      </c>
      <c r="E274" s="7">
        <f>+$I$2+(FIDAA[[#This Row],[QUANTITE]]*FIDAA[[#This Row],[PRIX UNITAIRE]])</f>
        <v>70000</v>
      </c>
      <c r="F274" s="22"/>
      <c r="G274" s="6">
        <f>SUM(E$9:$E274)-SUM(F$9:$F274)</f>
        <v>13304350</v>
      </c>
    </row>
    <row r="275" spans="1:7" ht="28.8" x14ac:dyDescent="0.55000000000000004">
      <c r="A275" s="12"/>
      <c r="B275" s="13" t="s">
        <v>237</v>
      </c>
      <c r="C275" s="10">
        <v>4</v>
      </c>
      <c r="D275" s="10">
        <v>35000</v>
      </c>
      <c r="E275" s="7">
        <f>+$I$2+(FIDAA[[#This Row],[QUANTITE]]*FIDAA[[#This Row],[PRIX UNITAIRE]])</f>
        <v>140000</v>
      </c>
      <c r="F275" s="22"/>
      <c r="G275" s="6">
        <f>SUM(E$9:$E275)-SUM(F$9:$F275)</f>
        <v>13444350</v>
      </c>
    </row>
    <row r="276" spans="1:7" ht="28.8" x14ac:dyDescent="0.55000000000000004">
      <c r="A276" s="12"/>
      <c r="B276" s="13" t="s">
        <v>217</v>
      </c>
      <c r="C276" s="10">
        <v>6</v>
      </c>
      <c r="D276" s="10">
        <v>32500</v>
      </c>
      <c r="E276" s="7">
        <f>+$I$2+(FIDAA[[#This Row],[QUANTITE]]*FIDAA[[#This Row],[PRIX UNITAIRE]])</f>
        <v>195000</v>
      </c>
      <c r="F276" s="22"/>
      <c r="G276" s="6">
        <f>SUM(E$9:$E276)-SUM(F$9:$F276)</f>
        <v>13639350</v>
      </c>
    </row>
    <row r="277" spans="1:7" ht="28.8" x14ac:dyDescent="0.55000000000000004">
      <c r="A277" s="12"/>
      <c r="B277" s="13" t="s">
        <v>213</v>
      </c>
      <c r="C277" s="10">
        <v>5</v>
      </c>
      <c r="D277" s="10">
        <v>130000</v>
      </c>
      <c r="E277" s="7">
        <f>+$I$2+(FIDAA[[#This Row],[QUANTITE]]*FIDAA[[#This Row],[PRIX UNITAIRE]])</f>
        <v>650000</v>
      </c>
      <c r="F277" s="22"/>
      <c r="G277" s="6">
        <f>SUM(E$9:$E277)-SUM(F$9:$F277)</f>
        <v>14289350</v>
      </c>
    </row>
    <row r="278" spans="1:7" ht="28.8" x14ac:dyDescent="0.55000000000000004">
      <c r="A278" s="12"/>
      <c r="B278" s="13" t="s">
        <v>238</v>
      </c>
      <c r="C278" s="10">
        <v>4</v>
      </c>
      <c r="D278" s="10">
        <v>135000</v>
      </c>
      <c r="E278" s="7">
        <f>+$I$2+(FIDAA[[#This Row],[QUANTITE]]*FIDAA[[#This Row],[PRIX UNITAIRE]])</f>
        <v>540000</v>
      </c>
      <c r="F278" s="22"/>
      <c r="G278" s="6">
        <f>SUM(E$9:$E278)-SUM(F$9:$F278)</f>
        <v>14829350</v>
      </c>
    </row>
    <row r="279" spans="1:7" ht="28.8" x14ac:dyDescent="0.55000000000000004">
      <c r="A279" s="12">
        <v>45568</v>
      </c>
      <c r="B279" s="13" t="s">
        <v>68</v>
      </c>
      <c r="C279" s="10">
        <v>1</v>
      </c>
      <c r="D279" s="10">
        <v>0</v>
      </c>
      <c r="E279" s="7">
        <f>+$I$2+(FIDAA[[#This Row],[QUANTITE]]*FIDAA[[#This Row],[PRIX UNITAIRE]])</f>
        <v>0</v>
      </c>
      <c r="F279" s="22">
        <v>2000000</v>
      </c>
      <c r="G279" s="6">
        <f>SUM(E$9:$E279)-SUM(F$9:$F279)</f>
        <v>12829350</v>
      </c>
    </row>
    <row r="280" spans="1:7" ht="28.8" x14ac:dyDescent="0.55000000000000004">
      <c r="A280" s="12">
        <v>45577</v>
      </c>
      <c r="B280" s="13" t="s">
        <v>218</v>
      </c>
      <c r="C280" s="10">
        <v>15</v>
      </c>
      <c r="D280" s="10">
        <v>8000</v>
      </c>
      <c r="E280" s="7">
        <f>+$I$2+(FIDAA[[#This Row],[QUANTITE]]*FIDAA[[#This Row],[PRIX UNITAIRE]])</f>
        <v>120000</v>
      </c>
      <c r="F280" s="22"/>
      <c r="G280" s="6">
        <f>SUM(E$9:$E280)-SUM(F$9:$F280)</f>
        <v>12949350</v>
      </c>
    </row>
    <row r="281" spans="1:7" ht="28.8" x14ac:dyDescent="0.55000000000000004">
      <c r="A281" s="12">
        <v>45577</v>
      </c>
      <c r="B281" s="13" t="s">
        <v>68</v>
      </c>
      <c r="C281" s="10">
        <v>1</v>
      </c>
      <c r="D281" s="10">
        <v>0</v>
      </c>
      <c r="E281" s="7">
        <f>+$I$2+(FIDAA[[#This Row],[QUANTITE]]*FIDAA[[#This Row],[PRIX UNITAIRE]])</f>
        <v>0</v>
      </c>
      <c r="F281" s="22">
        <v>1000000</v>
      </c>
      <c r="G281" s="6">
        <f>SUM(E$9:$E281)-SUM(F$9:$F281)</f>
        <v>11949350</v>
      </c>
    </row>
    <row r="282" spans="1:7" ht="28.8" x14ac:dyDescent="0.55000000000000004">
      <c r="A282" s="12">
        <v>45581</v>
      </c>
      <c r="B282" s="13" t="s">
        <v>239</v>
      </c>
      <c r="C282" s="10">
        <v>2</v>
      </c>
      <c r="D282" s="10">
        <v>65000</v>
      </c>
      <c r="E282" s="7">
        <f>+$I$2+(FIDAA[[#This Row],[QUANTITE]]*FIDAA[[#This Row],[PRIX UNITAIRE]])</f>
        <v>130000</v>
      </c>
      <c r="F282" s="22"/>
      <c r="G282" s="6">
        <f>SUM(E$9:$E282)-SUM(F$9:$F282)</f>
        <v>12079350</v>
      </c>
    </row>
    <row r="283" spans="1:7" ht="28.8" x14ac:dyDescent="0.55000000000000004">
      <c r="A283" s="12">
        <v>45591</v>
      </c>
      <c r="B283" s="13" t="s">
        <v>208</v>
      </c>
      <c r="C283" s="10">
        <v>8</v>
      </c>
      <c r="D283" s="10">
        <v>32500</v>
      </c>
      <c r="E283" s="7">
        <f>+$I$2+(FIDAA[[#This Row],[QUANTITE]]*FIDAA[[#This Row],[PRIX UNITAIRE]])</f>
        <v>260000</v>
      </c>
      <c r="F283" s="22"/>
      <c r="G283" s="6">
        <f>SUM(E$9:$E283)-SUM(F$9:$F283)</f>
        <v>12339350</v>
      </c>
    </row>
    <row r="284" spans="1:7" ht="28.8" x14ac:dyDescent="0.55000000000000004">
      <c r="A284" s="12"/>
      <c r="B284" s="13" t="s">
        <v>240</v>
      </c>
      <c r="C284" s="10">
        <v>15</v>
      </c>
      <c r="D284" s="10">
        <v>27000</v>
      </c>
      <c r="E284" s="7">
        <f>+$I$2+(FIDAA[[#This Row],[QUANTITE]]*FIDAA[[#This Row],[PRIX UNITAIRE]])</f>
        <v>405000</v>
      </c>
      <c r="F284" s="22"/>
      <c r="G284" s="6">
        <f>SUM(E$9:$E284)-SUM(F$9:$F284)</f>
        <v>12744350</v>
      </c>
    </row>
    <row r="285" spans="1:7" ht="28.8" x14ac:dyDescent="0.55000000000000004">
      <c r="A285" s="12"/>
      <c r="B285" s="13" t="s">
        <v>241</v>
      </c>
      <c r="C285" s="10">
        <v>2</v>
      </c>
      <c r="D285" s="10">
        <v>42500</v>
      </c>
      <c r="E285" s="7">
        <f>+$I$2+(FIDAA[[#This Row],[QUANTITE]]*FIDAA[[#This Row],[PRIX UNITAIRE]])</f>
        <v>85000</v>
      </c>
      <c r="F285" s="22"/>
      <c r="G285" s="6">
        <f>SUM(E$9:$E285)-SUM(F$9:$F285)</f>
        <v>12829350</v>
      </c>
    </row>
    <row r="286" spans="1:7" ht="28.8" x14ac:dyDescent="0.55000000000000004">
      <c r="A286" s="12">
        <v>45594</v>
      </c>
      <c r="B286" s="13" t="s">
        <v>213</v>
      </c>
      <c r="C286" s="10">
        <v>4</v>
      </c>
      <c r="D286" s="10">
        <v>132500</v>
      </c>
      <c r="E286" s="7">
        <f>+$I$2+(FIDAA[[#This Row],[QUANTITE]]*FIDAA[[#This Row],[PRIX UNITAIRE]])</f>
        <v>530000</v>
      </c>
      <c r="F286" s="22"/>
      <c r="G286" s="6">
        <f>SUM(E$9:$E286)-SUM(F$9:$F286)</f>
        <v>13359350</v>
      </c>
    </row>
    <row r="287" spans="1:7" ht="28.8" x14ac:dyDescent="0.55000000000000004">
      <c r="A287" s="12"/>
      <c r="B287" s="13" t="s">
        <v>78</v>
      </c>
      <c r="C287" s="10">
        <v>1</v>
      </c>
      <c r="D287" s="10">
        <v>107500</v>
      </c>
      <c r="E287" s="7">
        <f>+$I$2+(FIDAA[[#This Row],[QUANTITE]]*FIDAA[[#This Row],[PRIX UNITAIRE]])</f>
        <v>107500</v>
      </c>
      <c r="F287" s="22"/>
      <c r="G287" s="6">
        <f>SUM(E$9:$E287)-SUM(F$9:$F287)</f>
        <v>13466850</v>
      </c>
    </row>
    <row r="288" spans="1:7" ht="28.8" x14ac:dyDescent="0.55000000000000004">
      <c r="A288" s="12"/>
      <c r="B288" s="13" t="s">
        <v>242</v>
      </c>
      <c r="C288" s="10">
        <v>2</v>
      </c>
      <c r="D288" s="10">
        <v>107500</v>
      </c>
      <c r="E288" s="7">
        <f>+$I$2+(FIDAA[[#This Row],[QUANTITE]]*FIDAA[[#This Row],[PRIX UNITAIRE]])</f>
        <v>215000</v>
      </c>
      <c r="F288" s="22"/>
      <c r="G288" s="6">
        <f>SUM(E$9:$E288)-SUM(F$9:$F288)</f>
        <v>13681850</v>
      </c>
    </row>
    <row r="289" spans="1:7" ht="28.8" x14ac:dyDescent="0.55000000000000004">
      <c r="A289" s="12"/>
      <c r="B289" s="13" t="s">
        <v>211</v>
      </c>
      <c r="C289" s="10">
        <v>3</v>
      </c>
      <c r="D289" s="10">
        <v>55000</v>
      </c>
      <c r="E289" s="7">
        <f>+$I$2+(FIDAA[[#This Row],[QUANTITE]]*FIDAA[[#This Row],[PRIX UNITAIRE]])</f>
        <v>165000</v>
      </c>
      <c r="F289" s="22"/>
      <c r="G289" s="6">
        <f>SUM(E$9:$E289)-SUM(F$9:$F289)</f>
        <v>13846850</v>
      </c>
    </row>
    <row r="290" spans="1:7" ht="28.8" x14ac:dyDescent="0.55000000000000004">
      <c r="A290" s="12"/>
      <c r="B290" s="13" t="s">
        <v>210</v>
      </c>
      <c r="C290" s="10">
        <v>3</v>
      </c>
      <c r="D290" s="10">
        <v>45000</v>
      </c>
      <c r="E290" s="7">
        <f>+$I$2+(FIDAA[[#This Row],[QUANTITE]]*FIDAA[[#This Row],[PRIX UNITAIRE]])</f>
        <v>135000</v>
      </c>
      <c r="F290" s="22"/>
      <c r="G290" s="6">
        <f>SUM(E$9:$E290)-SUM(F$9:$F290)</f>
        <v>13981850</v>
      </c>
    </row>
    <row r="291" spans="1:7" ht="28.8" x14ac:dyDescent="0.55000000000000004">
      <c r="A291" s="12">
        <v>45595</v>
      </c>
      <c r="B291" s="13" t="s">
        <v>68</v>
      </c>
      <c r="C291" s="10">
        <v>1</v>
      </c>
      <c r="D291" s="10">
        <v>0</v>
      </c>
      <c r="E291" s="7">
        <f>+$I$2+(FIDAA[[#This Row],[QUANTITE]]*FIDAA[[#This Row],[PRIX UNITAIRE]])</f>
        <v>0</v>
      </c>
      <c r="F291" s="22">
        <v>3000000</v>
      </c>
      <c r="G291" s="6">
        <f>SUM(E$9:$E291)-SUM(F$9:$F291)</f>
        <v>10981850</v>
      </c>
    </row>
    <row r="292" spans="1:7" ht="28.8" x14ac:dyDescent="0.55000000000000004">
      <c r="A292" s="12">
        <v>45605</v>
      </c>
      <c r="B292" s="13" t="s">
        <v>25</v>
      </c>
      <c r="C292" s="10">
        <v>4</v>
      </c>
      <c r="D292" s="10">
        <v>69000</v>
      </c>
      <c r="E292" s="7">
        <f>+$I$2+(FIDAA[[#This Row],[QUANTITE]]*FIDAA[[#This Row],[PRIX UNITAIRE]])</f>
        <v>276000</v>
      </c>
      <c r="F292" s="22"/>
      <c r="G292" s="6">
        <f>SUM(E$9:$E292)-SUM(F$9:$F292)</f>
        <v>11257850</v>
      </c>
    </row>
    <row r="293" spans="1:7" ht="28.8" x14ac:dyDescent="0.55000000000000004">
      <c r="A293" s="12"/>
      <c r="B293" s="13" t="s">
        <v>234</v>
      </c>
      <c r="C293" s="10">
        <v>4</v>
      </c>
      <c r="D293" s="10">
        <v>20000</v>
      </c>
      <c r="E293" s="7">
        <f>+$I$2+(FIDAA[[#This Row],[QUANTITE]]*FIDAA[[#This Row],[PRIX UNITAIRE]])</f>
        <v>80000</v>
      </c>
      <c r="F293" s="22"/>
      <c r="G293" s="6">
        <f>SUM(E$9:$E293)-SUM(F$9:$F293)</f>
        <v>11337850</v>
      </c>
    </row>
    <row r="294" spans="1:7" ht="28.8" x14ac:dyDescent="0.55000000000000004">
      <c r="A294" s="12"/>
      <c r="B294" s="13" t="s">
        <v>238</v>
      </c>
      <c r="C294" s="10">
        <v>2</v>
      </c>
      <c r="D294" s="10">
        <v>135000</v>
      </c>
      <c r="E294" s="7">
        <f>+$I$2+(FIDAA[[#This Row],[QUANTITE]]*FIDAA[[#This Row],[PRIX UNITAIRE]])</f>
        <v>270000</v>
      </c>
      <c r="F294" s="22"/>
      <c r="G294" s="6">
        <f>SUM(E$9:$E294)-SUM(F$9:$F294)</f>
        <v>11607850</v>
      </c>
    </row>
    <row r="295" spans="1:7" ht="28.8" x14ac:dyDescent="0.55000000000000004">
      <c r="A295" s="12"/>
      <c r="B295" s="13" t="s">
        <v>243</v>
      </c>
      <c r="C295" s="10">
        <v>5</v>
      </c>
      <c r="D295" s="10">
        <v>25000</v>
      </c>
      <c r="E295" s="7">
        <f>+$I$2+(FIDAA[[#This Row],[QUANTITE]]*FIDAA[[#This Row],[PRIX UNITAIRE]])</f>
        <v>125000</v>
      </c>
      <c r="F295" s="22"/>
      <c r="G295" s="6">
        <f>SUM(E$9:$E295)-SUM(F$9:$F295)</f>
        <v>11732850</v>
      </c>
    </row>
    <row r="296" spans="1:7" ht="28.8" x14ac:dyDescent="0.55000000000000004">
      <c r="A296" s="12">
        <v>45609</v>
      </c>
      <c r="B296" s="13" t="s">
        <v>244</v>
      </c>
      <c r="C296" s="10">
        <v>4</v>
      </c>
      <c r="D296" s="10">
        <v>140000</v>
      </c>
      <c r="E296" s="7">
        <f>+$I$2+(FIDAA[[#This Row],[QUANTITE]]*FIDAA[[#This Row],[PRIX UNITAIRE]])</f>
        <v>560000</v>
      </c>
      <c r="F296" s="22"/>
      <c r="G296" s="6">
        <f>SUM(E$9:$E296)-SUM(F$9:$F296)</f>
        <v>12292850</v>
      </c>
    </row>
    <row r="297" spans="1:7" ht="28.8" x14ac:dyDescent="0.55000000000000004">
      <c r="A297" s="12">
        <v>45612</v>
      </c>
      <c r="B297" s="13" t="s">
        <v>17</v>
      </c>
      <c r="C297" s="10">
        <v>2</v>
      </c>
      <c r="D297" s="10">
        <v>45000</v>
      </c>
      <c r="E297" s="7">
        <f>+$I$2+(FIDAA[[#This Row],[QUANTITE]]*FIDAA[[#This Row],[PRIX UNITAIRE]])</f>
        <v>90000</v>
      </c>
      <c r="F297" s="22"/>
      <c r="G297" s="6">
        <f>SUM(E$9:$E297)-SUM(F$9:$F297)</f>
        <v>12382850</v>
      </c>
    </row>
    <row r="298" spans="1:7" ht="28.8" x14ac:dyDescent="0.55000000000000004">
      <c r="A298" s="12"/>
      <c r="B298" s="13" t="s">
        <v>213</v>
      </c>
      <c r="C298" s="10">
        <v>6</v>
      </c>
      <c r="D298" s="10">
        <v>132500</v>
      </c>
      <c r="E298" s="7">
        <f>+$I$2+(FIDAA[[#This Row],[QUANTITE]]*FIDAA[[#This Row],[PRIX UNITAIRE]])</f>
        <v>795000</v>
      </c>
      <c r="F298" s="22"/>
      <c r="G298" s="6">
        <f>SUM(E$9:$E298)-SUM(F$9:$F298)</f>
        <v>13177850</v>
      </c>
    </row>
    <row r="299" spans="1:7" ht="28.8" x14ac:dyDescent="0.55000000000000004">
      <c r="A299" s="12"/>
      <c r="B299" s="13" t="s">
        <v>245</v>
      </c>
      <c r="C299" s="10">
        <v>6</v>
      </c>
      <c r="D299" s="10">
        <v>70000</v>
      </c>
      <c r="E299" s="7">
        <f>+$I$2+(FIDAA[[#This Row],[QUANTITE]]*FIDAA[[#This Row],[PRIX UNITAIRE]])</f>
        <v>420000</v>
      </c>
      <c r="F299" s="22"/>
      <c r="G299" s="6">
        <f>SUM(E$9:$E299)-SUM(F$9:$F299)</f>
        <v>13597850</v>
      </c>
    </row>
    <row r="300" spans="1:7" ht="28.8" x14ac:dyDescent="0.55000000000000004">
      <c r="A300" s="12"/>
      <c r="B300" s="13" t="s">
        <v>246</v>
      </c>
      <c r="C300" s="10">
        <v>6</v>
      </c>
      <c r="D300" s="10">
        <v>25000</v>
      </c>
      <c r="E300" s="7">
        <f>+$I$2+(FIDAA[[#This Row],[QUANTITE]]*FIDAA[[#This Row],[PRIX UNITAIRE]])</f>
        <v>150000</v>
      </c>
      <c r="F300" s="22"/>
      <c r="G300" s="6">
        <f>SUM(E$9:$E300)-SUM(F$9:$F300)</f>
        <v>13747850</v>
      </c>
    </row>
    <row r="301" spans="1:7" ht="28.8" x14ac:dyDescent="0.55000000000000004">
      <c r="A301" s="12">
        <v>45994</v>
      </c>
      <c r="B301" s="13" t="s">
        <v>247</v>
      </c>
      <c r="C301" s="10"/>
      <c r="D301" s="10"/>
      <c r="E301" s="7">
        <f>+$I$2+(FIDAA[[#This Row],[QUANTITE]]*FIDAA[[#This Row],[PRIX UNITAIRE]])</f>
        <v>0</v>
      </c>
      <c r="F301" s="22">
        <v>2000000</v>
      </c>
      <c r="G301" s="6">
        <f>SUM(E$9:$E301)-SUM(F$9:$F301)</f>
        <v>11747850</v>
      </c>
    </row>
    <row r="302" spans="1:7" ht="28.8" x14ac:dyDescent="0.55000000000000004">
      <c r="A302" s="12">
        <v>45998</v>
      </c>
      <c r="B302" s="13" t="s">
        <v>247</v>
      </c>
      <c r="C302" s="10"/>
      <c r="D302" s="10"/>
      <c r="E302" s="7">
        <f>+$I$2+(FIDAA[[#This Row],[QUANTITE]]*FIDAA[[#This Row],[PRIX UNITAIRE]])</f>
        <v>0</v>
      </c>
      <c r="F302" s="22">
        <v>2000000</v>
      </c>
      <c r="G302" s="6">
        <f>SUM(E$9:$E302)-SUM(F$9:$F302)</f>
        <v>9747850</v>
      </c>
    </row>
    <row r="303" spans="1:7" ht="28.8" x14ac:dyDescent="0.55000000000000004">
      <c r="A303" s="12">
        <v>46015</v>
      </c>
      <c r="B303" s="13" t="s">
        <v>247</v>
      </c>
      <c r="C303" s="10"/>
      <c r="D303" s="10"/>
      <c r="E303" s="7">
        <f>+$I$2+(FIDAA[[#This Row],[QUANTITE]]*FIDAA[[#This Row],[PRIX UNITAIRE]])</f>
        <v>0</v>
      </c>
      <c r="F303" s="22">
        <v>1000000</v>
      </c>
      <c r="G303" s="6">
        <f>SUM(E$9:$E303)-SUM(F$9:$F303)</f>
        <v>8747850</v>
      </c>
    </row>
    <row r="304" spans="1:7" ht="28.8" x14ac:dyDescent="0.55000000000000004">
      <c r="A304" s="12">
        <v>45654</v>
      </c>
      <c r="B304" s="13" t="s">
        <v>248</v>
      </c>
      <c r="C304" s="10">
        <v>2</v>
      </c>
      <c r="D304" s="10">
        <v>135000</v>
      </c>
      <c r="E304" s="7">
        <f>+$I$2+(FIDAA[[#This Row],[QUANTITE]]*FIDAA[[#This Row],[PRIX UNITAIRE]])</f>
        <v>270000</v>
      </c>
      <c r="F304" s="22"/>
      <c r="G304" s="6">
        <f>SUM(E$9:$E304)-SUM(F$9:$F304)</f>
        <v>9017850</v>
      </c>
    </row>
    <row r="305" spans="1:7" ht="28.8" x14ac:dyDescent="0.55000000000000004">
      <c r="A305" s="12">
        <v>45654</v>
      </c>
      <c r="B305" s="13" t="s">
        <v>249</v>
      </c>
      <c r="C305" s="10">
        <v>2</v>
      </c>
      <c r="D305" s="10">
        <v>107500</v>
      </c>
      <c r="E305" s="7">
        <f>+$I$2+(FIDAA[[#This Row],[QUANTITE]]*FIDAA[[#This Row],[PRIX UNITAIRE]])</f>
        <v>215000</v>
      </c>
      <c r="F305" s="22"/>
      <c r="G305" s="6">
        <f>SUM(E$9:$E305)-SUM(F$9:$F305)</f>
        <v>9232850</v>
      </c>
    </row>
    <row r="306" spans="1:7" ht="28.8" x14ac:dyDescent="0.55000000000000004">
      <c r="A306" s="12">
        <v>45654</v>
      </c>
      <c r="B306" s="13" t="s">
        <v>193</v>
      </c>
      <c r="C306" s="10">
        <v>2</v>
      </c>
      <c r="D306" s="10">
        <v>62500</v>
      </c>
      <c r="E306" s="7">
        <f>+$I$2+(FIDAA[[#This Row],[QUANTITE]]*FIDAA[[#This Row],[PRIX UNITAIRE]])</f>
        <v>125000</v>
      </c>
      <c r="F306" s="22"/>
      <c r="G306" s="6">
        <f>SUM(E$9:$E306)-SUM(F$9:$F306)</f>
        <v>9357850</v>
      </c>
    </row>
    <row r="307" spans="1:7" ht="28.8" x14ac:dyDescent="0.55000000000000004">
      <c r="A307" s="12">
        <v>45654</v>
      </c>
      <c r="B307" s="13" t="s">
        <v>250</v>
      </c>
      <c r="C307" s="10">
        <v>2</v>
      </c>
      <c r="D307" s="10">
        <v>27000</v>
      </c>
      <c r="E307" s="7">
        <f>+$I$2+(FIDAA[[#This Row],[QUANTITE]]*FIDAA[[#This Row],[PRIX UNITAIRE]])</f>
        <v>54000</v>
      </c>
      <c r="F307" s="22"/>
      <c r="G307" s="6">
        <f>SUM(E$9:$E307)-SUM(F$9:$F307)</f>
        <v>9411850</v>
      </c>
    </row>
    <row r="308" spans="1:7" ht="28.8" x14ac:dyDescent="0.55000000000000004">
      <c r="A308" s="12">
        <v>45654</v>
      </c>
      <c r="B308" s="13" t="s">
        <v>251</v>
      </c>
      <c r="C308" s="10">
        <v>4</v>
      </c>
      <c r="D308" s="10">
        <v>27000</v>
      </c>
      <c r="E308" s="7">
        <f>+$I$2+(FIDAA[[#This Row],[QUANTITE]]*FIDAA[[#This Row],[PRIX UNITAIRE]])</f>
        <v>108000</v>
      </c>
      <c r="F308" s="22"/>
      <c r="G308" s="6">
        <f>SUM(E$9:$E308)-SUM(F$9:$F308)</f>
        <v>9519850</v>
      </c>
    </row>
    <row r="309" spans="1:7" ht="28.8" x14ac:dyDescent="0.55000000000000004">
      <c r="A309" s="12">
        <v>45654</v>
      </c>
      <c r="B309" s="13" t="s">
        <v>252</v>
      </c>
      <c r="C309" s="10">
        <v>2</v>
      </c>
      <c r="D309" s="10">
        <v>48500</v>
      </c>
      <c r="E309" s="7">
        <f>+$I$2+(FIDAA[[#This Row],[QUANTITE]]*FIDAA[[#This Row],[PRIX UNITAIRE]])</f>
        <v>97000</v>
      </c>
      <c r="F309" s="22"/>
      <c r="G309" s="6">
        <f>SUM(E$9:$E309)-SUM(F$9:$F309)</f>
        <v>9616850</v>
      </c>
    </row>
    <row r="310" spans="1:7" ht="28.8" x14ac:dyDescent="0.55000000000000004">
      <c r="A310" s="12">
        <v>45678</v>
      </c>
      <c r="B310" s="13" t="s">
        <v>253</v>
      </c>
      <c r="C310" s="10">
        <v>4</v>
      </c>
      <c r="D310" s="10">
        <v>35000</v>
      </c>
      <c r="E310" s="7">
        <f>+$I$2+(FIDAA[[#This Row],[QUANTITE]]*FIDAA[[#This Row],[PRIX UNITAIRE]])</f>
        <v>140000</v>
      </c>
      <c r="F310" s="22"/>
      <c r="G310" s="6">
        <f>SUM(E$9:$E310)-SUM(F$9:$F310)</f>
        <v>9756850</v>
      </c>
    </row>
    <row r="311" spans="1:7" ht="28.8" x14ac:dyDescent="0.55000000000000004">
      <c r="A311" s="12">
        <v>45678</v>
      </c>
      <c r="B311" s="13" t="s">
        <v>254</v>
      </c>
      <c r="C311" s="10">
        <v>4</v>
      </c>
      <c r="D311" s="10">
        <v>47000</v>
      </c>
      <c r="E311" s="7">
        <f>+$I$2+(FIDAA[[#This Row],[QUANTITE]]*FIDAA[[#This Row],[PRIX UNITAIRE]])</f>
        <v>188000</v>
      </c>
      <c r="F311" s="22"/>
      <c r="G311" s="6">
        <f>SUM(E$9:$E311)-SUM(F$9:$F311)</f>
        <v>9944850</v>
      </c>
    </row>
    <row r="312" spans="1:7" ht="28.8" x14ac:dyDescent="0.55000000000000004">
      <c r="A312" s="12">
        <v>45678</v>
      </c>
      <c r="B312" s="13" t="s">
        <v>255</v>
      </c>
      <c r="C312" s="10">
        <v>12</v>
      </c>
      <c r="D312" s="10">
        <v>33000</v>
      </c>
      <c r="E312" s="7">
        <f>+$I$2+(FIDAA[[#This Row],[QUANTITE]]*FIDAA[[#This Row],[PRIX UNITAIRE]])</f>
        <v>396000</v>
      </c>
      <c r="F312" s="22"/>
      <c r="G312" s="6">
        <f>SUM(E$9:$E312)-SUM(F$9:$F312)</f>
        <v>10340850</v>
      </c>
    </row>
    <row r="313" spans="1:7" ht="28.8" x14ac:dyDescent="0.55000000000000004">
      <c r="A313" s="12">
        <v>45678</v>
      </c>
      <c r="B313" s="13" t="s">
        <v>256</v>
      </c>
      <c r="C313" s="10">
        <v>6</v>
      </c>
      <c r="D313" s="10">
        <v>107500</v>
      </c>
      <c r="E313" s="7">
        <f>+$I$2+(FIDAA[[#This Row],[QUANTITE]]*FIDAA[[#This Row],[PRIX UNITAIRE]])</f>
        <v>645000</v>
      </c>
      <c r="F313" s="22"/>
      <c r="G313" s="6">
        <f>SUM(E$9:$E313)-SUM(F$9:$F313)</f>
        <v>10985850</v>
      </c>
    </row>
    <row r="314" spans="1:7" ht="28.8" x14ac:dyDescent="0.55000000000000004">
      <c r="A314" s="12">
        <v>45678</v>
      </c>
      <c r="B314" s="13" t="s">
        <v>83</v>
      </c>
      <c r="C314" s="10">
        <v>20</v>
      </c>
      <c r="D314" s="10">
        <v>8000</v>
      </c>
      <c r="E314" s="7">
        <f>+$I$2+(FIDAA[[#This Row],[QUANTITE]]*FIDAA[[#This Row],[PRIX UNITAIRE]])</f>
        <v>160000</v>
      </c>
      <c r="F314" s="22"/>
      <c r="G314" s="6">
        <f>SUM(E$9:$E314)-SUM(F$9:$F314)</f>
        <v>11145850</v>
      </c>
    </row>
    <row r="315" spans="1:7" ht="28.8" x14ac:dyDescent="0.55000000000000004">
      <c r="A315" s="12">
        <v>45678</v>
      </c>
      <c r="B315" s="13" t="s">
        <v>257</v>
      </c>
      <c r="C315" s="10">
        <v>4</v>
      </c>
      <c r="D315" s="10">
        <v>140000</v>
      </c>
      <c r="E315" s="7">
        <f>+$I$2+(FIDAA[[#This Row],[QUANTITE]]*FIDAA[[#This Row],[PRIX UNITAIRE]])</f>
        <v>560000</v>
      </c>
      <c r="F315" s="22"/>
      <c r="G315" s="6">
        <f>SUM(E$9:$E315)-SUM(F$9:$F315)</f>
        <v>11705850</v>
      </c>
    </row>
    <row r="316" spans="1:7" ht="28.8" x14ac:dyDescent="0.55000000000000004">
      <c r="A316" s="12">
        <v>45678</v>
      </c>
      <c r="B316" s="13" t="s">
        <v>258</v>
      </c>
      <c r="C316" s="10">
        <v>1</v>
      </c>
      <c r="D316" s="10">
        <v>40000</v>
      </c>
      <c r="E316" s="7">
        <f>+$I$2+(FIDAA[[#This Row],[QUANTITE]]*FIDAA[[#This Row],[PRIX UNITAIRE]])</f>
        <v>40000</v>
      </c>
      <c r="F316" s="22"/>
      <c r="G316" s="6">
        <f>SUM(E$9:$E316)-SUM(F$9:$F316)</f>
        <v>11745850</v>
      </c>
    </row>
    <row r="317" spans="1:7" ht="28.8" x14ac:dyDescent="0.55000000000000004">
      <c r="A317" s="12">
        <v>45698</v>
      </c>
      <c r="B317" s="13" t="s">
        <v>259</v>
      </c>
      <c r="C317" s="10"/>
      <c r="D317" s="10"/>
      <c r="E317" s="7">
        <f>+$I$2+(FIDAA[[#This Row],[QUANTITE]]*FIDAA[[#This Row],[PRIX UNITAIRE]])</f>
        <v>0</v>
      </c>
      <c r="F317" s="22">
        <v>2000000</v>
      </c>
      <c r="G317" s="6">
        <f>SUM(E$9:$E317)-SUM(F$9:$F317)</f>
        <v>9745850</v>
      </c>
    </row>
    <row r="318" spans="1:7" ht="28.8" x14ac:dyDescent="0.55000000000000004">
      <c r="A318" s="12">
        <v>45703</v>
      </c>
      <c r="B318" s="13" t="s">
        <v>260</v>
      </c>
      <c r="C318" s="10">
        <v>5</v>
      </c>
      <c r="D318" s="10">
        <v>133500</v>
      </c>
      <c r="E318" s="7">
        <f>+$I$2+(FIDAA[[#This Row],[QUANTITE]]*FIDAA[[#This Row],[PRIX UNITAIRE]])</f>
        <v>667500</v>
      </c>
      <c r="F318" s="22"/>
      <c r="G318" s="6">
        <f>SUM(E$9:$E318)-SUM(F$9:$F318)</f>
        <v>10413350</v>
      </c>
    </row>
    <row r="319" spans="1:7" ht="28.8" x14ac:dyDescent="0.55000000000000004">
      <c r="A319" s="12">
        <v>45703</v>
      </c>
      <c r="B319" s="13" t="s">
        <v>261</v>
      </c>
      <c r="C319" s="10">
        <v>5</v>
      </c>
      <c r="D319" s="10">
        <v>107500</v>
      </c>
      <c r="E319" s="7">
        <f>+$I$2+(FIDAA[[#This Row],[QUANTITE]]*FIDAA[[#This Row],[PRIX UNITAIRE]])</f>
        <v>537500</v>
      </c>
      <c r="F319" s="22"/>
      <c r="G319" s="6">
        <f>SUM(E$9:$E319)-SUM(F$9:$F319)</f>
        <v>10950850</v>
      </c>
    </row>
    <row r="320" spans="1:7" ht="28.8" x14ac:dyDescent="0.55000000000000004">
      <c r="A320" s="12">
        <v>45703</v>
      </c>
      <c r="B320" s="13" t="s">
        <v>43</v>
      </c>
      <c r="C320" s="10">
        <v>2</v>
      </c>
      <c r="D320" s="10">
        <v>137500</v>
      </c>
      <c r="E320" s="7">
        <f>+$I$2+(FIDAA[[#This Row],[QUANTITE]]*FIDAA[[#This Row],[PRIX UNITAIRE]])</f>
        <v>275000</v>
      </c>
      <c r="F320" s="22"/>
      <c r="G320" s="6">
        <f>SUM(E$9:$E320)-SUM(F$9:$F320)</f>
        <v>11225850</v>
      </c>
    </row>
    <row r="321" spans="1:7" ht="28.8" x14ac:dyDescent="0.55000000000000004">
      <c r="A321" s="12">
        <v>45727</v>
      </c>
      <c r="B321" s="13" t="s">
        <v>262</v>
      </c>
      <c r="C321" s="10">
        <v>4</v>
      </c>
      <c r="D321" s="10">
        <v>42500</v>
      </c>
      <c r="E321" s="7">
        <f>+$I$2+(FIDAA[[#This Row],[QUANTITE]]*FIDAA[[#This Row],[PRIX UNITAIRE]])</f>
        <v>170000</v>
      </c>
      <c r="F321" s="22"/>
      <c r="G321" s="6">
        <f>SUM(E$9:$E321)-SUM(F$9:$F321)</f>
        <v>11395850</v>
      </c>
    </row>
    <row r="322" spans="1:7" ht="28.8" x14ac:dyDescent="0.55000000000000004">
      <c r="A322" s="12">
        <v>45727</v>
      </c>
      <c r="B322" s="13" t="s">
        <v>263</v>
      </c>
      <c r="C322" s="10">
        <v>6</v>
      </c>
      <c r="D322" s="10">
        <v>33000</v>
      </c>
      <c r="E322" s="7">
        <f>+$I$2+(FIDAA[[#This Row],[QUANTITE]]*FIDAA[[#This Row],[PRIX UNITAIRE]])</f>
        <v>198000</v>
      </c>
      <c r="F322" s="22"/>
      <c r="G322" s="6">
        <f>SUM(E$9:$E322)-SUM(F$9:$F322)</f>
        <v>11593850</v>
      </c>
    </row>
    <row r="323" spans="1:7" ht="28.8" x14ac:dyDescent="0.55000000000000004">
      <c r="A323" s="12">
        <v>45727</v>
      </c>
      <c r="B323" s="13" t="s">
        <v>263</v>
      </c>
      <c r="C323" s="10">
        <v>24</v>
      </c>
      <c r="D323" s="10">
        <v>33000</v>
      </c>
      <c r="E323" s="7">
        <f>+$I$2+(FIDAA[[#This Row],[QUANTITE]]*FIDAA[[#This Row],[PRIX UNITAIRE]])</f>
        <v>792000</v>
      </c>
      <c r="F323" s="22"/>
      <c r="G323" s="6">
        <f>SUM(E$9:$E323)-SUM(F$9:$F323)</f>
        <v>12385850</v>
      </c>
    </row>
    <row r="324" spans="1:7" ht="28.8" x14ac:dyDescent="0.55000000000000004">
      <c r="A324" s="12">
        <v>45727</v>
      </c>
      <c r="B324" s="13" t="s">
        <v>264</v>
      </c>
      <c r="C324" s="10">
        <v>5</v>
      </c>
      <c r="D324" s="10">
        <v>107500</v>
      </c>
      <c r="E324" s="7">
        <f>+$I$2+(FIDAA[[#This Row],[QUANTITE]]*FIDAA[[#This Row],[PRIX UNITAIRE]])</f>
        <v>537500</v>
      </c>
      <c r="F324" s="22"/>
      <c r="G324" s="6">
        <f>SUM(E$9:$E324)-SUM(F$9:$F324)</f>
        <v>12923350</v>
      </c>
    </row>
    <row r="325" spans="1:7" ht="28.8" x14ac:dyDescent="0.55000000000000004">
      <c r="A325" s="12">
        <v>45727</v>
      </c>
      <c r="B325" s="13" t="s">
        <v>265</v>
      </c>
      <c r="C325" s="10">
        <v>3</v>
      </c>
      <c r="D325" s="10">
        <v>110000</v>
      </c>
      <c r="E325" s="7">
        <f>+$I$2+(FIDAA[[#This Row],[QUANTITE]]*FIDAA[[#This Row],[PRIX UNITAIRE]])</f>
        <v>330000</v>
      </c>
      <c r="F325" s="22"/>
      <c r="G325" s="6">
        <f>SUM(E$9:$E325)-SUM(F$9:$F325)</f>
        <v>13253350</v>
      </c>
    </row>
    <row r="326" spans="1:7" ht="28.8" x14ac:dyDescent="0.55000000000000004">
      <c r="A326" s="12">
        <v>45727</v>
      </c>
      <c r="B326" s="13" t="s">
        <v>251</v>
      </c>
      <c r="C326" s="10">
        <v>5</v>
      </c>
      <c r="D326" s="10">
        <v>24000</v>
      </c>
      <c r="E326" s="7">
        <f>+$I$2+(FIDAA[[#This Row],[QUANTITE]]*FIDAA[[#This Row],[PRIX UNITAIRE]])</f>
        <v>120000</v>
      </c>
      <c r="F326" s="22"/>
      <c r="G326" s="6">
        <f>SUM(E$9:$E326)-SUM(F$9:$F326)</f>
        <v>13373350</v>
      </c>
    </row>
    <row r="327" spans="1:7" ht="28.8" x14ac:dyDescent="0.55000000000000004">
      <c r="A327" s="12">
        <v>45727</v>
      </c>
      <c r="B327" s="13" t="s">
        <v>266</v>
      </c>
      <c r="C327" s="10"/>
      <c r="D327" s="10"/>
      <c r="E327" s="7">
        <f>+$I$2+(FIDAA[[#This Row],[QUANTITE]]*FIDAA[[#This Row],[PRIX UNITAIRE]])</f>
        <v>0</v>
      </c>
      <c r="F327" s="22">
        <v>1500000</v>
      </c>
      <c r="G327" s="6">
        <f>SUM(E$9:$E327)-SUM(F$9:$F327)</f>
        <v>11873350</v>
      </c>
    </row>
    <row r="328" spans="1:7" ht="28.8" x14ac:dyDescent="0.55000000000000004">
      <c r="A328" s="12">
        <v>45745</v>
      </c>
      <c r="B328" s="13" t="s">
        <v>259</v>
      </c>
      <c r="C328" s="10"/>
      <c r="D328" s="10"/>
      <c r="E328" s="7">
        <f>+$I$2+(FIDAA[[#This Row],[QUANTITE]]*FIDAA[[#This Row],[PRIX UNITAIRE]])</f>
        <v>0</v>
      </c>
      <c r="F328" s="22">
        <v>1000000</v>
      </c>
      <c r="G328" s="6">
        <f>SUM(E$9:$E328)-SUM(F$9:$F328)</f>
        <v>10873350</v>
      </c>
    </row>
    <row r="329" spans="1:7" ht="28.8" x14ac:dyDescent="0.55000000000000004">
      <c r="A329" s="12">
        <v>45765</v>
      </c>
      <c r="B329" s="13" t="s">
        <v>259</v>
      </c>
      <c r="C329" s="10"/>
      <c r="D329" s="10"/>
      <c r="E329" s="7">
        <f>+$I$2+(FIDAA[[#This Row],[QUANTITE]]*FIDAA[[#This Row],[PRIX UNITAIRE]])</f>
        <v>0</v>
      </c>
      <c r="F329" s="22">
        <v>1500000</v>
      </c>
      <c r="G329" s="6">
        <f>SUM(E$9:$E329)-SUM(F$9:$F329)</f>
        <v>9373350</v>
      </c>
    </row>
    <row r="330" spans="1:7" ht="28.8" x14ac:dyDescent="0.55000000000000004">
      <c r="A330" s="12">
        <v>45785</v>
      </c>
      <c r="B330" s="13" t="s">
        <v>267</v>
      </c>
      <c r="C330" s="10">
        <v>4</v>
      </c>
      <c r="D330" s="10">
        <v>35000</v>
      </c>
      <c r="E330" s="7">
        <f>+$I$2+(FIDAA[[#This Row],[QUANTITE]]*FIDAA[[#This Row],[PRIX UNITAIRE]])</f>
        <v>140000</v>
      </c>
      <c r="F330" s="22"/>
      <c r="G330" s="6">
        <f>SUM(E$9:$E330)-SUM(F$9:$F330)</f>
        <v>9513350</v>
      </c>
    </row>
    <row r="331" spans="1:7" ht="28.8" x14ac:dyDescent="0.55000000000000004">
      <c r="A331" s="12">
        <v>45785</v>
      </c>
      <c r="B331" s="13" t="s">
        <v>268</v>
      </c>
      <c r="C331" s="10">
        <v>4</v>
      </c>
      <c r="D331" s="10">
        <v>35000</v>
      </c>
      <c r="E331" s="7">
        <f>+$I$2+(FIDAA[[#This Row],[QUANTITE]]*FIDAA[[#This Row],[PRIX UNITAIRE]])</f>
        <v>140000</v>
      </c>
      <c r="F331" s="22"/>
      <c r="G331" s="6">
        <f>SUM(E$9:$E331)-SUM(F$9:$F331)</f>
        <v>9653350</v>
      </c>
    </row>
    <row r="332" spans="1:7" ht="28.8" x14ac:dyDescent="0.55000000000000004">
      <c r="A332" s="12">
        <v>45785</v>
      </c>
      <c r="B332" s="13" t="s">
        <v>269</v>
      </c>
      <c r="C332" s="10">
        <v>2</v>
      </c>
      <c r="D332" s="10">
        <v>32500</v>
      </c>
      <c r="E332" s="7">
        <f>+$I$2+(FIDAA[[#This Row],[QUANTITE]]*FIDAA[[#This Row],[PRIX UNITAIRE]])</f>
        <v>65000</v>
      </c>
      <c r="F332" s="22"/>
      <c r="G332" s="6">
        <f>SUM(E$9:$E332)-SUM(F$9:$F332)</f>
        <v>9718350</v>
      </c>
    </row>
    <row r="333" spans="1:7" ht="28.8" x14ac:dyDescent="0.55000000000000004">
      <c r="A333" s="12">
        <v>45785</v>
      </c>
      <c r="B333" s="13" t="s">
        <v>270</v>
      </c>
      <c r="C333" s="10">
        <v>4</v>
      </c>
      <c r="D333" s="10">
        <v>40000</v>
      </c>
      <c r="E333" s="7">
        <f>+$I$2+(FIDAA[[#This Row],[QUANTITE]]*FIDAA[[#This Row],[PRIX UNITAIRE]])</f>
        <v>160000</v>
      </c>
      <c r="F333" s="22"/>
      <c r="G333" s="6">
        <f>SUM(E$9:$E333)-SUM(F$9:$F333)</f>
        <v>9878350</v>
      </c>
    </row>
    <row r="334" spans="1:7" ht="28.8" x14ac:dyDescent="0.55000000000000004">
      <c r="A334" s="12">
        <v>45785</v>
      </c>
      <c r="B334" s="13" t="s">
        <v>251</v>
      </c>
      <c r="C334" s="10">
        <v>4</v>
      </c>
      <c r="D334" s="10">
        <v>26000</v>
      </c>
      <c r="E334" s="7">
        <f>+$I$2+(FIDAA[[#This Row],[QUANTITE]]*FIDAA[[#This Row],[PRIX UNITAIRE]])</f>
        <v>104000</v>
      </c>
      <c r="F334" s="22"/>
      <c r="G334" s="6">
        <f>SUM(E$9:$E334)-SUM(F$9:$F334)</f>
        <v>9982350</v>
      </c>
    </row>
    <row r="335" spans="1:7" ht="28.8" x14ac:dyDescent="0.55000000000000004">
      <c r="A335" s="12">
        <v>45789</v>
      </c>
      <c r="B335" s="13" t="s">
        <v>259</v>
      </c>
      <c r="C335" s="10"/>
      <c r="D335" s="10"/>
      <c r="E335" s="7">
        <f>+$I$2+(FIDAA[[#This Row],[QUANTITE]]*FIDAA[[#This Row],[PRIX UNITAIRE]])</f>
        <v>0</v>
      </c>
      <c r="F335" s="22">
        <v>1000000</v>
      </c>
      <c r="G335" s="6">
        <f>SUM(E$9:$E335)-SUM(F$9:$F335)</f>
        <v>8982350</v>
      </c>
    </row>
    <row r="336" spans="1:7" ht="28.8" x14ac:dyDescent="0.55000000000000004">
      <c r="A336" s="12">
        <v>45791</v>
      </c>
      <c r="B336" s="13" t="s">
        <v>271</v>
      </c>
      <c r="C336" s="10">
        <v>25</v>
      </c>
      <c r="D336" s="10">
        <v>132500</v>
      </c>
      <c r="E336" s="7">
        <f>+$I$2+(FIDAA[[#This Row],[QUANTITE]]*FIDAA[[#This Row],[PRIX UNITAIRE]])</f>
        <v>3312500</v>
      </c>
      <c r="F336" s="22"/>
      <c r="G336" s="6">
        <f>SUM(E$9:$E336)-SUM(F$9:$F336)</f>
        <v>12294850</v>
      </c>
    </row>
    <row r="337" spans="1:7" ht="28.8" x14ac:dyDescent="0.55000000000000004">
      <c r="A337" s="12">
        <v>45801</v>
      </c>
      <c r="B337" s="13" t="s">
        <v>259</v>
      </c>
      <c r="C337" s="10"/>
      <c r="D337" s="10"/>
      <c r="E337" s="7">
        <f>+$I$2+(FIDAA[[#This Row],[QUANTITE]]*FIDAA[[#This Row],[PRIX UNITAIRE]])</f>
        <v>0</v>
      </c>
      <c r="F337" s="22">
        <v>1000000</v>
      </c>
      <c r="G337" s="6">
        <f>SUM(E$9:$E337)-SUM(F$9:$F337)</f>
        <v>11294850</v>
      </c>
    </row>
    <row r="338" spans="1:7" ht="28.8" x14ac:dyDescent="0.55000000000000004">
      <c r="A338" s="12">
        <v>45803</v>
      </c>
      <c r="B338" s="13" t="s">
        <v>272</v>
      </c>
      <c r="C338" s="10">
        <v>4</v>
      </c>
      <c r="D338" s="10">
        <v>32500</v>
      </c>
      <c r="E338" s="7">
        <f>+$I$2+(FIDAA[[#This Row],[QUANTITE]]*FIDAA[[#This Row],[PRIX UNITAIRE]])</f>
        <v>130000</v>
      </c>
      <c r="F338" s="22"/>
      <c r="G338" s="6">
        <f>SUM(E$9:$E338)-SUM(F$9:$F338)</f>
        <v>11424850</v>
      </c>
    </row>
    <row r="339" spans="1:7" ht="28.8" x14ac:dyDescent="0.55000000000000004">
      <c r="A339" s="12">
        <v>45803</v>
      </c>
      <c r="B339" s="13" t="s">
        <v>273</v>
      </c>
      <c r="C339" s="10">
        <v>4</v>
      </c>
      <c r="D339" s="10">
        <v>35000</v>
      </c>
      <c r="E339" s="7">
        <f>+$I$2+(FIDAA[[#This Row],[QUANTITE]]*FIDAA[[#This Row],[PRIX UNITAIRE]])</f>
        <v>140000</v>
      </c>
      <c r="F339" s="22"/>
      <c r="G339" s="6">
        <f>SUM(E$9:$E339)-SUM(F$9:$F339)</f>
        <v>11564850</v>
      </c>
    </row>
    <row r="340" spans="1:7" ht="28.8" x14ac:dyDescent="0.55000000000000004">
      <c r="A340" s="12">
        <v>45803</v>
      </c>
      <c r="B340" s="13" t="s">
        <v>274</v>
      </c>
      <c r="C340" s="10">
        <v>4</v>
      </c>
      <c r="D340" s="10">
        <v>30000</v>
      </c>
      <c r="E340" s="7">
        <f>+$I$2+(FIDAA[[#This Row],[QUANTITE]]*FIDAA[[#This Row],[PRIX UNITAIRE]])</f>
        <v>120000</v>
      </c>
      <c r="F340" s="22"/>
      <c r="G340" s="6">
        <f>SUM(E$9:$E340)-SUM(F$9:$F340)</f>
        <v>11684850</v>
      </c>
    </row>
    <row r="341" spans="1:7" ht="28.8" x14ac:dyDescent="0.55000000000000004">
      <c r="A341" s="12">
        <v>45803</v>
      </c>
      <c r="B341" s="13" t="s">
        <v>275</v>
      </c>
      <c r="C341" s="10">
        <v>4</v>
      </c>
      <c r="D341" s="10">
        <v>35000</v>
      </c>
      <c r="E341" s="7">
        <f>+$I$2+(FIDAA[[#This Row],[QUANTITE]]*FIDAA[[#This Row],[PRIX UNITAIRE]])</f>
        <v>140000</v>
      </c>
      <c r="F341" s="22"/>
      <c r="G341" s="6">
        <f>SUM(E$9:$E341)-SUM(F$9:$F341)</f>
        <v>11824850</v>
      </c>
    </row>
    <row r="342" spans="1:7" ht="28.8" x14ac:dyDescent="0.55000000000000004">
      <c r="A342" s="12">
        <v>45803</v>
      </c>
      <c r="B342" s="13" t="s">
        <v>276</v>
      </c>
      <c r="C342" s="10">
        <v>4</v>
      </c>
      <c r="D342" s="10">
        <v>40000</v>
      </c>
      <c r="E342" s="7">
        <f>+$I$2+(FIDAA[[#This Row],[QUANTITE]]*FIDAA[[#This Row],[PRIX UNITAIRE]])</f>
        <v>160000</v>
      </c>
      <c r="F342" s="22"/>
      <c r="G342" s="6">
        <f>SUM(E$9:$E342)-SUM(F$9:$F342)</f>
        <v>11984850</v>
      </c>
    </row>
    <row r="343" spans="1:7" ht="28.8" x14ac:dyDescent="0.55000000000000004">
      <c r="A343" s="12">
        <v>45841</v>
      </c>
      <c r="B343" s="13" t="s">
        <v>259</v>
      </c>
      <c r="C343" s="10">
        <v>1</v>
      </c>
      <c r="D343" s="10">
        <v>0</v>
      </c>
      <c r="E343" s="7">
        <f>+$I$2+(FIDAA[[#This Row],[QUANTITE]]*FIDAA[[#This Row],[PRIX UNITAIRE]])</f>
        <v>0</v>
      </c>
      <c r="F343" s="22">
        <v>1500000</v>
      </c>
      <c r="G343" s="6">
        <f>SUM(E$9:$E343)-SUM(F$9:$F343)</f>
        <v>10484850</v>
      </c>
    </row>
    <row r="344" spans="1:7" ht="28.8" x14ac:dyDescent="0.55000000000000004">
      <c r="A344" s="12">
        <v>45842</v>
      </c>
      <c r="B344" s="13" t="s">
        <v>27</v>
      </c>
      <c r="C344" s="10">
        <v>4</v>
      </c>
      <c r="D344" s="10">
        <v>42500</v>
      </c>
      <c r="E344" s="7">
        <f>+$I$2+(FIDAA[[#This Row],[QUANTITE]]*FIDAA[[#This Row],[PRIX UNITAIRE]])</f>
        <v>170000</v>
      </c>
      <c r="F344" s="22"/>
      <c r="G344" s="6">
        <f>SUM(E$9:$E344)-SUM(F$9:$F344)</f>
        <v>10654850</v>
      </c>
    </row>
    <row r="345" spans="1:7" ht="28.8" x14ac:dyDescent="0.55000000000000004">
      <c r="A345" s="12">
        <v>45842</v>
      </c>
      <c r="B345" s="13" t="s">
        <v>1252</v>
      </c>
      <c r="C345" s="10">
        <v>4</v>
      </c>
      <c r="D345" s="10">
        <v>40000</v>
      </c>
      <c r="E345" s="7">
        <f>+$I$2+(FIDAA[[#This Row],[QUANTITE]]*FIDAA[[#This Row],[PRIX UNITAIRE]])</f>
        <v>160000</v>
      </c>
      <c r="F345" s="22"/>
      <c r="G345" s="6">
        <f>SUM(E$9:$E345)-SUM(F$9:$F345)</f>
        <v>10814850</v>
      </c>
    </row>
    <row r="346" spans="1:7" ht="28.8" x14ac:dyDescent="0.55000000000000004">
      <c r="A346" s="12">
        <v>45842</v>
      </c>
      <c r="B346" s="13" t="s">
        <v>189</v>
      </c>
      <c r="C346" s="10">
        <v>4</v>
      </c>
      <c r="D346" s="10">
        <v>27000</v>
      </c>
      <c r="E346" s="7">
        <f>+$I$2+(FIDAA[[#This Row],[QUANTITE]]*FIDAA[[#This Row],[PRIX UNITAIRE]])</f>
        <v>108000</v>
      </c>
      <c r="F346" s="22"/>
      <c r="G346" s="6">
        <f>SUM(E$9:$E346)-SUM(F$9:$F346)</f>
        <v>10922850</v>
      </c>
    </row>
    <row r="347" spans="1:7" ht="28.8" x14ac:dyDescent="0.55000000000000004">
      <c r="A347" s="12">
        <v>45842</v>
      </c>
      <c r="B347" s="13" t="s">
        <v>1253</v>
      </c>
      <c r="C347" s="10">
        <v>8</v>
      </c>
      <c r="D347" s="10">
        <v>70000</v>
      </c>
      <c r="E347" s="7">
        <f>+$I$2+(FIDAA[[#This Row],[QUANTITE]]*FIDAA[[#This Row],[PRIX UNITAIRE]])</f>
        <v>560000</v>
      </c>
      <c r="F347" s="22"/>
      <c r="G347" s="6">
        <f>SUM(E$9:$E347)-SUM(F$9:$F347)</f>
        <v>11482850</v>
      </c>
    </row>
    <row r="348" spans="1:7" ht="28.8" x14ac:dyDescent="0.55000000000000004">
      <c r="A348" s="12">
        <v>45842</v>
      </c>
      <c r="B348" s="13" t="s">
        <v>242</v>
      </c>
      <c r="C348" s="10">
        <v>4</v>
      </c>
      <c r="D348" s="10">
        <v>103000</v>
      </c>
      <c r="E348" s="7">
        <f>+$I$2+(FIDAA[[#This Row],[QUANTITE]]*FIDAA[[#This Row],[PRIX UNITAIRE]])</f>
        <v>412000</v>
      </c>
      <c r="F348" s="22"/>
      <c r="G348" s="6">
        <f>SUM(E$9:$E348)-SUM(F$9:$F348)</f>
        <v>11894850</v>
      </c>
    </row>
    <row r="349" spans="1:7" ht="28.8" x14ac:dyDescent="0.55000000000000004">
      <c r="A349" s="12">
        <v>45842</v>
      </c>
      <c r="B349" s="13" t="s">
        <v>234</v>
      </c>
      <c r="C349" s="10">
        <v>8</v>
      </c>
      <c r="D349" s="10">
        <v>21500</v>
      </c>
      <c r="E349" s="7">
        <f>+$I$2+(FIDAA[[#This Row],[QUANTITE]]*FIDAA[[#This Row],[PRIX UNITAIRE]])</f>
        <v>172000</v>
      </c>
      <c r="F349" s="22"/>
      <c r="G349" s="6">
        <f>SUM(E$9:$E349)-SUM(F$9:$F349)</f>
        <v>12066850</v>
      </c>
    </row>
    <row r="350" spans="1:7" ht="28.8" x14ac:dyDescent="0.55000000000000004">
      <c r="A350" s="12">
        <v>45826</v>
      </c>
      <c r="B350" s="13" t="s">
        <v>259</v>
      </c>
      <c r="C350" s="10"/>
      <c r="D350" s="10"/>
      <c r="E350" s="7">
        <f>+$I$2+(FIDAA[[#This Row],[QUANTITE]]*FIDAA[[#This Row],[PRIX UNITAIRE]])</f>
        <v>0</v>
      </c>
      <c r="F350" s="22">
        <v>1500000</v>
      </c>
      <c r="G350" s="6">
        <f>SUM(E$9:$E350)-SUM(F$9:$F350)</f>
        <v>10566850</v>
      </c>
    </row>
    <row r="351" spans="1:7" ht="28.8" x14ac:dyDescent="0.55000000000000004">
      <c r="A351" s="12">
        <v>45880</v>
      </c>
      <c r="B351" s="13" t="s">
        <v>259</v>
      </c>
      <c r="C351" s="10"/>
      <c r="D351" s="10"/>
      <c r="E351" s="7">
        <f>+$I$2+(FIDAA[[#This Row],[QUANTITE]]*FIDAA[[#This Row],[PRIX UNITAIRE]])</f>
        <v>0</v>
      </c>
      <c r="F351" s="22">
        <v>2360000</v>
      </c>
      <c r="G351" s="6">
        <f>SUM(E$9:$E351)-SUM(F$9:$F351)</f>
        <v>8206850</v>
      </c>
    </row>
    <row r="352" spans="1:7" ht="28.8" x14ac:dyDescent="0.55000000000000004">
      <c r="A352" s="12">
        <v>45880</v>
      </c>
      <c r="B352" s="13" t="s">
        <v>2949</v>
      </c>
      <c r="C352" s="10">
        <v>10</v>
      </c>
      <c r="D352" s="10">
        <v>25000</v>
      </c>
      <c r="E352" s="7">
        <f>+$I$2+(FIDAA[[#This Row],[QUANTITE]]*FIDAA[[#This Row],[PRIX UNITAIRE]])</f>
        <v>250000</v>
      </c>
      <c r="F352" s="22"/>
      <c r="G352" s="6">
        <f>SUM(E$9:$E352)-SUM(F$9:$F352)</f>
        <v>8456850</v>
      </c>
    </row>
    <row r="353" spans="1:7" ht="28.8" x14ac:dyDescent="0.55000000000000004">
      <c r="A353" s="12">
        <v>45880</v>
      </c>
      <c r="B353" s="13" t="s">
        <v>2950</v>
      </c>
      <c r="C353" s="10">
        <v>5</v>
      </c>
      <c r="D353" s="10">
        <v>38000</v>
      </c>
      <c r="E353" s="7">
        <f>+$I$2+(FIDAA[[#This Row],[QUANTITE]]*FIDAA[[#This Row],[PRIX UNITAIRE]])</f>
        <v>190000</v>
      </c>
      <c r="F353" s="22"/>
      <c r="G353" s="6">
        <f>SUM(E$9:$E353)-SUM(F$9:$F353)</f>
        <v>8646850</v>
      </c>
    </row>
    <row r="354" spans="1:7" ht="28.8" x14ac:dyDescent="0.55000000000000004">
      <c r="A354" s="12">
        <v>45880</v>
      </c>
      <c r="B354" s="13" t="s">
        <v>2951</v>
      </c>
      <c r="C354" s="10">
        <v>4</v>
      </c>
      <c r="D354" s="10">
        <v>52500</v>
      </c>
      <c r="E354" s="7">
        <f>+$I$2+(FIDAA[[#This Row],[QUANTITE]]*FIDAA[[#This Row],[PRIX UNITAIRE]])</f>
        <v>210000</v>
      </c>
      <c r="F354" s="22"/>
      <c r="G354" s="6">
        <f>SUM(E$9:$E354)-SUM(F$9:$F354)</f>
        <v>8856850</v>
      </c>
    </row>
    <row r="355" spans="1:7" ht="28.8" x14ac:dyDescent="0.55000000000000004">
      <c r="A355" s="12">
        <v>45880</v>
      </c>
      <c r="B355" s="13" t="s">
        <v>2952</v>
      </c>
      <c r="C355" s="10">
        <v>3</v>
      </c>
      <c r="D355" s="10">
        <v>70000</v>
      </c>
      <c r="E355" s="7">
        <f>+$I$2+(FIDAA[[#This Row],[QUANTITE]]*FIDAA[[#This Row],[PRIX UNITAIRE]])</f>
        <v>210000</v>
      </c>
      <c r="F355" s="22"/>
      <c r="G355" s="6">
        <f>SUM(E$9:$E355)-SUM(F$9:$F355)</f>
        <v>9066850</v>
      </c>
    </row>
    <row r="356" spans="1:7" ht="28.8" x14ac:dyDescent="0.55000000000000004">
      <c r="A356" s="12">
        <v>45898</v>
      </c>
      <c r="B356" s="13" t="s">
        <v>450</v>
      </c>
      <c r="C356" s="10">
        <v>5</v>
      </c>
      <c r="D356" s="10">
        <v>123000</v>
      </c>
      <c r="E356" s="7">
        <f>+$I$2+(FIDAA[[#This Row],[QUANTITE]]*FIDAA[[#This Row],[PRIX UNITAIRE]])</f>
        <v>615000</v>
      </c>
      <c r="F356" s="22"/>
      <c r="G356" s="6">
        <f>SUM(E$9:$E356)-SUM(F$9:$F356)</f>
        <v>9681850</v>
      </c>
    </row>
    <row r="357" spans="1:7" ht="28.8" x14ac:dyDescent="0.55000000000000004">
      <c r="A357" s="12">
        <v>45898</v>
      </c>
      <c r="B357" s="13" t="s">
        <v>219</v>
      </c>
      <c r="C357" s="10">
        <v>4</v>
      </c>
      <c r="D357" s="10">
        <v>40000</v>
      </c>
      <c r="E357" s="7">
        <f>+$I$2+(FIDAA[[#This Row],[QUANTITE]]*FIDAA[[#This Row],[PRIX UNITAIRE]])</f>
        <v>160000</v>
      </c>
      <c r="F357" s="22"/>
      <c r="G357" s="6">
        <f>SUM(E$9:$E357)-SUM(F$9:$F357)</f>
        <v>9841850</v>
      </c>
    </row>
    <row r="358" spans="1:7" ht="28.8" x14ac:dyDescent="0.55000000000000004">
      <c r="A358" s="12">
        <v>45898</v>
      </c>
      <c r="B358" s="13" t="s">
        <v>2951</v>
      </c>
      <c r="C358" s="10">
        <v>2</v>
      </c>
      <c r="D358" s="10">
        <v>50000</v>
      </c>
      <c r="E358" s="7">
        <f>+$I$2+(FIDAA[[#This Row],[QUANTITE]]*FIDAA[[#This Row],[PRIX UNITAIRE]])</f>
        <v>100000</v>
      </c>
      <c r="F358" s="22"/>
      <c r="G358" s="6">
        <f>SUM(E$9:$E358)-SUM(F$9:$F358)</f>
        <v>9941850</v>
      </c>
    </row>
    <row r="359" spans="1:7" ht="28.8" x14ac:dyDescent="0.55000000000000004">
      <c r="A359" s="12">
        <v>45898</v>
      </c>
      <c r="B359" s="13" t="s">
        <v>259</v>
      </c>
      <c r="C359" s="10"/>
      <c r="D359" s="10"/>
      <c r="E359" s="7">
        <f>+$I$2+(FIDAA[[#This Row],[QUANTITE]]*FIDAA[[#This Row],[PRIX UNITAIRE]])</f>
        <v>0</v>
      </c>
      <c r="F359" s="22">
        <v>875000</v>
      </c>
      <c r="G359" s="6">
        <f>SUM(E$9:$E359)-SUM(F$9:$F359)</f>
        <v>9066850</v>
      </c>
    </row>
    <row r="360" spans="1:7" ht="28.8" x14ac:dyDescent="0.55000000000000004">
      <c r="A360" s="12">
        <v>45916</v>
      </c>
      <c r="B360" s="13" t="s">
        <v>3087</v>
      </c>
      <c r="C360" s="10">
        <v>8</v>
      </c>
      <c r="D360" s="10">
        <v>19000</v>
      </c>
      <c r="E360" s="7">
        <f>+$I$2+(FIDAA[[#This Row],[QUANTITE]]*FIDAA[[#This Row],[PRIX UNITAIRE]])</f>
        <v>152000</v>
      </c>
      <c r="F360" s="22"/>
      <c r="G360" s="6">
        <f>SUM(E$9:$E360)-SUM(F$9:$F360)</f>
        <v>9218850</v>
      </c>
    </row>
    <row r="361" spans="1:7" ht="28.8" x14ac:dyDescent="0.55000000000000004">
      <c r="A361" s="12">
        <v>45916</v>
      </c>
      <c r="B361" s="13" t="s">
        <v>3088</v>
      </c>
      <c r="C361" s="10">
        <v>2</v>
      </c>
      <c r="D361" s="10">
        <v>17000</v>
      </c>
      <c r="E361" s="7">
        <f>+$I$2+(FIDAA[[#This Row],[QUANTITE]]*FIDAA[[#This Row],[PRIX UNITAIRE]])</f>
        <v>34000</v>
      </c>
      <c r="F361" s="22"/>
      <c r="G361" s="6">
        <f>SUM(E$9:$E361)-SUM(F$9:$F361)</f>
        <v>9252850</v>
      </c>
    </row>
    <row r="362" spans="1:7" ht="28.8" x14ac:dyDescent="0.55000000000000004">
      <c r="A362" s="12">
        <v>45916</v>
      </c>
      <c r="B362" s="13" t="s">
        <v>3089</v>
      </c>
      <c r="C362" s="10">
        <v>2</v>
      </c>
      <c r="D362" s="10">
        <v>30000</v>
      </c>
      <c r="E362" s="7">
        <f>+$I$2+(FIDAA[[#This Row],[QUANTITE]]*FIDAA[[#This Row],[PRIX UNITAIRE]])</f>
        <v>60000</v>
      </c>
      <c r="F362" s="22"/>
      <c r="G362" s="6">
        <f>SUM(E$9:$E362)-SUM(F$9:$F362)</f>
        <v>9312850</v>
      </c>
    </row>
    <row r="363" spans="1:7" ht="28.8" x14ac:dyDescent="0.55000000000000004">
      <c r="A363" s="12">
        <v>45916</v>
      </c>
      <c r="B363" s="13" t="s">
        <v>3090</v>
      </c>
      <c r="C363" s="10">
        <v>4</v>
      </c>
      <c r="D363" s="10">
        <v>21000</v>
      </c>
      <c r="E363" s="7">
        <f>+$I$2+(FIDAA[[#This Row],[QUANTITE]]*FIDAA[[#This Row],[PRIX UNITAIRE]])</f>
        <v>84000</v>
      </c>
      <c r="F363" s="22"/>
      <c r="G363" s="6">
        <f>SUM(E$9:$E363)-SUM(F$9:$F363)</f>
        <v>9396850</v>
      </c>
    </row>
    <row r="364" spans="1:7" ht="28.8" x14ac:dyDescent="0.55000000000000004">
      <c r="A364" s="12">
        <v>45916</v>
      </c>
      <c r="B364" s="13" t="s">
        <v>3091</v>
      </c>
      <c r="C364" s="10">
        <v>4</v>
      </c>
      <c r="D364" s="10">
        <v>27000</v>
      </c>
      <c r="E364" s="7">
        <f>+$I$2+(FIDAA[[#This Row],[QUANTITE]]*FIDAA[[#This Row],[PRIX UNITAIRE]])</f>
        <v>108000</v>
      </c>
      <c r="F364" s="22"/>
      <c r="G364" s="6">
        <f>SUM(E$9:$E364)-SUM(F$9:$F364)</f>
        <v>9504850</v>
      </c>
    </row>
    <row r="365" spans="1:7" ht="28.8" x14ac:dyDescent="0.55000000000000004">
      <c r="A365" s="12">
        <v>45916</v>
      </c>
      <c r="B365" s="13" t="s">
        <v>3092</v>
      </c>
      <c r="C365" s="10">
        <v>4</v>
      </c>
      <c r="D365" s="10">
        <v>32500</v>
      </c>
      <c r="E365" s="7">
        <f>+$I$2+(FIDAA[[#This Row],[QUANTITE]]*FIDAA[[#This Row],[PRIX UNITAIRE]])</f>
        <v>130000</v>
      </c>
      <c r="F365" s="22"/>
      <c r="G365" s="6">
        <f>SUM(E$9:$E365)-SUM(F$9:$F365)</f>
        <v>9634850</v>
      </c>
    </row>
    <row r="366" spans="1:7" ht="28.8" x14ac:dyDescent="0.55000000000000004">
      <c r="A366" s="12">
        <v>45916</v>
      </c>
      <c r="B366" s="13" t="s">
        <v>3093</v>
      </c>
      <c r="C366" s="10">
        <v>4</v>
      </c>
      <c r="D366" s="10">
        <v>45000</v>
      </c>
      <c r="E366" s="7">
        <f>+$I$2+(FIDAA[[#This Row],[QUANTITE]]*FIDAA[[#This Row],[PRIX UNITAIRE]])</f>
        <v>180000</v>
      </c>
      <c r="F366" s="22"/>
      <c r="G366" s="6">
        <f>SUM(E$9:$E366)-SUM(F$9:$F366)</f>
        <v>9814850</v>
      </c>
    </row>
    <row r="367" spans="1:7" ht="28.8" x14ac:dyDescent="0.55000000000000004">
      <c r="A367" s="12">
        <v>45925</v>
      </c>
      <c r="B367" s="13" t="s">
        <v>3097</v>
      </c>
      <c r="C367" s="10">
        <v>4</v>
      </c>
      <c r="D367" s="10">
        <v>48500</v>
      </c>
      <c r="E367" s="7">
        <f>+$I$2+(FIDAA[[#This Row],[QUANTITE]]*FIDAA[[#This Row],[PRIX UNITAIRE]])</f>
        <v>194000</v>
      </c>
      <c r="F367" s="22"/>
      <c r="G367" s="6">
        <f>SUM(E$9:$E367)-SUM(F$9:$F367)</f>
        <v>10008850</v>
      </c>
    </row>
    <row r="368" spans="1:7" ht="28.8" x14ac:dyDescent="0.55000000000000004">
      <c r="A368" s="12">
        <v>45925</v>
      </c>
      <c r="B368" s="13" t="s">
        <v>3094</v>
      </c>
      <c r="C368" s="10">
        <v>4</v>
      </c>
      <c r="D368" s="10">
        <v>31000</v>
      </c>
      <c r="E368" s="7">
        <f>+$I$2+(FIDAA[[#This Row],[QUANTITE]]*FIDAA[[#This Row],[PRIX UNITAIRE]])</f>
        <v>124000</v>
      </c>
      <c r="F368" s="22"/>
      <c r="G368" s="6">
        <f>SUM(E$9:$E368)-SUM(F$9:$F368)</f>
        <v>10132850</v>
      </c>
    </row>
    <row r="369" spans="1:7" ht="28.8" x14ac:dyDescent="0.55000000000000004">
      <c r="A369" s="12">
        <v>45925</v>
      </c>
      <c r="B369" s="13" t="s">
        <v>3095</v>
      </c>
      <c r="C369" s="10">
        <v>4</v>
      </c>
      <c r="D369" s="10">
        <v>46000</v>
      </c>
      <c r="E369" s="7">
        <f>+$I$2+(FIDAA[[#This Row],[QUANTITE]]*FIDAA[[#This Row],[PRIX UNITAIRE]])</f>
        <v>184000</v>
      </c>
      <c r="F369" s="22"/>
      <c r="G369" s="6">
        <f>SUM(E$9:$E369)-SUM(F$9:$F369)</f>
        <v>10316850</v>
      </c>
    </row>
    <row r="370" spans="1:7" ht="28.8" x14ac:dyDescent="0.55000000000000004">
      <c r="A370" s="12">
        <v>45925</v>
      </c>
      <c r="B370" s="13" t="s">
        <v>263</v>
      </c>
      <c r="C370" s="10">
        <v>5</v>
      </c>
      <c r="D370" s="10">
        <v>30500</v>
      </c>
      <c r="E370" s="7">
        <f>+$I$2+(FIDAA[[#This Row],[QUANTITE]]*FIDAA[[#This Row],[PRIX UNITAIRE]])</f>
        <v>152500</v>
      </c>
      <c r="F370" s="22"/>
      <c r="G370" s="6">
        <f>SUM(E$9:$E370)-SUM(F$9:$F370)</f>
        <v>10469350</v>
      </c>
    </row>
    <row r="371" spans="1:7" ht="28.8" x14ac:dyDescent="0.55000000000000004">
      <c r="A371" s="12">
        <v>45925</v>
      </c>
      <c r="B371" s="13" t="s">
        <v>3096</v>
      </c>
      <c r="C371" s="10">
        <v>5</v>
      </c>
      <c r="D371" s="10">
        <v>126500</v>
      </c>
      <c r="E371" s="7">
        <f>+$I$2+(FIDAA[[#This Row],[QUANTITE]]*FIDAA[[#This Row],[PRIX UNITAIRE]])</f>
        <v>632500</v>
      </c>
      <c r="F371" s="22"/>
      <c r="G371" s="6">
        <f>SUM(E$9:$E371)-SUM(F$9:$F371)</f>
        <v>11101850</v>
      </c>
    </row>
    <row r="372" spans="1:7" ht="28.8" x14ac:dyDescent="0.55000000000000004">
      <c r="A372" s="12">
        <v>45934</v>
      </c>
      <c r="B372" s="13" t="s">
        <v>249</v>
      </c>
      <c r="C372" s="10">
        <v>10</v>
      </c>
      <c r="D372" s="10">
        <v>105000</v>
      </c>
      <c r="E372" s="7">
        <f>+$I$2+(FIDAA[[#This Row],[QUANTITE]]*FIDAA[[#This Row],[PRIX UNITAIRE]])</f>
        <v>1050000</v>
      </c>
      <c r="F372" s="22"/>
      <c r="G372" s="6">
        <f>SUM(E$9:$E372)-SUM(F$9:$F372)</f>
        <v>12151850</v>
      </c>
    </row>
    <row r="373" spans="1:7" ht="28.8" x14ac:dyDescent="0.55000000000000004">
      <c r="A373" s="12">
        <v>45929</v>
      </c>
      <c r="B373" s="13" t="s">
        <v>433</v>
      </c>
      <c r="C373" s="10"/>
      <c r="D373" s="10"/>
      <c r="E373" s="7">
        <f>+$I$2+(FIDAA[[#This Row],[QUANTITE]]*FIDAA[[#This Row],[PRIX UNITAIRE]])</f>
        <v>0</v>
      </c>
      <c r="F373" s="22">
        <v>2030000</v>
      </c>
      <c r="G373" s="6">
        <f>SUM(E$9:$E373)-SUM(F$9:$F373)</f>
        <v>10121850</v>
      </c>
    </row>
    <row r="374" spans="1:7" ht="28.8" x14ac:dyDescent="0.55000000000000004">
      <c r="A374" s="12">
        <v>45965</v>
      </c>
      <c r="B374" s="13" t="s">
        <v>234</v>
      </c>
      <c r="C374" s="10">
        <v>10</v>
      </c>
      <c r="D374" s="10">
        <v>19000</v>
      </c>
      <c r="E374" s="7">
        <f>+$I$2+(FIDAA[[#This Row],[QUANTITE]]*FIDAA[[#This Row],[PRIX UNITAIRE]])</f>
        <v>190000</v>
      </c>
      <c r="F374" s="22"/>
      <c r="G374" s="6">
        <f>SUM(E$9:$E374)-SUM(F$9:$F374)</f>
        <v>10311850</v>
      </c>
    </row>
    <row r="375" spans="1:7" ht="28.8" x14ac:dyDescent="0.55000000000000004">
      <c r="A375" s="12">
        <v>45965</v>
      </c>
      <c r="B375" s="13" t="s">
        <v>3202</v>
      </c>
      <c r="C375" s="10">
        <v>4</v>
      </c>
      <c r="D375" s="10">
        <v>27500</v>
      </c>
      <c r="E375" s="7">
        <f>+$I$2+(FIDAA[[#This Row],[QUANTITE]]*FIDAA[[#This Row],[PRIX UNITAIRE]])</f>
        <v>110000</v>
      </c>
      <c r="F375" s="22"/>
      <c r="G375" s="6">
        <f>SUM(E$9:$E375)-SUM(F$9:$F375)</f>
        <v>10421850</v>
      </c>
    </row>
    <row r="376" spans="1:7" ht="28.8" x14ac:dyDescent="0.55000000000000004">
      <c r="A376" s="12">
        <v>45965</v>
      </c>
      <c r="B376" s="13" t="s">
        <v>3203</v>
      </c>
      <c r="C376" s="10">
        <v>4</v>
      </c>
      <c r="D376" s="10">
        <v>40000</v>
      </c>
      <c r="E376" s="7">
        <f>+$I$2+(FIDAA[[#This Row],[QUANTITE]]*FIDAA[[#This Row],[PRIX UNITAIRE]])</f>
        <v>160000</v>
      </c>
      <c r="F376" s="22"/>
      <c r="G376" s="6">
        <f>SUM(E$9:$E376)-SUM(F$9:$F376)</f>
        <v>10581850</v>
      </c>
    </row>
    <row r="377" spans="1:7" ht="28.8" x14ac:dyDescent="0.55000000000000004">
      <c r="A377" s="12">
        <v>45965</v>
      </c>
      <c r="B377" s="13" t="s">
        <v>3204</v>
      </c>
      <c r="C377" s="10">
        <v>5</v>
      </c>
      <c r="D377" s="10">
        <v>22500</v>
      </c>
      <c r="E377" s="7">
        <f>+$I$2+(FIDAA[[#This Row],[QUANTITE]]*FIDAA[[#This Row],[PRIX UNITAIRE]])</f>
        <v>112500</v>
      </c>
      <c r="F377" s="22"/>
      <c r="G377" s="6">
        <f>SUM(E$9:$E377)-SUM(F$9:$F377)</f>
        <v>10694350</v>
      </c>
    </row>
    <row r="378" spans="1:7" ht="28.8" x14ac:dyDescent="0.55000000000000004">
      <c r="A378" s="12">
        <v>45969</v>
      </c>
      <c r="B378" s="13" t="s">
        <v>259</v>
      </c>
      <c r="C378" s="10"/>
      <c r="D378" s="10"/>
      <c r="E378" s="7">
        <f>+$I$2+(FIDAA[[#This Row],[QUANTITE]]*FIDAA[[#This Row],[PRIX UNITAIRE]])</f>
        <v>0</v>
      </c>
      <c r="F378" s="22">
        <v>1000000</v>
      </c>
      <c r="G378" s="6">
        <f>SUM(E$9:$E378)-SUM(F$9:$F378)</f>
        <v>9694350</v>
      </c>
    </row>
    <row r="379" spans="1:7" ht="28.8" x14ac:dyDescent="0.55000000000000004">
      <c r="A379" s="12">
        <v>45989</v>
      </c>
      <c r="B379" s="13" t="s">
        <v>248</v>
      </c>
      <c r="C379" s="10">
        <v>10</v>
      </c>
      <c r="D379" s="10">
        <v>124000</v>
      </c>
      <c r="E379" s="7">
        <f>+$I$2+(FIDAA[[#This Row],[QUANTITE]]*FIDAA[[#This Row],[PRIX UNITAIRE]])</f>
        <v>1240000</v>
      </c>
      <c r="F379" s="22"/>
      <c r="G379" s="6">
        <f>SUM(E$9:$E379)-SUM(F$9:$F379)</f>
        <v>10934350</v>
      </c>
    </row>
    <row r="380" spans="1:7" ht="28.8" x14ac:dyDescent="0.55000000000000004">
      <c r="A380" s="12">
        <v>46006</v>
      </c>
      <c r="B380" s="13" t="s">
        <v>259</v>
      </c>
      <c r="C380" s="10"/>
      <c r="D380" s="10"/>
      <c r="E380" s="7">
        <f>+$I$2+(FIDAA[[#This Row],[QUANTITE]]*FIDAA[[#This Row],[PRIX UNITAIRE]])</f>
        <v>0</v>
      </c>
      <c r="F380" s="22">
        <v>1000000</v>
      </c>
      <c r="G380" s="6">
        <f>SUM(E$9:$E380)-SUM(F$9:$F380)</f>
        <v>9934350</v>
      </c>
    </row>
    <row r="381" spans="1:7" ht="28.8" x14ac:dyDescent="0.55000000000000004">
      <c r="A381" s="12">
        <v>46024</v>
      </c>
      <c r="B381" s="13" t="s">
        <v>259</v>
      </c>
      <c r="C381" s="10"/>
      <c r="D381" s="10"/>
      <c r="E381" s="7">
        <f>+$I$2+(FIDAA[[#This Row],[QUANTITE]]*FIDAA[[#This Row],[PRIX UNITAIRE]])</f>
        <v>0</v>
      </c>
      <c r="F381" s="22">
        <v>1000000</v>
      </c>
      <c r="G381" s="6">
        <f>SUM(E$9:$E381)-SUM(F$9:$F381)</f>
        <v>8934350</v>
      </c>
    </row>
    <row r="382" spans="1:7" ht="28.8" x14ac:dyDescent="0.55000000000000004">
      <c r="A382" s="12">
        <v>46004</v>
      </c>
      <c r="B382" s="13" t="s">
        <v>3320</v>
      </c>
      <c r="C382" s="10">
        <v>2</v>
      </c>
      <c r="D382" s="10">
        <v>50000</v>
      </c>
      <c r="E382" s="7">
        <f>+$I$2+(FIDAA[[#This Row],[QUANTITE]]*FIDAA[[#This Row],[PRIX UNITAIRE]])</f>
        <v>100000</v>
      </c>
      <c r="F382" s="22"/>
      <c r="G382" s="6">
        <f>SUM(E$9:$E382)-SUM(F$9:$F382)</f>
        <v>9034350</v>
      </c>
    </row>
    <row r="383" spans="1:7" ht="28.8" x14ac:dyDescent="0.55000000000000004">
      <c r="A383" s="12">
        <v>46021</v>
      </c>
      <c r="B383" s="13" t="s">
        <v>259</v>
      </c>
      <c r="C383" s="10"/>
      <c r="D383" s="10"/>
      <c r="E383" s="7">
        <f>+$I$2+(FIDAA[[#This Row],[QUANTITE]]*FIDAA[[#This Row],[PRIX UNITAIRE]])</f>
        <v>0</v>
      </c>
      <c r="F383" s="22">
        <v>1000000</v>
      </c>
      <c r="G383" s="6">
        <f>SUM(E$9:$E383)-SUM(F$9:$F383)</f>
        <v>8034350</v>
      </c>
    </row>
    <row r="384" spans="1:7" ht="28.8" x14ac:dyDescent="0.55000000000000004">
      <c r="A384" s="12">
        <v>46055</v>
      </c>
      <c r="B384" s="13" t="s">
        <v>259</v>
      </c>
      <c r="C384" s="10"/>
      <c r="D384" s="10"/>
      <c r="E384" s="7">
        <f>+$I$2+(FIDAA[[#This Row],[QUANTITE]]*FIDAA[[#This Row],[PRIX UNITAIRE]])</f>
        <v>0</v>
      </c>
      <c r="F384" s="22">
        <v>1000000</v>
      </c>
      <c r="G384" s="6">
        <f>SUM(E$9:$E384)-SUM(F$9:$F384)</f>
        <v>7034350</v>
      </c>
    </row>
    <row r="385" spans="1:7" ht="28.8" x14ac:dyDescent="0.55000000000000004">
      <c r="A385" s="12"/>
      <c r="B385" s="13"/>
      <c r="C385" s="10">
        <v>1</v>
      </c>
      <c r="D385" s="10">
        <v>0</v>
      </c>
      <c r="E385" s="7">
        <f>+$I$2+(FIDAA[[#This Row],[QUANTITE]]*FIDAA[[#This Row],[PRIX UNITAIRE]])</f>
        <v>0</v>
      </c>
      <c r="F385" s="22">
        <v>300000</v>
      </c>
      <c r="G385" s="6">
        <f>SUM(E$9:$E385)-SUM(F$9:$F385)</f>
        <v>6734350</v>
      </c>
    </row>
    <row r="386" spans="1:7" ht="28.8" x14ac:dyDescent="0.55000000000000004">
      <c r="A386" s="12"/>
      <c r="B386" s="13"/>
      <c r="C386" s="10"/>
      <c r="D386" s="10"/>
      <c r="E386" s="7">
        <f>+$I$2+(FIDAA[[#This Row],[QUANTITE]]*FIDAA[[#This Row],[PRIX UNITAIRE]])</f>
        <v>0</v>
      </c>
      <c r="F386" s="22"/>
      <c r="G386" s="6">
        <f>SUM(E$9:$E386)-SUM(F$9:$F386)</f>
        <v>6734350</v>
      </c>
    </row>
    <row r="387" spans="1:7" ht="28.8" x14ac:dyDescent="0.55000000000000004">
      <c r="A387" s="12"/>
      <c r="B387" s="13"/>
      <c r="C387" s="10"/>
      <c r="D387" s="10"/>
      <c r="E387" s="7">
        <f>+$I$2+(FIDAA[[#This Row],[QUANTITE]]*FIDAA[[#This Row],[PRIX UNITAIRE]])</f>
        <v>0</v>
      </c>
      <c r="F387" s="22"/>
      <c r="G387" s="6">
        <f>SUM(E$9:$E387)-SUM(F$9:$F387)</f>
        <v>6734350</v>
      </c>
    </row>
    <row r="388" spans="1:7" ht="28.8" x14ac:dyDescent="0.55000000000000004">
      <c r="A388" s="12"/>
      <c r="B388" s="13"/>
      <c r="C388" s="10"/>
      <c r="D388" s="10"/>
      <c r="E388" s="7">
        <f>+$I$2+(FIDAA[[#This Row],[QUANTITE]]*FIDAA[[#This Row],[PRIX UNITAIRE]])</f>
        <v>0</v>
      </c>
      <c r="F388" s="22"/>
      <c r="G388" s="6">
        <f>SUM(E$9:$E388)-SUM(F$9:$F388)</f>
        <v>6734350</v>
      </c>
    </row>
    <row r="389" spans="1:7" ht="28.8" x14ac:dyDescent="0.55000000000000004">
      <c r="A389" s="12"/>
      <c r="B389" s="13"/>
      <c r="C389" s="10"/>
      <c r="D389" s="10"/>
      <c r="E389" s="7">
        <f>+$I$2+(FIDAA[[#This Row],[QUANTITE]]*FIDAA[[#This Row],[PRIX UNITAIRE]])</f>
        <v>0</v>
      </c>
      <c r="F389" s="22"/>
      <c r="G389" s="6">
        <f>SUM(E$9:$E389)-SUM(F$9:$F389)</f>
        <v>6734350</v>
      </c>
    </row>
    <row r="390" spans="1:7" ht="28.8" x14ac:dyDescent="0.55000000000000004">
      <c r="A390" s="12"/>
      <c r="B390" s="13"/>
      <c r="C390" s="10"/>
      <c r="D390" s="10"/>
      <c r="E390" s="7">
        <f>+$I$2+(FIDAA[[#This Row],[QUANTITE]]*FIDAA[[#This Row],[PRIX UNITAIRE]])</f>
        <v>0</v>
      </c>
      <c r="F390" s="22"/>
      <c r="G390" s="6">
        <f>SUM(E$9:$E390)-SUM(F$9:$F390)</f>
        <v>6734350</v>
      </c>
    </row>
    <row r="391" spans="1:7" ht="28.8" x14ac:dyDescent="0.55000000000000004">
      <c r="A391" s="12"/>
      <c r="B391" s="13"/>
      <c r="C391" s="10"/>
      <c r="D391" s="10"/>
      <c r="E391" s="7">
        <f>+$I$2+(FIDAA[[#This Row],[QUANTITE]]*FIDAA[[#This Row],[PRIX UNITAIRE]])</f>
        <v>0</v>
      </c>
      <c r="F391" s="22"/>
      <c r="G391" s="6">
        <f>SUM(E$9:$E391)-SUM(F$9:$F391)</f>
        <v>6734350</v>
      </c>
    </row>
    <row r="392" spans="1:7" ht="28.8" x14ac:dyDescent="0.55000000000000004">
      <c r="A392" s="12"/>
      <c r="B392" s="13"/>
      <c r="C392" s="10"/>
      <c r="D392" s="10"/>
      <c r="E392" s="7">
        <f>+$I$2+(FIDAA[[#This Row],[QUANTITE]]*FIDAA[[#This Row],[PRIX UNITAIRE]])</f>
        <v>0</v>
      </c>
      <c r="F392" s="22"/>
      <c r="G392" s="6">
        <f>SUM(E$9:$E392)-SUM(F$9:$F392)</f>
        <v>6734350</v>
      </c>
    </row>
    <row r="393" spans="1:7" ht="28.8" x14ac:dyDescent="0.55000000000000004">
      <c r="A393" s="12"/>
      <c r="B393" s="13"/>
      <c r="C393" s="10"/>
      <c r="D393" s="10"/>
      <c r="E393" s="7">
        <f>+$I$2+(FIDAA[[#This Row],[QUANTITE]]*FIDAA[[#This Row],[PRIX UNITAIRE]])</f>
        <v>0</v>
      </c>
      <c r="F393" s="22"/>
      <c r="G393" s="6">
        <f>SUM(E$9:$E393)-SUM(F$9:$F393)</f>
        <v>6734350</v>
      </c>
    </row>
    <row r="394" spans="1:7" ht="28.8" x14ac:dyDescent="0.55000000000000004">
      <c r="A394" s="12"/>
      <c r="B394" s="13"/>
      <c r="C394" s="10"/>
      <c r="D394" s="10"/>
      <c r="E394" s="7">
        <f>+$I$2+(FIDAA[[#This Row],[QUANTITE]]*FIDAA[[#This Row],[PRIX UNITAIRE]])</f>
        <v>0</v>
      </c>
      <c r="F394" s="22"/>
      <c r="G394" s="6">
        <f>SUM(E$9:$E394)-SUM(F$9:$F394)</f>
        <v>6734350</v>
      </c>
    </row>
    <row r="395" spans="1:7" ht="28.8" x14ac:dyDescent="0.55000000000000004">
      <c r="A395" s="12"/>
      <c r="B395" s="13"/>
      <c r="C395" s="10"/>
      <c r="D395" s="10"/>
      <c r="E395" s="7">
        <f>+$I$2+(FIDAA[[#This Row],[QUANTITE]]*FIDAA[[#This Row],[PRIX UNITAIRE]])</f>
        <v>0</v>
      </c>
      <c r="F395" s="22"/>
      <c r="G395" s="6">
        <f>SUM(E$9:$E395)-SUM(F$9:$F395)</f>
        <v>6734350</v>
      </c>
    </row>
    <row r="396" spans="1:7" ht="28.8" x14ac:dyDescent="0.55000000000000004">
      <c r="A396" s="12"/>
      <c r="B396" s="13"/>
      <c r="C396" s="10"/>
      <c r="D396" s="10"/>
      <c r="E396" s="7">
        <f>+$I$2+(FIDAA[[#This Row],[QUANTITE]]*FIDAA[[#This Row],[PRIX UNITAIRE]])</f>
        <v>0</v>
      </c>
      <c r="F396" s="22"/>
      <c r="G396" s="6">
        <f>SUM(E$9:$E396)-SUM(F$9:$F396)</f>
        <v>6734350</v>
      </c>
    </row>
    <row r="397" spans="1:7" ht="28.8" x14ac:dyDescent="0.55000000000000004">
      <c r="A397" s="12"/>
      <c r="B397" s="13"/>
      <c r="C397" s="10"/>
      <c r="D397" s="10"/>
      <c r="E397" s="7">
        <f>+$I$2+(FIDAA[[#This Row],[QUANTITE]]*FIDAA[[#This Row],[PRIX UNITAIRE]])</f>
        <v>0</v>
      </c>
      <c r="F397" s="22"/>
      <c r="G397" s="6">
        <f>SUM(E$9:$E397)-SUM(F$9:$F397)</f>
        <v>6734350</v>
      </c>
    </row>
    <row r="398" spans="1:7" ht="28.8" x14ac:dyDescent="0.55000000000000004">
      <c r="A398" s="12"/>
      <c r="B398" s="13"/>
      <c r="C398" s="10"/>
      <c r="D398" s="10"/>
      <c r="E398" s="7">
        <f>+$I$2+(FIDAA[[#This Row],[QUANTITE]]*FIDAA[[#This Row],[PRIX UNITAIRE]])</f>
        <v>0</v>
      </c>
      <c r="F398" s="22"/>
      <c r="G398" s="6">
        <f>SUM(E$9:$E398)-SUM(F$9:$F398)</f>
        <v>6734350</v>
      </c>
    </row>
    <row r="399" spans="1:7" ht="28.8" x14ac:dyDescent="0.55000000000000004">
      <c r="A399" s="12"/>
      <c r="B399" s="13"/>
      <c r="C399" s="10"/>
      <c r="D399" s="10"/>
      <c r="E399" s="7">
        <f>+$I$2+(FIDAA[[#This Row],[QUANTITE]]*FIDAA[[#This Row],[PRIX UNITAIRE]])</f>
        <v>0</v>
      </c>
      <c r="F399" s="22"/>
      <c r="G399" s="6">
        <f>SUM(E$9:$E399)-SUM(F$9:$F399)</f>
        <v>6734350</v>
      </c>
    </row>
    <row r="400" spans="1:7" ht="28.8" x14ac:dyDescent="0.55000000000000004">
      <c r="A400" s="12"/>
      <c r="B400" s="13"/>
      <c r="C400" s="10"/>
      <c r="D400" s="10"/>
      <c r="E400" s="7">
        <f>+$I$2+(FIDAA[[#This Row],[QUANTITE]]*FIDAA[[#This Row],[PRIX UNITAIRE]])</f>
        <v>0</v>
      </c>
      <c r="F400" s="22"/>
      <c r="G400" s="6">
        <f>SUM(E$9:$E400)-SUM(F$9:$F400)</f>
        <v>6734350</v>
      </c>
    </row>
    <row r="401" spans="1:7" ht="28.8" x14ac:dyDescent="0.55000000000000004">
      <c r="A401" s="12"/>
      <c r="B401" s="13"/>
      <c r="C401" s="10"/>
      <c r="D401" s="10"/>
      <c r="E401" s="7">
        <f>+$I$2+(FIDAA[[#This Row],[QUANTITE]]*FIDAA[[#This Row],[PRIX UNITAIRE]])</f>
        <v>0</v>
      </c>
      <c r="F401" s="22"/>
      <c r="G401" s="6">
        <f>SUM(E$9:$E401)-SUM(F$9:$F401)</f>
        <v>6734350</v>
      </c>
    </row>
    <row r="402" spans="1:7" ht="28.8" x14ac:dyDescent="0.55000000000000004">
      <c r="A402" s="12"/>
      <c r="B402" s="13"/>
      <c r="C402" s="10"/>
      <c r="D402" s="10"/>
      <c r="E402" s="7">
        <f>+$I$2+(FIDAA[[#This Row],[QUANTITE]]*FIDAA[[#This Row],[PRIX UNITAIRE]])</f>
        <v>0</v>
      </c>
      <c r="F402" s="22"/>
      <c r="G402" s="6">
        <f>SUM(E$9:$E402)-SUM(F$9:$F402)</f>
        <v>6734350</v>
      </c>
    </row>
    <row r="403" spans="1:7" ht="28.8" x14ac:dyDescent="0.55000000000000004">
      <c r="A403" s="12"/>
      <c r="B403" s="13"/>
      <c r="C403" s="10"/>
      <c r="D403" s="10"/>
      <c r="E403" s="7">
        <f>+$I$2+(FIDAA[[#This Row],[QUANTITE]]*FIDAA[[#This Row],[PRIX UNITAIRE]])</f>
        <v>0</v>
      </c>
      <c r="F403" s="22"/>
      <c r="G403" s="6">
        <f>SUM(E$9:$E403)-SUM(F$9:$F403)</f>
        <v>6734350</v>
      </c>
    </row>
    <row r="404" spans="1:7" ht="28.8" x14ac:dyDescent="0.55000000000000004">
      <c r="A404" s="12"/>
      <c r="B404" s="13"/>
      <c r="C404" s="10"/>
      <c r="D404" s="10"/>
      <c r="E404" s="7">
        <f>+$I$2+(FIDAA[[#This Row],[QUANTITE]]*FIDAA[[#This Row],[PRIX UNITAIRE]])</f>
        <v>0</v>
      </c>
      <c r="F404" s="22"/>
      <c r="G404" s="6">
        <f>SUM(E$9:$E404)-SUM(F$9:$F404)</f>
        <v>6734350</v>
      </c>
    </row>
    <row r="405" spans="1:7" ht="28.8" x14ac:dyDescent="0.55000000000000004">
      <c r="A405" s="12"/>
      <c r="B405" s="13"/>
      <c r="C405" s="10"/>
      <c r="D405" s="10"/>
      <c r="E405" s="7">
        <f>+$I$2+(FIDAA[[#This Row],[QUANTITE]]*FIDAA[[#This Row],[PRIX UNITAIRE]])</f>
        <v>0</v>
      </c>
      <c r="F405" s="22"/>
      <c r="G405" s="6">
        <f>SUM(E$9:$E405)-SUM(F$9:$F405)</f>
        <v>6734350</v>
      </c>
    </row>
    <row r="406" spans="1:7" ht="28.8" x14ac:dyDescent="0.55000000000000004">
      <c r="A406" s="12"/>
      <c r="B406" s="13"/>
      <c r="C406" s="10"/>
      <c r="D406" s="10"/>
      <c r="E406" s="7">
        <f>+$I$2+(FIDAA[[#This Row],[QUANTITE]]*FIDAA[[#This Row],[PRIX UNITAIRE]])</f>
        <v>0</v>
      </c>
      <c r="F406" s="22"/>
      <c r="G406" s="6">
        <f>SUM(E$9:$E406)-SUM(F$9:$F406)</f>
        <v>6734350</v>
      </c>
    </row>
    <row r="407" spans="1:7" ht="28.8" x14ac:dyDescent="0.55000000000000004">
      <c r="A407" s="12"/>
      <c r="B407" s="13"/>
      <c r="C407" s="10"/>
      <c r="D407" s="10"/>
      <c r="E407" s="7">
        <f>+$I$2+(FIDAA[[#This Row],[QUANTITE]]*FIDAA[[#This Row],[PRIX UNITAIRE]])</f>
        <v>0</v>
      </c>
      <c r="F407" s="22"/>
      <c r="G407" s="6">
        <f>SUM(E$9:$E407)-SUM(F$9:$F407)</f>
        <v>6734350</v>
      </c>
    </row>
    <row r="408" spans="1:7" ht="28.8" x14ac:dyDescent="0.55000000000000004">
      <c r="A408" s="12"/>
      <c r="B408" s="13"/>
      <c r="C408" s="10"/>
      <c r="D408" s="10"/>
      <c r="E408" s="7">
        <f>+$I$2+(FIDAA[[#This Row],[QUANTITE]]*FIDAA[[#This Row],[PRIX UNITAIRE]])</f>
        <v>0</v>
      </c>
      <c r="F408" s="22"/>
      <c r="G408" s="6">
        <f>SUM(E$9:$E408)-SUM(F$9:$F408)</f>
        <v>6734350</v>
      </c>
    </row>
    <row r="409" spans="1:7" ht="28.8" x14ac:dyDescent="0.55000000000000004">
      <c r="A409" s="12"/>
      <c r="B409" s="13"/>
      <c r="C409" s="10"/>
      <c r="D409" s="10"/>
      <c r="E409" s="7">
        <f>+$I$2+(FIDAA[[#This Row],[QUANTITE]]*FIDAA[[#This Row],[PRIX UNITAIRE]])</f>
        <v>0</v>
      </c>
      <c r="F409" s="22"/>
      <c r="G409" s="6">
        <f>SUM(E$9:$E409)-SUM(F$9:$F409)</f>
        <v>6734350</v>
      </c>
    </row>
    <row r="410" spans="1:7" ht="28.8" x14ac:dyDescent="0.55000000000000004">
      <c r="A410" s="12"/>
      <c r="B410" s="13"/>
      <c r="C410" s="10"/>
      <c r="D410" s="10"/>
      <c r="E410" s="7">
        <f>+$I$2+(FIDAA[[#This Row],[QUANTITE]]*FIDAA[[#This Row],[PRIX UNITAIRE]])</f>
        <v>0</v>
      </c>
      <c r="F410" s="22"/>
      <c r="G410" s="6">
        <f>SUM(E$9:$E410)-SUM(F$9:$F410)</f>
        <v>6734350</v>
      </c>
    </row>
    <row r="411" spans="1:7" ht="28.8" x14ac:dyDescent="0.55000000000000004">
      <c r="A411" s="12"/>
      <c r="B411" s="13"/>
      <c r="C411" s="10"/>
      <c r="D411" s="10"/>
      <c r="E411" s="7">
        <f>+$I$2+(FIDAA[[#This Row],[QUANTITE]]*FIDAA[[#This Row],[PRIX UNITAIRE]])</f>
        <v>0</v>
      </c>
      <c r="F411" s="22"/>
      <c r="G411" s="6">
        <f>SUM(E$9:$E411)-SUM(F$9:$F411)</f>
        <v>6734350</v>
      </c>
    </row>
    <row r="412" spans="1:7" ht="28.8" x14ac:dyDescent="0.55000000000000004">
      <c r="A412" s="12"/>
      <c r="B412" s="13"/>
      <c r="C412" s="10"/>
      <c r="D412" s="10"/>
      <c r="E412" s="7">
        <f>+$I$2+(FIDAA[[#This Row],[QUANTITE]]*FIDAA[[#This Row],[PRIX UNITAIRE]])</f>
        <v>0</v>
      </c>
      <c r="F412" s="22"/>
      <c r="G412" s="6">
        <f>SUM(E$9:$E412)-SUM(F$9:$F412)</f>
        <v>6734350</v>
      </c>
    </row>
    <row r="413" spans="1:7" ht="28.8" x14ac:dyDescent="0.55000000000000004">
      <c r="A413" s="12"/>
      <c r="B413" s="13"/>
      <c r="C413" s="10"/>
      <c r="D413" s="10"/>
      <c r="E413" s="7">
        <f>+$I$2+(FIDAA[[#This Row],[QUANTITE]]*FIDAA[[#This Row],[PRIX UNITAIRE]])</f>
        <v>0</v>
      </c>
      <c r="F413" s="22"/>
      <c r="G413" s="6">
        <f>SUM(E$9:$E413)-SUM(F$9:$F413)</f>
        <v>6734350</v>
      </c>
    </row>
    <row r="414" spans="1:7" ht="28.8" x14ac:dyDescent="0.55000000000000004">
      <c r="A414" s="12"/>
      <c r="B414" s="13"/>
      <c r="C414" s="10"/>
      <c r="D414" s="10"/>
      <c r="E414" s="7">
        <f>+$I$2+(FIDAA[[#This Row],[QUANTITE]]*FIDAA[[#This Row],[PRIX UNITAIRE]])</f>
        <v>0</v>
      </c>
      <c r="F414" s="22"/>
      <c r="G414" s="6">
        <f>SUM(E$9:$E414)-SUM(F$9:$F414)</f>
        <v>6734350</v>
      </c>
    </row>
    <row r="415" spans="1:7" ht="28.8" x14ac:dyDescent="0.55000000000000004">
      <c r="A415" s="12"/>
      <c r="B415" s="13"/>
      <c r="C415" s="10"/>
      <c r="D415" s="10"/>
      <c r="E415" s="7">
        <f>+$I$2+(FIDAA[[#This Row],[QUANTITE]]*FIDAA[[#This Row],[PRIX UNITAIRE]])</f>
        <v>0</v>
      </c>
      <c r="F415" s="22"/>
      <c r="G415" s="6">
        <f>SUM(E$9:$E415)-SUM(F$9:$F415)</f>
        <v>6734350</v>
      </c>
    </row>
    <row r="416" spans="1:7" ht="28.8" x14ac:dyDescent="0.55000000000000004">
      <c r="A416" s="12"/>
      <c r="B416" s="13"/>
      <c r="C416" s="10"/>
      <c r="D416" s="10"/>
      <c r="E416" s="7">
        <f>+$I$2+(FIDAA[[#This Row],[QUANTITE]]*FIDAA[[#This Row],[PRIX UNITAIRE]])</f>
        <v>0</v>
      </c>
      <c r="F416" s="22"/>
      <c r="G416" s="6">
        <f>SUM(E$9:$E416)-SUM(F$9:$F416)</f>
        <v>6734350</v>
      </c>
    </row>
    <row r="417" spans="1:7" ht="28.8" x14ac:dyDescent="0.55000000000000004">
      <c r="A417" s="12"/>
      <c r="B417" s="13"/>
      <c r="C417" s="10"/>
      <c r="D417" s="10"/>
      <c r="E417" s="7">
        <f>+$I$2+(FIDAA[[#This Row],[QUANTITE]]*FIDAA[[#This Row],[PRIX UNITAIRE]])</f>
        <v>0</v>
      </c>
      <c r="F417" s="22"/>
      <c r="G417" s="6">
        <f>SUM(E$9:$E417)-SUM(F$9:$F417)</f>
        <v>6734350</v>
      </c>
    </row>
    <row r="418" spans="1:7" ht="28.8" x14ac:dyDescent="0.55000000000000004">
      <c r="A418" s="12"/>
      <c r="B418" s="13"/>
      <c r="C418" s="10"/>
      <c r="D418" s="10"/>
      <c r="E418" s="7">
        <f>+$I$2+(FIDAA[[#This Row],[QUANTITE]]*FIDAA[[#This Row],[PRIX UNITAIRE]])</f>
        <v>0</v>
      </c>
      <c r="F418" s="22"/>
      <c r="G418" s="6">
        <f>SUM(E$9:$E418)-SUM(F$9:$F418)</f>
        <v>6734350</v>
      </c>
    </row>
    <row r="419" spans="1:7" ht="28.8" x14ac:dyDescent="0.55000000000000004">
      <c r="A419" s="12"/>
      <c r="B419" s="13"/>
      <c r="C419" s="10"/>
      <c r="D419" s="10"/>
      <c r="E419" s="7">
        <f>+$I$2+(FIDAA[[#This Row],[QUANTITE]]*FIDAA[[#This Row],[PRIX UNITAIRE]])</f>
        <v>0</v>
      </c>
      <c r="F419" s="22"/>
      <c r="G419" s="6">
        <f>SUM(E$9:$E419)-SUM(F$9:$F419)</f>
        <v>6734350</v>
      </c>
    </row>
    <row r="420" spans="1:7" ht="28.8" x14ac:dyDescent="0.55000000000000004">
      <c r="A420" s="12"/>
      <c r="B420" s="13"/>
      <c r="C420" s="10"/>
      <c r="D420" s="10"/>
      <c r="E420" s="7">
        <f>+$I$2+(FIDAA[[#This Row],[QUANTITE]]*FIDAA[[#This Row],[PRIX UNITAIRE]])</f>
        <v>0</v>
      </c>
      <c r="F420" s="22"/>
      <c r="G420" s="6">
        <f>SUM(E$9:$E420)-SUM(F$9:$F420)</f>
        <v>6734350</v>
      </c>
    </row>
    <row r="421" spans="1:7" ht="28.8" x14ac:dyDescent="0.55000000000000004">
      <c r="A421" s="12"/>
      <c r="B421" s="13"/>
      <c r="C421" s="10"/>
      <c r="D421" s="10"/>
      <c r="E421" s="7">
        <f>+$I$2+(FIDAA[[#This Row],[QUANTITE]]*FIDAA[[#This Row],[PRIX UNITAIRE]])</f>
        <v>0</v>
      </c>
      <c r="F421" s="22"/>
      <c r="G421" s="6">
        <f>SUM(E$9:$E421)-SUM(F$9:$F421)</f>
        <v>6734350</v>
      </c>
    </row>
    <row r="422" spans="1:7" ht="28.8" x14ac:dyDescent="0.55000000000000004">
      <c r="A422" s="12"/>
      <c r="B422" s="13"/>
      <c r="C422" s="10"/>
      <c r="D422" s="10"/>
      <c r="E422" s="7">
        <f>+$I$2+(FIDAA[[#This Row],[QUANTITE]]*FIDAA[[#This Row],[PRIX UNITAIRE]])</f>
        <v>0</v>
      </c>
      <c r="F422" s="22"/>
      <c r="G422" s="6">
        <f>SUM(E$9:$E422)-SUM(F$9:$F422)</f>
        <v>6734350</v>
      </c>
    </row>
    <row r="423" spans="1:7" ht="28.8" x14ac:dyDescent="0.55000000000000004">
      <c r="A423" s="12"/>
      <c r="B423" s="13"/>
      <c r="C423" s="10"/>
      <c r="D423" s="10"/>
      <c r="E423" s="7">
        <f>+$I$2+(FIDAA[[#This Row],[QUANTITE]]*FIDAA[[#This Row],[PRIX UNITAIRE]])</f>
        <v>0</v>
      </c>
      <c r="F423" s="22"/>
      <c r="G423" s="6">
        <f>SUM(E$9:$E423)-SUM(F$9:$F423)</f>
        <v>6734350</v>
      </c>
    </row>
    <row r="424" spans="1:7" ht="28.8" x14ac:dyDescent="0.55000000000000004">
      <c r="A424" s="12"/>
      <c r="B424" s="13"/>
      <c r="C424" s="10"/>
      <c r="D424" s="10"/>
      <c r="E424" s="7">
        <f>+$I$2+(FIDAA[[#This Row],[QUANTITE]]*FIDAA[[#This Row],[PRIX UNITAIRE]])</f>
        <v>0</v>
      </c>
      <c r="F424" s="22"/>
      <c r="G424" s="6">
        <f>SUM(E$9:$E424)-SUM(F$9:$F424)</f>
        <v>6734350</v>
      </c>
    </row>
    <row r="425" spans="1:7" ht="28.8" x14ac:dyDescent="0.55000000000000004">
      <c r="A425" s="12"/>
      <c r="B425" s="13"/>
      <c r="C425" s="10"/>
      <c r="D425" s="10"/>
      <c r="E425" s="7">
        <f>+$I$2+(FIDAA[[#This Row],[QUANTITE]]*FIDAA[[#This Row],[PRIX UNITAIRE]])</f>
        <v>0</v>
      </c>
      <c r="F425" s="22"/>
      <c r="G425" s="6">
        <f>SUM(E$9:$E425)-SUM(F$9:$F425)</f>
        <v>6734350</v>
      </c>
    </row>
    <row r="426" spans="1:7" ht="28.8" x14ac:dyDescent="0.55000000000000004">
      <c r="A426" s="12"/>
      <c r="B426" s="13"/>
      <c r="C426" s="10"/>
      <c r="D426" s="10"/>
      <c r="E426" s="7">
        <f>+$I$2+(FIDAA[[#This Row],[QUANTITE]]*FIDAA[[#This Row],[PRIX UNITAIRE]])</f>
        <v>0</v>
      </c>
      <c r="F426" s="22"/>
      <c r="G426" s="6">
        <f>SUM(E$9:$E426)-SUM(F$9:$F426)</f>
        <v>6734350</v>
      </c>
    </row>
    <row r="427" spans="1:7" ht="28.8" x14ac:dyDescent="0.55000000000000004">
      <c r="A427" s="12"/>
      <c r="B427" s="13"/>
      <c r="C427" s="10"/>
      <c r="D427" s="10"/>
      <c r="E427" s="7">
        <f>+$I$2+(FIDAA[[#This Row],[QUANTITE]]*FIDAA[[#This Row],[PRIX UNITAIRE]])</f>
        <v>0</v>
      </c>
      <c r="F427" s="22"/>
      <c r="G427" s="6">
        <f>SUM(E$9:$E427)-SUM(F$9:$F427)</f>
        <v>6734350</v>
      </c>
    </row>
    <row r="428" spans="1:7" ht="28.8" x14ac:dyDescent="0.55000000000000004">
      <c r="A428" s="12"/>
      <c r="B428" s="13"/>
      <c r="C428" s="10"/>
      <c r="D428" s="10"/>
      <c r="E428" s="7">
        <f>+$I$2+(FIDAA[[#This Row],[QUANTITE]]*FIDAA[[#This Row],[PRIX UNITAIRE]])</f>
        <v>0</v>
      </c>
      <c r="F428" s="22"/>
      <c r="G428" s="6">
        <f>SUM(E$9:$E428)-SUM(F$9:$F428)</f>
        <v>6734350</v>
      </c>
    </row>
    <row r="429" spans="1:7" ht="28.8" x14ac:dyDescent="0.55000000000000004">
      <c r="A429" s="12"/>
      <c r="B429" s="13"/>
      <c r="C429" s="10"/>
      <c r="D429" s="10"/>
      <c r="E429" s="7">
        <f>+$I$2+(FIDAA[[#This Row],[QUANTITE]]*FIDAA[[#This Row],[PRIX UNITAIRE]])</f>
        <v>0</v>
      </c>
      <c r="F429" s="22"/>
      <c r="G429" s="6">
        <f>SUM(E$9:$E429)-SUM(F$9:$F429)</f>
        <v>6734350</v>
      </c>
    </row>
    <row r="430" spans="1:7" ht="28.8" x14ac:dyDescent="0.55000000000000004">
      <c r="A430" s="12"/>
      <c r="B430" s="13"/>
      <c r="C430" s="10"/>
      <c r="D430" s="10"/>
      <c r="E430" s="7">
        <f>+$I$2+(FIDAA[[#This Row],[QUANTITE]]*FIDAA[[#This Row],[PRIX UNITAIRE]])</f>
        <v>0</v>
      </c>
      <c r="F430" s="22"/>
      <c r="G430" s="6">
        <f>SUM(E$9:$E430)-SUM(F$9:$F430)</f>
        <v>6734350</v>
      </c>
    </row>
    <row r="431" spans="1:7" ht="28.8" x14ac:dyDescent="0.55000000000000004">
      <c r="A431" s="12"/>
      <c r="B431" s="13"/>
      <c r="C431" s="10"/>
      <c r="D431" s="10"/>
      <c r="E431" s="7">
        <f>+$I$2+(FIDAA[[#This Row],[QUANTITE]]*FIDAA[[#This Row],[PRIX UNITAIRE]])</f>
        <v>0</v>
      </c>
      <c r="F431" s="22"/>
      <c r="G431" s="6">
        <f>SUM(E$9:$E431)-SUM(F$9:$F431)</f>
        <v>6734350</v>
      </c>
    </row>
    <row r="432" spans="1:7" ht="28.8" x14ac:dyDescent="0.55000000000000004">
      <c r="A432" s="12"/>
      <c r="B432" s="13"/>
      <c r="C432" s="10"/>
      <c r="D432" s="10"/>
      <c r="E432" s="7">
        <f>+$I$2+(FIDAA[[#This Row],[QUANTITE]]*FIDAA[[#This Row],[PRIX UNITAIRE]])</f>
        <v>0</v>
      </c>
      <c r="F432" s="22"/>
      <c r="G432" s="6">
        <f>SUM(E$9:$E432)-SUM(F$9:$F432)</f>
        <v>6734350</v>
      </c>
    </row>
    <row r="433" spans="1:7" ht="28.8" x14ac:dyDescent="0.55000000000000004">
      <c r="A433" s="12"/>
      <c r="B433" s="13"/>
      <c r="C433" s="10"/>
      <c r="D433" s="10"/>
      <c r="E433" s="7">
        <f>+$I$2+(FIDAA[[#This Row],[QUANTITE]]*FIDAA[[#This Row],[PRIX UNITAIRE]])</f>
        <v>0</v>
      </c>
      <c r="F433" s="22"/>
      <c r="G433" s="6">
        <f>SUM(E$9:$E433)-SUM(F$9:$F433)</f>
        <v>6734350</v>
      </c>
    </row>
    <row r="434" spans="1:7" ht="28.8" x14ac:dyDescent="0.55000000000000004">
      <c r="A434" s="12"/>
      <c r="B434" s="13"/>
      <c r="C434" s="10"/>
      <c r="D434" s="10"/>
      <c r="E434" s="7">
        <f>+$I$2+(FIDAA[[#This Row],[QUANTITE]]*FIDAA[[#This Row],[PRIX UNITAIRE]])</f>
        <v>0</v>
      </c>
      <c r="F434" s="22"/>
      <c r="G434" s="6">
        <f>SUM(E$9:$E434)-SUM(F$9:$F434)</f>
        <v>6734350</v>
      </c>
    </row>
    <row r="435" spans="1:7" ht="28.8" x14ac:dyDescent="0.55000000000000004">
      <c r="A435" s="12"/>
      <c r="B435" s="13"/>
      <c r="C435" s="10"/>
      <c r="D435" s="10"/>
      <c r="E435" s="7">
        <f>+$I$2+(FIDAA[[#This Row],[QUANTITE]]*FIDAA[[#This Row],[PRIX UNITAIRE]])</f>
        <v>0</v>
      </c>
      <c r="F435" s="22"/>
      <c r="G435" s="6">
        <f>SUM(E$9:$E435)-SUM(F$9:$F435)</f>
        <v>6734350</v>
      </c>
    </row>
    <row r="436" spans="1:7" ht="28.8" x14ac:dyDescent="0.55000000000000004">
      <c r="A436" s="12"/>
      <c r="B436" s="13"/>
      <c r="C436" s="10"/>
      <c r="D436" s="10"/>
      <c r="E436" s="7">
        <f>+$I$2+(FIDAA[[#This Row],[QUANTITE]]*FIDAA[[#This Row],[PRIX UNITAIRE]])</f>
        <v>0</v>
      </c>
      <c r="F436" s="22"/>
      <c r="G436" s="6">
        <f>SUM(E$9:$E436)-SUM(F$9:$F436)</f>
        <v>6734350</v>
      </c>
    </row>
    <row r="437" spans="1:7" ht="28.8" x14ac:dyDescent="0.55000000000000004">
      <c r="A437" s="12"/>
      <c r="B437" s="13"/>
      <c r="C437" s="10"/>
      <c r="D437" s="10"/>
      <c r="E437" s="7">
        <f>+$I$2+(FIDAA[[#This Row],[QUANTITE]]*FIDAA[[#This Row],[PRIX UNITAIRE]])</f>
        <v>0</v>
      </c>
      <c r="F437" s="22"/>
      <c r="G437" s="6">
        <f>SUM(E$9:$E437)-SUM(F$9:$F437)</f>
        <v>6734350</v>
      </c>
    </row>
    <row r="438" spans="1:7" ht="28.8" x14ac:dyDescent="0.55000000000000004">
      <c r="A438" s="12"/>
      <c r="B438" s="13"/>
      <c r="C438" s="10"/>
      <c r="D438" s="10"/>
      <c r="E438" s="7">
        <f>+$I$2+(FIDAA[[#This Row],[QUANTITE]]*FIDAA[[#This Row],[PRIX UNITAIRE]])</f>
        <v>0</v>
      </c>
      <c r="F438" s="22"/>
      <c r="G438" s="6">
        <f>SUM(E$9:$E438)-SUM(F$9:$F438)</f>
        <v>6734350</v>
      </c>
    </row>
    <row r="439" spans="1:7" ht="28.8" x14ac:dyDescent="0.55000000000000004">
      <c r="A439" s="12"/>
      <c r="B439" s="13"/>
      <c r="C439" s="10"/>
      <c r="D439" s="10"/>
      <c r="E439" s="7">
        <f>+$I$2+(FIDAA[[#This Row],[QUANTITE]]*FIDAA[[#This Row],[PRIX UNITAIRE]])</f>
        <v>0</v>
      </c>
      <c r="F439" s="22"/>
      <c r="G439" s="6">
        <f>SUM(E$9:$E439)-SUM(F$9:$F439)</f>
        <v>6734350</v>
      </c>
    </row>
    <row r="440" spans="1:7" ht="28.8" x14ac:dyDescent="0.55000000000000004">
      <c r="A440" s="12"/>
      <c r="B440" s="13"/>
      <c r="C440" s="10"/>
      <c r="D440" s="10"/>
      <c r="E440" s="7">
        <f>+$I$2+(FIDAA[[#This Row],[QUANTITE]]*FIDAA[[#This Row],[PRIX UNITAIRE]])</f>
        <v>0</v>
      </c>
      <c r="F440" s="22"/>
      <c r="G440" s="6">
        <f>SUM(E$9:$E440)-SUM(F$9:$F440)</f>
        <v>6734350</v>
      </c>
    </row>
    <row r="441" spans="1:7" ht="28.8" x14ac:dyDescent="0.55000000000000004">
      <c r="A441" s="12"/>
      <c r="B441" s="13"/>
      <c r="C441" s="10"/>
      <c r="D441" s="10"/>
      <c r="E441" s="7">
        <f>+$I$2+(FIDAA[[#This Row],[QUANTITE]]*FIDAA[[#This Row],[PRIX UNITAIRE]])</f>
        <v>0</v>
      </c>
      <c r="F441" s="22"/>
      <c r="G441" s="6">
        <f>SUM(E$9:$E441)-SUM(F$9:$F441)</f>
        <v>6734350</v>
      </c>
    </row>
    <row r="442" spans="1:7" ht="28.8" x14ac:dyDescent="0.55000000000000004">
      <c r="A442" s="12"/>
      <c r="B442" s="13"/>
      <c r="C442" s="10"/>
      <c r="D442" s="10"/>
      <c r="E442" s="7">
        <f>+$I$2+(FIDAA[[#This Row],[QUANTITE]]*FIDAA[[#This Row],[PRIX UNITAIRE]])</f>
        <v>0</v>
      </c>
      <c r="F442" s="22"/>
      <c r="G442" s="6">
        <f>SUM(E$9:$E442)-SUM(F$9:$F442)</f>
        <v>6734350</v>
      </c>
    </row>
    <row r="443" spans="1:7" ht="28.8" x14ac:dyDescent="0.55000000000000004">
      <c r="A443" s="12"/>
      <c r="B443" s="13"/>
      <c r="C443" s="10"/>
      <c r="D443" s="10"/>
      <c r="E443" s="7">
        <f>+$I$2+(FIDAA[[#This Row],[QUANTITE]]*FIDAA[[#This Row],[PRIX UNITAIRE]])</f>
        <v>0</v>
      </c>
      <c r="F443" s="22"/>
      <c r="G443" s="6">
        <f>SUM(E$9:$E443)-SUM(F$9:$F443)</f>
        <v>6734350</v>
      </c>
    </row>
    <row r="444" spans="1:7" ht="28.8" x14ac:dyDescent="0.55000000000000004">
      <c r="A444" s="12"/>
      <c r="B444" s="13"/>
      <c r="C444" s="10"/>
      <c r="D444" s="10"/>
      <c r="E444" s="7">
        <f>+$I$2+(FIDAA[[#This Row],[QUANTITE]]*FIDAA[[#This Row],[PRIX UNITAIRE]])</f>
        <v>0</v>
      </c>
      <c r="F444" s="22"/>
      <c r="G444" s="6">
        <f>SUM(E$9:$E444)-SUM(F$9:$F444)</f>
        <v>6734350</v>
      </c>
    </row>
    <row r="445" spans="1:7" ht="28.8" x14ac:dyDescent="0.55000000000000004">
      <c r="A445" s="12"/>
      <c r="B445" s="13"/>
      <c r="C445" s="10"/>
      <c r="D445" s="10"/>
      <c r="E445" s="7">
        <f>+$I$2+(FIDAA[[#This Row],[QUANTITE]]*FIDAA[[#This Row],[PRIX UNITAIRE]])</f>
        <v>0</v>
      </c>
      <c r="F445" s="22"/>
      <c r="G445" s="6">
        <f>SUM(E$9:$E445)-SUM(F$9:$F445)</f>
        <v>6734350</v>
      </c>
    </row>
    <row r="446" spans="1:7" ht="28.8" x14ac:dyDescent="0.55000000000000004">
      <c r="A446" s="12"/>
      <c r="B446" s="13"/>
      <c r="C446" s="10"/>
      <c r="D446" s="10"/>
      <c r="E446" s="7">
        <f>+$I$2+(FIDAA[[#This Row],[QUANTITE]]*FIDAA[[#This Row],[PRIX UNITAIRE]])</f>
        <v>0</v>
      </c>
      <c r="F446" s="22"/>
      <c r="G446" s="6">
        <f>SUM(E$9:$E446)-SUM(F$9:$F446)</f>
        <v>6734350</v>
      </c>
    </row>
    <row r="447" spans="1:7" ht="28.8" x14ac:dyDescent="0.55000000000000004">
      <c r="A447" s="12"/>
      <c r="B447" s="13"/>
      <c r="C447" s="10"/>
      <c r="D447" s="10"/>
      <c r="E447" s="7">
        <f>+$I$2+(FIDAA[[#This Row],[QUANTITE]]*FIDAA[[#This Row],[PRIX UNITAIRE]])</f>
        <v>0</v>
      </c>
      <c r="F447" s="22"/>
      <c r="G447" s="6">
        <f>SUM(E$9:$E447)-SUM(F$9:$F447)</f>
        <v>6734350</v>
      </c>
    </row>
    <row r="448" spans="1:7" ht="28.8" x14ac:dyDescent="0.55000000000000004">
      <c r="A448" s="12"/>
      <c r="B448" s="13"/>
      <c r="C448" s="10"/>
      <c r="D448" s="10"/>
      <c r="E448" s="7">
        <f>+$I$2+(FIDAA[[#This Row],[QUANTITE]]*FIDAA[[#This Row],[PRIX UNITAIRE]])</f>
        <v>0</v>
      </c>
      <c r="F448" s="22"/>
      <c r="G448" s="6">
        <f>SUM(E$9:$E448)-SUM(F$9:$F448)</f>
        <v>6734350</v>
      </c>
    </row>
    <row r="449" spans="1:7" ht="28.8" x14ac:dyDescent="0.55000000000000004">
      <c r="A449" s="12"/>
      <c r="B449" s="13"/>
      <c r="C449" s="10"/>
      <c r="D449" s="10"/>
      <c r="E449" s="7">
        <f>+$I$2+(FIDAA[[#This Row],[QUANTITE]]*FIDAA[[#This Row],[PRIX UNITAIRE]])</f>
        <v>0</v>
      </c>
      <c r="F449" s="22"/>
      <c r="G449" s="6">
        <f>SUM(E$9:$E449)-SUM(F$9:$F449)</f>
        <v>6734350</v>
      </c>
    </row>
    <row r="450" spans="1:7" ht="28.8" x14ac:dyDescent="0.55000000000000004">
      <c r="A450" s="12"/>
      <c r="B450" s="13"/>
      <c r="C450" s="10"/>
      <c r="D450" s="10"/>
      <c r="E450" s="7">
        <f>+$I$2+(FIDAA[[#This Row],[QUANTITE]]*FIDAA[[#This Row],[PRIX UNITAIRE]])</f>
        <v>0</v>
      </c>
      <c r="F450" s="22"/>
      <c r="G450" s="6">
        <f>SUM(E$9:$E450)-SUM(F$9:$F450)</f>
        <v>6734350</v>
      </c>
    </row>
    <row r="451" spans="1:7" ht="28.8" x14ac:dyDescent="0.55000000000000004">
      <c r="A451" s="12"/>
      <c r="B451" s="13"/>
      <c r="C451" s="10"/>
      <c r="D451" s="10"/>
      <c r="E451" s="7">
        <f>+$I$2+(FIDAA[[#This Row],[QUANTITE]]*FIDAA[[#This Row],[PRIX UNITAIRE]])</f>
        <v>0</v>
      </c>
      <c r="F451" s="22"/>
      <c r="G451" s="6">
        <f>SUM(E$9:$E451)-SUM(F$9:$F451)</f>
        <v>6734350</v>
      </c>
    </row>
    <row r="452" spans="1:7" ht="28.8" x14ac:dyDescent="0.55000000000000004">
      <c r="A452" s="12"/>
      <c r="B452" s="13"/>
      <c r="C452" s="10"/>
      <c r="D452" s="10"/>
      <c r="E452" s="7">
        <f>+$I$2+(FIDAA[[#This Row],[QUANTITE]]*FIDAA[[#This Row],[PRIX UNITAIRE]])</f>
        <v>0</v>
      </c>
      <c r="F452" s="22"/>
      <c r="G452" s="6">
        <f>SUM(E$9:$E452)-SUM(F$9:$F452)</f>
        <v>6734350</v>
      </c>
    </row>
    <row r="453" spans="1:7" ht="28.8" x14ac:dyDescent="0.55000000000000004">
      <c r="A453" s="12"/>
      <c r="B453" s="13"/>
      <c r="C453" s="10"/>
      <c r="D453" s="10"/>
      <c r="E453" s="7">
        <f>+$I$2+(FIDAA[[#This Row],[QUANTITE]]*FIDAA[[#This Row],[PRIX UNITAIRE]])</f>
        <v>0</v>
      </c>
      <c r="F453" s="22"/>
      <c r="G453" s="6">
        <f>SUM(E$9:$E453)-SUM(F$9:$F453)</f>
        <v>6734350</v>
      </c>
    </row>
    <row r="454" spans="1:7" ht="28.8" x14ac:dyDescent="0.55000000000000004">
      <c r="A454" s="12"/>
      <c r="B454" s="13"/>
      <c r="C454" s="10"/>
      <c r="D454" s="10"/>
      <c r="E454" s="7">
        <f>+$I$2+(FIDAA[[#This Row],[QUANTITE]]*FIDAA[[#This Row],[PRIX UNITAIRE]])</f>
        <v>0</v>
      </c>
      <c r="F454" s="22"/>
      <c r="G454" s="6">
        <f>SUM(E$9:$E454)-SUM(F$9:$F454)</f>
        <v>6734350</v>
      </c>
    </row>
    <row r="455" spans="1:7" ht="28.8" x14ac:dyDescent="0.55000000000000004">
      <c r="A455" s="12"/>
      <c r="B455" s="13"/>
      <c r="C455" s="10"/>
      <c r="D455" s="10"/>
      <c r="E455" s="7">
        <f>+$I$2+(FIDAA[[#This Row],[QUANTITE]]*FIDAA[[#This Row],[PRIX UNITAIRE]])</f>
        <v>0</v>
      </c>
      <c r="F455" s="22"/>
      <c r="G455" s="6">
        <f>SUM(E$9:$E455)-SUM(F$9:$F455)</f>
        <v>6734350</v>
      </c>
    </row>
    <row r="456" spans="1:7" ht="28.8" x14ac:dyDescent="0.55000000000000004">
      <c r="A456" s="12"/>
      <c r="B456" s="13"/>
      <c r="C456" s="10"/>
      <c r="D456" s="10"/>
      <c r="E456" s="7">
        <f>+$I$2+(FIDAA[[#This Row],[QUANTITE]]*FIDAA[[#This Row],[PRIX UNITAIRE]])</f>
        <v>0</v>
      </c>
      <c r="F456" s="22"/>
      <c r="G456" s="6">
        <f>SUM(E$9:$E456)-SUM(F$9:$F456)</f>
        <v>6734350</v>
      </c>
    </row>
    <row r="457" spans="1:7" ht="28.8" x14ac:dyDescent="0.55000000000000004">
      <c r="A457" s="12"/>
      <c r="B457" s="13"/>
      <c r="C457" s="10"/>
      <c r="D457" s="10"/>
      <c r="E457" s="7">
        <f>+$I$2+(FIDAA[[#This Row],[QUANTITE]]*FIDAA[[#This Row],[PRIX UNITAIRE]])</f>
        <v>0</v>
      </c>
      <c r="F457" s="22"/>
      <c r="G457" s="6">
        <f>SUM(E$9:$E457)-SUM(F$9:$F457)</f>
        <v>6734350</v>
      </c>
    </row>
    <row r="458" spans="1:7" ht="28.8" x14ac:dyDescent="0.55000000000000004">
      <c r="A458" s="12"/>
      <c r="B458" s="13"/>
      <c r="C458" s="10"/>
      <c r="D458" s="10"/>
      <c r="E458" s="7">
        <f>+$I$2+(FIDAA[[#This Row],[QUANTITE]]*FIDAA[[#This Row],[PRIX UNITAIRE]])</f>
        <v>0</v>
      </c>
      <c r="F458" s="22"/>
      <c r="G458" s="6">
        <f>SUM(E$9:$E458)-SUM(F$9:$F458)</f>
        <v>6734350</v>
      </c>
    </row>
    <row r="459" spans="1:7" ht="28.8" x14ac:dyDescent="0.55000000000000004">
      <c r="A459" s="12"/>
      <c r="B459" s="13"/>
      <c r="C459" s="10"/>
      <c r="D459" s="10"/>
      <c r="E459" s="7">
        <f>+$I$2+(FIDAA[[#This Row],[QUANTITE]]*FIDAA[[#This Row],[PRIX UNITAIRE]])</f>
        <v>0</v>
      </c>
      <c r="F459" s="22"/>
      <c r="G459" s="6">
        <f>SUM(E$9:$E459)-SUM(F$9:$F459)</f>
        <v>6734350</v>
      </c>
    </row>
    <row r="460" spans="1:7" ht="28.8" x14ac:dyDescent="0.55000000000000004">
      <c r="A460" s="12"/>
      <c r="B460" s="13"/>
      <c r="C460" s="10"/>
      <c r="D460" s="10"/>
      <c r="E460" s="7">
        <f>+$I$2+(FIDAA[[#This Row],[QUANTITE]]*FIDAA[[#This Row],[PRIX UNITAIRE]])</f>
        <v>0</v>
      </c>
      <c r="F460" s="22"/>
      <c r="G460" s="6">
        <f>SUM(E$9:$E460)-SUM(F$9:$F460)</f>
        <v>6734350</v>
      </c>
    </row>
    <row r="461" spans="1:7" ht="28.8" x14ac:dyDescent="0.55000000000000004">
      <c r="A461" s="12"/>
      <c r="B461" s="13"/>
      <c r="C461" s="10"/>
      <c r="D461" s="10"/>
      <c r="E461" s="7">
        <f>+$I$2+(FIDAA[[#This Row],[QUANTITE]]*FIDAA[[#This Row],[PRIX UNITAIRE]])</f>
        <v>0</v>
      </c>
      <c r="F461" s="22"/>
      <c r="G461" s="6">
        <f>SUM(E$9:$E461)-SUM(F$9:$F461)</f>
        <v>6734350</v>
      </c>
    </row>
    <row r="462" spans="1:7" ht="28.8" x14ac:dyDescent="0.55000000000000004">
      <c r="A462" s="12"/>
      <c r="B462" s="13"/>
      <c r="C462" s="10"/>
      <c r="D462" s="10"/>
      <c r="E462" s="7">
        <f>+$I$2+(FIDAA[[#This Row],[QUANTITE]]*FIDAA[[#This Row],[PRIX UNITAIRE]])</f>
        <v>0</v>
      </c>
      <c r="F462" s="22"/>
      <c r="G462" s="6">
        <f>SUM(E$9:$E462)-SUM(F$9:$F462)</f>
        <v>6734350</v>
      </c>
    </row>
    <row r="463" spans="1:7" ht="28.8" x14ac:dyDescent="0.55000000000000004">
      <c r="A463" s="12"/>
      <c r="B463" s="13"/>
      <c r="C463" s="10"/>
      <c r="D463" s="10"/>
      <c r="E463" s="7">
        <f>+$I$2+(FIDAA[[#This Row],[QUANTITE]]*FIDAA[[#This Row],[PRIX UNITAIRE]])</f>
        <v>0</v>
      </c>
      <c r="F463" s="22"/>
      <c r="G463" s="6">
        <f>SUM(E$9:$E463)-SUM(F$9:$F463)</f>
        <v>6734350</v>
      </c>
    </row>
    <row r="464" spans="1:7" ht="28.8" x14ac:dyDescent="0.55000000000000004">
      <c r="A464" s="12"/>
      <c r="B464" s="13"/>
      <c r="C464" s="10"/>
      <c r="D464" s="10"/>
      <c r="E464" s="7">
        <f>+$I$2+(FIDAA[[#This Row],[QUANTITE]]*FIDAA[[#This Row],[PRIX UNITAIRE]])</f>
        <v>0</v>
      </c>
      <c r="F464" s="22"/>
      <c r="G464" s="6">
        <f>SUM(E$9:$E464)-SUM(F$9:$F464)</f>
        <v>6734350</v>
      </c>
    </row>
    <row r="465" spans="1:7" ht="28.8" x14ac:dyDescent="0.55000000000000004">
      <c r="A465" s="12"/>
      <c r="B465" s="13"/>
      <c r="C465" s="10"/>
      <c r="D465" s="10"/>
      <c r="E465" s="7">
        <f>+$I$2+(FIDAA[[#This Row],[QUANTITE]]*FIDAA[[#This Row],[PRIX UNITAIRE]])</f>
        <v>0</v>
      </c>
      <c r="F465" s="22"/>
      <c r="G465" s="6">
        <f>SUM(E$9:$E465)-SUM(F$9:$F465)</f>
        <v>6734350</v>
      </c>
    </row>
    <row r="466" spans="1:7" ht="28.8" x14ac:dyDescent="0.55000000000000004">
      <c r="A466" s="12"/>
      <c r="B466" s="13"/>
      <c r="C466" s="10"/>
      <c r="D466" s="10"/>
      <c r="E466" s="7">
        <f>+$I$2+(FIDAA[[#This Row],[QUANTITE]]*FIDAA[[#This Row],[PRIX UNITAIRE]])</f>
        <v>0</v>
      </c>
      <c r="F466" s="22"/>
      <c r="G466" s="6">
        <f>SUM(E$9:$E466)-SUM(F$9:$F466)</f>
        <v>6734350</v>
      </c>
    </row>
    <row r="467" spans="1:7" ht="28.8" x14ac:dyDescent="0.55000000000000004">
      <c r="A467" s="12"/>
      <c r="B467" s="13"/>
      <c r="C467" s="10"/>
      <c r="D467" s="10"/>
      <c r="E467" s="7">
        <f>+$I$2+(FIDAA[[#This Row],[QUANTITE]]*FIDAA[[#This Row],[PRIX UNITAIRE]])</f>
        <v>0</v>
      </c>
      <c r="F467" s="22"/>
      <c r="G467" s="6">
        <f>SUM(E$9:$E467)-SUM(F$9:$F467)</f>
        <v>6734350</v>
      </c>
    </row>
    <row r="468" spans="1:7" ht="28.8" x14ac:dyDescent="0.55000000000000004">
      <c r="A468" s="12"/>
      <c r="B468" s="13"/>
      <c r="C468" s="10"/>
      <c r="D468" s="10"/>
      <c r="E468" s="7">
        <f>+$I$2+(FIDAA[[#This Row],[QUANTITE]]*FIDAA[[#This Row],[PRIX UNITAIRE]])</f>
        <v>0</v>
      </c>
      <c r="F468" s="22"/>
      <c r="G468" s="6">
        <f>SUM(E$9:$E468)-SUM(F$9:$F468)</f>
        <v>6734350</v>
      </c>
    </row>
    <row r="469" spans="1:7" ht="28.8" x14ac:dyDescent="0.55000000000000004">
      <c r="A469" s="12"/>
      <c r="B469" s="13"/>
      <c r="C469" s="10"/>
      <c r="D469" s="10"/>
      <c r="E469" s="7">
        <f>+$I$2+(FIDAA[[#This Row],[QUANTITE]]*FIDAA[[#This Row],[PRIX UNITAIRE]])</f>
        <v>0</v>
      </c>
      <c r="F469" s="22"/>
      <c r="G469" s="6">
        <f>SUM(E$9:$E469)-SUM(F$9:$F469)</f>
        <v>6734350</v>
      </c>
    </row>
    <row r="470" spans="1:7" ht="28.8" x14ac:dyDescent="0.55000000000000004">
      <c r="A470" s="12"/>
      <c r="B470" s="13"/>
      <c r="C470" s="10"/>
      <c r="D470" s="10"/>
      <c r="E470" s="7">
        <f>+$I$2+(FIDAA[[#This Row],[QUANTITE]]*FIDAA[[#This Row],[PRIX UNITAIRE]])</f>
        <v>0</v>
      </c>
      <c r="F470" s="22"/>
      <c r="G470" s="6">
        <f>SUM(E$9:$E470)-SUM(F$9:$F470)</f>
        <v>6734350</v>
      </c>
    </row>
    <row r="471" spans="1:7" ht="28.8" x14ac:dyDescent="0.55000000000000004">
      <c r="A471" s="12"/>
      <c r="B471" s="13"/>
      <c r="C471" s="10"/>
      <c r="D471" s="10"/>
      <c r="E471" s="7">
        <f>+$I$2+(FIDAA[[#This Row],[QUANTITE]]*FIDAA[[#This Row],[PRIX UNITAIRE]])</f>
        <v>0</v>
      </c>
      <c r="F471" s="22"/>
      <c r="G471" s="6">
        <f>SUM(E$9:$E471)-SUM(F$9:$F471)</f>
        <v>6734350</v>
      </c>
    </row>
    <row r="472" spans="1:7" ht="28.8" x14ac:dyDescent="0.55000000000000004">
      <c r="A472" s="12"/>
      <c r="B472" s="13"/>
      <c r="C472" s="10"/>
      <c r="D472" s="10"/>
      <c r="E472" s="7">
        <f>+$I$2+(FIDAA[[#This Row],[QUANTITE]]*FIDAA[[#This Row],[PRIX UNITAIRE]])</f>
        <v>0</v>
      </c>
      <c r="F472" s="22"/>
      <c r="G472" s="6">
        <f>SUM(E$9:$E472)-SUM(F$9:$F472)</f>
        <v>6734350</v>
      </c>
    </row>
    <row r="473" spans="1:7" ht="28.8" x14ac:dyDescent="0.55000000000000004">
      <c r="A473" s="12"/>
      <c r="B473" s="13"/>
      <c r="C473" s="10"/>
      <c r="D473" s="10"/>
      <c r="E473" s="7">
        <f>+$I$2+(FIDAA[[#This Row],[QUANTITE]]*FIDAA[[#This Row],[PRIX UNITAIRE]])</f>
        <v>0</v>
      </c>
      <c r="F473" s="22"/>
      <c r="G473" s="6">
        <f>SUM(E$9:$E473)-SUM(F$9:$F473)</f>
        <v>6734350</v>
      </c>
    </row>
    <row r="474" spans="1:7" ht="28.8" x14ac:dyDescent="0.55000000000000004">
      <c r="A474" s="12"/>
      <c r="B474" s="13"/>
      <c r="C474" s="10"/>
      <c r="D474" s="10"/>
      <c r="E474" s="7">
        <f>+$I$2+(FIDAA[[#This Row],[QUANTITE]]*FIDAA[[#This Row],[PRIX UNITAIRE]])</f>
        <v>0</v>
      </c>
      <c r="F474" s="22"/>
      <c r="G474" s="6">
        <f>SUM(E$9:$E474)-SUM(F$9:$F474)</f>
        <v>6734350</v>
      </c>
    </row>
    <row r="475" spans="1:7" ht="28.8" x14ac:dyDescent="0.55000000000000004">
      <c r="A475" s="12"/>
      <c r="B475" s="13"/>
      <c r="C475" s="10"/>
      <c r="D475" s="10"/>
      <c r="E475" s="7">
        <f>+$I$2+(FIDAA[[#This Row],[QUANTITE]]*FIDAA[[#This Row],[PRIX UNITAIRE]])</f>
        <v>0</v>
      </c>
      <c r="F475" s="22"/>
      <c r="G475" s="6">
        <f>SUM(E$9:$E475)-SUM(F$9:$F475)</f>
        <v>6734350</v>
      </c>
    </row>
    <row r="476" spans="1:7" ht="28.8" x14ac:dyDescent="0.55000000000000004">
      <c r="A476" s="12"/>
      <c r="B476" s="13"/>
      <c r="C476" s="10"/>
      <c r="D476" s="10"/>
      <c r="E476" s="7">
        <f>+$I$2+(FIDAA[[#This Row],[QUANTITE]]*FIDAA[[#This Row],[PRIX UNITAIRE]])</f>
        <v>0</v>
      </c>
      <c r="F476" s="22"/>
      <c r="G476" s="6">
        <f>SUM(E$9:$E476)-SUM(F$9:$F476)</f>
        <v>6734350</v>
      </c>
    </row>
    <row r="477" spans="1:7" ht="28.8" x14ac:dyDescent="0.55000000000000004">
      <c r="A477" s="12"/>
      <c r="B477" s="13"/>
      <c r="C477" s="10"/>
      <c r="D477" s="10"/>
      <c r="E477" s="7">
        <f>+$I$2+(FIDAA[[#This Row],[QUANTITE]]*FIDAA[[#This Row],[PRIX UNITAIRE]])</f>
        <v>0</v>
      </c>
      <c r="F477" s="22"/>
      <c r="G477" s="6">
        <f>SUM(E$9:$E477)-SUM(F$9:$F477)</f>
        <v>6734350</v>
      </c>
    </row>
    <row r="478" spans="1:7" ht="28.8" x14ac:dyDescent="0.55000000000000004">
      <c r="A478" s="12"/>
      <c r="B478" s="13"/>
      <c r="C478" s="10"/>
      <c r="D478" s="10"/>
      <c r="E478" s="7">
        <f>+$I$2+(FIDAA[[#This Row],[QUANTITE]]*FIDAA[[#This Row],[PRIX UNITAIRE]])</f>
        <v>0</v>
      </c>
      <c r="F478" s="22"/>
      <c r="G478" s="6">
        <f>SUM(E$9:$E478)-SUM(F$9:$F478)</f>
        <v>6734350</v>
      </c>
    </row>
    <row r="479" spans="1:7" ht="28.8" x14ac:dyDescent="0.55000000000000004">
      <c r="A479" s="12"/>
      <c r="B479" s="13"/>
      <c r="C479" s="10"/>
      <c r="D479" s="10"/>
      <c r="E479" s="7">
        <f>+$I$2+(FIDAA[[#This Row],[QUANTITE]]*FIDAA[[#This Row],[PRIX UNITAIRE]])</f>
        <v>0</v>
      </c>
      <c r="F479" s="22"/>
      <c r="G479" s="6">
        <f>SUM(E$9:$E479)-SUM(F$9:$F479)</f>
        <v>6734350</v>
      </c>
    </row>
    <row r="480" spans="1:7" ht="28.8" x14ac:dyDescent="0.55000000000000004">
      <c r="A480" s="12"/>
      <c r="B480" s="13"/>
      <c r="C480" s="10"/>
      <c r="D480" s="10"/>
      <c r="E480" s="7">
        <f>+$I$2+(FIDAA[[#This Row],[QUANTITE]]*FIDAA[[#This Row],[PRIX UNITAIRE]])</f>
        <v>0</v>
      </c>
      <c r="F480" s="22"/>
      <c r="G480" s="6">
        <f>SUM(E$9:$E480)-SUM(F$9:$F480)</f>
        <v>6734350</v>
      </c>
    </row>
    <row r="481" spans="1:7" ht="28.8" x14ac:dyDescent="0.55000000000000004">
      <c r="A481" s="12"/>
      <c r="B481" s="13"/>
      <c r="C481" s="10"/>
      <c r="D481" s="10"/>
      <c r="E481" s="7">
        <f>+$I$2+(FIDAA[[#This Row],[QUANTITE]]*FIDAA[[#This Row],[PRIX UNITAIRE]])</f>
        <v>0</v>
      </c>
      <c r="F481" s="22"/>
      <c r="G481" s="6">
        <f>SUM(E$9:$E481)-SUM(F$9:$F481)</f>
        <v>6734350</v>
      </c>
    </row>
    <row r="482" spans="1:7" ht="28.8" x14ac:dyDescent="0.55000000000000004">
      <c r="A482" s="12"/>
      <c r="B482" s="13"/>
      <c r="C482" s="10"/>
      <c r="D482" s="10"/>
      <c r="E482" s="7">
        <f>+$I$2+(FIDAA[[#This Row],[QUANTITE]]*FIDAA[[#This Row],[PRIX UNITAIRE]])</f>
        <v>0</v>
      </c>
      <c r="F482" s="22"/>
      <c r="G482" s="6">
        <f>SUM(E$9:$E482)-SUM(F$9:$F482)</f>
        <v>6734350</v>
      </c>
    </row>
    <row r="483" spans="1:7" ht="28.8" x14ac:dyDescent="0.55000000000000004">
      <c r="A483" s="12"/>
      <c r="B483" s="13"/>
      <c r="C483" s="10"/>
      <c r="D483" s="10"/>
      <c r="E483" s="7">
        <f>+$I$2+(FIDAA[[#This Row],[QUANTITE]]*FIDAA[[#This Row],[PRIX UNITAIRE]])</f>
        <v>0</v>
      </c>
      <c r="F483" s="22"/>
      <c r="G483" s="6">
        <f>SUM(E$9:$E483)-SUM(F$9:$F483)</f>
        <v>6734350</v>
      </c>
    </row>
    <row r="484" spans="1:7" ht="28.8" x14ac:dyDescent="0.55000000000000004">
      <c r="A484" s="12"/>
      <c r="B484" s="13"/>
      <c r="C484" s="10"/>
      <c r="D484" s="10"/>
      <c r="E484" s="7">
        <f>+$I$2+(FIDAA[[#This Row],[QUANTITE]]*FIDAA[[#This Row],[PRIX UNITAIRE]])</f>
        <v>0</v>
      </c>
      <c r="F484" s="22"/>
      <c r="G484" s="6">
        <f>SUM(E$9:$E484)-SUM(F$9:$F484)</f>
        <v>6734350</v>
      </c>
    </row>
    <row r="485" spans="1:7" ht="28.8" x14ac:dyDescent="0.55000000000000004">
      <c r="A485" s="12"/>
      <c r="B485" s="13"/>
      <c r="C485" s="10"/>
      <c r="D485" s="10"/>
      <c r="E485" s="7">
        <f>+$I$2+(FIDAA[[#This Row],[QUANTITE]]*FIDAA[[#This Row],[PRIX UNITAIRE]])</f>
        <v>0</v>
      </c>
      <c r="F485" s="22"/>
      <c r="G485" s="6">
        <f>SUM(E$9:$E485)-SUM(F$9:$F485)</f>
        <v>6734350</v>
      </c>
    </row>
    <row r="486" spans="1:7" ht="28.8" x14ac:dyDescent="0.55000000000000004">
      <c r="A486" s="12"/>
      <c r="B486" s="13"/>
      <c r="C486" s="10"/>
      <c r="D486" s="10"/>
      <c r="E486" s="7">
        <f>+$I$2+(FIDAA[[#This Row],[QUANTITE]]*FIDAA[[#This Row],[PRIX UNITAIRE]])</f>
        <v>0</v>
      </c>
      <c r="F486" s="22"/>
      <c r="G486" s="6">
        <f>SUM(E$9:$E486)-SUM(F$9:$F486)</f>
        <v>6734350</v>
      </c>
    </row>
    <row r="487" spans="1:7" ht="28.8" x14ac:dyDescent="0.55000000000000004">
      <c r="A487" s="12"/>
      <c r="B487" s="13"/>
      <c r="C487" s="10"/>
      <c r="D487" s="10"/>
      <c r="E487" s="7">
        <f>+$I$2+(FIDAA[[#This Row],[QUANTITE]]*FIDAA[[#This Row],[PRIX UNITAIRE]])</f>
        <v>0</v>
      </c>
      <c r="F487" s="22"/>
      <c r="G487" s="6">
        <f>SUM(E$9:$E487)-SUM(F$9:$F487)</f>
        <v>6734350</v>
      </c>
    </row>
    <row r="488" spans="1:7" ht="28.8" x14ac:dyDescent="0.55000000000000004">
      <c r="A488" s="12"/>
      <c r="B488" s="13"/>
      <c r="C488" s="10"/>
      <c r="D488" s="10"/>
      <c r="E488" s="7">
        <f>+$I$2+(FIDAA[[#This Row],[QUANTITE]]*FIDAA[[#This Row],[PRIX UNITAIRE]])</f>
        <v>0</v>
      </c>
      <c r="F488" s="22"/>
      <c r="G488" s="6">
        <f>SUM(E$9:$E488)-SUM(F$9:$F488)</f>
        <v>6734350</v>
      </c>
    </row>
    <row r="489" spans="1:7" ht="28.8" x14ac:dyDescent="0.55000000000000004">
      <c r="A489" s="12"/>
      <c r="B489" s="13"/>
      <c r="C489" s="10"/>
      <c r="D489" s="10"/>
      <c r="E489" s="7">
        <f>+$I$2+(FIDAA[[#This Row],[QUANTITE]]*FIDAA[[#This Row],[PRIX UNITAIRE]])</f>
        <v>0</v>
      </c>
      <c r="F489" s="22"/>
      <c r="G489" s="6">
        <f>SUM(E$9:$E489)-SUM(F$9:$F489)</f>
        <v>6734350</v>
      </c>
    </row>
    <row r="490" spans="1:7" ht="28.8" x14ac:dyDescent="0.55000000000000004">
      <c r="A490" s="12"/>
      <c r="B490" s="13"/>
      <c r="C490" s="10"/>
      <c r="D490" s="10"/>
      <c r="E490" s="7">
        <f>+$I$2+(FIDAA[[#This Row],[QUANTITE]]*FIDAA[[#This Row],[PRIX UNITAIRE]])</f>
        <v>0</v>
      </c>
      <c r="F490" s="22"/>
      <c r="G490" s="6">
        <f>SUM(E$9:$E490)-SUM(F$9:$F490)</f>
        <v>6734350</v>
      </c>
    </row>
    <row r="491" spans="1:7" ht="28.8" x14ac:dyDescent="0.55000000000000004">
      <c r="A491" s="12"/>
      <c r="B491" s="13"/>
      <c r="C491" s="10"/>
      <c r="D491" s="10"/>
      <c r="E491" s="7">
        <f>+$I$2+(FIDAA[[#This Row],[QUANTITE]]*FIDAA[[#This Row],[PRIX UNITAIRE]])</f>
        <v>0</v>
      </c>
      <c r="F491" s="22"/>
      <c r="G491" s="6">
        <f>SUM(E$9:$E491)-SUM(F$9:$F491)</f>
        <v>6734350</v>
      </c>
    </row>
    <row r="492" spans="1:7" ht="28.8" x14ac:dyDescent="0.55000000000000004">
      <c r="A492" s="12"/>
      <c r="B492" s="13"/>
      <c r="C492" s="10"/>
      <c r="D492" s="10"/>
      <c r="E492" s="7">
        <f>+$I$2+(FIDAA[[#This Row],[QUANTITE]]*FIDAA[[#This Row],[PRIX UNITAIRE]])</f>
        <v>0</v>
      </c>
      <c r="F492" s="22"/>
      <c r="G492" s="6">
        <f>SUM(E$9:$E492)-SUM(F$9:$F492)</f>
        <v>6734350</v>
      </c>
    </row>
    <row r="493" spans="1:7" ht="28.8" x14ac:dyDescent="0.55000000000000004">
      <c r="A493" s="12"/>
      <c r="B493" s="13"/>
      <c r="C493" s="10"/>
      <c r="D493" s="10"/>
      <c r="E493" s="7">
        <f>+$I$2+(FIDAA[[#This Row],[QUANTITE]]*FIDAA[[#This Row],[PRIX UNITAIRE]])</f>
        <v>0</v>
      </c>
      <c r="F493" s="22"/>
      <c r="G493" s="6">
        <f>SUM(E$9:$E493)-SUM(F$9:$F493)</f>
        <v>6734350</v>
      </c>
    </row>
    <row r="494" spans="1:7" ht="28.8" x14ac:dyDescent="0.55000000000000004">
      <c r="A494" s="12"/>
      <c r="B494" s="13"/>
      <c r="C494" s="10"/>
      <c r="D494" s="10"/>
      <c r="E494" s="7">
        <f>+$I$2+(FIDAA[[#This Row],[QUANTITE]]*FIDAA[[#This Row],[PRIX UNITAIRE]])</f>
        <v>0</v>
      </c>
      <c r="F494" s="22"/>
      <c r="G494" s="6">
        <f>SUM(E$9:$E494)-SUM(F$9:$F494)</f>
        <v>6734350</v>
      </c>
    </row>
    <row r="495" spans="1:7" ht="28.8" x14ac:dyDescent="0.55000000000000004">
      <c r="A495" s="12"/>
      <c r="B495" s="13"/>
      <c r="C495" s="10"/>
      <c r="D495" s="10"/>
      <c r="E495" s="7">
        <f>+$I$2+(FIDAA[[#This Row],[QUANTITE]]*FIDAA[[#This Row],[PRIX UNITAIRE]])</f>
        <v>0</v>
      </c>
      <c r="F495" s="22"/>
      <c r="G495" s="6">
        <f>SUM(E$9:$E495)-SUM(F$9:$F495)</f>
        <v>6734350</v>
      </c>
    </row>
    <row r="496" spans="1:7" ht="28.8" x14ac:dyDescent="0.55000000000000004">
      <c r="A496" s="12"/>
      <c r="B496" s="13"/>
      <c r="C496" s="10"/>
      <c r="D496" s="10"/>
      <c r="E496" s="7">
        <f>+$I$2+(FIDAA[[#This Row],[QUANTITE]]*FIDAA[[#This Row],[PRIX UNITAIRE]])</f>
        <v>0</v>
      </c>
      <c r="F496" s="22"/>
      <c r="G496" s="6">
        <f>SUM(E$9:$E496)-SUM(F$9:$F496)</f>
        <v>6734350</v>
      </c>
    </row>
    <row r="497" spans="1:7" ht="28.8" x14ac:dyDescent="0.55000000000000004">
      <c r="A497" s="12"/>
      <c r="B497" s="13"/>
      <c r="C497" s="10"/>
      <c r="D497" s="10"/>
      <c r="E497" s="7">
        <f>+$I$2+(FIDAA[[#This Row],[QUANTITE]]*FIDAA[[#This Row],[PRIX UNITAIRE]])</f>
        <v>0</v>
      </c>
      <c r="F497" s="22"/>
      <c r="G497" s="6">
        <f>SUM(E$9:$E497)-SUM(F$9:$F497)</f>
        <v>6734350</v>
      </c>
    </row>
    <row r="498" spans="1:7" ht="28.8" x14ac:dyDescent="0.55000000000000004">
      <c r="A498" s="12"/>
      <c r="B498" s="13"/>
      <c r="C498" s="10"/>
      <c r="D498" s="10"/>
      <c r="E498" s="7">
        <f>+$I$2+(FIDAA[[#This Row],[QUANTITE]]*FIDAA[[#This Row],[PRIX UNITAIRE]])</f>
        <v>0</v>
      </c>
      <c r="F498" s="22"/>
      <c r="G498" s="6">
        <f>SUM(E$9:$E498)-SUM(F$9:$F498)</f>
        <v>6734350</v>
      </c>
    </row>
    <row r="499" spans="1:7" ht="28.8" x14ac:dyDescent="0.55000000000000004">
      <c r="A499" s="12"/>
      <c r="B499" s="13"/>
      <c r="C499" s="10"/>
      <c r="D499" s="10"/>
      <c r="E499" s="7">
        <f>+$I$2+(FIDAA[[#This Row],[QUANTITE]]*FIDAA[[#This Row],[PRIX UNITAIRE]])</f>
        <v>0</v>
      </c>
      <c r="F499" s="22"/>
      <c r="G499" s="6">
        <f>SUM(E$9:$E499)-SUM(F$9:$F499)</f>
        <v>6734350</v>
      </c>
    </row>
    <row r="500" spans="1:7" ht="28.8" x14ac:dyDescent="0.55000000000000004">
      <c r="A500" s="12"/>
      <c r="B500" s="13"/>
      <c r="C500" s="10"/>
      <c r="D500" s="10"/>
      <c r="E500" s="7">
        <f>+$I$2+(FIDAA[[#This Row],[QUANTITE]]*FIDAA[[#This Row],[PRIX UNITAIRE]])</f>
        <v>0</v>
      </c>
      <c r="F500" s="22"/>
      <c r="G500" s="6">
        <f>SUM(E$9:$E500)-SUM(F$9:$F500)</f>
        <v>6734350</v>
      </c>
    </row>
    <row r="501" spans="1:7" ht="28.8" x14ac:dyDescent="0.55000000000000004">
      <c r="A501" s="12"/>
      <c r="B501" s="13"/>
      <c r="C501" s="10"/>
      <c r="D501" s="10"/>
      <c r="E501" s="7">
        <f>+$I$2+(FIDAA[[#This Row],[QUANTITE]]*FIDAA[[#This Row],[PRIX UNITAIRE]])</f>
        <v>0</v>
      </c>
      <c r="F501" s="22"/>
      <c r="G501" s="6">
        <f>SUM(E$9:$E501)-SUM(F$9:$F501)</f>
        <v>6734350</v>
      </c>
    </row>
    <row r="502" spans="1:7" ht="28.8" x14ac:dyDescent="0.55000000000000004">
      <c r="A502" s="12"/>
      <c r="B502" s="13"/>
      <c r="C502" s="10"/>
      <c r="D502" s="10"/>
      <c r="E502" s="7">
        <f>+$I$2+(FIDAA[[#This Row],[QUANTITE]]*FIDAA[[#This Row],[PRIX UNITAIRE]])</f>
        <v>0</v>
      </c>
      <c r="F502" s="22"/>
      <c r="G502" s="6">
        <f>SUM(E$9:$E502)-SUM(F$9:$F502)</f>
        <v>6734350</v>
      </c>
    </row>
    <row r="503" spans="1:7" ht="28.8" x14ac:dyDescent="0.55000000000000004">
      <c r="A503" s="12"/>
      <c r="B503" s="13"/>
      <c r="C503" s="10"/>
      <c r="D503" s="10"/>
      <c r="E503" s="7">
        <f>+$I$2+(FIDAA[[#This Row],[QUANTITE]]*FIDAA[[#This Row],[PRIX UNITAIRE]])</f>
        <v>0</v>
      </c>
      <c r="F503" s="22"/>
      <c r="G503" s="6">
        <f>SUM(E$9:$E503)-SUM(F$9:$F503)</f>
        <v>6734350</v>
      </c>
    </row>
    <row r="504" spans="1:7" ht="28.8" x14ac:dyDescent="0.55000000000000004">
      <c r="A504" s="12"/>
      <c r="B504" s="13"/>
      <c r="C504" s="10"/>
      <c r="D504" s="10"/>
      <c r="E504" s="7">
        <f>+$I$2+(FIDAA[[#This Row],[QUANTITE]]*FIDAA[[#This Row],[PRIX UNITAIRE]])</f>
        <v>0</v>
      </c>
      <c r="F504" s="22"/>
      <c r="G504" s="6">
        <f>SUM(E$9:$E504)-SUM(F$9:$F504)</f>
        <v>6734350</v>
      </c>
    </row>
    <row r="505" spans="1:7" ht="28.8" x14ac:dyDescent="0.55000000000000004">
      <c r="A505" s="12"/>
      <c r="B505" s="13"/>
      <c r="C505" s="10"/>
      <c r="D505" s="10"/>
      <c r="E505" s="7">
        <f>+$I$2+(FIDAA[[#This Row],[QUANTITE]]*FIDAA[[#This Row],[PRIX UNITAIRE]])</f>
        <v>0</v>
      </c>
      <c r="F505" s="22"/>
      <c r="G505" s="6">
        <f>SUM(E$9:$E505)-SUM(F$9:$F505)</f>
        <v>6734350</v>
      </c>
    </row>
    <row r="506" spans="1:7" ht="28.8" x14ac:dyDescent="0.55000000000000004">
      <c r="A506" s="12"/>
      <c r="B506" s="13"/>
      <c r="C506" s="10"/>
      <c r="D506" s="10"/>
      <c r="E506" s="7">
        <f>+$I$2+(FIDAA[[#This Row],[QUANTITE]]*FIDAA[[#This Row],[PRIX UNITAIRE]])</f>
        <v>0</v>
      </c>
      <c r="F506" s="22"/>
      <c r="G506" s="6">
        <f>SUM(E$9:$E506)-SUM(F$9:$F506)</f>
        <v>6734350</v>
      </c>
    </row>
    <row r="507" spans="1:7" ht="28.8" x14ac:dyDescent="0.55000000000000004">
      <c r="A507" s="12"/>
      <c r="B507" s="13"/>
      <c r="C507" s="10"/>
      <c r="D507" s="10"/>
      <c r="E507" s="7">
        <f>+$I$2+(FIDAA[[#This Row],[QUANTITE]]*FIDAA[[#This Row],[PRIX UNITAIRE]])</f>
        <v>0</v>
      </c>
      <c r="F507" s="22"/>
      <c r="G507" s="6">
        <f>SUM(E$9:$E507)-SUM(F$9:$F507)</f>
        <v>6734350</v>
      </c>
    </row>
    <row r="508" spans="1:7" ht="28.8" x14ac:dyDescent="0.55000000000000004">
      <c r="A508" s="12"/>
      <c r="B508" s="13"/>
      <c r="C508" s="10"/>
      <c r="D508" s="10"/>
      <c r="E508" s="7">
        <f>+$I$2+(FIDAA[[#This Row],[QUANTITE]]*FIDAA[[#This Row],[PRIX UNITAIRE]])</f>
        <v>0</v>
      </c>
      <c r="F508" s="22"/>
      <c r="G508" s="6">
        <f>SUM(E$9:$E508)-SUM(F$9:$F508)</f>
        <v>6734350</v>
      </c>
    </row>
    <row r="509" spans="1:7" ht="28.8" x14ac:dyDescent="0.55000000000000004">
      <c r="A509" s="12"/>
      <c r="B509" s="13"/>
      <c r="C509" s="10"/>
      <c r="D509" s="10"/>
      <c r="E509" s="7">
        <f>+$I$2+(FIDAA[[#This Row],[QUANTITE]]*FIDAA[[#This Row],[PRIX UNITAIRE]])</f>
        <v>0</v>
      </c>
      <c r="F509" s="22"/>
      <c r="G509" s="6">
        <f>SUM(E$9:$E509)-SUM(F$9:$F509)</f>
        <v>6734350</v>
      </c>
    </row>
    <row r="510" spans="1:7" ht="28.8" x14ac:dyDescent="0.55000000000000004">
      <c r="A510" s="12"/>
      <c r="B510" s="13"/>
      <c r="C510" s="10"/>
      <c r="D510" s="10"/>
      <c r="E510" s="7">
        <f>+$I$2+(FIDAA[[#This Row],[QUANTITE]]*FIDAA[[#This Row],[PRIX UNITAIRE]])</f>
        <v>0</v>
      </c>
      <c r="F510" s="22"/>
      <c r="G510" s="6">
        <f>SUM(E$9:$E510)-SUM(F$9:$F510)</f>
        <v>6734350</v>
      </c>
    </row>
    <row r="511" spans="1:7" ht="28.8" x14ac:dyDescent="0.55000000000000004">
      <c r="A511" s="12"/>
      <c r="B511" s="13"/>
      <c r="C511" s="10"/>
      <c r="D511" s="10"/>
      <c r="E511" s="7">
        <f>+$I$2+(FIDAA[[#This Row],[QUANTITE]]*FIDAA[[#This Row],[PRIX UNITAIRE]])</f>
        <v>0</v>
      </c>
      <c r="F511" s="22"/>
      <c r="G511" s="6">
        <f>SUM(E$9:$E511)-SUM(F$9:$F511)</f>
        <v>6734350</v>
      </c>
    </row>
    <row r="512" spans="1:7" ht="28.8" x14ac:dyDescent="0.55000000000000004">
      <c r="A512" s="12"/>
      <c r="B512" s="13"/>
      <c r="C512" s="10"/>
      <c r="D512" s="10"/>
      <c r="E512" s="7">
        <f>+$I$2+(FIDAA[[#This Row],[QUANTITE]]*FIDAA[[#This Row],[PRIX UNITAIRE]])</f>
        <v>0</v>
      </c>
      <c r="F512" s="22"/>
      <c r="G512" s="6">
        <f>SUM(E$9:$E512)-SUM(F$9:$F512)</f>
        <v>6734350</v>
      </c>
    </row>
  </sheetData>
  <sheetProtection selectLockedCells="1" autoFilter="0"/>
  <mergeCells count="1">
    <mergeCell ref="B6:C6"/>
  </mergeCells>
  <conditionalFormatting sqref="B9:B512">
    <cfRule type="expression" dxfId="986" priority="5">
      <formula>$F9</formula>
    </cfRule>
  </conditionalFormatting>
  <conditionalFormatting sqref="G4">
    <cfRule type="cellIs" dxfId="985" priority="2" operator="lessThan">
      <formula>0</formula>
    </cfRule>
    <cfRule type="cellIs" dxfId="984" priority="3" operator="greaterThan">
      <formula>0</formula>
    </cfRule>
  </conditionalFormatting>
  <conditionalFormatting sqref="A1:C1 A2:G4">
    <cfRule type="expression" dxfId="983" priority="1">
      <formula>$E$6=FALSE</formula>
    </cfRule>
  </conditionalFormatting>
  <dataValidations count="1">
    <dataValidation type="date" operator="greaterThan" allowBlank="1" showInputMessage="1" showErrorMessage="1" error="VEILLEZ ENTRER UNE DATE VALIDE" sqref="A9:A51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/>
  <dimension ref="A1:I45"/>
  <sheetViews>
    <sheetView showGridLines="0" zoomScale="60" zoomScaleNormal="60" workbookViewId="0">
      <pane ySplit="8" topLeftCell="A9" activePane="bottomLeft" state="frozen"/>
      <selection sqref="A1:G4"/>
      <selection pane="bottomLeft" activeCell="L8" sqref="L8"/>
    </sheetView>
  </sheetViews>
  <sheetFormatPr baseColWidth="10" defaultColWidth="11.5546875" defaultRowHeight="14.4" x14ac:dyDescent="0.3"/>
  <cols>
    <col min="1" max="1" width="22.77734375" style="1" bestFit="1" customWidth="1"/>
    <col min="2" max="2" width="51.21875" style="1" customWidth="1"/>
    <col min="3" max="3" width="19.77734375" style="1" bestFit="1" customWidth="1"/>
    <col min="4" max="4" width="45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32"/>
      <c r="B1" s="32"/>
      <c r="C1" s="32"/>
    </row>
    <row r="2" spans="1:9" ht="36" customHeight="1" thickBot="1" x14ac:dyDescent="0.65">
      <c r="A2" s="32"/>
      <c r="B2" s="32"/>
      <c r="C2" s="32"/>
      <c r="D2" s="39"/>
      <c r="E2" s="40"/>
      <c r="F2" s="40"/>
      <c r="G2" s="40"/>
      <c r="I2" s="1">
        <v>0</v>
      </c>
    </row>
    <row r="3" spans="1:9" ht="31.8" thickBot="1" x14ac:dyDescent="0.35">
      <c r="A3" s="32"/>
      <c r="B3" s="32"/>
      <c r="C3" s="32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32"/>
      <c r="B4" s="32"/>
      <c r="C4" s="32"/>
      <c r="D4" s="38" t="s">
        <v>1224</v>
      </c>
      <c r="E4" s="41">
        <f>+SUM(SOLO[TOTAL MONTANT])</f>
        <v>7209500</v>
      </c>
      <c r="F4" s="41">
        <f>+SUM(SOLO[VERSEMENT])</f>
        <v>4010000</v>
      </c>
      <c r="G4" s="41">
        <f>+E4-F4</f>
        <v>3199500</v>
      </c>
    </row>
    <row r="5" spans="1:9" ht="29.4" thickBot="1" x14ac:dyDescent="0.35">
      <c r="B5" s="3" t="s">
        <v>7</v>
      </c>
    </row>
    <row r="6" spans="1:9" ht="37.200000000000003" thickBot="1" x14ac:dyDescent="0.75">
      <c r="B6" s="168" t="s">
        <v>1219</v>
      </c>
      <c r="C6" s="169"/>
      <c r="E6" s="51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10">
        <v>46072</v>
      </c>
      <c r="B9" s="13" t="s">
        <v>3452</v>
      </c>
      <c r="C9" s="112">
        <v>1</v>
      </c>
      <c r="D9" s="112">
        <v>7209500</v>
      </c>
      <c r="E9" s="113">
        <v>7209500</v>
      </c>
      <c r="F9" s="114"/>
      <c r="G9" s="115">
        <f>SUM(E$9:$E9)-SUM(F$9:$F9)</f>
        <v>7209500</v>
      </c>
    </row>
    <row r="10" spans="1:9" ht="28.8" x14ac:dyDescent="0.55000000000000004">
      <c r="A10" s="110">
        <v>46072</v>
      </c>
      <c r="B10" s="111"/>
      <c r="C10" s="112">
        <v>1</v>
      </c>
      <c r="D10" s="112"/>
      <c r="E10" s="113"/>
      <c r="F10" s="114">
        <v>3010000</v>
      </c>
      <c r="G10" s="115">
        <f>SUM(E$9:$E10)-SUM(F$9:$F10)</f>
        <v>4199500</v>
      </c>
    </row>
    <row r="11" spans="1:9" ht="28.8" x14ac:dyDescent="0.55000000000000004">
      <c r="A11" s="110">
        <v>46074</v>
      </c>
      <c r="B11" s="111"/>
      <c r="C11" s="112">
        <v>1</v>
      </c>
      <c r="D11" s="112"/>
      <c r="E11" s="113"/>
      <c r="F11" s="114">
        <v>1000000</v>
      </c>
      <c r="G11" s="115">
        <f>SUM(E$9:$E11)-SUM(F$9:$F11)</f>
        <v>3199500</v>
      </c>
    </row>
    <row r="12" spans="1:9" ht="28.8" x14ac:dyDescent="0.55000000000000004">
      <c r="A12" s="12">
        <v>46081</v>
      </c>
      <c r="B12" s="13" t="s">
        <v>3490</v>
      </c>
      <c r="C12" s="10">
        <v>4</v>
      </c>
      <c r="D12" s="10"/>
      <c r="E12" s="7">
        <f>+$I$2+(SOLO[[#This Row],[QUANTITE]]*SOLO[[#This Row],[PRIX UNITAIRE]])</f>
        <v>0</v>
      </c>
      <c r="F12" s="22"/>
      <c r="G12" s="6">
        <f>SUM(E$9:$E12)-SUM(F$9:$F12)</f>
        <v>3199500</v>
      </c>
    </row>
    <row r="13" spans="1:9" ht="28.8" x14ac:dyDescent="0.55000000000000004">
      <c r="A13" s="110">
        <v>46083</v>
      </c>
      <c r="B13" s="13" t="s">
        <v>3494</v>
      </c>
      <c r="C13" s="112">
        <v>4</v>
      </c>
      <c r="D13" s="112"/>
      <c r="E13" s="113"/>
      <c r="F13" s="114"/>
      <c r="G13" s="115">
        <f>SUM(E$9:$E13)-SUM(F$9:$F13)</f>
        <v>3199500</v>
      </c>
    </row>
    <row r="14" spans="1:9" ht="28.8" x14ac:dyDescent="0.55000000000000004">
      <c r="A14" s="110">
        <v>46083</v>
      </c>
      <c r="B14" s="13" t="s">
        <v>3495</v>
      </c>
      <c r="C14" s="112">
        <v>10</v>
      </c>
      <c r="D14" s="112"/>
      <c r="E14" s="113"/>
      <c r="F14" s="114"/>
      <c r="G14" s="115">
        <f>SUM(E$9:$E14)-SUM(F$9:$F14)</f>
        <v>3199500</v>
      </c>
    </row>
    <row r="15" spans="1:9" ht="28.8" x14ac:dyDescent="0.55000000000000004">
      <c r="A15" s="110">
        <v>46087</v>
      </c>
      <c r="B15" s="13" t="s">
        <v>3498</v>
      </c>
      <c r="C15" s="112">
        <v>1</v>
      </c>
      <c r="D15" s="112"/>
      <c r="E15" s="113"/>
      <c r="F15" s="114"/>
      <c r="G15" s="115">
        <f>SUM(E$9:$E15)-SUM(F$9:$F15)</f>
        <v>3199500</v>
      </c>
    </row>
    <row r="16" spans="1:9" ht="28.8" x14ac:dyDescent="0.55000000000000004">
      <c r="A16" s="110">
        <v>46091</v>
      </c>
      <c r="B16" s="13" t="s">
        <v>3507</v>
      </c>
      <c r="C16" s="112">
        <v>2</v>
      </c>
      <c r="D16" s="112"/>
      <c r="E16" s="113"/>
      <c r="F16" s="114"/>
      <c r="G16" s="115">
        <f>SUM(E$9:$E16)-SUM(F$9:$F16)</f>
        <v>3199500</v>
      </c>
    </row>
    <row r="17" spans="1:7" ht="28.8" x14ac:dyDescent="0.55000000000000004">
      <c r="A17" s="110">
        <v>46095</v>
      </c>
      <c r="B17" s="13" t="s">
        <v>3516</v>
      </c>
      <c r="C17" s="112">
        <v>1</v>
      </c>
      <c r="D17" s="112"/>
      <c r="E17" s="113"/>
      <c r="F17" s="114"/>
      <c r="G17" s="115">
        <f>SUM(E$9:$E17)-SUM(F$9:$F17)</f>
        <v>3199500</v>
      </c>
    </row>
    <row r="18" spans="1:7" ht="28.8" x14ac:dyDescent="0.55000000000000004">
      <c r="A18" s="110"/>
      <c r="B18" s="111"/>
      <c r="C18" s="112"/>
      <c r="D18" s="112"/>
      <c r="E18" s="113"/>
      <c r="F18" s="114"/>
      <c r="G18" s="115">
        <f>SUM(E$9:$E18)-SUM(F$9:$F18)</f>
        <v>3199500</v>
      </c>
    </row>
    <row r="19" spans="1:7" ht="28.8" x14ac:dyDescent="0.55000000000000004">
      <c r="A19" s="110"/>
      <c r="B19" s="111"/>
      <c r="C19" s="112"/>
      <c r="D19" s="112"/>
      <c r="E19" s="113"/>
      <c r="F19" s="114"/>
      <c r="G19" s="115">
        <f>SUM(E$9:$E19)-SUM(F$9:$F19)</f>
        <v>3199500</v>
      </c>
    </row>
    <row r="20" spans="1:7" ht="28.8" x14ac:dyDescent="0.55000000000000004">
      <c r="A20" s="110"/>
      <c r="B20" s="111"/>
      <c r="C20" s="112"/>
      <c r="D20" s="112"/>
      <c r="E20" s="113"/>
      <c r="F20" s="114"/>
      <c r="G20" s="115">
        <f>SUM(E$9:$E20)-SUM(F$9:$F20)</f>
        <v>3199500</v>
      </c>
    </row>
    <row r="21" spans="1:7" ht="28.8" x14ac:dyDescent="0.55000000000000004">
      <c r="A21" s="110"/>
      <c r="B21" s="111"/>
      <c r="C21" s="112"/>
      <c r="D21" s="112"/>
      <c r="E21" s="113"/>
      <c r="F21" s="114"/>
      <c r="G21" s="115">
        <f>SUM(E$9:$E21)-SUM(F$9:$F21)</f>
        <v>3199500</v>
      </c>
    </row>
    <row r="22" spans="1:7" ht="28.8" x14ac:dyDescent="0.55000000000000004">
      <c r="A22" s="110"/>
      <c r="B22" s="111"/>
      <c r="C22" s="112"/>
      <c r="D22" s="112"/>
      <c r="E22" s="113"/>
      <c r="F22" s="114"/>
      <c r="G22" s="115">
        <f>SUM(E$9:$E22)-SUM(F$9:$F22)</f>
        <v>3199500</v>
      </c>
    </row>
    <row r="23" spans="1:7" ht="28.8" x14ac:dyDescent="0.55000000000000004">
      <c r="A23" s="110"/>
      <c r="B23" s="111"/>
      <c r="C23" s="112"/>
      <c r="D23" s="112"/>
      <c r="E23" s="113"/>
      <c r="F23" s="114"/>
      <c r="G23" s="115">
        <f>SUM(E$9:$E23)-SUM(F$9:$F23)</f>
        <v>3199500</v>
      </c>
    </row>
    <row r="24" spans="1:7" ht="28.8" x14ac:dyDescent="0.55000000000000004">
      <c r="A24" s="110"/>
      <c r="B24" s="111"/>
      <c r="C24" s="112"/>
      <c r="D24" s="112"/>
      <c r="E24" s="113"/>
      <c r="F24" s="114"/>
      <c r="G24" s="115">
        <f>SUM(E$9:$E24)-SUM(F$9:$F24)</f>
        <v>3199500</v>
      </c>
    </row>
    <row r="25" spans="1:7" ht="28.8" x14ac:dyDescent="0.55000000000000004">
      <c r="A25" s="110"/>
      <c r="B25" s="111"/>
      <c r="C25" s="112"/>
      <c r="D25" s="112"/>
      <c r="E25" s="113"/>
      <c r="F25" s="114"/>
      <c r="G25" s="115">
        <f>SUM(E$9:$E25)-SUM(F$9:$F25)</f>
        <v>3199500</v>
      </c>
    </row>
    <row r="26" spans="1:7" ht="28.8" x14ac:dyDescent="0.55000000000000004">
      <c r="A26" s="110"/>
      <c r="B26" s="111"/>
      <c r="C26" s="112"/>
      <c r="D26" s="112"/>
      <c r="E26" s="113"/>
      <c r="F26" s="114"/>
      <c r="G26" s="115">
        <f>SUM(E$9:$E26)-SUM(F$9:$F26)</f>
        <v>3199500</v>
      </c>
    </row>
    <row r="27" spans="1:7" ht="28.8" x14ac:dyDescent="0.55000000000000004">
      <c r="A27" s="110"/>
      <c r="B27" s="111"/>
      <c r="C27" s="112"/>
      <c r="D27" s="112"/>
      <c r="E27" s="113"/>
      <c r="F27" s="114"/>
      <c r="G27" s="115">
        <f>SUM(E$9:$E27)-SUM(F$9:$F27)</f>
        <v>3199500</v>
      </c>
    </row>
    <row r="28" spans="1:7" ht="28.8" x14ac:dyDescent="0.55000000000000004">
      <c r="A28" s="110"/>
      <c r="B28" s="111"/>
      <c r="C28" s="112"/>
      <c r="D28" s="112"/>
      <c r="E28" s="113"/>
      <c r="F28" s="114"/>
      <c r="G28" s="115">
        <f>SUM(E$9:$E28)-SUM(F$9:$F28)</f>
        <v>3199500</v>
      </c>
    </row>
    <row r="29" spans="1:7" ht="28.8" x14ac:dyDescent="0.55000000000000004">
      <c r="A29" s="110"/>
      <c r="B29" s="111"/>
      <c r="C29" s="112"/>
      <c r="D29" s="112"/>
      <c r="E29" s="113"/>
      <c r="F29" s="114"/>
      <c r="G29" s="115">
        <f>SUM(E$9:$E29)-SUM(F$9:$F29)</f>
        <v>3199500</v>
      </c>
    </row>
    <row r="30" spans="1:7" ht="28.8" x14ac:dyDescent="0.55000000000000004">
      <c r="A30" s="110"/>
      <c r="B30" s="111"/>
      <c r="C30" s="112"/>
      <c r="D30" s="112"/>
      <c r="E30" s="113"/>
      <c r="F30" s="114"/>
      <c r="G30" s="115">
        <f>SUM(E$9:$E30)-SUM(F$9:$F30)</f>
        <v>3199500</v>
      </c>
    </row>
    <row r="31" spans="1:7" ht="28.8" x14ac:dyDescent="0.55000000000000004">
      <c r="A31" s="110"/>
      <c r="B31" s="111"/>
      <c r="C31" s="112"/>
      <c r="D31" s="112"/>
      <c r="E31" s="113"/>
      <c r="F31" s="114"/>
      <c r="G31" s="115">
        <f>SUM(E$9:$E31)-SUM(F$9:$F31)</f>
        <v>3199500</v>
      </c>
    </row>
    <row r="32" spans="1:7" ht="28.8" x14ac:dyDescent="0.55000000000000004">
      <c r="A32" s="110"/>
      <c r="B32" s="111"/>
      <c r="C32" s="112"/>
      <c r="D32" s="112"/>
      <c r="E32" s="113"/>
      <c r="F32" s="114"/>
      <c r="G32" s="115">
        <f>SUM(E$9:$E32)-SUM(F$9:$F32)</f>
        <v>3199500</v>
      </c>
    </row>
    <row r="33" spans="1:7" ht="28.8" x14ac:dyDescent="0.55000000000000004">
      <c r="A33" s="110"/>
      <c r="B33" s="111"/>
      <c r="C33" s="112"/>
      <c r="D33" s="112"/>
      <c r="E33" s="113"/>
      <c r="F33" s="114"/>
      <c r="G33" s="115">
        <f>SUM(E$9:$E33)-SUM(F$9:$F33)</f>
        <v>3199500</v>
      </c>
    </row>
    <row r="34" spans="1:7" ht="28.8" x14ac:dyDescent="0.55000000000000004">
      <c r="A34" s="110"/>
      <c r="B34" s="111"/>
      <c r="C34" s="112"/>
      <c r="D34" s="112"/>
      <c r="E34" s="113"/>
      <c r="F34" s="114"/>
      <c r="G34" s="115">
        <f>SUM(E$9:$E34)-SUM(F$9:$F34)</f>
        <v>3199500</v>
      </c>
    </row>
    <row r="35" spans="1:7" ht="28.8" x14ac:dyDescent="0.55000000000000004">
      <c r="A35" s="110"/>
      <c r="B35" s="111"/>
      <c r="C35" s="112"/>
      <c r="D35" s="112"/>
      <c r="E35" s="113"/>
      <c r="F35" s="114"/>
      <c r="G35" s="115">
        <f>SUM(E$9:$E35)-SUM(F$9:$F35)</f>
        <v>3199500</v>
      </c>
    </row>
    <row r="36" spans="1:7" ht="28.8" x14ac:dyDescent="0.55000000000000004">
      <c r="A36" s="110"/>
      <c r="B36" s="111"/>
      <c r="C36" s="112"/>
      <c r="D36" s="112"/>
      <c r="E36" s="113"/>
      <c r="F36" s="114"/>
      <c r="G36" s="115">
        <f>SUM(E$9:$E36)-SUM(F$9:$F36)</f>
        <v>3199500</v>
      </c>
    </row>
    <row r="37" spans="1:7" ht="28.8" x14ac:dyDescent="0.55000000000000004">
      <c r="A37" s="110"/>
      <c r="B37" s="111"/>
      <c r="C37" s="112"/>
      <c r="D37" s="112"/>
      <c r="E37" s="113"/>
      <c r="F37" s="114"/>
      <c r="G37" s="115">
        <f>SUM(E$9:$E37)-SUM(F$9:$F37)</f>
        <v>3199500</v>
      </c>
    </row>
    <row r="38" spans="1:7" ht="28.8" x14ac:dyDescent="0.55000000000000004">
      <c r="A38" s="110"/>
      <c r="B38" s="111"/>
      <c r="C38" s="112"/>
      <c r="D38" s="112"/>
      <c r="E38" s="113"/>
      <c r="F38" s="114"/>
      <c r="G38" s="115">
        <f>SUM(E$9:$E38)-SUM(F$9:$F38)</f>
        <v>3199500</v>
      </c>
    </row>
    <row r="39" spans="1:7" ht="28.8" x14ac:dyDescent="0.55000000000000004">
      <c r="A39" s="110"/>
      <c r="B39" s="111"/>
      <c r="C39" s="112"/>
      <c r="D39" s="112"/>
      <c r="E39" s="113"/>
      <c r="F39" s="114"/>
      <c r="G39" s="115">
        <f>SUM(E$9:$E39)-SUM(F$9:$F39)</f>
        <v>3199500</v>
      </c>
    </row>
    <row r="40" spans="1:7" ht="28.8" x14ac:dyDescent="0.55000000000000004">
      <c r="A40" s="110"/>
      <c r="B40" s="111"/>
      <c r="C40" s="112"/>
      <c r="D40" s="112"/>
      <c r="E40" s="113"/>
      <c r="F40" s="114"/>
      <c r="G40" s="115">
        <f>SUM(E$9:$E40)-SUM(F$9:$F40)</f>
        <v>3199500</v>
      </c>
    </row>
    <row r="41" spans="1:7" ht="28.8" x14ac:dyDescent="0.55000000000000004">
      <c r="A41" s="110"/>
      <c r="B41" s="111"/>
      <c r="C41" s="112"/>
      <c r="D41" s="112"/>
      <c r="E41" s="113">
        <f>+$I$2+(SOLO[[#This Row],[QUANTITE]]*SOLO[[#This Row],[PRIX UNITAIRE]])</f>
        <v>0</v>
      </c>
      <c r="F41" s="114"/>
      <c r="G41" s="115">
        <f>SUM(E$9:$E41)-SUM(F$9:$F41)</f>
        <v>3199500</v>
      </c>
    </row>
    <row r="42" spans="1:7" ht="28.8" x14ac:dyDescent="0.55000000000000004">
      <c r="A42" s="110"/>
      <c r="B42" s="111"/>
      <c r="C42" s="112"/>
      <c r="D42" s="112"/>
      <c r="E42" s="113">
        <f>+$I$2+(SOLO[[#This Row],[QUANTITE]]*SOLO[[#This Row],[PRIX UNITAIRE]])</f>
        <v>0</v>
      </c>
      <c r="F42" s="114"/>
      <c r="G42" s="115">
        <f>SUM(E$9:$E42)-SUM(F$9:$F42)</f>
        <v>3199500</v>
      </c>
    </row>
    <row r="43" spans="1:7" ht="28.8" x14ac:dyDescent="0.55000000000000004">
      <c r="A43" s="110"/>
      <c r="B43" s="111"/>
      <c r="C43" s="112"/>
      <c r="D43" s="112"/>
      <c r="E43" s="113">
        <f>+$I$2+(SOLO[[#This Row],[QUANTITE]]*SOLO[[#This Row],[PRIX UNITAIRE]])</f>
        <v>0</v>
      </c>
      <c r="F43" s="114"/>
      <c r="G43" s="115">
        <f>SUM(E$9:$E43)-SUM(F$9:$F43)</f>
        <v>3199500</v>
      </c>
    </row>
    <row r="44" spans="1:7" ht="28.8" x14ac:dyDescent="0.55000000000000004">
      <c r="A44" s="110"/>
      <c r="B44" s="111"/>
      <c r="C44" s="112"/>
      <c r="D44" s="112"/>
      <c r="E44" s="113">
        <f>+$I$2+(SOLO[[#This Row],[QUANTITE]]*SOLO[[#This Row],[PRIX UNITAIRE]])</f>
        <v>0</v>
      </c>
      <c r="F44" s="114"/>
      <c r="G44" s="115">
        <f>SUM(E$9:$E44)-SUM(F$9:$F44)</f>
        <v>3199500</v>
      </c>
    </row>
    <row r="45" spans="1:7" ht="28.8" x14ac:dyDescent="0.55000000000000004">
      <c r="A45" s="110"/>
      <c r="B45" s="111"/>
      <c r="C45" s="112"/>
      <c r="D45" s="112"/>
      <c r="E45" s="113">
        <f>+$I$2+(SOLO[[#This Row],[QUANTITE]]*SOLO[[#This Row],[PRIX UNITAIRE]])</f>
        <v>0</v>
      </c>
      <c r="F45" s="114"/>
      <c r="G45" s="115">
        <f>SUM(E$9:$E45)-SUM(F$9:$F45)</f>
        <v>3199500</v>
      </c>
    </row>
  </sheetData>
  <sheetProtection selectLockedCells="1" autoFilter="0"/>
  <mergeCells count="1">
    <mergeCell ref="B6:C6"/>
  </mergeCells>
  <conditionalFormatting sqref="B9:B45">
    <cfRule type="expression" dxfId="966" priority="5">
      <formula>$F9</formula>
    </cfRule>
  </conditionalFormatting>
  <conditionalFormatting sqref="G4">
    <cfRule type="cellIs" dxfId="965" priority="2" operator="lessThan">
      <formula>0</formula>
    </cfRule>
    <cfRule type="cellIs" dxfId="964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45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/>
  <dimension ref="A1:I109"/>
  <sheetViews>
    <sheetView showGridLines="0" zoomScale="60" zoomScaleNormal="60" workbookViewId="0">
      <pane ySplit="8" topLeftCell="A19" activePane="bottomLeft" state="frozen"/>
      <selection sqref="A1:G4"/>
      <selection pane="bottomLeft" activeCell="A29" sqref="A29"/>
    </sheetView>
  </sheetViews>
  <sheetFormatPr baseColWidth="10" defaultColWidth="11.5546875" defaultRowHeight="14.4" x14ac:dyDescent="0.3"/>
  <cols>
    <col min="1" max="1" width="22.77734375" style="1" bestFit="1" customWidth="1"/>
    <col min="2" max="2" width="51.21875" style="1" customWidth="1"/>
    <col min="3" max="3" width="19.77734375" style="1" bestFit="1" customWidth="1"/>
    <col min="4" max="4" width="45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32"/>
      <c r="B1" s="32"/>
      <c r="C1" s="32"/>
    </row>
    <row r="2" spans="1:9" ht="36" customHeight="1" thickBot="1" x14ac:dyDescent="0.65">
      <c r="A2" s="32"/>
      <c r="B2" s="32"/>
      <c r="C2" s="32"/>
      <c r="D2" s="39"/>
      <c r="E2" s="40"/>
      <c r="F2" s="40"/>
      <c r="G2" s="40"/>
      <c r="I2" s="1">
        <v>0</v>
      </c>
    </row>
    <row r="3" spans="1:9" ht="31.8" thickBot="1" x14ac:dyDescent="0.35">
      <c r="A3" s="32"/>
      <c r="B3" s="32"/>
      <c r="C3" s="32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32"/>
      <c r="B4" s="32"/>
      <c r="C4" s="32"/>
      <c r="D4" s="38" t="s">
        <v>1224</v>
      </c>
      <c r="E4" s="41">
        <f>+SUM(SENATBL[TOTAL MONTANT])</f>
        <v>193356500</v>
      </c>
      <c r="F4" s="41">
        <f>+SUM(SENATBL[VERSEMENT])</f>
        <v>0</v>
      </c>
      <c r="G4" s="41">
        <f>+E4-F4</f>
        <v>193356500</v>
      </c>
    </row>
    <row r="5" spans="1:9" ht="29.4" thickBot="1" x14ac:dyDescent="0.35">
      <c r="B5" s="3" t="s">
        <v>7</v>
      </c>
    </row>
    <row r="6" spans="1:9" ht="37.200000000000003" thickBot="1" x14ac:dyDescent="0.75">
      <c r="B6" s="168" t="s">
        <v>1220</v>
      </c>
      <c r="C6" s="169"/>
      <c r="E6" s="51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46099</v>
      </c>
      <c r="B9" s="13" t="s">
        <v>3531</v>
      </c>
      <c r="C9" s="10">
        <v>1</v>
      </c>
      <c r="D9" s="10">
        <v>190457500</v>
      </c>
      <c r="E9" s="7">
        <f>SENATBL[[#This Row],[PRIX UNITAIRE]]*SENATBL[[#This Row],[QUANTITE]]</f>
        <v>190457500</v>
      </c>
      <c r="F9" s="22"/>
      <c r="G9" s="6">
        <f>SUM(E$9:$E9)-SUM(F$9:$F9)</f>
        <v>190457500</v>
      </c>
    </row>
    <row r="10" spans="1:9" ht="28.8" x14ac:dyDescent="0.55000000000000004">
      <c r="A10" s="24">
        <v>46099</v>
      </c>
      <c r="B10" s="13" t="s">
        <v>3535</v>
      </c>
      <c r="C10" s="26">
        <v>1</v>
      </c>
      <c r="D10" s="26">
        <v>585000</v>
      </c>
      <c r="E10" s="7">
        <f>SENATBL[[#This Row],[PRIX UNITAIRE]]*SENATBL[[#This Row],[QUANTITE]]</f>
        <v>585000</v>
      </c>
      <c r="F10" s="31"/>
      <c r="G10" s="29">
        <f>SUM(E$9:$E10)-SUM(F$9:$F10)</f>
        <v>191042500</v>
      </c>
    </row>
    <row r="11" spans="1:9" ht="28.8" x14ac:dyDescent="0.55000000000000004">
      <c r="A11" s="24">
        <v>46099</v>
      </c>
      <c r="B11" s="13" t="s">
        <v>3537</v>
      </c>
      <c r="C11" s="26">
        <v>1</v>
      </c>
      <c r="D11" s="26">
        <v>214500</v>
      </c>
      <c r="E11" s="7">
        <f>SENATBL[[#This Row],[PRIX UNITAIRE]]*SENATBL[[#This Row],[QUANTITE]]</f>
        <v>214500</v>
      </c>
      <c r="F11" s="31"/>
      <c r="G11" s="29">
        <f>SUM(E$9:$E11)-SUM(F$9:$F11)</f>
        <v>191257000</v>
      </c>
    </row>
    <row r="12" spans="1:9" ht="28.8" x14ac:dyDescent="0.55000000000000004">
      <c r="A12" s="24">
        <v>46099</v>
      </c>
      <c r="B12" s="13" t="s">
        <v>3538</v>
      </c>
      <c r="C12" s="26">
        <v>1</v>
      </c>
      <c r="D12" s="26">
        <v>50000</v>
      </c>
      <c r="E12" s="7">
        <f>SENATBL[[#This Row],[PRIX UNITAIRE]]*SENATBL[[#This Row],[QUANTITE]]</f>
        <v>50000</v>
      </c>
      <c r="F12" s="31"/>
      <c r="G12" s="29">
        <f>SUM(E$9:$E12)-SUM(F$9:$F12)</f>
        <v>191307000</v>
      </c>
    </row>
    <row r="13" spans="1:9" ht="28.8" x14ac:dyDescent="0.55000000000000004">
      <c r="A13" s="24">
        <v>46099</v>
      </c>
      <c r="B13" s="13" t="s">
        <v>3539</v>
      </c>
      <c r="C13" s="26">
        <v>1</v>
      </c>
      <c r="D13" s="26">
        <v>45000</v>
      </c>
      <c r="E13" s="7">
        <f>SENATBL[[#This Row],[PRIX UNITAIRE]]*SENATBL[[#This Row],[QUANTITE]]</f>
        <v>45000</v>
      </c>
      <c r="F13" s="31"/>
      <c r="G13" s="29">
        <f>SUM(E$9:$E13)-SUM(F$9:$F13)</f>
        <v>191352000</v>
      </c>
    </row>
    <row r="14" spans="1:9" ht="28.8" x14ac:dyDescent="0.55000000000000004">
      <c r="A14" s="24">
        <v>46099</v>
      </c>
      <c r="B14" s="13" t="s">
        <v>1100</v>
      </c>
      <c r="C14" s="26">
        <v>1</v>
      </c>
      <c r="D14" s="26">
        <v>115000</v>
      </c>
      <c r="E14" s="7">
        <f>SENATBL[[#This Row],[PRIX UNITAIRE]]*SENATBL[[#This Row],[QUANTITE]]</f>
        <v>115000</v>
      </c>
      <c r="F14" s="31"/>
      <c r="G14" s="29">
        <f>SUM(E$9:$E14)-SUM(F$9:$F14)</f>
        <v>191467000</v>
      </c>
    </row>
    <row r="15" spans="1:9" ht="28.8" x14ac:dyDescent="0.55000000000000004">
      <c r="A15" s="24">
        <v>46100</v>
      </c>
      <c r="B15" s="13" t="s">
        <v>3542</v>
      </c>
      <c r="C15" s="26">
        <v>1</v>
      </c>
      <c r="D15" s="26">
        <v>55000</v>
      </c>
      <c r="E15" s="7">
        <f>SENATBL[[#This Row],[PRIX UNITAIRE]]*SENATBL[[#This Row],[QUANTITE]]</f>
        <v>55000</v>
      </c>
      <c r="F15" s="31"/>
      <c r="G15" s="29">
        <f>SUM(E$9:$E15)-SUM(F$9:$F15)</f>
        <v>191522000</v>
      </c>
    </row>
    <row r="16" spans="1:9" ht="28.8" x14ac:dyDescent="0.55000000000000004">
      <c r="A16" s="24">
        <v>46100</v>
      </c>
      <c r="B16" s="13" t="s">
        <v>3543</v>
      </c>
      <c r="C16" s="26">
        <v>1</v>
      </c>
      <c r="D16" s="26">
        <v>320000</v>
      </c>
      <c r="E16" s="27">
        <f>SENATBL[[#This Row],[PRIX UNITAIRE]]*SENATBL[[#This Row],[QUANTITE]]</f>
        <v>320000</v>
      </c>
      <c r="F16" s="31"/>
      <c r="G16" s="29">
        <f>SUM(E$9:$E16)-SUM(F$9:$F16)</f>
        <v>191842000</v>
      </c>
    </row>
    <row r="17" spans="1:7" ht="28.8" x14ac:dyDescent="0.55000000000000004">
      <c r="A17" s="24">
        <v>46100</v>
      </c>
      <c r="B17" s="13" t="s">
        <v>3544</v>
      </c>
      <c r="C17" s="26">
        <v>1</v>
      </c>
      <c r="D17" s="26">
        <v>45000</v>
      </c>
      <c r="E17" s="27">
        <f>SENATBL[[#This Row],[PRIX UNITAIRE]]*SENATBL[[#This Row],[QUANTITE]]</f>
        <v>45000</v>
      </c>
      <c r="F17" s="31"/>
      <c r="G17" s="29">
        <f>SUM(E$9:$E17)-SUM(F$9:$F17)</f>
        <v>191887000</v>
      </c>
    </row>
    <row r="18" spans="1:7" ht="28.8" x14ac:dyDescent="0.55000000000000004">
      <c r="A18" s="24">
        <v>46100</v>
      </c>
      <c r="B18" s="13" t="s">
        <v>3545</v>
      </c>
      <c r="C18" s="26">
        <v>1</v>
      </c>
      <c r="D18" s="26">
        <v>175000</v>
      </c>
      <c r="E18" s="27">
        <f>SENATBL[[#This Row],[PRIX UNITAIRE]]*SENATBL[[#This Row],[QUANTITE]]</f>
        <v>175000</v>
      </c>
      <c r="F18" s="31"/>
      <c r="G18" s="29">
        <f>SUM(E$9:$E18)-SUM(F$9:$F18)</f>
        <v>192062000</v>
      </c>
    </row>
    <row r="19" spans="1:7" ht="28.8" x14ac:dyDescent="0.55000000000000004">
      <c r="A19" s="24">
        <v>46100</v>
      </c>
      <c r="B19" s="13" t="s">
        <v>3546</v>
      </c>
      <c r="C19" s="26">
        <v>1</v>
      </c>
      <c r="D19" s="26">
        <v>15000</v>
      </c>
      <c r="E19" s="27">
        <f>SENATBL[[#This Row],[PRIX UNITAIRE]]*SENATBL[[#This Row],[QUANTITE]]</f>
        <v>15000</v>
      </c>
      <c r="F19" s="31"/>
      <c r="G19" s="29">
        <f>SUM(E$9:$E19)-SUM(F$9:$F19)</f>
        <v>192077000</v>
      </c>
    </row>
    <row r="20" spans="1:7" ht="28.8" x14ac:dyDescent="0.55000000000000004">
      <c r="A20" s="24">
        <v>46100</v>
      </c>
      <c r="B20" s="13" t="s">
        <v>3547</v>
      </c>
      <c r="C20" s="26">
        <v>1</v>
      </c>
      <c r="D20" s="26">
        <v>500000</v>
      </c>
      <c r="E20" s="27">
        <f>SENATBL[[#This Row],[PRIX UNITAIRE]]*SENATBL[[#This Row],[QUANTITE]]</f>
        <v>500000</v>
      </c>
      <c r="F20" s="31"/>
      <c r="G20" s="29">
        <f>SUM(E$9:$E20)-SUM(F$9:$F20)</f>
        <v>192577000</v>
      </c>
    </row>
    <row r="21" spans="1:7" ht="28.8" x14ac:dyDescent="0.55000000000000004">
      <c r="A21" s="24">
        <v>46100</v>
      </c>
      <c r="B21" s="13" t="s">
        <v>3548</v>
      </c>
      <c r="C21" s="26">
        <v>1</v>
      </c>
      <c r="D21" s="26">
        <v>200000</v>
      </c>
      <c r="E21" s="27">
        <f>SENATBL[[#This Row],[PRIX UNITAIRE]]*SENATBL[[#This Row],[QUANTITE]]</f>
        <v>200000</v>
      </c>
      <c r="F21" s="31"/>
      <c r="G21" s="29">
        <f>SUM(E$9:$E21)-SUM(F$9:$F21)</f>
        <v>192777000</v>
      </c>
    </row>
    <row r="22" spans="1:7" ht="28.8" x14ac:dyDescent="0.55000000000000004">
      <c r="A22" s="24">
        <v>46100</v>
      </c>
      <c r="B22" s="13" t="s">
        <v>3553</v>
      </c>
      <c r="C22" s="26">
        <v>1</v>
      </c>
      <c r="D22" s="26">
        <v>150000</v>
      </c>
      <c r="E22" s="27">
        <f>SENATBL[[#This Row],[PRIX UNITAIRE]]*SENATBL[[#This Row],[QUANTITE]]</f>
        <v>150000</v>
      </c>
      <c r="F22" s="31"/>
      <c r="G22" s="29">
        <f>SUM(E$9:$E22)-SUM(F$9:$F22)</f>
        <v>192927000</v>
      </c>
    </row>
    <row r="23" spans="1:7" ht="28.8" x14ac:dyDescent="0.55000000000000004">
      <c r="A23" s="24">
        <v>46100</v>
      </c>
      <c r="B23" s="13" t="s">
        <v>3554</v>
      </c>
      <c r="C23" s="26">
        <v>1</v>
      </c>
      <c r="D23" s="26">
        <v>214500</v>
      </c>
      <c r="E23" s="27">
        <f>SENATBL[[#This Row],[PRIX UNITAIRE]]*SENATBL[[#This Row],[QUANTITE]]</f>
        <v>214500</v>
      </c>
      <c r="F23" s="31"/>
      <c r="G23" s="29">
        <f>SUM(E$9:$E23)-SUM(F$9:$F23)</f>
        <v>193141500</v>
      </c>
    </row>
    <row r="24" spans="1:7" ht="28.8" x14ac:dyDescent="0.55000000000000004">
      <c r="A24" s="24">
        <v>46100</v>
      </c>
      <c r="B24" s="13" t="s">
        <v>3555</v>
      </c>
      <c r="C24" s="26">
        <v>1</v>
      </c>
      <c r="D24" s="26">
        <v>5000</v>
      </c>
      <c r="E24" s="27">
        <f>SENATBL[[#This Row],[PRIX UNITAIRE]]*SENATBL[[#This Row],[QUANTITE]]</f>
        <v>5000</v>
      </c>
      <c r="F24" s="31"/>
      <c r="G24" s="29">
        <f>SUM(E$9:$E24)-SUM(F$9:$F24)</f>
        <v>193146500</v>
      </c>
    </row>
    <row r="25" spans="1:7" ht="28.8" x14ac:dyDescent="0.55000000000000004">
      <c r="A25" s="24">
        <v>46100</v>
      </c>
      <c r="B25" s="13" t="s">
        <v>3556</v>
      </c>
      <c r="C25" s="26">
        <v>1</v>
      </c>
      <c r="D25" s="26">
        <v>70000</v>
      </c>
      <c r="E25" s="27">
        <f>SENATBL[[#This Row],[PRIX UNITAIRE]]*SENATBL[[#This Row],[QUANTITE]]</f>
        <v>70000</v>
      </c>
      <c r="F25" s="31"/>
      <c r="G25" s="29">
        <f>SUM(E$9:$E25)-SUM(F$9:$F25)</f>
        <v>193216500</v>
      </c>
    </row>
    <row r="26" spans="1:7" ht="28.8" x14ac:dyDescent="0.55000000000000004">
      <c r="A26" s="24">
        <v>46100</v>
      </c>
      <c r="B26" s="13" t="s">
        <v>3557</v>
      </c>
      <c r="C26" s="26">
        <v>1</v>
      </c>
      <c r="D26" s="26">
        <v>15000</v>
      </c>
      <c r="E26" s="27">
        <f>SENATBL[[#This Row],[PRIX UNITAIRE]]*SENATBL[[#This Row],[QUANTITE]]</f>
        <v>15000</v>
      </c>
      <c r="F26" s="31"/>
      <c r="G26" s="29">
        <f>SUM(E$9:$E26)-SUM(F$9:$F26)</f>
        <v>193231500</v>
      </c>
    </row>
    <row r="27" spans="1:7" ht="28.8" x14ac:dyDescent="0.55000000000000004">
      <c r="A27" s="24">
        <v>46100</v>
      </c>
      <c r="B27" s="13" t="s">
        <v>3558</v>
      </c>
      <c r="C27" s="26">
        <v>1</v>
      </c>
      <c r="D27" s="26">
        <v>25000</v>
      </c>
      <c r="E27" s="27">
        <f>SENATBL[[#This Row],[PRIX UNITAIRE]]*SENATBL[[#This Row],[QUANTITE]]</f>
        <v>25000</v>
      </c>
      <c r="F27" s="22"/>
      <c r="G27" s="29">
        <f>SUM(E$9:$E27)-SUM(F$9:$F27)</f>
        <v>193256500</v>
      </c>
    </row>
    <row r="28" spans="1:7" ht="28.8" x14ac:dyDescent="0.55000000000000004">
      <c r="A28" s="24">
        <v>46100</v>
      </c>
      <c r="B28" s="13" t="s">
        <v>819</v>
      </c>
      <c r="C28" s="26">
        <v>1</v>
      </c>
      <c r="D28" s="26">
        <v>100000</v>
      </c>
      <c r="E28" s="27">
        <f>SENATBL[[#This Row],[PRIX UNITAIRE]]*SENATBL[[#This Row],[QUANTITE]]</f>
        <v>100000</v>
      </c>
      <c r="F28" s="31"/>
      <c r="G28" s="29">
        <f>SUM(E$9:$E28)-SUM(F$9:$F28)</f>
        <v>193356500</v>
      </c>
    </row>
    <row r="29" spans="1:7" ht="28.8" x14ac:dyDescent="0.55000000000000004">
      <c r="A29" s="24"/>
      <c r="B29" s="13"/>
      <c r="C29" s="26"/>
      <c r="D29" s="26"/>
      <c r="E29" s="27">
        <f>SENATBL[[#This Row],[PRIX UNITAIRE]]*SENATBL[[#This Row],[QUANTITE]]</f>
        <v>0</v>
      </c>
      <c r="F29" s="31"/>
      <c r="G29" s="29">
        <f>SUM(E$9:$E29)-SUM(F$9:$F29)</f>
        <v>193356500</v>
      </c>
    </row>
    <row r="30" spans="1:7" ht="28.8" x14ac:dyDescent="0.55000000000000004">
      <c r="A30" s="24"/>
      <c r="B30" s="13"/>
      <c r="C30" s="26"/>
      <c r="D30" s="26"/>
      <c r="E30" s="27">
        <f>SENATBL[[#This Row],[PRIX UNITAIRE]]*SENATBL[[#This Row],[QUANTITE]]</f>
        <v>0</v>
      </c>
      <c r="F30" s="31"/>
      <c r="G30" s="29">
        <f>SUM(E$9:$E30)-SUM(F$9:$F30)</f>
        <v>193356500</v>
      </c>
    </row>
    <row r="31" spans="1:7" ht="28.8" x14ac:dyDescent="0.55000000000000004">
      <c r="A31" s="24"/>
      <c r="B31" s="13"/>
      <c r="C31" s="26"/>
      <c r="D31" s="26"/>
      <c r="E31" s="27">
        <f>SENATBL[[#This Row],[PRIX UNITAIRE]]*SENATBL[[#This Row],[QUANTITE]]</f>
        <v>0</v>
      </c>
      <c r="F31" s="31"/>
      <c r="G31" s="29">
        <f>SUM(E$9:$E31)-SUM(F$9:$F31)</f>
        <v>193356500</v>
      </c>
    </row>
    <row r="32" spans="1:7" ht="28.8" x14ac:dyDescent="0.55000000000000004">
      <c r="A32" s="24"/>
      <c r="B32" s="13"/>
      <c r="C32" s="26"/>
      <c r="D32" s="26"/>
      <c r="E32" s="27">
        <f>SENATBL[[#This Row],[PRIX UNITAIRE]]*SENATBL[[#This Row],[QUANTITE]]</f>
        <v>0</v>
      </c>
      <c r="F32" s="31"/>
      <c r="G32" s="29">
        <f>SUM(E$9:$E32)-SUM(F$9:$F32)</f>
        <v>193356500</v>
      </c>
    </row>
    <row r="33" spans="1:7" ht="28.8" x14ac:dyDescent="0.55000000000000004">
      <c r="A33" s="24"/>
      <c r="B33" s="13"/>
      <c r="C33" s="26"/>
      <c r="D33" s="26"/>
      <c r="E33" s="27">
        <f>SENATBL[[#This Row],[PRIX UNITAIRE]]*SENATBL[[#This Row],[QUANTITE]]</f>
        <v>0</v>
      </c>
      <c r="F33" s="31"/>
      <c r="G33" s="29">
        <f>SUM(E$9:$E33)-SUM(F$9:$F33)</f>
        <v>193356500</v>
      </c>
    </row>
    <row r="34" spans="1:7" ht="28.8" x14ac:dyDescent="0.55000000000000004">
      <c r="A34" s="24"/>
      <c r="B34" s="13"/>
      <c r="C34" s="26"/>
      <c r="D34" s="26"/>
      <c r="E34" s="27">
        <f>SENATBL[[#This Row],[PRIX UNITAIRE]]*SENATBL[[#This Row],[QUANTITE]]</f>
        <v>0</v>
      </c>
      <c r="F34" s="31"/>
      <c r="G34" s="29">
        <f>SUM(E$9:$E34)-SUM(F$9:$F34)</f>
        <v>193356500</v>
      </c>
    </row>
    <row r="35" spans="1:7" ht="28.8" x14ac:dyDescent="0.55000000000000004">
      <c r="A35" s="24"/>
      <c r="B35" s="13"/>
      <c r="C35" s="26"/>
      <c r="D35" s="26"/>
      <c r="E35" s="27">
        <f>SENATBL[[#This Row],[PRIX UNITAIRE]]*SENATBL[[#This Row],[QUANTITE]]</f>
        <v>0</v>
      </c>
      <c r="F35" s="31"/>
      <c r="G35" s="29">
        <f>SUM(E$9:$E35)-SUM(F$9:$F35)</f>
        <v>193356500</v>
      </c>
    </row>
    <row r="36" spans="1:7" ht="28.8" x14ac:dyDescent="0.55000000000000004">
      <c r="A36" s="24"/>
      <c r="B36" s="13"/>
      <c r="C36" s="26"/>
      <c r="D36" s="26"/>
      <c r="E36" s="27">
        <f>SENATBL[[#This Row],[PRIX UNITAIRE]]*SENATBL[[#This Row],[QUANTITE]]</f>
        <v>0</v>
      </c>
      <c r="F36" s="31"/>
      <c r="G36" s="29">
        <f>SUM(E$9:$E36)-SUM(F$9:$F36)</f>
        <v>193356500</v>
      </c>
    </row>
    <row r="37" spans="1:7" ht="28.8" x14ac:dyDescent="0.55000000000000004">
      <c r="A37" s="24"/>
      <c r="B37" s="13"/>
      <c r="C37" s="26"/>
      <c r="D37" s="26"/>
      <c r="E37" s="27">
        <f>SENATBL[[#This Row],[PRIX UNITAIRE]]*SENATBL[[#This Row],[QUANTITE]]</f>
        <v>0</v>
      </c>
      <c r="F37" s="31"/>
      <c r="G37" s="29">
        <f>SUM(E$9:$E37)-SUM(F$9:$F37)</f>
        <v>193356500</v>
      </c>
    </row>
    <row r="38" spans="1:7" ht="28.8" x14ac:dyDescent="0.55000000000000004">
      <c r="A38" s="24"/>
      <c r="B38" s="13"/>
      <c r="C38" s="26"/>
      <c r="D38" s="26"/>
      <c r="E38" s="27">
        <f>SENATBL[[#This Row],[PRIX UNITAIRE]]*SENATBL[[#This Row],[QUANTITE]]</f>
        <v>0</v>
      </c>
      <c r="F38" s="31"/>
      <c r="G38" s="29">
        <f>SUM(E$9:$E38)-SUM(F$9:$F38)</f>
        <v>193356500</v>
      </c>
    </row>
    <row r="39" spans="1:7" ht="28.8" x14ac:dyDescent="0.55000000000000004">
      <c r="A39" s="24"/>
      <c r="B39" s="13"/>
      <c r="C39" s="26"/>
      <c r="D39" s="26"/>
      <c r="E39" s="27">
        <f>SENATBL[[#This Row],[PRIX UNITAIRE]]*SENATBL[[#This Row],[QUANTITE]]</f>
        <v>0</v>
      </c>
      <c r="F39" s="31"/>
      <c r="G39" s="29">
        <f>SUM(E$9:$E39)-SUM(F$9:$F39)</f>
        <v>193356500</v>
      </c>
    </row>
    <row r="40" spans="1:7" ht="28.8" x14ac:dyDescent="0.55000000000000004">
      <c r="A40" s="24"/>
      <c r="B40" s="13"/>
      <c r="C40" s="26"/>
      <c r="D40" s="26"/>
      <c r="E40" s="27">
        <f>SENATBL[[#This Row],[PRIX UNITAIRE]]*SENATBL[[#This Row],[QUANTITE]]</f>
        <v>0</v>
      </c>
      <c r="F40" s="31"/>
      <c r="G40" s="29">
        <f>SUM(E$9:$E40)-SUM(F$9:$F40)</f>
        <v>193356500</v>
      </c>
    </row>
    <row r="41" spans="1:7" ht="28.8" x14ac:dyDescent="0.55000000000000004">
      <c r="A41" s="24"/>
      <c r="B41" s="13"/>
      <c r="C41" s="26"/>
      <c r="D41" s="26"/>
      <c r="E41" s="27">
        <f>SENATBL[[#This Row],[PRIX UNITAIRE]]*SENATBL[[#This Row],[QUANTITE]]</f>
        <v>0</v>
      </c>
      <c r="F41" s="31"/>
      <c r="G41" s="29">
        <f>SUM(E$9:$E41)-SUM(F$9:$F41)</f>
        <v>193356500</v>
      </c>
    </row>
    <row r="42" spans="1:7" ht="28.8" x14ac:dyDescent="0.55000000000000004">
      <c r="A42" s="24"/>
      <c r="B42" s="13"/>
      <c r="C42" s="26"/>
      <c r="D42" s="26"/>
      <c r="E42" s="27">
        <f>SENATBL[[#This Row],[PRIX UNITAIRE]]*SENATBL[[#This Row],[QUANTITE]]</f>
        <v>0</v>
      </c>
      <c r="F42" s="31"/>
      <c r="G42" s="29">
        <f>SUM(E$9:$E42)-SUM(F$9:$F42)</f>
        <v>193356500</v>
      </c>
    </row>
    <row r="43" spans="1:7" ht="28.8" x14ac:dyDescent="0.55000000000000004">
      <c r="A43" s="24"/>
      <c r="B43" s="13"/>
      <c r="C43" s="26"/>
      <c r="D43" s="26"/>
      <c r="E43" s="27">
        <f>SENATBL[[#This Row],[PRIX UNITAIRE]]*SENATBL[[#This Row],[QUANTITE]]</f>
        <v>0</v>
      </c>
      <c r="F43" s="31"/>
      <c r="G43" s="29">
        <f>SUM(E$9:$E43)-SUM(F$9:$F43)</f>
        <v>193356500</v>
      </c>
    </row>
    <row r="44" spans="1:7" ht="28.8" x14ac:dyDescent="0.55000000000000004">
      <c r="A44" s="24"/>
      <c r="B44" s="13"/>
      <c r="C44" s="26"/>
      <c r="D44" s="26"/>
      <c r="E44" s="27">
        <f>SENATBL[[#This Row],[PRIX UNITAIRE]]*SENATBL[[#This Row],[QUANTITE]]</f>
        <v>0</v>
      </c>
      <c r="F44" s="31"/>
      <c r="G44" s="29">
        <f>SUM(E$9:$E44)-SUM(F$9:$F44)</f>
        <v>193356500</v>
      </c>
    </row>
    <row r="45" spans="1:7" ht="28.8" x14ac:dyDescent="0.55000000000000004">
      <c r="A45" s="24"/>
      <c r="B45" s="13"/>
      <c r="C45" s="26"/>
      <c r="D45" s="26"/>
      <c r="E45" s="27">
        <f>SENATBL[[#This Row],[PRIX UNITAIRE]]*SENATBL[[#This Row],[QUANTITE]]</f>
        <v>0</v>
      </c>
      <c r="F45" s="31"/>
      <c r="G45" s="29">
        <f>SUM(E$9:$E45)-SUM(F$9:$F45)</f>
        <v>193356500</v>
      </c>
    </row>
    <row r="46" spans="1:7" ht="28.8" x14ac:dyDescent="0.55000000000000004">
      <c r="A46" s="24"/>
      <c r="B46" s="13"/>
      <c r="C46" s="26"/>
      <c r="D46" s="26"/>
      <c r="E46" s="27">
        <f>SENATBL[[#This Row],[PRIX UNITAIRE]]*SENATBL[[#This Row],[QUANTITE]]</f>
        <v>0</v>
      </c>
      <c r="F46" s="31"/>
      <c r="G46" s="29">
        <f>SUM(E$9:$E46)-SUM(F$9:$F46)</f>
        <v>193356500</v>
      </c>
    </row>
    <row r="47" spans="1:7" ht="28.8" x14ac:dyDescent="0.55000000000000004">
      <c r="A47" s="24"/>
      <c r="B47" s="13"/>
      <c r="C47" s="26"/>
      <c r="D47" s="26"/>
      <c r="E47" s="27">
        <f>SENATBL[[#This Row],[PRIX UNITAIRE]]*SENATBL[[#This Row],[QUANTITE]]</f>
        <v>0</v>
      </c>
      <c r="F47" s="31"/>
      <c r="G47" s="29">
        <f>SUM(E$9:$E47)-SUM(F$9:$F47)</f>
        <v>193356500</v>
      </c>
    </row>
    <row r="48" spans="1:7" ht="28.8" x14ac:dyDescent="0.55000000000000004">
      <c r="A48" s="24"/>
      <c r="B48" s="13"/>
      <c r="C48" s="26"/>
      <c r="D48" s="26"/>
      <c r="E48" s="27">
        <f>SENATBL[[#This Row],[PRIX UNITAIRE]]*SENATBL[[#This Row],[QUANTITE]]</f>
        <v>0</v>
      </c>
      <c r="F48" s="31"/>
      <c r="G48" s="29">
        <f>SUM(E$9:$E48)-SUM(F$9:$F48)</f>
        <v>193356500</v>
      </c>
    </row>
    <row r="49" spans="1:7" ht="28.8" x14ac:dyDescent="0.55000000000000004">
      <c r="A49" s="24"/>
      <c r="B49" s="13"/>
      <c r="C49" s="26"/>
      <c r="D49" s="26"/>
      <c r="E49" s="27">
        <f>SENATBL[[#This Row],[PRIX UNITAIRE]]*SENATBL[[#This Row],[QUANTITE]]</f>
        <v>0</v>
      </c>
      <c r="F49" s="31"/>
      <c r="G49" s="29">
        <f>SUM(E$9:$E49)-SUM(F$9:$F49)</f>
        <v>193356500</v>
      </c>
    </row>
    <row r="50" spans="1:7" ht="28.8" x14ac:dyDescent="0.55000000000000004">
      <c r="A50" s="24"/>
      <c r="B50" s="13"/>
      <c r="C50" s="26"/>
      <c r="D50" s="26"/>
      <c r="E50" s="27">
        <f>SENATBL[[#This Row],[PRIX UNITAIRE]]*SENATBL[[#This Row],[QUANTITE]]</f>
        <v>0</v>
      </c>
      <c r="F50" s="31"/>
      <c r="G50" s="29">
        <f>SUM(E$9:$E50)-SUM(F$9:$F50)</f>
        <v>193356500</v>
      </c>
    </row>
    <row r="51" spans="1:7" ht="28.8" x14ac:dyDescent="0.55000000000000004">
      <c r="A51" s="24"/>
      <c r="B51" s="13"/>
      <c r="C51" s="26"/>
      <c r="D51" s="26"/>
      <c r="E51" s="27">
        <f>SENATBL[[#This Row],[PRIX UNITAIRE]]*SENATBL[[#This Row],[QUANTITE]]</f>
        <v>0</v>
      </c>
      <c r="F51" s="31"/>
      <c r="G51" s="29">
        <f>SUM(E$9:$E51)-SUM(F$9:$F51)</f>
        <v>193356500</v>
      </c>
    </row>
    <row r="52" spans="1:7" ht="28.8" x14ac:dyDescent="0.55000000000000004">
      <c r="A52" s="24"/>
      <c r="B52" s="13"/>
      <c r="C52" s="26"/>
      <c r="D52" s="26"/>
      <c r="E52" s="27">
        <f>SENATBL[[#This Row],[PRIX UNITAIRE]]*SENATBL[[#This Row],[QUANTITE]]</f>
        <v>0</v>
      </c>
      <c r="F52" s="31"/>
      <c r="G52" s="29">
        <f>SUM(E$9:$E52)-SUM(F$9:$F52)</f>
        <v>193356500</v>
      </c>
    </row>
    <row r="53" spans="1:7" ht="28.8" x14ac:dyDescent="0.55000000000000004">
      <c r="A53" s="24"/>
      <c r="B53" s="13"/>
      <c r="C53" s="26"/>
      <c r="D53" s="26"/>
      <c r="E53" s="27">
        <f>SENATBL[[#This Row],[PRIX UNITAIRE]]*SENATBL[[#This Row],[QUANTITE]]</f>
        <v>0</v>
      </c>
      <c r="F53" s="31"/>
      <c r="G53" s="29">
        <f>SUM(E$9:$E53)-SUM(F$9:$F53)</f>
        <v>193356500</v>
      </c>
    </row>
    <row r="54" spans="1:7" ht="28.8" x14ac:dyDescent="0.55000000000000004">
      <c r="A54" s="24"/>
      <c r="B54" s="13"/>
      <c r="C54" s="26"/>
      <c r="D54" s="26"/>
      <c r="E54" s="27">
        <f>SENATBL[[#This Row],[PRIX UNITAIRE]]*SENATBL[[#This Row],[QUANTITE]]</f>
        <v>0</v>
      </c>
      <c r="F54" s="31"/>
      <c r="G54" s="29">
        <f>SUM(E$9:$E54)-SUM(F$9:$F54)</f>
        <v>193356500</v>
      </c>
    </row>
    <row r="55" spans="1:7" ht="28.8" x14ac:dyDescent="0.55000000000000004">
      <c r="A55" s="24"/>
      <c r="B55" s="13"/>
      <c r="C55" s="26"/>
      <c r="D55" s="26"/>
      <c r="E55" s="27">
        <f>SENATBL[[#This Row],[PRIX UNITAIRE]]*SENATBL[[#This Row],[QUANTITE]]</f>
        <v>0</v>
      </c>
      <c r="F55" s="31"/>
      <c r="G55" s="29">
        <f>SUM(E$9:$E55)-SUM(F$9:$F55)</f>
        <v>193356500</v>
      </c>
    </row>
    <row r="56" spans="1:7" ht="28.8" x14ac:dyDescent="0.55000000000000004">
      <c r="A56" s="24"/>
      <c r="B56" s="13"/>
      <c r="C56" s="26"/>
      <c r="D56" s="26"/>
      <c r="E56" s="27">
        <f>SENATBL[[#This Row],[PRIX UNITAIRE]]*SENATBL[[#This Row],[QUANTITE]]</f>
        <v>0</v>
      </c>
      <c r="F56" s="31"/>
      <c r="G56" s="29">
        <f>SUM(E$9:$E56)-SUM(F$9:$F56)</f>
        <v>193356500</v>
      </c>
    </row>
    <row r="57" spans="1:7" ht="28.8" x14ac:dyDescent="0.55000000000000004">
      <c r="A57" s="24"/>
      <c r="B57" s="13"/>
      <c r="C57" s="26"/>
      <c r="D57" s="26"/>
      <c r="E57" s="27">
        <f>SENATBL[[#This Row],[PRIX UNITAIRE]]*SENATBL[[#This Row],[QUANTITE]]</f>
        <v>0</v>
      </c>
      <c r="F57" s="31"/>
      <c r="G57" s="29">
        <f>SUM(E$9:$E57)-SUM(F$9:$F57)</f>
        <v>193356500</v>
      </c>
    </row>
    <row r="58" spans="1:7" ht="28.8" x14ac:dyDescent="0.55000000000000004">
      <c r="A58" s="24"/>
      <c r="B58" s="13"/>
      <c r="C58" s="26"/>
      <c r="D58" s="26"/>
      <c r="E58" s="27">
        <f>SENATBL[[#This Row],[PRIX UNITAIRE]]*SENATBL[[#This Row],[QUANTITE]]</f>
        <v>0</v>
      </c>
      <c r="F58" s="31"/>
      <c r="G58" s="29">
        <f>SUM(E$9:$E58)-SUM(F$9:$F58)</f>
        <v>193356500</v>
      </c>
    </row>
    <row r="59" spans="1:7" ht="28.8" x14ac:dyDescent="0.55000000000000004">
      <c r="A59" s="24"/>
      <c r="B59" s="13"/>
      <c r="C59" s="26"/>
      <c r="D59" s="26"/>
      <c r="E59" s="27">
        <f>SENATBL[[#This Row],[PRIX UNITAIRE]]*SENATBL[[#This Row],[QUANTITE]]</f>
        <v>0</v>
      </c>
      <c r="F59" s="31"/>
      <c r="G59" s="29">
        <f>SUM(E$9:$E59)-SUM(F$9:$F59)</f>
        <v>193356500</v>
      </c>
    </row>
    <row r="60" spans="1:7" ht="28.8" x14ac:dyDescent="0.55000000000000004">
      <c r="A60" s="24"/>
      <c r="B60" s="13"/>
      <c r="C60" s="26"/>
      <c r="D60" s="26"/>
      <c r="E60" s="27">
        <f>SENATBL[[#This Row],[PRIX UNITAIRE]]*SENATBL[[#This Row],[QUANTITE]]</f>
        <v>0</v>
      </c>
      <c r="F60" s="31"/>
      <c r="G60" s="29">
        <f>SUM(E$9:$E60)-SUM(F$9:$F60)</f>
        <v>193356500</v>
      </c>
    </row>
    <row r="61" spans="1:7" ht="28.8" x14ac:dyDescent="0.55000000000000004">
      <c r="A61" s="24"/>
      <c r="B61" s="25"/>
      <c r="C61" s="26"/>
      <c r="D61" s="26"/>
      <c r="E61" s="27">
        <f>SENATBL[[#This Row],[PRIX UNITAIRE]]*SENATBL[[#This Row],[QUANTITE]]</f>
        <v>0</v>
      </c>
      <c r="F61" s="31"/>
      <c r="G61" s="29">
        <f>SUM(E$9:$E61)-SUM(F$9:$F61)</f>
        <v>193356500</v>
      </c>
    </row>
    <row r="62" spans="1:7" ht="28.8" x14ac:dyDescent="0.55000000000000004">
      <c r="A62" s="24"/>
      <c r="B62" s="25"/>
      <c r="C62" s="26"/>
      <c r="D62" s="26"/>
      <c r="E62" s="27">
        <f>SENATBL[[#This Row],[PRIX UNITAIRE]]*SENATBL[[#This Row],[QUANTITE]]</f>
        <v>0</v>
      </c>
      <c r="F62" s="31"/>
      <c r="G62" s="29">
        <f>SUM(E$9:$E62)-SUM(F$9:$F62)</f>
        <v>193356500</v>
      </c>
    </row>
    <row r="63" spans="1:7" ht="28.8" x14ac:dyDescent="0.55000000000000004">
      <c r="A63" s="24"/>
      <c r="B63" s="25"/>
      <c r="C63" s="26"/>
      <c r="D63" s="26"/>
      <c r="E63" s="27">
        <f>SENATBL[[#This Row],[PRIX UNITAIRE]]*SENATBL[[#This Row],[QUANTITE]]</f>
        <v>0</v>
      </c>
      <c r="F63" s="31"/>
      <c r="G63" s="29">
        <f>SUM(E$9:$E63)-SUM(F$9:$F63)</f>
        <v>193356500</v>
      </c>
    </row>
    <row r="64" spans="1:7" ht="28.8" x14ac:dyDescent="0.55000000000000004">
      <c r="A64" s="24"/>
      <c r="B64" s="25"/>
      <c r="C64" s="26"/>
      <c r="D64" s="26"/>
      <c r="E64" s="27">
        <f>SENATBL[[#This Row],[PRIX UNITAIRE]]*SENATBL[[#This Row],[QUANTITE]]</f>
        <v>0</v>
      </c>
      <c r="F64" s="31"/>
      <c r="G64" s="29">
        <f>SUM(E$9:$E64)-SUM(F$9:$F64)</f>
        <v>193356500</v>
      </c>
    </row>
    <row r="65" spans="1:7" ht="28.8" x14ac:dyDescent="0.55000000000000004">
      <c r="A65" s="24"/>
      <c r="B65" s="25"/>
      <c r="C65" s="26"/>
      <c r="D65" s="26"/>
      <c r="E65" s="27">
        <f>SENATBL[[#This Row],[PRIX UNITAIRE]]*SENATBL[[#This Row],[QUANTITE]]</f>
        <v>0</v>
      </c>
      <c r="F65" s="31"/>
      <c r="G65" s="29">
        <f>SUM(E$9:$E65)-SUM(F$9:$F65)</f>
        <v>193356500</v>
      </c>
    </row>
    <row r="66" spans="1:7" ht="28.8" x14ac:dyDescent="0.55000000000000004">
      <c r="A66" s="24"/>
      <c r="B66" s="25"/>
      <c r="C66" s="26"/>
      <c r="D66" s="26"/>
      <c r="E66" s="27">
        <f>SENATBL[[#This Row],[PRIX UNITAIRE]]*SENATBL[[#This Row],[QUANTITE]]</f>
        <v>0</v>
      </c>
      <c r="F66" s="31"/>
      <c r="G66" s="29">
        <f>SUM(E$9:$E66)-SUM(F$9:$F66)</f>
        <v>193356500</v>
      </c>
    </row>
    <row r="67" spans="1:7" ht="28.8" x14ac:dyDescent="0.55000000000000004">
      <c r="A67" s="24"/>
      <c r="B67" s="25"/>
      <c r="C67" s="26"/>
      <c r="D67" s="26"/>
      <c r="E67" s="27">
        <f>SENATBL[[#This Row],[PRIX UNITAIRE]]*SENATBL[[#This Row],[QUANTITE]]</f>
        <v>0</v>
      </c>
      <c r="F67" s="31"/>
      <c r="G67" s="29">
        <f>SUM(E$9:$E67)-SUM(F$9:$F67)</f>
        <v>193356500</v>
      </c>
    </row>
    <row r="68" spans="1:7" ht="28.8" x14ac:dyDescent="0.55000000000000004">
      <c r="A68" s="24"/>
      <c r="B68" s="25"/>
      <c r="C68" s="26"/>
      <c r="D68" s="26"/>
      <c r="E68" s="27">
        <f>SENATBL[[#This Row],[PRIX UNITAIRE]]*SENATBL[[#This Row],[QUANTITE]]</f>
        <v>0</v>
      </c>
      <c r="F68" s="31"/>
      <c r="G68" s="29">
        <f>SUM(E$9:$E68)-SUM(F$9:$F68)</f>
        <v>193356500</v>
      </c>
    </row>
    <row r="69" spans="1:7" ht="28.8" x14ac:dyDescent="0.55000000000000004">
      <c r="A69" s="24"/>
      <c r="B69" s="25"/>
      <c r="C69" s="26"/>
      <c r="D69" s="26"/>
      <c r="E69" s="27">
        <f>SENATBL[[#This Row],[PRIX UNITAIRE]]*SENATBL[[#This Row],[QUANTITE]]</f>
        <v>0</v>
      </c>
      <c r="F69" s="31"/>
      <c r="G69" s="29">
        <f>SUM(E$9:$E69)-SUM(F$9:$F69)</f>
        <v>193356500</v>
      </c>
    </row>
    <row r="70" spans="1:7" ht="28.8" x14ac:dyDescent="0.55000000000000004">
      <c r="A70" s="24"/>
      <c r="B70" s="25"/>
      <c r="C70" s="26"/>
      <c r="D70" s="26"/>
      <c r="E70" s="27">
        <f>SENATBL[[#This Row],[PRIX UNITAIRE]]*SENATBL[[#This Row],[QUANTITE]]</f>
        <v>0</v>
      </c>
      <c r="F70" s="31"/>
      <c r="G70" s="29">
        <f>SUM(E$9:$E70)-SUM(F$9:$F70)</f>
        <v>193356500</v>
      </c>
    </row>
    <row r="71" spans="1:7" ht="28.8" x14ac:dyDescent="0.55000000000000004">
      <c r="A71" s="24"/>
      <c r="B71" s="25"/>
      <c r="C71" s="26"/>
      <c r="D71" s="26"/>
      <c r="E71" s="27">
        <f>SENATBL[[#This Row],[PRIX UNITAIRE]]*SENATBL[[#This Row],[QUANTITE]]</f>
        <v>0</v>
      </c>
      <c r="F71" s="31"/>
      <c r="G71" s="29">
        <f>SUM(E$9:$E71)-SUM(F$9:$F71)</f>
        <v>193356500</v>
      </c>
    </row>
    <row r="72" spans="1:7" ht="28.8" x14ac:dyDescent="0.55000000000000004">
      <c r="A72" s="24"/>
      <c r="B72" s="25"/>
      <c r="C72" s="26"/>
      <c r="D72" s="26"/>
      <c r="E72" s="27">
        <f>SENATBL[[#This Row],[PRIX UNITAIRE]]*SENATBL[[#This Row],[QUANTITE]]</f>
        <v>0</v>
      </c>
      <c r="F72" s="31"/>
      <c r="G72" s="29">
        <f>SUM(E$9:$E72)-SUM(F$9:$F72)</f>
        <v>193356500</v>
      </c>
    </row>
    <row r="73" spans="1:7" ht="28.8" x14ac:dyDescent="0.55000000000000004">
      <c r="A73" s="24"/>
      <c r="B73" s="25"/>
      <c r="C73" s="26"/>
      <c r="D73" s="26"/>
      <c r="E73" s="27">
        <f>SENATBL[[#This Row],[PRIX UNITAIRE]]*SENATBL[[#This Row],[QUANTITE]]</f>
        <v>0</v>
      </c>
      <c r="F73" s="31"/>
      <c r="G73" s="29">
        <f>SUM(E$9:$E73)-SUM(F$9:$F73)</f>
        <v>193356500</v>
      </c>
    </row>
    <row r="74" spans="1:7" ht="28.8" x14ac:dyDescent="0.55000000000000004">
      <c r="A74" s="24"/>
      <c r="B74" s="25"/>
      <c r="C74" s="26"/>
      <c r="D74" s="26"/>
      <c r="E74" s="27">
        <f>SENATBL[[#This Row],[PRIX UNITAIRE]]*SENATBL[[#This Row],[QUANTITE]]</f>
        <v>0</v>
      </c>
      <c r="F74" s="31"/>
      <c r="G74" s="29">
        <f>SUM(E$9:$E74)-SUM(F$9:$F74)</f>
        <v>193356500</v>
      </c>
    </row>
    <row r="75" spans="1:7" ht="28.8" x14ac:dyDescent="0.55000000000000004">
      <c r="A75" s="24"/>
      <c r="B75" s="25"/>
      <c r="C75" s="26"/>
      <c r="D75" s="26"/>
      <c r="E75" s="27">
        <f>SENATBL[[#This Row],[PRIX UNITAIRE]]*SENATBL[[#This Row],[QUANTITE]]</f>
        <v>0</v>
      </c>
      <c r="F75" s="31"/>
      <c r="G75" s="29">
        <f>SUM(E$9:$E75)-SUM(F$9:$F75)</f>
        <v>193356500</v>
      </c>
    </row>
    <row r="76" spans="1:7" ht="28.8" x14ac:dyDescent="0.55000000000000004">
      <c r="A76" s="24"/>
      <c r="B76" s="25"/>
      <c r="C76" s="26"/>
      <c r="D76" s="26"/>
      <c r="E76" s="27">
        <f>SENATBL[[#This Row],[PRIX UNITAIRE]]*SENATBL[[#This Row],[QUANTITE]]</f>
        <v>0</v>
      </c>
      <c r="F76" s="31"/>
      <c r="G76" s="29">
        <f>SUM(E$9:$E76)-SUM(F$9:$F76)</f>
        <v>193356500</v>
      </c>
    </row>
    <row r="77" spans="1:7" ht="28.8" x14ac:dyDescent="0.55000000000000004">
      <c r="A77" s="24"/>
      <c r="B77" s="25"/>
      <c r="C77" s="26"/>
      <c r="D77" s="26"/>
      <c r="E77" s="27">
        <f>SENATBL[[#This Row],[PRIX UNITAIRE]]*SENATBL[[#This Row],[QUANTITE]]</f>
        <v>0</v>
      </c>
      <c r="F77" s="31"/>
      <c r="G77" s="29">
        <f>SUM(E$9:$E77)-SUM(F$9:$F77)</f>
        <v>193356500</v>
      </c>
    </row>
    <row r="78" spans="1:7" ht="28.8" x14ac:dyDescent="0.55000000000000004">
      <c r="A78" s="24"/>
      <c r="B78" s="25"/>
      <c r="C78" s="26"/>
      <c r="D78" s="26"/>
      <c r="E78" s="27">
        <f>SENATBL[[#This Row],[PRIX UNITAIRE]]*SENATBL[[#This Row],[QUANTITE]]</f>
        <v>0</v>
      </c>
      <c r="F78" s="31"/>
      <c r="G78" s="29">
        <f>SUM(E$9:$E78)-SUM(F$9:$F78)</f>
        <v>193356500</v>
      </c>
    </row>
    <row r="79" spans="1:7" ht="28.8" x14ac:dyDescent="0.55000000000000004">
      <c r="A79" s="24"/>
      <c r="B79" s="25"/>
      <c r="C79" s="26"/>
      <c r="D79" s="26"/>
      <c r="E79" s="27">
        <f>SENATBL[[#This Row],[PRIX UNITAIRE]]*SENATBL[[#This Row],[QUANTITE]]</f>
        <v>0</v>
      </c>
      <c r="F79" s="31"/>
      <c r="G79" s="29">
        <f>SUM(E$9:$E79)-SUM(F$9:$F79)</f>
        <v>193356500</v>
      </c>
    </row>
    <row r="80" spans="1:7" ht="28.8" x14ac:dyDescent="0.55000000000000004">
      <c r="A80" s="24"/>
      <c r="B80" s="25"/>
      <c r="C80" s="26"/>
      <c r="D80" s="26"/>
      <c r="E80" s="27">
        <f>SENATBL[[#This Row],[PRIX UNITAIRE]]*SENATBL[[#This Row],[QUANTITE]]</f>
        <v>0</v>
      </c>
      <c r="F80" s="31"/>
      <c r="G80" s="29">
        <f>SUM(E$9:$E80)-SUM(F$9:$F80)</f>
        <v>193356500</v>
      </c>
    </row>
    <row r="81" spans="1:7" ht="28.8" x14ac:dyDescent="0.55000000000000004">
      <c r="A81" s="24"/>
      <c r="B81" s="25"/>
      <c r="C81" s="26"/>
      <c r="D81" s="26"/>
      <c r="E81" s="27">
        <f>SENATBL[[#This Row],[PRIX UNITAIRE]]*SENATBL[[#This Row],[QUANTITE]]</f>
        <v>0</v>
      </c>
      <c r="F81" s="31"/>
      <c r="G81" s="29">
        <f>SUM(E$9:$E81)-SUM(F$9:$F81)</f>
        <v>193356500</v>
      </c>
    </row>
    <row r="82" spans="1:7" ht="28.8" x14ac:dyDescent="0.55000000000000004">
      <c r="A82" s="24"/>
      <c r="B82" s="25"/>
      <c r="C82" s="26"/>
      <c r="D82" s="26"/>
      <c r="E82" s="27">
        <f>SENATBL[[#This Row],[PRIX UNITAIRE]]*SENATBL[[#This Row],[QUANTITE]]</f>
        <v>0</v>
      </c>
      <c r="F82" s="31"/>
      <c r="G82" s="29">
        <f>SUM(E$9:$E82)-SUM(F$9:$F82)</f>
        <v>193356500</v>
      </c>
    </row>
    <row r="83" spans="1:7" ht="28.8" x14ac:dyDescent="0.55000000000000004">
      <c r="A83" s="24"/>
      <c r="B83" s="25"/>
      <c r="C83" s="26"/>
      <c r="D83" s="26"/>
      <c r="E83" s="27">
        <f>SENATBL[[#This Row],[PRIX UNITAIRE]]*SENATBL[[#This Row],[QUANTITE]]</f>
        <v>0</v>
      </c>
      <c r="F83" s="31"/>
      <c r="G83" s="29">
        <f>SUM(E$9:$E83)-SUM(F$9:$F83)</f>
        <v>193356500</v>
      </c>
    </row>
    <row r="84" spans="1:7" ht="28.8" x14ac:dyDescent="0.55000000000000004">
      <c r="A84" s="24"/>
      <c r="B84" s="25"/>
      <c r="C84" s="26"/>
      <c r="D84" s="26"/>
      <c r="E84" s="27">
        <f>SENATBL[[#This Row],[PRIX UNITAIRE]]*SENATBL[[#This Row],[QUANTITE]]</f>
        <v>0</v>
      </c>
      <c r="F84" s="31"/>
      <c r="G84" s="29">
        <f>SUM(E$9:$E84)-SUM(F$9:$F84)</f>
        <v>193356500</v>
      </c>
    </row>
    <row r="85" spans="1:7" ht="28.8" x14ac:dyDescent="0.55000000000000004">
      <c r="A85" s="24"/>
      <c r="B85" s="25"/>
      <c r="C85" s="26"/>
      <c r="D85" s="26"/>
      <c r="E85" s="27">
        <f>SENATBL[[#This Row],[PRIX UNITAIRE]]*SENATBL[[#This Row],[QUANTITE]]</f>
        <v>0</v>
      </c>
      <c r="F85" s="31"/>
      <c r="G85" s="29">
        <f>SUM(E$9:$E85)-SUM(F$9:$F85)</f>
        <v>193356500</v>
      </c>
    </row>
    <row r="86" spans="1:7" ht="28.8" x14ac:dyDescent="0.55000000000000004">
      <c r="A86" s="24"/>
      <c r="B86" s="25"/>
      <c r="C86" s="26"/>
      <c r="D86" s="26"/>
      <c r="E86" s="27">
        <f>SENATBL[[#This Row],[PRIX UNITAIRE]]*SENATBL[[#This Row],[QUANTITE]]</f>
        <v>0</v>
      </c>
      <c r="F86" s="31"/>
      <c r="G86" s="29">
        <f>SUM(E$9:$E86)-SUM(F$9:$F86)</f>
        <v>193356500</v>
      </c>
    </row>
    <row r="87" spans="1:7" ht="28.8" x14ac:dyDescent="0.55000000000000004">
      <c r="A87" s="24"/>
      <c r="B87" s="25"/>
      <c r="C87" s="26"/>
      <c r="D87" s="26"/>
      <c r="E87" s="27">
        <f>SENATBL[[#This Row],[PRIX UNITAIRE]]*SENATBL[[#This Row],[QUANTITE]]</f>
        <v>0</v>
      </c>
      <c r="F87" s="31"/>
      <c r="G87" s="29">
        <f>SUM(E$9:$E87)-SUM(F$9:$F87)</f>
        <v>193356500</v>
      </c>
    </row>
    <row r="88" spans="1:7" ht="28.8" x14ac:dyDescent="0.55000000000000004">
      <c r="A88" s="24"/>
      <c r="B88" s="25"/>
      <c r="C88" s="26"/>
      <c r="D88" s="26"/>
      <c r="E88" s="27">
        <f>SENATBL[[#This Row],[PRIX UNITAIRE]]*SENATBL[[#This Row],[QUANTITE]]</f>
        <v>0</v>
      </c>
      <c r="F88" s="31"/>
      <c r="G88" s="29">
        <f>SUM(E$9:$E88)-SUM(F$9:$F88)</f>
        <v>193356500</v>
      </c>
    </row>
    <row r="89" spans="1:7" ht="28.8" x14ac:dyDescent="0.55000000000000004">
      <c r="A89" s="24"/>
      <c r="B89" s="25"/>
      <c r="C89" s="26"/>
      <c r="D89" s="26"/>
      <c r="E89" s="27">
        <f>SENATBL[[#This Row],[PRIX UNITAIRE]]*SENATBL[[#This Row],[QUANTITE]]</f>
        <v>0</v>
      </c>
      <c r="F89" s="31"/>
      <c r="G89" s="29">
        <f>SUM(E$9:$E89)-SUM(F$9:$F89)</f>
        <v>193356500</v>
      </c>
    </row>
    <row r="90" spans="1:7" ht="28.8" x14ac:dyDescent="0.55000000000000004">
      <c r="A90" s="24"/>
      <c r="B90" s="25"/>
      <c r="C90" s="26"/>
      <c r="D90" s="26"/>
      <c r="E90" s="27">
        <f>SENATBL[[#This Row],[PRIX UNITAIRE]]*SENATBL[[#This Row],[QUANTITE]]</f>
        <v>0</v>
      </c>
      <c r="F90" s="31"/>
      <c r="G90" s="29">
        <f>SUM(E$9:$E90)-SUM(F$9:$F90)</f>
        <v>193356500</v>
      </c>
    </row>
    <row r="91" spans="1:7" ht="28.8" x14ac:dyDescent="0.55000000000000004">
      <c r="A91" s="24"/>
      <c r="B91" s="25"/>
      <c r="C91" s="26"/>
      <c r="D91" s="26"/>
      <c r="E91" s="27">
        <f>SENATBL[[#This Row],[PRIX UNITAIRE]]*SENATBL[[#This Row],[QUANTITE]]</f>
        <v>0</v>
      </c>
      <c r="F91" s="31"/>
      <c r="G91" s="29">
        <f>SUM(E$9:$E91)-SUM(F$9:$F91)</f>
        <v>193356500</v>
      </c>
    </row>
    <row r="92" spans="1:7" ht="28.8" x14ac:dyDescent="0.55000000000000004">
      <c r="A92" s="24"/>
      <c r="B92" s="25"/>
      <c r="C92" s="26"/>
      <c r="D92" s="26"/>
      <c r="E92" s="27">
        <f>SENATBL[[#This Row],[PRIX UNITAIRE]]*SENATBL[[#This Row],[QUANTITE]]</f>
        <v>0</v>
      </c>
      <c r="F92" s="31"/>
      <c r="G92" s="29">
        <f>SUM(E$9:$E92)-SUM(F$9:$F92)</f>
        <v>193356500</v>
      </c>
    </row>
    <row r="93" spans="1:7" ht="28.8" x14ac:dyDescent="0.55000000000000004">
      <c r="A93" s="24"/>
      <c r="B93" s="25"/>
      <c r="C93" s="26"/>
      <c r="D93" s="26"/>
      <c r="E93" s="27">
        <f>SENATBL[[#This Row],[PRIX UNITAIRE]]*SENATBL[[#This Row],[QUANTITE]]</f>
        <v>0</v>
      </c>
      <c r="F93" s="31"/>
      <c r="G93" s="29">
        <f>SUM(E$9:$E93)-SUM(F$9:$F93)</f>
        <v>193356500</v>
      </c>
    </row>
    <row r="94" spans="1:7" ht="28.8" x14ac:dyDescent="0.55000000000000004">
      <c r="A94" s="24"/>
      <c r="B94" s="25"/>
      <c r="C94" s="26"/>
      <c r="D94" s="26"/>
      <c r="E94" s="27">
        <f>SENATBL[[#This Row],[PRIX UNITAIRE]]*SENATBL[[#This Row],[QUANTITE]]</f>
        <v>0</v>
      </c>
      <c r="F94" s="31"/>
      <c r="G94" s="29">
        <f>SUM(E$9:$E94)-SUM(F$9:$F94)</f>
        <v>193356500</v>
      </c>
    </row>
    <row r="95" spans="1:7" ht="28.8" x14ac:dyDescent="0.55000000000000004">
      <c r="A95" s="24"/>
      <c r="B95" s="25"/>
      <c r="C95" s="26"/>
      <c r="D95" s="26"/>
      <c r="E95" s="27">
        <f>SENATBL[[#This Row],[PRIX UNITAIRE]]*SENATBL[[#This Row],[QUANTITE]]</f>
        <v>0</v>
      </c>
      <c r="F95" s="31"/>
      <c r="G95" s="29">
        <f>SUM(E$9:$E95)-SUM(F$9:$F95)</f>
        <v>193356500</v>
      </c>
    </row>
    <row r="96" spans="1:7" ht="28.8" x14ac:dyDescent="0.55000000000000004">
      <c r="A96" s="24"/>
      <c r="B96" s="25"/>
      <c r="C96" s="26"/>
      <c r="D96" s="26"/>
      <c r="E96" s="27">
        <f>SENATBL[[#This Row],[PRIX UNITAIRE]]*SENATBL[[#This Row],[QUANTITE]]</f>
        <v>0</v>
      </c>
      <c r="F96" s="31"/>
      <c r="G96" s="29">
        <f>SUM(E$9:$E96)-SUM(F$9:$F96)</f>
        <v>193356500</v>
      </c>
    </row>
    <row r="97" spans="1:7" ht="28.8" x14ac:dyDescent="0.55000000000000004">
      <c r="A97" s="24"/>
      <c r="B97" s="25"/>
      <c r="C97" s="26"/>
      <c r="D97" s="26"/>
      <c r="E97" s="27">
        <f>SENATBL[[#This Row],[PRIX UNITAIRE]]*SENATBL[[#This Row],[QUANTITE]]</f>
        <v>0</v>
      </c>
      <c r="F97" s="31"/>
      <c r="G97" s="29">
        <f>SUM(E$9:$E97)-SUM(F$9:$F97)</f>
        <v>193356500</v>
      </c>
    </row>
    <row r="98" spans="1:7" ht="28.8" x14ac:dyDescent="0.55000000000000004">
      <c r="A98" s="24"/>
      <c r="B98" s="25"/>
      <c r="C98" s="26"/>
      <c r="D98" s="26"/>
      <c r="E98" s="27">
        <f>SENATBL[[#This Row],[PRIX UNITAIRE]]*SENATBL[[#This Row],[QUANTITE]]</f>
        <v>0</v>
      </c>
      <c r="F98" s="31"/>
      <c r="G98" s="29">
        <f>SUM(E$9:$E98)-SUM(F$9:$F98)</f>
        <v>193356500</v>
      </c>
    </row>
    <row r="99" spans="1:7" ht="28.8" x14ac:dyDescent="0.55000000000000004">
      <c r="A99" s="24"/>
      <c r="B99" s="25"/>
      <c r="C99" s="26"/>
      <c r="D99" s="26"/>
      <c r="E99" s="27">
        <f>SENATBL[[#This Row],[PRIX UNITAIRE]]*SENATBL[[#This Row],[QUANTITE]]</f>
        <v>0</v>
      </c>
      <c r="F99" s="31"/>
      <c r="G99" s="29">
        <f>SUM(E$9:$E99)-SUM(F$9:$F99)</f>
        <v>193356500</v>
      </c>
    </row>
    <row r="100" spans="1:7" ht="28.8" x14ac:dyDescent="0.55000000000000004">
      <c r="A100" s="24"/>
      <c r="B100" s="25"/>
      <c r="C100" s="26"/>
      <c r="D100" s="26"/>
      <c r="E100" s="27">
        <f>SENATBL[[#This Row],[PRIX UNITAIRE]]*SENATBL[[#This Row],[QUANTITE]]</f>
        <v>0</v>
      </c>
      <c r="F100" s="31"/>
      <c r="G100" s="29">
        <f>SUM(E$9:$E100)-SUM(F$9:$F100)</f>
        <v>193356500</v>
      </c>
    </row>
    <row r="101" spans="1:7" ht="28.8" x14ac:dyDescent="0.55000000000000004">
      <c r="A101" s="24"/>
      <c r="B101" s="25"/>
      <c r="C101" s="26"/>
      <c r="D101" s="26"/>
      <c r="E101" s="27">
        <f>SENATBL[[#This Row],[PRIX UNITAIRE]]*SENATBL[[#This Row],[QUANTITE]]</f>
        <v>0</v>
      </c>
      <c r="F101" s="31"/>
      <c r="G101" s="29">
        <f>SUM(E$9:$E101)-SUM(F$9:$F101)</f>
        <v>193356500</v>
      </c>
    </row>
    <row r="102" spans="1:7" ht="28.8" x14ac:dyDescent="0.55000000000000004">
      <c r="A102" s="24"/>
      <c r="B102" s="25"/>
      <c r="C102" s="26"/>
      <c r="D102" s="26"/>
      <c r="E102" s="27">
        <f>SENATBL[[#This Row],[PRIX UNITAIRE]]*SENATBL[[#This Row],[QUANTITE]]</f>
        <v>0</v>
      </c>
      <c r="F102" s="31"/>
      <c r="G102" s="29">
        <f>SUM(E$9:$E102)-SUM(F$9:$F102)</f>
        <v>193356500</v>
      </c>
    </row>
    <row r="103" spans="1:7" ht="28.8" x14ac:dyDescent="0.55000000000000004">
      <c r="A103" s="24"/>
      <c r="B103" s="25"/>
      <c r="C103" s="26"/>
      <c r="D103" s="26"/>
      <c r="E103" s="27">
        <f>SENATBL[[#This Row],[PRIX UNITAIRE]]*SENATBL[[#This Row],[QUANTITE]]</f>
        <v>0</v>
      </c>
      <c r="F103" s="31"/>
      <c r="G103" s="29">
        <f>SUM(E$9:$E103)-SUM(F$9:$F103)</f>
        <v>193356500</v>
      </c>
    </row>
    <row r="104" spans="1:7" ht="28.8" x14ac:dyDescent="0.55000000000000004">
      <c r="A104" s="24"/>
      <c r="B104" s="25"/>
      <c r="C104" s="26"/>
      <c r="D104" s="26"/>
      <c r="E104" s="27">
        <f>SENATBL[[#This Row],[PRIX UNITAIRE]]*SENATBL[[#This Row],[QUANTITE]]</f>
        <v>0</v>
      </c>
      <c r="F104" s="31"/>
      <c r="G104" s="29">
        <f>SUM(E$9:$E104)-SUM(F$9:$F104)</f>
        <v>193356500</v>
      </c>
    </row>
    <row r="105" spans="1:7" ht="28.8" x14ac:dyDescent="0.55000000000000004">
      <c r="A105" s="24"/>
      <c r="B105" s="25"/>
      <c r="C105" s="26"/>
      <c r="D105" s="26"/>
      <c r="E105" s="27">
        <f>SENATBL[[#This Row],[PRIX UNITAIRE]]*SENATBL[[#This Row],[QUANTITE]]</f>
        <v>0</v>
      </c>
      <c r="F105" s="31"/>
      <c r="G105" s="29">
        <f>SUM(E$9:$E105)-SUM(F$9:$F105)</f>
        <v>193356500</v>
      </c>
    </row>
    <row r="106" spans="1:7" ht="28.8" x14ac:dyDescent="0.55000000000000004">
      <c r="A106" s="24"/>
      <c r="B106" s="25"/>
      <c r="C106" s="26"/>
      <c r="D106" s="26"/>
      <c r="E106" s="27">
        <f>SENATBL[[#This Row],[PRIX UNITAIRE]]*SENATBL[[#This Row],[QUANTITE]]</f>
        <v>0</v>
      </c>
      <c r="F106" s="31"/>
      <c r="G106" s="29">
        <f>SUM(E$9:$E106)-SUM(F$9:$F106)</f>
        <v>193356500</v>
      </c>
    </row>
    <row r="107" spans="1:7" ht="28.8" x14ac:dyDescent="0.55000000000000004">
      <c r="A107" s="24"/>
      <c r="B107" s="25"/>
      <c r="C107" s="26"/>
      <c r="D107" s="26"/>
      <c r="E107" s="27">
        <f>SENATBL[[#This Row],[PRIX UNITAIRE]]*SENATBL[[#This Row],[QUANTITE]]</f>
        <v>0</v>
      </c>
      <c r="F107" s="31"/>
      <c r="G107" s="29">
        <f>SUM(E$9:$E107)-SUM(F$9:$F107)</f>
        <v>193356500</v>
      </c>
    </row>
    <row r="108" spans="1:7" ht="28.8" x14ac:dyDescent="0.55000000000000004">
      <c r="A108" s="24"/>
      <c r="B108" s="25"/>
      <c r="C108" s="26"/>
      <c r="D108" s="26"/>
      <c r="E108" s="27">
        <f>SENATBL[[#This Row],[PRIX UNITAIRE]]*SENATBL[[#This Row],[QUANTITE]]</f>
        <v>0</v>
      </c>
      <c r="F108" s="31"/>
      <c r="G108" s="29">
        <f>SUM(E$9:$E108)-SUM(F$9:$F108)</f>
        <v>193356500</v>
      </c>
    </row>
    <row r="109" spans="1:7" ht="28.8" x14ac:dyDescent="0.55000000000000004">
      <c r="A109" s="24"/>
      <c r="B109" s="25"/>
      <c r="C109" s="26"/>
      <c r="D109" s="26"/>
      <c r="E109" s="27">
        <f>SENATBL[[#This Row],[PRIX UNITAIRE]]*SENATBL[[#This Row],[QUANTITE]]</f>
        <v>0</v>
      </c>
      <c r="F109" s="31"/>
      <c r="G109" s="29">
        <f>SUM(E$9:$E109)-SUM(F$9:$F109)</f>
        <v>193356500</v>
      </c>
    </row>
  </sheetData>
  <sheetProtection selectLockedCells="1" autoFilter="0"/>
  <mergeCells count="1">
    <mergeCell ref="B6:C6"/>
  </mergeCells>
  <conditionalFormatting sqref="B9:B109">
    <cfRule type="expression" dxfId="947" priority="5">
      <formula>$F9</formula>
    </cfRule>
  </conditionalFormatting>
  <conditionalFormatting sqref="G4">
    <cfRule type="cellIs" dxfId="946" priority="2" operator="lessThan">
      <formula>0</formula>
    </cfRule>
    <cfRule type="cellIs" dxfId="945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109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/>
  <dimension ref="A1:I109"/>
  <sheetViews>
    <sheetView showGridLines="0" zoomScale="60" zoomScaleNormal="60" workbookViewId="0">
      <pane ySplit="8" topLeftCell="A46" activePane="bottomLeft" state="frozen"/>
      <selection sqref="A1:G4"/>
      <selection pane="bottomLeft" activeCell="F56" sqref="F56"/>
    </sheetView>
  </sheetViews>
  <sheetFormatPr baseColWidth="10" defaultColWidth="11.5546875" defaultRowHeight="14.4" x14ac:dyDescent="0.3"/>
  <cols>
    <col min="1" max="1" width="22.77734375" style="1" bestFit="1" customWidth="1"/>
    <col min="2" max="2" width="51.21875" style="1" customWidth="1"/>
    <col min="3" max="3" width="19.77734375" style="1" bestFit="1" customWidth="1"/>
    <col min="4" max="4" width="45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32"/>
      <c r="B1" s="32"/>
      <c r="C1" s="32"/>
    </row>
    <row r="2" spans="1:9" ht="36" customHeight="1" thickBot="1" x14ac:dyDescent="0.65">
      <c r="A2" s="32"/>
      <c r="B2" s="32"/>
      <c r="C2" s="32"/>
      <c r="D2" s="39"/>
      <c r="E2" s="40"/>
      <c r="F2" s="40"/>
      <c r="G2" s="40"/>
      <c r="I2" s="1">
        <v>0</v>
      </c>
    </row>
    <row r="3" spans="1:9" ht="31.8" thickBot="1" x14ac:dyDescent="0.35">
      <c r="A3" s="32"/>
      <c r="B3" s="32"/>
      <c r="C3" s="32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32"/>
      <c r="B4" s="32"/>
      <c r="C4" s="32"/>
      <c r="D4" s="38" t="s">
        <v>1224</v>
      </c>
      <c r="E4" s="41">
        <f>+SUM(PETITSOLO[TOTAL MONTANT])</f>
        <v>5517500</v>
      </c>
      <c r="F4" s="41">
        <f>+SUM(PETITSOLO[VERSEMENT])</f>
        <v>5347500</v>
      </c>
      <c r="G4" s="41">
        <f>+E4-F4</f>
        <v>170000</v>
      </c>
    </row>
    <row r="5" spans="1:9" ht="29.4" thickBot="1" x14ac:dyDescent="0.35">
      <c r="B5" s="3" t="s">
        <v>7</v>
      </c>
    </row>
    <row r="6" spans="1:9" ht="37.200000000000003" thickBot="1" x14ac:dyDescent="0.75">
      <c r="B6" s="168" t="s">
        <v>1218</v>
      </c>
      <c r="C6" s="169"/>
      <c r="E6" s="51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45834</v>
      </c>
      <c r="B9" s="13" t="s">
        <v>2723</v>
      </c>
      <c r="C9" s="10">
        <v>4</v>
      </c>
      <c r="D9" s="10">
        <v>35000</v>
      </c>
      <c r="E9" s="7">
        <f>+$I$2+(PETITSOLO[[#This Row],[QUANTITE]]*PETITSOLO[[#This Row],[PRIX UNITAIRE]])</f>
        <v>140000</v>
      </c>
      <c r="F9" s="22"/>
      <c r="G9" s="6">
        <f>SUM(E$9:$E9)-SUM(F$9:$F9)</f>
        <v>140000</v>
      </c>
    </row>
    <row r="10" spans="1:9" ht="28.8" x14ac:dyDescent="0.55000000000000004">
      <c r="A10" s="24">
        <v>45839</v>
      </c>
      <c r="B10" s="13" t="s">
        <v>2724</v>
      </c>
      <c r="C10" s="26">
        <v>2</v>
      </c>
      <c r="D10" s="26">
        <v>35000</v>
      </c>
      <c r="E10" s="27">
        <f>+$I$2+(PETITSOLO[[#This Row],[QUANTITE]]*PETITSOLO[[#This Row],[PRIX UNITAIRE]])</f>
        <v>70000</v>
      </c>
      <c r="F10" s="31"/>
      <c r="G10" s="29">
        <f>SUM(E$9:$E10)-SUM(F$9:$F10)</f>
        <v>210000</v>
      </c>
    </row>
    <row r="11" spans="1:9" ht="28.8" x14ac:dyDescent="0.55000000000000004">
      <c r="A11" s="24">
        <v>45840</v>
      </c>
      <c r="B11" s="13" t="s">
        <v>2740</v>
      </c>
      <c r="C11" s="26">
        <v>4</v>
      </c>
      <c r="D11" s="26">
        <v>40000</v>
      </c>
      <c r="E11" s="27">
        <f>+$I$2+(PETITSOLO[[#This Row],[QUANTITE]]*PETITSOLO[[#This Row],[PRIX UNITAIRE]])</f>
        <v>160000</v>
      </c>
      <c r="F11" s="31"/>
      <c r="G11" s="6">
        <f>SUM(E$9:$E11)-SUM(F$9:$F11)</f>
        <v>370000</v>
      </c>
    </row>
    <row r="12" spans="1:9" ht="28.8" x14ac:dyDescent="0.55000000000000004">
      <c r="A12" s="24">
        <v>45846</v>
      </c>
      <c r="B12" s="13" t="s">
        <v>2737</v>
      </c>
      <c r="C12" s="26">
        <v>2</v>
      </c>
      <c r="D12" s="26">
        <v>50000</v>
      </c>
      <c r="E12" s="27">
        <f>+$I$2+(PETITSOLO[[#This Row],[QUANTITE]]*PETITSOLO[[#This Row],[PRIX UNITAIRE]])</f>
        <v>100000</v>
      </c>
      <c r="F12" s="31"/>
      <c r="G12" s="29">
        <f>SUM(E$9:$E12)-SUM(F$9:$F12)</f>
        <v>470000</v>
      </c>
    </row>
    <row r="13" spans="1:9" ht="28.8" x14ac:dyDescent="0.55000000000000004">
      <c r="A13" s="24">
        <v>45847</v>
      </c>
      <c r="B13" s="13" t="s">
        <v>1092</v>
      </c>
      <c r="C13" s="26">
        <v>4</v>
      </c>
      <c r="D13" s="26">
        <v>35000</v>
      </c>
      <c r="E13" s="27">
        <f>+$I$2+(PETITSOLO[[#This Row],[QUANTITE]]*PETITSOLO[[#This Row],[PRIX UNITAIRE]])</f>
        <v>140000</v>
      </c>
      <c r="F13" s="31"/>
      <c r="G13" s="29">
        <f>SUM(E$9:$E13)-SUM(F$9:$F13)</f>
        <v>610000</v>
      </c>
    </row>
    <row r="14" spans="1:9" ht="28.8" x14ac:dyDescent="0.55000000000000004">
      <c r="A14" s="24">
        <v>45848</v>
      </c>
      <c r="B14" s="13" t="s">
        <v>2738</v>
      </c>
      <c r="C14" s="26">
        <v>2</v>
      </c>
      <c r="D14" s="26">
        <v>40000</v>
      </c>
      <c r="E14" s="27">
        <f>+$I$2+(PETITSOLO[[#This Row],[QUANTITE]]*PETITSOLO[[#This Row],[PRIX UNITAIRE]])</f>
        <v>80000</v>
      </c>
      <c r="F14" s="31"/>
      <c r="G14" s="29">
        <f>SUM(E$9:$E14)-SUM(F$9:$F14)</f>
        <v>690000</v>
      </c>
    </row>
    <row r="15" spans="1:9" ht="28.8" x14ac:dyDescent="0.55000000000000004">
      <c r="A15" s="24">
        <v>45849</v>
      </c>
      <c r="B15" s="13" t="s">
        <v>2739</v>
      </c>
      <c r="C15" s="26">
        <v>10</v>
      </c>
      <c r="D15" s="26">
        <v>35000</v>
      </c>
      <c r="E15" s="27">
        <f>+$I$2+(PETITSOLO[[#This Row],[QUANTITE]]*PETITSOLO[[#This Row],[PRIX UNITAIRE]])</f>
        <v>350000</v>
      </c>
      <c r="F15" s="31"/>
      <c r="G15" s="29">
        <f>SUM(E$9:$E15)-SUM(F$9:$F15)</f>
        <v>1040000</v>
      </c>
    </row>
    <row r="16" spans="1:9" ht="28.8" x14ac:dyDescent="0.55000000000000004">
      <c r="A16" s="24">
        <v>45849</v>
      </c>
      <c r="B16" s="13" t="s">
        <v>2738</v>
      </c>
      <c r="C16" s="26">
        <v>4</v>
      </c>
      <c r="D16" s="26">
        <v>42500</v>
      </c>
      <c r="E16" s="27">
        <f>+$I$2+(PETITSOLO[[#This Row],[QUANTITE]]*PETITSOLO[[#This Row],[PRIX UNITAIRE]])</f>
        <v>170000</v>
      </c>
      <c r="F16" s="31"/>
      <c r="G16" s="29">
        <f>SUM(E$9:$E16)-SUM(F$9:$F16)</f>
        <v>1210000</v>
      </c>
    </row>
    <row r="17" spans="1:7" ht="28.8" x14ac:dyDescent="0.55000000000000004">
      <c r="A17" s="24">
        <v>45836</v>
      </c>
      <c r="B17" s="13" t="s">
        <v>2741</v>
      </c>
      <c r="C17" s="26">
        <v>4</v>
      </c>
      <c r="D17" s="26">
        <v>42500</v>
      </c>
      <c r="E17" s="27">
        <f>+$I$2+(PETITSOLO[[#This Row],[QUANTITE]]*PETITSOLO[[#This Row],[PRIX UNITAIRE]])</f>
        <v>170000</v>
      </c>
      <c r="F17" s="31"/>
      <c r="G17" s="29">
        <f>SUM(E$9:$E17)-SUM(F$9:$F17)</f>
        <v>1380000</v>
      </c>
    </row>
    <row r="18" spans="1:7" ht="28.8" x14ac:dyDescent="0.55000000000000004">
      <c r="A18" s="24">
        <v>45850</v>
      </c>
      <c r="B18" s="13" t="s">
        <v>259</v>
      </c>
      <c r="C18" s="26"/>
      <c r="D18" s="26"/>
      <c r="E18" s="27">
        <f>+$I$2+(PETITSOLO[[#This Row],[QUANTITE]]*PETITSOLO[[#This Row],[PRIX UNITAIRE]])</f>
        <v>0</v>
      </c>
      <c r="F18" s="31">
        <v>1380000</v>
      </c>
      <c r="G18" s="29">
        <f>SUM(E$9:$E18)-SUM(F$9:$F18)</f>
        <v>0</v>
      </c>
    </row>
    <row r="19" spans="1:7" ht="28.8" x14ac:dyDescent="0.55000000000000004">
      <c r="A19" s="24">
        <v>45852</v>
      </c>
      <c r="B19" s="13" t="s">
        <v>2759</v>
      </c>
      <c r="C19" s="26">
        <v>4</v>
      </c>
      <c r="D19" s="26">
        <v>40000</v>
      </c>
      <c r="E19" s="27">
        <f>+$I$2+(PETITSOLO[[#This Row],[QUANTITE]]*PETITSOLO[[#This Row],[PRIX UNITAIRE]])</f>
        <v>160000</v>
      </c>
      <c r="F19" s="31"/>
      <c r="G19" s="29">
        <f>SUM(E$9:$E19)-SUM(F$9:$F19)</f>
        <v>160000</v>
      </c>
    </row>
    <row r="20" spans="1:7" ht="28.8" x14ac:dyDescent="0.55000000000000004">
      <c r="A20" s="24">
        <v>45852</v>
      </c>
      <c r="B20" s="13" t="s">
        <v>2745</v>
      </c>
      <c r="C20" s="26">
        <v>4</v>
      </c>
      <c r="D20" s="26">
        <v>50000</v>
      </c>
      <c r="E20" s="27">
        <f>+$I$2+(PETITSOLO[[#This Row],[QUANTITE]]*PETITSOLO[[#This Row],[PRIX UNITAIRE]])</f>
        <v>200000</v>
      </c>
      <c r="F20" s="31"/>
      <c r="G20" s="29">
        <f>SUM(E$9:$E20)-SUM(F$9:$F20)</f>
        <v>360000</v>
      </c>
    </row>
    <row r="21" spans="1:7" ht="28.8" x14ac:dyDescent="0.55000000000000004">
      <c r="A21" s="24">
        <v>45856</v>
      </c>
      <c r="B21" s="13" t="s">
        <v>2757</v>
      </c>
      <c r="C21" s="26">
        <v>2</v>
      </c>
      <c r="D21" s="26">
        <v>25000</v>
      </c>
      <c r="E21" s="27">
        <f>+$I$2+(PETITSOLO[[#This Row],[QUANTITE]]*PETITSOLO[[#This Row],[PRIX UNITAIRE]])</f>
        <v>50000</v>
      </c>
      <c r="F21" s="31"/>
      <c r="G21" s="29">
        <f>SUM(E$9:$E21)-SUM(F$9:$F21)</f>
        <v>410000</v>
      </c>
    </row>
    <row r="22" spans="1:7" ht="28.8" x14ac:dyDescent="0.55000000000000004">
      <c r="A22" s="24">
        <v>45853</v>
      </c>
      <c r="B22" s="13" t="s">
        <v>2758</v>
      </c>
      <c r="C22" s="26">
        <v>0</v>
      </c>
      <c r="D22" s="26"/>
      <c r="E22" s="27">
        <f>+$I$2+(PETITSOLO[[#This Row],[QUANTITE]]*PETITSOLO[[#This Row],[PRIX UNITAIRE]])</f>
        <v>0</v>
      </c>
      <c r="F22" s="31"/>
      <c r="G22" s="29">
        <f>SUM(E$9:$E22)-SUM(F$9:$F22)</f>
        <v>410000</v>
      </c>
    </row>
    <row r="23" spans="1:7" ht="28.8" x14ac:dyDescent="0.55000000000000004">
      <c r="A23" s="24">
        <v>45855</v>
      </c>
      <c r="B23" s="13" t="s">
        <v>2751</v>
      </c>
      <c r="C23" s="26">
        <v>4</v>
      </c>
      <c r="D23" s="26">
        <v>50000</v>
      </c>
      <c r="E23" s="27">
        <f>+$I$2+(PETITSOLO[[#This Row],[QUANTITE]]*PETITSOLO[[#This Row],[PRIX UNITAIRE]])</f>
        <v>200000</v>
      </c>
      <c r="F23" s="31"/>
      <c r="G23" s="29">
        <f>SUM(E$9:$E23)-SUM(F$9:$F23)</f>
        <v>610000</v>
      </c>
    </row>
    <row r="24" spans="1:7" ht="28.8" x14ac:dyDescent="0.55000000000000004">
      <c r="A24" s="24">
        <v>45856</v>
      </c>
      <c r="B24" s="13" t="s">
        <v>259</v>
      </c>
      <c r="C24" s="26"/>
      <c r="D24" s="26"/>
      <c r="E24" s="27">
        <f>+$I$2+(PETITSOLO[[#This Row],[QUANTITE]]*PETITSOLO[[#This Row],[PRIX UNITAIRE]])</f>
        <v>0</v>
      </c>
      <c r="F24" s="31">
        <v>610000</v>
      </c>
      <c r="G24" s="29">
        <f>SUM(E$9:$E24)-SUM(F$9:$F24)</f>
        <v>0</v>
      </c>
    </row>
    <row r="25" spans="1:7" ht="28.8" x14ac:dyDescent="0.55000000000000004">
      <c r="A25" s="24">
        <v>45860</v>
      </c>
      <c r="B25" s="13" t="s">
        <v>1240</v>
      </c>
      <c r="C25" s="26">
        <v>2</v>
      </c>
      <c r="D25" s="26">
        <v>42500</v>
      </c>
      <c r="E25" s="27">
        <f>+$I$2+(PETITSOLO[[#This Row],[QUANTITE]]*PETITSOLO[[#This Row],[PRIX UNITAIRE]])</f>
        <v>85000</v>
      </c>
      <c r="F25" s="31"/>
      <c r="G25" s="29">
        <f>SUM(E$9:$E25)-SUM(F$9:$F25)</f>
        <v>85000</v>
      </c>
    </row>
    <row r="26" spans="1:7" ht="28.8" x14ac:dyDescent="0.55000000000000004">
      <c r="A26" s="24">
        <v>45861</v>
      </c>
      <c r="B26" s="13" t="s">
        <v>478</v>
      </c>
      <c r="C26" s="26">
        <v>6</v>
      </c>
      <c r="D26" s="26">
        <v>16000</v>
      </c>
      <c r="E26" s="27">
        <f>+$I$2+(PETITSOLO[[#This Row],[QUANTITE]]*PETITSOLO[[#This Row],[PRIX UNITAIRE]])</f>
        <v>96000</v>
      </c>
      <c r="F26" s="31"/>
      <c r="G26" s="29">
        <f>SUM(E$9:$E26)-SUM(F$9:$F26)</f>
        <v>181000</v>
      </c>
    </row>
    <row r="27" spans="1:7" ht="28.8" x14ac:dyDescent="0.55000000000000004">
      <c r="A27" s="24">
        <v>45862</v>
      </c>
      <c r="B27" s="13" t="s">
        <v>2777</v>
      </c>
      <c r="C27" s="26">
        <v>2</v>
      </c>
      <c r="D27" s="26">
        <v>40000</v>
      </c>
      <c r="E27" s="27">
        <f>+$I$2+(PETITSOLO[[#This Row],[QUANTITE]]*PETITSOLO[[#This Row],[PRIX UNITAIRE]])</f>
        <v>80000</v>
      </c>
      <c r="F27" s="31"/>
      <c r="G27" s="29">
        <f>SUM(E$9:$E27)-SUM(F$9:$F27)</f>
        <v>261000</v>
      </c>
    </row>
    <row r="28" spans="1:7" ht="28.8" x14ac:dyDescent="0.55000000000000004">
      <c r="A28" s="24">
        <v>45863</v>
      </c>
      <c r="B28" s="13" t="s">
        <v>2785</v>
      </c>
      <c r="C28" s="26">
        <v>6</v>
      </c>
      <c r="D28" s="26">
        <v>40000</v>
      </c>
      <c r="E28" s="27">
        <f>+$I$2+(PETITSOLO[[#This Row],[QUANTITE]]*PETITSOLO[[#This Row],[PRIX UNITAIRE]])</f>
        <v>240000</v>
      </c>
      <c r="F28" s="31"/>
      <c r="G28" s="29">
        <f>SUM(E$9:$E28)-SUM(F$9:$F28)</f>
        <v>501000</v>
      </c>
    </row>
    <row r="29" spans="1:7" ht="28.8" x14ac:dyDescent="0.55000000000000004">
      <c r="A29" s="24">
        <v>45864</v>
      </c>
      <c r="B29" s="13" t="s">
        <v>1240</v>
      </c>
      <c r="C29" s="26">
        <v>4</v>
      </c>
      <c r="D29" s="26"/>
      <c r="E29" s="27">
        <f>+$I$2+(PETITSOLO[[#This Row],[QUANTITE]]*PETITSOLO[[#This Row],[PRIX UNITAIRE]])</f>
        <v>0</v>
      </c>
      <c r="F29" s="31"/>
      <c r="G29" s="29">
        <f>SUM(E$9:$E29)-SUM(F$9:$F29)</f>
        <v>501000</v>
      </c>
    </row>
    <row r="30" spans="1:7" ht="28.8" x14ac:dyDescent="0.55000000000000004">
      <c r="A30" s="24">
        <v>45861</v>
      </c>
      <c r="B30" s="13" t="s">
        <v>2786</v>
      </c>
      <c r="C30" s="26">
        <v>2</v>
      </c>
      <c r="D30" s="26">
        <v>140000</v>
      </c>
      <c r="E30" s="27">
        <f>+$I$2+(PETITSOLO[[#This Row],[QUANTITE]]*PETITSOLO[[#This Row],[PRIX UNITAIRE]])</f>
        <v>280000</v>
      </c>
      <c r="F30" s="31"/>
      <c r="G30" s="29">
        <f>SUM(E$9:$E30)-SUM(F$9:$F30)</f>
        <v>781000</v>
      </c>
    </row>
    <row r="31" spans="1:7" ht="28.8" x14ac:dyDescent="0.55000000000000004">
      <c r="A31" s="24">
        <v>45857</v>
      </c>
      <c r="B31" s="13" t="s">
        <v>1097</v>
      </c>
      <c r="C31" s="26">
        <v>2</v>
      </c>
      <c r="D31" s="26">
        <v>35000</v>
      </c>
      <c r="E31" s="27">
        <f>+$I$2+(PETITSOLO[[#This Row],[QUANTITE]]*PETITSOLO[[#This Row],[PRIX UNITAIRE]])</f>
        <v>70000</v>
      </c>
      <c r="F31" s="31"/>
      <c r="G31" s="29">
        <f>SUM(E$9:$E31)-SUM(F$9:$F31)</f>
        <v>851000</v>
      </c>
    </row>
    <row r="32" spans="1:7" ht="28.8" x14ac:dyDescent="0.55000000000000004">
      <c r="A32" s="24">
        <v>45857</v>
      </c>
      <c r="B32" s="13" t="s">
        <v>2785</v>
      </c>
      <c r="C32" s="26">
        <v>4</v>
      </c>
      <c r="D32" s="26">
        <v>40000</v>
      </c>
      <c r="E32" s="27">
        <f>+$I$2+(PETITSOLO[[#This Row],[QUANTITE]]*PETITSOLO[[#This Row],[PRIX UNITAIRE]])</f>
        <v>160000</v>
      </c>
      <c r="F32" s="31"/>
      <c r="G32" s="29">
        <f>SUM(E$9:$E32)-SUM(F$9:$F32)</f>
        <v>1011000</v>
      </c>
    </row>
    <row r="33" spans="1:7" ht="28.8" x14ac:dyDescent="0.55000000000000004">
      <c r="A33" s="24">
        <v>45864</v>
      </c>
      <c r="B33" s="13" t="s">
        <v>259</v>
      </c>
      <c r="C33" s="26"/>
      <c r="D33" s="26"/>
      <c r="E33" s="27">
        <f>+$I$2+(PETITSOLO[[#This Row],[QUANTITE]]*PETITSOLO[[#This Row],[PRIX UNITAIRE]])</f>
        <v>0</v>
      </c>
      <c r="F33" s="31">
        <v>780000</v>
      </c>
      <c r="G33" s="29">
        <f>SUM(E$9:$E33)-SUM(F$9:$F33)</f>
        <v>231000</v>
      </c>
    </row>
    <row r="34" spans="1:7" ht="28.8" x14ac:dyDescent="0.55000000000000004">
      <c r="A34" s="24">
        <v>45868</v>
      </c>
      <c r="B34" s="13" t="s">
        <v>1097</v>
      </c>
      <c r="C34" s="26">
        <v>4</v>
      </c>
      <c r="D34" s="26">
        <v>35000</v>
      </c>
      <c r="E34" s="27">
        <f>+$I$2+(PETITSOLO[[#This Row],[QUANTITE]]*PETITSOLO[[#This Row],[PRIX UNITAIRE]])</f>
        <v>140000</v>
      </c>
      <c r="F34" s="31"/>
      <c r="G34" s="29">
        <f>SUM(E$9:$E34)-SUM(F$9:$F34)</f>
        <v>371000</v>
      </c>
    </row>
    <row r="35" spans="1:7" ht="28.8" x14ac:dyDescent="0.55000000000000004">
      <c r="A35" s="24">
        <v>45871</v>
      </c>
      <c r="B35" s="13" t="s">
        <v>1240</v>
      </c>
      <c r="C35" s="26">
        <v>2</v>
      </c>
      <c r="D35" s="26">
        <v>42500</v>
      </c>
      <c r="E35" s="27">
        <f>+$I$2+(PETITSOLO[[#This Row],[QUANTITE]]*PETITSOLO[[#This Row],[PRIX UNITAIRE]])</f>
        <v>85000</v>
      </c>
      <c r="F35" s="31"/>
      <c r="G35" s="29">
        <f>SUM(E$9:$E35)-SUM(F$9:$F35)</f>
        <v>456000</v>
      </c>
    </row>
    <row r="36" spans="1:7" ht="28.8" x14ac:dyDescent="0.55000000000000004">
      <c r="A36" s="24">
        <v>45874</v>
      </c>
      <c r="B36" s="13" t="s">
        <v>2940</v>
      </c>
      <c r="C36" s="26">
        <v>4</v>
      </c>
      <c r="D36" s="26"/>
      <c r="E36" s="27">
        <f>+$I$2+(PETITSOLO[[#This Row],[QUANTITE]]*PETITSOLO[[#This Row],[PRIX UNITAIRE]])</f>
        <v>0</v>
      </c>
      <c r="F36" s="31"/>
      <c r="G36" s="29">
        <f>SUM(E$9:$E36)-SUM(F$9:$F36)</f>
        <v>456000</v>
      </c>
    </row>
    <row r="37" spans="1:7" ht="28.8" x14ac:dyDescent="0.55000000000000004">
      <c r="A37" s="24">
        <v>45864</v>
      </c>
      <c r="B37" s="13" t="s">
        <v>2993</v>
      </c>
      <c r="C37" s="26">
        <v>3</v>
      </c>
      <c r="D37" s="26">
        <v>42500</v>
      </c>
      <c r="E37" s="27">
        <f>+$I$2+(PETITSOLO[[#This Row],[QUANTITE]]*PETITSOLO[[#This Row],[PRIX UNITAIRE]])</f>
        <v>127500</v>
      </c>
      <c r="F37" s="31"/>
      <c r="G37" s="29">
        <f>SUM(E$9:$E37)-SUM(F$9:$F37)</f>
        <v>583500</v>
      </c>
    </row>
    <row r="38" spans="1:7" ht="28.8" x14ac:dyDescent="0.55000000000000004">
      <c r="A38" s="24">
        <v>45864</v>
      </c>
      <c r="B38" s="13" t="s">
        <v>3053</v>
      </c>
      <c r="C38" s="26">
        <v>4</v>
      </c>
      <c r="D38" s="26">
        <v>42500</v>
      </c>
      <c r="E38" s="27">
        <f>+$I$2+(PETITSOLO[[#This Row],[QUANTITE]]*PETITSOLO[[#This Row],[PRIX UNITAIRE]])</f>
        <v>170000</v>
      </c>
      <c r="F38" s="31"/>
      <c r="G38" s="29">
        <f>SUM(E$9:$E38)-SUM(F$9:$F38)</f>
        <v>753500</v>
      </c>
    </row>
    <row r="39" spans="1:7" ht="28.8" x14ac:dyDescent="0.55000000000000004">
      <c r="A39" s="24">
        <v>45877</v>
      </c>
      <c r="B39" s="13" t="s">
        <v>3054</v>
      </c>
      <c r="C39" s="26">
        <v>4</v>
      </c>
      <c r="D39" s="26">
        <v>40000</v>
      </c>
      <c r="E39" s="27">
        <f>+$I$2+(PETITSOLO[[#This Row],[QUANTITE]]*PETITSOLO[[#This Row],[PRIX UNITAIRE]])</f>
        <v>160000</v>
      </c>
      <c r="F39" s="31"/>
      <c r="G39" s="29">
        <f>SUM(E$9:$E39)-SUM(F$9:$F39)</f>
        <v>913500</v>
      </c>
    </row>
    <row r="40" spans="1:7" ht="28.8" x14ac:dyDescent="0.55000000000000004">
      <c r="A40" s="24">
        <v>45877</v>
      </c>
      <c r="B40" s="13" t="s">
        <v>2777</v>
      </c>
      <c r="C40" s="26">
        <v>4</v>
      </c>
      <c r="D40" s="26"/>
      <c r="E40" s="27">
        <f>+$I$2+(PETITSOLO[[#This Row],[QUANTITE]]*PETITSOLO[[#This Row],[PRIX UNITAIRE]])</f>
        <v>0</v>
      </c>
      <c r="F40" s="31"/>
      <c r="G40" s="29">
        <f>SUM(E$9:$E40)-SUM(F$9:$F40)</f>
        <v>913500</v>
      </c>
    </row>
    <row r="41" spans="1:7" ht="28.8" x14ac:dyDescent="0.55000000000000004">
      <c r="A41" s="24">
        <v>45880</v>
      </c>
      <c r="B41" s="13" t="s">
        <v>3055</v>
      </c>
      <c r="C41" s="26">
        <v>2</v>
      </c>
      <c r="D41" s="26"/>
      <c r="E41" s="27">
        <f>+$I$2+(PETITSOLO[[#This Row],[QUANTITE]]*PETITSOLO[[#This Row],[PRIX UNITAIRE]])</f>
        <v>0</v>
      </c>
      <c r="F41" s="31"/>
      <c r="G41" s="29">
        <f>SUM(E$9:$E41)-SUM(F$9:$F41)</f>
        <v>913500</v>
      </c>
    </row>
    <row r="42" spans="1:7" ht="28.8" x14ac:dyDescent="0.55000000000000004">
      <c r="A42" s="24">
        <v>45881</v>
      </c>
      <c r="B42" s="13" t="s">
        <v>3056</v>
      </c>
      <c r="C42" s="26">
        <v>4</v>
      </c>
      <c r="D42" s="26">
        <v>35000</v>
      </c>
      <c r="E42" s="27">
        <f>+$I$2+(PETITSOLO[[#This Row],[QUANTITE]]*PETITSOLO[[#This Row],[PRIX UNITAIRE]])</f>
        <v>140000</v>
      </c>
      <c r="F42" s="31"/>
      <c r="G42" s="29">
        <f>SUM(E$9:$E42)-SUM(F$9:$F42)</f>
        <v>1053500</v>
      </c>
    </row>
    <row r="43" spans="1:7" ht="28.8" x14ac:dyDescent="0.55000000000000004">
      <c r="A43" s="24">
        <v>45889</v>
      </c>
      <c r="B43" s="13" t="s">
        <v>3057</v>
      </c>
      <c r="C43" s="26">
        <v>4</v>
      </c>
      <c r="D43" s="26">
        <v>40000</v>
      </c>
      <c r="E43" s="27">
        <f>+$I$2+(PETITSOLO[[#This Row],[QUANTITE]]*PETITSOLO[[#This Row],[PRIX UNITAIRE]])</f>
        <v>160000</v>
      </c>
      <c r="F43" s="31"/>
      <c r="G43" s="29">
        <f>SUM(E$9:$E43)-SUM(F$9:$F43)</f>
        <v>1213500</v>
      </c>
    </row>
    <row r="44" spans="1:7" ht="28.8" x14ac:dyDescent="0.55000000000000004">
      <c r="A44" s="24">
        <v>45881</v>
      </c>
      <c r="B44" s="13" t="s">
        <v>3058</v>
      </c>
      <c r="C44" s="26">
        <v>4</v>
      </c>
      <c r="D44" s="26">
        <v>35000</v>
      </c>
      <c r="E44" s="27">
        <f>+$I$2+(PETITSOLO[[#This Row],[QUANTITE]]*PETITSOLO[[#This Row],[PRIX UNITAIRE]])</f>
        <v>140000</v>
      </c>
      <c r="F44" s="31"/>
      <c r="G44" s="29">
        <f>SUM(E$9:$E44)-SUM(F$9:$F44)</f>
        <v>1353500</v>
      </c>
    </row>
    <row r="45" spans="1:7" ht="28.8" x14ac:dyDescent="0.55000000000000004">
      <c r="A45" s="24">
        <v>45892</v>
      </c>
      <c r="B45" s="13" t="s">
        <v>3059</v>
      </c>
      <c r="C45" s="26">
        <v>4</v>
      </c>
      <c r="D45" s="26">
        <v>50000</v>
      </c>
      <c r="E45" s="27">
        <f>+$I$2+(PETITSOLO[[#This Row],[QUANTITE]]*PETITSOLO[[#This Row],[PRIX UNITAIRE]])</f>
        <v>200000</v>
      </c>
      <c r="F45" s="31"/>
      <c r="G45" s="29">
        <f>SUM(E$9:$E45)-SUM(F$9:$F45)</f>
        <v>1553500</v>
      </c>
    </row>
    <row r="46" spans="1:7" ht="28.8" x14ac:dyDescent="0.55000000000000004">
      <c r="A46" s="24">
        <v>45897</v>
      </c>
      <c r="B46" s="13" t="s">
        <v>3060</v>
      </c>
      <c r="C46" s="26">
        <v>4</v>
      </c>
      <c r="D46" s="26">
        <v>42500</v>
      </c>
      <c r="E46" s="27">
        <f>+$I$2+(PETITSOLO[[#This Row],[QUANTITE]]*PETITSOLO[[#This Row],[PRIX UNITAIRE]])</f>
        <v>170000</v>
      </c>
      <c r="F46" s="31"/>
      <c r="G46" s="29">
        <f>SUM(E$9:$E46)-SUM(F$9:$F46)</f>
        <v>1723500</v>
      </c>
    </row>
    <row r="47" spans="1:7" ht="28.8" x14ac:dyDescent="0.55000000000000004">
      <c r="A47" s="24">
        <v>45910</v>
      </c>
      <c r="B47" s="13" t="s">
        <v>3061</v>
      </c>
      <c r="C47" s="26">
        <v>4</v>
      </c>
      <c r="D47" s="26">
        <v>35000</v>
      </c>
      <c r="E47" s="27">
        <f>+$I$2+(PETITSOLO[[#This Row],[QUANTITE]]*PETITSOLO[[#This Row],[PRIX UNITAIRE]])</f>
        <v>140000</v>
      </c>
      <c r="F47" s="31"/>
      <c r="G47" s="29">
        <f>SUM(E$9:$E47)-SUM(F$9:$F47)</f>
        <v>1863500</v>
      </c>
    </row>
    <row r="48" spans="1:7" ht="28.8" x14ac:dyDescent="0.55000000000000004">
      <c r="A48" s="24">
        <v>45913</v>
      </c>
      <c r="B48" s="13" t="s">
        <v>3062</v>
      </c>
      <c r="C48" s="26">
        <v>4</v>
      </c>
      <c r="D48" s="26">
        <v>75000</v>
      </c>
      <c r="E48" s="27">
        <f>+$I$2+(PETITSOLO[[#This Row],[QUANTITE]]*PETITSOLO[[#This Row],[PRIX UNITAIRE]])</f>
        <v>300000</v>
      </c>
      <c r="F48" s="31"/>
      <c r="G48" s="29">
        <f>SUM(E$9:$E48)-SUM(F$9:$F48)</f>
        <v>2163500</v>
      </c>
    </row>
    <row r="49" spans="1:7" ht="28.8" x14ac:dyDescent="0.55000000000000004">
      <c r="A49" s="24">
        <v>45918</v>
      </c>
      <c r="B49" s="13" t="s">
        <v>259</v>
      </c>
      <c r="C49" s="26"/>
      <c r="D49" s="26"/>
      <c r="E49" s="27">
        <f>+$I$2+(PETITSOLO[[#This Row],[QUANTITE]]*PETITSOLO[[#This Row],[PRIX UNITAIRE]])</f>
        <v>0</v>
      </c>
      <c r="F49" s="31">
        <v>2172000</v>
      </c>
      <c r="G49" s="29">
        <f>SUM(E$9:$E49)-SUM(F$9:$F49)</f>
        <v>-8500</v>
      </c>
    </row>
    <row r="50" spans="1:7" ht="28.8" x14ac:dyDescent="0.55000000000000004">
      <c r="A50" s="24">
        <v>45874</v>
      </c>
      <c r="B50" s="13" t="s">
        <v>2940</v>
      </c>
      <c r="C50" s="26">
        <v>4</v>
      </c>
      <c r="D50" s="26">
        <v>35000</v>
      </c>
      <c r="E50" s="27">
        <f>+$I$2+(PETITSOLO[[#This Row],[QUANTITE]]*PETITSOLO[[#This Row],[PRIX UNITAIRE]])</f>
        <v>140000</v>
      </c>
      <c r="F50" s="31"/>
      <c r="G50" s="29">
        <f>SUM(E$9:$E50)-SUM(F$9:$F50)</f>
        <v>131500</v>
      </c>
    </row>
    <row r="51" spans="1:7" ht="28.8" x14ac:dyDescent="0.55000000000000004">
      <c r="A51" s="24">
        <v>45909</v>
      </c>
      <c r="B51" s="13" t="s">
        <v>3063</v>
      </c>
      <c r="C51" s="26">
        <v>4</v>
      </c>
      <c r="D51" s="26">
        <v>16000</v>
      </c>
      <c r="E51" s="27">
        <f>+$I$2+(PETITSOLO[[#This Row],[QUANTITE]]*PETITSOLO[[#This Row],[PRIX UNITAIRE]])</f>
        <v>64000</v>
      </c>
      <c r="F51" s="31"/>
      <c r="G51" s="29">
        <f>SUM(E$9:$E51)-SUM(F$9:$F51)</f>
        <v>195500</v>
      </c>
    </row>
    <row r="52" spans="1:7" ht="28.8" x14ac:dyDescent="0.55000000000000004">
      <c r="A52" s="24">
        <v>45918</v>
      </c>
      <c r="B52" s="13" t="s">
        <v>259</v>
      </c>
      <c r="C52" s="26"/>
      <c r="D52" s="26"/>
      <c r="E52" s="27">
        <f>+$I$2+(PETITSOLO[[#This Row],[QUANTITE]]*PETITSOLO[[#This Row],[PRIX UNITAIRE]])</f>
        <v>0</v>
      </c>
      <c r="F52" s="31">
        <v>195500</v>
      </c>
      <c r="G52" s="29">
        <f>SUM(E$9:$E52)-SUM(F$9:$F52)</f>
        <v>0</v>
      </c>
    </row>
    <row r="53" spans="1:7" ht="28.8" x14ac:dyDescent="0.55000000000000004">
      <c r="A53" s="24">
        <v>46073</v>
      </c>
      <c r="B53" s="13" t="s">
        <v>3456</v>
      </c>
      <c r="C53" s="26">
        <v>1</v>
      </c>
      <c r="D53" s="10">
        <v>40000</v>
      </c>
      <c r="E53" s="27">
        <f>+$I$2+(PETITSOLO[[#This Row],[QUANTITE]]*PETITSOLO[[#This Row],[PRIX UNITAIRE]])</f>
        <v>40000</v>
      </c>
      <c r="F53" s="31"/>
      <c r="G53" s="29">
        <f>SUM(E$9:$E53)-SUM(F$9:$F53)</f>
        <v>40000</v>
      </c>
    </row>
    <row r="54" spans="1:7" ht="28.8" x14ac:dyDescent="0.55000000000000004">
      <c r="A54" s="24">
        <v>46084</v>
      </c>
      <c r="B54" s="13"/>
      <c r="C54" s="26"/>
      <c r="D54" s="26"/>
      <c r="E54" s="27">
        <f>+$I$2+(PETITSOLO[[#This Row],[QUANTITE]]*PETITSOLO[[#This Row],[PRIX UNITAIRE]])</f>
        <v>0</v>
      </c>
      <c r="F54" s="31">
        <v>40000</v>
      </c>
      <c r="G54" s="29">
        <f>SUM(E$9:$E54)-SUM(F$9:$F54)</f>
        <v>0</v>
      </c>
    </row>
    <row r="55" spans="1:7" ht="28.8" x14ac:dyDescent="0.55000000000000004">
      <c r="A55" s="24">
        <v>46098</v>
      </c>
      <c r="B55" s="13" t="s">
        <v>3521</v>
      </c>
      <c r="C55" s="26">
        <v>4</v>
      </c>
      <c r="D55" s="26">
        <v>42500</v>
      </c>
      <c r="E55" s="27">
        <f>+$I$2+(PETITSOLO[[#This Row],[QUANTITE]]*PETITSOLO[[#This Row],[PRIX UNITAIRE]])</f>
        <v>170000</v>
      </c>
      <c r="F55" s="31">
        <v>170000</v>
      </c>
      <c r="G55" s="29">
        <f>SUM(E$9:$E55)-SUM(F$9:$F55)</f>
        <v>0</v>
      </c>
    </row>
    <row r="56" spans="1:7" ht="28.8" x14ac:dyDescent="0.55000000000000004">
      <c r="A56" s="24">
        <v>46099</v>
      </c>
      <c r="B56" s="13" t="s">
        <v>3527</v>
      </c>
      <c r="C56" s="26">
        <v>4</v>
      </c>
      <c r="D56" s="26">
        <v>42500</v>
      </c>
      <c r="E56" s="27">
        <f>+$I$2+(PETITSOLO[[#This Row],[QUANTITE]]*PETITSOLO[[#This Row],[PRIX UNITAIRE]])</f>
        <v>170000</v>
      </c>
      <c r="F56" s="31"/>
      <c r="G56" s="29">
        <f>SUM(E$9:$E56)-SUM(F$9:$F56)</f>
        <v>170000</v>
      </c>
    </row>
    <row r="57" spans="1:7" ht="28.8" x14ac:dyDescent="0.55000000000000004">
      <c r="A57" s="24"/>
      <c r="B57" s="25"/>
      <c r="C57" s="26"/>
      <c r="D57" s="26"/>
      <c r="E57" s="27">
        <f>+$I$2+(PETITSOLO[[#This Row],[QUANTITE]]*PETITSOLO[[#This Row],[PRIX UNITAIRE]])</f>
        <v>0</v>
      </c>
      <c r="F57" s="31"/>
      <c r="G57" s="29">
        <f>SUM(E$9:$E57)-SUM(F$9:$F57)</f>
        <v>170000</v>
      </c>
    </row>
    <row r="58" spans="1:7" ht="28.8" x14ac:dyDescent="0.55000000000000004">
      <c r="A58" s="24"/>
      <c r="B58" s="25"/>
      <c r="C58" s="26"/>
      <c r="D58" s="26"/>
      <c r="E58" s="27">
        <f>+$I$2+(PETITSOLO[[#This Row],[QUANTITE]]*PETITSOLO[[#This Row],[PRIX UNITAIRE]])</f>
        <v>0</v>
      </c>
      <c r="F58" s="31"/>
      <c r="G58" s="29">
        <f>SUM(E$9:$E58)-SUM(F$9:$F58)</f>
        <v>170000</v>
      </c>
    </row>
    <row r="59" spans="1:7" ht="28.8" x14ac:dyDescent="0.55000000000000004">
      <c r="A59" s="24"/>
      <c r="B59" s="25"/>
      <c r="C59" s="26"/>
      <c r="D59" s="26"/>
      <c r="E59" s="27">
        <f>+$I$2+(PETITSOLO[[#This Row],[QUANTITE]]*PETITSOLO[[#This Row],[PRIX UNITAIRE]])</f>
        <v>0</v>
      </c>
      <c r="F59" s="31"/>
      <c r="G59" s="29">
        <f>SUM(E$9:$E59)-SUM(F$9:$F59)</f>
        <v>170000</v>
      </c>
    </row>
    <row r="60" spans="1:7" ht="28.8" x14ac:dyDescent="0.55000000000000004">
      <c r="A60" s="24"/>
      <c r="B60" s="25"/>
      <c r="C60" s="26"/>
      <c r="D60" s="26"/>
      <c r="E60" s="27">
        <f>+$I$2+(PETITSOLO[[#This Row],[QUANTITE]]*PETITSOLO[[#This Row],[PRIX UNITAIRE]])</f>
        <v>0</v>
      </c>
      <c r="F60" s="31"/>
      <c r="G60" s="29">
        <f>SUM(E$9:$E60)-SUM(F$9:$F60)</f>
        <v>170000</v>
      </c>
    </row>
    <row r="61" spans="1:7" ht="28.8" x14ac:dyDescent="0.55000000000000004">
      <c r="A61" s="24"/>
      <c r="B61" s="25"/>
      <c r="C61" s="26"/>
      <c r="D61" s="26"/>
      <c r="E61" s="27">
        <f>+$I$2+(PETITSOLO[[#This Row],[QUANTITE]]*PETITSOLO[[#This Row],[PRIX UNITAIRE]])</f>
        <v>0</v>
      </c>
      <c r="F61" s="31"/>
      <c r="G61" s="29">
        <f>SUM(E$9:$E61)-SUM(F$9:$F61)</f>
        <v>170000</v>
      </c>
    </row>
    <row r="62" spans="1:7" ht="28.8" x14ac:dyDescent="0.55000000000000004">
      <c r="A62" s="24"/>
      <c r="B62" s="25"/>
      <c r="C62" s="26"/>
      <c r="D62" s="26"/>
      <c r="E62" s="27">
        <f>+$I$2+(PETITSOLO[[#This Row],[QUANTITE]]*PETITSOLO[[#This Row],[PRIX UNITAIRE]])</f>
        <v>0</v>
      </c>
      <c r="F62" s="31"/>
      <c r="G62" s="29">
        <f>SUM(E$9:$E62)-SUM(F$9:$F62)</f>
        <v>170000</v>
      </c>
    </row>
    <row r="63" spans="1:7" ht="28.8" x14ac:dyDescent="0.55000000000000004">
      <c r="A63" s="24"/>
      <c r="B63" s="25"/>
      <c r="C63" s="26"/>
      <c r="D63" s="26"/>
      <c r="E63" s="27">
        <f>+$I$2+(PETITSOLO[[#This Row],[QUANTITE]]*PETITSOLO[[#This Row],[PRIX UNITAIRE]])</f>
        <v>0</v>
      </c>
      <c r="F63" s="31"/>
      <c r="G63" s="29">
        <f>SUM(E$9:$E63)-SUM(F$9:$F63)</f>
        <v>170000</v>
      </c>
    </row>
    <row r="64" spans="1:7" ht="28.8" x14ac:dyDescent="0.55000000000000004">
      <c r="A64" s="24"/>
      <c r="B64" s="25"/>
      <c r="C64" s="26"/>
      <c r="D64" s="26"/>
      <c r="E64" s="27">
        <f>+$I$2+(PETITSOLO[[#This Row],[QUANTITE]]*PETITSOLO[[#This Row],[PRIX UNITAIRE]])</f>
        <v>0</v>
      </c>
      <c r="F64" s="31"/>
      <c r="G64" s="29">
        <f>SUM(E$9:$E64)-SUM(F$9:$F64)</f>
        <v>170000</v>
      </c>
    </row>
    <row r="65" spans="1:7" ht="28.8" x14ac:dyDescent="0.55000000000000004">
      <c r="A65" s="24"/>
      <c r="B65" s="25"/>
      <c r="C65" s="26"/>
      <c r="D65" s="26"/>
      <c r="E65" s="27">
        <f>+$I$2+(PETITSOLO[[#This Row],[QUANTITE]]*PETITSOLO[[#This Row],[PRIX UNITAIRE]])</f>
        <v>0</v>
      </c>
      <c r="F65" s="31"/>
      <c r="G65" s="29">
        <f>SUM(E$9:$E65)-SUM(F$9:$F65)</f>
        <v>170000</v>
      </c>
    </row>
    <row r="66" spans="1:7" ht="28.8" x14ac:dyDescent="0.55000000000000004">
      <c r="A66" s="24"/>
      <c r="B66" s="25"/>
      <c r="C66" s="26"/>
      <c r="D66" s="26"/>
      <c r="E66" s="27">
        <f>+$I$2+(PETITSOLO[[#This Row],[QUANTITE]]*PETITSOLO[[#This Row],[PRIX UNITAIRE]])</f>
        <v>0</v>
      </c>
      <c r="F66" s="31"/>
      <c r="G66" s="29">
        <f>SUM(E$9:$E66)-SUM(F$9:$F66)</f>
        <v>170000</v>
      </c>
    </row>
    <row r="67" spans="1:7" ht="28.8" x14ac:dyDescent="0.55000000000000004">
      <c r="A67" s="24"/>
      <c r="B67" s="25"/>
      <c r="C67" s="26"/>
      <c r="D67" s="26"/>
      <c r="E67" s="27">
        <f>+$I$2+(PETITSOLO[[#This Row],[QUANTITE]]*PETITSOLO[[#This Row],[PRIX UNITAIRE]])</f>
        <v>0</v>
      </c>
      <c r="F67" s="31"/>
      <c r="G67" s="29">
        <f>SUM(E$9:$E67)-SUM(F$9:$F67)</f>
        <v>170000</v>
      </c>
    </row>
    <row r="68" spans="1:7" ht="28.8" x14ac:dyDescent="0.55000000000000004">
      <c r="A68" s="24"/>
      <c r="B68" s="25"/>
      <c r="C68" s="26"/>
      <c r="D68" s="26"/>
      <c r="E68" s="27">
        <f>+$I$2+(PETITSOLO[[#This Row],[QUANTITE]]*PETITSOLO[[#This Row],[PRIX UNITAIRE]])</f>
        <v>0</v>
      </c>
      <c r="F68" s="31"/>
      <c r="G68" s="29">
        <f>SUM(E$9:$E68)-SUM(F$9:$F68)</f>
        <v>170000</v>
      </c>
    </row>
    <row r="69" spans="1:7" ht="28.8" x14ac:dyDescent="0.55000000000000004">
      <c r="A69" s="24"/>
      <c r="B69" s="25"/>
      <c r="C69" s="26"/>
      <c r="D69" s="26"/>
      <c r="E69" s="27">
        <f>+$I$2+(PETITSOLO[[#This Row],[QUANTITE]]*PETITSOLO[[#This Row],[PRIX UNITAIRE]])</f>
        <v>0</v>
      </c>
      <c r="F69" s="31"/>
      <c r="G69" s="29">
        <f>SUM(E$9:$E69)-SUM(F$9:$F69)</f>
        <v>170000</v>
      </c>
    </row>
    <row r="70" spans="1:7" ht="28.8" x14ac:dyDescent="0.55000000000000004">
      <c r="A70" s="24"/>
      <c r="B70" s="25"/>
      <c r="C70" s="26"/>
      <c r="D70" s="26"/>
      <c r="E70" s="27">
        <f>+$I$2+(PETITSOLO[[#This Row],[QUANTITE]]*PETITSOLO[[#This Row],[PRIX UNITAIRE]])</f>
        <v>0</v>
      </c>
      <c r="F70" s="31"/>
      <c r="G70" s="29">
        <f>SUM(E$9:$E70)-SUM(F$9:$F70)</f>
        <v>170000</v>
      </c>
    </row>
    <row r="71" spans="1:7" ht="28.8" x14ac:dyDescent="0.55000000000000004">
      <c r="A71" s="24"/>
      <c r="B71" s="25"/>
      <c r="C71" s="26"/>
      <c r="D71" s="26"/>
      <c r="E71" s="27">
        <f>+$I$2+(PETITSOLO[[#This Row],[QUANTITE]]*PETITSOLO[[#This Row],[PRIX UNITAIRE]])</f>
        <v>0</v>
      </c>
      <c r="F71" s="31"/>
      <c r="G71" s="29">
        <f>SUM(E$9:$E71)-SUM(F$9:$F71)</f>
        <v>170000</v>
      </c>
    </row>
    <row r="72" spans="1:7" ht="28.8" x14ac:dyDescent="0.55000000000000004">
      <c r="A72" s="24"/>
      <c r="B72" s="25"/>
      <c r="C72" s="26"/>
      <c r="D72" s="26"/>
      <c r="E72" s="27">
        <f>+$I$2+(PETITSOLO[[#This Row],[QUANTITE]]*PETITSOLO[[#This Row],[PRIX UNITAIRE]])</f>
        <v>0</v>
      </c>
      <c r="F72" s="31"/>
      <c r="G72" s="29">
        <f>SUM(E$9:$E72)-SUM(F$9:$F72)</f>
        <v>170000</v>
      </c>
    </row>
    <row r="73" spans="1:7" ht="28.8" x14ac:dyDescent="0.55000000000000004">
      <c r="A73" s="24"/>
      <c r="B73" s="25"/>
      <c r="C73" s="26"/>
      <c r="D73" s="26"/>
      <c r="E73" s="27">
        <f>+$I$2+(PETITSOLO[[#This Row],[QUANTITE]]*PETITSOLO[[#This Row],[PRIX UNITAIRE]])</f>
        <v>0</v>
      </c>
      <c r="F73" s="31"/>
      <c r="G73" s="29">
        <f>SUM(E$9:$E73)-SUM(F$9:$F73)</f>
        <v>170000</v>
      </c>
    </row>
    <row r="74" spans="1:7" ht="28.8" x14ac:dyDescent="0.55000000000000004">
      <c r="A74" s="24"/>
      <c r="B74" s="25"/>
      <c r="C74" s="26"/>
      <c r="D74" s="26"/>
      <c r="E74" s="27">
        <f>+$I$2+(PETITSOLO[[#This Row],[QUANTITE]]*PETITSOLO[[#This Row],[PRIX UNITAIRE]])</f>
        <v>0</v>
      </c>
      <c r="F74" s="31"/>
      <c r="G74" s="29">
        <f>SUM(E$9:$E74)-SUM(F$9:$F74)</f>
        <v>170000</v>
      </c>
    </row>
    <row r="75" spans="1:7" ht="28.8" x14ac:dyDescent="0.55000000000000004">
      <c r="A75" s="24"/>
      <c r="B75" s="25"/>
      <c r="C75" s="26"/>
      <c r="D75" s="26"/>
      <c r="E75" s="27">
        <f>+$I$2+(PETITSOLO[[#This Row],[QUANTITE]]*PETITSOLO[[#This Row],[PRIX UNITAIRE]])</f>
        <v>0</v>
      </c>
      <c r="F75" s="31"/>
      <c r="G75" s="29">
        <f>SUM(E$9:$E75)-SUM(F$9:$F75)</f>
        <v>170000</v>
      </c>
    </row>
    <row r="76" spans="1:7" ht="28.8" x14ac:dyDescent="0.55000000000000004">
      <c r="A76" s="24"/>
      <c r="B76" s="25"/>
      <c r="C76" s="26"/>
      <c r="D76" s="26"/>
      <c r="E76" s="27">
        <f>+$I$2+(PETITSOLO[[#This Row],[QUANTITE]]*PETITSOLO[[#This Row],[PRIX UNITAIRE]])</f>
        <v>0</v>
      </c>
      <c r="F76" s="31"/>
      <c r="G76" s="29">
        <f>SUM(E$9:$E76)-SUM(F$9:$F76)</f>
        <v>170000</v>
      </c>
    </row>
    <row r="77" spans="1:7" ht="28.8" x14ac:dyDescent="0.55000000000000004">
      <c r="A77" s="24"/>
      <c r="B77" s="25"/>
      <c r="C77" s="26"/>
      <c r="D77" s="26"/>
      <c r="E77" s="27">
        <f>+$I$2+(PETITSOLO[[#This Row],[QUANTITE]]*PETITSOLO[[#This Row],[PRIX UNITAIRE]])</f>
        <v>0</v>
      </c>
      <c r="F77" s="31"/>
      <c r="G77" s="29">
        <f>SUM(E$9:$E77)-SUM(F$9:$F77)</f>
        <v>170000</v>
      </c>
    </row>
    <row r="78" spans="1:7" ht="28.8" x14ac:dyDescent="0.55000000000000004">
      <c r="A78" s="24"/>
      <c r="B78" s="25"/>
      <c r="C78" s="26"/>
      <c r="D78" s="26"/>
      <c r="E78" s="27">
        <f>+$I$2+(PETITSOLO[[#This Row],[QUANTITE]]*PETITSOLO[[#This Row],[PRIX UNITAIRE]])</f>
        <v>0</v>
      </c>
      <c r="F78" s="31"/>
      <c r="G78" s="29">
        <f>SUM(E$9:$E78)-SUM(F$9:$F78)</f>
        <v>170000</v>
      </c>
    </row>
    <row r="79" spans="1:7" ht="28.8" x14ac:dyDescent="0.55000000000000004">
      <c r="A79" s="24"/>
      <c r="B79" s="25"/>
      <c r="C79" s="26"/>
      <c r="D79" s="26"/>
      <c r="E79" s="27">
        <f>+$I$2+(PETITSOLO[[#This Row],[QUANTITE]]*PETITSOLO[[#This Row],[PRIX UNITAIRE]])</f>
        <v>0</v>
      </c>
      <c r="F79" s="31"/>
      <c r="G79" s="29">
        <f>SUM(E$9:$E79)-SUM(F$9:$F79)</f>
        <v>170000</v>
      </c>
    </row>
    <row r="80" spans="1:7" ht="28.8" x14ac:dyDescent="0.55000000000000004">
      <c r="A80" s="24"/>
      <c r="B80" s="25"/>
      <c r="C80" s="26"/>
      <c r="D80" s="26"/>
      <c r="E80" s="27">
        <f>+$I$2+(PETITSOLO[[#This Row],[QUANTITE]]*PETITSOLO[[#This Row],[PRIX UNITAIRE]])</f>
        <v>0</v>
      </c>
      <c r="F80" s="31"/>
      <c r="G80" s="29">
        <f>SUM(E$9:$E80)-SUM(F$9:$F80)</f>
        <v>170000</v>
      </c>
    </row>
    <row r="81" spans="1:7" ht="28.8" x14ac:dyDescent="0.55000000000000004">
      <c r="A81" s="24"/>
      <c r="B81" s="25"/>
      <c r="C81" s="26"/>
      <c r="D81" s="26"/>
      <c r="E81" s="27">
        <f>+$I$2+(PETITSOLO[[#This Row],[QUANTITE]]*PETITSOLO[[#This Row],[PRIX UNITAIRE]])</f>
        <v>0</v>
      </c>
      <c r="F81" s="31"/>
      <c r="G81" s="29">
        <f>SUM(E$9:$E81)-SUM(F$9:$F81)</f>
        <v>170000</v>
      </c>
    </row>
    <row r="82" spans="1:7" ht="28.8" x14ac:dyDescent="0.55000000000000004">
      <c r="A82" s="24"/>
      <c r="B82" s="25"/>
      <c r="C82" s="26"/>
      <c r="D82" s="26"/>
      <c r="E82" s="27">
        <f>+$I$2+(PETITSOLO[[#This Row],[QUANTITE]]*PETITSOLO[[#This Row],[PRIX UNITAIRE]])</f>
        <v>0</v>
      </c>
      <c r="F82" s="31"/>
      <c r="G82" s="29">
        <f>SUM(E$9:$E82)-SUM(F$9:$F82)</f>
        <v>170000</v>
      </c>
    </row>
    <row r="83" spans="1:7" ht="28.8" x14ac:dyDescent="0.55000000000000004">
      <c r="A83" s="24"/>
      <c r="B83" s="25"/>
      <c r="C83" s="26"/>
      <c r="D83" s="26"/>
      <c r="E83" s="27">
        <f>+$I$2+(PETITSOLO[[#This Row],[QUANTITE]]*PETITSOLO[[#This Row],[PRIX UNITAIRE]])</f>
        <v>0</v>
      </c>
      <c r="F83" s="31"/>
      <c r="G83" s="29">
        <f>SUM(E$9:$E83)-SUM(F$9:$F83)</f>
        <v>170000</v>
      </c>
    </row>
    <row r="84" spans="1:7" ht="28.8" x14ac:dyDescent="0.55000000000000004">
      <c r="A84" s="24"/>
      <c r="B84" s="25"/>
      <c r="C84" s="26"/>
      <c r="D84" s="26"/>
      <c r="E84" s="27">
        <f>+$I$2+(PETITSOLO[[#This Row],[QUANTITE]]*PETITSOLO[[#This Row],[PRIX UNITAIRE]])</f>
        <v>0</v>
      </c>
      <c r="F84" s="31"/>
      <c r="G84" s="29">
        <f>SUM(E$9:$E84)-SUM(F$9:$F84)</f>
        <v>170000</v>
      </c>
    </row>
    <row r="85" spans="1:7" ht="28.8" x14ac:dyDescent="0.55000000000000004">
      <c r="A85" s="24"/>
      <c r="B85" s="25"/>
      <c r="C85" s="26"/>
      <c r="D85" s="26"/>
      <c r="E85" s="27">
        <f>+$I$2+(PETITSOLO[[#This Row],[QUANTITE]]*PETITSOLO[[#This Row],[PRIX UNITAIRE]])</f>
        <v>0</v>
      </c>
      <c r="F85" s="31"/>
      <c r="G85" s="29">
        <f>SUM(E$9:$E85)-SUM(F$9:$F85)</f>
        <v>170000</v>
      </c>
    </row>
    <row r="86" spans="1:7" ht="28.8" x14ac:dyDescent="0.55000000000000004">
      <c r="A86" s="24"/>
      <c r="B86" s="25"/>
      <c r="C86" s="26"/>
      <c r="D86" s="26"/>
      <c r="E86" s="27">
        <f>+$I$2+(PETITSOLO[[#This Row],[QUANTITE]]*PETITSOLO[[#This Row],[PRIX UNITAIRE]])</f>
        <v>0</v>
      </c>
      <c r="F86" s="31"/>
      <c r="G86" s="29">
        <f>SUM(E$9:$E86)-SUM(F$9:$F86)</f>
        <v>170000</v>
      </c>
    </row>
    <row r="87" spans="1:7" ht="28.8" x14ac:dyDescent="0.55000000000000004">
      <c r="A87" s="24"/>
      <c r="B87" s="25"/>
      <c r="C87" s="26"/>
      <c r="D87" s="26"/>
      <c r="E87" s="27">
        <f>+$I$2+(PETITSOLO[[#This Row],[QUANTITE]]*PETITSOLO[[#This Row],[PRIX UNITAIRE]])</f>
        <v>0</v>
      </c>
      <c r="F87" s="31"/>
      <c r="G87" s="29">
        <f>SUM(E$9:$E87)-SUM(F$9:$F87)</f>
        <v>170000</v>
      </c>
    </row>
    <row r="88" spans="1:7" ht="28.8" x14ac:dyDescent="0.55000000000000004">
      <c r="A88" s="24"/>
      <c r="B88" s="25"/>
      <c r="C88" s="26"/>
      <c r="D88" s="26"/>
      <c r="E88" s="27">
        <f>+$I$2+(PETITSOLO[[#This Row],[QUANTITE]]*PETITSOLO[[#This Row],[PRIX UNITAIRE]])</f>
        <v>0</v>
      </c>
      <c r="F88" s="31"/>
      <c r="G88" s="29">
        <f>SUM(E$9:$E88)-SUM(F$9:$F88)</f>
        <v>170000</v>
      </c>
    </row>
    <row r="89" spans="1:7" ht="28.8" x14ac:dyDescent="0.55000000000000004">
      <c r="A89" s="24"/>
      <c r="B89" s="25"/>
      <c r="C89" s="26"/>
      <c r="D89" s="26"/>
      <c r="E89" s="27">
        <f>+$I$2+(PETITSOLO[[#This Row],[QUANTITE]]*PETITSOLO[[#This Row],[PRIX UNITAIRE]])</f>
        <v>0</v>
      </c>
      <c r="F89" s="31"/>
      <c r="G89" s="29">
        <f>SUM(E$9:$E89)-SUM(F$9:$F89)</f>
        <v>170000</v>
      </c>
    </row>
    <row r="90" spans="1:7" ht="28.8" x14ac:dyDescent="0.55000000000000004">
      <c r="A90" s="24"/>
      <c r="B90" s="25"/>
      <c r="C90" s="26"/>
      <c r="D90" s="26"/>
      <c r="E90" s="27">
        <f>+$I$2+(PETITSOLO[[#This Row],[QUANTITE]]*PETITSOLO[[#This Row],[PRIX UNITAIRE]])</f>
        <v>0</v>
      </c>
      <c r="F90" s="31"/>
      <c r="G90" s="29">
        <f>SUM(E$9:$E90)-SUM(F$9:$F90)</f>
        <v>170000</v>
      </c>
    </row>
    <row r="91" spans="1:7" ht="28.8" x14ac:dyDescent="0.55000000000000004">
      <c r="A91" s="24"/>
      <c r="B91" s="25"/>
      <c r="C91" s="26"/>
      <c r="D91" s="26"/>
      <c r="E91" s="27">
        <f>+$I$2+(PETITSOLO[[#This Row],[QUANTITE]]*PETITSOLO[[#This Row],[PRIX UNITAIRE]])</f>
        <v>0</v>
      </c>
      <c r="F91" s="31"/>
      <c r="G91" s="29">
        <f>SUM(E$9:$E91)-SUM(F$9:$F91)</f>
        <v>170000</v>
      </c>
    </row>
    <row r="92" spans="1:7" ht="28.8" x14ac:dyDescent="0.55000000000000004">
      <c r="A92" s="24"/>
      <c r="B92" s="25"/>
      <c r="C92" s="26"/>
      <c r="D92" s="26"/>
      <c r="E92" s="27">
        <f>+$I$2+(PETITSOLO[[#This Row],[QUANTITE]]*PETITSOLO[[#This Row],[PRIX UNITAIRE]])</f>
        <v>0</v>
      </c>
      <c r="F92" s="31"/>
      <c r="G92" s="29">
        <f>SUM(E$9:$E92)-SUM(F$9:$F92)</f>
        <v>170000</v>
      </c>
    </row>
    <row r="93" spans="1:7" ht="28.8" x14ac:dyDescent="0.55000000000000004">
      <c r="A93" s="24"/>
      <c r="B93" s="25"/>
      <c r="C93" s="26"/>
      <c r="D93" s="26"/>
      <c r="E93" s="27">
        <f>+$I$2+(PETITSOLO[[#This Row],[QUANTITE]]*PETITSOLO[[#This Row],[PRIX UNITAIRE]])</f>
        <v>0</v>
      </c>
      <c r="F93" s="31"/>
      <c r="G93" s="29">
        <f>SUM(E$9:$E93)-SUM(F$9:$F93)</f>
        <v>170000</v>
      </c>
    </row>
    <row r="94" spans="1:7" ht="28.8" x14ac:dyDescent="0.55000000000000004">
      <c r="A94" s="24"/>
      <c r="B94" s="25"/>
      <c r="C94" s="26"/>
      <c r="D94" s="26"/>
      <c r="E94" s="27">
        <f>+$I$2+(PETITSOLO[[#This Row],[QUANTITE]]*PETITSOLO[[#This Row],[PRIX UNITAIRE]])</f>
        <v>0</v>
      </c>
      <c r="F94" s="31"/>
      <c r="G94" s="29">
        <f>SUM(E$9:$E94)-SUM(F$9:$F94)</f>
        <v>170000</v>
      </c>
    </row>
    <row r="95" spans="1:7" ht="28.8" x14ac:dyDescent="0.55000000000000004">
      <c r="A95" s="24"/>
      <c r="B95" s="25"/>
      <c r="C95" s="26"/>
      <c r="D95" s="26"/>
      <c r="E95" s="27">
        <f>+$I$2+(PETITSOLO[[#This Row],[QUANTITE]]*PETITSOLO[[#This Row],[PRIX UNITAIRE]])</f>
        <v>0</v>
      </c>
      <c r="F95" s="31"/>
      <c r="G95" s="29">
        <f>SUM(E$9:$E95)-SUM(F$9:$F95)</f>
        <v>170000</v>
      </c>
    </row>
    <row r="96" spans="1:7" ht="28.8" x14ac:dyDescent="0.55000000000000004">
      <c r="A96" s="24"/>
      <c r="B96" s="25"/>
      <c r="C96" s="26"/>
      <c r="D96" s="26"/>
      <c r="E96" s="27">
        <f>+$I$2+(PETITSOLO[[#This Row],[QUANTITE]]*PETITSOLO[[#This Row],[PRIX UNITAIRE]])</f>
        <v>0</v>
      </c>
      <c r="F96" s="31"/>
      <c r="G96" s="29">
        <f>SUM(E$9:$E96)-SUM(F$9:$F96)</f>
        <v>170000</v>
      </c>
    </row>
    <row r="97" spans="1:7" ht="28.8" x14ac:dyDescent="0.55000000000000004">
      <c r="A97" s="24"/>
      <c r="B97" s="25"/>
      <c r="C97" s="26"/>
      <c r="D97" s="26"/>
      <c r="E97" s="27">
        <f>+$I$2+(PETITSOLO[[#This Row],[QUANTITE]]*PETITSOLO[[#This Row],[PRIX UNITAIRE]])</f>
        <v>0</v>
      </c>
      <c r="F97" s="31"/>
      <c r="G97" s="29">
        <f>SUM(E$9:$E97)-SUM(F$9:$F97)</f>
        <v>170000</v>
      </c>
    </row>
    <row r="98" spans="1:7" ht="28.8" x14ac:dyDescent="0.55000000000000004">
      <c r="A98" s="24"/>
      <c r="B98" s="25"/>
      <c r="C98" s="26"/>
      <c r="D98" s="26"/>
      <c r="E98" s="27">
        <f>+$I$2+(PETITSOLO[[#This Row],[QUANTITE]]*PETITSOLO[[#This Row],[PRIX UNITAIRE]])</f>
        <v>0</v>
      </c>
      <c r="F98" s="31"/>
      <c r="G98" s="29">
        <f>SUM(E$9:$E98)-SUM(F$9:$F98)</f>
        <v>170000</v>
      </c>
    </row>
    <row r="99" spans="1:7" ht="28.8" x14ac:dyDescent="0.55000000000000004">
      <c r="A99" s="24"/>
      <c r="B99" s="25"/>
      <c r="C99" s="26"/>
      <c r="D99" s="26"/>
      <c r="E99" s="27">
        <f>+$I$2+(PETITSOLO[[#This Row],[QUANTITE]]*PETITSOLO[[#This Row],[PRIX UNITAIRE]])</f>
        <v>0</v>
      </c>
      <c r="F99" s="31"/>
      <c r="G99" s="29">
        <f>SUM(E$9:$E99)-SUM(F$9:$F99)</f>
        <v>170000</v>
      </c>
    </row>
    <row r="100" spans="1:7" ht="28.8" x14ac:dyDescent="0.55000000000000004">
      <c r="A100" s="24"/>
      <c r="B100" s="25"/>
      <c r="C100" s="26"/>
      <c r="D100" s="26"/>
      <c r="E100" s="27">
        <f>+$I$2+(PETITSOLO[[#This Row],[QUANTITE]]*PETITSOLO[[#This Row],[PRIX UNITAIRE]])</f>
        <v>0</v>
      </c>
      <c r="F100" s="31"/>
      <c r="G100" s="29">
        <f>SUM(E$9:$E100)-SUM(F$9:$F100)</f>
        <v>170000</v>
      </c>
    </row>
    <row r="101" spans="1:7" ht="28.8" x14ac:dyDescent="0.55000000000000004">
      <c r="A101" s="24"/>
      <c r="B101" s="25"/>
      <c r="C101" s="26"/>
      <c r="D101" s="26"/>
      <c r="E101" s="27">
        <f>+$I$2+(PETITSOLO[[#This Row],[QUANTITE]]*PETITSOLO[[#This Row],[PRIX UNITAIRE]])</f>
        <v>0</v>
      </c>
      <c r="F101" s="31"/>
      <c r="G101" s="29">
        <f>SUM(E$9:$E101)-SUM(F$9:$F101)</f>
        <v>170000</v>
      </c>
    </row>
    <row r="102" spans="1:7" ht="28.8" x14ac:dyDescent="0.55000000000000004">
      <c r="A102" s="24"/>
      <c r="B102" s="25"/>
      <c r="C102" s="26"/>
      <c r="D102" s="26"/>
      <c r="E102" s="27">
        <f>+$I$2+(PETITSOLO[[#This Row],[QUANTITE]]*PETITSOLO[[#This Row],[PRIX UNITAIRE]])</f>
        <v>0</v>
      </c>
      <c r="F102" s="31"/>
      <c r="G102" s="29">
        <f>SUM(E$9:$E102)-SUM(F$9:$F102)</f>
        <v>170000</v>
      </c>
    </row>
    <row r="103" spans="1:7" ht="28.8" x14ac:dyDescent="0.55000000000000004">
      <c r="A103" s="24"/>
      <c r="B103" s="25"/>
      <c r="C103" s="26"/>
      <c r="D103" s="26"/>
      <c r="E103" s="27">
        <f>+$I$2+(PETITSOLO[[#This Row],[QUANTITE]]*PETITSOLO[[#This Row],[PRIX UNITAIRE]])</f>
        <v>0</v>
      </c>
      <c r="F103" s="31"/>
      <c r="G103" s="29">
        <f>SUM(E$9:$E103)-SUM(F$9:$F103)</f>
        <v>170000</v>
      </c>
    </row>
    <row r="104" spans="1:7" ht="28.8" x14ac:dyDescent="0.55000000000000004">
      <c r="A104" s="24"/>
      <c r="B104" s="25"/>
      <c r="C104" s="26"/>
      <c r="D104" s="26"/>
      <c r="E104" s="27">
        <f>+$I$2+(PETITSOLO[[#This Row],[QUANTITE]]*PETITSOLO[[#This Row],[PRIX UNITAIRE]])</f>
        <v>0</v>
      </c>
      <c r="F104" s="31"/>
      <c r="G104" s="29">
        <f>SUM(E$9:$E104)-SUM(F$9:$F104)</f>
        <v>170000</v>
      </c>
    </row>
    <row r="105" spans="1:7" ht="28.8" x14ac:dyDescent="0.55000000000000004">
      <c r="A105" s="24"/>
      <c r="B105" s="25"/>
      <c r="C105" s="26"/>
      <c r="D105" s="26"/>
      <c r="E105" s="27">
        <f>+$I$2+(PETITSOLO[[#This Row],[QUANTITE]]*PETITSOLO[[#This Row],[PRIX UNITAIRE]])</f>
        <v>0</v>
      </c>
      <c r="F105" s="31"/>
      <c r="G105" s="29">
        <f>SUM(E$9:$E105)-SUM(F$9:$F105)</f>
        <v>170000</v>
      </c>
    </row>
    <row r="106" spans="1:7" ht="28.8" x14ac:dyDescent="0.55000000000000004">
      <c r="A106" s="24"/>
      <c r="B106" s="25"/>
      <c r="C106" s="26"/>
      <c r="D106" s="26"/>
      <c r="E106" s="27">
        <f>+$I$2+(PETITSOLO[[#This Row],[QUANTITE]]*PETITSOLO[[#This Row],[PRIX UNITAIRE]])</f>
        <v>0</v>
      </c>
      <c r="F106" s="31"/>
      <c r="G106" s="29">
        <f>SUM(E$9:$E106)-SUM(F$9:$F106)</f>
        <v>170000</v>
      </c>
    </row>
    <row r="107" spans="1:7" ht="28.8" x14ac:dyDescent="0.55000000000000004">
      <c r="A107" s="24"/>
      <c r="B107" s="25"/>
      <c r="C107" s="26"/>
      <c r="D107" s="26"/>
      <c r="E107" s="27">
        <f>+$I$2+(PETITSOLO[[#This Row],[QUANTITE]]*PETITSOLO[[#This Row],[PRIX UNITAIRE]])</f>
        <v>0</v>
      </c>
      <c r="F107" s="31"/>
      <c r="G107" s="29">
        <f>SUM(E$9:$E107)-SUM(F$9:$F107)</f>
        <v>170000</v>
      </c>
    </row>
    <row r="108" spans="1:7" ht="28.8" x14ac:dyDescent="0.55000000000000004">
      <c r="A108" s="24"/>
      <c r="B108" s="25"/>
      <c r="C108" s="26"/>
      <c r="D108" s="26"/>
      <c r="E108" s="27">
        <f>+$I$2+(PETITSOLO[[#This Row],[QUANTITE]]*PETITSOLO[[#This Row],[PRIX UNITAIRE]])</f>
        <v>0</v>
      </c>
      <c r="F108" s="31"/>
      <c r="G108" s="29">
        <f>SUM(E$9:$E108)-SUM(F$9:$F108)</f>
        <v>170000</v>
      </c>
    </row>
    <row r="109" spans="1:7" ht="28.8" x14ac:dyDescent="0.55000000000000004">
      <c r="A109" s="24"/>
      <c r="B109" s="25"/>
      <c r="C109" s="26"/>
      <c r="D109" s="26"/>
      <c r="E109" s="27">
        <f>+$I$2+(PETITSOLO[[#This Row],[QUANTITE]]*PETITSOLO[[#This Row],[PRIX UNITAIRE]])</f>
        <v>0</v>
      </c>
      <c r="F109" s="31"/>
      <c r="G109" s="29">
        <f>SUM(E$9:$E109)-SUM(F$9:$F109)</f>
        <v>170000</v>
      </c>
    </row>
  </sheetData>
  <sheetProtection selectLockedCells="1" autoFilter="0"/>
  <mergeCells count="1">
    <mergeCell ref="B6:C6"/>
  </mergeCells>
  <conditionalFormatting sqref="B9:B109">
    <cfRule type="expression" dxfId="928" priority="5">
      <formula>$F9</formula>
    </cfRule>
  </conditionalFormatting>
  <conditionalFormatting sqref="G4">
    <cfRule type="cellIs" dxfId="927" priority="2" operator="lessThan">
      <formula>0</formula>
    </cfRule>
    <cfRule type="cellIs" dxfId="926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109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/>
  <dimension ref="A1:I112"/>
  <sheetViews>
    <sheetView showGridLines="0" zoomScale="60" zoomScaleNormal="60" workbookViewId="0">
      <pane ySplit="8" topLeftCell="A64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4.21875" style="1" bestFit="1" customWidth="1"/>
    <col min="5" max="5" width="33.77734375" bestFit="1" customWidth="1"/>
    <col min="6" max="6" width="38.44140625" style="1" customWidth="1"/>
    <col min="7" max="7" width="33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+SUM(SEINA[TOTAL MONTANT])</f>
        <v>72485000</v>
      </c>
      <c r="F4" s="41">
        <f>+SUM(SEINA[VERSEMENT])</f>
        <v>70325000</v>
      </c>
      <c r="G4" s="130">
        <f>+E4-F4</f>
        <v>2160000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499</v>
      </c>
      <c r="C6" s="169"/>
      <c r="D6" s="132"/>
      <c r="E6" s="153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45084</v>
      </c>
      <c r="B9" s="13" t="s">
        <v>78</v>
      </c>
      <c r="C9" s="10">
        <v>20</v>
      </c>
      <c r="D9" s="10">
        <v>125000</v>
      </c>
      <c r="E9" s="7">
        <f>+$I$2+(SEINA[[#This Row],[QUANTITE]]*SEINA[[#This Row],[PRIX UNITAIRE]])</f>
        <v>2500000</v>
      </c>
      <c r="F9" s="19">
        <v>0</v>
      </c>
      <c r="G9" s="6">
        <f>SUM(E$9:$E9)-SUM(F$9:$F9)</f>
        <v>2500000</v>
      </c>
    </row>
    <row r="10" spans="1:9" ht="28.8" x14ac:dyDescent="0.55000000000000004">
      <c r="A10" s="12"/>
      <c r="B10" s="13" t="s">
        <v>500</v>
      </c>
      <c r="C10" s="10">
        <v>10</v>
      </c>
      <c r="D10" s="10">
        <v>95000</v>
      </c>
      <c r="E10" s="7">
        <f>+$I$2+(SEINA[[#This Row],[QUANTITE]]*SEINA[[#This Row],[PRIX UNITAIRE]])</f>
        <v>950000</v>
      </c>
      <c r="F10" s="19">
        <v>0</v>
      </c>
      <c r="G10" s="6">
        <f>SUM(E$9:$E10)-SUM(F$9:$F10)</f>
        <v>3450000</v>
      </c>
    </row>
    <row r="11" spans="1:9" ht="28.8" x14ac:dyDescent="0.55000000000000004">
      <c r="A11" s="12">
        <v>45121</v>
      </c>
      <c r="B11" s="13" t="s">
        <v>501</v>
      </c>
      <c r="C11" s="10">
        <v>1</v>
      </c>
      <c r="D11" s="10">
        <v>0</v>
      </c>
      <c r="E11" s="7">
        <f>+$I$2+(SEINA[[#This Row],[QUANTITE]]*SEINA[[#This Row],[PRIX UNITAIRE]])</f>
        <v>0</v>
      </c>
      <c r="F11" s="14">
        <v>3450000</v>
      </c>
      <c r="G11" s="6">
        <f>SUM(E$9:$E11)-SUM(F$9:$F11)</f>
        <v>0</v>
      </c>
    </row>
    <row r="12" spans="1:9" ht="28.8" x14ac:dyDescent="0.55000000000000004">
      <c r="A12" s="12">
        <v>45187</v>
      </c>
      <c r="B12" s="13" t="s">
        <v>502</v>
      </c>
      <c r="C12" s="10">
        <v>4</v>
      </c>
      <c r="D12" s="10">
        <v>60000</v>
      </c>
      <c r="E12" s="7">
        <f>+$I$2+(SEINA[[#This Row],[QUANTITE]]*SEINA[[#This Row],[PRIX UNITAIRE]])</f>
        <v>240000</v>
      </c>
      <c r="F12" s="14">
        <v>0</v>
      </c>
      <c r="G12" s="6">
        <f>SUM(E$9:$E12)-SUM(F$9:$F12)</f>
        <v>240000</v>
      </c>
    </row>
    <row r="13" spans="1:9" ht="28.8" x14ac:dyDescent="0.55000000000000004">
      <c r="A13" s="12">
        <v>45187</v>
      </c>
      <c r="B13" s="13" t="s">
        <v>503</v>
      </c>
      <c r="C13" s="10">
        <v>4</v>
      </c>
      <c r="D13" s="10">
        <v>50000</v>
      </c>
      <c r="E13" s="7">
        <f>+$I$2+(SEINA[[#This Row],[QUANTITE]]*SEINA[[#This Row],[PRIX UNITAIRE]])</f>
        <v>200000</v>
      </c>
      <c r="F13" s="14">
        <v>0</v>
      </c>
      <c r="G13" s="6">
        <f>SUM(E$9:$E13)-SUM(F$9:$F13)</f>
        <v>440000</v>
      </c>
    </row>
    <row r="14" spans="1:9" ht="28.8" x14ac:dyDescent="0.55000000000000004">
      <c r="A14" s="12">
        <v>45191</v>
      </c>
      <c r="B14" s="13" t="s">
        <v>500</v>
      </c>
      <c r="C14" s="10">
        <v>80</v>
      </c>
      <c r="D14" s="10">
        <v>95000</v>
      </c>
      <c r="E14" s="7">
        <f>+$I$2+(SEINA[[#This Row],[QUANTITE]]*SEINA[[#This Row],[PRIX UNITAIRE]])</f>
        <v>7600000</v>
      </c>
      <c r="F14" s="14">
        <v>0</v>
      </c>
      <c r="G14" s="6">
        <f>SUM(E$9:$E14)-SUM(F$9:$F14)</f>
        <v>8040000</v>
      </c>
    </row>
    <row r="15" spans="1:9" ht="28.8" x14ac:dyDescent="0.55000000000000004">
      <c r="A15" s="12"/>
      <c r="B15" s="13" t="s">
        <v>504</v>
      </c>
      <c r="C15" s="10">
        <v>8</v>
      </c>
      <c r="D15" s="10">
        <v>350000</v>
      </c>
      <c r="E15" s="7">
        <f>+$I$2+(SEINA[[#This Row],[QUANTITE]]*SEINA[[#This Row],[PRIX UNITAIRE]])</f>
        <v>2800000</v>
      </c>
      <c r="F15" s="14">
        <v>0</v>
      </c>
      <c r="G15" s="6">
        <f>SUM(E$9:$E15)-SUM(F$9:$F15)</f>
        <v>10840000</v>
      </c>
    </row>
    <row r="16" spans="1:9" ht="28.8" x14ac:dyDescent="0.55000000000000004">
      <c r="A16" s="12"/>
      <c r="B16" s="13" t="s">
        <v>78</v>
      </c>
      <c r="C16" s="10">
        <v>30</v>
      </c>
      <c r="D16" s="10">
        <v>125000</v>
      </c>
      <c r="E16" s="7">
        <f>+$I$2+(SEINA[[#This Row],[QUANTITE]]*SEINA[[#This Row],[PRIX UNITAIRE]])</f>
        <v>3750000</v>
      </c>
      <c r="F16" s="14">
        <v>0</v>
      </c>
      <c r="G16" s="6">
        <f>SUM(E$9:$E16)-SUM(F$9:$F16)</f>
        <v>14590000</v>
      </c>
    </row>
    <row r="17" spans="1:7" ht="28.8" x14ac:dyDescent="0.55000000000000004">
      <c r="A17" s="12"/>
      <c r="B17" s="13" t="s">
        <v>501</v>
      </c>
      <c r="C17" s="10">
        <v>1</v>
      </c>
      <c r="D17" s="10">
        <v>0</v>
      </c>
      <c r="E17" s="7">
        <f>+$I$2+(SEINA[[#This Row],[QUANTITE]]*SEINA[[#This Row],[PRIX UNITAIRE]])</f>
        <v>0</v>
      </c>
      <c r="F17" s="14">
        <v>14590000</v>
      </c>
      <c r="G17" s="6">
        <f>SUM(E$9:$E17)-SUM(F$9:$F17)</f>
        <v>0</v>
      </c>
    </row>
    <row r="18" spans="1:7" ht="28.8" x14ac:dyDescent="0.55000000000000004">
      <c r="A18" s="12">
        <v>45323</v>
      </c>
      <c r="B18" s="13" t="s">
        <v>505</v>
      </c>
      <c r="C18" s="10">
        <v>1</v>
      </c>
      <c r="D18" s="10">
        <v>65000</v>
      </c>
      <c r="E18" s="7">
        <f>+$I$2+(SEINA[[#This Row],[QUANTITE]]*SEINA[[#This Row],[PRIX UNITAIRE]])</f>
        <v>65000</v>
      </c>
      <c r="F18" s="14">
        <v>0</v>
      </c>
      <c r="G18" s="6">
        <f>SUM(E$9:$E18)-SUM(F$9:$F18)</f>
        <v>65000</v>
      </c>
    </row>
    <row r="19" spans="1:7" ht="28.8" x14ac:dyDescent="0.55000000000000004">
      <c r="A19" s="12"/>
      <c r="B19" s="13" t="s">
        <v>506</v>
      </c>
      <c r="C19" s="10">
        <v>1</v>
      </c>
      <c r="D19" s="10">
        <v>40000</v>
      </c>
      <c r="E19" s="7">
        <f>+$I$2+(SEINA[[#This Row],[QUANTITE]]*SEINA[[#This Row],[PRIX UNITAIRE]])</f>
        <v>40000</v>
      </c>
      <c r="F19" s="14">
        <v>0</v>
      </c>
      <c r="G19" s="6">
        <f>SUM(E$9:$E19)-SUM(F$9:$F19)</f>
        <v>105000</v>
      </c>
    </row>
    <row r="20" spans="1:7" ht="28.8" x14ac:dyDescent="0.55000000000000004">
      <c r="A20" s="12"/>
      <c r="B20" s="13" t="s">
        <v>507</v>
      </c>
      <c r="C20" s="10">
        <v>1</v>
      </c>
      <c r="D20" s="10">
        <v>15000</v>
      </c>
      <c r="E20" s="7">
        <f>+$I$2+(SEINA[[#This Row],[QUANTITE]]*SEINA[[#This Row],[PRIX UNITAIRE]])</f>
        <v>15000</v>
      </c>
      <c r="F20" s="14">
        <v>0</v>
      </c>
      <c r="G20" s="6">
        <f>SUM(E$9:$E20)-SUM(F$9:$F20)</f>
        <v>120000</v>
      </c>
    </row>
    <row r="21" spans="1:7" ht="28.8" x14ac:dyDescent="0.55000000000000004">
      <c r="A21" s="12"/>
      <c r="B21" s="13" t="s">
        <v>508</v>
      </c>
      <c r="C21" s="10">
        <v>1</v>
      </c>
      <c r="D21" s="10">
        <v>10000</v>
      </c>
      <c r="E21" s="7">
        <f>+$I$2+(SEINA[[#This Row],[QUANTITE]]*SEINA[[#This Row],[PRIX UNITAIRE]])</f>
        <v>10000</v>
      </c>
      <c r="F21" s="14">
        <v>0</v>
      </c>
      <c r="G21" s="6">
        <f>SUM(E$9:$E21)-SUM(F$9:$F21)</f>
        <v>130000</v>
      </c>
    </row>
    <row r="22" spans="1:7" ht="28.8" x14ac:dyDescent="0.55000000000000004">
      <c r="A22" s="12"/>
      <c r="B22" s="13" t="s">
        <v>509</v>
      </c>
      <c r="C22" s="10">
        <v>1</v>
      </c>
      <c r="D22" s="10">
        <v>10000</v>
      </c>
      <c r="E22" s="7">
        <f>+$I$2+(SEINA[[#This Row],[QUANTITE]]*SEINA[[#This Row],[PRIX UNITAIRE]])</f>
        <v>10000</v>
      </c>
      <c r="F22" s="14">
        <v>0</v>
      </c>
      <c r="G22" s="6">
        <f>SUM(E$9:$E22)-SUM(F$9:$F22)</f>
        <v>140000</v>
      </c>
    </row>
    <row r="23" spans="1:7" ht="28.8" x14ac:dyDescent="0.55000000000000004">
      <c r="A23" s="12"/>
      <c r="B23" s="13" t="s">
        <v>510</v>
      </c>
      <c r="C23" s="10">
        <v>1</v>
      </c>
      <c r="D23" s="10">
        <v>5000</v>
      </c>
      <c r="E23" s="7">
        <f>+$I$2+(SEINA[[#This Row],[QUANTITE]]*SEINA[[#This Row],[PRIX UNITAIRE]])</f>
        <v>5000</v>
      </c>
      <c r="F23" s="14">
        <v>0</v>
      </c>
      <c r="G23" s="6">
        <f>SUM(E$9:$E23)-SUM(F$9:$F23)</f>
        <v>145000</v>
      </c>
    </row>
    <row r="24" spans="1:7" ht="28.8" x14ac:dyDescent="0.55000000000000004">
      <c r="A24" s="12"/>
      <c r="B24" s="13" t="s">
        <v>511</v>
      </c>
      <c r="C24" s="10">
        <v>1</v>
      </c>
      <c r="D24" s="10">
        <v>10000</v>
      </c>
      <c r="E24" s="7">
        <f>+$I$2+(SEINA[[#This Row],[QUANTITE]]*SEINA[[#This Row],[PRIX UNITAIRE]])</f>
        <v>10000</v>
      </c>
      <c r="F24" s="14">
        <v>0</v>
      </c>
      <c r="G24" s="6">
        <f>SUM(E$9:$E24)-SUM(F$9:$F24)</f>
        <v>155000</v>
      </c>
    </row>
    <row r="25" spans="1:7" ht="28.8" x14ac:dyDescent="0.55000000000000004">
      <c r="A25" s="12">
        <v>45328</v>
      </c>
      <c r="B25" s="13" t="s">
        <v>512</v>
      </c>
      <c r="C25" s="10">
        <v>4</v>
      </c>
      <c r="D25" s="10">
        <v>65000</v>
      </c>
      <c r="E25" s="7">
        <f>+$I$2+(SEINA[[#This Row],[QUANTITE]]*SEINA[[#This Row],[PRIX UNITAIRE]])</f>
        <v>260000</v>
      </c>
      <c r="F25" s="14">
        <v>0</v>
      </c>
      <c r="G25" s="6">
        <f>SUM(E$9:$E25)-SUM(F$9:$F25)</f>
        <v>415000</v>
      </c>
    </row>
    <row r="26" spans="1:7" ht="28.8" x14ac:dyDescent="0.55000000000000004">
      <c r="A26" s="12"/>
      <c r="B26" s="13" t="s">
        <v>513</v>
      </c>
      <c r="C26" s="10">
        <v>1</v>
      </c>
      <c r="D26" s="10">
        <v>5000</v>
      </c>
      <c r="E26" s="7">
        <f>+$I$2+(SEINA[[#This Row],[QUANTITE]]*SEINA[[#This Row],[PRIX UNITAIRE]])</f>
        <v>5000</v>
      </c>
      <c r="F26" s="14">
        <v>0</v>
      </c>
      <c r="G26" s="6">
        <f>SUM(E$9:$E26)-SUM(F$9:$F26)</f>
        <v>420000</v>
      </c>
    </row>
    <row r="27" spans="1:7" ht="28.8" x14ac:dyDescent="0.55000000000000004">
      <c r="A27" s="12"/>
      <c r="B27" s="13" t="s">
        <v>514</v>
      </c>
      <c r="C27" s="10">
        <v>1</v>
      </c>
      <c r="D27" s="10">
        <v>15000</v>
      </c>
      <c r="E27" s="7">
        <f>+$I$2+(SEINA[[#This Row],[QUANTITE]]*SEINA[[#This Row],[PRIX UNITAIRE]])</f>
        <v>15000</v>
      </c>
      <c r="F27" s="14">
        <v>0</v>
      </c>
      <c r="G27" s="6">
        <f>SUM(E$9:$E27)-SUM(F$9:$F27)</f>
        <v>435000</v>
      </c>
    </row>
    <row r="28" spans="1:7" ht="28.8" x14ac:dyDescent="0.55000000000000004">
      <c r="A28" s="12">
        <v>45342</v>
      </c>
      <c r="B28" s="13" t="s">
        <v>515</v>
      </c>
      <c r="C28" s="10">
        <v>4</v>
      </c>
      <c r="D28" s="10">
        <v>60000</v>
      </c>
      <c r="E28" s="7">
        <f>+$I$2+(SEINA[[#This Row],[QUANTITE]]*SEINA[[#This Row],[PRIX UNITAIRE]])</f>
        <v>240000</v>
      </c>
      <c r="F28" s="14">
        <v>0</v>
      </c>
      <c r="G28" s="6">
        <f>SUM(E$9:$E28)-SUM(F$9:$F28)</f>
        <v>675000</v>
      </c>
    </row>
    <row r="29" spans="1:7" ht="28.8" x14ac:dyDescent="0.55000000000000004">
      <c r="A29" s="12">
        <v>45366</v>
      </c>
      <c r="B29" s="13" t="s">
        <v>516</v>
      </c>
      <c r="C29" s="10">
        <v>4</v>
      </c>
      <c r="D29" s="10">
        <v>60000</v>
      </c>
      <c r="E29" s="7">
        <f>+$I$2+(SEINA[[#This Row],[QUANTITE]]*SEINA[[#This Row],[PRIX UNITAIRE]])</f>
        <v>240000</v>
      </c>
      <c r="F29" s="14">
        <v>0</v>
      </c>
      <c r="G29" s="6">
        <f>SUM(E$9:$E29)-SUM(F$9:$F29)</f>
        <v>915000</v>
      </c>
    </row>
    <row r="30" spans="1:7" ht="28.8" x14ac:dyDescent="0.55000000000000004">
      <c r="A30" s="12">
        <v>45371</v>
      </c>
      <c r="B30" s="13" t="s">
        <v>500</v>
      </c>
      <c r="C30" s="10">
        <v>6</v>
      </c>
      <c r="D30" s="10">
        <v>95000</v>
      </c>
      <c r="E30" s="7">
        <f>+$I$2+(SEINA[[#This Row],[QUANTITE]]*SEINA[[#This Row],[PRIX UNITAIRE]])</f>
        <v>570000</v>
      </c>
      <c r="F30" s="14">
        <v>0</v>
      </c>
      <c r="G30" s="6">
        <f>SUM(E$9:$E30)-SUM(F$9:$F30)</f>
        <v>1485000</v>
      </c>
    </row>
    <row r="31" spans="1:7" ht="28.8" x14ac:dyDescent="0.55000000000000004">
      <c r="A31" s="12">
        <v>45374</v>
      </c>
      <c r="B31" s="13" t="s">
        <v>245</v>
      </c>
      <c r="C31" s="10">
        <v>2</v>
      </c>
      <c r="D31" s="10">
        <v>85000</v>
      </c>
      <c r="E31" s="7">
        <f>+$I$2+(SEINA[[#This Row],[QUANTITE]]*SEINA[[#This Row],[PRIX UNITAIRE]])</f>
        <v>170000</v>
      </c>
      <c r="F31" s="14">
        <v>0</v>
      </c>
      <c r="G31" s="6">
        <f>SUM(E$9:$E31)-SUM(F$9:$F31)</f>
        <v>1655000</v>
      </c>
    </row>
    <row r="32" spans="1:7" ht="28.8" x14ac:dyDescent="0.55000000000000004">
      <c r="A32" s="12"/>
      <c r="B32" s="13" t="s">
        <v>517</v>
      </c>
      <c r="C32" s="10">
        <v>2</v>
      </c>
      <c r="D32" s="10">
        <v>85000</v>
      </c>
      <c r="E32" s="7">
        <f>+$I$2+(SEINA[[#This Row],[QUANTITE]]*SEINA[[#This Row],[PRIX UNITAIRE]])</f>
        <v>170000</v>
      </c>
      <c r="F32" s="14">
        <v>0</v>
      </c>
      <c r="G32" s="6">
        <f>SUM(E$9:$E32)-SUM(F$9:$F32)</f>
        <v>1825000</v>
      </c>
    </row>
    <row r="33" spans="1:7" ht="28.8" x14ac:dyDescent="0.55000000000000004">
      <c r="A33" s="12">
        <v>45355</v>
      </c>
      <c r="B33" s="13" t="s">
        <v>213</v>
      </c>
      <c r="C33" s="10">
        <v>5</v>
      </c>
      <c r="D33" s="10">
        <v>160000</v>
      </c>
      <c r="E33" s="7">
        <f>+$I$2+(SEINA[[#This Row],[QUANTITE]]*SEINA[[#This Row],[PRIX UNITAIRE]])</f>
        <v>800000</v>
      </c>
      <c r="F33" s="14">
        <v>0</v>
      </c>
      <c r="G33" s="6">
        <f>SUM(E$9:$E33)-SUM(F$9:$F33)</f>
        <v>2625000</v>
      </c>
    </row>
    <row r="34" spans="1:7" ht="28.8" x14ac:dyDescent="0.55000000000000004">
      <c r="A34" s="12">
        <v>45464</v>
      </c>
      <c r="B34" s="13" t="s">
        <v>518</v>
      </c>
      <c r="C34" s="10">
        <v>2</v>
      </c>
      <c r="D34" s="10">
        <v>55000</v>
      </c>
      <c r="E34" s="7">
        <f>+$I$2+(SEINA[[#This Row],[QUANTITE]]*SEINA[[#This Row],[PRIX UNITAIRE]])</f>
        <v>110000</v>
      </c>
      <c r="F34" s="14">
        <v>0</v>
      </c>
      <c r="G34" s="6">
        <f>SUM(E$9:$E34)-SUM(F$9:$F34)</f>
        <v>2735000</v>
      </c>
    </row>
    <row r="35" spans="1:7" ht="28.8" x14ac:dyDescent="0.55000000000000004">
      <c r="A35" s="12">
        <v>45477</v>
      </c>
      <c r="B35" s="13" t="s">
        <v>519</v>
      </c>
      <c r="C35" s="10">
        <v>1</v>
      </c>
      <c r="D35" s="10">
        <v>20000</v>
      </c>
      <c r="E35" s="7">
        <f>+$I$2+(SEINA[[#This Row],[QUANTITE]]*SEINA[[#This Row],[PRIX UNITAIRE]])</f>
        <v>20000</v>
      </c>
      <c r="F35" s="14">
        <v>0</v>
      </c>
      <c r="G35" s="6">
        <f>SUM(E$9:$E35)-SUM(F$9:$F35)</f>
        <v>2755000</v>
      </c>
    </row>
    <row r="36" spans="1:7" ht="28.8" x14ac:dyDescent="0.55000000000000004">
      <c r="A36" s="12">
        <v>45499</v>
      </c>
      <c r="B36" s="13" t="s">
        <v>520</v>
      </c>
      <c r="C36" s="10">
        <v>2</v>
      </c>
      <c r="D36" s="10">
        <v>900000</v>
      </c>
      <c r="E36" s="7">
        <f>+$I$2+(SEINA[[#This Row],[QUANTITE]]*SEINA[[#This Row],[PRIX UNITAIRE]])</f>
        <v>1800000</v>
      </c>
      <c r="F36" s="14">
        <v>0</v>
      </c>
      <c r="G36" s="6">
        <f>SUM(E$9:$E36)-SUM(F$9:$F36)</f>
        <v>4555000</v>
      </c>
    </row>
    <row r="37" spans="1:7" ht="28.8" x14ac:dyDescent="0.55000000000000004">
      <c r="A37" s="12">
        <v>45504</v>
      </c>
      <c r="B37" s="13" t="s">
        <v>521</v>
      </c>
      <c r="C37" s="10">
        <v>1</v>
      </c>
      <c r="D37" s="10">
        <v>10000</v>
      </c>
      <c r="E37" s="7">
        <f>+$I$2+(SEINA[[#This Row],[QUANTITE]]*SEINA[[#This Row],[PRIX UNITAIRE]])</f>
        <v>10000</v>
      </c>
      <c r="F37" s="14">
        <v>0</v>
      </c>
      <c r="G37" s="6">
        <f>SUM(E$9:$E37)-SUM(F$9:$F37)</f>
        <v>4565000</v>
      </c>
    </row>
    <row r="38" spans="1:7" ht="28.8" x14ac:dyDescent="0.55000000000000004">
      <c r="A38" s="12">
        <v>45509</v>
      </c>
      <c r="B38" s="13" t="s">
        <v>522</v>
      </c>
      <c r="C38" s="10">
        <v>2</v>
      </c>
      <c r="D38" s="10">
        <v>85000</v>
      </c>
      <c r="E38" s="7">
        <f>+$I$2+(SEINA[[#This Row],[QUANTITE]]*SEINA[[#This Row],[PRIX UNITAIRE]])</f>
        <v>170000</v>
      </c>
      <c r="F38" s="14">
        <v>0</v>
      </c>
      <c r="G38" s="6">
        <f>SUM(E$9:$E38)-SUM(F$9:$F38)</f>
        <v>4735000</v>
      </c>
    </row>
    <row r="39" spans="1:7" ht="28.8" x14ac:dyDescent="0.55000000000000004">
      <c r="A39" s="12">
        <v>45513</v>
      </c>
      <c r="B39" s="13" t="s">
        <v>245</v>
      </c>
      <c r="C39" s="10">
        <v>16</v>
      </c>
      <c r="D39" s="10">
        <v>85000</v>
      </c>
      <c r="E39" s="7">
        <f>+$I$2+(SEINA[[#This Row],[QUANTITE]]*SEINA[[#This Row],[PRIX UNITAIRE]])</f>
        <v>1360000</v>
      </c>
      <c r="F39" s="14">
        <v>0</v>
      </c>
      <c r="G39" s="6">
        <f>SUM(E$9:$E39)-SUM(F$9:$F39)</f>
        <v>6095000</v>
      </c>
    </row>
    <row r="40" spans="1:7" ht="28.8" x14ac:dyDescent="0.55000000000000004">
      <c r="A40" s="12">
        <v>45527</v>
      </c>
      <c r="B40" s="13" t="s">
        <v>523</v>
      </c>
      <c r="C40" s="10">
        <v>4</v>
      </c>
      <c r="D40" s="10">
        <v>65000</v>
      </c>
      <c r="E40" s="7">
        <f>+$I$2+(SEINA[[#This Row],[QUANTITE]]*SEINA[[#This Row],[PRIX UNITAIRE]])</f>
        <v>260000</v>
      </c>
      <c r="F40" s="14">
        <v>0</v>
      </c>
      <c r="G40" s="6">
        <f>SUM(E$9:$E40)-SUM(F$9:$F40)</f>
        <v>6355000</v>
      </c>
    </row>
    <row r="41" spans="1:7" ht="28.8" x14ac:dyDescent="0.55000000000000004">
      <c r="A41" s="12"/>
      <c r="B41" s="13" t="s">
        <v>524</v>
      </c>
      <c r="C41" s="10">
        <v>1</v>
      </c>
      <c r="D41" s="10">
        <v>25000</v>
      </c>
      <c r="E41" s="7">
        <f>+$I$2+(SEINA[[#This Row],[QUANTITE]]*SEINA[[#This Row],[PRIX UNITAIRE]])</f>
        <v>25000</v>
      </c>
      <c r="F41" s="14">
        <v>0</v>
      </c>
      <c r="G41" s="6">
        <f>SUM(E$9:$E41)-SUM(F$9:$F41)</f>
        <v>6380000</v>
      </c>
    </row>
    <row r="42" spans="1:7" ht="28.8" x14ac:dyDescent="0.55000000000000004">
      <c r="A42" s="12">
        <v>45538</v>
      </c>
      <c r="B42" s="13" t="s">
        <v>504</v>
      </c>
      <c r="C42" s="10">
        <v>2</v>
      </c>
      <c r="D42" s="10">
        <v>330000</v>
      </c>
      <c r="E42" s="7">
        <f>+$I$2+(SEINA[[#This Row],[QUANTITE]]*SEINA[[#This Row],[PRIX UNITAIRE]])</f>
        <v>660000</v>
      </c>
      <c r="F42" s="14">
        <v>0</v>
      </c>
      <c r="G42" s="6">
        <f>SUM(E$9:$E42)-SUM(F$9:$F42)</f>
        <v>7040000</v>
      </c>
    </row>
    <row r="43" spans="1:7" ht="28.8" x14ac:dyDescent="0.55000000000000004">
      <c r="A43" s="12"/>
      <c r="B43" s="13" t="s">
        <v>78</v>
      </c>
      <c r="C43" s="10">
        <v>5</v>
      </c>
      <c r="D43" s="10">
        <v>125000</v>
      </c>
      <c r="E43" s="7">
        <f>+$I$2+(SEINA[[#This Row],[QUANTITE]]*SEINA[[#This Row],[PRIX UNITAIRE]])</f>
        <v>625000</v>
      </c>
      <c r="F43" s="14">
        <v>0</v>
      </c>
      <c r="G43" s="6">
        <f>SUM(E$9:$E43)-SUM(F$9:$F43)</f>
        <v>7665000</v>
      </c>
    </row>
    <row r="44" spans="1:7" ht="28.8" x14ac:dyDescent="0.55000000000000004">
      <c r="A44" s="12">
        <v>45546</v>
      </c>
      <c r="B44" s="13" t="s">
        <v>78</v>
      </c>
      <c r="C44" s="10">
        <v>20</v>
      </c>
      <c r="D44" s="10">
        <v>125000</v>
      </c>
      <c r="E44" s="7">
        <f>+$I$2+(SEINA[[#This Row],[QUANTITE]]*SEINA[[#This Row],[PRIX UNITAIRE]])</f>
        <v>2500000</v>
      </c>
      <c r="F44" s="14">
        <v>0</v>
      </c>
      <c r="G44" s="6">
        <f>SUM(E$9:$E44)-SUM(F$9:$F44)</f>
        <v>10165000</v>
      </c>
    </row>
    <row r="45" spans="1:7" ht="28.8" x14ac:dyDescent="0.55000000000000004">
      <c r="A45" s="12"/>
      <c r="B45" s="13" t="s">
        <v>500</v>
      </c>
      <c r="C45" s="10">
        <v>50</v>
      </c>
      <c r="D45" s="10">
        <v>90000</v>
      </c>
      <c r="E45" s="7">
        <f>+$I$2+(SEINA[[#This Row],[QUANTITE]]*SEINA[[#This Row],[PRIX UNITAIRE]])</f>
        <v>4500000</v>
      </c>
      <c r="F45" s="14">
        <v>0</v>
      </c>
      <c r="G45" s="6">
        <f>SUM(E$9:$E45)-SUM(F$9:$F45)</f>
        <v>14665000</v>
      </c>
    </row>
    <row r="46" spans="1:7" ht="28.8" x14ac:dyDescent="0.55000000000000004">
      <c r="A46" s="12"/>
      <c r="B46" s="13" t="s">
        <v>238</v>
      </c>
      <c r="C46" s="10">
        <v>24</v>
      </c>
      <c r="D46" s="10">
        <v>170000</v>
      </c>
      <c r="E46" s="7">
        <f>+$I$2+(SEINA[[#This Row],[QUANTITE]]*SEINA[[#This Row],[PRIX UNITAIRE]])</f>
        <v>4080000</v>
      </c>
      <c r="F46" s="14">
        <v>0</v>
      </c>
      <c r="G46" s="6">
        <f>SUM(E$9:$E46)-SUM(F$9:$F46)</f>
        <v>18745000</v>
      </c>
    </row>
    <row r="47" spans="1:7" ht="28.8" x14ac:dyDescent="0.55000000000000004">
      <c r="A47" s="12"/>
      <c r="B47" s="13" t="s">
        <v>213</v>
      </c>
      <c r="C47" s="10">
        <v>4</v>
      </c>
      <c r="D47" s="10">
        <v>160000</v>
      </c>
      <c r="E47" s="7">
        <f>+$I$2+(SEINA[[#This Row],[QUANTITE]]*SEINA[[#This Row],[PRIX UNITAIRE]])</f>
        <v>640000</v>
      </c>
      <c r="F47" s="14">
        <v>0</v>
      </c>
      <c r="G47" s="6">
        <f>SUM(E$9:$E47)-SUM(F$9:$F47)</f>
        <v>19385000</v>
      </c>
    </row>
    <row r="48" spans="1:7" ht="28.8" x14ac:dyDescent="0.55000000000000004">
      <c r="A48" s="12"/>
      <c r="B48" s="13" t="s">
        <v>525</v>
      </c>
      <c r="C48" s="10">
        <v>2</v>
      </c>
      <c r="D48" s="10">
        <v>350000</v>
      </c>
      <c r="E48" s="7">
        <f>+$I$2+(SEINA[[#This Row],[QUANTITE]]*SEINA[[#This Row],[PRIX UNITAIRE]])</f>
        <v>700000</v>
      </c>
      <c r="F48" s="14">
        <v>0</v>
      </c>
      <c r="G48" s="6">
        <f>SUM(E$9:$E48)-SUM(F$9:$F48)</f>
        <v>20085000</v>
      </c>
    </row>
    <row r="49" spans="1:7" ht="28.8" x14ac:dyDescent="0.55000000000000004">
      <c r="A49" s="12"/>
      <c r="B49" s="13" t="s">
        <v>526</v>
      </c>
      <c r="C49" s="10">
        <v>6</v>
      </c>
      <c r="D49" s="10">
        <v>365000</v>
      </c>
      <c r="E49" s="7">
        <f>+$I$2+(SEINA[[#This Row],[QUANTITE]]*SEINA[[#This Row],[PRIX UNITAIRE]])</f>
        <v>2190000</v>
      </c>
      <c r="F49" s="14">
        <v>0</v>
      </c>
      <c r="G49" s="6">
        <f>SUM(E$9:$E49)-SUM(F$9:$F49)</f>
        <v>22275000</v>
      </c>
    </row>
    <row r="50" spans="1:7" ht="28.8" x14ac:dyDescent="0.55000000000000004">
      <c r="A50" s="12"/>
      <c r="B50" s="13" t="s">
        <v>527</v>
      </c>
      <c r="C50" s="10">
        <v>4</v>
      </c>
      <c r="D50" s="10">
        <v>90000</v>
      </c>
      <c r="E50" s="7">
        <f>+$I$2+(SEINA[[#This Row],[QUANTITE]]*SEINA[[#This Row],[PRIX UNITAIRE]])</f>
        <v>360000</v>
      </c>
      <c r="F50" s="14">
        <v>0</v>
      </c>
      <c r="G50" s="6">
        <f>SUM(E$9:$E50)-SUM(F$9:$F50)</f>
        <v>22635000</v>
      </c>
    </row>
    <row r="51" spans="1:7" ht="28.8" x14ac:dyDescent="0.55000000000000004">
      <c r="A51" s="12"/>
      <c r="B51" s="13" t="s">
        <v>528</v>
      </c>
      <c r="C51" s="10">
        <v>2</v>
      </c>
      <c r="D51" s="10">
        <v>85000</v>
      </c>
      <c r="E51" s="7">
        <f>+$I$2+(SEINA[[#This Row],[QUANTITE]]*SEINA[[#This Row],[PRIX UNITAIRE]])</f>
        <v>170000</v>
      </c>
      <c r="F51" s="14">
        <v>0</v>
      </c>
      <c r="G51" s="6">
        <f>SUM(E$9:$E51)-SUM(F$9:$F51)</f>
        <v>22805000</v>
      </c>
    </row>
    <row r="52" spans="1:7" ht="28.8" x14ac:dyDescent="0.55000000000000004">
      <c r="A52" s="12">
        <v>45596</v>
      </c>
      <c r="B52" s="13" t="s">
        <v>78</v>
      </c>
      <c r="C52" s="10">
        <v>15</v>
      </c>
      <c r="D52" s="10">
        <v>125000</v>
      </c>
      <c r="E52" s="7">
        <f>+$I$2+(SEINA[[#This Row],[QUANTITE]]*SEINA[[#This Row],[PRIX UNITAIRE]])</f>
        <v>1875000</v>
      </c>
      <c r="F52" s="14">
        <v>0</v>
      </c>
      <c r="G52" s="6">
        <f>SUM(E$9:$E52)-SUM(F$9:$F52)</f>
        <v>24680000</v>
      </c>
    </row>
    <row r="53" spans="1:7" ht="28.8" x14ac:dyDescent="0.55000000000000004">
      <c r="A53" s="12"/>
      <c r="B53" s="13" t="s">
        <v>504</v>
      </c>
      <c r="C53" s="10">
        <v>6</v>
      </c>
      <c r="D53" s="10">
        <v>345000</v>
      </c>
      <c r="E53" s="7">
        <f>+$I$2+(SEINA[[#This Row],[QUANTITE]]*SEINA[[#This Row],[PRIX UNITAIRE]])</f>
        <v>2070000</v>
      </c>
      <c r="F53" s="14">
        <v>0</v>
      </c>
      <c r="G53" s="6">
        <f>SUM(E$9:$E53)-SUM(F$9:$F53)</f>
        <v>26750000</v>
      </c>
    </row>
    <row r="54" spans="1:7" ht="28.8" x14ac:dyDescent="0.55000000000000004">
      <c r="A54" s="12">
        <v>45603</v>
      </c>
      <c r="B54" s="13" t="s">
        <v>529</v>
      </c>
      <c r="C54" s="10">
        <v>1</v>
      </c>
      <c r="D54" s="10">
        <v>300000</v>
      </c>
      <c r="E54" s="7">
        <f>+$I$2+(SEINA[[#This Row],[QUANTITE]]*SEINA[[#This Row],[PRIX UNITAIRE]])</f>
        <v>300000</v>
      </c>
      <c r="F54" s="14">
        <v>0</v>
      </c>
      <c r="G54" s="6">
        <f>SUM(E$9:$E54)-SUM(F$9:$F54)</f>
        <v>27050000</v>
      </c>
    </row>
    <row r="55" spans="1:7" ht="28.8" x14ac:dyDescent="0.55000000000000004">
      <c r="A55" s="12">
        <v>45608</v>
      </c>
      <c r="B55" s="13" t="s">
        <v>501</v>
      </c>
      <c r="C55" s="10">
        <v>1</v>
      </c>
      <c r="D55" s="10">
        <v>0</v>
      </c>
      <c r="E55" s="7">
        <f>+$I$2+(SEINA[[#This Row],[QUANTITE]]*SEINA[[#This Row],[PRIX UNITAIRE]])</f>
        <v>0</v>
      </c>
      <c r="F55" s="14">
        <v>24640000</v>
      </c>
      <c r="G55" s="6">
        <f>SUM(E$9:$E55)-SUM(F$9:$F55)</f>
        <v>2410000</v>
      </c>
    </row>
    <row r="56" spans="1:7" ht="28.8" x14ac:dyDescent="0.55000000000000004">
      <c r="A56" s="12">
        <v>45612</v>
      </c>
      <c r="B56" s="13" t="s">
        <v>504</v>
      </c>
      <c r="C56" s="10">
        <v>6</v>
      </c>
      <c r="D56" s="10">
        <v>345000</v>
      </c>
      <c r="E56" s="7">
        <f>+$I$2+(SEINA[[#This Row],[QUANTITE]]*SEINA[[#This Row],[PRIX UNITAIRE]])</f>
        <v>2070000</v>
      </c>
      <c r="F56" s="14">
        <v>0</v>
      </c>
      <c r="G56" s="6">
        <f>SUM(E$9:$E56)-SUM(F$9:$F56)</f>
        <v>4480000</v>
      </c>
    </row>
    <row r="57" spans="1:7" ht="28.8" x14ac:dyDescent="0.55000000000000004">
      <c r="A57" s="12">
        <v>45612</v>
      </c>
      <c r="B57" s="13" t="s">
        <v>527</v>
      </c>
      <c r="C57" s="10">
        <v>4</v>
      </c>
      <c r="D57" s="10">
        <v>90000</v>
      </c>
      <c r="E57" s="7">
        <f>+$I$2+(SEINA[[#This Row],[QUANTITE]]*SEINA[[#This Row],[PRIX UNITAIRE]])</f>
        <v>360000</v>
      </c>
      <c r="F57" s="14">
        <v>0</v>
      </c>
      <c r="G57" s="6">
        <f>SUM(E$9:$E57)-SUM(F$9:$F57)</f>
        <v>4840000</v>
      </c>
    </row>
    <row r="58" spans="1:7" ht="28.8" x14ac:dyDescent="0.55000000000000004">
      <c r="A58" s="12">
        <v>45612</v>
      </c>
      <c r="B58" s="13" t="s">
        <v>530</v>
      </c>
      <c r="C58" s="10">
        <v>3</v>
      </c>
      <c r="D58" s="10">
        <v>85000</v>
      </c>
      <c r="E58" s="7">
        <f>+$I$2+(SEINA[[#This Row],[QUANTITE]]*SEINA[[#This Row],[PRIX UNITAIRE]])</f>
        <v>255000</v>
      </c>
      <c r="F58" s="14">
        <v>0</v>
      </c>
      <c r="G58" s="6">
        <f>SUM(E$9:$E58)-SUM(F$9:$F58)</f>
        <v>5095000</v>
      </c>
    </row>
    <row r="59" spans="1:7" ht="28.8" x14ac:dyDescent="0.55000000000000004">
      <c r="A59" s="12">
        <v>45612</v>
      </c>
      <c r="B59" s="13" t="s">
        <v>78</v>
      </c>
      <c r="C59" s="10">
        <v>9</v>
      </c>
      <c r="D59" s="10">
        <v>125000</v>
      </c>
      <c r="E59" s="7">
        <f>+$I$2+(SEINA[[#This Row],[QUANTITE]]*SEINA[[#This Row],[PRIX UNITAIRE]])</f>
        <v>1125000</v>
      </c>
      <c r="F59" s="14">
        <v>0</v>
      </c>
      <c r="G59" s="6">
        <f>SUM(E$9:$E59)-SUM(F$9:$F59)</f>
        <v>6220000</v>
      </c>
    </row>
    <row r="60" spans="1:7" ht="28.8" x14ac:dyDescent="0.55000000000000004">
      <c r="A60" s="12">
        <v>45311</v>
      </c>
      <c r="B60" s="13" t="s">
        <v>531</v>
      </c>
      <c r="C60" s="10">
        <v>3</v>
      </c>
      <c r="D60" s="10">
        <v>170000</v>
      </c>
      <c r="E60" s="7">
        <f>+$I$2+(SEINA[[#This Row],[QUANTITE]]*SEINA[[#This Row],[PRIX UNITAIRE]])</f>
        <v>510000</v>
      </c>
      <c r="F60" s="14"/>
      <c r="G60" s="6">
        <f>SUM(E$9:$E60)-SUM(F$9:$F60)</f>
        <v>6730000</v>
      </c>
    </row>
    <row r="61" spans="1:7" ht="28.8" x14ac:dyDescent="0.55000000000000004">
      <c r="A61" s="12">
        <v>45666</v>
      </c>
      <c r="B61" s="13" t="s">
        <v>532</v>
      </c>
      <c r="C61" s="10">
        <v>1</v>
      </c>
      <c r="D61" s="10">
        <v>65000</v>
      </c>
      <c r="E61" s="7">
        <f>+$I$2+(SEINA[[#This Row],[QUANTITE]]*SEINA[[#This Row],[PRIX UNITAIRE]])</f>
        <v>65000</v>
      </c>
      <c r="F61" s="14"/>
      <c r="G61" s="6">
        <f>SUM(E$9:$E61)-SUM(F$9:$F61)</f>
        <v>6795000</v>
      </c>
    </row>
    <row r="62" spans="1:7" ht="28.8" x14ac:dyDescent="0.55000000000000004">
      <c r="A62" s="12"/>
      <c r="B62" s="13"/>
      <c r="C62" s="10"/>
      <c r="D62" s="10"/>
      <c r="E62" s="7">
        <f>+$I$2+(SEINA[[#This Row],[QUANTITE]]*SEINA[[#This Row],[PRIX UNITAIRE]])</f>
        <v>0</v>
      </c>
      <c r="F62" s="14">
        <v>6220000</v>
      </c>
      <c r="G62" s="6">
        <f>SUM(E$9:$E62)-SUM(F$9:$F62)</f>
        <v>575000</v>
      </c>
    </row>
    <row r="63" spans="1:7" ht="28.8" x14ac:dyDescent="0.55000000000000004">
      <c r="A63" s="12">
        <v>45828</v>
      </c>
      <c r="B63" s="13" t="s">
        <v>1266</v>
      </c>
      <c r="C63" s="10">
        <v>4</v>
      </c>
      <c r="D63" s="10">
        <v>70000</v>
      </c>
      <c r="E63" s="7">
        <f>+$I$2+(SEINA[[#This Row],[QUANTITE]]*SEINA[[#This Row],[PRIX UNITAIRE]])</f>
        <v>280000</v>
      </c>
      <c r="F63" s="14"/>
      <c r="G63" s="6">
        <f>SUM(E$9:$E63)-SUM(F$9:$F63)</f>
        <v>855000</v>
      </c>
    </row>
    <row r="64" spans="1:7" ht="28.8" x14ac:dyDescent="0.55000000000000004">
      <c r="A64" s="12">
        <v>56792</v>
      </c>
      <c r="B64" s="13" t="s">
        <v>1186</v>
      </c>
      <c r="C64" s="10">
        <v>50</v>
      </c>
      <c r="D64" s="10">
        <v>125000</v>
      </c>
      <c r="E64" s="7">
        <f>+$I$2+(SEINA[[#This Row],[QUANTITE]]*SEINA[[#This Row],[PRIX UNITAIRE]])</f>
        <v>6250000</v>
      </c>
      <c r="F64" s="14"/>
      <c r="G64" s="6">
        <f>SUM(E$9:$E64)-SUM(F$9:$F64)</f>
        <v>7105000</v>
      </c>
    </row>
    <row r="65" spans="1:7" ht="28.8" x14ac:dyDescent="0.55000000000000004">
      <c r="A65" s="12">
        <v>45835</v>
      </c>
      <c r="B65" s="13" t="s">
        <v>1267</v>
      </c>
      <c r="C65" s="10">
        <v>70</v>
      </c>
      <c r="D65" s="10">
        <v>95000</v>
      </c>
      <c r="E65" s="7">
        <f>+$I$2+(SEINA[[#This Row],[QUANTITE]]*SEINA[[#This Row],[PRIX UNITAIRE]])</f>
        <v>6650000</v>
      </c>
      <c r="F65" s="14"/>
      <c r="G65" s="6">
        <f>SUM(E$9:$E65)-SUM(F$9:$F65)</f>
        <v>13755000</v>
      </c>
    </row>
    <row r="66" spans="1:7" ht="28.8" x14ac:dyDescent="0.55000000000000004">
      <c r="A66" s="12">
        <v>45896</v>
      </c>
      <c r="B66" s="13" t="s">
        <v>1268</v>
      </c>
      <c r="C66" s="10">
        <v>6</v>
      </c>
      <c r="D66" s="10">
        <v>90000</v>
      </c>
      <c r="E66" s="7">
        <f>+$I$2+(SEINA[[#This Row],[QUANTITE]]*SEINA[[#This Row],[PRIX UNITAIRE]])</f>
        <v>540000</v>
      </c>
      <c r="F66" s="14"/>
      <c r="G66" s="6">
        <f>SUM(E$9:$E66)-SUM(F$9:$F66)</f>
        <v>14295000</v>
      </c>
    </row>
    <row r="67" spans="1:7" ht="28.8" x14ac:dyDescent="0.55000000000000004">
      <c r="A67" s="12">
        <v>45835</v>
      </c>
      <c r="B67" s="13" t="s">
        <v>245</v>
      </c>
      <c r="C67" s="10">
        <v>6</v>
      </c>
      <c r="D67" s="10">
        <v>95000</v>
      </c>
      <c r="E67" s="7">
        <f>+$I$2+(SEINA[[#This Row],[QUANTITE]]*SEINA[[#This Row],[PRIX UNITAIRE]])</f>
        <v>570000</v>
      </c>
      <c r="F67" s="14"/>
      <c r="G67" s="6">
        <f>SUM(E$9:$E67)-SUM(F$9:$F67)</f>
        <v>14865000</v>
      </c>
    </row>
    <row r="68" spans="1:7" ht="28.8" x14ac:dyDescent="0.55000000000000004">
      <c r="A68" s="12">
        <v>45835</v>
      </c>
      <c r="B68" s="13" t="s">
        <v>1269</v>
      </c>
      <c r="C68" s="10">
        <v>25</v>
      </c>
      <c r="D68" s="10">
        <v>165000</v>
      </c>
      <c r="E68" s="7">
        <f>+$I$2+(SEINA[[#This Row],[QUANTITE]]*SEINA[[#This Row],[PRIX UNITAIRE]])</f>
        <v>4125000</v>
      </c>
      <c r="F68" s="14"/>
      <c r="G68" s="6">
        <f>SUM(E$9:$E68)-SUM(F$9:$F68)</f>
        <v>18990000</v>
      </c>
    </row>
    <row r="69" spans="1:7" ht="28.8" x14ac:dyDescent="0.55000000000000004">
      <c r="A69" s="12">
        <v>45835</v>
      </c>
      <c r="B69" s="13" t="s">
        <v>1270</v>
      </c>
      <c r="C69" s="10">
        <v>11</v>
      </c>
      <c r="D69" s="10">
        <v>340000</v>
      </c>
      <c r="E69" s="7">
        <f>+$I$2+(SEINA[[#This Row],[QUANTITE]]*SEINA[[#This Row],[PRIX UNITAIRE]])</f>
        <v>3740000</v>
      </c>
      <c r="F69" s="14"/>
      <c r="G69" s="6">
        <f>SUM(E$9:$E69)-SUM(F$9:$F69)</f>
        <v>22730000</v>
      </c>
    </row>
    <row r="70" spans="1:7" ht="28.8" x14ac:dyDescent="0.55000000000000004">
      <c r="A70" s="12">
        <v>45845</v>
      </c>
      <c r="B70" s="13" t="s">
        <v>1271</v>
      </c>
      <c r="C70" s="10">
        <v>1</v>
      </c>
      <c r="D70" s="10">
        <v>0</v>
      </c>
      <c r="E70" s="7">
        <f>+$I$2+(SEINA[[#This Row],[QUANTITE]]*SEINA[[#This Row],[PRIX UNITAIRE]])</f>
        <v>0</v>
      </c>
      <c r="F70" s="14">
        <v>11000000</v>
      </c>
      <c r="G70" s="6">
        <f>SUM(E$9:$E70)-SUM(F$9:$F70)</f>
        <v>11730000</v>
      </c>
    </row>
    <row r="71" spans="1:7" ht="28.8" x14ac:dyDescent="0.55000000000000004">
      <c r="A71" s="12">
        <v>45926</v>
      </c>
      <c r="B71" s="13" t="s">
        <v>259</v>
      </c>
      <c r="C71" s="10"/>
      <c r="D71" s="10"/>
      <c r="E71" s="7">
        <f>+$I$2+(SEINA[[#This Row],[QUANTITE]]*SEINA[[#This Row],[PRIX UNITAIRE]])</f>
        <v>0</v>
      </c>
      <c r="F71" s="14">
        <v>10425000</v>
      </c>
      <c r="G71" s="6">
        <f>SUM(E$9:$E71)-SUM(F$9:$F71)</f>
        <v>1305000</v>
      </c>
    </row>
    <row r="72" spans="1:7" ht="28.8" x14ac:dyDescent="0.55000000000000004">
      <c r="A72" s="12">
        <v>45835</v>
      </c>
      <c r="B72" s="13" t="s">
        <v>2709</v>
      </c>
      <c r="C72" s="10">
        <v>3</v>
      </c>
      <c r="D72" s="10">
        <v>170000</v>
      </c>
      <c r="E72" s="7">
        <f>+$I$2+(SEINA[[#This Row],[QUANTITE]]*SEINA[[#This Row],[PRIX UNITAIRE]])</f>
        <v>510000</v>
      </c>
      <c r="F72" s="14"/>
      <c r="G72" s="6">
        <f>SUM(E$9:$E72)-SUM(F$9:$F72)</f>
        <v>1815000</v>
      </c>
    </row>
    <row r="73" spans="1:7" ht="28.8" x14ac:dyDescent="0.55000000000000004">
      <c r="A73" s="12">
        <v>45835</v>
      </c>
      <c r="B73" s="13" t="s">
        <v>505</v>
      </c>
      <c r="C73" s="10">
        <v>1</v>
      </c>
      <c r="D73" s="10">
        <v>65000</v>
      </c>
      <c r="E73" s="7">
        <f>+$I$2+(SEINA[[#This Row],[QUANTITE]]*SEINA[[#This Row],[PRIX UNITAIRE]])</f>
        <v>65000</v>
      </c>
      <c r="F73" s="14"/>
      <c r="G73" s="6">
        <f>SUM(E$9:$E73)-SUM(F$9:$F73)</f>
        <v>1880000</v>
      </c>
    </row>
    <row r="74" spans="1:7" ht="28.8" x14ac:dyDescent="0.55000000000000004">
      <c r="A74" s="12">
        <v>45835</v>
      </c>
      <c r="B74" s="13" t="s">
        <v>3322</v>
      </c>
      <c r="C74" s="10">
        <v>4</v>
      </c>
      <c r="D74" s="10">
        <v>70000</v>
      </c>
      <c r="E74" s="7">
        <f>+$I$2+(SEINA[[#This Row],[QUANTITE]]*SEINA[[#This Row],[PRIX UNITAIRE]])</f>
        <v>280000</v>
      </c>
      <c r="F74" s="14"/>
      <c r="G74" s="6">
        <f>SUM(E$9:$E74)-SUM(F$9:$F74)</f>
        <v>2160000</v>
      </c>
    </row>
    <row r="75" spans="1:7" ht="28.8" x14ac:dyDescent="0.55000000000000004">
      <c r="A75" s="12"/>
      <c r="B75" s="13"/>
      <c r="C75" s="10"/>
      <c r="D75" s="10"/>
      <c r="E75" s="7">
        <f>+$I$2+(SEINA[[#This Row],[QUANTITE]]*SEINA[[#This Row],[PRIX UNITAIRE]])</f>
        <v>0</v>
      </c>
      <c r="F75" s="14"/>
      <c r="G75" s="6">
        <f>SUM(E$9:$E75)-SUM(F$9:$F75)</f>
        <v>2160000</v>
      </c>
    </row>
    <row r="76" spans="1:7" ht="28.8" x14ac:dyDescent="0.55000000000000004">
      <c r="A76" s="12"/>
      <c r="B76" s="13"/>
      <c r="C76" s="10"/>
      <c r="D76" s="10"/>
      <c r="E76" s="7">
        <f>+$I$2+(SEINA[[#This Row],[QUANTITE]]*SEINA[[#This Row],[PRIX UNITAIRE]])</f>
        <v>0</v>
      </c>
      <c r="F76" s="14"/>
      <c r="G76" s="6">
        <f>SUM(E$9:$E76)-SUM(F$9:$F76)</f>
        <v>2160000</v>
      </c>
    </row>
    <row r="77" spans="1:7" ht="28.8" x14ac:dyDescent="0.55000000000000004">
      <c r="A77" s="12"/>
      <c r="B77" s="13"/>
      <c r="C77" s="10"/>
      <c r="D77" s="10"/>
      <c r="E77" s="7">
        <f>+$I$2+(SEINA[[#This Row],[QUANTITE]]*SEINA[[#This Row],[PRIX UNITAIRE]])</f>
        <v>0</v>
      </c>
      <c r="F77" s="14"/>
      <c r="G77" s="6">
        <f>SUM(E$9:$E77)-SUM(F$9:$F77)</f>
        <v>2160000</v>
      </c>
    </row>
    <row r="78" spans="1:7" ht="28.8" x14ac:dyDescent="0.55000000000000004">
      <c r="A78" s="12"/>
      <c r="B78" s="13"/>
      <c r="C78" s="10"/>
      <c r="D78" s="10"/>
      <c r="E78" s="7">
        <f>+$I$2+(SEINA[[#This Row],[QUANTITE]]*SEINA[[#This Row],[PRIX UNITAIRE]])</f>
        <v>0</v>
      </c>
      <c r="F78" s="14"/>
      <c r="G78" s="6">
        <f>SUM(E$9:$E78)-SUM(F$9:$F78)</f>
        <v>2160000</v>
      </c>
    </row>
    <row r="79" spans="1:7" ht="28.8" x14ac:dyDescent="0.55000000000000004">
      <c r="A79" s="12"/>
      <c r="B79" s="13"/>
      <c r="C79" s="10"/>
      <c r="D79" s="10"/>
      <c r="E79" s="7">
        <f>+$I$2+(SEINA[[#This Row],[QUANTITE]]*SEINA[[#This Row],[PRIX UNITAIRE]])</f>
        <v>0</v>
      </c>
      <c r="F79" s="14"/>
      <c r="G79" s="6">
        <f>SUM(E$9:$E79)-SUM(F$9:$F79)</f>
        <v>2160000</v>
      </c>
    </row>
    <row r="80" spans="1:7" ht="28.8" x14ac:dyDescent="0.55000000000000004">
      <c r="A80" s="12"/>
      <c r="B80" s="13"/>
      <c r="C80" s="10"/>
      <c r="D80" s="10"/>
      <c r="E80" s="7">
        <f>+$I$2+(SEINA[[#This Row],[QUANTITE]]*SEINA[[#This Row],[PRIX UNITAIRE]])</f>
        <v>0</v>
      </c>
      <c r="F80" s="14"/>
      <c r="G80" s="6">
        <f>SUM(E$9:$E80)-SUM(F$9:$F80)</f>
        <v>2160000</v>
      </c>
    </row>
    <row r="81" spans="1:7" ht="28.8" x14ac:dyDescent="0.55000000000000004">
      <c r="A81" s="12"/>
      <c r="B81" s="13"/>
      <c r="C81" s="10"/>
      <c r="D81" s="10"/>
      <c r="E81" s="7">
        <f>+$I$2+(SEINA[[#This Row],[QUANTITE]]*SEINA[[#This Row],[PRIX UNITAIRE]])</f>
        <v>0</v>
      </c>
      <c r="F81" s="14"/>
      <c r="G81" s="6">
        <f>SUM(E$9:$E81)-SUM(F$9:$F81)</f>
        <v>2160000</v>
      </c>
    </row>
    <row r="82" spans="1:7" ht="28.8" x14ac:dyDescent="0.55000000000000004">
      <c r="A82" s="12"/>
      <c r="B82" s="13"/>
      <c r="C82" s="10"/>
      <c r="D82" s="10"/>
      <c r="E82" s="7">
        <f>+$I$2+(SEINA[[#This Row],[QUANTITE]]*SEINA[[#This Row],[PRIX UNITAIRE]])</f>
        <v>0</v>
      </c>
      <c r="F82" s="14"/>
      <c r="G82" s="6">
        <f>SUM(E$9:$E82)-SUM(F$9:$F82)</f>
        <v>2160000</v>
      </c>
    </row>
    <row r="83" spans="1:7" ht="28.8" x14ac:dyDescent="0.55000000000000004">
      <c r="A83" s="12"/>
      <c r="B83" s="13"/>
      <c r="C83" s="10"/>
      <c r="D83" s="10"/>
      <c r="E83" s="7">
        <f>+$I$2+(SEINA[[#This Row],[QUANTITE]]*SEINA[[#This Row],[PRIX UNITAIRE]])</f>
        <v>0</v>
      </c>
      <c r="F83" s="14"/>
      <c r="G83" s="6">
        <f>SUM(E$9:$E83)-SUM(F$9:$F83)</f>
        <v>2160000</v>
      </c>
    </row>
    <row r="84" spans="1:7" ht="28.8" x14ac:dyDescent="0.55000000000000004">
      <c r="A84" s="12"/>
      <c r="B84" s="13"/>
      <c r="C84" s="10"/>
      <c r="D84" s="10"/>
      <c r="E84" s="7">
        <f>+$I$2+(SEINA[[#This Row],[QUANTITE]]*SEINA[[#This Row],[PRIX UNITAIRE]])</f>
        <v>0</v>
      </c>
      <c r="F84" s="14"/>
      <c r="G84" s="6">
        <f>SUM(E$9:$E84)-SUM(F$9:$F84)</f>
        <v>2160000</v>
      </c>
    </row>
    <row r="85" spans="1:7" ht="28.8" x14ac:dyDescent="0.55000000000000004">
      <c r="A85" s="12"/>
      <c r="B85" s="13"/>
      <c r="C85" s="10"/>
      <c r="D85" s="10"/>
      <c r="E85" s="7">
        <f>+$I$2+(SEINA[[#This Row],[QUANTITE]]*SEINA[[#This Row],[PRIX UNITAIRE]])</f>
        <v>0</v>
      </c>
      <c r="F85" s="14"/>
      <c r="G85" s="6">
        <f>SUM(E$9:$E85)-SUM(F$9:$F85)</f>
        <v>2160000</v>
      </c>
    </row>
    <row r="86" spans="1:7" ht="28.8" x14ac:dyDescent="0.55000000000000004">
      <c r="A86" s="12"/>
      <c r="B86" s="13"/>
      <c r="C86" s="10"/>
      <c r="D86" s="10"/>
      <c r="E86" s="7">
        <f>+$I$2+(SEINA[[#This Row],[QUANTITE]]*SEINA[[#This Row],[PRIX UNITAIRE]])</f>
        <v>0</v>
      </c>
      <c r="F86" s="14"/>
      <c r="G86" s="6">
        <f>SUM(E$9:$E86)-SUM(F$9:$F86)</f>
        <v>2160000</v>
      </c>
    </row>
    <row r="87" spans="1:7" ht="28.8" x14ac:dyDescent="0.55000000000000004">
      <c r="A87" s="12"/>
      <c r="B87" s="13"/>
      <c r="C87" s="10"/>
      <c r="D87" s="10"/>
      <c r="E87" s="7">
        <f>+$I$2+(SEINA[[#This Row],[QUANTITE]]*SEINA[[#This Row],[PRIX UNITAIRE]])</f>
        <v>0</v>
      </c>
      <c r="F87" s="14"/>
      <c r="G87" s="6">
        <f>SUM(E$9:$E87)-SUM(F$9:$F87)</f>
        <v>2160000</v>
      </c>
    </row>
    <row r="88" spans="1:7" ht="28.8" x14ac:dyDescent="0.55000000000000004">
      <c r="A88" s="12"/>
      <c r="B88" s="13"/>
      <c r="C88" s="10"/>
      <c r="D88" s="10"/>
      <c r="E88" s="7">
        <f>+$I$2+(SEINA[[#This Row],[QUANTITE]]*SEINA[[#This Row],[PRIX UNITAIRE]])</f>
        <v>0</v>
      </c>
      <c r="F88" s="14"/>
      <c r="G88" s="6">
        <f>SUM(E$9:$E88)-SUM(F$9:$F88)</f>
        <v>2160000</v>
      </c>
    </row>
    <row r="89" spans="1:7" ht="28.8" x14ac:dyDescent="0.55000000000000004">
      <c r="A89" s="12"/>
      <c r="B89" s="13"/>
      <c r="C89" s="10"/>
      <c r="D89" s="10"/>
      <c r="E89" s="7">
        <f>+$I$2+(SEINA[[#This Row],[QUANTITE]]*SEINA[[#This Row],[PRIX UNITAIRE]])</f>
        <v>0</v>
      </c>
      <c r="F89" s="14"/>
      <c r="G89" s="6">
        <f>SUM(E$9:$E89)-SUM(F$9:$F89)</f>
        <v>2160000</v>
      </c>
    </row>
    <row r="90" spans="1:7" ht="28.8" x14ac:dyDescent="0.55000000000000004">
      <c r="A90" s="12"/>
      <c r="B90" s="13"/>
      <c r="C90" s="10"/>
      <c r="D90" s="10"/>
      <c r="E90" s="7">
        <f>+$I$2+(SEINA[[#This Row],[QUANTITE]]*SEINA[[#This Row],[PRIX UNITAIRE]])</f>
        <v>0</v>
      </c>
      <c r="F90" s="14"/>
      <c r="G90" s="6">
        <f>SUM(E$9:$E90)-SUM(F$9:$F90)</f>
        <v>2160000</v>
      </c>
    </row>
    <row r="91" spans="1:7" ht="28.8" x14ac:dyDescent="0.55000000000000004">
      <c r="A91" s="12"/>
      <c r="B91" s="13"/>
      <c r="C91" s="10"/>
      <c r="D91" s="10"/>
      <c r="E91" s="7">
        <f>+$I$2+(SEINA[[#This Row],[QUANTITE]]*SEINA[[#This Row],[PRIX UNITAIRE]])</f>
        <v>0</v>
      </c>
      <c r="F91" s="14"/>
      <c r="G91" s="6">
        <f>SUM(E$9:$E91)-SUM(F$9:$F91)</f>
        <v>2160000</v>
      </c>
    </row>
    <row r="92" spans="1:7" ht="28.8" x14ac:dyDescent="0.55000000000000004">
      <c r="A92" s="12"/>
      <c r="B92" s="13"/>
      <c r="C92" s="10"/>
      <c r="D92" s="10"/>
      <c r="E92" s="7">
        <f>+$I$2+(SEINA[[#This Row],[QUANTITE]]*SEINA[[#This Row],[PRIX UNITAIRE]])</f>
        <v>0</v>
      </c>
      <c r="F92" s="14"/>
      <c r="G92" s="6">
        <f>SUM(E$9:$E92)-SUM(F$9:$F92)</f>
        <v>2160000</v>
      </c>
    </row>
    <row r="93" spans="1:7" ht="28.8" x14ac:dyDescent="0.55000000000000004">
      <c r="A93" s="12"/>
      <c r="B93" s="13"/>
      <c r="C93" s="10"/>
      <c r="D93" s="10"/>
      <c r="E93" s="7">
        <f>+$I$2+(SEINA[[#This Row],[QUANTITE]]*SEINA[[#This Row],[PRIX UNITAIRE]])</f>
        <v>0</v>
      </c>
      <c r="F93" s="14"/>
      <c r="G93" s="6">
        <f>SUM(E$9:$E93)-SUM(F$9:$F93)</f>
        <v>2160000</v>
      </c>
    </row>
    <row r="94" spans="1:7" ht="28.8" x14ac:dyDescent="0.55000000000000004">
      <c r="A94" s="12"/>
      <c r="B94" s="13"/>
      <c r="C94" s="10"/>
      <c r="D94" s="10"/>
      <c r="E94" s="7">
        <f>+$I$2+(SEINA[[#This Row],[QUANTITE]]*SEINA[[#This Row],[PRIX UNITAIRE]])</f>
        <v>0</v>
      </c>
      <c r="F94" s="14"/>
      <c r="G94" s="6">
        <f>SUM(E$9:$E94)-SUM(F$9:$F94)</f>
        <v>2160000</v>
      </c>
    </row>
    <row r="95" spans="1:7" ht="28.8" x14ac:dyDescent="0.55000000000000004">
      <c r="A95" s="12"/>
      <c r="B95" s="13"/>
      <c r="C95" s="10"/>
      <c r="D95" s="10"/>
      <c r="E95" s="7">
        <f>+$I$2+(SEINA[[#This Row],[QUANTITE]]*SEINA[[#This Row],[PRIX UNITAIRE]])</f>
        <v>0</v>
      </c>
      <c r="F95" s="14"/>
      <c r="G95" s="6">
        <f>SUM(E$9:$E95)-SUM(F$9:$F95)</f>
        <v>2160000</v>
      </c>
    </row>
    <row r="96" spans="1:7" ht="28.8" x14ac:dyDescent="0.55000000000000004">
      <c r="A96" s="12"/>
      <c r="B96" s="13"/>
      <c r="C96" s="10"/>
      <c r="D96" s="10"/>
      <c r="E96" s="7">
        <f>+$I$2+(SEINA[[#This Row],[QUANTITE]]*SEINA[[#This Row],[PRIX UNITAIRE]])</f>
        <v>0</v>
      </c>
      <c r="F96" s="14"/>
      <c r="G96" s="6">
        <f>SUM(E$9:$E96)-SUM(F$9:$F96)</f>
        <v>2160000</v>
      </c>
    </row>
    <row r="97" spans="1:7" ht="28.8" x14ac:dyDescent="0.55000000000000004">
      <c r="A97" s="12"/>
      <c r="B97" s="13"/>
      <c r="C97" s="10"/>
      <c r="D97" s="10"/>
      <c r="E97" s="7">
        <f>+$I$2+(SEINA[[#This Row],[QUANTITE]]*SEINA[[#This Row],[PRIX UNITAIRE]])</f>
        <v>0</v>
      </c>
      <c r="F97" s="14"/>
      <c r="G97" s="6">
        <f>SUM(E$9:$E97)-SUM(F$9:$F97)</f>
        <v>2160000</v>
      </c>
    </row>
    <row r="98" spans="1:7" ht="28.8" x14ac:dyDescent="0.55000000000000004">
      <c r="A98" s="12"/>
      <c r="B98" s="13"/>
      <c r="C98" s="10"/>
      <c r="D98" s="10"/>
      <c r="E98" s="7">
        <f>+$I$2+(SEINA[[#This Row],[QUANTITE]]*SEINA[[#This Row],[PRIX UNITAIRE]])</f>
        <v>0</v>
      </c>
      <c r="F98" s="14"/>
      <c r="G98" s="6">
        <f>SUM(E$9:$E98)-SUM(F$9:$F98)</f>
        <v>2160000</v>
      </c>
    </row>
    <row r="99" spans="1:7" ht="28.8" x14ac:dyDescent="0.55000000000000004">
      <c r="A99" s="12"/>
      <c r="B99" s="13"/>
      <c r="C99" s="10"/>
      <c r="D99" s="10"/>
      <c r="E99" s="7">
        <f>+$I$2+(SEINA[[#This Row],[QUANTITE]]*SEINA[[#This Row],[PRIX UNITAIRE]])</f>
        <v>0</v>
      </c>
      <c r="F99" s="14"/>
      <c r="G99" s="6">
        <f>SUM(E$9:$E99)-SUM(F$9:$F99)</f>
        <v>2160000</v>
      </c>
    </row>
    <row r="100" spans="1:7" ht="28.8" x14ac:dyDescent="0.55000000000000004">
      <c r="A100" s="12"/>
      <c r="B100" s="13"/>
      <c r="C100" s="10"/>
      <c r="D100" s="10"/>
      <c r="E100" s="7">
        <f>+$I$2+(SEINA[[#This Row],[QUANTITE]]*SEINA[[#This Row],[PRIX UNITAIRE]])</f>
        <v>0</v>
      </c>
      <c r="F100" s="14"/>
      <c r="G100" s="6">
        <f>SUM(E$9:$E100)-SUM(F$9:$F100)</f>
        <v>2160000</v>
      </c>
    </row>
    <row r="101" spans="1:7" ht="28.8" x14ac:dyDescent="0.55000000000000004">
      <c r="A101" s="12"/>
      <c r="B101" s="13"/>
      <c r="C101" s="10"/>
      <c r="D101" s="10"/>
      <c r="E101" s="7">
        <f>+$I$2+(SEINA[[#This Row],[QUANTITE]]*SEINA[[#This Row],[PRIX UNITAIRE]])</f>
        <v>0</v>
      </c>
      <c r="F101" s="14"/>
      <c r="G101" s="6">
        <f>SUM(E$9:$E101)-SUM(F$9:$F101)</f>
        <v>2160000</v>
      </c>
    </row>
    <row r="102" spans="1:7" ht="28.8" x14ac:dyDescent="0.55000000000000004">
      <c r="A102" s="12"/>
      <c r="B102" s="13"/>
      <c r="C102" s="10"/>
      <c r="D102" s="10"/>
      <c r="E102" s="7">
        <f>+$I$2+(SEINA[[#This Row],[QUANTITE]]*SEINA[[#This Row],[PRIX UNITAIRE]])</f>
        <v>0</v>
      </c>
      <c r="F102" s="14"/>
      <c r="G102" s="6">
        <f>SUM(E$9:$E102)-SUM(F$9:$F102)</f>
        <v>2160000</v>
      </c>
    </row>
    <row r="103" spans="1:7" ht="28.8" x14ac:dyDescent="0.55000000000000004">
      <c r="A103" s="12"/>
      <c r="B103" s="13"/>
      <c r="C103" s="10"/>
      <c r="D103" s="10"/>
      <c r="E103" s="7">
        <f>+$I$2+(SEINA[[#This Row],[QUANTITE]]*SEINA[[#This Row],[PRIX UNITAIRE]])</f>
        <v>0</v>
      </c>
      <c r="F103" s="14"/>
      <c r="G103" s="6">
        <f>SUM(E$9:$E103)-SUM(F$9:$F103)</f>
        <v>2160000</v>
      </c>
    </row>
    <row r="104" spans="1:7" ht="28.8" x14ac:dyDescent="0.55000000000000004">
      <c r="A104" s="12"/>
      <c r="B104" s="13"/>
      <c r="C104" s="10"/>
      <c r="D104" s="10"/>
      <c r="E104" s="7">
        <f>+$I$2+(SEINA[[#This Row],[QUANTITE]]*SEINA[[#This Row],[PRIX UNITAIRE]])</f>
        <v>0</v>
      </c>
      <c r="F104" s="14"/>
      <c r="G104" s="6">
        <f>SUM(E$9:$E104)-SUM(F$9:$F104)</f>
        <v>2160000</v>
      </c>
    </row>
    <row r="105" spans="1:7" ht="28.8" x14ac:dyDescent="0.55000000000000004">
      <c r="A105" s="12"/>
      <c r="B105" s="13"/>
      <c r="C105" s="10"/>
      <c r="D105" s="10"/>
      <c r="E105" s="7">
        <f>+$I$2+(SEINA[[#This Row],[QUANTITE]]*SEINA[[#This Row],[PRIX UNITAIRE]])</f>
        <v>0</v>
      </c>
      <c r="F105" s="14"/>
      <c r="G105" s="6">
        <f>SUM(E$9:$E105)-SUM(F$9:$F105)</f>
        <v>2160000</v>
      </c>
    </row>
    <row r="106" spans="1:7" ht="28.8" x14ac:dyDescent="0.55000000000000004">
      <c r="A106" s="12"/>
      <c r="B106" s="13"/>
      <c r="C106" s="10"/>
      <c r="D106" s="10"/>
      <c r="E106" s="7">
        <f>+$I$2+(SEINA[[#This Row],[QUANTITE]]*SEINA[[#This Row],[PRIX UNITAIRE]])</f>
        <v>0</v>
      </c>
      <c r="F106" s="14"/>
      <c r="G106" s="6">
        <f>SUM(E$9:$E106)-SUM(F$9:$F106)</f>
        <v>2160000</v>
      </c>
    </row>
    <row r="107" spans="1:7" ht="28.8" x14ac:dyDescent="0.55000000000000004">
      <c r="A107" s="12"/>
      <c r="B107" s="13"/>
      <c r="C107" s="10"/>
      <c r="D107" s="10"/>
      <c r="E107" s="7">
        <f>+$I$2+(SEINA[[#This Row],[QUANTITE]]*SEINA[[#This Row],[PRIX UNITAIRE]])</f>
        <v>0</v>
      </c>
      <c r="F107" s="14"/>
      <c r="G107" s="6">
        <f>SUM(E$9:$E107)-SUM(F$9:$F107)</f>
        <v>2160000</v>
      </c>
    </row>
    <row r="108" spans="1:7" ht="28.8" x14ac:dyDescent="0.55000000000000004">
      <c r="A108" s="12"/>
      <c r="B108" s="13"/>
      <c r="C108" s="10"/>
      <c r="D108" s="10"/>
      <c r="E108" s="7">
        <f>+$I$2+(SEINA[[#This Row],[QUANTITE]]*SEINA[[#This Row],[PRIX UNITAIRE]])</f>
        <v>0</v>
      </c>
      <c r="F108" s="14"/>
      <c r="G108" s="6">
        <f>SUM(E$9:$E108)-SUM(F$9:$F108)</f>
        <v>2160000</v>
      </c>
    </row>
    <row r="109" spans="1:7" ht="28.8" x14ac:dyDescent="0.55000000000000004">
      <c r="A109" s="12"/>
      <c r="B109" s="13"/>
      <c r="C109" s="10"/>
      <c r="D109" s="10"/>
      <c r="E109" s="7">
        <f>+$I$2+(SEINA[[#This Row],[QUANTITE]]*SEINA[[#This Row],[PRIX UNITAIRE]])</f>
        <v>0</v>
      </c>
      <c r="F109" s="14"/>
      <c r="G109" s="6">
        <f>SUM(E$9:$E109)-SUM(F$9:$F109)</f>
        <v>2160000</v>
      </c>
    </row>
    <row r="110" spans="1:7" ht="28.8" x14ac:dyDescent="0.55000000000000004">
      <c r="A110" s="12"/>
      <c r="B110" s="13"/>
      <c r="C110" s="10"/>
      <c r="D110" s="10"/>
      <c r="E110" s="7">
        <f>+$I$2+(SEINA[[#This Row],[QUANTITE]]*SEINA[[#This Row],[PRIX UNITAIRE]])</f>
        <v>0</v>
      </c>
      <c r="F110" s="14"/>
      <c r="G110" s="6">
        <f>SUM(E$9:$E110)-SUM(F$9:$F110)</f>
        <v>2160000</v>
      </c>
    </row>
    <row r="111" spans="1:7" ht="28.8" x14ac:dyDescent="0.55000000000000004">
      <c r="A111" s="12"/>
      <c r="B111" s="13"/>
      <c r="C111" s="10"/>
      <c r="D111" s="10"/>
      <c r="E111" s="7">
        <f>+$I$2+(SEINA[[#This Row],[QUANTITE]]*SEINA[[#This Row],[PRIX UNITAIRE]])</f>
        <v>0</v>
      </c>
      <c r="F111" s="14"/>
      <c r="G111" s="6">
        <f>SUM(E$9:$E111)-SUM(F$9:$F111)</f>
        <v>2160000</v>
      </c>
    </row>
    <row r="112" spans="1:7" ht="28.8" x14ac:dyDescent="0.55000000000000004">
      <c r="A112" s="12"/>
      <c r="B112" s="13"/>
      <c r="C112" s="10"/>
      <c r="D112" s="10"/>
      <c r="E112" s="7">
        <f>+$I$2+(SEINA[[#This Row],[QUANTITE]]*SEINA[[#This Row],[PRIX UNITAIRE]])</f>
        <v>0</v>
      </c>
      <c r="F112" s="14"/>
      <c r="G112" s="6">
        <f>SUM(E$9:$E112)-SUM(F$9:$F112)</f>
        <v>2160000</v>
      </c>
    </row>
  </sheetData>
  <sheetProtection selectLockedCells="1" autoFilter="0"/>
  <mergeCells count="1">
    <mergeCell ref="B6:C6"/>
  </mergeCells>
  <conditionalFormatting sqref="G4">
    <cfRule type="cellIs" dxfId="909" priority="2" operator="lessThan">
      <formula>0</formula>
    </cfRule>
    <cfRule type="cellIs" dxfId="908" priority="3" operator="greaterThan">
      <formula>0</formula>
    </cfRule>
  </conditionalFormatting>
  <conditionalFormatting sqref="B9:B112">
    <cfRule type="expression" dxfId="907" priority="5">
      <formula>$F9</formula>
    </cfRule>
  </conditionalFormatting>
  <dataValidations count="1">
    <dataValidation type="date" operator="greaterThan" allowBlank="1" showInputMessage="1" showErrorMessage="1" error="VEILLEZ ENTRER UNE DATE VALIDE" sqref="A9:A11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/>
  <dimension ref="A1:I278"/>
  <sheetViews>
    <sheetView showGridLines="0" zoomScale="60" zoomScaleNormal="60" workbookViewId="0">
      <pane ySplit="8" topLeftCell="A124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22.77734375" style="1" bestFit="1" customWidth="1"/>
    <col min="2" max="2" width="51.21875" style="1" customWidth="1"/>
    <col min="3" max="3" width="19.77734375" style="1" bestFit="1" customWidth="1"/>
    <col min="4" max="4" width="30.4414062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+SUM(SAMFO[TOTAL MONTANT])</f>
        <v>57593429</v>
      </c>
      <c r="F4" s="41">
        <f>+SUM(SAMFO[VERSEMENT])</f>
        <v>57590000</v>
      </c>
      <c r="G4" s="130">
        <f>+E4-F4</f>
        <v>3429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2742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45641</v>
      </c>
      <c r="B9" s="13" t="s">
        <v>1039</v>
      </c>
      <c r="C9" s="10">
        <v>1</v>
      </c>
      <c r="D9" s="10">
        <v>21202800</v>
      </c>
      <c r="E9" s="7">
        <f>+$I$2+(SAMFO[[#This Row],[QUANTITE]]*SAMFO[[#This Row],[PRIX UNITAIRE]])</f>
        <v>21202800</v>
      </c>
      <c r="F9" s="22"/>
      <c r="G9" s="6">
        <f>+SUM(E$9:$E9)-SUM(F$9:$F9)</f>
        <v>21202800</v>
      </c>
    </row>
    <row r="10" spans="1:9" ht="28.8" x14ac:dyDescent="0.55000000000000004">
      <c r="A10" s="12">
        <v>45644</v>
      </c>
      <c r="B10" s="13" t="s">
        <v>245</v>
      </c>
      <c r="C10" s="11">
        <v>2</v>
      </c>
      <c r="D10" s="11">
        <v>68000</v>
      </c>
      <c r="E10" s="7">
        <f>+$I$2+(SAMFO[[#This Row],[QUANTITE]]*SAMFO[[#This Row],[PRIX UNITAIRE]])</f>
        <v>136000</v>
      </c>
      <c r="F10" s="22"/>
      <c r="G10" s="8">
        <f>+SUM(E$9:$E10)-SUM(F$9:$F10)</f>
        <v>21338800</v>
      </c>
    </row>
    <row r="11" spans="1:9" ht="28.8" x14ac:dyDescent="0.55000000000000004">
      <c r="A11" s="12">
        <v>45649</v>
      </c>
      <c r="B11" s="13" t="s">
        <v>448</v>
      </c>
      <c r="C11" s="11">
        <v>4</v>
      </c>
      <c r="D11" s="11">
        <v>45000</v>
      </c>
      <c r="E11" s="7">
        <f>+$I$2+(SAMFO[[#This Row],[QUANTITE]]*SAMFO[[#This Row],[PRIX UNITAIRE]])</f>
        <v>180000</v>
      </c>
      <c r="F11" s="22"/>
      <c r="G11" s="8">
        <f>+SUM(E$9:$E11)-SUM(F$9:$F11)</f>
        <v>21518800</v>
      </c>
    </row>
    <row r="12" spans="1:9" ht="28.8" x14ac:dyDescent="0.55000000000000004">
      <c r="A12" s="12">
        <v>45654</v>
      </c>
      <c r="B12" s="13" t="s">
        <v>247</v>
      </c>
      <c r="C12" s="11"/>
      <c r="D12" s="11"/>
      <c r="E12" s="7">
        <f>+$I$2+(SAMFO[[#This Row],[QUANTITE]]*SAMFO[[#This Row],[PRIX UNITAIRE]])</f>
        <v>0</v>
      </c>
      <c r="F12" s="22">
        <v>1444000</v>
      </c>
      <c r="G12" s="8">
        <f>+SUM(E$9:$E12)-SUM(F$9:$F12)</f>
        <v>20074800</v>
      </c>
    </row>
    <row r="13" spans="1:9" ht="28.8" x14ac:dyDescent="0.55000000000000004">
      <c r="A13" s="12">
        <v>45661</v>
      </c>
      <c r="B13" s="13" t="s">
        <v>247</v>
      </c>
      <c r="C13" s="11"/>
      <c r="D13" s="11"/>
      <c r="E13" s="7">
        <f>+$I$2+(SAMFO[[#This Row],[QUANTITE]]*SAMFO[[#This Row],[PRIX UNITAIRE]])</f>
        <v>0</v>
      </c>
      <c r="F13" s="22">
        <v>619000</v>
      </c>
      <c r="G13" s="8">
        <f>+SUM(E$9:$E13)-SUM(F$9:$F13)</f>
        <v>19455800</v>
      </c>
    </row>
    <row r="14" spans="1:9" ht="28.8" x14ac:dyDescent="0.55000000000000004">
      <c r="A14" s="12">
        <v>45668</v>
      </c>
      <c r="B14" s="13" t="s">
        <v>247</v>
      </c>
      <c r="C14" s="11"/>
      <c r="D14" s="11"/>
      <c r="E14" s="7">
        <f>+$I$2+(SAMFO[[#This Row],[QUANTITE]]*SAMFO[[#This Row],[PRIX UNITAIRE]])</f>
        <v>0</v>
      </c>
      <c r="F14" s="22">
        <v>960000</v>
      </c>
      <c r="G14" s="8">
        <f>+SUM(E$9:$E14)-SUM(F$9:$F14)</f>
        <v>18495800</v>
      </c>
    </row>
    <row r="15" spans="1:9" ht="28.8" x14ac:dyDescent="0.55000000000000004">
      <c r="A15" s="12">
        <v>45670</v>
      </c>
      <c r="B15" s="13" t="s">
        <v>1040</v>
      </c>
      <c r="C15" s="11">
        <v>2</v>
      </c>
      <c r="D15" s="11">
        <v>105000</v>
      </c>
      <c r="E15" s="7">
        <f>+$I$2+(SAMFO[[#This Row],[QUANTITE]]*SAMFO[[#This Row],[PRIX UNITAIRE]])</f>
        <v>210000</v>
      </c>
      <c r="F15" s="22"/>
      <c r="G15" s="8">
        <f>+SUM(E$9:$E15)-SUM(F$9:$F15)</f>
        <v>18705800</v>
      </c>
    </row>
    <row r="16" spans="1:9" ht="28.8" x14ac:dyDescent="0.55000000000000004">
      <c r="A16" s="12">
        <v>45674</v>
      </c>
      <c r="B16" s="13" t="s">
        <v>247</v>
      </c>
      <c r="C16" s="11"/>
      <c r="D16" s="11"/>
      <c r="E16" s="7">
        <f>+$I$2+(SAMFO[[#This Row],[QUANTITE]]*SAMFO[[#This Row],[PRIX UNITAIRE]])</f>
        <v>0</v>
      </c>
      <c r="F16" s="22">
        <v>796000</v>
      </c>
      <c r="G16" s="8">
        <f>+SUM(E$9:$E16)-SUM(F$9:$F16)</f>
        <v>17909800</v>
      </c>
    </row>
    <row r="17" spans="1:7" ht="28.8" x14ac:dyDescent="0.55000000000000004">
      <c r="A17" s="12">
        <v>45678</v>
      </c>
      <c r="B17" s="13" t="s">
        <v>1041</v>
      </c>
      <c r="C17" s="11">
        <v>4</v>
      </c>
      <c r="D17" s="11">
        <v>35000</v>
      </c>
      <c r="E17" s="7">
        <f>+$I$2+(SAMFO[[#This Row],[QUANTITE]]*SAMFO[[#This Row],[PRIX UNITAIRE]])</f>
        <v>140000</v>
      </c>
      <c r="F17" s="22"/>
      <c r="G17" s="8">
        <f>+SUM(E$9:$E17)-SUM(F$9:$F17)</f>
        <v>18049800</v>
      </c>
    </row>
    <row r="18" spans="1:7" ht="28.8" x14ac:dyDescent="0.55000000000000004">
      <c r="A18" s="12">
        <v>45678</v>
      </c>
      <c r="B18" s="13" t="s">
        <v>245</v>
      </c>
      <c r="C18" s="10">
        <v>4</v>
      </c>
      <c r="D18" s="10">
        <v>70000</v>
      </c>
      <c r="E18" s="7">
        <f>+$I$2+(SAMFO[[#This Row],[QUANTITE]]*SAMFO[[#This Row],[PRIX UNITAIRE]])</f>
        <v>280000</v>
      </c>
      <c r="F18" s="22"/>
      <c r="G18" s="6">
        <f>+SUM(E$9:$E18)-SUM(F$9:$F18)</f>
        <v>18329800</v>
      </c>
    </row>
    <row r="19" spans="1:7" ht="28.8" x14ac:dyDescent="0.55000000000000004">
      <c r="A19" s="12">
        <v>45678</v>
      </c>
      <c r="B19" s="13" t="s">
        <v>1042</v>
      </c>
      <c r="C19" s="10">
        <v>2</v>
      </c>
      <c r="D19" s="10">
        <v>105000</v>
      </c>
      <c r="E19" s="7">
        <f>+$I$2+(SAMFO[[#This Row],[QUANTITE]]*SAMFO[[#This Row],[PRIX UNITAIRE]])</f>
        <v>210000</v>
      </c>
      <c r="F19" s="22"/>
      <c r="G19" s="6">
        <f>+SUM(E$9:$E19)-SUM(F$9:$F19)</f>
        <v>18539800</v>
      </c>
    </row>
    <row r="20" spans="1:7" ht="28.8" x14ac:dyDescent="0.55000000000000004">
      <c r="A20" s="12">
        <v>45678</v>
      </c>
      <c r="B20" s="13" t="s">
        <v>1043</v>
      </c>
      <c r="C20" s="10">
        <v>2</v>
      </c>
      <c r="D20" s="10">
        <v>40000</v>
      </c>
      <c r="E20" s="7">
        <f>+$I$2+(SAMFO[[#This Row],[QUANTITE]]*SAMFO[[#This Row],[PRIX UNITAIRE]])</f>
        <v>80000</v>
      </c>
      <c r="F20" s="22"/>
      <c r="G20" s="6">
        <f>+SUM(E$9:$E20)-SUM(F$9:$F20)</f>
        <v>18619800</v>
      </c>
    </row>
    <row r="21" spans="1:7" ht="28.8" x14ac:dyDescent="0.55000000000000004">
      <c r="A21" s="12">
        <v>45678</v>
      </c>
      <c r="B21" s="13" t="s">
        <v>1044</v>
      </c>
      <c r="C21" s="10">
        <v>2</v>
      </c>
      <c r="D21" s="10">
        <v>135000</v>
      </c>
      <c r="E21" s="7">
        <f>+$I$2+(SAMFO[[#This Row],[QUANTITE]]*SAMFO[[#This Row],[PRIX UNITAIRE]])</f>
        <v>270000</v>
      </c>
      <c r="F21" s="22"/>
      <c r="G21" s="6">
        <f>+SUM(E$9:$E21)-SUM(F$9:$F21)</f>
        <v>18889800</v>
      </c>
    </row>
    <row r="22" spans="1:7" ht="28.8" x14ac:dyDescent="0.55000000000000004">
      <c r="A22" s="12">
        <v>45682</v>
      </c>
      <c r="B22" s="13" t="s">
        <v>247</v>
      </c>
      <c r="C22" s="10"/>
      <c r="D22" s="10"/>
      <c r="E22" s="7">
        <f>+$I$2+(SAMFO[[#This Row],[QUANTITE]]*SAMFO[[#This Row],[PRIX UNITAIRE]])</f>
        <v>0</v>
      </c>
      <c r="F22" s="22">
        <v>806000</v>
      </c>
      <c r="G22" s="6">
        <f>+SUM(E$9:$E22)-SUM(F$9:$F22)</f>
        <v>18083800</v>
      </c>
    </row>
    <row r="23" spans="1:7" ht="28.8" x14ac:dyDescent="0.55000000000000004">
      <c r="A23" s="12">
        <v>45684</v>
      </c>
      <c r="B23" s="13" t="s">
        <v>1045</v>
      </c>
      <c r="C23" s="10">
        <v>5</v>
      </c>
      <c r="D23" s="10">
        <v>60000</v>
      </c>
      <c r="E23" s="7">
        <f>+$I$2+(SAMFO[[#This Row],[QUANTITE]]*SAMFO[[#This Row],[PRIX UNITAIRE]])</f>
        <v>300000</v>
      </c>
      <c r="F23" s="22"/>
      <c r="G23" s="6">
        <f>+SUM(E$9:$E23)-SUM(F$9:$F23)</f>
        <v>18383800</v>
      </c>
    </row>
    <row r="24" spans="1:7" ht="28.8" x14ac:dyDescent="0.55000000000000004">
      <c r="A24" s="12">
        <v>45684</v>
      </c>
      <c r="B24" s="13" t="s">
        <v>1046</v>
      </c>
      <c r="C24" s="10">
        <v>1</v>
      </c>
      <c r="D24" s="10">
        <v>65000</v>
      </c>
      <c r="E24" s="7">
        <f>+$I$2+(SAMFO[[#This Row],[QUANTITE]]*SAMFO[[#This Row],[PRIX UNITAIRE]])</f>
        <v>65000</v>
      </c>
      <c r="F24" s="22"/>
      <c r="G24" s="6">
        <f>+SUM(E$9:$E24)-SUM(F$9:$F24)</f>
        <v>18448800</v>
      </c>
    </row>
    <row r="25" spans="1:7" ht="28.8" x14ac:dyDescent="0.55000000000000004">
      <c r="A25" s="12">
        <v>45684</v>
      </c>
      <c r="B25" s="13" t="s">
        <v>1047</v>
      </c>
      <c r="C25" s="10">
        <v>5</v>
      </c>
      <c r="D25" s="10">
        <v>43000</v>
      </c>
      <c r="E25" s="7">
        <f>+$I$2+(SAMFO[[#This Row],[QUANTITE]]*SAMFO[[#This Row],[PRIX UNITAIRE]])</f>
        <v>215000</v>
      </c>
      <c r="F25" s="22"/>
      <c r="G25" s="6">
        <f>+SUM(E$9:$E25)-SUM(F$9:$F25)</f>
        <v>18663800</v>
      </c>
    </row>
    <row r="26" spans="1:7" ht="28.8" x14ac:dyDescent="0.55000000000000004">
      <c r="A26" s="12">
        <v>45685</v>
      </c>
      <c r="B26" s="13" t="s">
        <v>1048</v>
      </c>
      <c r="C26" s="10">
        <v>5</v>
      </c>
      <c r="D26" s="10">
        <v>60000</v>
      </c>
      <c r="E26" s="7">
        <f>+$I$2+(SAMFO[[#This Row],[QUANTITE]]*SAMFO[[#This Row],[PRIX UNITAIRE]])</f>
        <v>300000</v>
      </c>
      <c r="F26" s="22"/>
      <c r="G26" s="6">
        <f>+SUM(E$9:$E26)-SUM(F$9:$F26)</f>
        <v>18963800</v>
      </c>
    </row>
    <row r="27" spans="1:7" ht="28.8" x14ac:dyDescent="0.55000000000000004">
      <c r="A27" s="12">
        <v>45685</v>
      </c>
      <c r="B27" s="13" t="s">
        <v>1049</v>
      </c>
      <c r="C27" s="10">
        <v>7</v>
      </c>
      <c r="D27" s="10">
        <v>55000</v>
      </c>
      <c r="E27" s="7">
        <f>+$I$2+(SAMFO[[#This Row],[QUANTITE]]*SAMFO[[#This Row],[PRIX UNITAIRE]])</f>
        <v>385000</v>
      </c>
      <c r="F27" s="22"/>
      <c r="G27" s="6">
        <f>+SUM(E$9:$E27)-SUM(F$9:$F27)</f>
        <v>19348800</v>
      </c>
    </row>
    <row r="28" spans="1:7" ht="28.8" x14ac:dyDescent="0.55000000000000004">
      <c r="A28" s="12">
        <v>45685</v>
      </c>
      <c r="B28" s="13" t="s">
        <v>1050</v>
      </c>
      <c r="C28" s="10">
        <v>2</v>
      </c>
      <c r="D28" s="10">
        <v>60000</v>
      </c>
      <c r="E28" s="7">
        <f>+$I$2+(SAMFO[[#This Row],[QUANTITE]]*SAMFO[[#This Row],[PRIX UNITAIRE]])</f>
        <v>120000</v>
      </c>
      <c r="F28" s="22"/>
      <c r="G28" s="6">
        <f>+SUM(E$9:$E28)-SUM(F$9:$F28)</f>
        <v>19468800</v>
      </c>
    </row>
    <row r="29" spans="1:7" ht="28.8" x14ac:dyDescent="0.55000000000000004">
      <c r="A29" s="12">
        <v>45685</v>
      </c>
      <c r="B29" s="13" t="s">
        <v>1051</v>
      </c>
      <c r="C29" s="10">
        <v>1</v>
      </c>
      <c r="D29" s="10">
        <v>55000</v>
      </c>
      <c r="E29" s="7">
        <f>+$I$2+(SAMFO[[#This Row],[QUANTITE]]*SAMFO[[#This Row],[PRIX UNITAIRE]])</f>
        <v>55000</v>
      </c>
      <c r="F29" s="22"/>
      <c r="G29" s="6">
        <f>+SUM(E$9:$E29)-SUM(F$9:$F29)</f>
        <v>19523800</v>
      </c>
    </row>
    <row r="30" spans="1:7" ht="28.8" x14ac:dyDescent="0.55000000000000004">
      <c r="A30" s="12">
        <v>45685</v>
      </c>
      <c r="B30" s="13" t="s">
        <v>827</v>
      </c>
      <c r="C30" s="10">
        <v>1</v>
      </c>
      <c r="D30" s="10">
        <v>90000</v>
      </c>
      <c r="E30" s="7">
        <f>+$I$2+(SAMFO[[#This Row],[QUANTITE]]*SAMFO[[#This Row],[PRIX UNITAIRE]])</f>
        <v>90000</v>
      </c>
      <c r="F30" s="22"/>
      <c r="G30" s="6">
        <f>+SUM(E$9:$E30)-SUM(F$9:$F30)</f>
        <v>19613800</v>
      </c>
    </row>
    <row r="31" spans="1:7" ht="28.8" x14ac:dyDescent="0.55000000000000004">
      <c r="A31" s="12">
        <v>45686</v>
      </c>
      <c r="B31" s="13" t="s">
        <v>1052</v>
      </c>
      <c r="C31" s="10">
        <v>1</v>
      </c>
      <c r="D31" s="10">
        <v>300000</v>
      </c>
      <c r="E31" s="7">
        <f>+$I$2+(SAMFO[[#This Row],[QUANTITE]]*SAMFO[[#This Row],[PRIX UNITAIRE]])</f>
        <v>300000</v>
      </c>
      <c r="F31" s="22"/>
      <c r="G31" s="6">
        <f>+SUM(E$9:$E31)-SUM(F$9:$F31)</f>
        <v>19913800</v>
      </c>
    </row>
    <row r="32" spans="1:7" ht="28.8" x14ac:dyDescent="0.55000000000000004">
      <c r="A32" s="12">
        <v>45686</v>
      </c>
      <c r="B32" s="13" t="s">
        <v>1053</v>
      </c>
      <c r="C32" s="10">
        <v>1</v>
      </c>
      <c r="D32" s="10">
        <v>360000</v>
      </c>
      <c r="E32" s="7">
        <f>+$I$2+(SAMFO[[#This Row],[QUANTITE]]*SAMFO[[#This Row],[PRIX UNITAIRE]])</f>
        <v>360000</v>
      </c>
      <c r="F32" s="22"/>
      <c r="G32" s="6">
        <f>+SUM(E$9:$E32)-SUM(F$9:$F32)</f>
        <v>20273800</v>
      </c>
    </row>
    <row r="33" spans="1:7" ht="28.8" x14ac:dyDescent="0.55000000000000004">
      <c r="A33" s="12">
        <v>45689</v>
      </c>
      <c r="B33" s="13" t="s">
        <v>247</v>
      </c>
      <c r="C33" s="10"/>
      <c r="D33" s="10"/>
      <c r="E33" s="7">
        <f>+$I$2+(SAMFO[[#This Row],[QUANTITE]]*SAMFO[[#This Row],[PRIX UNITAIRE]])</f>
        <v>0</v>
      </c>
      <c r="F33" s="22">
        <v>2100000</v>
      </c>
      <c r="G33" s="6">
        <f>+SUM(E$9:$E33)-SUM(F$9:$F33)</f>
        <v>18173800</v>
      </c>
    </row>
    <row r="34" spans="1:7" ht="28.8" x14ac:dyDescent="0.55000000000000004">
      <c r="A34" s="12">
        <v>45691</v>
      </c>
      <c r="B34" s="13" t="s">
        <v>1054</v>
      </c>
      <c r="C34" s="10">
        <v>4</v>
      </c>
      <c r="D34" s="10">
        <v>45000</v>
      </c>
      <c r="E34" s="7">
        <f>+$I$2+(SAMFO[[#This Row],[QUANTITE]]*SAMFO[[#This Row],[PRIX UNITAIRE]])</f>
        <v>180000</v>
      </c>
      <c r="F34" s="22"/>
      <c r="G34" s="6">
        <f>+SUM(E$9:$E34)-SUM(F$9:$F34)</f>
        <v>18353800</v>
      </c>
    </row>
    <row r="35" spans="1:7" ht="28.8" x14ac:dyDescent="0.55000000000000004">
      <c r="A35" s="12">
        <v>45691</v>
      </c>
      <c r="B35" s="13" t="s">
        <v>1055</v>
      </c>
      <c r="C35" s="10">
        <v>2</v>
      </c>
      <c r="D35" s="10">
        <v>50000</v>
      </c>
      <c r="E35" s="7">
        <f>+$I$2+(SAMFO[[#This Row],[QUANTITE]]*SAMFO[[#This Row],[PRIX UNITAIRE]])</f>
        <v>100000</v>
      </c>
      <c r="F35" s="22"/>
      <c r="G35" s="6">
        <f>+SUM(E$9:$E35)-SUM(F$9:$F35)</f>
        <v>18453800</v>
      </c>
    </row>
    <row r="36" spans="1:7" ht="28.8" x14ac:dyDescent="0.55000000000000004">
      <c r="A36" s="12">
        <v>45691</v>
      </c>
      <c r="B36" s="13" t="s">
        <v>1056</v>
      </c>
      <c r="C36" s="10">
        <v>4</v>
      </c>
      <c r="D36" s="10">
        <v>40000</v>
      </c>
      <c r="E36" s="7">
        <f>+$I$2+(SAMFO[[#This Row],[QUANTITE]]*SAMFO[[#This Row],[PRIX UNITAIRE]])</f>
        <v>160000</v>
      </c>
      <c r="F36" s="22"/>
      <c r="G36" s="6">
        <f>+SUM(E$9:$E36)-SUM(F$9:$F36)</f>
        <v>18613800</v>
      </c>
    </row>
    <row r="37" spans="1:7" ht="28.8" x14ac:dyDescent="0.55000000000000004">
      <c r="A37" s="12">
        <v>45691</v>
      </c>
      <c r="B37" s="13" t="s">
        <v>742</v>
      </c>
      <c r="C37" s="10">
        <v>5</v>
      </c>
      <c r="D37" s="10">
        <v>25000</v>
      </c>
      <c r="E37" s="7">
        <f>+$I$2+(SAMFO[[#This Row],[QUANTITE]]*SAMFO[[#This Row],[PRIX UNITAIRE]])</f>
        <v>125000</v>
      </c>
      <c r="F37" s="22"/>
      <c r="G37" s="6">
        <f>+SUM(E$9:$E37)-SUM(F$9:$F37)</f>
        <v>18738800</v>
      </c>
    </row>
    <row r="38" spans="1:7" ht="28.8" x14ac:dyDescent="0.55000000000000004">
      <c r="A38" s="12">
        <v>45691</v>
      </c>
      <c r="B38" s="13" t="s">
        <v>1057</v>
      </c>
      <c r="C38" s="10">
        <v>2</v>
      </c>
      <c r="D38" s="10">
        <v>45000</v>
      </c>
      <c r="E38" s="7">
        <f>+$I$2+(SAMFO[[#This Row],[QUANTITE]]*SAMFO[[#This Row],[PRIX UNITAIRE]])</f>
        <v>90000</v>
      </c>
      <c r="F38" s="22"/>
      <c r="G38" s="6">
        <f>+SUM(E$9:$E38)-SUM(F$9:$F38)</f>
        <v>18828800</v>
      </c>
    </row>
    <row r="39" spans="1:7" ht="28.8" x14ac:dyDescent="0.55000000000000004">
      <c r="A39" s="12">
        <v>45691</v>
      </c>
      <c r="B39" s="13" t="s">
        <v>1042</v>
      </c>
      <c r="C39" s="10">
        <v>2</v>
      </c>
      <c r="D39" s="10">
        <v>105000</v>
      </c>
      <c r="E39" s="7">
        <f>+$I$2+(SAMFO[[#This Row],[QUANTITE]]*SAMFO[[#This Row],[PRIX UNITAIRE]])</f>
        <v>210000</v>
      </c>
      <c r="F39" s="22"/>
      <c r="G39" s="6">
        <f>+SUM(E$9:$E39)-SUM(F$9:$F39)</f>
        <v>19038800</v>
      </c>
    </row>
    <row r="40" spans="1:7" ht="28.8" x14ac:dyDescent="0.55000000000000004">
      <c r="A40" s="12">
        <v>45692</v>
      </c>
      <c r="B40" s="13" t="s">
        <v>320</v>
      </c>
      <c r="C40" s="10">
        <v>4</v>
      </c>
      <c r="D40" s="10">
        <v>135000</v>
      </c>
      <c r="E40" s="7">
        <f>+$I$2+(SAMFO[[#This Row],[QUANTITE]]*SAMFO[[#This Row],[PRIX UNITAIRE]])</f>
        <v>540000</v>
      </c>
      <c r="F40" s="22"/>
      <c r="G40" s="6">
        <f>+SUM(E$9:$E40)-SUM(F$9:$F40)</f>
        <v>19578800</v>
      </c>
    </row>
    <row r="41" spans="1:7" ht="28.8" x14ac:dyDescent="0.55000000000000004">
      <c r="A41" s="12">
        <v>45695</v>
      </c>
      <c r="B41" s="13" t="s">
        <v>1055</v>
      </c>
      <c r="C41" s="10">
        <v>2</v>
      </c>
      <c r="D41" s="10">
        <v>50000</v>
      </c>
      <c r="E41" s="7">
        <f>+$I$2+(SAMFO[[#This Row],[QUANTITE]]*SAMFO[[#This Row],[PRIX UNITAIRE]])</f>
        <v>100000</v>
      </c>
      <c r="F41" s="22"/>
      <c r="G41" s="6">
        <f>+SUM(E$9:$E41)-SUM(F$9:$F41)</f>
        <v>19678800</v>
      </c>
    </row>
    <row r="42" spans="1:7" ht="28.8" x14ac:dyDescent="0.55000000000000004">
      <c r="A42" s="12">
        <v>45696</v>
      </c>
      <c r="B42" s="13" t="s">
        <v>247</v>
      </c>
      <c r="C42" s="10"/>
      <c r="D42" s="10"/>
      <c r="E42" s="7">
        <f>+$I$2+(SAMFO[[#This Row],[QUANTITE]]*SAMFO[[#This Row],[PRIX UNITAIRE]])</f>
        <v>0</v>
      </c>
      <c r="F42" s="22">
        <v>1188000</v>
      </c>
      <c r="G42" s="6">
        <f>+SUM(E$9:$E42)-SUM(F$9:$F42)</f>
        <v>18490800</v>
      </c>
    </row>
    <row r="43" spans="1:7" ht="28.8" x14ac:dyDescent="0.55000000000000004">
      <c r="A43" s="12">
        <v>45701</v>
      </c>
      <c r="B43" s="13" t="s">
        <v>1042</v>
      </c>
      <c r="C43" s="10">
        <v>4</v>
      </c>
      <c r="D43" s="10">
        <v>105000</v>
      </c>
      <c r="E43" s="7">
        <f>+$I$2+(SAMFO[[#This Row],[QUANTITE]]*SAMFO[[#This Row],[PRIX UNITAIRE]])</f>
        <v>420000</v>
      </c>
      <c r="F43" s="22"/>
      <c r="G43" s="6">
        <f>+SUM(E$9:$E43)-SUM(F$9:$F43)</f>
        <v>18910800</v>
      </c>
    </row>
    <row r="44" spans="1:7" ht="28.8" x14ac:dyDescent="0.55000000000000004">
      <c r="A44" s="12">
        <v>45701</v>
      </c>
      <c r="B44" s="13" t="s">
        <v>1058</v>
      </c>
      <c r="C44" s="10">
        <v>4</v>
      </c>
      <c r="D44" s="10">
        <v>135000</v>
      </c>
      <c r="E44" s="7">
        <f>+$I$2+(SAMFO[[#This Row],[QUANTITE]]*SAMFO[[#This Row],[PRIX UNITAIRE]])</f>
        <v>540000</v>
      </c>
      <c r="F44" s="22"/>
      <c r="G44" s="6">
        <f>+SUM(E$9:$E44)-SUM(F$9:$F44)</f>
        <v>19450800</v>
      </c>
    </row>
    <row r="45" spans="1:7" ht="28.8" x14ac:dyDescent="0.55000000000000004">
      <c r="A45" s="12">
        <v>45701</v>
      </c>
      <c r="B45" s="13" t="s">
        <v>1059</v>
      </c>
      <c r="C45" s="10">
        <v>10</v>
      </c>
      <c r="D45" s="10">
        <v>24000</v>
      </c>
      <c r="E45" s="7">
        <f>+$I$2+(SAMFO[[#This Row],[QUANTITE]]*SAMFO[[#This Row],[PRIX UNITAIRE]])</f>
        <v>240000</v>
      </c>
      <c r="F45" s="22"/>
      <c r="G45" s="6">
        <f>+SUM(E$9:$E45)-SUM(F$9:$F45)</f>
        <v>19690800</v>
      </c>
    </row>
    <row r="46" spans="1:7" ht="28.8" x14ac:dyDescent="0.55000000000000004">
      <c r="A46" s="12">
        <v>45701</v>
      </c>
      <c r="B46" s="13" t="s">
        <v>1060</v>
      </c>
      <c r="C46" s="10">
        <v>2</v>
      </c>
      <c r="D46" s="10">
        <v>40000</v>
      </c>
      <c r="E46" s="7">
        <f>+$I$2+(SAMFO[[#This Row],[QUANTITE]]*SAMFO[[#This Row],[PRIX UNITAIRE]])</f>
        <v>80000</v>
      </c>
      <c r="F46" s="22"/>
      <c r="G46" s="6">
        <f>+SUM(E$9:$E46)-SUM(F$9:$F46)</f>
        <v>19770800</v>
      </c>
    </row>
    <row r="47" spans="1:7" ht="28.8" x14ac:dyDescent="0.55000000000000004">
      <c r="A47" s="12">
        <v>45702</v>
      </c>
      <c r="B47" s="13" t="s">
        <v>247</v>
      </c>
      <c r="C47" s="10"/>
      <c r="D47" s="10"/>
      <c r="E47" s="7">
        <f>+$I$2+(SAMFO[[#This Row],[QUANTITE]]*SAMFO[[#This Row],[PRIX UNITAIRE]])</f>
        <v>0</v>
      </c>
      <c r="F47" s="22">
        <v>2443000</v>
      </c>
      <c r="G47" s="6">
        <f>+SUM(E$9:$E47)-SUM(F$9:$F47)</f>
        <v>17327800</v>
      </c>
    </row>
    <row r="48" spans="1:7" ht="28.8" x14ac:dyDescent="0.55000000000000004">
      <c r="A48" s="12">
        <v>45702</v>
      </c>
      <c r="B48" s="13" t="s">
        <v>1042</v>
      </c>
      <c r="C48" s="10">
        <v>3</v>
      </c>
      <c r="D48" s="10">
        <v>105000</v>
      </c>
      <c r="E48" s="7">
        <f>+$I$2+(SAMFO[[#This Row],[QUANTITE]]*SAMFO[[#This Row],[PRIX UNITAIRE]])</f>
        <v>315000</v>
      </c>
      <c r="F48" s="22"/>
      <c r="G48" s="6">
        <f>+SUM(E$9:$E48)-SUM(F$9:$F48)</f>
        <v>17642800</v>
      </c>
    </row>
    <row r="49" spans="1:7" ht="28.8" x14ac:dyDescent="0.55000000000000004">
      <c r="A49" s="12">
        <v>45702</v>
      </c>
      <c r="B49" s="13" t="s">
        <v>1042</v>
      </c>
      <c r="C49" s="10">
        <v>4</v>
      </c>
      <c r="D49" s="10">
        <v>105000</v>
      </c>
      <c r="E49" s="7">
        <f>+$I$2+(SAMFO[[#This Row],[QUANTITE]]*SAMFO[[#This Row],[PRIX UNITAIRE]])</f>
        <v>420000</v>
      </c>
      <c r="F49" s="22"/>
      <c r="G49" s="6">
        <f>+SUM(E$9:$E49)-SUM(F$9:$F49)</f>
        <v>18062800</v>
      </c>
    </row>
    <row r="50" spans="1:7" ht="28.8" x14ac:dyDescent="0.55000000000000004">
      <c r="A50" s="12">
        <v>45707</v>
      </c>
      <c r="B50" s="13" t="s">
        <v>1061</v>
      </c>
      <c r="C50" s="10">
        <v>4</v>
      </c>
      <c r="D50" s="10">
        <v>62000</v>
      </c>
      <c r="E50" s="7">
        <f>+$I$2+(SAMFO[[#This Row],[QUANTITE]]*SAMFO[[#This Row],[PRIX UNITAIRE]])</f>
        <v>248000</v>
      </c>
      <c r="F50" s="22"/>
      <c r="G50" s="6">
        <f>+SUM(E$9:$E50)-SUM(F$9:$F50)</f>
        <v>18310800</v>
      </c>
    </row>
    <row r="51" spans="1:7" ht="28.8" x14ac:dyDescent="0.55000000000000004">
      <c r="A51" s="12">
        <v>45708</v>
      </c>
      <c r="B51" s="13" t="s">
        <v>1062</v>
      </c>
      <c r="C51" s="10">
        <v>2</v>
      </c>
      <c r="D51" s="10">
        <v>45000</v>
      </c>
      <c r="E51" s="7">
        <f>+$I$2+(SAMFO[[#This Row],[QUANTITE]]*SAMFO[[#This Row],[PRIX UNITAIRE]])</f>
        <v>90000</v>
      </c>
      <c r="F51" s="22"/>
      <c r="G51" s="6">
        <f>+SUM(E$9:$E51)-SUM(F$9:$F51)</f>
        <v>18400800</v>
      </c>
    </row>
    <row r="52" spans="1:7" ht="28.8" x14ac:dyDescent="0.55000000000000004">
      <c r="A52" s="12">
        <v>45710</v>
      </c>
      <c r="B52" s="13" t="s">
        <v>247</v>
      </c>
      <c r="C52" s="10"/>
      <c r="D52" s="10"/>
      <c r="E52" s="7">
        <f>+$I$2+(SAMFO[[#This Row],[QUANTITE]]*SAMFO[[#This Row],[PRIX UNITAIRE]])</f>
        <v>0</v>
      </c>
      <c r="F52" s="22">
        <v>1811000</v>
      </c>
      <c r="G52" s="6">
        <f>+SUM(E$9:$E52)-SUM(F$9:$F52)</f>
        <v>16589800</v>
      </c>
    </row>
    <row r="53" spans="1:7" ht="28.8" x14ac:dyDescent="0.55000000000000004">
      <c r="A53" s="12">
        <v>45712</v>
      </c>
      <c r="B53" s="13" t="s">
        <v>245</v>
      </c>
      <c r="C53" s="10">
        <v>3</v>
      </c>
      <c r="D53" s="10">
        <v>68000</v>
      </c>
      <c r="E53" s="7">
        <f>+$I$2+(SAMFO[[#This Row],[QUANTITE]]*SAMFO[[#This Row],[PRIX UNITAIRE]])</f>
        <v>204000</v>
      </c>
      <c r="F53" s="22"/>
      <c r="G53" s="6">
        <f>+SUM(E$9:$E53)-SUM(F$9:$F53)</f>
        <v>16793800</v>
      </c>
    </row>
    <row r="54" spans="1:7" ht="28.8" x14ac:dyDescent="0.55000000000000004">
      <c r="A54" s="12">
        <v>45717</v>
      </c>
      <c r="B54" s="13" t="s">
        <v>247</v>
      </c>
      <c r="C54" s="10"/>
      <c r="D54" s="10"/>
      <c r="E54" s="7">
        <f>+$I$2+(SAMFO[[#This Row],[QUANTITE]]*SAMFO[[#This Row],[PRIX UNITAIRE]])</f>
        <v>0</v>
      </c>
      <c r="F54" s="22">
        <v>1032000</v>
      </c>
      <c r="G54" s="6">
        <f>+SUM(E$9:$E54)-SUM(F$9:$F54)</f>
        <v>15761800</v>
      </c>
    </row>
    <row r="55" spans="1:7" ht="28.8" x14ac:dyDescent="0.55000000000000004">
      <c r="A55" s="12">
        <v>45717</v>
      </c>
      <c r="B55" s="13" t="s">
        <v>1063</v>
      </c>
      <c r="C55" s="10">
        <v>1</v>
      </c>
      <c r="D55" s="10">
        <v>330000</v>
      </c>
      <c r="E55" s="7">
        <f>+$I$2+(SAMFO[[#This Row],[QUANTITE]]*SAMFO[[#This Row],[PRIX UNITAIRE]])</f>
        <v>330000</v>
      </c>
      <c r="F55" s="22"/>
      <c r="G55" s="6">
        <f>+SUM(E$9:$E55)-SUM(F$9:$F55)</f>
        <v>16091800</v>
      </c>
    </row>
    <row r="56" spans="1:7" ht="28.8" x14ac:dyDescent="0.55000000000000004">
      <c r="A56" s="12">
        <v>45722</v>
      </c>
      <c r="B56" s="13" t="s">
        <v>1064</v>
      </c>
      <c r="C56" s="10">
        <v>4</v>
      </c>
      <c r="D56" s="10">
        <v>40000</v>
      </c>
      <c r="E56" s="7">
        <f>+$I$2+(SAMFO[[#This Row],[QUANTITE]]*SAMFO[[#This Row],[PRIX UNITAIRE]])</f>
        <v>160000</v>
      </c>
      <c r="F56" s="22"/>
      <c r="G56" s="6">
        <f>+SUM(E$9:$E56)-SUM(F$9:$F56)</f>
        <v>16251800</v>
      </c>
    </row>
    <row r="57" spans="1:7" ht="28.8" x14ac:dyDescent="0.55000000000000004">
      <c r="A57" s="12">
        <v>45722</v>
      </c>
      <c r="B57" s="13" t="s">
        <v>1065</v>
      </c>
      <c r="C57" s="10">
        <v>4</v>
      </c>
      <c r="D57" s="10">
        <v>32500</v>
      </c>
      <c r="E57" s="7">
        <f>+$I$2+(SAMFO[[#This Row],[QUANTITE]]*SAMFO[[#This Row],[PRIX UNITAIRE]])</f>
        <v>130000</v>
      </c>
      <c r="F57" s="22"/>
      <c r="G57" s="6">
        <f>+SUM(E$9:$E57)-SUM(F$9:$F57)</f>
        <v>16381800</v>
      </c>
    </row>
    <row r="58" spans="1:7" ht="28.8" x14ac:dyDescent="0.55000000000000004">
      <c r="A58" s="12">
        <v>45722</v>
      </c>
      <c r="B58" s="13" t="s">
        <v>1066</v>
      </c>
      <c r="C58" s="10">
        <v>4</v>
      </c>
      <c r="D58" s="10">
        <v>80000</v>
      </c>
      <c r="E58" s="7">
        <f>+$I$2+(SAMFO[[#This Row],[QUANTITE]]*SAMFO[[#This Row],[PRIX UNITAIRE]])</f>
        <v>320000</v>
      </c>
      <c r="F58" s="22"/>
      <c r="G58" s="6">
        <f>+SUM(E$9:$E58)-SUM(F$9:$F58)</f>
        <v>16701800</v>
      </c>
    </row>
    <row r="59" spans="1:7" ht="28.8" x14ac:dyDescent="0.55000000000000004">
      <c r="A59" s="12">
        <v>45724</v>
      </c>
      <c r="B59" s="13" t="s">
        <v>247</v>
      </c>
      <c r="C59" s="10"/>
      <c r="D59" s="10"/>
      <c r="E59" s="7">
        <f>+$I$2+(SAMFO[[#This Row],[QUANTITE]]*SAMFO[[#This Row],[PRIX UNITAIRE]])</f>
        <v>0</v>
      </c>
      <c r="F59" s="22">
        <v>1525000</v>
      </c>
      <c r="G59" s="6">
        <f>+SUM(E$9:$E59)-SUM(F$9:$F59)</f>
        <v>15176800</v>
      </c>
    </row>
    <row r="60" spans="1:7" ht="28.8" x14ac:dyDescent="0.55000000000000004">
      <c r="A60" s="12">
        <v>45724</v>
      </c>
      <c r="B60" s="13" t="s">
        <v>1067</v>
      </c>
      <c r="C60" s="10">
        <v>4</v>
      </c>
      <c r="D60" s="10">
        <v>32500</v>
      </c>
      <c r="E60" s="7">
        <f>+$I$2+(SAMFO[[#This Row],[QUANTITE]]*SAMFO[[#This Row],[PRIX UNITAIRE]])</f>
        <v>130000</v>
      </c>
      <c r="F60" s="22"/>
      <c r="G60" s="6">
        <f>+SUM(E$9:$E60)-SUM(F$9:$F60)</f>
        <v>15306800</v>
      </c>
    </row>
    <row r="61" spans="1:7" ht="28.8" x14ac:dyDescent="0.55000000000000004">
      <c r="A61" s="12">
        <v>45724</v>
      </c>
      <c r="B61" s="13" t="s">
        <v>1068</v>
      </c>
      <c r="C61" s="10">
        <v>2</v>
      </c>
      <c r="D61" s="10">
        <v>40000</v>
      </c>
      <c r="E61" s="7">
        <f>+$I$2+(SAMFO[[#This Row],[QUANTITE]]*SAMFO[[#This Row],[PRIX UNITAIRE]])</f>
        <v>80000</v>
      </c>
      <c r="F61" s="22"/>
      <c r="G61" s="6">
        <f>+SUM(E$9:$E61)-SUM(F$9:$F61)</f>
        <v>15386800</v>
      </c>
    </row>
    <row r="62" spans="1:7" ht="28.8" x14ac:dyDescent="0.55000000000000004">
      <c r="A62" s="12">
        <v>45727</v>
      </c>
      <c r="B62" s="13" t="s">
        <v>247</v>
      </c>
      <c r="C62" s="10"/>
      <c r="D62" s="10"/>
      <c r="E62" s="7">
        <f>+$I$2+(SAMFO[[#This Row],[QUANTITE]]*SAMFO[[#This Row],[PRIX UNITAIRE]])</f>
        <v>0</v>
      </c>
      <c r="F62" s="22">
        <v>320000</v>
      </c>
      <c r="G62" s="6">
        <f>+SUM(E$9:$E62)-SUM(F$9:$F62)</f>
        <v>15066800</v>
      </c>
    </row>
    <row r="63" spans="1:7" ht="28.8" x14ac:dyDescent="0.55000000000000004">
      <c r="A63" s="12">
        <v>45727</v>
      </c>
      <c r="B63" s="13" t="s">
        <v>1065</v>
      </c>
      <c r="C63" s="10">
        <v>2</v>
      </c>
      <c r="D63" s="10">
        <v>32500</v>
      </c>
      <c r="E63" s="7">
        <f>+$I$2+(SAMFO[[#This Row],[QUANTITE]]*SAMFO[[#This Row],[PRIX UNITAIRE]])</f>
        <v>65000</v>
      </c>
      <c r="F63" s="22"/>
      <c r="G63" s="6">
        <f>+SUM(E$9:$E63)-SUM(F$9:$F63)</f>
        <v>15131800</v>
      </c>
    </row>
    <row r="64" spans="1:7" ht="28.8" x14ac:dyDescent="0.55000000000000004">
      <c r="A64" s="12">
        <v>45731</v>
      </c>
      <c r="B64" s="13" t="s">
        <v>247</v>
      </c>
      <c r="C64" s="10"/>
      <c r="D64" s="10"/>
      <c r="E64" s="7">
        <f>+$I$2+(SAMFO[[#This Row],[QUANTITE]]*SAMFO[[#This Row],[PRIX UNITAIRE]])</f>
        <v>0</v>
      </c>
      <c r="F64" s="22">
        <v>172000</v>
      </c>
      <c r="G64" s="6">
        <f>+SUM(E$9:$E64)-SUM(F$9:$F64)</f>
        <v>14959800</v>
      </c>
    </row>
    <row r="65" spans="1:7" ht="28.8" x14ac:dyDescent="0.55000000000000004">
      <c r="A65" s="12">
        <v>45734</v>
      </c>
      <c r="B65" s="13" t="s">
        <v>247</v>
      </c>
      <c r="C65" s="10"/>
      <c r="D65" s="10"/>
      <c r="E65" s="7">
        <f>+$I$2+(SAMFO[[#This Row],[QUANTITE]]*SAMFO[[#This Row],[PRIX UNITAIRE]])</f>
        <v>0</v>
      </c>
      <c r="F65" s="22">
        <v>700000</v>
      </c>
      <c r="G65" s="6">
        <f>+SUM(E$9:$E65)-SUM(F$9:$F65)</f>
        <v>14259800</v>
      </c>
    </row>
    <row r="66" spans="1:7" ht="28.8" x14ac:dyDescent="0.55000000000000004">
      <c r="A66" s="12">
        <v>45738</v>
      </c>
      <c r="B66" s="13" t="s">
        <v>247</v>
      </c>
      <c r="C66" s="10"/>
      <c r="D66" s="10"/>
      <c r="E66" s="7">
        <f>+$I$2+(SAMFO[[#This Row],[QUANTITE]]*SAMFO[[#This Row],[PRIX UNITAIRE]])</f>
        <v>0</v>
      </c>
      <c r="F66" s="22">
        <v>786000</v>
      </c>
      <c r="G66" s="6">
        <f>+SUM(E$9:$E66)-SUM(F$9:$F66)</f>
        <v>13473800</v>
      </c>
    </row>
    <row r="67" spans="1:7" ht="28.8" x14ac:dyDescent="0.55000000000000004">
      <c r="A67" s="12">
        <v>45740</v>
      </c>
      <c r="B67" s="13" t="s">
        <v>1069</v>
      </c>
      <c r="C67" s="10">
        <v>4</v>
      </c>
      <c r="D67" s="10">
        <v>35000</v>
      </c>
      <c r="E67" s="7">
        <f>+$I$2+(SAMFO[[#This Row],[QUANTITE]]*SAMFO[[#This Row],[PRIX UNITAIRE]])</f>
        <v>140000</v>
      </c>
      <c r="F67" s="22"/>
      <c r="G67" s="6">
        <f>+SUM(E$9:$E67)-SUM(F$9:$F67)</f>
        <v>13613800</v>
      </c>
    </row>
    <row r="68" spans="1:7" ht="28.8" x14ac:dyDescent="0.55000000000000004">
      <c r="A68" s="12">
        <v>45741</v>
      </c>
      <c r="B68" s="13" t="s">
        <v>821</v>
      </c>
      <c r="C68" s="10">
        <v>8</v>
      </c>
      <c r="D68" s="10">
        <v>28000</v>
      </c>
      <c r="E68" s="7">
        <f>+$I$2+(SAMFO[[#This Row],[QUANTITE]]*SAMFO[[#This Row],[PRIX UNITAIRE]])</f>
        <v>224000</v>
      </c>
      <c r="F68" s="22"/>
      <c r="G68" s="6">
        <f>+SUM(E$9:$E68)-SUM(F$9:$F68)</f>
        <v>13837800</v>
      </c>
    </row>
    <row r="69" spans="1:7" ht="28.8" x14ac:dyDescent="0.55000000000000004">
      <c r="A69" s="12">
        <v>45741</v>
      </c>
      <c r="B69" s="13" t="s">
        <v>495</v>
      </c>
      <c r="C69" s="10">
        <v>2</v>
      </c>
      <c r="D69" s="10">
        <v>35000</v>
      </c>
      <c r="E69" s="7">
        <f>+$I$2+(SAMFO[[#This Row],[QUANTITE]]*SAMFO[[#This Row],[PRIX UNITAIRE]])</f>
        <v>70000</v>
      </c>
      <c r="F69" s="22"/>
      <c r="G69" s="6">
        <f>+SUM(E$9:$E69)-SUM(F$9:$F69)</f>
        <v>13907800</v>
      </c>
    </row>
    <row r="70" spans="1:7" ht="28.8" x14ac:dyDescent="0.55000000000000004">
      <c r="A70" s="12">
        <v>45744</v>
      </c>
      <c r="B70" s="13" t="s">
        <v>1070</v>
      </c>
      <c r="C70" s="10">
        <v>2</v>
      </c>
      <c r="D70" s="10">
        <v>30000</v>
      </c>
      <c r="E70" s="7">
        <f>+$I$2+(SAMFO[[#This Row],[QUANTITE]]*SAMFO[[#This Row],[PRIX UNITAIRE]])</f>
        <v>60000</v>
      </c>
      <c r="F70" s="22"/>
      <c r="G70" s="6">
        <f>+SUM(E$9:$E70)-SUM(F$9:$F70)</f>
        <v>13967800</v>
      </c>
    </row>
    <row r="71" spans="1:7" ht="28.8" x14ac:dyDescent="0.55000000000000004">
      <c r="A71" s="12">
        <v>45744</v>
      </c>
      <c r="B71" s="13" t="s">
        <v>1071</v>
      </c>
      <c r="C71" s="10">
        <v>4</v>
      </c>
      <c r="D71" s="10">
        <v>8616</v>
      </c>
      <c r="E71" s="7">
        <f>+$I$2+(SAMFO[[#This Row],[QUANTITE]]*SAMFO[[#This Row],[PRIX UNITAIRE]])</f>
        <v>34464</v>
      </c>
      <c r="F71" s="22"/>
      <c r="G71" s="6">
        <f>+SUM(E$9:$E71)-SUM(F$9:$F71)</f>
        <v>14002264</v>
      </c>
    </row>
    <row r="72" spans="1:7" ht="28.8" x14ac:dyDescent="0.55000000000000004">
      <c r="A72" s="12">
        <v>45744</v>
      </c>
      <c r="B72" s="13" t="s">
        <v>1072</v>
      </c>
      <c r="C72" s="10">
        <v>4</v>
      </c>
      <c r="D72" s="10">
        <v>10165</v>
      </c>
      <c r="E72" s="7">
        <f>+$I$2+(SAMFO[[#This Row],[QUANTITE]]*SAMFO[[#This Row],[PRIX UNITAIRE]])</f>
        <v>40660</v>
      </c>
      <c r="F72" s="22"/>
      <c r="G72" s="6">
        <f>+SUM(E$9:$E72)-SUM(F$9:$F72)</f>
        <v>14042924</v>
      </c>
    </row>
    <row r="73" spans="1:7" ht="28.8" x14ac:dyDescent="0.55000000000000004">
      <c r="A73" s="12">
        <v>45744</v>
      </c>
      <c r="B73" s="13" t="s">
        <v>1073</v>
      </c>
      <c r="C73" s="10">
        <v>4</v>
      </c>
      <c r="D73" s="10">
        <v>8812</v>
      </c>
      <c r="E73" s="7">
        <f>+$I$2+(SAMFO[[#This Row],[QUANTITE]]*SAMFO[[#This Row],[PRIX UNITAIRE]])</f>
        <v>35248</v>
      </c>
      <c r="F73" s="22"/>
      <c r="G73" s="6">
        <f>+SUM(E$9:$E73)-SUM(F$9:$F73)</f>
        <v>14078172</v>
      </c>
    </row>
    <row r="74" spans="1:7" ht="28.8" x14ac:dyDescent="0.55000000000000004">
      <c r="A74" s="12">
        <v>45744</v>
      </c>
      <c r="B74" s="13" t="s">
        <v>1074</v>
      </c>
      <c r="C74" s="10">
        <v>4</v>
      </c>
      <c r="D74" s="10">
        <v>6003</v>
      </c>
      <c r="E74" s="7">
        <f>+$I$2+(SAMFO[[#This Row],[QUANTITE]]*SAMFO[[#This Row],[PRIX UNITAIRE]])</f>
        <v>24012</v>
      </c>
      <c r="F74" s="22"/>
      <c r="G74" s="6">
        <f>+SUM(E$9:$E74)-SUM(F$9:$F74)</f>
        <v>14102184</v>
      </c>
    </row>
    <row r="75" spans="1:7" ht="28.8" x14ac:dyDescent="0.55000000000000004">
      <c r="A75" s="12">
        <v>45744</v>
      </c>
      <c r="B75" s="13" t="s">
        <v>1075</v>
      </c>
      <c r="C75" s="10">
        <v>1</v>
      </c>
      <c r="D75" s="10">
        <v>7584</v>
      </c>
      <c r="E75" s="7">
        <f>+$I$2+(SAMFO[[#This Row],[QUANTITE]]*SAMFO[[#This Row],[PRIX UNITAIRE]])</f>
        <v>7584</v>
      </c>
      <c r="F75" s="22"/>
      <c r="G75" s="6">
        <f>+SUM(E$9:$E75)-SUM(F$9:$F75)</f>
        <v>14109768</v>
      </c>
    </row>
    <row r="76" spans="1:7" ht="28.8" x14ac:dyDescent="0.55000000000000004">
      <c r="A76" s="12">
        <v>45744</v>
      </c>
      <c r="B76" s="13" t="s">
        <v>1076</v>
      </c>
      <c r="C76" s="10">
        <v>4</v>
      </c>
      <c r="D76" s="10">
        <v>7056</v>
      </c>
      <c r="E76" s="7">
        <f>+$I$2+(SAMFO[[#This Row],[QUANTITE]]*SAMFO[[#This Row],[PRIX UNITAIRE]])</f>
        <v>28224</v>
      </c>
      <c r="F76" s="22"/>
      <c r="G76" s="6">
        <f>+SUM(E$9:$E76)-SUM(F$9:$F76)</f>
        <v>14137992</v>
      </c>
    </row>
    <row r="77" spans="1:7" ht="28.8" x14ac:dyDescent="0.55000000000000004">
      <c r="A77" s="12">
        <v>45744</v>
      </c>
      <c r="B77" s="13" t="s">
        <v>1077</v>
      </c>
      <c r="C77" s="10">
        <v>4</v>
      </c>
      <c r="D77" s="10">
        <v>7619</v>
      </c>
      <c r="E77" s="7">
        <f>+$I$2+(SAMFO[[#This Row],[QUANTITE]]*SAMFO[[#This Row],[PRIX UNITAIRE]])</f>
        <v>30476</v>
      </c>
      <c r="F77" s="22"/>
      <c r="G77" s="6">
        <f>+SUM(E$9:$E77)-SUM(F$9:$F77)</f>
        <v>14168468</v>
      </c>
    </row>
    <row r="78" spans="1:7" ht="28.8" x14ac:dyDescent="0.55000000000000004">
      <c r="A78" s="12">
        <v>45744</v>
      </c>
      <c r="B78" s="13" t="s">
        <v>1078</v>
      </c>
      <c r="C78" s="10">
        <v>4</v>
      </c>
      <c r="D78" s="10">
        <v>10657</v>
      </c>
      <c r="E78" s="7">
        <f>+$I$2+(SAMFO[[#This Row],[QUANTITE]]*SAMFO[[#This Row],[PRIX UNITAIRE]])</f>
        <v>42628</v>
      </c>
      <c r="F78" s="22"/>
      <c r="G78" s="6">
        <f>+SUM(E$9:$E78)-SUM(F$9:$F78)</f>
        <v>14211096</v>
      </c>
    </row>
    <row r="79" spans="1:7" ht="28.8" x14ac:dyDescent="0.55000000000000004">
      <c r="A79" s="12">
        <v>45744</v>
      </c>
      <c r="B79" s="13" t="s">
        <v>1079</v>
      </c>
      <c r="C79" s="10">
        <v>4</v>
      </c>
      <c r="D79" s="10">
        <v>12379</v>
      </c>
      <c r="E79" s="7">
        <f>+$I$2+(SAMFO[[#This Row],[QUANTITE]]*SAMFO[[#This Row],[PRIX UNITAIRE]])</f>
        <v>49516</v>
      </c>
      <c r="F79" s="22"/>
      <c r="G79" s="6">
        <f>+SUM(E$9:$E79)-SUM(F$9:$F79)</f>
        <v>14260612</v>
      </c>
    </row>
    <row r="80" spans="1:7" ht="28.8" x14ac:dyDescent="0.55000000000000004">
      <c r="A80" s="12">
        <v>45744</v>
      </c>
      <c r="B80" s="13" t="s">
        <v>1080</v>
      </c>
      <c r="C80" s="10">
        <v>4</v>
      </c>
      <c r="D80" s="10">
        <v>7338</v>
      </c>
      <c r="E80" s="7">
        <f>+$I$2+(SAMFO[[#This Row],[QUANTITE]]*SAMFO[[#This Row],[PRIX UNITAIRE]])</f>
        <v>29352</v>
      </c>
      <c r="F80" s="22"/>
      <c r="G80" s="6">
        <f>+SUM(E$9:$E80)-SUM(F$9:$F80)</f>
        <v>14289964</v>
      </c>
    </row>
    <row r="81" spans="1:7" ht="28.8" x14ac:dyDescent="0.55000000000000004">
      <c r="A81" s="12">
        <v>45744</v>
      </c>
      <c r="B81" s="13" t="s">
        <v>1081</v>
      </c>
      <c r="C81" s="10">
        <v>4</v>
      </c>
      <c r="D81" s="10">
        <v>6477</v>
      </c>
      <c r="E81" s="7">
        <f>+$I$2+(SAMFO[[#This Row],[QUANTITE]]*SAMFO[[#This Row],[PRIX UNITAIRE]])</f>
        <v>25908</v>
      </c>
      <c r="F81" s="22"/>
      <c r="G81" s="6">
        <f>+SUM(E$9:$E81)-SUM(F$9:$F81)</f>
        <v>14315872</v>
      </c>
    </row>
    <row r="82" spans="1:7" ht="28.8" x14ac:dyDescent="0.55000000000000004">
      <c r="A82" s="12">
        <v>45744</v>
      </c>
      <c r="B82" s="13" t="s">
        <v>1082</v>
      </c>
      <c r="C82" s="10">
        <v>4</v>
      </c>
      <c r="D82" s="10">
        <v>3626</v>
      </c>
      <c r="E82" s="7">
        <f>+$I$2+(SAMFO[[#This Row],[QUANTITE]]*SAMFO[[#This Row],[PRIX UNITAIRE]])</f>
        <v>14504</v>
      </c>
      <c r="F82" s="22"/>
      <c r="G82" s="6">
        <f>+SUM(E$9:$E82)-SUM(F$9:$F82)</f>
        <v>14330376</v>
      </c>
    </row>
    <row r="83" spans="1:7" ht="28.8" x14ac:dyDescent="0.55000000000000004">
      <c r="A83" s="12">
        <v>45744</v>
      </c>
      <c r="B83" s="13" t="s">
        <v>1083</v>
      </c>
      <c r="C83" s="10">
        <v>4</v>
      </c>
      <c r="D83" s="10">
        <v>4212</v>
      </c>
      <c r="E83" s="7">
        <f>+$I$2+(SAMFO[[#This Row],[QUANTITE]]*SAMFO[[#This Row],[PRIX UNITAIRE]])</f>
        <v>16848</v>
      </c>
      <c r="F83" s="22"/>
      <c r="G83" s="6">
        <f>+SUM(E$9:$E83)-SUM(F$9:$F83)</f>
        <v>14347224</v>
      </c>
    </row>
    <row r="84" spans="1:7" ht="28.8" x14ac:dyDescent="0.55000000000000004">
      <c r="A84" s="12">
        <v>45744</v>
      </c>
      <c r="B84" s="13" t="s">
        <v>1084</v>
      </c>
      <c r="C84" s="10">
        <v>4</v>
      </c>
      <c r="D84" s="10">
        <v>12605</v>
      </c>
      <c r="E84" s="7">
        <f>+$I$2+(SAMFO[[#This Row],[QUANTITE]]*SAMFO[[#This Row],[PRIX UNITAIRE]])</f>
        <v>50420</v>
      </c>
      <c r="F84" s="22"/>
      <c r="G84" s="6">
        <f>+SUM(E$9:$E84)-SUM(F$9:$F84)</f>
        <v>14397644</v>
      </c>
    </row>
    <row r="85" spans="1:7" ht="28.8" x14ac:dyDescent="0.55000000000000004">
      <c r="A85" s="12">
        <v>45744</v>
      </c>
      <c r="B85" s="13" t="s">
        <v>1085</v>
      </c>
      <c r="C85" s="10">
        <v>4</v>
      </c>
      <c r="D85" s="10">
        <v>9196</v>
      </c>
      <c r="E85" s="7">
        <f>+$I$2+(SAMFO[[#This Row],[QUANTITE]]*SAMFO[[#This Row],[PRIX UNITAIRE]])</f>
        <v>36784</v>
      </c>
      <c r="F85" s="22"/>
      <c r="G85" s="6">
        <f>+SUM(E$9:$E85)-SUM(F$9:$F85)</f>
        <v>14434428</v>
      </c>
    </row>
    <row r="86" spans="1:7" ht="28.8" x14ac:dyDescent="0.55000000000000004">
      <c r="A86" s="12">
        <v>45744</v>
      </c>
      <c r="B86" s="13" t="s">
        <v>1086</v>
      </c>
      <c r="C86" s="10">
        <v>4</v>
      </c>
      <c r="D86" s="10">
        <v>19802</v>
      </c>
      <c r="E86" s="7">
        <f>+$I$2+(SAMFO[[#This Row],[QUANTITE]]*SAMFO[[#This Row],[PRIX UNITAIRE]])</f>
        <v>79208</v>
      </c>
      <c r="F86" s="22"/>
      <c r="G86" s="6">
        <f>+SUM(E$9:$E86)-SUM(F$9:$F86)</f>
        <v>14513636</v>
      </c>
    </row>
    <row r="87" spans="1:7" ht="28.8" x14ac:dyDescent="0.55000000000000004">
      <c r="A87" s="12">
        <v>45744</v>
      </c>
      <c r="B87" s="13" t="s">
        <v>1087</v>
      </c>
      <c r="C87" s="10">
        <v>4</v>
      </c>
      <c r="D87" s="10">
        <v>35497</v>
      </c>
      <c r="E87" s="7">
        <f>+$I$2+(SAMFO[[#This Row],[QUANTITE]]*SAMFO[[#This Row],[PRIX UNITAIRE]])</f>
        <v>141988</v>
      </c>
      <c r="F87" s="22"/>
      <c r="G87" s="6">
        <f>+SUM(E$9:$E87)-SUM(F$9:$F87)</f>
        <v>14655624</v>
      </c>
    </row>
    <row r="88" spans="1:7" ht="28.8" x14ac:dyDescent="0.55000000000000004">
      <c r="A88" s="12">
        <v>45745</v>
      </c>
      <c r="B88" s="13" t="s">
        <v>247</v>
      </c>
      <c r="C88" s="10"/>
      <c r="D88" s="10"/>
      <c r="E88" s="7">
        <f>+$I$2+(SAMFO[[#This Row],[QUANTITE]]*SAMFO[[#This Row],[PRIX UNITAIRE]])</f>
        <v>0</v>
      </c>
      <c r="F88" s="22">
        <v>790000</v>
      </c>
      <c r="G88" s="6">
        <f>+SUM(E$9:$E88)-SUM(F$9:$F88)</f>
        <v>13865624</v>
      </c>
    </row>
    <row r="89" spans="1:7" ht="28.8" x14ac:dyDescent="0.55000000000000004">
      <c r="A89" s="12">
        <v>45750</v>
      </c>
      <c r="B89" s="13" t="s">
        <v>1088</v>
      </c>
      <c r="C89" s="10">
        <v>4</v>
      </c>
      <c r="D89" s="10">
        <v>32500</v>
      </c>
      <c r="E89" s="7">
        <f>+$I$2+(SAMFO[[#This Row],[QUANTITE]]*SAMFO[[#This Row],[PRIX UNITAIRE]])</f>
        <v>130000</v>
      </c>
      <c r="F89" s="22"/>
      <c r="G89" s="6">
        <f>+SUM(E$9:$E89)-SUM(F$9:$F89)</f>
        <v>13995624</v>
      </c>
    </row>
    <row r="90" spans="1:7" ht="28.8" x14ac:dyDescent="0.55000000000000004">
      <c r="A90" s="12">
        <v>45751</v>
      </c>
      <c r="B90" s="13" t="s">
        <v>261</v>
      </c>
      <c r="C90" s="10">
        <v>4</v>
      </c>
      <c r="D90" s="10">
        <v>105000</v>
      </c>
      <c r="E90" s="7">
        <f>+$I$2+(SAMFO[[#This Row],[QUANTITE]]*SAMFO[[#This Row],[PRIX UNITAIRE]])</f>
        <v>420000</v>
      </c>
      <c r="F90" s="22"/>
      <c r="G90" s="6">
        <f>+SUM(E$9:$E90)-SUM(F$9:$F90)</f>
        <v>14415624</v>
      </c>
    </row>
    <row r="91" spans="1:7" ht="28.8" x14ac:dyDescent="0.55000000000000004">
      <c r="A91" s="12">
        <v>45751</v>
      </c>
      <c r="B91" s="13" t="s">
        <v>435</v>
      </c>
      <c r="C91" s="10">
        <v>4</v>
      </c>
      <c r="D91" s="10">
        <v>128000</v>
      </c>
      <c r="E91" s="7">
        <f>+$I$2+(SAMFO[[#This Row],[QUANTITE]]*SAMFO[[#This Row],[PRIX UNITAIRE]])</f>
        <v>512000</v>
      </c>
      <c r="F91" s="22"/>
      <c r="G91" s="6">
        <f>+SUM(E$9:$E91)-SUM(F$9:$F91)</f>
        <v>14927624</v>
      </c>
    </row>
    <row r="92" spans="1:7" ht="28.8" x14ac:dyDescent="0.55000000000000004">
      <c r="A92" s="12">
        <v>45752</v>
      </c>
      <c r="B92" s="13" t="s">
        <v>247</v>
      </c>
      <c r="C92" s="10"/>
      <c r="D92" s="10"/>
      <c r="E92" s="7">
        <f>+$I$2+(SAMFO[[#This Row],[QUANTITE]]*SAMFO[[#This Row],[PRIX UNITAIRE]])</f>
        <v>0</v>
      </c>
      <c r="F92" s="22">
        <v>280000</v>
      </c>
      <c r="G92" s="6">
        <f>+SUM(E$9:$E92)-SUM(F$9:$F92)</f>
        <v>14647624</v>
      </c>
    </row>
    <row r="93" spans="1:7" ht="28.8" x14ac:dyDescent="0.55000000000000004">
      <c r="A93" s="12">
        <v>45752</v>
      </c>
      <c r="B93" s="13" t="s">
        <v>1089</v>
      </c>
      <c r="C93" s="10">
        <v>2</v>
      </c>
      <c r="D93" s="10">
        <v>30000</v>
      </c>
      <c r="E93" s="7">
        <f>+$I$2+(SAMFO[[#This Row],[QUANTITE]]*SAMFO[[#This Row],[PRIX UNITAIRE]])</f>
        <v>60000</v>
      </c>
      <c r="F93" s="22"/>
      <c r="G93" s="6">
        <f>+SUM(E$9:$E93)-SUM(F$9:$F93)</f>
        <v>14707624</v>
      </c>
    </row>
    <row r="94" spans="1:7" ht="28.8" x14ac:dyDescent="0.55000000000000004">
      <c r="A94" s="12">
        <v>45756</v>
      </c>
      <c r="B94" s="13" t="s">
        <v>247</v>
      </c>
      <c r="C94" s="10"/>
      <c r="D94" s="10"/>
      <c r="E94" s="7">
        <f>+$I$2+(SAMFO[[#This Row],[QUANTITE]]*SAMFO[[#This Row],[PRIX UNITAIRE]])</f>
        <v>0</v>
      </c>
      <c r="F94" s="22">
        <v>450000</v>
      </c>
      <c r="G94" s="6">
        <f>+SUM(E$9:$E94)-SUM(F$9:$F94)</f>
        <v>14257624</v>
      </c>
    </row>
    <row r="95" spans="1:7" ht="28.8" x14ac:dyDescent="0.55000000000000004">
      <c r="A95" s="12">
        <v>45759</v>
      </c>
      <c r="B95" s="13" t="s">
        <v>247</v>
      </c>
      <c r="C95" s="10"/>
      <c r="D95" s="10"/>
      <c r="E95" s="7">
        <f>+$I$2+(SAMFO[[#This Row],[QUANTITE]]*SAMFO[[#This Row],[PRIX UNITAIRE]])</f>
        <v>0</v>
      </c>
      <c r="F95" s="22">
        <v>146000</v>
      </c>
      <c r="G95" s="6">
        <f>+SUM(E$9:$E95)-SUM(F$9:$F95)</f>
        <v>14111624</v>
      </c>
    </row>
    <row r="96" spans="1:7" ht="28.8" x14ac:dyDescent="0.55000000000000004">
      <c r="A96" s="12">
        <v>45763</v>
      </c>
      <c r="B96" s="13" t="s">
        <v>216</v>
      </c>
      <c r="C96" s="10">
        <v>4</v>
      </c>
      <c r="D96" s="10">
        <v>25000</v>
      </c>
      <c r="E96" s="7">
        <f>+$I$2+(SAMFO[[#This Row],[QUANTITE]]*SAMFO[[#This Row],[PRIX UNITAIRE]])</f>
        <v>100000</v>
      </c>
      <c r="F96" s="22"/>
      <c r="G96" s="6">
        <f>+SUM(E$9:$E96)-SUM(F$9:$F96)</f>
        <v>14211624</v>
      </c>
    </row>
    <row r="97" spans="1:7" ht="28.8" x14ac:dyDescent="0.55000000000000004">
      <c r="A97" s="12">
        <v>45763</v>
      </c>
      <c r="B97" s="13" t="s">
        <v>1064</v>
      </c>
      <c r="C97" s="10">
        <v>2</v>
      </c>
      <c r="D97" s="10">
        <v>40000</v>
      </c>
      <c r="E97" s="7">
        <f>+$I$2+(SAMFO[[#This Row],[QUANTITE]]*SAMFO[[#This Row],[PRIX UNITAIRE]])</f>
        <v>80000</v>
      </c>
      <c r="F97" s="22"/>
      <c r="G97" s="6">
        <f>+SUM(E$9:$E97)-SUM(F$9:$F97)</f>
        <v>14291624</v>
      </c>
    </row>
    <row r="98" spans="1:7" ht="28.8" x14ac:dyDescent="0.55000000000000004">
      <c r="A98" s="12">
        <v>45766</v>
      </c>
      <c r="B98" s="13" t="s">
        <v>247</v>
      </c>
      <c r="C98" s="10"/>
      <c r="D98" s="10"/>
      <c r="E98" s="7">
        <f>+$I$2+(SAMFO[[#This Row],[QUANTITE]]*SAMFO[[#This Row],[PRIX UNITAIRE]])</f>
        <v>0</v>
      </c>
      <c r="F98" s="22">
        <v>1041000</v>
      </c>
      <c r="G98" s="6">
        <f>+SUM(E$9:$E98)-SUM(F$9:$F98)</f>
        <v>13250624</v>
      </c>
    </row>
    <row r="99" spans="1:7" ht="28.8" x14ac:dyDescent="0.55000000000000004">
      <c r="A99" s="12">
        <v>45768</v>
      </c>
      <c r="B99" s="13" t="s">
        <v>1090</v>
      </c>
      <c r="C99" s="10">
        <v>3</v>
      </c>
      <c r="D99" s="10">
        <v>105000</v>
      </c>
      <c r="E99" s="7">
        <f>+$I$2+(SAMFO[[#This Row],[QUANTITE]]*SAMFO[[#This Row],[PRIX UNITAIRE]])</f>
        <v>315000</v>
      </c>
      <c r="F99" s="22"/>
      <c r="G99" s="6">
        <f>+SUM(E$9:$E99)-SUM(F$9:$F99)</f>
        <v>13565624</v>
      </c>
    </row>
    <row r="100" spans="1:7" ht="28.8" x14ac:dyDescent="0.55000000000000004">
      <c r="A100" s="12">
        <v>45768</v>
      </c>
      <c r="B100" s="13" t="s">
        <v>1091</v>
      </c>
      <c r="C100" s="10">
        <v>4</v>
      </c>
      <c r="D100" s="10">
        <v>85000</v>
      </c>
      <c r="E100" s="7">
        <f>+$I$2+(SAMFO[[#This Row],[QUANTITE]]*SAMFO[[#This Row],[PRIX UNITAIRE]])</f>
        <v>340000</v>
      </c>
      <c r="F100" s="22"/>
      <c r="G100" s="6">
        <f>+SUM(E$9:$E100)-SUM(F$9:$F100)</f>
        <v>13905624</v>
      </c>
    </row>
    <row r="101" spans="1:7" ht="28.8" x14ac:dyDescent="0.55000000000000004">
      <c r="A101" s="12">
        <v>45769</v>
      </c>
      <c r="B101" s="13" t="s">
        <v>247</v>
      </c>
      <c r="C101" s="10"/>
      <c r="D101" s="10"/>
      <c r="E101" s="7">
        <f>+$I$2+(SAMFO[[#This Row],[QUANTITE]]*SAMFO[[#This Row],[PRIX UNITAIRE]])</f>
        <v>0</v>
      </c>
      <c r="F101" s="22">
        <v>230000</v>
      </c>
      <c r="G101" s="6">
        <f>+SUM(E$9:$E101)-SUM(F$9:$F101)</f>
        <v>13675624</v>
      </c>
    </row>
    <row r="102" spans="1:7" ht="28.8" x14ac:dyDescent="0.55000000000000004">
      <c r="A102" s="12">
        <v>45773</v>
      </c>
      <c r="B102" s="13" t="s">
        <v>821</v>
      </c>
      <c r="C102" s="10">
        <v>10</v>
      </c>
      <c r="D102" s="10">
        <v>28000</v>
      </c>
      <c r="E102" s="7">
        <f>+$I$2+(SAMFO[[#This Row],[QUANTITE]]*SAMFO[[#This Row],[PRIX UNITAIRE]])</f>
        <v>280000</v>
      </c>
      <c r="F102" s="22"/>
      <c r="G102" s="6">
        <f>+SUM(E$9:$E102)-SUM(F$9:$F102)</f>
        <v>13955624</v>
      </c>
    </row>
    <row r="103" spans="1:7" ht="28.8" x14ac:dyDescent="0.55000000000000004">
      <c r="A103" s="12">
        <v>45773</v>
      </c>
      <c r="B103" s="13" t="s">
        <v>1092</v>
      </c>
      <c r="C103" s="10">
        <v>6</v>
      </c>
      <c r="D103" s="10">
        <v>32500</v>
      </c>
      <c r="E103" s="7">
        <f>+$I$2+(SAMFO[[#This Row],[QUANTITE]]*SAMFO[[#This Row],[PRIX UNITAIRE]])</f>
        <v>195000</v>
      </c>
      <c r="F103" s="22"/>
      <c r="G103" s="6">
        <f>+SUM(E$9:$E103)-SUM(F$9:$F103)</f>
        <v>14150624</v>
      </c>
    </row>
    <row r="104" spans="1:7" ht="28.8" x14ac:dyDescent="0.55000000000000004">
      <c r="A104" s="12">
        <v>45773</v>
      </c>
      <c r="B104" s="13" t="s">
        <v>247</v>
      </c>
      <c r="C104" s="10"/>
      <c r="D104" s="10"/>
      <c r="E104" s="7">
        <f>+$I$2+(SAMFO[[#This Row],[QUANTITE]]*SAMFO[[#This Row],[PRIX UNITAIRE]])</f>
        <v>0</v>
      </c>
      <c r="F104" s="22">
        <v>268500</v>
      </c>
      <c r="G104" s="6">
        <f>+SUM(E$9:$E104)-SUM(F$9:$F104)</f>
        <v>13882124</v>
      </c>
    </row>
    <row r="105" spans="1:7" ht="28.8" x14ac:dyDescent="0.55000000000000004">
      <c r="A105" s="12">
        <v>45780</v>
      </c>
      <c r="B105" s="13" t="s">
        <v>247</v>
      </c>
      <c r="C105" s="10"/>
      <c r="D105" s="10"/>
      <c r="E105" s="7">
        <f>+$I$2+(SAMFO[[#This Row],[QUANTITE]]*SAMFO[[#This Row],[PRIX UNITAIRE]])</f>
        <v>0</v>
      </c>
      <c r="F105" s="22">
        <v>559000</v>
      </c>
      <c r="G105" s="6">
        <f>+SUM(E$9:$E105)-SUM(F$9:$F105)</f>
        <v>13323124</v>
      </c>
    </row>
    <row r="106" spans="1:7" ht="28.8" x14ac:dyDescent="0.55000000000000004">
      <c r="A106" s="12">
        <v>45782</v>
      </c>
      <c r="B106" s="13" t="s">
        <v>1093</v>
      </c>
      <c r="C106" s="10">
        <v>4</v>
      </c>
      <c r="D106" s="10">
        <v>24000</v>
      </c>
      <c r="E106" s="7">
        <f>+$I$2+(SAMFO[[#This Row],[QUANTITE]]*SAMFO[[#This Row],[PRIX UNITAIRE]])</f>
        <v>96000</v>
      </c>
      <c r="F106" s="22"/>
      <c r="G106" s="6">
        <f>+SUM(E$9:$E106)-SUM(F$9:$F106)</f>
        <v>13419124</v>
      </c>
    </row>
    <row r="107" spans="1:7" ht="28.8" x14ac:dyDescent="0.55000000000000004">
      <c r="A107" s="12">
        <v>45782</v>
      </c>
      <c r="B107" s="13" t="s">
        <v>1094</v>
      </c>
      <c r="C107" s="10">
        <v>2</v>
      </c>
      <c r="D107" s="10">
        <v>65000</v>
      </c>
      <c r="E107" s="7">
        <f>+$I$2+(SAMFO[[#This Row],[QUANTITE]]*SAMFO[[#This Row],[PRIX UNITAIRE]])</f>
        <v>130000</v>
      </c>
      <c r="F107" s="22"/>
      <c r="G107" s="6">
        <f>+SUM(E$9:$E107)-SUM(F$9:$F107)</f>
        <v>13549124</v>
      </c>
    </row>
    <row r="108" spans="1:7" ht="28.8" x14ac:dyDescent="0.55000000000000004">
      <c r="A108" s="12">
        <v>45782</v>
      </c>
      <c r="B108" s="13" t="s">
        <v>1037</v>
      </c>
      <c r="C108" s="10">
        <v>2</v>
      </c>
      <c r="D108" s="10">
        <v>70000</v>
      </c>
      <c r="E108" s="7">
        <f>+$I$2+(SAMFO[[#This Row],[QUANTITE]]*SAMFO[[#This Row],[PRIX UNITAIRE]])</f>
        <v>140000</v>
      </c>
      <c r="F108" s="22"/>
      <c r="G108" s="6">
        <f>+SUM(E$9:$E108)-SUM(F$9:$F108)</f>
        <v>13689124</v>
      </c>
    </row>
    <row r="109" spans="1:7" ht="28.8" x14ac:dyDescent="0.55000000000000004">
      <c r="A109" s="12">
        <v>45782</v>
      </c>
      <c r="B109" s="13" t="s">
        <v>1095</v>
      </c>
      <c r="C109" s="10">
        <v>4</v>
      </c>
      <c r="D109" s="10">
        <v>32000</v>
      </c>
      <c r="E109" s="7">
        <f>+$I$2+(SAMFO[[#This Row],[QUANTITE]]*SAMFO[[#This Row],[PRIX UNITAIRE]])</f>
        <v>128000</v>
      </c>
      <c r="F109" s="22"/>
      <c r="G109" s="6">
        <f>+SUM(E$9:$E109)-SUM(F$9:$F109)</f>
        <v>13817124</v>
      </c>
    </row>
    <row r="110" spans="1:7" ht="28.8" x14ac:dyDescent="0.55000000000000004">
      <c r="A110" s="12">
        <v>45786</v>
      </c>
      <c r="B110" s="13" t="s">
        <v>1037</v>
      </c>
      <c r="C110" s="10">
        <v>6</v>
      </c>
      <c r="D110" s="10">
        <v>70000</v>
      </c>
      <c r="E110" s="7">
        <f>+$I$2+(SAMFO[[#This Row],[QUANTITE]]*SAMFO[[#This Row],[PRIX UNITAIRE]])</f>
        <v>420000</v>
      </c>
      <c r="F110" s="22"/>
      <c r="G110" s="6">
        <f>+SUM(E$9:$E110)-SUM(F$9:$F110)</f>
        <v>14237124</v>
      </c>
    </row>
    <row r="111" spans="1:7" ht="28.8" x14ac:dyDescent="0.55000000000000004">
      <c r="A111" s="12">
        <v>45786</v>
      </c>
      <c r="B111" s="13" t="s">
        <v>1094</v>
      </c>
      <c r="C111" s="10">
        <v>2</v>
      </c>
      <c r="D111" s="10">
        <v>65000</v>
      </c>
      <c r="E111" s="7">
        <f>+$I$2+(SAMFO[[#This Row],[QUANTITE]]*SAMFO[[#This Row],[PRIX UNITAIRE]])</f>
        <v>130000</v>
      </c>
      <c r="F111" s="22"/>
      <c r="G111" s="6">
        <f>+SUM(E$9:$E111)-SUM(F$9:$F111)</f>
        <v>14367124</v>
      </c>
    </row>
    <row r="112" spans="1:7" ht="28.8" x14ac:dyDescent="0.55000000000000004">
      <c r="A112" s="12">
        <v>45787</v>
      </c>
      <c r="B112" s="13" t="s">
        <v>259</v>
      </c>
      <c r="C112" s="10"/>
      <c r="D112" s="10"/>
      <c r="E112" s="7">
        <f>+$I$2+(SAMFO[[#This Row],[QUANTITE]]*SAMFO[[#This Row],[PRIX UNITAIRE]])</f>
        <v>0</v>
      </c>
      <c r="F112" s="22">
        <v>712000</v>
      </c>
      <c r="G112" s="6">
        <f>+SUM(E$9:$E112)-SUM(F$9:$F112)</f>
        <v>13655124</v>
      </c>
    </row>
    <row r="113" spans="1:7" ht="28.8" x14ac:dyDescent="0.55000000000000004">
      <c r="A113" s="12">
        <v>45790</v>
      </c>
      <c r="B113" s="13" t="s">
        <v>275</v>
      </c>
      <c r="C113" s="10">
        <v>2</v>
      </c>
      <c r="D113" s="10">
        <v>50000</v>
      </c>
      <c r="E113" s="7">
        <f>+$I$2+(SAMFO[[#This Row],[QUANTITE]]*SAMFO[[#This Row],[PRIX UNITAIRE]])</f>
        <v>100000</v>
      </c>
      <c r="F113" s="22"/>
      <c r="G113" s="6">
        <f>+SUM(E$9:$E113)-SUM(F$9:$F113)</f>
        <v>13755124</v>
      </c>
    </row>
    <row r="114" spans="1:7" ht="28.8" x14ac:dyDescent="0.55000000000000004">
      <c r="A114" s="12">
        <v>45790</v>
      </c>
      <c r="B114" s="13" t="s">
        <v>410</v>
      </c>
      <c r="C114" s="10">
        <v>8</v>
      </c>
      <c r="D114" s="10">
        <v>24000</v>
      </c>
      <c r="E114" s="7">
        <f>+$I$2+(SAMFO[[#This Row],[QUANTITE]]*SAMFO[[#This Row],[PRIX UNITAIRE]])</f>
        <v>192000</v>
      </c>
      <c r="F114" s="22"/>
      <c r="G114" s="6">
        <f>+SUM(E$9:$E114)-SUM(F$9:$F114)</f>
        <v>13947124</v>
      </c>
    </row>
    <row r="115" spans="1:7" ht="28.8" x14ac:dyDescent="0.55000000000000004">
      <c r="A115" s="12">
        <v>45790</v>
      </c>
      <c r="B115" s="13" t="s">
        <v>276</v>
      </c>
      <c r="C115" s="10">
        <v>2</v>
      </c>
      <c r="D115" s="10">
        <v>55000</v>
      </c>
      <c r="E115" s="7">
        <f>+$I$2+(SAMFO[[#This Row],[QUANTITE]]*SAMFO[[#This Row],[PRIX UNITAIRE]])</f>
        <v>110000</v>
      </c>
      <c r="F115" s="22"/>
      <c r="G115" s="6">
        <f>+SUM(E$9:$E115)-SUM(F$9:$F115)</f>
        <v>14057124</v>
      </c>
    </row>
    <row r="116" spans="1:7" ht="28.8" x14ac:dyDescent="0.55000000000000004">
      <c r="A116" s="12">
        <v>45794</v>
      </c>
      <c r="B116" s="13" t="s">
        <v>259</v>
      </c>
      <c r="C116" s="10"/>
      <c r="D116" s="10"/>
      <c r="E116" s="7">
        <f>+$I$2+(SAMFO[[#This Row],[QUANTITE]]*SAMFO[[#This Row],[PRIX UNITAIRE]])</f>
        <v>0</v>
      </c>
      <c r="F116" s="22">
        <v>879000</v>
      </c>
      <c r="G116" s="6">
        <f>+SUM(E$9:$E116)-SUM(F$9:$F116)</f>
        <v>13178124</v>
      </c>
    </row>
    <row r="117" spans="1:7" ht="28.8" x14ac:dyDescent="0.55000000000000004">
      <c r="A117" s="12">
        <v>45798</v>
      </c>
      <c r="B117" s="13" t="s">
        <v>234</v>
      </c>
      <c r="C117" s="10">
        <v>5</v>
      </c>
      <c r="D117" s="10">
        <v>25000</v>
      </c>
      <c r="E117" s="7">
        <f>+$I$2+(SAMFO[[#This Row],[QUANTITE]]*SAMFO[[#This Row],[PRIX UNITAIRE]])</f>
        <v>125000</v>
      </c>
      <c r="F117" s="22"/>
      <c r="G117" s="6">
        <f>+SUM(E$9:$E117)-SUM(F$9:$F117)</f>
        <v>13303124</v>
      </c>
    </row>
    <row r="118" spans="1:7" ht="28.8" x14ac:dyDescent="0.55000000000000004">
      <c r="A118" s="12">
        <v>45801</v>
      </c>
      <c r="B118" s="13" t="s">
        <v>259</v>
      </c>
      <c r="C118" s="10"/>
      <c r="D118" s="10"/>
      <c r="E118" s="7">
        <f>+$I$2+(SAMFO[[#This Row],[QUANTITE]]*SAMFO[[#This Row],[PRIX UNITAIRE]])</f>
        <v>0</v>
      </c>
      <c r="F118" s="22">
        <v>455000</v>
      </c>
      <c r="G118" s="6">
        <f>+SUM(E$9:$E118)-SUM(F$9:$F118)</f>
        <v>12848124</v>
      </c>
    </row>
    <row r="119" spans="1:7" ht="28.8" x14ac:dyDescent="0.55000000000000004">
      <c r="A119" s="12">
        <v>45803</v>
      </c>
      <c r="B119" s="13" t="s">
        <v>1096</v>
      </c>
      <c r="C119" s="10">
        <v>4</v>
      </c>
      <c r="D119" s="10">
        <v>35000</v>
      </c>
      <c r="E119" s="7">
        <f>+$I$2+(SAMFO[[#This Row],[QUANTITE]]*SAMFO[[#This Row],[PRIX UNITAIRE]])</f>
        <v>140000</v>
      </c>
      <c r="F119" s="22"/>
      <c r="G119" s="6">
        <f>+SUM(E$9:$E119)-SUM(F$9:$F119)</f>
        <v>12988124</v>
      </c>
    </row>
    <row r="120" spans="1:7" ht="28.8" x14ac:dyDescent="0.55000000000000004">
      <c r="A120" s="12">
        <v>45808</v>
      </c>
      <c r="B120" s="13" t="s">
        <v>259</v>
      </c>
      <c r="C120" s="10"/>
      <c r="D120" s="10"/>
      <c r="E120" s="7">
        <f>+$I$2+(SAMFO[[#This Row],[QUANTITE]]*SAMFO[[#This Row],[PRIX UNITAIRE]])</f>
        <v>0</v>
      </c>
      <c r="F120" s="22">
        <v>1213000</v>
      </c>
      <c r="G120" s="6">
        <f>+SUM(E$9:$E120)-SUM(F$9:$F120)</f>
        <v>11775124</v>
      </c>
    </row>
    <row r="121" spans="1:7" ht="28.8" x14ac:dyDescent="0.55000000000000004">
      <c r="A121" s="12">
        <v>45810</v>
      </c>
      <c r="B121" s="13" t="s">
        <v>1097</v>
      </c>
      <c r="C121" s="10">
        <v>2</v>
      </c>
      <c r="D121" s="10">
        <v>35000</v>
      </c>
      <c r="E121" s="7">
        <f>+$I$2+(SAMFO[[#This Row],[QUANTITE]]*SAMFO[[#This Row],[PRIX UNITAIRE]])</f>
        <v>70000</v>
      </c>
      <c r="F121" s="22"/>
      <c r="G121" s="6">
        <f>+SUM(E$9:$E121)-SUM(F$9:$F121)</f>
        <v>11845124</v>
      </c>
    </row>
    <row r="122" spans="1:7" ht="28.8" x14ac:dyDescent="0.55000000000000004">
      <c r="A122" s="12">
        <v>45811</v>
      </c>
      <c r="B122" s="13" t="s">
        <v>1098</v>
      </c>
      <c r="C122" s="10">
        <v>1</v>
      </c>
      <c r="D122" s="10">
        <v>60000</v>
      </c>
      <c r="E122" s="7">
        <f>+$I$2+(SAMFO[[#This Row],[QUANTITE]]*SAMFO[[#This Row],[PRIX UNITAIRE]])</f>
        <v>60000</v>
      </c>
      <c r="F122" s="22"/>
      <c r="G122" s="6">
        <f>+SUM(E$9:$E122)-SUM(F$9:$F122)</f>
        <v>11905124</v>
      </c>
    </row>
    <row r="123" spans="1:7" ht="28.8" x14ac:dyDescent="0.55000000000000004">
      <c r="A123" s="12">
        <v>45811</v>
      </c>
      <c r="B123" s="13" t="s">
        <v>1099</v>
      </c>
      <c r="C123" s="10">
        <v>2</v>
      </c>
      <c r="D123" s="10">
        <v>35000</v>
      </c>
      <c r="E123" s="7">
        <f>+$I$2+(SAMFO[[#This Row],[QUANTITE]]*SAMFO[[#This Row],[PRIX UNITAIRE]])</f>
        <v>70000</v>
      </c>
      <c r="F123" s="22"/>
      <c r="G123" s="6">
        <f>+SUM(E$9:$E123)-SUM(F$9:$F123)</f>
        <v>11975124</v>
      </c>
    </row>
    <row r="124" spans="1:7" ht="28.8" x14ac:dyDescent="0.55000000000000004">
      <c r="A124" s="12">
        <v>45811</v>
      </c>
      <c r="B124" s="13" t="s">
        <v>1100</v>
      </c>
      <c r="C124" s="10">
        <v>4</v>
      </c>
      <c r="D124" s="10">
        <v>24000</v>
      </c>
      <c r="E124" s="7">
        <f>+$I$2+(SAMFO[[#This Row],[QUANTITE]]*SAMFO[[#This Row],[PRIX UNITAIRE]])</f>
        <v>96000</v>
      </c>
      <c r="F124" s="22"/>
      <c r="G124" s="6">
        <f>+SUM(E$9:$E124)-SUM(F$9:$F124)</f>
        <v>12071124</v>
      </c>
    </row>
    <row r="125" spans="1:7" ht="28.8" x14ac:dyDescent="0.55000000000000004">
      <c r="A125" s="12">
        <v>45812</v>
      </c>
      <c r="B125" s="13" t="s">
        <v>259</v>
      </c>
      <c r="C125" s="10"/>
      <c r="D125" s="10"/>
      <c r="E125" s="7">
        <f>+$I$2+(SAMFO[[#This Row],[QUANTITE]]*SAMFO[[#This Row],[PRIX UNITAIRE]])</f>
        <v>0</v>
      </c>
      <c r="F125" s="22">
        <v>400000</v>
      </c>
      <c r="G125" s="6">
        <f>+SUM(E$9:$E125)-SUM(F$9:$F125)</f>
        <v>11671124</v>
      </c>
    </row>
    <row r="126" spans="1:7" ht="28.8" x14ac:dyDescent="0.55000000000000004">
      <c r="A126" s="12">
        <v>45815</v>
      </c>
      <c r="B126" s="13" t="s">
        <v>1277</v>
      </c>
      <c r="C126" s="10">
        <v>5</v>
      </c>
      <c r="D126" s="10">
        <v>14501</v>
      </c>
      <c r="E126" s="7">
        <f>+$I$2+(SAMFO[[#This Row],[QUANTITE]]*SAMFO[[#This Row],[PRIX UNITAIRE]])</f>
        <v>72505</v>
      </c>
      <c r="F126" s="22"/>
      <c r="G126" s="6">
        <f>+SUM(E$9:$E126)-SUM(F$9:$F126)</f>
        <v>11743629</v>
      </c>
    </row>
    <row r="127" spans="1:7" ht="28.8" x14ac:dyDescent="0.55000000000000004">
      <c r="A127" s="12">
        <v>45815</v>
      </c>
      <c r="B127" s="13" t="s">
        <v>1278</v>
      </c>
      <c r="C127" s="10">
        <v>5</v>
      </c>
      <c r="D127" s="10">
        <v>18833</v>
      </c>
      <c r="E127" s="7">
        <f>+$I$2+(SAMFO[[#This Row],[QUANTITE]]*SAMFO[[#This Row],[PRIX UNITAIRE]])</f>
        <v>94165</v>
      </c>
      <c r="F127" s="22"/>
      <c r="G127" s="6">
        <f>+SUM(E$9:$E127)-SUM(F$9:$F127)</f>
        <v>11837794</v>
      </c>
    </row>
    <row r="128" spans="1:7" ht="28.8" x14ac:dyDescent="0.55000000000000004">
      <c r="A128" s="12">
        <v>45815</v>
      </c>
      <c r="B128" s="13" t="s">
        <v>1279</v>
      </c>
      <c r="C128" s="10">
        <v>5</v>
      </c>
      <c r="D128" s="10">
        <v>28806</v>
      </c>
      <c r="E128" s="7">
        <f>+$I$2+(SAMFO[[#This Row],[QUANTITE]]*SAMFO[[#This Row],[PRIX UNITAIRE]])</f>
        <v>144030</v>
      </c>
      <c r="F128" s="22"/>
      <c r="G128" s="6">
        <f>+SUM(E$9:$E128)-SUM(F$9:$F128)</f>
        <v>11981824</v>
      </c>
    </row>
    <row r="129" spans="1:7" ht="28.8" x14ac:dyDescent="0.55000000000000004">
      <c r="A129" s="12">
        <v>45815</v>
      </c>
      <c r="B129" s="13" t="s">
        <v>1280</v>
      </c>
      <c r="C129" s="10">
        <v>5</v>
      </c>
      <c r="D129" s="10">
        <v>12221</v>
      </c>
      <c r="E129" s="7">
        <f>+$I$2+(SAMFO[[#This Row],[QUANTITE]]*SAMFO[[#This Row],[PRIX UNITAIRE]])</f>
        <v>61105</v>
      </c>
      <c r="F129" s="22"/>
      <c r="G129" s="6">
        <f>+SUM(E$9:$E129)-SUM(F$9:$F129)</f>
        <v>12042929</v>
      </c>
    </row>
    <row r="130" spans="1:7" ht="28.8" x14ac:dyDescent="0.55000000000000004">
      <c r="A130" s="12">
        <v>45815</v>
      </c>
      <c r="B130" s="13" t="s">
        <v>1281</v>
      </c>
      <c r="C130" s="10">
        <v>19</v>
      </c>
      <c r="D130" s="10">
        <v>15093</v>
      </c>
      <c r="E130" s="7">
        <f>+$I$2+(SAMFO[[#This Row],[QUANTITE]]*SAMFO[[#This Row],[PRIX UNITAIRE]])</f>
        <v>286767</v>
      </c>
      <c r="F130" s="22"/>
      <c r="G130" s="6">
        <f>+SUM(E$9:$E130)-SUM(F$9:$F130)</f>
        <v>12329696</v>
      </c>
    </row>
    <row r="131" spans="1:7" ht="28.8" x14ac:dyDescent="0.55000000000000004">
      <c r="A131" s="12">
        <v>45815</v>
      </c>
      <c r="B131" s="13" t="s">
        <v>1282</v>
      </c>
      <c r="C131" s="10">
        <v>5</v>
      </c>
      <c r="D131" s="10">
        <v>15403</v>
      </c>
      <c r="E131" s="7">
        <f>+$I$2+(SAMFO[[#This Row],[QUANTITE]]*SAMFO[[#This Row],[PRIX UNITAIRE]])</f>
        <v>77015</v>
      </c>
      <c r="F131" s="22"/>
      <c r="G131" s="6">
        <f>+SUM(E$9:$E131)-SUM(F$9:$F131)</f>
        <v>12406711</v>
      </c>
    </row>
    <row r="132" spans="1:7" ht="28.8" x14ac:dyDescent="0.55000000000000004">
      <c r="A132" s="12">
        <v>45815</v>
      </c>
      <c r="B132" s="13" t="s">
        <v>1283</v>
      </c>
      <c r="C132" s="10">
        <v>5</v>
      </c>
      <c r="D132" s="10">
        <v>19288</v>
      </c>
      <c r="E132" s="7">
        <f>+$I$2+(SAMFO[[#This Row],[QUANTITE]]*SAMFO[[#This Row],[PRIX UNITAIRE]])</f>
        <v>96440</v>
      </c>
      <c r="F132" s="22"/>
      <c r="G132" s="6">
        <f>+SUM(E$9:$E132)-SUM(F$9:$F132)</f>
        <v>12503151</v>
      </c>
    </row>
    <row r="133" spans="1:7" ht="28.8" x14ac:dyDescent="0.55000000000000004">
      <c r="A133" s="12">
        <v>45815</v>
      </c>
      <c r="B133" s="13" t="s">
        <v>1284</v>
      </c>
      <c r="C133" s="10">
        <v>5</v>
      </c>
      <c r="D133" s="10">
        <v>34800</v>
      </c>
      <c r="E133" s="7">
        <f>+$I$2+(SAMFO[[#This Row],[QUANTITE]]*SAMFO[[#This Row],[PRIX UNITAIRE]])</f>
        <v>174000</v>
      </c>
      <c r="F133" s="22"/>
      <c r="G133" s="6">
        <f>+SUM(E$9:$E133)-SUM(F$9:$F133)</f>
        <v>12677151</v>
      </c>
    </row>
    <row r="134" spans="1:7" ht="28.8" x14ac:dyDescent="0.55000000000000004">
      <c r="A134" s="12">
        <v>45815</v>
      </c>
      <c r="B134" s="13" t="s">
        <v>1285</v>
      </c>
      <c r="C134" s="10">
        <v>1</v>
      </c>
      <c r="D134" s="10">
        <v>17064</v>
      </c>
      <c r="E134" s="7">
        <f>+$I$2+(SAMFO[[#This Row],[QUANTITE]]*SAMFO[[#This Row],[PRIX UNITAIRE]])</f>
        <v>17064</v>
      </c>
      <c r="F134" s="22"/>
      <c r="G134" s="6">
        <f>+SUM(E$9:$E134)-SUM(F$9:$F134)</f>
        <v>12694215</v>
      </c>
    </row>
    <row r="135" spans="1:7" ht="28.8" x14ac:dyDescent="0.55000000000000004">
      <c r="A135" s="12">
        <v>45815</v>
      </c>
      <c r="B135" s="13" t="s">
        <v>1286</v>
      </c>
      <c r="C135" s="10">
        <v>19</v>
      </c>
      <c r="D135" s="10">
        <v>20220</v>
      </c>
      <c r="E135" s="7">
        <f>+$I$2+(SAMFO[[#This Row],[QUANTITE]]*SAMFO[[#This Row],[PRIX UNITAIRE]])</f>
        <v>384180</v>
      </c>
      <c r="F135" s="22"/>
      <c r="G135" s="6">
        <f>+SUM(E$9:$E135)-SUM(F$9:$F135)</f>
        <v>13078395</v>
      </c>
    </row>
    <row r="136" spans="1:7" ht="28.8" x14ac:dyDescent="0.55000000000000004">
      <c r="A136" s="12">
        <v>45831</v>
      </c>
      <c r="B136" s="13" t="s">
        <v>1287</v>
      </c>
      <c r="C136" s="10">
        <v>4</v>
      </c>
      <c r="D136" s="10">
        <v>40000</v>
      </c>
      <c r="E136" s="7">
        <f>+$I$2+(SAMFO[[#This Row],[QUANTITE]]*SAMFO[[#This Row],[PRIX UNITAIRE]])</f>
        <v>160000</v>
      </c>
      <c r="F136" s="22"/>
      <c r="G136" s="6">
        <f>+SUM(E$9:$E136)-SUM(F$9:$F136)</f>
        <v>13238395</v>
      </c>
    </row>
    <row r="137" spans="1:7" ht="28.8" x14ac:dyDescent="0.55000000000000004">
      <c r="A137" s="12">
        <v>45831</v>
      </c>
      <c r="B137" s="13" t="s">
        <v>1067</v>
      </c>
      <c r="C137" s="10">
        <v>4</v>
      </c>
      <c r="D137" s="10">
        <v>75000</v>
      </c>
      <c r="E137" s="7">
        <f>+$I$2+(SAMFO[[#This Row],[QUANTITE]]*SAMFO[[#This Row],[PRIX UNITAIRE]])</f>
        <v>300000</v>
      </c>
      <c r="F137" s="22"/>
      <c r="G137" s="6">
        <f>+SUM(E$9:$E137)-SUM(F$9:$F137)</f>
        <v>13538395</v>
      </c>
    </row>
    <row r="138" spans="1:7" ht="28.8" x14ac:dyDescent="0.55000000000000004">
      <c r="A138" s="12">
        <v>45813</v>
      </c>
      <c r="B138" s="13"/>
      <c r="C138" s="10"/>
      <c r="D138" s="10"/>
      <c r="E138" s="7">
        <f>+$I$2+(SAMFO[[#This Row],[QUANTITE]]*SAMFO[[#This Row],[PRIX UNITAIRE]])</f>
        <v>0</v>
      </c>
      <c r="F138" s="22">
        <v>400000</v>
      </c>
      <c r="G138" s="6">
        <f>+SUM(E$9:$E138)-SUM(F$9:$F138)</f>
        <v>13138395</v>
      </c>
    </row>
    <row r="139" spans="1:7" ht="28.8" x14ac:dyDescent="0.55000000000000004">
      <c r="A139" s="12">
        <v>45822</v>
      </c>
      <c r="B139" s="13"/>
      <c r="C139" s="10"/>
      <c r="D139" s="10"/>
      <c r="E139" s="7">
        <f>+$I$2+(SAMFO[[#This Row],[QUANTITE]]*SAMFO[[#This Row],[PRIX UNITAIRE]])</f>
        <v>0</v>
      </c>
      <c r="F139" s="22">
        <v>514000</v>
      </c>
      <c r="G139" s="6">
        <f>+SUM(E$9:$E139)-SUM(F$9:$F139)</f>
        <v>12624395</v>
      </c>
    </row>
    <row r="140" spans="1:7" ht="28.8" x14ac:dyDescent="0.55000000000000004">
      <c r="A140" s="12">
        <v>45829</v>
      </c>
      <c r="B140" s="13"/>
      <c r="C140" s="10"/>
      <c r="D140" s="10"/>
      <c r="E140" s="7">
        <f>+$I$2+(SAMFO[[#This Row],[QUANTITE]]*SAMFO[[#This Row],[PRIX UNITAIRE]])</f>
        <v>0</v>
      </c>
      <c r="F140" s="22">
        <v>1718000</v>
      </c>
      <c r="G140" s="6">
        <f>+SUM(E$9:$E140)-SUM(F$9:$F140)</f>
        <v>10906395</v>
      </c>
    </row>
    <row r="141" spans="1:7" ht="28.8" x14ac:dyDescent="0.55000000000000004">
      <c r="A141" s="12">
        <v>45831</v>
      </c>
      <c r="B141" s="13"/>
      <c r="C141" s="10"/>
      <c r="D141" s="10"/>
      <c r="E141" s="7">
        <f>+$I$2+(SAMFO[[#This Row],[QUANTITE]]*SAMFO[[#This Row],[PRIX UNITAIRE]])</f>
        <v>0</v>
      </c>
      <c r="F141" s="22">
        <v>450000</v>
      </c>
      <c r="G141" s="6">
        <f>+SUM(E$9:$E141)-SUM(F$9:$F141)</f>
        <v>10456395</v>
      </c>
    </row>
    <row r="142" spans="1:7" ht="28.8" x14ac:dyDescent="0.55000000000000004">
      <c r="A142" s="12">
        <v>45836</v>
      </c>
      <c r="B142" s="13" t="s">
        <v>259</v>
      </c>
      <c r="C142" s="10"/>
      <c r="D142" s="10"/>
      <c r="E142" s="7">
        <f>+$I$2+(SAMFO[[#This Row],[QUANTITE]]*SAMFO[[#This Row],[PRIX UNITAIRE]])</f>
        <v>0</v>
      </c>
      <c r="F142" s="22">
        <v>1355000</v>
      </c>
      <c r="G142" s="6">
        <f>+SUM(E$9:$E142)-SUM(F$9:$F142)</f>
        <v>9101395</v>
      </c>
    </row>
    <row r="143" spans="1:7" ht="28.8" x14ac:dyDescent="0.55000000000000004">
      <c r="A143" s="12">
        <v>45839</v>
      </c>
      <c r="B143" s="13" t="s">
        <v>1288</v>
      </c>
      <c r="C143" s="10">
        <v>30</v>
      </c>
      <c r="D143" s="10">
        <v>7000</v>
      </c>
      <c r="E143" s="7">
        <f>+$I$2+(SAMFO[[#This Row],[QUANTITE]]*SAMFO[[#This Row],[PRIX UNITAIRE]])</f>
        <v>210000</v>
      </c>
      <c r="F143" s="22"/>
      <c r="G143" s="6">
        <f>+SUM(E$9:$E143)-SUM(F$9:$F143)</f>
        <v>9311395</v>
      </c>
    </row>
    <row r="144" spans="1:7" ht="28.8" x14ac:dyDescent="0.55000000000000004">
      <c r="A144" s="12">
        <v>45841</v>
      </c>
      <c r="B144" s="13" t="s">
        <v>1289</v>
      </c>
      <c r="C144" s="10">
        <v>4</v>
      </c>
      <c r="D144" s="10">
        <v>40000</v>
      </c>
      <c r="E144" s="7">
        <f>+$I$2+(SAMFO[[#This Row],[QUANTITE]]*SAMFO[[#This Row],[PRIX UNITAIRE]])</f>
        <v>160000</v>
      </c>
      <c r="F144" s="22"/>
      <c r="G144" s="6">
        <f>+SUM(E$9:$E144)-SUM(F$9:$F144)</f>
        <v>9471395</v>
      </c>
    </row>
    <row r="145" spans="1:7" ht="28.8" x14ac:dyDescent="0.55000000000000004">
      <c r="A145" s="12">
        <v>45841</v>
      </c>
      <c r="B145" s="13" t="s">
        <v>435</v>
      </c>
      <c r="C145" s="10">
        <v>4</v>
      </c>
      <c r="D145" s="10">
        <v>130000</v>
      </c>
      <c r="E145" s="7">
        <f>+$I$2+(SAMFO[[#This Row],[QUANTITE]]*SAMFO[[#This Row],[PRIX UNITAIRE]])</f>
        <v>520000</v>
      </c>
      <c r="F145" s="22"/>
      <c r="G145" s="6">
        <f>+SUM(E$9:$E145)-SUM(F$9:$F145)</f>
        <v>9991395</v>
      </c>
    </row>
    <row r="146" spans="1:7" ht="28.8" x14ac:dyDescent="0.55000000000000004">
      <c r="A146" s="12">
        <v>45841</v>
      </c>
      <c r="B146" s="13" t="s">
        <v>403</v>
      </c>
      <c r="C146" s="10">
        <v>2</v>
      </c>
      <c r="D146" s="10">
        <v>30000</v>
      </c>
      <c r="E146" s="7">
        <f>+$I$2+(SAMFO[[#This Row],[QUANTITE]]*SAMFO[[#This Row],[PRIX UNITAIRE]])</f>
        <v>60000</v>
      </c>
      <c r="F146" s="22"/>
      <c r="G146" s="6">
        <f>+SUM(E$9:$E146)-SUM(F$9:$F146)</f>
        <v>10051395</v>
      </c>
    </row>
    <row r="147" spans="1:7" ht="28.8" x14ac:dyDescent="0.55000000000000004">
      <c r="A147" s="12">
        <v>45841</v>
      </c>
      <c r="B147" s="13" t="s">
        <v>276</v>
      </c>
      <c r="C147" s="10">
        <v>1</v>
      </c>
      <c r="D147" s="10">
        <v>50000</v>
      </c>
      <c r="E147" s="7">
        <f>+$I$2+(SAMFO[[#This Row],[QUANTITE]]*SAMFO[[#This Row],[PRIX UNITAIRE]])</f>
        <v>50000</v>
      </c>
      <c r="F147" s="22"/>
      <c r="G147" s="6">
        <f>+SUM(E$9:$E147)-SUM(F$9:$F147)</f>
        <v>10101395</v>
      </c>
    </row>
    <row r="148" spans="1:7" ht="28.8" x14ac:dyDescent="0.55000000000000004">
      <c r="A148" s="12">
        <v>45843</v>
      </c>
      <c r="B148" s="13" t="s">
        <v>259</v>
      </c>
      <c r="C148" s="10"/>
      <c r="D148" s="10"/>
      <c r="E148" s="7">
        <f>+$I$2+(SAMFO[[#This Row],[QUANTITE]]*SAMFO[[#This Row],[PRIX UNITAIRE]])</f>
        <v>0</v>
      </c>
      <c r="F148" s="22">
        <v>905000</v>
      </c>
      <c r="G148" s="6">
        <f>+SUM(E$9:$E148)-SUM(F$9:$F148)</f>
        <v>9196395</v>
      </c>
    </row>
    <row r="149" spans="1:7" ht="28.8" x14ac:dyDescent="0.55000000000000004">
      <c r="A149" s="12">
        <v>45842</v>
      </c>
      <c r="B149" s="13" t="s">
        <v>2913</v>
      </c>
      <c r="C149" s="10">
        <v>4</v>
      </c>
      <c r="D149" s="10">
        <v>40000</v>
      </c>
      <c r="E149" s="7">
        <f>+$I$2+(SAMFO[[#This Row],[QUANTITE]]*SAMFO[[#This Row],[PRIX UNITAIRE]])</f>
        <v>160000</v>
      </c>
      <c r="F149" s="22"/>
      <c r="G149" s="6">
        <f>+SUM(E$9:$E149)-SUM(F$9:$F149)</f>
        <v>9356395</v>
      </c>
    </row>
    <row r="150" spans="1:7" ht="28.8" x14ac:dyDescent="0.55000000000000004">
      <c r="A150" s="12">
        <v>45848</v>
      </c>
      <c r="B150" s="13" t="s">
        <v>2914</v>
      </c>
      <c r="C150" s="10">
        <v>4</v>
      </c>
      <c r="D150" s="10">
        <v>25000</v>
      </c>
      <c r="E150" s="7">
        <f>+$I$2+(SAMFO[[#This Row],[QUANTITE]]*SAMFO[[#This Row],[PRIX UNITAIRE]])</f>
        <v>100000</v>
      </c>
      <c r="F150" s="22"/>
      <c r="G150" s="6">
        <f>+SUM(E$9:$E150)-SUM(F$9:$F150)</f>
        <v>9456395</v>
      </c>
    </row>
    <row r="151" spans="1:7" ht="28.8" x14ac:dyDescent="0.55000000000000004">
      <c r="A151" s="12">
        <v>45848</v>
      </c>
      <c r="B151" s="13" t="s">
        <v>2915</v>
      </c>
      <c r="C151" s="10">
        <v>10</v>
      </c>
      <c r="D151" s="10">
        <v>20000</v>
      </c>
      <c r="E151" s="7">
        <f>+$I$2+(SAMFO[[#This Row],[QUANTITE]]*SAMFO[[#This Row],[PRIX UNITAIRE]])</f>
        <v>200000</v>
      </c>
      <c r="F151" s="22"/>
      <c r="G151" s="6">
        <f>+SUM(E$9:$E151)-SUM(F$9:$F151)</f>
        <v>9656395</v>
      </c>
    </row>
    <row r="152" spans="1:7" ht="28.8" x14ac:dyDescent="0.55000000000000004">
      <c r="A152" s="12">
        <v>45848</v>
      </c>
      <c r="B152" s="13" t="s">
        <v>2916</v>
      </c>
      <c r="C152" s="10">
        <v>10</v>
      </c>
      <c r="D152" s="10">
        <v>20000</v>
      </c>
      <c r="E152" s="7">
        <f>+$I$2+(SAMFO[[#This Row],[QUANTITE]]*SAMFO[[#This Row],[PRIX UNITAIRE]])</f>
        <v>200000</v>
      </c>
      <c r="F152" s="22"/>
      <c r="G152" s="6">
        <f>+SUM(E$9:$E152)-SUM(F$9:$F152)</f>
        <v>9856395</v>
      </c>
    </row>
    <row r="153" spans="1:7" ht="28.8" x14ac:dyDescent="0.55000000000000004">
      <c r="A153" s="12">
        <v>45848</v>
      </c>
      <c r="B153" s="13" t="s">
        <v>2917</v>
      </c>
      <c r="C153" s="10">
        <v>8</v>
      </c>
      <c r="D153" s="10">
        <v>30000</v>
      </c>
      <c r="E153" s="7">
        <f>+$I$2+(SAMFO[[#This Row],[QUANTITE]]*SAMFO[[#This Row],[PRIX UNITAIRE]])</f>
        <v>240000</v>
      </c>
      <c r="F153" s="22"/>
      <c r="G153" s="6">
        <f>+SUM(E$9:$E153)-SUM(F$9:$F153)</f>
        <v>10096395</v>
      </c>
    </row>
    <row r="154" spans="1:7" ht="28.8" x14ac:dyDescent="0.55000000000000004">
      <c r="A154" s="12">
        <v>45848</v>
      </c>
      <c r="B154" s="13" t="s">
        <v>249</v>
      </c>
      <c r="C154" s="10">
        <v>4</v>
      </c>
      <c r="D154" s="10">
        <v>105000</v>
      </c>
      <c r="E154" s="7">
        <f>+$I$2+(SAMFO[[#This Row],[QUANTITE]]*SAMFO[[#This Row],[PRIX UNITAIRE]])</f>
        <v>420000</v>
      </c>
      <c r="F154" s="22"/>
      <c r="G154" s="6">
        <f>+SUM(E$9:$E154)-SUM(F$9:$F154)</f>
        <v>10516395</v>
      </c>
    </row>
    <row r="155" spans="1:7" ht="28.8" x14ac:dyDescent="0.55000000000000004">
      <c r="A155" s="12">
        <v>45848</v>
      </c>
      <c r="B155" s="13" t="s">
        <v>2918</v>
      </c>
      <c r="C155" s="10">
        <v>5</v>
      </c>
      <c r="D155" s="10">
        <v>50000</v>
      </c>
      <c r="E155" s="7">
        <f>+$I$2+(SAMFO[[#This Row],[QUANTITE]]*SAMFO[[#This Row],[PRIX UNITAIRE]])</f>
        <v>250000</v>
      </c>
      <c r="F155" s="22"/>
      <c r="G155" s="6">
        <f>+SUM(E$9:$E155)-SUM(F$9:$F155)</f>
        <v>10766395</v>
      </c>
    </row>
    <row r="156" spans="1:7" ht="28.8" x14ac:dyDescent="0.55000000000000004">
      <c r="A156" s="12">
        <v>45848</v>
      </c>
      <c r="B156" s="13" t="s">
        <v>2919</v>
      </c>
      <c r="C156" s="10">
        <v>6</v>
      </c>
      <c r="D156" s="10">
        <v>40000</v>
      </c>
      <c r="E156" s="7">
        <f>+$I$2+(SAMFO[[#This Row],[QUANTITE]]*SAMFO[[#This Row],[PRIX UNITAIRE]])</f>
        <v>240000</v>
      </c>
      <c r="F156" s="22"/>
      <c r="G156" s="6">
        <f>+SUM(E$9:$E156)-SUM(F$9:$F156)</f>
        <v>11006395</v>
      </c>
    </row>
    <row r="157" spans="1:7" ht="28.8" x14ac:dyDescent="0.55000000000000004">
      <c r="A157" s="12">
        <v>45848</v>
      </c>
      <c r="B157" s="13" t="s">
        <v>2920</v>
      </c>
      <c r="C157" s="10">
        <v>10</v>
      </c>
      <c r="D157" s="10">
        <v>24000</v>
      </c>
      <c r="E157" s="7">
        <f>+$I$2+(SAMFO[[#This Row],[QUANTITE]]*SAMFO[[#This Row],[PRIX UNITAIRE]])</f>
        <v>240000</v>
      </c>
      <c r="F157" s="22"/>
      <c r="G157" s="6">
        <f>+SUM(E$9:$E157)-SUM(F$9:$F157)</f>
        <v>11246395</v>
      </c>
    </row>
    <row r="158" spans="1:7" ht="28.8" x14ac:dyDescent="0.55000000000000004">
      <c r="A158" s="67">
        <v>45850</v>
      </c>
      <c r="B158" s="13" t="s">
        <v>433</v>
      </c>
      <c r="C158" s="68"/>
      <c r="D158" s="68"/>
      <c r="E158" s="64">
        <f>+$I$2+(SAMFO[[#This Row],[QUANTITE]]*SAMFO[[#This Row],[PRIX UNITAIRE]])</f>
        <v>0</v>
      </c>
      <c r="F158" s="65">
        <v>650000</v>
      </c>
      <c r="G158" s="66">
        <f>+SUM(E$9:$E158)-SUM(F$9:$F158)</f>
        <v>10596395</v>
      </c>
    </row>
    <row r="159" spans="1:7" ht="28.8" x14ac:dyDescent="0.55000000000000004">
      <c r="A159" s="67">
        <v>45857</v>
      </c>
      <c r="B159" s="13" t="s">
        <v>259</v>
      </c>
      <c r="C159" s="68"/>
      <c r="D159" s="68"/>
      <c r="E159" s="64">
        <f>+$I$2+(SAMFO[[#This Row],[QUANTITE]]*SAMFO[[#This Row],[PRIX UNITAIRE]])</f>
        <v>0</v>
      </c>
      <c r="F159" s="65">
        <v>881000</v>
      </c>
      <c r="G159" s="66">
        <f>+SUM(E$9:$E159)-SUM(F$9:$F159)</f>
        <v>9715395</v>
      </c>
    </row>
    <row r="160" spans="1:7" ht="28.8" x14ac:dyDescent="0.55000000000000004">
      <c r="A160" s="67">
        <v>45864</v>
      </c>
      <c r="B160" s="13" t="s">
        <v>259</v>
      </c>
      <c r="C160" s="68"/>
      <c r="D160" s="68"/>
      <c r="E160" s="64">
        <f>+$I$2+(SAMFO[[#This Row],[QUANTITE]]*SAMFO[[#This Row],[PRIX UNITAIRE]])</f>
        <v>0</v>
      </c>
      <c r="F160" s="65">
        <v>727000</v>
      </c>
      <c r="G160" s="66">
        <f>+SUM(E$9:$E160)-SUM(F$9:$F160)</f>
        <v>8988395</v>
      </c>
    </row>
    <row r="161" spans="1:7" ht="28.8" x14ac:dyDescent="0.55000000000000004">
      <c r="A161" s="12">
        <v>45866</v>
      </c>
      <c r="B161" s="13" t="s">
        <v>2921</v>
      </c>
      <c r="C161" s="10">
        <v>2</v>
      </c>
      <c r="D161" s="10">
        <v>35000</v>
      </c>
      <c r="E161" s="7">
        <f>+$I$2+(SAMFO[[#This Row],[QUANTITE]]*SAMFO[[#This Row],[PRIX UNITAIRE]])</f>
        <v>70000</v>
      </c>
      <c r="F161" s="22"/>
      <c r="G161" s="6">
        <f>+SUM(E$9:$E161)-SUM(F$9:$F161)</f>
        <v>9058395</v>
      </c>
    </row>
    <row r="162" spans="1:7" ht="28.8" x14ac:dyDescent="0.55000000000000004">
      <c r="A162" s="12">
        <v>45866</v>
      </c>
      <c r="B162" s="13" t="s">
        <v>2922</v>
      </c>
      <c r="C162" s="10">
        <v>2</v>
      </c>
      <c r="D162" s="10">
        <v>35000</v>
      </c>
      <c r="E162" s="7">
        <f>+$I$2+(SAMFO[[#This Row],[QUANTITE]]*SAMFO[[#This Row],[PRIX UNITAIRE]])</f>
        <v>70000</v>
      </c>
      <c r="F162" s="22"/>
      <c r="G162" s="6">
        <f>+SUM(E$9:$E162)-SUM(F$9:$F162)</f>
        <v>9128395</v>
      </c>
    </row>
    <row r="163" spans="1:7" ht="28.8" x14ac:dyDescent="0.55000000000000004">
      <c r="A163" s="12">
        <v>45866</v>
      </c>
      <c r="B163" s="13" t="s">
        <v>2710</v>
      </c>
      <c r="C163" s="10">
        <v>2</v>
      </c>
      <c r="D163" s="10">
        <v>65000</v>
      </c>
      <c r="E163" s="7">
        <f>+$I$2+(SAMFO[[#This Row],[QUANTITE]]*SAMFO[[#This Row],[PRIX UNITAIRE]])</f>
        <v>130000</v>
      </c>
      <c r="F163" s="22"/>
      <c r="G163" s="6">
        <f>+SUM(E$9:$E163)-SUM(F$9:$F163)</f>
        <v>9258395</v>
      </c>
    </row>
    <row r="164" spans="1:7" ht="28.8" x14ac:dyDescent="0.55000000000000004">
      <c r="A164" s="12">
        <v>45868</v>
      </c>
      <c r="B164" s="13" t="s">
        <v>2923</v>
      </c>
      <c r="C164" s="10">
        <v>1</v>
      </c>
      <c r="D164" s="10">
        <v>75000</v>
      </c>
      <c r="E164" s="7">
        <f>+$I$2+(SAMFO[[#This Row],[QUANTITE]]*SAMFO[[#This Row],[PRIX UNITAIRE]])</f>
        <v>75000</v>
      </c>
      <c r="F164" s="22"/>
      <c r="G164" s="6">
        <f>+SUM(E$9:$E164)-SUM(F$9:$F164)</f>
        <v>9333395</v>
      </c>
    </row>
    <row r="165" spans="1:7" ht="28.8" x14ac:dyDescent="0.55000000000000004">
      <c r="A165" s="12">
        <v>45868</v>
      </c>
      <c r="B165" s="13" t="s">
        <v>2924</v>
      </c>
      <c r="C165" s="10">
        <v>4</v>
      </c>
      <c r="D165" s="10">
        <v>24000</v>
      </c>
      <c r="E165" s="7">
        <f>+$I$2+(SAMFO[[#This Row],[QUANTITE]]*SAMFO[[#This Row],[PRIX UNITAIRE]])</f>
        <v>96000</v>
      </c>
      <c r="F165" s="22"/>
      <c r="G165" s="6">
        <f>+SUM(E$9:$E165)-SUM(F$9:$F165)</f>
        <v>9429395</v>
      </c>
    </row>
    <row r="166" spans="1:7" ht="28.8" x14ac:dyDescent="0.55000000000000004">
      <c r="A166" s="12">
        <v>45868</v>
      </c>
      <c r="B166" s="13" t="s">
        <v>2925</v>
      </c>
      <c r="C166" s="10">
        <v>4</v>
      </c>
      <c r="D166" s="10">
        <v>35000</v>
      </c>
      <c r="E166" s="7">
        <f>+$I$2+(SAMFO[[#This Row],[QUANTITE]]*SAMFO[[#This Row],[PRIX UNITAIRE]])</f>
        <v>140000</v>
      </c>
      <c r="F166" s="22"/>
      <c r="G166" s="6">
        <f>+SUM(E$9:$E166)-SUM(F$9:$F166)</f>
        <v>9569395</v>
      </c>
    </row>
    <row r="167" spans="1:7" ht="28.8" x14ac:dyDescent="0.55000000000000004">
      <c r="A167" s="12">
        <v>45871</v>
      </c>
      <c r="B167" s="13" t="s">
        <v>433</v>
      </c>
      <c r="C167" s="10"/>
      <c r="D167" s="10"/>
      <c r="E167" s="7">
        <f>+$I$2+(SAMFO[[#This Row],[QUANTITE]]*SAMFO[[#This Row],[PRIX UNITAIRE]])</f>
        <v>0</v>
      </c>
      <c r="F167" s="22">
        <v>947000</v>
      </c>
      <c r="G167" s="6">
        <f>+SUM(E$9:$E167)-SUM(F$9:$F167)</f>
        <v>8622395</v>
      </c>
    </row>
    <row r="168" spans="1:7" ht="28.8" x14ac:dyDescent="0.55000000000000004">
      <c r="A168" s="12">
        <v>45885</v>
      </c>
      <c r="B168" s="13" t="s">
        <v>433</v>
      </c>
      <c r="C168" s="10"/>
      <c r="D168" s="10"/>
      <c r="E168" s="7">
        <f>+$I$2+(SAMFO[[#This Row],[QUANTITE]]*SAMFO[[#This Row],[PRIX UNITAIRE]])</f>
        <v>0</v>
      </c>
      <c r="F168" s="22">
        <v>430000</v>
      </c>
      <c r="G168" s="6">
        <f>+SUM(E$9:$E168)-SUM(F$9:$F168)</f>
        <v>8192395</v>
      </c>
    </row>
    <row r="169" spans="1:7" ht="28.8" x14ac:dyDescent="0.55000000000000004">
      <c r="A169" s="12">
        <v>45889</v>
      </c>
      <c r="B169" s="13" t="s">
        <v>3022</v>
      </c>
      <c r="C169" s="10">
        <v>3</v>
      </c>
      <c r="D169" s="10">
        <v>70000</v>
      </c>
      <c r="E169" s="7">
        <f>+$I$2+(SAMFO[[#This Row],[QUANTITE]]*SAMFO[[#This Row],[PRIX UNITAIRE]])</f>
        <v>210000</v>
      </c>
      <c r="F169" s="22"/>
      <c r="G169" s="6">
        <f>+SUM(E$9:$E169)-SUM(F$9:$F169)</f>
        <v>8402395</v>
      </c>
    </row>
    <row r="170" spans="1:7" ht="28.8" x14ac:dyDescent="0.55000000000000004">
      <c r="A170" s="12">
        <v>45892</v>
      </c>
      <c r="B170" s="13" t="s">
        <v>259</v>
      </c>
      <c r="C170" s="10"/>
      <c r="D170" s="10"/>
      <c r="E170" s="7">
        <f>+$I$2+(SAMFO[[#This Row],[QUANTITE]]*SAMFO[[#This Row],[PRIX UNITAIRE]])</f>
        <v>0</v>
      </c>
      <c r="F170" s="22">
        <v>804000</v>
      </c>
      <c r="G170" s="6">
        <f>+SUM(E$9:$E170)-SUM(F$9:$F170)</f>
        <v>7598395</v>
      </c>
    </row>
    <row r="171" spans="1:7" ht="28.8" x14ac:dyDescent="0.55000000000000004">
      <c r="A171" s="12">
        <v>45899</v>
      </c>
      <c r="B171" s="13" t="s">
        <v>259</v>
      </c>
      <c r="C171" s="10"/>
      <c r="D171" s="10"/>
      <c r="E171" s="7">
        <f>+$I$2+(SAMFO[[#This Row],[QUANTITE]]*SAMFO[[#This Row],[PRIX UNITAIRE]])</f>
        <v>0</v>
      </c>
      <c r="F171" s="22">
        <v>275000</v>
      </c>
      <c r="G171" s="6">
        <f>+SUM(E$9:$E171)-SUM(F$9:$F171)</f>
        <v>7323395</v>
      </c>
    </row>
    <row r="172" spans="1:7" ht="28.8" x14ac:dyDescent="0.55000000000000004">
      <c r="A172" s="12">
        <v>45906</v>
      </c>
      <c r="B172" s="13" t="s">
        <v>259</v>
      </c>
      <c r="C172" s="10"/>
      <c r="D172" s="10"/>
      <c r="E172" s="7">
        <f>+$I$2+(SAMFO[[#This Row],[QUANTITE]]*SAMFO[[#This Row],[PRIX UNITAIRE]])</f>
        <v>0</v>
      </c>
      <c r="F172" s="22">
        <v>307000</v>
      </c>
      <c r="G172" s="6">
        <f>+SUM(E$9:$E172)-SUM(F$9:$F172)</f>
        <v>7016395</v>
      </c>
    </row>
    <row r="173" spans="1:7" ht="28.8" x14ac:dyDescent="0.55000000000000004">
      <c r="A173" s="12">
        <v>45913</v>
      </c>
      <c r="B173" s="13" t="s">
        <v>259</v>
      </c>
      <c r="C173" s="10"/>
      <c r="D173" s="10"/>
      <c r="E173" s="7">
        <f>+$I$2+(SAMFO[[#This Row],[QUANTITE]]*SAMFO[[#This Row],[PRIX UNITAIRE]])</f>
        <v>0</v>
      </c>
      <c r="F173" s="22">
        <v>421000</v>
      </c>
      <c r="G173" s="6">
        <f>+SUM(E$9:$E173)-SUM(F$9:$F173)</f>
        <v>6595395</v>
      </c>
    </row>
    <row r="174" spans="1:7" ht="28.8" x14ac:dyDescent="0.55000000000000004">
      <c r="A174" s="12">
        <v>45919</v>
      </c>
      <c r="B174" s="13" t="s">
        <v>3070</v>
      </c>
      <c r="C174" s="10">
        <v>6</v>
      </c>
      <c r="D174" s="10">
        <v>72500</v>
      </c>
      <c r="E174" s="7">
        <f>+$I$2+(SAMFO[[#This Row],[QUANTITE]]*SAMFO[[#This Row],[PRIX UNITAIRE]])</f>
        <v>435000</v>
      </c>
      <c r="F174" s="22"/>
      <c r="G174" s="6">
        <f>+SUM(E$9:$E174)-SUM(F$9:$F174)</f>
        <v>7030395</v>
      </c>
    </row>
    <row r="175" spans="1:7" ht="28.8" x14ac:dyDescent="0.55000000000000004">
      <c r="A175" s="12">
        <v>45919</v>
      </c>
      <c r="B175" s="13" t="s">
        <v>3071</v>
      </c>
      <c r="C175" s="10">
        <v>1</v>
      </c>
      <c r="D175" s="10">
        <v>27500</v>
      </c>
      <c r="E175" s="7">
        <f>+$I$2+(SAMFO[[#This Row],[QUANTITE]]*SAMFO[[#This Row],[PRIX UNITAIRE]])</f>
        <v>27500</v>
      </c>
      <c r="F175" s="22">
        <v>27500</v>
      </c>
      <c r="G175" s="6">
        <f>+SUM(E$9:$E175)-SUM(F$9:$F175)</f>
        <v>7030395</v>
      </c>
    </row>
    <row r="176" spans="1:7" ht="28.8" x14ac:dyDescent="0.55000000000000004">
      <c r="A176" s="12">
        <v>45920</v>
      </c>
      <c r="B176" s="13" t="s">
        <v>433</v>
      </c>
      <c r="C176" s="10"/>
      <c r="D176" s="10"/>
      <c r="E176" s="7">
        <f>+$I$2+(SAMFO[[#This Row],[QUANTITE]]*SAMFO[[#This Row],[PRIX UNITAIRE]])</f>
        <v>0</v>
      </c>
      <c r="F176" s="22">
        <v>890000</v>
      </c>
      <c r="G176" s="6">
        <f>+SUM(E$9:$E176)-SUM(F$9:$F176)</f>
        <v>6140395</v>
      </c>
    </row>
    <row r="177" spans="1:7" ht="28.8" x14ac:dyDescent="0.55000000000000004">
      <c r="A177" s="12">
        <v>45924</v>
      </c>
      <c r="B177" s="13" t="s">
        <v>257</v>
      </c>
      <c r="C177" s="10">
        <v>4</v>
      </c>
      <c r="D177" s="10">
        <v>125000</v>
      </c>
      <c r="E177" s="7">
        <f>+$I$2+(SAMFO[[#This Row],[QUANTITE]]*SAMFO[[#This Row],[PRIX UNITAIRE]])</f>
        <v>500000</v>
      </c>
      <c r="F177" s="22"/>
      <c r="G177" s="6">
        <f>+SUM(E$9:$E177)-SUM(F$9:$F177)</f>
        <v>6640395</v>
      </c>
    </row>
    <row r="178" spans="1:7" ht="28.8" x14ac:dyDescent="0.55000000000000004">
      <c r="A178" s="12">
        <v>45925</v>
      </c>
      <c r="B178" s="13" t="s">
        <v>3085</v>
      </c>
      <c r="C178" s="10">
        <v>5</v>
      </c>
      <c r="D178" s="10">
        <v>125000</v>
      </c>
      <c r="E178" s="7">
        <f>+$I$2+(SAMFO[[#This Row],[QUANTITE]]*SAMFO[[#This Row],[PRIX UNITAIRE]])</f>
        <v>625000</v>
      </c>
      <c r="F178" s="22"/>
      <c r="G178" s="6">
        <f>+SUM(E$9:$E178)-SUM(F$9:$F178)</f>
        <v>7265395</v>
      </c>
    </row>
    <row r="179" spans="1:7" ht="28.8" x14ac:dyDescent="0.55000000000000004">
      <c r="A179" s="12">
        <v>45925</v>
      </c>
      <c r="B179" s="13" t="s">
        <v>249</v>
      </c>
      <c r="C179" s="10">
        <v>2</v>
      </c>
      <c r="D179" s="10">
        <v>105000</v>
      </c>
      <c r="E179" s="7">
        <f>+$I$2+(SAMFO[[#This Row],[QUANTITE]]*SAMFO[[#This Row],[PRIX UNITAIRE]])</f>
        <v>210000</v>
      </c>
      <c r="F179" s="22"/>
      <c r="G179" s="6">
        <f>+SUM(E$9:$E179)-SUM(F$9:$F179)</f>
        <v>7475395</v>
      </c>
    </row>
    <row r="180" spans="1:7" ht="28.8" x14ac:dyDescent="0.55000000000000004">
      <c r="A180" s="12">
        <v>45925</v>
      </c>
      <c r="B180" s="13" t="s">
        <v>2976</v>
      </c>
      <c r="C180" s="10">
        <v>4</v>
      </c>
      <c r="D180" s="10">
        <v>120000</v>
      </c>
      <c r="E180" s="7">
        <f>+$I$2+(SAMFO[[#This Row],[QUANTITE]]*SAMFO[[#This Row],[PRIX UNITAIRE]])</f>
        <v>480000</v>
      </c>
      <c r="F180" s="22"/>
      <c r="G180" s="6">
        <f>+SUM(E$9:$E180)-SUM(F$9:$F180)</f>
        <v>7955395</v>
      </c>
    </row>
    <row r="181" spans="1:7" ht="28.8" x14ac:dyDescent="0.55000000000000004">
      <c r="A181" s="12">
        <v>45926</v>
      </c>
      <c r="B181" s="13" t="s">
        <v>2976</v>
      </c>
      <c r="C181" s="10">
        <v>4</v>
      </c>
      <c r="D181" s="10">
        <v>120000</v>
      </c>
      <c r="E181" s="7">
        <f>+$I$2+(SAMFO[[#This Row],[QUANTITE]]*SAMFO[[#This Row],[PRIX UNITAIRE]])</f>
        <v>480000</v>
      </c>
      <c r="F181" s="22"/>
      <c r="G181" s="6">
        <f>+SUM(E$9:$E181)-SUM(F$9:$F181)</f>
        <v>8435395</v>
      </c>
    </row>
    <row r="182" spans="1:7" ht="28.8" x14ac:dyDescent="0.55000000000000004">
      <c r="A182" s="12">
        <v>45926</v>
      </c>
      <c r="B182" s="13" t="s">
        <v>276</v>
      </c>
      <c r="C182" s="10">
        <v>4</v>
      </c>
      <c r="D182" s="10">
        <v>50000</v>
      </c>
      <c r="E182" s="7">
        <f>+$I$2+(SAMFO[[#This Row],[QUANTITE]]*SAMFO[[#This Row],[PRIX UNITAIRE]])</f>
        <v>200000</v>
      </c>
      <c r="F182" s="22"/>
      <c r="G182" s="6">
        <f>+SUM(E$9:$E182)-SUM(F$9:$F182)</f>
        <v>8635395</v>
      </c>
    </row>
    <row r="183" spans="1:7" ht="28.8" x14ac:dyDescent="0.55000000000000004">
      <c r="A183" s="12">
        <v>45926</v>
      </c>
      <c r="B183" s="13" t="s">
        <v>275</v>
      </c>
      <c r="C183" s="10">
        <v>4</v>
      </c>
      <c r="D183" s="10">
        <v>60000</v>
      </c>
      <c r="E183" s="7">
        <f>+$I$2+(SAMFO[[#This Row],[QUANTITE]]*SAMFO[[#This Row],[PRIX UNITAIRE]])</f>
        <v>240000</v>
      </c>
      <c r="F183" s="22"/>
      <c r="G183" s="6">
        <f>+SUM(E$9:$E183)-SUM(F$9:$F183)</f>
        <v>8875395</v>
      </c>
    </row>
    <row r="184" spans="1:7" ht="28.8" x14ac:dyDescent="0.55000000000000004">
      <c r="A184" s="12">
        <v>45926</v>
      </c>
      <c r="B184" s="13" t="s">
        <v>258</v>
      </c>
      <c r="C184" s="10">
        <v>4</v>
      </c>
      <c r="D184" s="10">
        <v>40000</v>
      </c>
      <c r="E184" s="7">
        <f>+$I$2+(SAMFO[[#This Row],[QUANTITE]]*SAMFO[[#This Row],[PRIX UNITAIRE]])</f>
        <v>160000</v>
      </c>
      <c r="F184" s="22"/>
      <c r="G184" s="6">
        <f>+SUM(E$9:$E184)-SUM(F$9:$F184)</f>
        <v>9035395</v>
      </c>
    </row>
    <row r="185" spans="1:7" ht="28.8" x14ac:dyDescent="0.55000000000000004">
      <c r="A185" s="12">
        <v>45926</v>
      </c>
      <c r="B185" s="13" t="s">
        <v>410</v>
      </c>
      <c r="C185" s="10">
        <v>4</v>
      </c>
      <c r="D185" s="10">
        <v>25000</v>
      </c>
      <c r="E185" s="7">
        <f>+$I$2+(SAMFO[[#This Row],[QUANTITE]]*SAMFO[[#This Row],[PRIX UNITAIRE]])</f>
        <v>100000</v>
      </c>
      <c r="F185" s="22"/>
      <c r="G185" s="6">
        <f>+SUM(E$9:$E185)-SUM(F$9:$F185)</f>
        <v>9135395</v>
      </c>
    </row>
    <row r="186" spans="1:7" ht="28.8" x14ac:dyDescent="0.55000000000000004">
      <c r="A186" s="12">
        <v>45926</v>
      </c>
      <c r="B186" s="13" t="s">
        <v>3101</v>
      </c>
      <c r="C186" s="10">
        <v>2</v>
      </c>
      <c r="D186" s="10">
        <v>22219</v>
      </c>
      <c r="E186" s="7">
        <f>+$I$2+(SAMFO[[#This Row],[QUANTITE]]*SAMFO[[#This Row],[PRIX UNITAIRE]])</f>
        <v>44438</v>
      </c>
      <c r="F186" s="22"/>
      <c r="G186" s="6">
        <f>+SUM(E$9:$E186)-SUM(F$9:$F186)</f>
        <v>9179833</v>
      </c>
    </row>
    <row r="187" spans="1:7" ht="28.8" x14ac:dyDescent="0.55000000000000004">
      <c r="A187" s="12">
        <v>45926</v>
      </c>
      <c r="B187" s="13" t="s">
        <v>3102</v>
      </c>
      <c r="C187" s="10">
        <v>2</v>
      </c>
      <c r="D187" s="10">
        <v>6513</v>
      </c>
      <c r="E187" s="7">
        <f>+$I$2+(SAMFO[[#This Row],[QUANTITE]]*SAMFO[[#This Row],[PRIX UNITAIRE]])</f>
        <v>13026</v>
      </c>
      <c r="F187" s="22"/>
      <c r="G187" s="6">
        <f>+SUM(E$9:$E187)-SUM(F$9:$F187)</f>
        <v>9192859</v>
      </c>
    </row>
    <row r="188" spans="1:7" ht="28.8" x14ac:dyDescent="0.55000000000000004">
      <c r="A188" s="12">
        <v>45926</v>
      </c>
      <c r="B188" s="13" t="s">
        <v>3103</v>
      </c>
      <c r="C188" s="10">
        <v>2</v>
      </c>
      <c r="D188" s="10">
        <v>6073</v>
      </c>
      <c r="E188" s="7">
        <f>+$I$2+(SAMFO[[#This Row],[QUANTITE]]*SAMFO[[#This Row],[PRIX UNITAIRE]])</f>
        <v>12146</v>
      </c>
      <c r="F188" s="22"/>
      <c r="G188" s="6">
        <f>+SUM(E$9:$E188)-SUM(F$9:$F188)</f>
        <v>9205005</v>
      </c>
    </row>
    <row r="189" spans="1:7" ht="28.8" x14ac:dyDescent="0.55000000000000004">
      <c r="A189" s="12">
        <v>45926</v>
      </c>
      <c r="B189" s="13" t="s">
        <v>3104</v>
      </c>
      <c r="C189" s="10">
        <v>2</v>
      </c>
      <c r="D189" s="10">
        <v>21230</v>
      </c>
      <c r="E189" s="7">
        <f>+$I$2+(SAMFO[[#This Row],[QUANTITE]]*SAMFO[[#This Row],[PRIX UNITAIRE]])</f>
        <v>42460</v>
      </c>
      <c r="F189" s="22"/>
      <c r="G189" s="6">
        <f>+SUM(E$9:$E189)-SUM(F$9:$F189)</f>
        <v>9247465</v>
      </c>
    </row>
    <row r="190" spans="1:7" ht="28.8" x14ac:dyDescent="0.55000000000000004">
      <c r="A190" s="12">
        <v>45926</v>
      </c>
      <c r="B190" s="13" t="s">
        <v>3105</v>
      </c>
      <c r="C190" s="10">
        <v>2</v>
      </c>
      <c r="D190" s="10">
        <v>19778</v>
      </c>
      <c r="E190" s="7">
        <f>+$I$2+(SAMFO[[#This Row],[QUANTITE]]*SAMFO[[#This Row],[PRIX UNITAIRE]])</f>
        <v>39556</v>
      </c>
      <c r="F190" s="22"/>
      <c r="G190" s="6">
        <f>+SUM(E$9:$E190)-SUM(F$9:$F190)</f>
        <v>9287021</v>
      </c>
    </row>
    <row r="191" spans="1:7" ht="28.8" x14ac:dyDescent="0.55000000000000004">
      <c r="A191" s="12">
        <v>45926</v>
      </c>
      <c r="B191" s="13" t="s">
        <v>3106</v>
      </c>
      <c r="C191" s="10">
        <v>2</v>
      </c>
      <c r="D191" s="10">
        <v>20747</v>
      </c>
      <c r="E191" s="7">
        <f>+$I$2+(SAMFO[[#This Row],[QUANTITE]]*SAMFO[[#This Row],[PRIX UNITAIRE]])</f>
        <v>41494</v>
      </c>
      <c r="F191" s="22"/>
      <c r="G191" s="6">
        <f>+SUM(E$9:$E191)-SUM(F$9:$F191)</f>
        <v>9328515</v>
      </c>
    </row>
    <row r="192" spans="1:7" ht="28.8" x14ac:dyDescent="0.55000000000000004">
      <c r="A192" s="12">
        <v>45926</v>
      </c>
      <c r="B192" s="13" t="s">
        <v>3107</v>
      </c>
      <c r="C192" s="10">
        <v>2</v>
      </c>
      <c r="D192" s="10">
        <v>17467</v>
      </c>
      <c r="E192" s="7">
        <f>+$I$2+(SAMFO[[#This Row],[QUANTITE]]*SAMFO[[#This Row],[PRIX UNITAIRE]])</f>
        <v>34934</v>
      </c>
      <c r="F192" s="22"/>
      <c r="G192" s="6">
        <f>+SUM(E$9:$E192)-SUM(F$9:$F192)</f>
        <v>9363449</v>
      </c>
    </row>
    <row r="193" spans="1:7" ht="28.8" x14ac:dyDescent="0.55000000000000004">
      <c r="A193" s="12">
        <v>45926</v>
      </c>
      <c r="B193" s="13" t="s">
        <v>3108</v>
      </c>
      <c r="C193" s="10">
        <v>2</v>
      </c>
      <c r="D193" s="10">
        <v>10561</v>
      </c>
      <c r="E193" s="7">
        <f>+$I$2+(SAMFO[[#This Row],[QUANTITE]]*SAMFO[[#This Row],[PRIX UNITAIRE]])</f>
        <v>21122</v>
      </c>
      <c r="F193" s="22"/>
      <c r="G193" s="6">
        <f>+SUM(E$9:$E193)-SUM(F$9:$F193)</f>
        <v>9384571</v>
      </c>
    </row>
    <row r="194" spans="1:7" ht="28.8" x14ac:dyDescent="0.55000000000000004">
      <c r="A194" s="12">
        <v>45927</v>
      </c>
      <c r="B194" s="13" t="s">
        <v>433</v>
      </c>
      <c r="C194" s="10"/>
      <c r="D194" s="10"/>
      <c r="E194" s="7">
        <f>+$I$2+(SAMFO[[#This Row],[QUANTITE]]*SAMFO[[#This Row],[PRIX UNITAIRE]])</f>
        <v>0</v>
      </c>
      <c r="F194" s="22">
        <v>1032000</v>
      </c>
      <c r="G194" s="6">
        <f>+SUM(E$9:$E194)-SUM(F$9:$F194)</f>
        <v>8352571</v>
      </c>
    </row>
    <row r="195" spans="1:7" ht="28.8" x14ac:dyDescent="0.55000000000000004">
      <c r="A195" s="12">
        <v>45931</v>
      </c>
      <c r="B195" s="13" t="s">
        <v>3070</v>
      </c>
      <c r="C195" s="10">
        <v>10</v>
      </c>
      <c r="D195" s="10">
        <v>65000</v>
      </c>
      <c r="E195" s="7">
        <f>+$I$2+(SAMFO[[#This Row],[QUANTITE]]*SAMFO[[#This Row],[PRIX UNITAIRE]])</f>
        <v>650000</v>
      </c>
      <c r="F195" s="22"/>
      <c r="G195" s="6">
        <f>+SUM(E$9:$E195)-SUM(F$9:$F195)</f>
        <v>9002571</v>
      </c>
    </row>
    <row r="196" spans="1:7" ht="28.8" x14ac:dyDescent="0.55000000000000004">
      <c r="A196" s="12">
        <v>45931</v>
      </c>
      <c r="B196" s="13" t="s">
        <v>3124</v>
      </c>
      <c r="C196" s="10">
        <v>1</v>
      </c>
      <c r="D196" s="10">
        <v>2045</v>
      </c>
      <c r="E196" s="7">
        <f>+$I$2+(SAMFO[[#This Row],[QUANTITE]]*SAMFO[[#This Row],[PRIX UNITAIRE]])</f>
        <v>2045</v>
      </c>
      <c r="F196" s="22"/>
      <c r="G196" s="6">
        <f>+SUM(E$9:$E196)-SUM(F$9:$F196)</f>
        <v>9004616</v>
      </c>
    </row>
    <row r="197" spans="1:7" ht="28.8" x14ac:dyDescent="0.55000000000000004">
      <c r="A197" s="12">
        <v>45931</v>
      </c>
      <c r="B197" s="13" t="s">
        <v>3125</v>
      </c>
      <c r="C197" s="10">
        <v>1</v>
      </c>
      <c r="D197" s="10">
        <v>4495</v>
      </c>
      <c r="E197" s="7">
        <f>+$I$2+(SAMFO[[#This Row],[QUANTITE]]*SAMFO[[#This Row],[PRIX UNITAIRE]])</f>
        <v>4495</v>
      </c>
      <c r="F197" s="22"/>
      <c r="G197" s="6">
        <f>+SUM(E$9:$E197)-SUM(F$9:$F197)</f>
        <v>9009111</v>
      </c>
    </row>
    <row r="198" spans="1:7" ht="28.8" x14ac:dyDescent="0.55000000000000004">
      <c r="A198" s="12">
        <v>45931</v>
      </c>
      <c r="B198" s="13" t="s">
        <v>3126</v>
      </c>
      <c r="C198" s="10">
        <v>1</v>
      </c>
      <c r="D198" s="10">
        <v>4442</v>
      </c>
      <c r="E198" s="7">
        <f>+$I$2+(SAMFO[[#This Row],[QUANTITE]]*SAMFO[[#This Row],[PRIX UNITAIRE]])</f>
        <v>4442</v>
      </c>
      <c r="F198" s="22"/>
      <c r="G198" s="6">
        <f>+SUM(E$9:$E198)-SUM(F$9:$F198)</f>
        <v>9013553</v>
      </c>
    </row>
    <row r="199" spans="1:7" ht="28.8" x14ac:dyDescent="0.55000000000000004">
      <c r="A199" s="12">
        <v>45931</v>
      </c>
      <c r="B199" s="13" t="s">
        <v>3127</v>
      </c>
      <c r="C199" s="10">
        <v>1</v>
      </c>
      <c r="D199" s="10">
        <v>4697</v>
      </c>
      <c r="E199" s="7">
        <f>+$I$2+(SAMFO[[#This Row],[QUANTITE]]*SAMFO[[#This Row],[PRIX UNITAIRE]])</f>
        <v>4697</v>
      </c>
      <c r="F199" s="22"/>
      <c r="G199" s="6">
        <f>+SUM(E$9:$E199)-SUM(F$9:$F199)</f>
        <v>9018250</v>
      </c>
    </row>
    <row r="200" spans="1:7" ht="28.8" x14ac:dyDescent="0.55000000000000004">
      <c r="A200" s="12">
        <v>45931</v>
      </c>
      <c r="B200" s="13" t="s">
        <v>3128</v>
      </c>
      <c r="C200" s="10">
        <v>1</v>
      </c>
      <c r="D200" s="10">
        <v>10796</v>
      </c>
      <c r="E200" s="7">
        <f>+$I$2+(SAMFO[[#This Row],[QUANTITE]]*SAMFO[[#This Row],[PRIX UNITAIRE]])</f>
        <v>10796</v>
      </c>
      <c r="F200" s="22"/>
      <c r="G200" s="6">
        <f>+SUM(E$9:$E200)-SUM(F$9:$F200)</f>
        <v>9029046</v>
      </c>
    </row>
    <row r="201" spans="1:7" ht="28.8" x14ac:dyDescent="0.55000000000000004">
      <c r="A201" s="12">
        <v>45931</v>
      </c>
      <c r="B201" s="13" t="s">
        <v>3129</v>
      </c>
      <c r="C201" s="10">
        <v>1</v>
      </c>
      <c r="D201" s="10">
        <v>3549</v>
      </c>
      <c r="E201" s="7">
        <f>+$I$2+(SAMFO[[#This Row],[QUANTITE]]*SAMFO[[#This Row],[PRIX UNITAIRE]])</f>
        <v>3549</v>
      </c>
      <c r="F201" s="22"/>
      <c r="G201" s="6">
        <f>+SUM(E$9:$E201)-SUM(F$9:$F201)</f>
        <v>9032595</v>
      </c>
    </row>
    <row r="202" spans="1:7" ht="28.8" x14ac:dyDescent="0.55000000000000004">
      <c r="A202" s="12">
        <v>45931</v>
      </c>
      <c r="B202" s="13" t="s">
        <v>3130</v>
      </c>
      <c r="C202" s="10">
        <v>1</v>
      </c>
      <c r="D202" s="10">
        <v>4798</v>
      </c>
      <c r="E202" s="7">
        <f>+$I$2+(SAMFO[[#This Row],[QUANTITE]]*SAMFO[[#This Row],[PRIX UNITAIRE]])</f>
        <v>4798</v>
      </c>
      <c r="F202" s="22"/>
      <c r="G202" s="6">
        <f>+SUM(E$9:$E202)-SUM(F$9:$F202)</f>
        <v>9037393</v>
      </c>
    </row>
    <row r="203" spans="1:7" ht="28.8" x14ac:dyDescent="0.55000000000000004">
      <c r="A203" s="12">
        <v>45931</v>
      </c>
      <c r="B203" s="13" t="s">
        <v>3131</v>
      </c>
      <c r="C203" s="10">
        <v>1</v>
      </c>
      <c r="D203" s="10">
        <v>17131</v>
      </c>
      <c r="E203" s="7">
        <f>+$I$2+(SAMFO[[#This Row],[QUANTITE]]*SAMFO[[#This Row],[PRIX UNITAIRE]])</f>
        <v>17131</v>
      </c>
      <c r="F203" s="22"/>
      <c r="G203" s="6">
        <f>+SUM(E$9:$E203)-SUM(F$9:$F203)</f>
        <v>9054524</v>
      </c>
    </row>
    <row r="204" spans="1:7" ht="28.8" x14ac:dyDescent="0.55000000000000004">
      <c r="A204" s="12">
        <v>45931</v>
      </c>
      <c r="B204" s="13" t="s">
        <v>3132</v>
      </c>
      <c r="C204" s="10">
        <v>1</v>
      </c>
      <c r="D204" s="10">
        <v>8177</v>
      </c>
      <c r="E204" s="7">
        <f>+$I$2+(SAMFO[[#This Row],[QUANTITE]]*SAMFO[[#This Row],[PRIX UNITAIRE]])</f>
        <v>8177</v>
      </c>
      <c r="F204" s="22"/>
      <c r="G204" s="6">
        <f>+SUM(E$9:$E204)-SUM(F$9:$F204)</f>
        <v>9062701</v>
      </c>
    </row>
    <row r="205" spans="1:7" ht="28.8" x14ac:dyDescent="0.55000000000000004">
      <c r="A205" s="12">
        <v>45931</v>
      </c>
      <c r="B205" s="13" t="s">
        <v>3133</v>
      </c>
      <c r="C205" s="10">
        <v>1</v>
      </c>
      <c r="D205" s="10">
        <v>16322</v>
      </c>
      <c r="E205" s="7">
        <f>+$I$2+(SAMFO[[#This Row],[QUANTITE]]*SAMFO[[#This Row],[PRIX UNITAIRE]])</f>
        <v>16322</v>
      </c>
      <c r="F205" s="22"/>
      <c r="G205" s="6">
        <f>+SUM(E$9:$E205)-SUM(F$9:$F205)</f>
        <v>9079023</v>
      </c>
    </row>
    <row r="206" spans="1:7" ht="28.8" x14ac:dyDescent="0.55000000000000004">
      <c r="A206" s="12">
        <v>45931</v>
      </c>
      <c r="B206" s="13" t="s">
        <v>3134</v>
      </c>
      <c r="C206" s="10">
        <v>1</v>
      </c>
      <c r="D206" s="10">
        <v>5811</v>
      </c>
      <c r="E206" s="7">
        <f>+$I$2+(SAMFO[[#This Row],[QUANTITE]]*SAMFO[[#This Row],[PRIX UNITAIRE]])</f>
        <v>5811</v>
      </c>
      <c r="F206" s="22"/>
      <c r="G206" s="6">
        <f>+SUM(E$9:$E206)-SUM(F$9:$F206)</f>
        <v>9084834</v>
      </c>
    </row>
    <row r="207" spans="1:7" ht="28.8" x14ac:dyDescent="0.55000000000000004">
      <c r="A207" s="12">
        <v>45931</v>
      </c>
      <c r="B207" s="13" t="s">
        <v>3135</v>
      </c>
      <c r="C207" s="10">
        <v>1</v>
      </c>
      <c r="D207" s="10">
        <v>8481</v>
      </c>
      <c r="E207" s="7">
        <f>+$I$2+(SAMFO[[#This Row],[QUANTITE]]*SAMFO[[#This Row],[PRIX UNITAIRE]])</f>
        <v>8481</v>
      </c>
      <c r="F207" s="22"/>
      <c r="G207" s="6">
        <f>+SUM(E$9:$E207)-SUM(F$9:$F207)</f>
        <v>9093315</v>
      </c>
    </row>
    <row r="208" spans="1:7" ht="28.8" x14ac:dyDescent="0.55000000000000004">
      <c r="A208" s="12">
        <v>45931</v>
      </c>
      <c r="B208" s="13" t="s">
        <v>3136</v>
      </c>
      <c r="C208" s="10">
        <v>1</v>
      </c>
      <c r="D208" s="10">
        <v>8700</v>
      </c>
      <c r="E208" s="7">
        <f>+$I$2+(SAMFO[[#This Row],[QUANTITE]]*SAMFO[[#This Row],[PRIX UNITAIRE]])</f>
        <v>8700</v>
      </c>
      <c r="F208" s="22"/>
      <c r="G208" s="6">
        <f>+SUM(E$9:$E208)-SUM(F$9:$F208)</f>
        <v>9102015</v>
      </c>
    </row>
    <row r="209" spans="1:7" ht="28.8" x14ac:dyDescent="0.55000000000000004">
      <c r="A209" s="12">
        <v>45931</v>
      </c>
      <c r="B209" s="13" t="s">
        <v>3137</v>
      </c>
      <c r="C209" s="10">
        <v>1</v>
      </c>
      <c r="D209" s="10">
        <v>7147</v>
      </c>
      <c r="E209" s="7">
        <f>+$I$2+(SAMFO[[#This Row],[QUANTITE]]*SAMFO[[#This Row],[PRIX UNITAIRE]])</f>
        <v>7147</v>
      </c>
      <c r="F209" s="22"/>
      <c r="G209" s="6">
        <f>+SUM(E$9:$E209)-SUM(F$9:$F209)</f>
        <v>9109162</v>
      </c>
    </row>
    <row r="210" spans="1:7" ht="28.8" x14ac:dyDescent="0.55000000000000004">
      <c r="A210" s="12">
        <v>45931</v>
      </c>
      <c r="B210" s="13" t="s">
        <v>3138</v>
      </c>
      <c r="C210" s="10">
        <v>1</v>
      </c>
      <c r="D210" s="10">
        <v>8785</v>
      </c>
      <c r="E210" s="7">
        <f>+$I$2+(SAMFO[[#This Row],[QUANTITE]]*SAMFO[[#This Row],[PRIX UNITAIRE]])</f>
        <v>8785</v>
      </c>
      <c r="F210" s="22"/>
      <c r="G210" s="6">
        <f>+SUM(E$9:$E210)-SUM(F$9:$F210)</f>
        <v>9117947</v>
      </c>
    </row>
    <row r="211" spans="1:7" ht="28.8" x14ac:dyDescent="0.55000000000000004">
      <c r="A211" s="12">
        <v>45931</v>
      </c>
      <c r="B211" s="13" t="s">
        <v>3139</v>
      </c>
      <c r="C211" s="10">
        <v>1</v>
      </c>
      <c r="D211" s="10">
        <v>14936</v>
      </c>
      <c r="E211" s="7">
        <f>+$I$2+(SAMFO[[#This Row],[QUANTITE]]*SAMFO[[#This Row],[PRIX UNITAIRE]])</f>
        <v>14936</v>
      </c>
      <c r="F211" s="22"/>
      <c r="G211" s="6">
        <f>+SUM(E$9:$E211)-SUM(F$9:$F211)</f>
        <v>9132883</v>
      </c>
    </row>
    <row r="212" spans="1:7" ht="28.8" x14ac:dyDescent="0.55000000000000004">
      <c r="A212" s="12">
        <v>45931</v>
      </c>
      <c r="B212" s="13" t="s">
        <v>3140</v>
      </c>
      <c r="C212" s="10">
        <v>1</v>
      </c>
      <c r="D212" s="10">
        <v>13177</v>
      </c>
      <c r="E212" s="7">
        <f>+$I$2+(SAMFO[[#This Row],[QUANTITE]]*SAMFO[[#This Row],[PRIX UNITAIRE]])</f>
        <v>13177</v>
      </c>
      <c r="F212" s="22"/>
      <c r="G212" s="6">
        <f>+SUM(E$9:$E212)-SUM(F$9:$F212)</f>
        <v>9146060</v>
      </c>
    </row>
    <row r="213" spans="1:7" ht="28.8" x14ac:dyDescent="0.55000000000000004">
      <c r="A213" s="12">
        <v>45931</v>
      </c>
      <c r="B213" s="13" t="s">
        <v>3141</v>
      </c>
      <c r="C213" s="10">
        <v>2</v>
      </c>
      <c r="D213" s="10">
        <v>7114</v>
      </c>
      <c r="E213" s="7">
        <f>+$I$2+(SAMFO[[#This Row],[QUANTITE]]*SAMFO[[#This Row],[PRIX UNITAIRE]])</f>
        <v>14228</v>
      </c>
      <c r="F213" s="22"/>
      <c r="G213" s="6">
        <f>+SUM(E$9:$E213)-SUM(F$9:$F213)</f>
        <v>9160288</v>
      </c>
    </row>
    <row r="214" spans="1:7" ht="28.8" x14ac:dyDescent="0.55000000000000004">
      <c r="A214" s="12">
        <v>45931</v>
      </c>
      <c r="B214" s="13" t="s">
        <v>3142</v>
      </c>
      <c r="C214" s="10">
        <v>2</v>
      </c>
      <c r="D214" s="10">
        <v>8625</v>
      </c>
      <c r="E214" s="7">
        <f>+$I$2+(SAMFO[[#This Row],[QUANTITE]]*SAMFO[[#This Row],[PRIX UNITAIRE]])</f>
        <v>17250</v>
      </c>
      <c r="F214" s="22"/>
      <c r="G214" s="6">
        <f>+SUM(E$9:$E214)-SUM(F$9:$F214)</f>
        <v>9177538</v>
      </c>
    </row>
    <row r="215" spans="1:7" ht="28.8" x14ac:dyDescent="0.55000000000000004">
      <c r="A215" s="12">
        <v>45931</v>
      </c>
      <c r="B215" s="13" t="s">
        <v>3143</v>
      </c>
      <c r="C215" s="10">
        <v>2</v>
      </c>
      <c r="D215" s="10">
        <v>6000</v>
      </c>
      <c r="E215" s="7">
        <f>+$I$2+(SAMFO[[#This Row],[QUANTITE]]*SAMFO[[#This Row],[PRIX UNITAIRE]])</f>
        <v>12000</v>
      </c>
      <c r="F215" s="22"/>
      <c r="G215" s="6">
        <f>+SUM(E$9:$E215)-SUM(F$9:$F215)</f>
        <v>9189538</v>
      </c>
    </row>
    <row r="216" spans="1:7" ht="28.8" x14ac:dyDescent="0.55000000000000004">
      <c r="A216" s="12">
        <v>45931</v>
      </c>
      <c r="B216" s="13" t="s">
        <v>3144</v>
      </c>
      <c r="C216" s="10">
        <v>2</v>
      </c>
      <c r="D216" s="10">
        <v>8177</v>
      </c>
      <c r="E216" s="7">
        <f>+$I$2+(SAMFO[[#This Row],[QUANTITE]]*SAMFO[[#This Row],[PRIX UNITAIRE]])</f>
        <v>16354</v>
      </c>
      <c r="F216" s="22"/>
      <c r="G216" s="6">
        <f>+SUM(E$9:$E216)-SUM(F$9:$F216)</f>
        <v>9205892</v>
      </c>
    </row>
    <row r="217" spans="1:7" ht="28.8" x14ac:dyDescent="0.55000000000000004">
      <c r="A217" s="12">
        <v>45931</v>
      </c>
      <c r="B217" s="13" t="s">
        <v>3145</v>
      </c>
      <c r="C217" s="10">
        <v>2</v>
      </c>
      <c r="D217" s="10">
        <v>13213</v>
      </c>
      <c r="E217" s="7">
        <f>+$I$2+(SAMFO[[#This Row],[QUANTITE]]*SAMFO[[#This Row],[PRIX UNITAIRE]])</f>
        <v>26426</v>
      </c>
      <c r="F217" s="22"/>
      <c r="G217" s="6">
        <f>+SUM(E$9:$E217)-SUM(F$9:$F217)</f>
        <v>9232318</v>
      </c>
    </row>
    <row r="218" spans="1:7" ht="28.8" x14ac:dyDescent="0.55000000000000004">
      <c r="A218" s="12">
        <v>45931</v>
      </c>
      <c r="B218" s="13" t="s">
        <v>3146</v>
      </c>
      <c r="C218" s="10">
        <v>1</v>
      </c>
      <c r="D218" s="10">
        <v>8111</v>
      </c>
      <c r="E218" s="7">
        <f>+$I$2+(SAMFO[[#This Row],[QUANTITE]]*SAMFO[[#This Row],[PRIX UNITAIRE]])</f>
        <v>8111</v>
      </c>
      <c r="F218" s="22"/>
      <c r="G218" s="6">
        <f>+SUM(E$9:$E218)-SUM(F$9:$F218)</f>
        <v>9240429</v>
      </c>
    </row>
    <row r="219" spans="1:7" ht="28.8" x14ac:dyDescent="0.55000000000000004">
      <c r="A219" s="12">
        <v>45933</v>
      </c>
      <c r="B219" s="13" t="s">
        <v>2976</v>
      </c>
      <c r="C219" s="10">
        <v>6</v>
      </c>
      <c r="D219" s="10">
        <v>120000</v>
      </c>
      <c r="E219" s="7">
        <f>+$I$2+(SAMFO[[#This Row],[QUANTITE]]*SAMFO[[#This Row],[PRIX UNITAIRE]])</f>
        <v>720000</v>
      </c>
      <c r="F219" s="22"/>
      <c r="G219" s="6">
        <f>+SUM(E$9:$E219)-SUM(F$9:$F219)</f>
        <v>9960429</v>
      </c>
    </row>
    <row r="220" spans="1:7" ht="28.8" x14ac:dyDescent="0.55000000000000004">
      <c r="A220" s="12">
        <v>45933</v>
      </c>
      <c r="B220" s="13" t="s">
        <v>3022</v>
      </c>
      <c r="C220" s="10">
        <v>3</v>
      </c>
      <c r="D220" s="10"/>
      <c r="E220" s="7">
        <f>+$I$2+(SAMFO[[#This Row],[QUANTITE]]*SAMFO[[#This Row],[PRIX UNITAIRE]])</f>
        <v>0</v>
      </c>
      <c r="F220" s="22"/>
      <c r="G220" s="6">
        <f>+SUM(E$9:$E220)-SUM(F$9:$F220)</f>
        <v>9960429</v>
      </c>
    </row>
    <row r="221" spans="1:7" ht="28.8" x14ac:dyDescent="0.55000000000000004">
      <c r="A221" s="12">
        <v>45934</v>
      </c>
      <c r="B221" s="13" t="s">
        <v>2976</v>
      </c>
      <c r="C221" s="10">
        <v>2</v>
      </c>
      <c r="D221" s="10">
        <v>120000</v>
      </c>
      <c r="E221" s="7">
        <f>+$I$2+(SAMFO[[#This Row],[QUANTITE]]*SAMFO[[#This Row],[PRIX UNITAIRE]])</f>
        <v>240000</v>
      </c>
      <c r="F221" s="22"/>
      <c r="G221" s="6">
        <f>+SUM(E$9:$E221)-SUM(F$9:$F221)</f>
        <v>10200429</v>
      </c>
    </row>
    <row r="222" spans="1:7" ht="28.8" x14ac:dyDescent="0.55000000000000004">
      <c r="A222" s="12">
        <v>45934</v>
      </c>
      <c r="B222" s="13" t="s">
        <v>714</v>
      </c>
      <c r="C222" s="10">
        <v>2</v>
      </c>
      <c r="D222" s="10">
        <v>105000</v>
      </c>
      <c r="E222" s="7">
        <f>+$I$2+(SAMFO[[#This Row],[QUANTITE]]*SAMFO[[#This Row],[PRIX UNITAIRE]])</f>
        <v>210000</v>
      </c>
      <c r="F222" s="22"/>
      <c r="G222" s="6">
        <f>+SUM(E$9:$E222)-SUM(F$9:$F222)</f>
        <v>10410429</v>
      </c>
    </row>
    <row r="223" spans="1:7" ht="28.8" x14ac:dyDescent="0.55000000000000004">
      <c r="A223" s="12">
        <v>45934</v>
      </c>
      <c r="B223" s="13" t="s">
        <v>2896</v>
      </c>
      <c r="C223" s="10">
        <v>4</v>
      </c>
      <c r="D223" s="10">
        <v>107000</v>
      </c>
      <c r="E223" s="7">
        <f>+$I$2+(SAMFO[[#This Row],[QUANTITE]]*SAMFO[[#This Row],[PRIX UNITAIRE]])</f>
        <v>428000</v>
      </c>
      <c r="F223" s="22"/>
      <c r="G223" s="6">
        <f>+SUM(E$9:$E223)-SUM(F$9:$F223)</f>
        <v>10838429</v>
      </c>
    </row>
    <row r="224" spans="1:7" ht="28.8" x14ac:dyDescent="0.55000000000000004">
      <c r="A224" s="12">
        <v>45934</v>
      </c>
      <c r="B224" s="13" t="s">
        <v>259</v>
      </c>
      <c r="C224" s="10"/>
      <c r="D224" s="10"/>
      <c r="E224" s="7">
        <f>+$I$2+(SAMFO[[#This Row],[QUANTITE]]*SAMFO[[#This Row],[PRIX UNITAIRE]])</f>
        <v>0</v>
      </c>
      <c r="F224" s="22">
        <v>2352000</v>
      </c>
      <c r="G224" s="6">
        <f>+SUM(E$9:$E224)-SUM(F$9:$F224)</f>
        <v>8486429</v>
      </c>
    </row>
    <row r="225" spans="1:7" ht="28.8" x14ac:dyDescent="0.55000000000000004">
      <c r="A225" s="12">
        <v>45936</v>
      </c>
      <c r="B225" s="13" t="s">
        <v>2976</v>
      </c>
      <c r="C225" s="10">
        <v>3</v>
      </c>
      <c r="D225" s="10">
        <v>128000</v>
      </c>
      <c r="E225" s="7">
        <f>+$I$2+(SAMFO[[#This Row],[QUANTITE]]*SAMFO[[#This Row],[PRIX UNITAIRE]])</f>
        <v>384000</v>
      </c>
      <c r="F225" s="22"/>
      <c r="G225" s="6">
        <f>+SUM(E$9:$E225)-SUM(F$9:$F225)</f>
        <v>8870429</v>
      </c>
    </row>
    <row r="226" spans="1:7" ht="28.8" x14ac:dyDescent="0.55000000000000004">
      <c r="A226" s="12">
        <v>45936</v>
      </c>
      <c r="B226" s="13" t="s">
        <v>3153</v>
      </c>
      <c r="C226" s="10">
        <v>1</v>
      </c>
      <c r="D226" s="10">
        <v>30000</v>
      </c>
      <c r="E226" s="7">
        <f>+$I$2+(SAMFO[[#This Row],[QUANTITE]]*SAMFO[[#This Row],[PRIX UNITAIRE]])</f>
        <v>30000</v>
      </c>
      <c r="F226" s="22"/>
      <c r="G226" s="6">
        <f>+SUM(E$9:$E226)-SUM(F$9:$F226)</f>
        <v>8900429</v>
      </c>
    </row>
    <row r="227" spans="1:7" ht="28.8" x14ac:dyDescent="0.55000000000000004">
      <c r="A227" s="12">
        <v>45936</v>
      </c>
      <c r="B227" s="13" t="s">
        <v>3154</v>
      </c>
      <c r="C227" s="10">
        <v>2</v>
      </c>
      <c r="D227" s="10">
        <v>65000</v>
      </c>
      <c r="E227" s="7">
        <f>+$I$2+(SAMFO[[#This Row],[QUANTITE]]*SAMFO[[#This Row],[PRIX UNITAIRE]])</f>
        <v>130000</v>
      </c>
      <c r="F227" s="22"/>
      <c r="G227" s="6">
        <f>+SUM(E$9:$E227)-SUM(F$9:$F227)</f>
        <v>9030429</v>
      </c>
    </row>
    <row r="228" spans="1:7" ht="28.8" x14ac:dyDescent="0.55000000000000004">
      <c r="A228" s="12">
        <v>45938</v>
      </c>
      <c r="B228" s="13" t="s">
        <v>251</v>
      </c>
      <c r="C228" s="10">
        <v>10</v>
      </c>
      <c r="D228" s="10">
        <v>23000</v>
      </c>
      <c r="E228" s="7">
        <f>+$I$2+(SAMFO[[#This Row],[QUANTITE]]*SAMFO[[#This Row],[PRIX UNITAIRE]])</f>
        <v>230000</v>
      </c>
      <c r="F228" s="22"/>
      <c r="G228" s="6">
        <f>+SUM(E$9:$E228)-SUM(F$9:$F228)</f>
        <v>9260429</v>
      </c>
    </row>
    <row r="229" spans="1:7" ht="28.8" x14ac:dyDescent="0.55000000000000004">
      <c r="A229" s="110">
        <v>45938</v>
      </c>
      <c r="B229" s="13" t="s">
        <v>3164</v>
      </c>
      <c r="C229" s="112">
        <v>2</v>
      </c>
      <c r="D229" s="112">
        <v>15000</v>
      </c>
      <c r="E229" s="113">
        <f>+$I$2+(SAMFO[[#This Row],[QUANTITE]]*SAMFO[[#This Row],[PRIX UNITAIRE]])</f>
        <v>30000</v>
      </c>
      <c r="F229" s="114"/>
      <c r="G229" s="115">
        <f>+SUM(E$9:$E229)-SUM(F$9:$F229)</f>
        <v>9290429</v>
      </c>
    </row>
    <row r="230" spans="1:7" ht="28.8" x14ac:dyDescent="0.55000000000000004">
      <c r="A230" s="110">
        <v>45938</v>
      </c>
      <c r="B230" s="13" t="s">
        <v>3323</v>
      </c>
      <c r="C230" s="112">
        <v>2</v>
      </c>
      <c r="D230" s="112">
        <v>135000</v>
      </c>
      <c r="E230" s="113">
        <f>+$I$2+(SAMFO[[#This Row],[QUANTITE]]*SAMFO[[#This Row],[PRIX UNITAIRE]])</f>
        <v>270000</v>
      </c>
      <c r="F230" s="114"/>
      <c r="G230" s="115">
        <f>+SUM(E$9:$E230)-SUM(F$9:$F230)</f>
        <v>9560429</v>
      </c>
    </row>
    <row r="231" spans="1:7" ht="28.8" x14ac:dyDescent="0.55000000000000004">
      <c r="A231" s="110">
        <v>45941</v>
      </c>
      <c r="B231" s="13" t="s">
        <v>259</v>
      </c>
      <c r="C231" s="112"/>
      <c r="D231" s="112"/>
      <c r="E231" s="113">
        <f>+$I$2+(SAMFO[[#This Row],[QUANTITE]]*SAMFO[[#This Row],[PRIX UNITAIRE]])</f>
        <v>0</v>
      </c>
      <c r="F231" s="114">
        <v>1230000</v>
      </c>
      <c r="G231" s="115">
        <f>+SUM(E$9:$E231)-SUM(F$9:$F231)</f>
        <v>8330429</v>
      </c>
    </row>
    <row r="232" spans="1:7" ht="28.8" x14ac:dyDescent="0.55000000000000004">
      <c r="A232" s="110">
        <v>45944</v>
      </c>
      <c r="B232" s="13" t="s">
        <v>3324</v>
      </c>
      <c r="C232" s="112">
        <v>12</v>
      </c>
      <c r="D232" s="112">
        <v>113000</v>
      </c>
      <c r="E232" s="113">
        <f>+$I$2+(SAMFO[[#This Row],[QUANTITE]]*SAMFO[[#This Row],[PRIX UNITAIRE]])</f>
        <v>1356000</v>
      </c>
      <c r="F232" s="114"/>
      <c r="G232" s="115">
        <f>+SUM(E$9:$E232)-SUM(F$9:$F232)</f>
        <v>9686429</v>
      </c>
    </row>
    <row r="233" spans="1:7" ht="28.8" x14ac:dyDescent="0.55000000000000004">
      <c r="A233" s="110">
        <v>45946</v>
      </c>
      <c r="B233" s="13" t="s">
        <v>259</v>
      </c>
      <c r="C233" s="112"/>
      <c r="D233" s="112"/>
      <c r="E233" s="113">
        <f>+$I$2+(SAMFO[[#This Row],[QUANTITE]]*SAMFO[[#This Row],[PRIX UNITAIRE]])</f>
        <v>0</v>
      </c>
      <c r="F233" s="114">
        <v>4000000</v>
      </c>
      <c r="G233" s="115">
        <f>+SUM(E$9:$E233)-SUM(F$9:$F233)</f>
        <v>5686429</v>
      </c>
    </row>
    <row r="234" spans="1:7" ht="28.8" x14ac:dyDescent="0.55000000000000004">
      <c r="A234" s="110">
        <v>45947</v>
      </c>
      <c r="B234" s="13" t="s">
        <v>534</v>
      </c>
      <c r="C234" s="112">
        <v>4</v>
      </c>
      <c r="D234" s="112">
        <v>42500</v>
      </c>
      <c r="E234" s="113">
        <f>+$I$2+(SAMFO[[#This Row],[QUANTITE]]*SAMFO[[#This Row],[PRIX UNITAIRE]])</f>
        <v>170000</v>
      </c>
      <c r="F234" s="114"/>
      <c r="G234" s="115">
        <f>+SUM(E$9:$E234)-SUM(F$9:$F234)</f>
        <v>5856429</v>
      </c>
    </row>
    <row r="235" spans="1:7" ht="28.8" x14ac:dyDescent="0.55000000000000004">
      <c r="A235" s="110">
        <v>45948</v>
      </c>
      <c r="B235" s="13" t="s">
        <v>259</v>
      </c>
      <c r="C235" s="112"/>
      <c r="D235" s="112"/>
      <c r="E235" s="113">
        <f>+$I$2+(SAMFO[[#This Row],[QUANTITE]]*SAMFO[[#This Row],[PRIX UNITAIRE]])</f>
        <v>0</v>
      </c>
      <c r="F235" s="114">
        <v>1318000</v>
      </c>
      <c r="G235" s="115">
        <f>+SUM(E$9:$E235)-SUM(F$9:$F235)</f>
        <v>4538429</v>
      </c>
    </row>
    <row r="236" spans="1:7" ht="28.8" x14ac:dyDescent="0.55000000000000004">
      <c r="A236" s="110">
        <v>45954</v>
      </c>
      <c r="B236" s="13" t="s">
        <v>260</v>
      </c>
      <c r="C236" s="112">
        <v>20</v>
      </c>
      <c r="D236" s="112">
        <v>117000</v>
      </c>
      <c r="E236" s="113">
        <f>+$I$2+(SAMFO[[#This Row],[QUANTITE]]*SAMFO[[#This Row],[PRIX UNITAIRE]])</f>
        <v>2340000</v>
      </c>
      <c r="F236" s="114"/>
      <c r="G236" s="115">
        <f>+SUM(E$9:$E236)-SUM(F$9:$F236)</f>
        <v>6878429</v>
      </c>
    </row>
    <row r="237" spans="1:7" ht="28.8" x14ac:dyDescent="0.55000000000000004">
      <c r="A237" s="110">
        <v>45954</v>
      </c>
      <c r="B237" s="13" t="s">
        <v>259</v>
      </c>
      <c r="C237" s="112"/>
      <c r="D237" s="112"/>
      <c r="E237" s="113">
        <f>+$I$2+(SAMFO[[#This Row],[QUANTITE]]*SAMFO[[#This Row],[PRIX UNITAIRE]])</f>
        <v>0</v>
      </c>
      <c r="F237" s="114">
        <v>1298000</v>
      </c>
      <c r="G237" s="115">
        <f>+SUM(E$9:$E237)-SUM(F$9:$F237)</f>
        <v>5580429</v>
      </c>
    </row>
    <row r="238" spans="1:7" ht="28.8" x14ac:dyDescent="0.55000000000000004">
      <c r="A238" s="110">
        <v>45978</v>
      </c>
      <c r="B238" s="13" t="s">
        <v>2909</v>
      </c>
      <c r="C238" s="112">
        <v>4</v>
      </c>
      <c r="D238" s="112">
        <v>80000</v>
      </c>
      <c r="E238" s="113">
        <f>+$I$2+(SAMFO[[#This Row],[QUANTITE]]*SAMFO[[#This Row],[PRIX UNITAIRE]])</f>
        <v>320000</v>
      </c>
      <c r="F238" s="114"/>
      <c r="G238" s="115">
        <f>+SUM(E$9:$E238)-SUM(F$9:$F238)</f>
        <v>5900429</v>
      </c>
    </row>
    <row r="239" spans="1:7" ht="28.8" x14ac:dyDescent="0.55000000000000004">
      <c r="A239" s="110">
        <v>45978</v>
      </c>
      <c r="B239" s="13" t="s">
        <v>1026</v>
      </c>
      <c r="C239" s="112">
        <v>2</v>
      </c>
      <c r="D239" s="112">
        <v>18000</v>
      </c>
      <c r="E239" s="113">
        <f>+$I$2+(SAMFO[[#This Row],[QUANTITE]]*SAMFO[[#This Row],[PRIX UNITAIRE]])</f>
        <v>36000</v>
      </c>
      <c r="F239" s="114"/>
      <c r="G239" s="115">
        <f>+SUM(E$9:$E239)-SUM(F$9:$F239)</f>
        <v>5936429</v>
      </c>
    </row>
    <row r="240" spans="1:7" ht="28.8" x14ac:dyDescent="0.55000000000000004">
      <c r="A240" s="110">
        <v>45962</v>
      </c>
      <c r="B240" s="13" t="s">
        <v>259</v>
      </c>
      <c r="C240" s="112"/>
      <c r="D240" s="112"/>
      <c r="E240" s="113">
        <f>+$I$2+(SAMFO[[#This Row],[QUANTITE]]*SAMFO[[#This Row],[PRIX UNITAIRE]])</f>
        <v>0</v>
      </c>
      <c r="F240" s="114">
        <v>790000</v>
      </c>
      <c r="G240" s="115">
        <f>+SUM(E$9:$E240)-SUM(F$9:$F240)</f>
        <v>5146429</v>
      </c>
    </row>
    <row r="241" spans="1:7" ht="28.8" x14ac:dyDescent="0.55000000000000004">
      <c r="A241" s="110">
        <v>45969</v>
      </c>
      <c r="B241" s="13" t="s">
        <v>259</v>
      </c>
      <c r="C241" s="112"/>
      <c r="D241" s="112"/>
      <c r="E241" s="113">
        <f>+$I$2+(SAMFO[[#This Row],[QUANTITE]]*SAMFO[[#This Row],[PRIX UNITAIRE]])</f>
        <v>0</v>
      </c>
      <c r="F241" s="114">
        <v>1263000</v>
      </c>
      <c r="G241" s="115">
        <f>+SUM(E$9:$E241)-SUM(F$9:$F241)</f>
        <v>3883429</v>
      </c>
    </row>
    <row r="242" spans="1:7" ht="28.8" x14ac:dyDescent="0.55000000000000004">
      <c r="A242" s="110">
        <v>45976</v>
      </c>
      <c r="B242" s="13" t="s">
        <v>259</v>
      </c>
      <c r="C242" s="112"/>
      <c r="D242" s="112"/>
      <c r="E242" s="113">
        <f>+$I$2+(SAMFO[[#This Row],[QUANTITE]]*SAMFO[[#This Row],[PRIX UNITAIRE]])</f>
        <v>0</v>
      </c>
      <c r="F242" s="114">
        <v>891000</v>
      </c>
      <c r="G242" s="115">
        <f>+SUM(E$9:$E242)-SUM(F$9:$F242)</f>
        <v>2992429</v>
      </c>
    </row>
    <row r="243" spans="1:7" ht="28.8" x14ac:dyDescent="0.55000000000000004">
      <c r="A243" s="110">
        <v>45978</v>
      </c>
      <c r="B243" s="13" t="s">
        <v>259</v>
      </c>
      <c r="C243" s="112"/>
      <c r="D243" s="112"/>
      <c r="E243" s="113">
        <f>+$I$2+(SAMFO[[#This Row],[QUANTITE]]*SAMFO[[#This Row],[PRIX UNITAIRE]])</f>
        <v>0</v>
      </c>
      <c r="F243" s="114">
        <v>440000</v>
      </c>
      <c r="G243" s="115">
        <f>+SUM(E$9:$E243)-SUM(F$9:$F243)</f>
        <v>2552429</v>
      </c>
    </row>
    <row r="244" spans="1:7" ht="28.8" x14ac:dyDescent="0.55000000000000004">
      <c r="A244" s="110">
        <v>45979</v>
      </c>
      <c r="B244" s="13" t="s">
        <v>259</v>
      </c>
      <c r="C244" s="112"/>
      <c r="D244" s="112"/>
      <c r="E244" s="113">
        <f>+$I$2+(SAMFO[[#This Row],[QUANTITE]]*SAMFO[[#This Row],[PRIX UNITAIRE]])</f>
        <v>0</v>
      </c>
      <c r="F244" s="114">
        <v>285000</v>
      </c>
      <c r="G244" s="115">
        <f>+SUM(E$9:$E244)-SUM(F$9:$F244)</f>
        <v>2267429</v>
      </c>
    </row>
    <row r="245" spans="1:7" ht="28.8" x14ac:dyDescent="0.55000000000000004">
      <c r="A245" s="110">
        <v>45983</v>
      </c>
      <c r="B245" s="13" t="s">
        <v>259</v>
      </c>
      <c r="C245" s="112"/>
      <c r="D245" s="112"/>
      <c r="E245" s="113">
        <f>+$I$2+(SAMFO[[#This Row],[QUANTITE]]*SAMFO[[#This Row],[PRIX UNITAIRE]])</f>
        <v>0</v>
      </c>
      <c r="F245" s="114">
        <v>1187000</v>
      </c>
      <c r="G245" s="115">
        <f>+SUM(E$9:$E245)-SUM(F$9:$F245)</f>
        <v>1080429</v>
      </c>
    </row>
    <row r="246" spans="1:7" ht="28.8" x14ac:dyDescent="0.55000000000000004">
      <c r="A246" s="110">
        <v>45990</v>
      </c>
      <c r="B246" s="13" t="s">
        <v>259</v>
      </c>
      <c r="C246" s="112"/>
      <c r="D246" s="112"/>
      <c r="E246" s="113">
        <f>+$I$2+(SAMFO[[#This Row],[QUANTITE]]*SAMFO[[#This Row],[PRIX UNITAIRE]])</f>
        <v>0</v>
      </c>
      <c r="F246" s="114">
        <v>855000</v>
      </c>
      <c r="G246" s="115">
        <f>+SUM(E$9:$E246)-SUM(F$9:$F246)</f>
        <v>225429</v>
      </c>
    </row>
    <row r="247" spans="1:7" ht="28.8" x14ac:dyDescent="0.55000000000000004">
      <c r="A247" s="110">
        <v>45997</v>
      </c>
      <c r="B247" s="13" t="s">
        <v>259</v>
      </c>
      <c r="C247" s="112"/>
      <c r="D247" s="112"/>
      <c r="E247" s="113">
        <f>+$I$2+(SAMFO[[#This Row],[QUANTITE]]*SAMFO[[#This Row],[PRIX UNITAIRE]])</f>
        <v>0</v>
      </c>
      <c r="F247" s="114">
        <v>721000</v>
      </c>
      <c r="G247" s="115">
        <f>+SUM(E$9:$E247)-SUM(F$9:$F247)</f>
        <v>-495571</v>
      </c>
    </row>
    <row r="248" spans="1:7" ht="28.8" x14ac:dyDescent="0.55000000000000004">
      <c r="A248" s="110">
        <v>46001</v>
      </c>
      <c r="B248" s="13" t="s">
        <v>259</v>
      </c>
      <c r="C248" s="112"/>
      <c r="D248" s="112"/>
      <c r="E248" s="113">
        <f>+$I$2+(SAMFO[[#This Row],[QUANTITE]]*SAMFO[[#This Row],[PRIX UNITAIRE]])</f>
        <v>0</v>
      </c>
      <c r="F248" s="114">
        <v>447000</v>
      </c>
      <c r="G248" s="115">
        <f>+SUM(E$9:$E248)-SUM(F$9:$F248)</f>
        <v>-942571</v>
      </c>
    </row>
    <row r="249" spans="1:7" ht="28.8" x14ac:dyDescent="0.55000000000000004">
      <c r="A249" s="110">
        <v>46004</v>
      </c>
      <c r="B249" s="13" t="s">
        <v>259</v>
      </c>
      <c r="C249" s="112"/>
      <c r="D249" s="112"/>
      <c r="E249" s="113">
        <f>+$I$2+(SAMFO[[#This Row],[QUANTITE]]*SAMFO[[#This Row],[PRIX UNITAIRE]])</f>
        <v>0</v>
      </c>
      <c r="F249" s="114">
        <v>1239000</v>
      </c>
      <c r="G249" s="115">
        <f>+SUM(E$9:$E249)-SUM(F$9:$F249)</f>
        <v>-2181571</v>
      </c>
    </row>
    <row r="250" spans="1:7" ht="28.8" x14ac:dyDescent="0.55000000000000004">
      <c r="A250" s="110">
        <v>46011</v>
      </c>
      <c r="B250" s="13" t="s">
        <v>259</v>
      </c>
      <c r="C250" s="112"/>
      <c r="D250" s="112"/>
      <c r="E250" s="113">
        <f>+$I$2+(SAMFO[[#This Row],[QUANTITE]]*SAMFO[[#This Row],[PRIX UNITAIRE]])</f>
        <v>0</v>
      </c>
      <c r="F250" s="114">
        <v>1140000</v>
      </c>
      <c r="G250" s="115">
        <f>+SUM(E$9:$E250)-SUM(F$9:$F250)</f>
        <v>-3321571</v>
      </c>
    </row>
    <row r="251" spans="1:7" ht="28.8" x14ac:dyDescent="0.55000000000000004">
      <c r="A251" s="110">
        <v>46020</v>
      </c>
      <c r="B251" s="13" t="s">
        <v>3070</v>
      </c>
      <c r="C251" s="112">
        <v>2</v>
      </c>
      <c r="D251" s="112">
        <v>75000</v>
      </c>
      <c r="E251" s="113">
        <f>+$I$2+(SAMFO[[#This Row],[QUANTITE]]*SAMFO[[#This Row],[PRIX UNITAIRE]])</f>
        <v>150000</v>
      </c>
      <c r="F251" s="114"/>
      <c r="G251" s="115">
        <f>+SUM(E$9:$E251)-SUM(F$9:$F251)</f>
        <v>-3171571</v>
      </c>
    </row>
    <row r="252" spans="1:7" ht="28.8" x14ac:dyDescent="0.55000000000000004">
      <c r="A252" s="110">
        <v>46020</v>
      </c>
      <c r="B252" s="13" t="s">
        <v>3325</v>
      </c>
      <c r="C252" s="112">
        <v>2</v>
      </c>
      <c r="D252" s="112">
        <v>70000</v>
      </c>
      <c r="E252" s="113">
        <f>+$I$2+(SAMFO[[#This Row],[QUANTITE]]*SAMFO[[#This Row],[PRIX UNITAIRE]])</f>
        <v>140000</v>
      </c>
      <c r="F252" s="114"/>
      <c r="G252" s="115">
        <f>+SUM(E$9:$E252)-SUM(F$9:$F252)</f>
        <v>-3031571</v>
      </c>
    </row>
    <row r="253" spans="1:7" ht="28.8" x14ac:dyDescent="0.55000000000000004">
      <c r="A253" s="110">
        <v>46014</v>
      </c>
      <c r="B253" s="13" t="s">
        <v>2862</v>
      </c>
      <c r="C253" s="112">
        <v>2</v>
      </c>
      <c r="D253" s="112">
        <v>60000</v>
      </c>
      <c r="E253" s="113">
        <f>+$I$2+(SAMFO[[#This Row],[QUANTITE]]*SAMFO[[#This Row],[PRIX UNITAIRE]])</f>
        <v>120000</v>
      </c>
      <c r="F253" s="114"/>
      <c r="G253" s="115">
        <f>+SUM(E$9:$E253)-SUM(F$9:$F253)</f>
        <v>-2911571</v>
      </c>
    </row>
    <row r="254" spans="1:7" ht="28.8" x14ac:dyDescent="0.55000000000000004">
      <c r="A254" s="110">
        <v>46014</v>
      </c>
      <c r="B254" s="13" t="s">
        <v>1092</v>
      </c>
      <c r="C254" s="112">
        <v>2</v>
      </c>
      <c r="D254" s="112">
        <v>40000</v>
      </c>
      <c r="E254" s="113">
        <f>+$I$2+(SAMFO[[#This Row],[QUANTITE]]*SAMFO[[#This Row],[PRIX UNITAIRE]])</f>
        <v>80000</v>
      </c>
      <c r="F254" s="114"/>
      <c r="G254" s="115">
        <f>+SUM(E$9:$E254)-SUM(F$9:$F254)</f>
        <v>-2831571</v>
      </c>
    </row>
    <row r="255" spans="1:7" ht="28.8" x14ac:dyDescent="0.55000000000000004">
      <c r="A255" s="110">
        <v>46018</v>
      </c>
      <c r="B255" s="13" t="s">
        <v>433</v>
      </c>
      <c r="C255" s="112"/>
      <c r="D255" s="112"/>
      <c r="E255" s="113">
        <f>+$I$2+(SAMFO[[#This Row],[QUANTITE]]*SAMFO[[#This Row],[PRIX UNITAIRE]])</f>
        <v>0</v>
      </c>
      <c r="F255" s="114">
        <v>1275000</v>
      </c>
      <c r="G255" s="115">
        <f>+SUM(E$9:$E255)-SUM(F$9:$F255)</f>
        <v>-4106571</v>
      </c>
    </row>
    <row r="256" spans="1:7" ht="28.8" x14ac:dyDescent="0.55000000000000004">
      <c r="A256" s="110">
        <v>45660</v>
      </c>
      <c r="B256" s="13" t="s">
        <v>714</v>
      </c>
      <c r="C256" s="112">
        <v>15</v>
      </c>
      <c r="D256" s="112">
        <v>105000</v>
      </c>
      <c r="E256" s="113">
        <f>+$I$2+(SAMFO[[#This Row],[QUANTITE]]*SAMFO[[#This Row],[PRIX UNITAIRE]])</f>
        <v>1575000</v>
      </c>
      <c r="F256" s="114"/>
      <c r="G256" s="115">
        <f>+SUM(E$9:$E256)-SUM(F$9:$F256)</f>
        <v>-2531571</v>
      </c>
    </row>
    <row r="257" spans="1:7" ht="28.8" x14ac:dyDescent="0.55000000000000004">
      <c r="A257" s="110">
        <v>45966</v>
      </c>
      <c r="B257" s="13" t="s">
        <v>276</v>
      </c>
      <c r="C257" s="112">
        <v>2</v>
      </c>
      <c r="D257" s="112">
        <v>70000</v>
      </c>
      <c r="E257" s="113">
        <f>+$I$2+(SAMFO[[#This Row],[QUANTITE]]*SAMFO[[#This Row],[PRIX UNITAIRE]])</f>
        <v>140000</v>
      </c>
      <c r="F257" s="114"/>
      <c r="G257" s="115">
        <f>+SUM(E$9:$E257)-SUM(F$9:$F257)</f>
        <v>-2391571</v>
      </c>
    </row>
    <row r="258" spans="1:7" ht="28.8" x14ac:dyDescent="0.55000000000000004">
      <c r="A258" s="110">
        <v>45663</v>
      </c>
      <c r="B258" s="13" t="s">
        <v>397</v>
      </c>
      <c r="C258" s="112">
        <v>4</v>
      </c>
      <c r="D258" s="112">
        <v>105000</v>
      </c>
      <c r="E258" s="113">
        <f>+$I$2+(SAMFO[[#This Row],[QUANTITE]]*SAMFO[[#This Row],[PRIX UNITAIRE]])</f>
        <v>420000</v>
      </c>
      <c r="F258" s="114"/>
      <c r="G258" s="115">
        <f>+SUM(E$9:$E258)-SUM(F$9:$F258)</f>
        <v>-1971571</v>
      </c>
    </row>
    <row r="259" spans="1:7" ht="28.8" x14ac:dyDescent="0.55000000000000004">
      <c r="A259" s="110">
        <v>46028</v>
      </c>
      <c r="B259" s="13" t="s">
        <v>3326</v>
      </c>
      <c r="C259" s="112">
        <v>4</v>
      </c>
      <c r="D259" s="112">
        <v>75000</v>
      </c>
      <c r="E259" s="113">
        <f>+$I$2+(SAMFO[[#This Row],[QUANTITE]]*SAMFO[[#This Row],[PRIX UNITAIRE]])</f>
        <v>300000</v>
      </c>
      <c r="F259" s="114"/>
      <c r="G259" s="115">
        <f>+SUM(E$9:$E259)-SUM(F$9:$F259)</f>
        <v>-1671571</v>
      </c>
    </row>
    <row r="260" spans="1:7" ht="28.8" x14ac:dyDescent="0.55000000000000004">
      <c r="A260" s="110">
        <v>46028</v>
      </c>
      <c r="B260" s="13" t="s">
        <v>3327</v>
      </c>
      <c r="C260" s="112">
        <v>4</v>
      </c>
      <c r="D260" s="112">
        <v>50000</v>
      </c>
      <c r="E260" s="113">
        <f>+$I$2+(SAMFO[[#This Row],[QUANTITE]]*SAMFO[[#This Row],[PRIX UNITAIRE]])</f>
        <v>200000</v>
      </c>
      <c r="F260" s="114"/>
      <c r="G260" s="115">
        <f>+SUM(E$9:$E260)-SUM(F$9:$F260)</f>
        <v>-1471571</v>
      </c>
    </row>
    <row r="261" spans="1:7" ht="28.8" x14ac:dyDescent="0.55000000000000004">
      <c r="A261" s="110">
        <v>46028</v>
      </c>
      <c r="B261" s="13" t="s">
        <v>3328</v>
      </c>
      <c r="C261" s="112">
        <v>4</v>
      </c>
      <c r="D261" s="112">
        <v>60000</v>
      </c>
      <c r="E261" s="113">
        <f>+$I$2+(SAMFO[[#This Row],[QUANTITE]]*SAMFO[[#This Row],[PRIX UNITAIRE]])</f>
        <v>240000</v>
      </c>
      <c r="F261" s="114"/>
      <c r="G261" s="115">
        <f>+SUM(E$9:$E261)-SUM(F$9:$F261)</f>
        <v>-1231571</v>
      </c>
    </row>
    <row r="262" spans="1:7" ht="28.8" x14ac:dyDescent="0.55000000000000004">
      <c r="A262" s="110">
        <v>46028</v>
      </c>
      <c r="B262" s="13" t="s">
        <v>1287</v>
      </c>
      <c r="C262" s="112">
        <v>4</v>
      </c>
      <c r="D262" s="112">
        <v>40000</v>
      </c>
      <c r="E262" s="113">
        <f>+$I$2+(SAMFO[[#This Row],[QUANTITE]]*SAMFO[[#This Row],[PRIX UNITAIRE]])</f>
        <v>160000</v>
      </c>
      <c r="F262" s="114"/>
      <c r="G262" s="115">
        <f>+SUM(E$9:$E262)-SUM(F$9:$F262)</f>
        <v>-1071571</v>
      </c>
    </row>
    <row r="263" spans="1:7" ht="28.8" x14ac:dyDescent="0.55000000000000004">
      <c r="A263" s="110">
        <v>45663</v>
      </c>
      <c r="B263" s="13" t="s">
        <v>1088</v>
      </c>
      <c r="C263" s="112">
        <v>4</v>
      </c>
      <c r="D263" s="112">
        <v>50000</v>
      </c>
      <c r="E263" s="113">
        <f>+$I$2+(SAMFO[[#This Row],[QUANTITE]]*SAMFO[[#This Row],[PRIX UNITAIRE]])</f>
        <v>200000</v>
      </c>
      <c r="F263" s="114"/>
      <c r="G263" s="115">
        <f>+SUM(E$9:$E263)-SUM(F$9:$F263)</f>
        <v>-871571</v>
      </c>
    </row>
    <row r="264" spans="1:7" ht="28.8" x14ac:dyDescent="0.55000000000000004">
      <c r="A264" s="110">
        <v>46028</v>
      </c>
      <c r="B264" s="13" t="s">
        <v>219</v>
      </c>
      <c r="C264" s="112">
        <v>4</v>
      </c>
      <c r="D264" s="112">
        <v>50000</v>
      </c>
      <c r="E264" s="113">
        <f>+$I$2+(SAMFO[[#This Row],[QUANTITE]]*SAMFO[[#This Row],[PRIX UNITAIRE]])</f>
        <v>200000</v>
      </c>
      <c r="F264" s="114"/>
      <c r="G264" s="115">
        <f>+SUM(E$9:$E264)-SUM(F$9:$F264)</f>
        <v>-671571</v>
      </c>
    </row>
    <row r="265" spans="1:7" ht="28.8" x14ac:dyDescent="0.55000000000000004">
      <c r="A265" s="110">
        <v>46028</v>
      </c>
      <c r="B265" s="13" t="s">
        <v>2916</v>
      </c>
      <c r="C265" s="112">
        <v>3</v>
      </c>
      <c r="D265" s="112">
        <v>25000</v>
      </c>
      <c r="E265" s="113">
        <f>+$I$2+(SAMFO[[#This Row],[QUANTITE]]*SAMFO[[#This Row],[PRIX UNITAIRE]])</f>
        <v>75000</v>
      </c>
      <c r="F265" s="114"/>
      <c r="G265" s="115">
        <f>+SUM(E$9:$E265)-SUM(F$9:$F265)</f>
        <v>-596571</v>
      </c>
    </row>
    <row r="266" spans="1:7" ht="28.8" x14ac:dyDescent="0.55000000000000004">
      <c r="A266" s="110">
        <v>46028</v>
      </c>
      <c r="B266" s="13" t="s">
        <v>2915</v>
      </c>
      <c r="C266" s="112">
        <v>4</v>
      </c>
      <c r="D266" s="112">
        <v>30000</v>
      </c>
      <c r="E266" s="113">
        <f>+$I$2+(SAMFO[[#This Row],[QUANTITE]]*SAMFO[[#This Row],[PRIX UNITAIRE]])</f>
        <v>120000</v>
      </c>
      <c r="F266" s="114"/>
      <c r="G266" s="115">
        <f>+SUM(E$9:$E266)-SUM(F$9:$F266)</f>
        <v>-476571</v>
      </c>
    </row>
    <row r="267" spans="1:7" ht="28.8" x14ac:dyDescent="0.55000000000000004">
      <c r="A267" s="110">
        <v>46028</v>
      </c>
      <c r="B267" s="13" t="s">
        <v>3022</v>
      </c>
      <c r="C267" s="112">
        <v>4</v>
      </c>
      <c r="D267" s="112">
        <v>70000</v>
      </c>
      <c r="E267" s="113">
        <f>+$I$2+(SAMFO[[#This Row],[QUANTITE]]*SAMFO[[#This Row],[PRIX UNITAIRE]])</f>
        <v>280000</v>
      </c>
      <c r="F267" s="114"/>
      <c r="G267" s="115">
        <f>+SUM(E$9:$E267)-SUM(F$9:$F267)</f>
        <v>-196571</v>
      </c>
    </row>
    <row r="268" spans="1:7" ht="28.8" x14ac:dyDescent="0.55000000000000004">
      <c r="A268" s="110">
        <v>46029</v>
      </c>
      <c r="B268" s="13" t="s">
        <v>3329</v>
      </c>
      <c r="C268" s="112">
        <v>2</v>
      </c>
      <c r="D268" s="112">
        <v>100000</v>
      </c>
      <c r="E268" s="113">
        <f>+$I$2+(SAMFO[[#This Row],[QUANTITE]]*SAMFO[[#This Row],[PRIX UNITAIRE]])</f>
        <v>200000</v>
      </c>
      <c r="F268" s="114"/>
      <c r="G268" s="115">
        <f>+SUM(E$9:$E268)-SUM(F$9:$F268)</f>
        <v>3429</v>
      </c>
    </row>
    <row r="269" spans="1:7" ht="28.8" x14ac:dyDescent="0.55000000000000004">
      <c r="A269" s="110"/>
      <c r="B269" s="111"/>
      <c r="C269" s="112"/>
      <c r="D269" s="112"/>
      <c r="E269" s="113">
        <f>+$I$2+(SAMFO[[#This Row],[QUANTITE]]*SAMFO[[#This Row],[PRIX UNITAIRE]])</f>
        <v>0</v>
      </c>
      <c r="F269" s="114"/>
      <c r="G269" s="115">
        <f>+SUM(E$9:$E269)-SUM(F$9:$F269)</f>
        <v>3429</v>
      </c>
    </row>
    <row r="270" spans="1:7" ht="28.8" x14ac:dyDescent="0.55000000000000004">
      <c r="A270" s="110"/>
      <c r="B270" s="111"/>
      <c r="C270" s="112"/>
      <c r="D270" s="112"/>
      <c r="E270" s="113">
        <f>+$I$2+(SAMFO[[#This Row],[QUANTITE]]*SAMFO[[#This Row],[PRIX UNITAIRE]])</f>
        <v>0</v>
      </c>
      <c r="F270" s="114"/>
      <c r="G270" s="115">
        <f>+SUM(E$9:$E270)-SUM(F$9:$F270)</f>
        <v>3429</v>
      </c>
    </row>
    <row r="271" spans="1:7" ht="28.8" x14ac:dyDescent="0.55000000000000004">
      <c r="A271" s="110"/>
      <c r="B271" s="111"/>
      <c r="C271" s="112"/>
      <c r="D271" s="112"/>
      <c r="E271" s="113">
        <f>+$I$2+(SAMFO[[#This Row],[QUANTITE]]*SAMFO[[#This Row],[PRIX UNITAIRE]])</f>
        <v>0</v>
      </c>
      <c r="F271" s="114"/>
      <c r="G271" s="115">
        <f>+SUM(E$9:$E271)-SUM(F$9:$F271)</f>
        <v>3429</v>
      </c>
    </row>
    <row r="272" spans="1:7" ht="28.8" x14ac:dyDescent="0.55000000000000004">
      <c r="A272" s="110"/>
      <c r="B272" s="111"/>
      <c r="C272" s="112"/>
      <c r="D272" s="112"/>
      <c r="E272" s="113">
        <f>+$I$2+(SAMFO[[#This Row],[QUANTITE]]*SAMFO[[#This Row],[PRIX UNITAIRE]])</f>
        <v>0</v>
      </c>
      <c r="F272" s="114"/>
      <c r="G272" s="115">
        <f>+SUM(E$9:$E272)-SUM(F$9:$F272)</f>
        <v>3429</v>
      </c>
    </row>
    <row r="273" spans="1:7" ht="28.8" x14ac:dyDescent="0.55000000000000004">
      <c r="A273" s="110"/>
      <c r="B273" s="111"/>
      <c r="C273" s="112"/>
      <c r="D273" s="112"/>
      <c r="E273" s="113">
        <f>+$I$2+(SAMFO[[#This Row],[QUANTITE]]*SAMFO[[#This Row],[PRIX UNITAIRE]])</f>
        <v>0</v>
      </c>
      <c r="F273" s="114"/>
      <c r="G273" s="115">
        <f>+SUM(E$9:$E273)-SUM(F$9:$F273)</f>
        <v>3429</v>
      </c>
    </row>
    <row r="274" spans="1:7" ht="28.8" x14ac:dyDescent="0.55000000000000004">
      <c r="A274" s="110"/>
      <c r="B274" s="111"/>
      <c r="C274" s="112"/>
      <c r="D274" s="112"/>
      <c r="E274" s="113">
        <f>+$I$2+(SAMFO[[#This Row],[QUANTITE]]*SAMFO[[#This Row],[PRIX UNITAIRE]])</f>
        <v>0</v>
      </c>
      <c r="F274" s="114"/>
      <c r="G274" s="115">
        <f>+SUM(E$9:$E274)-SUM(F$9:$F274)</f>
        <v>3429</v>
      </c>
    </row>
    <row r="275" spans="1:7" ht="28.8" x14ac:dyDescent="0.55000000000000004">
      <c r="A275" s="110"/>
      <c r="B275" s="111"/>
      <c r="C275" s="112"/>
      <c r="D275" s="112"/>
      <c r="E275" s="113">
        <f>+$I$2+(SAMFO[[#This Row],[QUANTITE]]*SAMFO[[#This Row],[PRIX UNITAIRE]])</f>
        <v>0</v>
      </c>
      <c r="F275" s="114"/>
      <c r="G275" s="115">
        <f>+SUM(E$9:$E275)-SUM(F$9:$F275)</f>
        <v>3429</v>
      </c>
    </row>
    <row r="276" spans="1:7" ht="28.8" x14ac:dyDescent="0.55000000000000004">
      <c r="A276" s="110"/>
      <c r="B276" s="111"/>
      <c r="C276" s="112"/>
      <c r="D276" s="112"/>
      <c r="E276" s="113">
        <f>+$I$2+(SAMFO[[#This Row],[QUANTITE]]*SAMFO[[#This Row],[PRIX UNITAIRE]])</f>
        <v>0</v>
      </c>
      <c r="F276" s="114"/>
      <c r="G276" s="115">
        <f>+SUM(E$9:$E276)-SUM(F$9:$F276)</f>
        <v>3429</v>
      </c>
    </row>
    <row r="277" spans="1:7" ht="28.8" x14ac:dyDescent="0.55000000000000004">
      <c r="A277" s="110"/>
      <c r="B277" s="111"/>
      <c r="C277" s="112"/>
      <c r="D277" s="112"/>
      <c r="E277" s="113">
        <f>+$I$2+(SAMFO[[#This Row],[QUANTITE]]*SAMFO[[#This Row],[PRIX UNITAIRE]])</f>
        <v>0</v>
      </c>
      <c r="F277" s="114"/>
      <c r="G277" s="115">
        <f>+SUM(E$9:$E277)-SUM(F$9:$F277)</f>
        <v>3429</v>
      </c>
    </row>
    <row r="278" spans="1:7" ht="28.8" x14ac:dyDescent="0.55000000000000004">
      <c r="A278" s="110"/>
      <c r="B278" s="111"/>
      <c r="C278" s="112"/>
      <c r="D278" s="112"/>
      <c r="E278" s="113">
        <f>+$I$2+(SAMFO[[#This Row],[QUANTITE]]*SAMFO[[#This Row],[PRIX UNITAIRE]])</f>
        <v>0</v>
      </c>
      <c r="F278" s="114"/>
      <c r="G278" s="115">
        <f>+SUM(E$9:$E278)-SUM(F$9:$F278)</f>
        <v>3429</v>
      </c>
    </row>
  </sheetData>
  <sheetProtection selectLockedCells="1" autoFilter="0"/>
  <mergeCells count="1">
    <mergeCell ref="B6:C6"/>
  </mergeCells>
  <conditionalFormatting sqref="B9:B278">
    <cfRule type="expression" dxfId="890" priority="5">
      <formula>$F9</formula>
    </cfRule>
  </conditionalFormatting>
  <conditionalFormatting sqref="G4">
    <cfRule type="cellIs" dxfId="889" priority="2" operator="lessThan">
      <formula>0</formula>
    </cfRule>
    <cfRule type="cellIs" dxfId="888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278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/>
  <dimension ref="A1:Q529"/>
  <sheetViews>
    <sheetView showGridLines="0" zoomScale="60" zoomScaleNormal="60" workbookViewId="0">
      <pane ySplit="8" topLeftCell="A488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22.77734375" style="1" bestFit="1" customWidth="1"/>
    <col min="2" max="2" width="51.21875" style="1" customWidth="1"/>
    <col min="3" max="3" width="19.77734375" style="1" bestFit="1" customWidth="1"/>
    <col min="4" max="4" width="45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+SUM(FBD[TOTAL MONTANT])</f>
        <v>194226350</v>
      </c>
      <c r="F4" s="41">
        <f>+SUM(FBD[VERSEMENT])</f>
        <v>160676000</v>
      </c>
      <c r="G4" s="130">
        <f>+E4-F4</f>
        <v>33550350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1217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70">
        <v>45641</v>
      </c>
      <c r="B9" s="13" t="s">
        <v>1039</v>
      </c>
      <c r="C9" s="80">
        <v>1</v>
      </c>
      <c r="D9" s="80">
        <v>15294000</v>
      </c>
      <c r="E9" s="73">
        <f>+$I$2+(FBD[[#This Row],[QUANTITE]]*FBD[[#This Row],[PRIX UNITAIRE]])</f>
        <v>15294000</v>
      </c>
      <c r="F9" s="158"/>
      <c r="G9" s="74">
        <f>+SUM(E$9:$E9)-SUM(F$9:$F9)</f>
        <v>15294000</v>
      </c>
    </row>
    <row r="10" spans="1:9" ht="28.8" x14ac:dyDescent="0.55000000000000004">
      <c r="A10" s="71">
        <v>45645</v>
      </c>
      <c r="B10" s="13" t="s">
        <v>2796</v>
      </c>
      <c r="C10" s="80">
        <v>4</v>
      </c>
      <c r="D10" s="80">
        <v>33000</v>
      </c>
      <c r="E10" s="73">
        <f>+$I$2+(FBD[[#This Row],[QUANTITE]]*FBD[[#This Row],[PRIX UNITAIRE]])</f>
        <v>132000</v>
      </c>
      <c r="F10" s="158"/>
      <c r="G10" s="74">
        <f>+SUM(E$9:$E10)-SUM(F$9:$F10)</f>
        <v>15426000</v>
      </c>
    </row>
    <row r="11" spans="1:9" ht="28.8" x14ac:dyDescent="0.55000000000000004">
      <c r="A11" s="71">
        <v>45646</v>
      </c>
      <c r="B11" s="13" t="s">
        <v>2797</v>
      </c>
      <c r="C11" s="80">
        <v>1</v>
      </c>
      <c r="D11" s="80">
        <v>33000</v>
      </c>
      <c r="E11" s="73">
        <f>+$I$2+(FBD[[#This Row],[QUANTITE]]*FBD[[#This Row],[PRIX UNITAIRE]])</f>
        <v>33000</v>
      </c>
      <c r="F11" s="159"/>
      <c r="G11" s="74">
        <f>+SUM(E$9:$E11)-SUM(F$9:$F11)</f>
        <v>15459000</v>
      </c>
    </row>
    <row r="12" spans="1:9" ht="28.8" x14ac:dyDescent="0.55000000000000004">
      <c r="A12" s="71">
        <v>45646</v>
      </c>
      <c r="B12" s="13" t="s">
        <v>260</v>
      </c>
      <c r="C12" s="80">
        <v>4</v>
      </c>
      <c r="D12" s="80">
        <v>128000</v>
      </c>
      <c r="E12" s="73">
        <f>+$I$2+(FBD[[#This Row],[QUANTITE]]*FBD[[#This Row],[PRIX UNITAIRE]])</f>
        <v>512000</v>
      </c>
      <c r="F12" s="159"/>
      <c r="G12" s="74">
        <f>+SUM(E$9:$E12)-SUM(F$9:$F12)</f>
        <v>15971000</v>
      </c>
    </row>
    <row r="13" spans="1:9" ht="28.8" x14ac:dyDescent="0.55000000000000004">
      <c r="A13" s="71">
        <v>45646</v>
      </c>
      <c r="B13" s="13" t="s">
        <v>469</v>
      </c>
      <c r="C13" s="80">
        <v>4</v>
      </c>
      <c r="D13" s="80">
        <v>50000</v>
      </c>
      <c r="E13" s="73">
        <f>+$I$2+(FBD[[#This Row],[QUANTITE]]*FBD[[#This Row],[PRIX UNITAIRE]])</f>
        <v>200000</v>
      </c>
      <c r="F13" s="159"/>
      <c r="G13" s="74">
        <f>+SUM(E$9:$E13)-SUM(F$9:$F13)</f>
        <v>16171000</v>
      </c>
    </row>
    <row r="14" spans="1:9" ht="28.8" x14ac:dyDescent="0.55000000000000004">
      <c r="A14" s="71">
        <v>45646</v>
      </c>
      <c r="B14" s="13" t="s">
        <v>887</v>
      </c>
      <c r="C14" s="80">
        <v>2</v>
      </c>
      <c r="D14" s="80">
        <v>105000</v>
      </c>
      <c r="E14" s="73">
        <f>+$I$2+(FBD[[#This Row],[QUANTITE]]*FBD[[#This Row],[PRIX UNITAIRE]])</f>
        <v>210000</v>
      </c>
      <c r="F14" s="159"/>
      <c r="G14" s="74">
        <f>+SUM(E$9:$E14)-SUM(F$9:$F14)</f>
        <v>16381000</v>
      </c>
    </row>
    <row r="15" spans="1:9" ht="28.8" x14ac:dyDescent="0.55000000000000004">
      <c r="A15" s="71">
        <v>45646</v>
      </c>
      <c r="B15" s="13" t="s">
        <v>2798</v>
      </c>
      <c r="C15" s="80">
        <v>2</v>
      </c>
      <c r="D15" s="80">
        <v>70000</v>
      </c>
      <c r="E15" s="73">
        <f>+$I$2+(FBD[[#This Row],[QUANTITE]]*FBD[[#This Row],[PRIX UNITAIRE]])</f>
        <v>140000</v>
      </c>
      <c r="F15" s="159"/>
      <c r="G15" s="74">
        <f>+SUM(E$9:$E15)-SUM(F$9:$F15)</f>
        <v>16521000</v>
      </c>
    </row>
    <row r="16" spans="1:9" ht="28.8" x14ac:dyDescent="0.55000000000000004">
      <c r="A16" s="71">
        <v>45650</v>
      </c>
      <c r="B16" s="13" t="s">
        <v>257</v>
      </c>
      <c r="C16" s="80">
        <v>8</v>
      </c>
      <c r="D16" s="80">
        <v>128000</v>
      </c>
      <c r="E16" s="73">
        <f>+$I$2+(FBD[[#This Row],[QUANTITE]]*FBD[[#This Row],[PRIX UNITAIRE]])</f>
        <v>1024000</v>
      </c>
      <c r="F16" s="159"/>
      <c r="G16" s="74">
        <f>+SUM(E$9:$E16)-SUM(F$9:$F16)</f>
        <v>17545000</v>
      </c>
    </row>
    <row r="17" spans="1:7" ht="28.8" x14ac:dyDescent="0.55000000000000004">
      <c r="A17" s="71">
        <v>45650</v>
      </c>
      <c r="B17" s="13" t="s">
        <v>629</v>
      </c>
      <c r="C17" s="80">
        <v>4</v>
      </c>
      <c r="D17" s="80">
        <v>25000</v>
      </c>
      <c r="E17" s="73">
        <f>+$I$2+(FBD[[#This Row],[QUANTITE]]*FBD[[#This Row],[PRIX UNITAIRE]])</f>
        <v>100000</v>
      </c>
      <c r="F17" s="159"/>
      <c r="G17" s="74">
        <f>+SUM(E$9:$E17)-SUM(F$9:$F17)</f>
        <v>17645000</v>
      </c>
    </row>
    <row r="18" spans="1:7" ht="28.8" x14ac:dyDescent="0.55000000000000004">
      <c r="A18" s="71">
        <v>45650</v>
      </c>
      <c r="B18" s="13" t="s">
        <v>240</v>
      </c>
      <c r="C18" s="80">
        <v>4</v>
      </c>
      <c r="D18" s="80">
        <v>23500</v>
      </c>
      <c r="E18" s="73">
        <f>+$I$2+(FBD[[#This Row],[QUANTITE]]*FBD[[#This Row],[PRIX UNITAIRE]])</f>
        <v>94000</v>
      </c>
      <c r="F18" s="159"/>
      <c r="G18" s="74">
        <f>+SUM(E$9:$E18)-SUM(F$9:$F18)</f>
        <v>17739000</v>
      </c>
    </row>
    <row r="19" spans="1:7" ht="28.8" x14ac:dyDescent="0.55000000000000004">
      <c r="A19" s="71">
        <v>45653</v>
      </c>
      <c r="B19" s="13" t="s">
        <v>2799</v>
      </c>
      <c r="C19" s="80">
        <v>6</v>
      </c>
      <c r="D19" s="80">
        <v>95000</v>
      </c>
      <c r="E19" s="73">
        <f>+$I$2+(FBD[[#This Row],[QUANTITE]]*FBD[[#This Row],[PRIX UNITAIRE]])</f>
        <v>570000</v>
      </c>
      <c r="F19" s="159"/>
      <c r="G19" s="74">
        <f>+SUM(E$9:$E19)-SUM(F$9:$F19)</f>
        <v>18309000</v>
      </c>
    </row>
    <row r="20" spans="1:7" ht="28.8" x14ac:dyDescent="0.55000000000000004">
      <c r="A20" s="71">
        <v>45654</v>
      </c>
      <c r="B20" s="13" t="s">
        <v>247</v>
      </c>
      <c r="C20" s="80"/>
      <c r="D20" s="80"/>
      <c r="E20" s="73">
        <f>+$I$2+(FBD[[#This Row],[QUANTITE]]*FBD[[#This Row],[PRIX UNITAIRE]])</f>
        <v>0</v>
      </c>
      <c r="F20" s="159">
        <v>582000</v>
      </c>
      <c r="G20" s="74">
        <f>+SUM(E$9:$E20)-SUM(F$9:$F20)</f>
        <v>17727000</v>
      </c>
    </row>
    <row r="21" spans="1:7" ht="28.8" x14ac:dyDescent="0.55000000000000004">
      <c r="A21" s="71">
        <v>45656</v>
      </c>
      <c r="B21" s="13" t="s">
        <v>2718</v>
      </c>
      <c r="C21" s="80">
        <v>2</v>
      </c>
      <c r="D21" s="80">
        <v>22000</v>
      </c>
      <c r="E21" s="73">
        <f>+$I$2+(FBD[[#This Row],[QUANTITE]]*FBD[[#This Row],[PRIX UNITAIRE]])</f>
        <v>44000</v>
      </c>
      <c r="F21" s="159"/>
      <c r="G21" s="74">
        <f>+SUM(E$9:$E21)-SUM(F$9:$F21)</f>
        <v>17771000</v>
      </c>
    </row>
    <row r="22" spans="1:7" ht="28.8" x14ac:dyDescent="0.55000000000000004">
      <c r="A22" s="71">
        <v>45656</v>
      </c>
      <c r="B22" s="13" t="s">
        <v>2800</v>
      </c>
      <c r="C22" s="80">
        <v>4</v>
      </c>
      <c r="D22" s="80">
        <v>5000</v>
      </c>
      <c r="E22" s="73">
        <f>+$I$2+(FBD[[#This Row],[QUANTITE]]*FBD[[#This Row],[PRIX UNITAIRE]])</f>
        <v>20000</v>
      </c>
      <c r="F22" s="159"/>
      <c r="G22" s="74">
        <f>+SUM(E$9:$E22)-SUM(F$9:$F22)</f>
        <v>17791000</v>
      </c>
    </row>
    <row r="23" spans="1:7" ht="28.8" x14ac:dyDescent="0.55000000000000004">
      <c r="A23" s="71">
        <v>45660</v>
      </c>
      <c r="B23" s="13" t="s">
        <v>247</v>
      </c>
      <c r="C23" s="80"/>
      <c r="D23" s="80"/>
      <c r="E23" s="73">
        <f>+$I$2+(FBD[[#This Row],[QUANTITE]]*FBD[[#This Row],[PRIX UNITAIRE]])</f>
        <v>0</v>
      </c>
      <c r="F23" s="159">
        <v>1046000</v>
      </c>
      <c r="G23" s="74">
        <f>+SUM(E$9:$E23)-SUM(F$9:$F23)</f>
        <v>16745000</v>
      </c>
    </row>
    <row r="24" spans="1:7" ht="28.8" x14ac:dyDescent="0.55000000000000004">
      <c r="A24" s="71">
        <v>45664</v>
      </c>
      <c r="B24" s="13" t="s">
        <v>1214</v>
      </c>
      <c r="C24" s="80"/>
      <c r="D24" s="80"/>
      <c r="E24" s="73">
        <f>+$I$2+(FBD[[#This Row],[QUANTITE]]*FBD[[#This Row],[PRIX UNITAIRE]])</f>
        <v>0</v>
      </c>
      <c r="F24" s="159">
        <v>1100000</v>
      </c>
      <c r="G24" s="74">
        <f>+SUM(E$9:$E24)-SUM(F$9:$F24)</f>
        <v>15645000</v>
      </c>
    </row>
    <row r="25" spans="1:7" ht="28.8" x14ac:dyDescent="0.55000000000000004">
      <c r="A25" s="71">
        <v>45664</v>
      </c>
      <c r="B25" s="13" t="s">
        <v>1247</v>
      </c>
      <c r="C25" s="80">
        <v>12</v>
      </c>
      <c r="D25" s="80">
        <v>95000</v>
      </c>
      <c r="E25" s="73">
        <f>+$I$2+(FBD[[#This Row],[QUANTITE]]*FBD[[#This Row],[PRIX UNITAIRE]])</f>
        <v>1140000</v>
      </c>
      <c r="F25" s="159"/>
      <c r="G25" s="74">
        <f>+SUM(E$9:$E25)-SUM(F$9:$F25)</f>
        <v>16785000</v>
      </c>
    </row>
    <row r="26" spans="1:7" ht="28.8" x14ac:dyDescent="0.55000000000000004">
      <c r="A26" s="71">
        <v>45664</v>
      </c>
      <c r="B26" s="13" t="s">
        <v>213</v>
      </c>
      <c r="C26" s="80">
        <v>2</v>
      </c>
      <c r="D26" s="80">
        <v>120000</v>
      </c>
      <c r="E26" s="73">
        <f>+$I$2+(FBD[[#This Row],[QUANTITE]]*FBD[[#This Row],[PRIX UNITAIRE]])</f>
        <v>240000</v>
      </c>
      <c r="F26" s="159"/>
      <c r="G26" s="74">
        <f>+SUM(E$9:$E26)-SUM(F$9:$F26)</f>
        <v>17025000</v>
      </c>
    </row>
    <row r="27" spans="1:7" ht="28.8" x14ac:dyDescent="0.55000000000000004">
      <c r="A27" s="71">
        <v>45664</v>
      </c>
      <c r="B27" s="13" t="s">
        <v>478</v>
      </c>
      <c r="C27" s="80">
        <v>4</v>
      </c>
      <c r="D27" s="80">
        <v>20000</v>
      </c>
      <c r="E27" s="73">
        <f>+$I$2+(FBD[[#This Row],[QUANTITE]]*FBD[[#This Row],[PRIX UNITAIRE]])</f>
        <v>80000</v>
      </c>
      <c r="F27" s="159"/>
      <c r="G27" s="74">
        <f>+SUM(E$9:$E27)-SUM(F$9:$F27)</f>
        <v>17105000</v>
      </c>
    </row>
    <row r="28" spans="1:7" ht="28.8" x14ac:dyDescent="0.55000000000000004">
      <c r="A28" s="71">
        <v>45664</v>
      </c>
      <c r="B28" s="13" t="s">
        <v>738</v>
      </c>
      <c r="C28" s="80">
        <v>2</v>
      </c>
      <c r="D28" s="80">
        <v>40000</v>
      </c>
      <c r="E28" s="73">
        <f>+$I$2+(FBD[[#This Row],[QUANTITE]]*FBD[[#This Row],[PRIX UNITAIRE]])</f>
        <v>80000</v>
      </c>
      <c r="F28" s="159"/>
      <c r="G28" s="74">
        <f>+SUM(E$9:$E28)-SUM(F$9:$F28)</f>
        <v>17185000</v>
      </c>
    </row>
    <row r="29" spans="1:7" ht="28.8" x14ac:dyDescent="0.55000000000000004">
      <c r="A29" s="71">
        <v>45664</v>
      </c>
      <c r="B29" s="13" t="s">
        <v>517</v>
      </c>
      <c r="C29" s="80">
        <v>4</v>
      </c>
      <c r="D29" s="80">
        <v>45000</v>
      </c>
      <c r="E29" s="73">
        <f>+$I$2+(FBD[[#This Row],[QUANTITE]]*FBD[[#This Row],[PRIX UNITAIRE]])</f>
        <v>180000</v>
      </c>
      <c r="F29" s="159"/>
      <c r="G29" s="74">
        <f>+SUM(E$9:$E29)-SUM(F$9:$F29)</f>
        <v>17365000</v>
      </c>
    </row>
    <row r="30" spans="1:7" ht="28.8" x14ac:dyDescent="0.55000000000000004">
      <c r="A30" s="71">
        <v>45665</v>
      </c>
      <c r="B30" s="13" t="s">
        <v>2801</v>
      </c>
      <c r="C30" s="80">
        <v>10</v>
      </c>
      <c r="D30" s="80">
        <v>3500</v>
      </c>
      <c r="E30" s="73">
        <f>+$I$2+(FBD[[#This Row],[QUANTITE]]*FBD[[#This Row],[PRIX UNITAIRE]])</f>
        <v>35000</v>
      </c>
      <c r="F30" s="159"/>
      <c r="G30" s="74">
        <f>+SUM(E$9:$E30)-SUM(F$9:$F30)</f>
        <v>17400000</v>
      </c>
    </row>
    <row r="31" spans="1:7" ht="28.8" x14ac:dyDescent="0.55000000000000004">
      <c r="A31" s="71">
        <v>45666</v>
      </c>
      <c r="B31" s="13" t="s">
        <v>2802</v>
      </c>
      <c r="C31" s="80">
        <v>5</v>
      </c>
      <c r="D31" s="80">
        <v>95000</v>
      </c>
      <c r="E31" s="73">
        <f>+$I$2+(FBD[[#This Row],[QUANTITE]]*FBD[[#This Row],[PRIX UNITAIRE]])</f>
        <v>475000</v>
      </c>
      <c r="F31" s="159"/>
      <c r="G31" s="74">
        <f>+SUM(E$9:$E31)-SUM(F$9:$F31)</f>
        <v>17875000</v>
      </c>
    </row>
    <row r="32" spans="1:7" ht="28.8" x14ac:dyDescent="0.55000000000000004">
      <c r="A32" s="71">
        <v>45668</v>
      </c>
      <c r="B32" s="13" t="s">
        <v>247</v>
      </c>
      <c r="C32" s="80"/>
      <c r="D32" s="80"/>
      <c r="E32" s="73">
        <f>+$I$2+(FBD[[#This Row],[QUANTITE]]*FBD[[#This Row],[PRIX UNITAIRE]])</f>
        <v>0</v>
      </c>
      <c r="F32" s="159">
        <v>3637500</v>
      </c>
      <c r="G32" s="74">
        <f>+SUM(E$9:$E32)-SUM(F$9:$F32)</f>
        <v>14237500</v>
      </c>
    </row>
    <row r="33" spans="1:7" ht="28.8" x14ac:dyDescent="0.55000000000000004">
      <c r="A33" s="71">
        <v>45668</v>
      </c>
      <c r="B33" s="13" t="s">
        <v>1214</v>
      </c>
      <c r="C33" s="80"/>
      <c r="D33" s="80"/>
      <c r="E33" s="73">
        <f>+$I$2+(FBD[[#This Row],[QUANTITE]]*FBD[[#This Row],[PRIX UNITAIRE]])</f>
        <v>0</v>
      </c>
      <c r="F33" s="159">
        <v>720000</v>
      </c>
      <c r="G33" s="74">
        <f>+SUM(E$9:$E33)-SUM(F$9:$F33)</f>
        <v>13517500</v>
      </c>
    </row>
    <row r="34" spans="1:7" ht="28.8" x14ac:dyDescent="0.55000000000000004">
      <c r="A34" s="71">
        <v>45670</v>
      </c>
      <c r="B34" s="13" t="s">
        <v>2803</v>
      </c>
      <c r="C34" s="80">
        <v>2</v>
      </c>
      <c r="D34" s="80">
        <v>40000</v>
      </c>
      <c r="E34" s="73">
        <f>+$I$2+(FBD[[#This Row],[QUANTITE]]*FBD[[#This Row],[PRIX UNITAIRE]])</f>
        <v>80000</v>
      </c>
      <c r="F34" s="159"/>
      <c r="G34" s="74">
        <f>+SUM(E$9:$E34)-SUM(F$9:$F34)</f>
        <v>13597500</v>
      </c>
    </row>
    <row r="35" spans="1:7" ht="28.8" x14ac:dyDescent="0.55000000000000004">
      <c r="A35" s="71">
        <v>45672</v>
      </c>
      <c r="B35" s="13" t="s">
        <v>742</v>
      </c>
      <c r="C35" s="80">
        <v>10</v>
      </c>
      <c r="D35" s="80">
        <v>23500</v>
      </c>
      <c r="E35" s="73">
        <f>+$I$2+(FBD[[#This Row],[QUANTITE]]*FBD[[#This Row],[PRIX UNITAIRE]])</f>
        <v>235000</v>
      </c>
      <c r="F35" s="159"/>
      <c r="G35" s="74">
        <f>+SUM(E$9:$E35)-SUM(F$9:$F35)</f>
        <v>13832500</v>
      </c>
    </row>
    <row r="36" spans="1:7" ht="28.8" x14ac:dyDescent="0.55000000000000004">
      <c r="A36" s="71">
        <v>45672</v>
      </c>
      <c r="B36" s="13" t="s">
        <v>229</v>
      </c>
      <c r="C36" s="80">
        <v>4</v>
      </c>
      <c r="D36" s="80">
        <v>65000</v>
      </c>
      <c r="E36" s="73">
        <f>+$I$2+(FBD[[#This Row],[QUANTITE]]*FBD[[#This Row],[PRIX UNITAIRE]])</f>
        <v>260000</v>
      </c>
      <c r="F36" s="159"/>
      <c r="G36" s="74">
        <f>+SUM(E$9:$E36)-SUM(F$9:$F36)</f>
        <v>14092500</v>
      </c>
    </row>
    <row r="37" spans="1:7" ht="28.8" x14ac:dyDescent="0.55000000000000004">
      <c r="A37" s="71">
        <v>45672</v>
      </c>
      <c r="B37" s="13" t="s">
        <v>78</v>
      </c>
      <c r="C37" s="80">
        <v>4</v>
      </c>
      <c r="D37" s="80">
        <v>95000</v>
      </c>
      <c r="E37" s="73">
        <f>+$I$2+(FBD[[#This Row],[QUANTITE]]*FBD[[#This Row],[PRIX UNITAIRE]])</f>
        <v>380000</v>
      </c>
      <c r="F37" s="159"/>
      <c r="G37" s="74">
        <f>+SUM(E$9:$E37)-SUM(F$9:$F37)</f>
        <v>14472500</v>
      </c>
    </row>
    <row r="38" spans="1:7" ht="28.8" x14ac:dyDescent="0.55000000000000004">
      <c r="A38" s="71">
        <v>45672</v>
      </c>
      <c r="B38" s="13" t="s">
        <v>242</v>
      </c>
      <c r="C38" s="80">
        <v>1</v>
      </c>
      <c r="D38" s="80">
        <v>107500</v>
      </c>
      <c r="E38" s="73">
        <f>+$I$2+(FBD[[#This Row],[QUANTITE]]*FBD[[#This Row],[PRIX UNITAIRE]])</f>
        <v>107500</v>
      </c>
      <c r="F38" s="159"/>
      <c r="G38" s="74">
        <f>+SUM(E$9:$E38)-SUM(F$9:$F38)</f>
        <v>14580000</v>
      </c>
    </row>
    <row r="39" spans="1:7" ht="28.8" x14ac:dyDescent="0.55000000000000004">
      <c r="A39" s="71">
        <v>45672</v>
      </c>
      <c r="B39" s="13" t="s">
        <v>2804</v>
      </c>
      <c r="C39" s="80">
        <v>4</v>
      </c>
      <c r="D39" s="80">
        <v>80000</v>
      </c>
      <c r="E39" s="73">
        <f>+$I$2+(FBD[[#This Row],[QUANTITE]]*FBD[[#This Row],[PRIX UNITAIRE]])</f>
        <v>320000</v>
      </c>
      <c r="F39" s="159"/>
      <c r="G39" s="74">
        <f>+SUM(E$9:$E39)-SUM(F$9:$F39)</f>
        <v>14900000</v>
      </c>
    </row>
    <row r="40" spans="1:7" ht="28.8" x14ac:dyDescent="0.55000000000000004">
      <c r="A40" s="71">
        <v>45672</v>
      </c>
      <c r="B40" s="13" t="s">
        <v>2805</v>
      </c>
      <c r="C40" s="80">
        <v>2</v>
      </c>
      <c r="D40" s="80">
        <v>65000</v>
      </c>
      <c r="E40" s="73">
        <f>+$I$2+(FBD[[#This Row],[QUANTITE]]*FBD[[#This Row],[PRIX UNITAIRE]])</f>
        <v>130000</v>
      </c>
      <c r="F40" s="159"/>
      <c r="G40" s="74">
        <f>+SUM(E$9:$E40)-SUM(F$9:$F40)</f>
        <v>15030000</v>
      </c>
    </row>
    <row r="41" spans="1:7" ht="28.8" x14ac:dyDescent="0.55000000000000004">
      <c r="A41" s="71">
        <v>45674</v>
      </c>
      <c r="B41" s="13" t="s">
        <v>247</v>
      </c>
      <c r="C41" s="80"/>
      <c r="D41" s="80"/>
      <c r="E41" s="73">
        <f>+$I$2+(FBD[[#This Row],[QUANTITE]]*FBD[[#This Row],[PRIX UNITAIRE]])</f>
        <v>0</v>
      </c>
      <c r="F41" s="159">
        <v>1755000</v>
      </c>
      <c r="G41" s="74">
        <f>+SUM(E$9:$E41)-SUM(F$9:$F41)</f>
        <v>13275000</v>
      </c>
    </row>
    <row r="42" spans="1:7" ht="28.8" x14ac:dyDescent="0.55000000000000004">
      <c r="A42" s="71">
        <v>45678</v>
      </c>
      <c r="B42" s="13" t="s">
        <v>1235</v>
      </c>
      <c r="C42" s="80">
        <v>4</v>
      </c>
      <c r="D42" s="80">
        <v>105000</v>
      </c>
      <c r="E42" s="73">
        <f>+$I$2+(FBD[[#This Row],[QUANTITE]]*FBD[[#This Row],[PRIX UNITAIRE]])</f>
        <v>420000</v>
      </c>
      <c r="F42" s="159"/>
      <c r="G42" s="74">
        <f>+SUM(E$9:$E42)-SUM(F$9:$F42)</f>
        <v>13695000</v>
      </c>
    </row>
    <row r="43" spans="1:7" ht="28.8" x14ac:dyDescent="0.55000000000000004">
      <c r="A43" s="71">
        <v>45678</v>
      </c>
      <c r="B43" s="13" t="s">
        <v>2806</v>
      </c>
      <c r="C43" s="80">
        <v>2</v>
      </c>
      <c r="D43" s="80">
        <v>75000</v>
      </c>
      <c r="E43" s="73">
        <f>+$I$2+(FBD[[#This Row],[QUANTITE]]*FBD[[#This Row],[PRIX UNITAIRE]])</f>
        <v>150000</v>
      </c>
      <c r="F43" s="159"/>
      <c r="G43" s="74">
        <f>+SUM(E$9:$E43)-SUM(F$9:$F43)</f>
        <v>13845000</v>
      </c>
    </row>
    <row r="44" spans="1:7" ht="28.8" x14ac:dyDescent="0.55000000000000004">
      <c r="A44" s="71">
        <v>45678</v>
      </c>
      <c r="B44" s="13" t="s">
        <v>2807</v>
      </c>
      <c r="C44" s="80">
        <v>2</v>
      </c>
      <c r="D44" s="80">
        <v>55000</v>
      </c>
      <c r="E44" s="73">
        <f>+$I$2+(FBD[[#This Row],[QUANTITE]]*FBD[[#This Row],[PRIX UNITAIRE]])</f>
        <v>110000</v>
      </c>
      <c r="F44" s="159"/>
      <c r="G44" s="74">
        <f>+SUM(E$9:$E44)-SUM(F$9:$F44)</f>
        <v>13955000</v>
      </c>
    </row>
    <row r="45" spans="1:7" ht="28.8" x14ac:dyDescent="0.55000000000000004">
      <c r="A45" s="71">
        <v>45678</v>
      </c>
      <c r="B45" s="13" t="s">
        <v>2808</v>
      </c>
      <c r="C45" s="80">
        <v>2</v>
      </c>
      <c r="D45" s="80">
        <v>128000</v>
      </c>
      <c r="E45" s="73">
        <f>+$I$2+(FBD[[#This Row],[QUANTITE]]*FBD[[#This Row],[PRIX UNITAIRE]])</f>
        <v>256000</v>
      </c>
      <c r="F45" s="159"/>
      <c r="G45" s="74">
        <f>+SUM(E$9:$E45)-SUM(F$9:$F45)</f>
        <v>14211000</v>
      </c>
    </row>
    <row r="46" spans="1:7" ht="28.8" x14ac:dyDescent="0.55000000000000004">
      <c r="A46" s="71">
        <v>45678</v>
      </c>
      <c r="B46" s="13" t="s">
        <v>2809</v>
      </c>
      <c r="C46" s="80">
        <v>3</v>
      </c>
      <c r="D46" s="80">
        <v>22000</v>
      </c>
      <c r="E46" s="73">
        <f>+$I$2+(FBD[[#This Row],[QUANTITE]]*FBD[[#This Row],[PRIX UNITAIRE]])</f>
        <v>66000</v>
      </c>
      <c r="F46" s="159"/>
      <c r="G46" s="74">
        <f>+SUM(E$9:$E46)-SUM(F$9:$F46)</f>
        <v>14277000</v>
      </c>
    </row>
    <row r="47" spans="1:7" ht="28.8" x14ac:dyDescent="0.55000000000000004">
      <c r="A47" s="71">
        <v>45678</v>
      </c>
      <c r="B47" s="13" t="s">
        <v>2810</v>
      </c>
      <c r="C47" s="80">
        <v>6</v>
      </c>
      <c r="D47" s="80">
        <v>40000</v>
      </c>
      <c r="E47" s="73">
        <f>+$I$2+(FBD[[#This Row],[QUANTITE]]*FBD[[#This Row],[PRIX UNITAIRE]])</f>
        <v>240000</v>
      </c>
      <c r="F47" s="159"/>
      <c r="G47" s="74">
        <f>+SUM(E$9:$E47)-SUM(F$9:$F47)</f>
        <v>14517000</v>
      </c>
    </row>
    <row r="48" spans="1:7" ht="28.8" x14ac:dyDescent="0.55000000000000004">
      <c r="A48" s="71">
        <v>45678</v>
      </c>
      <c r="B48" s="13" t="s">
        <v>690</v>
      </c>
      <c r="C48" s="80">
        <v>1</v>
      </c>
      <c r="D48" s="80">
        <v>128000</v>
      </c>
      <c r="E48" s="73">
        <f>+$I$2+(FBD[[#This Row],[QUANTITE]]*FBD[[#This Row],[PRIX UNITAIRE]])</f>
        <v>128000</v>
      </c>
      <c r="F48" s="159"/>
      <c r="G48" s="74">
        <f>+SUM(E$9:$E48)-SUM(F$9:$F48)</f>
        <v>14645000</v>
      </c>
    </row>
    <row r="49" spans="1:7" ht="28.8" x14ac:dyDescent="0.55000000000000004">
      <c r="A49" s="71">
        <v>45679</v>
      </c>
      <c r="B49" s="13" t="s">
        <v>2811</v>
      </c>
      <c r="C49" s="80">
        <v>2</v>
      </c>
      <c r="D49" s="80">
        <v>300000</v>
      </c>
      <c r="E49" s="73">
        <f>+$I$2+(FBD[[#This Row],[QUANTITE]]*FBD[[#This Row],[PRIX UNITAIRE]])</f>
        <v>600000</v>
      </c>
      <c r="F49" s="159"/>
      <c r="G49" s="74">
        <f>+SUM(E$9:$E49)-SUM(F$9:$F49)</f>
        <v>15245000</v>
      </c>
    </row>
    <row r="50" spans="1:7" ht="28.8" x14ac:dyDescent="0.55000000000000004">
      <c r="A50" s="71">
        <v>45681</v>
      </c>
      <c r="B50" s="13" t="s">
        <v>1235</v>
      </c>
      <c r="C50" s="80">
        <v>20</v>
      </c>
      <c r="D50" s="80">
        <v>105000</v>
      </c>
      <c r="E50" s="73">
        <f>+$I$2+(FBD[[#This Row],[QUANTITE]]*FBD[[#This Row],[PRIX UNITAIRE]])</f>
        <v>2100000</v>
      </c>
      <c r="F50" s="159"/>
      <c r="G50" s="74">
        <f>+SUM(E$9:$E50)-SUM(F$9:$F50)</f>
        <v>17345000</v>
      </c>
    </row>
    <row r="51" spans="1:7" ht="28.8" x14ac:dyDescent="0.55000000000000004">
      <c r="A51" s="71">
        <v>45681</v>
      </c>
      <c r="B51" s="13" t="s">
        <v>2811</v>
      </c>
      <c r="C51" s="80">
        <v>2</v>
      </c>
      <c r="D51" s="80">
        <v>300000</v>
      </c>
      <c r="E51" s="73">
        <f>+$I$2+(FBD[[#This Row],[QUANTITE]]*FBD[[#This Row],[PRIX UNITAIRE]])</f>
        <v>600000</v>
      </c>
      <c r="F51" s="159"/>
      <c r="G51" s="74">
        <f>+SUM(E$9:$E51)-SUM(F$9:$F51)</f>
        <v>17945000</v>
      </c>
    </row>
    <row r="52" spans="1:7" ht="28.8" x14ac:dyDescent="0.55000000000000004">
      <c r="A52" s="71">
        <v>45681</v>
      </c>
      <c r="B52" s="13" t="s">
        <v>2812</v>
      </c>
      <c r="C52" s="80">
        <v>1</v>
      </c>
      <c r="D52" s="80">
        <v>380000</v>
      </c>
      <c r="E52" s="73">
        <f>+$I$2+(FBD[[#This Row],[QUANTITE]]*FBD[[#This Row],[PRIX UNITAIRE]])</f>
        <v>380000</v>
      </c>
      <c r="F52" s="159"/>
      <c r="G52" s="74">
        <f>+SUM(E$9:$E52)-SUM(F$9:$F52)</f>
        <v>18325000</v>
      </c>
    </row>
    <row r="53" spans="1:7" ht="28.8" x14ac:dyDescent="0.55000000000000004">
      <c r="A53" s="71">
        <v>45682</v>
      </c>
      <c r="B53" s="13" t="s">
        <v>247</v>
      </c>
      <c r="C53" s="80"/>
      <c r="D53" s="80"/>
      <c r="E53" s="73">
        <f>+$I$2+(FBD[[#This Row],[QUANTITE]]*FBD[[#This Row],[PRIX UNITAIRE]])</f>
        <v>0</v>
      </c>
      <c r="F53" s="159">
        <v>3590000</v>
      </c>
      <c r="G53" s="74">
        <f>+SUM(E$9:$E53)-SUM(F$9:$F53)</f>
        <v>14735000</v>
      </c>
    </row>
    <row r="54" spans="1:7" ht="28.8" x14ac:dyDescent="0.55000000000000004">
      <c r="A54" s="71">
        <v>45682</v>
      </c>
      <c r="B54" s="13" t="s">
        <v>1214</v>
      </c>
      <c r="C54" s="80"/>
      <c r="D54" s="80"/>
      <c r="E54" s="73">
        <f>+$I$2+(FBD[[#This Row],[QUANTITE]]*FBD[[#This Row],[PRIX UNITAIRE]])</f>
        <v>0</v>
      </c>
      <c r="F54" s="159">
        <v>300000</v>
      </c>
      <c r="G54" s="74">
        <f>+SUM(E$9:$E54)-SUM(F$9:$F54)</f>
        <v>14435000</v>
      </c>
    </row>
    <row r="55" spans="1:7" ht="28.8" x14ac:dyDescent="0.55000000000000004">
      <c r="A55" s="71">
        <v>45682</v>
      </c>
      <c r="B55" s="13" t="s">
        <v>2813</v>
      </c>
      <c r="C55" s="80">
        <v>2</v>
      </c>
      <c r="D55" s="80">
        <v>128000</v>
      </c>
      <c r="E55" s="73">
        <f>+$I$2+(FBD[[#This Row],[QUANTITE]]*FBD[[#This Row],[PRIX UNITAIRE]])</f>
        <v>256000</v>
      </c>
      <c r="F55" s="159"/>
      <c r="G55" s="74">
        <f>+SUM(E$9:$E55)-SUM(F$9:$F55)</f>
        <v>14691000</v>
      </c>
    </row>
    <row r="56" spans="1:7" ht="28.8" x14ac:dyDescent="0.55000000000000004">
      <c r="A56" s="71">
        <v>45685</v>
      </c>
      <c r="B56" s="13" t="s">
        <v>2814</v>
      </c>
      <c r="C56" s="80">
        <v>1</v>
      </c>
      <c r="D56" s="80">
        <v>95000</v>
      </c>
      <c r="E56" s="73">
        <f>+$I$2+(FBD[[#This Row],[QUANTITE]]*FBD[[#This Row],[PRIX UNITAIRE]])</f>
        <v>95000</v>
      </c>
      <c r="F56" s="159"/>
      <c r="G56" s="74">
        <f>+SUM(E$9:$E56)-SUM(F$9:$F56)</f>
        <v>14786000</v>
      </c>
    </row>
    <row r="57" spans="1:7" ht="28.8" x14ac:dyDescent="0.55000000000000004">
      <c r="A57" s="71">
        <v>45685</v>
      </c>
      <c r="B57" s="13" t="s">
        <v>634</v>
      </c>
      <c r="C57" s="80">
        <v>2</v>
      </c>
      <c r="D57" s="80">
        <v>65000</v>
      </c>
      <c r="E57" s="73">
        <f>+$I$2+(FBD[[#This Row],[QUANTITE]]*FBD[[#This Row],[PRIX UNITAIRE]])</f>
        <v>130000</v>
      </c>
      <c r="F57" s="159"/>
      <c r="G57" s="74">
        <f>+SUM(E$9:$E57)-SUM(F$9:$F57)</f>
        <v>14916000</v>
      </c>
    </row>
    <row r="58" spans="1:7" ht="28.8" x14ac:dyDescent="0.55000000000000004">
      <c r="A58" s="71">
        <v>45685</v>
      </c>
      <c r="B58" s="13" t="s">
        <v>2815</v>
      </c>
      <c r="C58" s="80">
        <v>9</v>
      </c>
      <c r="D58" s="80">
        <v>65000</v>
      </c>
      <c r="E58" s="73">
        <f>+$I$2+(FBD[[#This Row],[QUANTITE]]*FBD[[#This Row],[PRIX UNITAIRE]])</f>
        <v>585000</v>
      </c>
      <c r="F58" s="159"/>
      <c r="G58" s="74">
        <f>+SUM(E$9:$E58)-SUM(F$9:$F58)</f>
        <v>15501000</v>
      </c>
    </row>
    <row r="59" spans="1:7" ht="28.8" x14ac:dyDescent="0.55000000000000004">
      <c r="A59" s="71">
        <v>45685</v>
      </c>
      <c r="B59" s="13" t="s">
        <v>2816</v>
      </c>
      <c r="C59" s="80">
        <v>5</v>
      </c>
      <c r="D59" s="80">
        <v>45000</v>
      </c>
      <c r="E59" s="73">
        <f>+$I$2+(FBD[[#This Row],[QUANTITE]]*FBD[[#This Row],[PRIX UNITAIRE]])</f>
        <v>225000</v>
      </c>
      <c r="F59" s="159"/>
      <c r="G59" s="74">
        <f>+SUM(E$9:$E59)-SUM(F$9:$F59)</f>
        <v>15726000</v>
      </c>
    </row>
    <row r="60" spans="1:7" ht="28.8" x14ac:dyDescent="0.55000000000000004">
      <c r="A60" s="71">
        <v>45685</v>
      </c>
      <c r="B60" s="13" t="s">
        <v>1235</v>
      </c>
      <c r="C60" s="80">
        <v>4</v>
      </c>
      <c r="D60" s="80">
        <v>105000</v>
      </c>
      <c r="E60" s="73">
        <f>+$I$2+(FBD[[#This Row],[QUANTITE]]*FBD[[#This Row],[PRIX UNITAIRE]])</f>
        <v>420000</v>
      </c>
      <c r="F60" s="159"/>
      <c r="G60" s="74">
        <f>+SUM(E$9:$E60)-SUM(F$9:$F60)</f>
        <v>16146000</v>
      </c>
    </row>
    <row r="61" spans="1:7" ht="28.8" x14ac:dyDescent="0.55000000000000004">
      <c r="A61" s="71">
        <v>45685</v>
      </c>
      <c r="B61" s="13" t="s">
        <v>213</v>
      </c>
      <c r="C61" s="80">
        <v>2</v>
      </c>
      <c r="D61" s="80">
        <v>128000</v>
      </c>
      <c r="E61" s="73">
        <f>+$I$2+(FBD[[#This Row],[QUANTITE]]*FBD[[#This Row],[PRIX UNITAIRE]])</f>
        <v>256000</v>
      </c>
      <c r="F61" s="159"/>
      <c r="G61" s="74">
        <f>+SUM(E$9:$E61)-SUM(F$9:$F61)</f>
        <v>16402000</v>
      </c>
    </row>
    <row r="62" spans="1:7" ht="28.8" x14ac:dyDescent="0.55000000000000004">
      <c r="A62" s="71">
        <v>45685</v>
      </c>
      <c r="B62" s="13" t="s">
        <v>2817</v>
      </c>
      <c r="C62" s="80">
        <v>5</v>
      </c>
      <c r="D62" s="80">
        <v>3500</v>
      </c>
      <c r="E62" s="73">
        <f>+$I$2+(FBD[[#This Row],[QUANTITE]]*FBD[[#This Row],[PRIX UNITAIRE]])</f>
        <v>17500</v>
      </c>
      <c r="F62" s="159"/>
      <c r="G62" s="74">
        <f>+SUM(E$9:$E62)-SUM(F$9:$F62)</f>
        <v>16419500</v>
      </c>
    </row>
    <row r="63" spans="1:7" ht="28.8" x14ac:dyDescent="0.55000000000000004">
      <c r="A63" s="71">
        <v>45685</v>
      </c>
      <c r="B63" s="13" t="s">
        <v>642</v>
      </c>
      <c r="C63" s="80">
        <v>1</v>
      </c>
      <c r="D63" s="80">
        <v>128000</v>
      </c>
      <c r="E63" s="73">
        <f>+$I$2+(FBD[[#This Row],[QUANTITE]]*FBD[[#This Row],[PRIX UNITAIRE]])</f>
        <v>128000</v>
      </c>
      <c r="F63" s="159"/>
      <c r="G63" s="74">
        <f>+SUM(E$9:$E63)-SUM(F$9:$F63)</f>
        <v>16547500</v>
      </c>
    </row>
    <row r="64" spans="1:7" ht="28.8" x14ac:dyDescent="0.55000000000000004">
      <c r="A64" s="71">
        <v>45687</v>
      </c>
      <c r="B64" s="13" t="s">
        <v>2818</v>
      </c>
      <c r="C64" s="80">
        <v>2</v>
      </c>
      <c r="D64" s="80">
        <v>330000</v>
      </c>
      <c r="E64" s="73">
        <f>+$I$2+(FBD[[#This Row],[QUANTITE]]*FBD[[#This Row],[PRIX UNITAIRE]])</f>
        <v>660000</v>
      </c>
      <c r="F64" s="159"/>
      <c r="G64" s="74">
        <f>+SUM(E$9:$E64)-SUM(F$9:$F64)</f>
        <v>17207500</v>
      </c>
    </row>
    <row r="65" spans="1:7" ht="28.8" x14ac:dyDescent="0.55000000000000004">
      <c r="A65" s="71">
        <v>45687</v>
      </c>
      <c r="B65" s="13" t="s">
        <v>2811</v>
      </c>
      <c r="C65" s="80">
        <v>2</v>
      </c>
      <c r="D65" s="80">
        <v>320000</v>
      </c>
      <c r="E65" s="73">
        <f>+$I$2+(FBD[[#This Row],[QUANTITE]]*FBD[[#This Row],[PRIX UNITAIRE]])</f>
        <v>640000</v>
      </c>
      <c r="F65" s="159"/>
      <c r="G65" s="74">
        <f>+SUM(E$9:$E65)-SUM(F$9:$F65)</f>
        <v>17847500</v>
      </c>
    </row>
    <row r="66" spans="1:7" ht="28.8" x14ac:dyDescent="0.55000000000000004">
      <c r="A66" s="71">
        <v>45687</v>
      </c>
      <c r="B66" s="13" t="s">
        <v>2819</v>
      </c>
      <c r="C66" s="80">
        <v>20</v>
      </c>
      <c r="D66" s="80">
        <v>33000</v>
      </c>
      <c r="E66" s="73">
        <f>+$I$2+(FBD[[#This Row],[QUANTITE]]*FBD[[#This Row],[PRIX UNITAIRE]])</f>
        <v>660000</v>
      </c>
      <c r="F66" s="159"/>
      <c r="G66" s="74">
        <f>+SUM(E$9:$E66)-SUM(F$9:$F66)</f>
        <v>18507500</v>
      </c>
    </row>
    <row r="67" spans="1:7" ht="28.8" x14ac:dyDescent="0.55000000000000004">
      <c r="A67" s="71">
        <v>45687</v>
      </c>
      <c r="B67" s="13" t="s">
        <v>2820</v>
      </c>
      <c r="C67" s="80">
        <v>10</v>
      </c>
      <c r="D67" s="80">
        <v>33000</v>
      </c>
      <c r="E67" s="73">
        <f>+$I$2+(FBD[[#This Row],[QUANTITE]]*FBD[[#This Row],[PRIX UNITAIRE]])</f>
        <v>330000</v>
      </c>
      <c r="F67" s="159"/>
      <c r="G67" s="74">
        <f>+SUM(E$9:$E67)-SUM(F$9:$F67)</f>
        <v>18837500</v>
      </c>
    </row>
    <row r="68" spans="1:7" ht="28.8" x14ac:dyDescent="0.55000000000000004">
      <c r="A68" s="71">
        <v>45689</v>
      </c>
      <c r="B68" s="13" t="s">
        <v>247</v>
      </c>
      <c r="C68" s="80"/>
      <c r="D68" s="80"/>
      <c r="E68" s="73">
        <f>+$I$2+(FBD[[#This Row],[QUANTITE]]*FBD[[#This Row],[PRIX UNITAIRE]])</f>
        <v>0</v>
      </c>
      <c r="F68" s="159">
        <v>3656000</v>
      </c>
      <c r="G68" s="74">
        <f>+SUM(E$9:$E68)-SUM(F$9:$F68)</f>
        <v>15181500</v>
      </c>
    </row>
    <row r="69" spans="1:7" ht="28.8" x14ac:dyDescent="0.55000000000000004">
      <c r="A69" s="71">
        <v>45689</v>
      </c>
      <c r="B69" s="13" t="s">
        <v>1053</v>
      </c>
      <c r="C69" s="80">
        <v>1</v>
      </c>
      <c r="D69" s="80">
        <v>340000</v>
      </c>
      <c r="E69" s="73">
        <f>+$I$2+(FBD[[#This Row],[QUANTITE]]*FBD[[#This Row],[PRIX UNITAIRE]])</f>
        <v>340000</v>
      </c>
      <c r="F69" s="159"/>
      <c r="G69" s="74">
        <f>+SUM(E$9:$E69)-SUM(F$9:$F69)</f>
        <v>15521500</v>
      </c>
    </row>
    <row r="70" spans="1:7" ht="28.8" x14ac:dyDescent="0.55000000000000004">
      <c r="A70" s="71">
        <v>45689</v>
      </c>
      <c r="B70" s="13" t="s">
        <v>2821</v>
      </c>
      <c r="C70" s="80">
        <v>1</v>
      </c>
      <c r="D70" s="80">
        <v>310000</v>
      </c>
      <c r="E70" s="73">
        <f>+$I$2+(FBD[[#This Row],[QUANTITE]]*FBD[[#This Row],[PRIX UNITAIRE]])</f>
        <v>310000</v>
      </c>
      <c r="F70" s="159"/>
      <c r="G70" s="74">
        <f>+SUM(E$9:$E70)-SUM(F$9:$F70)</f>
        <v>15831500</v>
      </c>
    </row>
    <row r="71" spans="1:7" ht="28.8" x14ac:dyDescent="0.55000000000000004">
      <c r="A71" s="71">
        <v>45689</v>
      </c>
      <c r="B71" s="13" t="s">
        <v>2822</v>
      </c>
      <c r="C71" s="80">
        <v>1</v>
      </c>
      <c r="D71" s="80">
        <v>400000</v>
      </c>
      <c r="E71" s="73">
        <f>+$I$2+(FBD[[#This Row],[QUANTITE]]*FBD[[#This Row],[PRIX UNITAIRE]])</f>
        <v>400000</v>
      </c>
      <c r="F71" s="159"/>
      <c r="G71" s="74">
        <f>+SUM(E$9:$E71)-SUM(F$9:$F71)</f>
        <v>16231500</v>
      </c>
    </row>
    <row r="72" spans="1:7" ht="28.8" x14ac:dyDescent="0.55000000000000004">
      <c r="A72" s="71">
        <v>45691</v>
      </c>
      <c r="B72" s="13" t="s">
        <v>1051</v>
      </c>
      <c r="C72" s="80">
        <v>6</v>
      </c>
      <c r="D72" s="80">
        <v>55000</v>
      </c>
      <c r="E72" s="73">
        <f>+$I$2+(FBD[[#This Row],[QUANTITE]]*FBD[[#This Row],[PRIX UNITAIRE]])</f>
        <v>330000</v>
      </c>
      <c r="F72" s="159"/>
      <c r="G72" s="74">
        <f>+SUM(E$9:$E72)-SUM(F$9:$F72)</f>
        <v>16561500</v>
      </c>
    </row>
    <row r="73" spans="1:7" ht="28.8" x14ac:dyDescent="0.55000000000000004">
      <c r="A73" s="71">
        <v>45691</v>
      </c>
      <c r="B73" s="13" t="s">
        <v>1068</v>
      </c>
      <c r="C73" s="80">
        <v>5</v>
      </c>
      <c r="D73" s="80">
        <v>45000</v>
      </c>
      <c r="E73" s="73">
        <f>+$I$2+(FBD[[#This Row],[QUANTITE]]*FBD[[#This Row],[PRIX UNITAIRE]])</f>
        <v>225000</v>
      </c>
      <c r="F73" s="159"/>
      <c r="G73" s="74">
        <f>+SUM(E$9:$E73)-SUM(F$9:$F73)</f>
        <v>16786500</v>
      </c>
    </row>
    <row r="74" spans="1:7" ht="28.8" x14ac:dyDescent="0.55000000000000004">
      <c r="A74" s="71">
        <v>45691</v>
      </c>
      <c r="B74" s="13" t="s">
        <v>1049</v>
      </c>
      <c r="C74" s="80">
        <v>2</v>
      </c>
      <c r="D74" s="80">
        <v>60000</v>
      </c>
      <c r="E74" s="73">
        <f>+$I$2+(FBD[[#This Row],[QUANTITE]]*FBD[[#This Row],[PRIX UNITAIRE]])</f>
        <v>120000</v>
      </c>
      <c r="F74" s="159"/>
      <c r="G74" s="74">
        <f>+SUM(E$9:$E74)-SUM(F$9:$F74)</f>
        <v>16906500</v>
      </c>
    </row>
    <row r="75" spans="1:7" ht="28.8" x14ac:dyDescent="0.55000000000000004">
      <c r="A75" s="71">
        <v>45691</v>
      </c>
      <c r="B75" s="13" t="s">
        <v>1235</v>
      </c>
      <c r="C75" s="80">
        <v>5</v>
      </c>
      <c r="D75" s="80">
        <v>105000</v>
      </c>
      <c r="E75" s="73">
        <f>+$I$2+(FBD[[#This Row],[QUANTITE]]*FBD[[#This Row],[PRIX UNITAIRE]])</f>
        <v>525000</v>
      </c>
      <c r="F75" s="159"/>
      <c r="G75" s="74">
        <f>+SUM(E$9:$E75)-SUM(F$9:$F75)</f>
        <v>17431500</v>
      </c>
    </row>
    <row r="76" spans="1:7" ht="28.8" x14ac:dyDescent="0.55000000000000004">
      <c r="A76" s="71">
        <v>45691</v>
      </c>
      <c r="B76" s="13" t="s">
        <v>2823</v>
      </c>
      <c r="C76" s="80">
        <v>1</v>
      </c>
      <c r="D76" s="80">
        <v>240000</v>
      </c>
      <c r="E76" s="73">
        <f>+$I$2+(FBD[[#This Row],[QUANTITE]]*FBD[[#This Row],[PRIX UNITAIRE]])</f>
        <v>240000</v>
      </c>
      <c r="F76" s="159"/>
      <c r="G76" s="74">
        <f>+SUM(E$9:$E76)-SUM(F$9:$F76)</f>
        <v>17671500</v>
      </c>
    </row>
    <row r="77" spans="1:7" ht="28.8" x14ac:dyDescent="0.55000000000000004">
      <c r="A77" s="71">
        <v>45691</v>
      </c>
      <c r="B77" s="13" t="s">
        <v>213</v>
      </c>
      <c r="C77" s="80">
        <v>2</v>
      </c>
      <c r="D77" s="80">
        <v>128000</v>
      </c>
      <c r="E77" s="73">
        <f>+$I$2+(FBD[[#This Row],[QUANTITE]]*FBD[[#This Row],[PRIX UNITAIRE]])</f>
        <v>256000</v>
      </c>
      <c r="F77" s="159"/>
      <c r="G77" s="74">
        <f>+SUM(E$9:$E77)-SUM(F$9:$F77)</f>
        <v>17927500</v>
      </c>
    </row>
    <row r="78" spans="1:7" ht="28.8" x14ac:dyDescent="0.55000000000000004">
      <c r="A78" s="71">
        <v>45692</v>
      </c>
      <c r="B78" s="13" t="s">
        <v>2813</v>
      </c>
      <c r="C78" s="80">
        <v>2</v>
      </c>
      <c r="D78" s="80">
        <v>128000</v>
      </c>
      <c r="E78" s="73">
        <f>+$I$2+(FBD[[#This Row],[QUANTITE]]*FBD[[#This Row],[PRIX UNITAIRE]])</f>
        <v>256000</v>
      </c>
      <c r="F78" s="159"/>
      <c r="G78" s="74">
        <f>+SUM(E$9:$E78)-SUM(F$9:$F78)</f>
        <v>18183500</v>
      </c>
    </row>
    <row r="79" spans="1:7" ht="28.8" x14ac:dyDescent="0.55000000000000004">
      <c r="A79" s="71">
        <v>45694</v>
      </c>
      <c r="B79" s="13" t="s">
        <v>1053</v>
      </c>
      <c r="C79" s="80">
        <v>1</v>
      </c>
      <c r="D79" s="80">
        <v>330000</v>
      </c>
      <c r="E79" s="73">
        <f>+$I$2+(FBD[[#This Row],[QUANTITE]]*FBD[[#This Row],[PRIX UNITAIRE]])</f>
        <v>330000</v>
      </c>
      <c r="F79" s="159"/>
      <c r="G79" s="74">
        <f>+SUM(E$9:$E79)-SUM(F$9:$F79)</f>
        <v>18513500</v>
      </c>
    </row>
    <row r="80" spans="1:7" ht="28.8" x14ac:dyDescent="0.55000000000000004">
      <c r="A80" s="71">
        <v>45694</v>
      </c>
      <c r="B80" s="13" t="s">
        <v>2824</v>
      </c>
      <c r="C80" s="80">
        <v>2</v>
      </c>
      <c r="D80" s="80">
        <v>22000</v>
      </c>
      <c r="E80" s="73">
        <f>+$I$2+(FBD[[#This Row],[QUANTITE]]*FBD[[#This Row],[PRIX UNITAIRE]])</f>
        <v>44000</v>
      </c>
      <c r="F80" s="159"/>
      <c r="G80" s="74">
        <f>+SUM(E$9:$E80)-SUM(F$9:$F80)</f>
        <v>18557500</v>
      </c>
    </row>
    <row r="81" spans="1:7" ht="28.8" x14ac:dyDescent="0.55000000000000004">
      <c r="A81" s="71">
        <v>45694</v>
      </c>
      <c r="B81" s="13" t="s">
        <v>2825</v>
      </c>
      <c r="C81" s="80">
        <v>1</v>
      </c>
      <c r="D81" s="80">
        <v>45000</v>
      </c>
      <c r="E81" s="73">
        <f>+$I$2+(FBD[[#This Row],[QUANTITE]]*FBD[[#This Row],[PRIX UNITAIRE]])</f>
        <v>45000</v>
      </c>
      <c r="F81" s="159"/>
      <c r="G81" s="74">
        <f>+SUM(E$9:$E81)-SUM(F$9:$F81)</f>
        <v>18602500</v>
      </c>
    </row>
    <row r="82" spans="1:7" ht="28.8" x14ac:dyDescent="0.55000000000000004">
      <c r="A82" s="71">
        <v>45696</v>
      </c>
      <c r="B82" s="13" t="s">
        <v>247</v>
      </c>
      <c r="C82" s="80"/>
      <c r="D82" s="80"/>
      <c r="E82" s="73">
        <f>+$I$2+(FBD[[#This Row],[QUANTITE]]*FBD[[#This Row],[PRIX UNITAIRE]])</f>
        <v>0</v>
      </c>
      <c r="F82" s="159">
        <v>2149000</v>
      </c>
      <c r="G82" s="74">
        <f>+SUM(E$9:$E82)-SUM(F$9:$F82)</f>
        <v>16453500</v>
      </c>
    </row>
    <row r="83" spans="1:7" ht="28.8" x14ac:dyDescent="0.55000000000000004">
      <c r="A83" s="71">
        <v>45696</v>
      </c>
      <c r="B83" s="13" t="s">
        <v>1214</v>
      </c>
      <c r="C83" s="80"/>
      <c r="D83" s="80"/>
      <c r="E83" s="73">
        <f>+$I$2+(FBD[[#This Row],[QUANTITE]]*FBD[[#This Row],[PRIX UNITAIRE]])</f>
        <v>0</v>
      </c>
      <c r="F83" s="159">
        <v>240000</v>
      </c>
      <c r="G83" s="74">
        <f>+SUM(E$9:$E83)-SUM(F$9:$F83)</f>
        <v>16213500</v>
      </c>
    </row>
    <row r="84" spans="1:7" ht="28.8" x14ac:dyDescent="0.55000000000000004">
      <c r="A84" s="71">
        <v>45698</v>
      </c>
      <c r="B84" s="13" t="s">
        <v>43</v>
      </c>
      <c r="C84" s="80">
        <v>6</v>
      </c>
      <c r="D84" s="80">
        <v>128000</v>
      </c>
      <c r="E84" s="73">
        <f>+$I$2+(FBD[[#This Row],[QUANTITE]]*FBD[[#This Row],[PRIX UNITAIRE]])</f>
        <v>768000</v>
      </c>
      <c r="F84" s="159"/>
      <c r="G84" s="74">
        <f>+SUM(E$9:$E84)-SUM(F$9:$F84)</f>
        <v>16981500</v>
      </c>
    </row>
    <row r="85" spans="1:7" ht="28.8" x14ac:dyDescent="0.55000000000000004">
      <c r="A85" s="71">
        <v>45698</v>
      </c>
      <c r="B85" s="13" t="s">
        <v>1247</v>
      </c>
      <c r="C85" s="80">
        <v>4</v>
      </c>
      <c r="D85" s="80">
        <v>105000</v>
      </c>
      <c r="E85" s="73">
        <f>+$I$2+(FBD[[#This Row],[QUANTITE]]*FBD[[#This Row],[PRIX UNITAIRE]])</f>
        <v>420000</v>
      </c>
      <c r="F85" s="159"/>
      <c r="G85" s="74">
        <f>+SUM(E$9:$E85)-SUM(F$9:$F85)</f>
        <v>17401500</v>
      </c>
    </row>
    <row r="86" spans="1:7" ht="28.8" x14ac:dyDescent="0.55000000000000004">
      <c r="A86" s="71">
        <v>45698</v>
      </c>
      <c r="B86" s="13" t="s">
        <v>2826</v>
      </c>
      <c r="C86" s="80">
        <v>1</v>
      </c>
      <c r="D86" s="80">
        <v>60000</v>
      </c>
      <c r="E86" s="73">
        <f>+$I$2+(FBD[[#This Row],[QUANTITE]]*FBD[[#This Row],[PRIX UNITAIRE]])</f>
        <v>60000</v>
      </c>
      <c r="F86" s="159"/>
      <c r="G86" s="74">
        <f>+SUM(E$9:$E86)-SUM(F$9:$F86)</f>
        <v>17461500</v>
      </c>
    </row>
    <row r="87" spans="1:7" ht="28.8" x14ac:dyDescent="0.55000000000000004">
      <c r="A87" s="71">
        <v>45698</v>
      </c>
      <c r="B87" s="13" t="s">
        <v>2827</v>
      </c>
      <c r="C87" s="80">
        <v>4</v>
      </c>
      <c r="D87" s="80">
        <v>65000</v>
      </c>
      <c r="E87" s="73">
        <f>+$I$2+(FBD[[#This Row],[QUANTITE]]*FBD[[#This Row],[PRIX UNITAIRE]])</f>
        <v>260000</v>
      </c>
      <c r="F87" s="159"/>
      <c r="G87" s="74">
        <f>+SUM(E$9:$E87)-SUM(F$9:$F87)</f>
        <v>17721500</v>
      </c>
    </row>
    <row r="88" spans="1:7" ht="28.8" x14ac:dyDescent="0.55000000000000004">
      <c r="A88" s="71">
        <v>45698</v>
      </c>
      <c r="B88" s="13" t="s">
        <v>2828</v>
      </c>
      <c r="C88" s="80">
        <v>4</v>
      </c>
      <c r="D88" s="80">
        <v>55000</v>
      </c>
      <c r="E88" s="73">
        <f>+$I$2+(FBD[[#This Row],[QUANTITE]]*FBD[[#This Row],[PRIX UNITAIRE]])</f>
        <v>220000</v>
      </c>
      <c r="F88" s="159"/>
      <c r="G88" s="74">
        <f>+SUM(E$9:$E88)-SUM(F$9:$F88)</f>
        <v>17941500</v>
      </c>
    </row>
    <row r="89" spans="1:7" ht="28.8" x14ac:dyDescent="0.55000000000000004">
      <c r="A89" s="71">
        <v>45698</v>
      </c>
      <c r="B89" s="13" t="s">
        <v>2828</v>
      </c>
      <c r="C89" s="80">
        <v>2</v>
      </c>
      <c r="D89" s="80">
        <v>55000</v>
      </c>
      <c r="E89" s="73">
        <f>+$I$2+(FBD[[#This Row],[QUANTITE]]*FBD[[#This Row],[PRIX UNITAIRE]])</f>
        <v>110000</v>
      </c>
      <c r="F89" s="159"/>
      <c r="G89" s="74">
        <f>+SUM(E$9:$E89)-SUM(F$9:$F89)</f>
        <v>18051500</v>
      </c>
    </row>
    <row r="90" spans="1:7" ht="28.8" x14ac:dyDescent="0.55000000000000004">
      <c r="A90" s="71">
        <v>45698</v>
      </c>
      <c r="B90" s="13" t="s">
        <v>2828</v>
      </c>
      <c r="C90" s="80">
        <v>2</v>
      </c>
      <c r="D90" s="80">
        <v>45000</v>
      </c>
      <c r="E90" s="73">
        <f>+$I$2+(FBD[[#This Row],[QUANTITE]]*FBD[[#This Row],[PRIX UNITAIRE]])</f>
        <v>90000</v>
      </c>
      <c r="F90" s="159"/>
      <c r="G90" s="74">
        <f>+SUM(E$9:$E90)-SUM(F$9:$F90)</f>
        <v>18141500</v>
      </c>
    </row>
    <row r="91" spans="1:7" ht="28.8" x14ac:dyDescent="0.55000000000000004">
      <c r="A91" s="71">
        <v>45700</v>
      </c>
      <c r="B91" s="13" t="s">
        <v>179</v>
      </c>
      <c r="C91" s="80">
        <v>4</v>
      </c>
      <c r="D91" s="80">
        <v>128000</v>
      </c>
      <c r="E91" s="73">
        <f>+$I$2+(FBD[[#This Row],[QUANTITE]]*FBD[[#This Row],[PRIX UNITAIRE]])</f>
        <v>512000</v>
      </c>
      <c r="F91" s="159"/>
      <c r="G91" s="74">
        <f>+SUM(E$9:$E91)-SUM(F$9:$F91)</f>
        <v>18653500</v>
      </c>
    </row>
    <row r="92" spans="1:7" ht="28.8" x14ac:dyDescent="0.55000000000000004">
      <c r="A92" s="71">
        <v>45701</v>
      </c>
      <c r="B92" s="13" t="s">
        <v>247</v>
      </c>
      <c r="C92" s="80"/>
      <c r="D92" s="80"/>
      <c r="E92" s="73">
        <f>+$I$2+(FBD[[#This Row],[QUANTITE]]*FBD[[#This Row],[PRIX UNITAIRE]])</f>
        <v>0</v>
      </c>
      <c r="F92" s="159">
        <v>650000</v>
      </c>
      <c r="G92" s="74">
        <f>+SUM(E$9:$E92)-SUM(F$9:$F92)</f>
        <v>18003500</v>
      </c>
    </row>
    <row r="93" spans="1:7" ht="28.8" x14ac:dyDescent="0.55000000000000004">
      <c r="A93" s="71">
        <v>45701</v>
      </c>
      <c r="B93" s="13" t="s">
        <v>1235</v>
      </c>
      <c r="C93" s="80">
        <v>6</v>
      </c>
      <c r="D93" s="80">
        <v>105000</v>
      </c>
      <c r="E93" s="73">
        <f>+$I$2+(FBD[[#This Row],[QUANTITE]]*FBD[[#This Row],[PRIX UNITAIRE]])</f>
        <v>630000</v>
      </c>
      <c r="F93" s="159"/>
      <c r="G93" s="74">
        <f>+SUM(E$9:$E93)-SUM(F$9:$F93)</f>
        <v>18633500</v>
      </c>
    </row>
    <row r="94" spans="1:7" ht="28.8" x14ac:dyDescent="0.55000000000000004">
      <c r="A94" s="71">
        <v>45701</v>
      </c>
      <c r="B94" s="13" t="s">
        <v>2827</v>
      </c>
      <c r="C94" s="80">
        <v>6</v>
      </c>
      <c r="D94" s="80">
        <v>65000</v>
      </c>
      <c r="E94" s="73">
        <f>+$I$2+(FBD[[#This Row],[QUANTITE]]*FBD[[#This Row],[PRIX UNITAIRE]])</f>
        <v>390000</v>
      </c>
      <c r="F94" s="159"/>
      <c r="G94" s="74">
        <f>+SUM(E$9:$E94)-SUM(F$9:$F94)</f>
        <v>19023500</v>
      </c>
    </row>
    <row r="95" spans="1:7" ht="28.8" x14ac:dyDescent="0.55000000000000004">
      <c r="A95" s="71">
        <v>45701</v>
      </c>
      <c r="B95" s="13" t="s">
        <v>2820</v>
      </c>
      <c r="C95" s="80">
        <v>10</v>
      </c>
      <c r="D95" s="80">
        <v>33000</v>
      </c>
      <c r="E95" s="73">
        <f>+$I$2+(FBD[[#This Row],[QUANTITE]]*FBD[[#This Row],[PRIX UNITAIRE]])</f>
        <v>330000</v>
      </c>
      <c r="F95" s="159"/>
      <c r="G95" s="74">
        <f>+SUM(E$9:$E95)-SUM(F$9:$F95)</f>
        <v>19353500</v>
      </c>
    </row>
    <row r="96" spans="1:7" ht="28.8" x14ac:dyDescent="0.55000000000000004">
      <c r="A96" s="71">
        <v>45701</v>
      </c>
      <c r="B96" s="13" t="s">
        <v>213</v>
      </c>
      <c r="C96" s="80">
        <v>4</v>
      </c>
      <c r="D96" s="80">
        <v>128000</v>
      </c>
      <c r="E96" s="73">
        <f>+$I$2+(FBD[[#This Row],[QUANTITE]]*FBD[[#This Row],[PRIX UNITAIRE]])</f>
        <v>512000</v>
      </c>
      <c r="F96" s="159"/>
      <c r="G96" s="74">
        <f>+SUM(E$9:$E96)-SUM(F$9:$F96)</f>
        <v>19865500</v>
      </c>
    </row>
    <row r="97" spans="1:7" ht="28.8" x14ac:dyDescent="0.55000000000000004">
      <c r="A97" s="71">
        <v>45702</v>
      </c>
      <c r="B97" s="13" t="s">
        <v>247</v>
      </c>
      <c r="C97" s="80"/>
      <c r="D97" s="80"/>
      <c r="E97" s="73">
        <f>+$I$2+(FBD[[#This Row],[QUANTITE]]*FBD[[#This Row],[PRIX UNITAIRE]])</f>
        <v>0</v>
      </c>
      <c r="F97" s="159">
        <v>1212000</v>
      </c>
      <c r="G97" s="74">
        <f>+SUM(E$9:$E97)-SUM(F$9:$F97)</f>
        <v>18653500</v>
      </c>
    </row>
    <row r="98" spans="1:7" ht="28.8" x14ac:dyDescent="0.55000000000000004">
      <c r="A98" s="71">
        <v>45702</v>
      </c>
      <c r="B98" s="13" t="s">
        <v>1214</v>
      </c>
      <c r="C98" s="80"/>
      <c r="D98" s="80"/>
      <c r="E98" s="73">
        <f>+$I$2+(FBD[[#This Row],[QUANTITE]]*FBD[[#This Row],[PRIX UNITAIRE]])</f>
        <v>0</v>
      </c>
      <c r="F98" s="159">
        <v>160000</v>
      </c>
      <c r="G98" s="74">
        <f>+SUM(E$9:$E98)-SUM(F$9:$F98)</f>
        <v>18493500</v>
      </c>
    </row>
    <row r="99" spans="1:7" ht="28.8" x14ac:dyDescent="0.55000000000000004">
      <c r="A99" s="71">
        <v>45702</v>
      </c>
      <c r="B99" s="13" t="s">
        <v>2829</v>
      </c>
      <c r="C99" s="80">
        <v>2</v>
      </c>
      <c r="D99" s="80">
        <v>85000</v>
      </c>
      <c r="E99" s="73">
        <f>+$I$2+(FBD[[#This Row],[QUANTITE]]*FBD[[#This Row],[PRIX UNITAIRE]])</f>
        <v>170000</v>
      </c>
      <c r="F99" s="159"/>
      <c r="G99" s="74">
        <f>+SUM(E$9:$E99)-SUM(F$9:$F99)</f>
        <v>18663500</v>
      </c>
    </row>
    <row r="100" spans="1:7" ht="28.8" x14ac:dyDescent="0.55000000000000004">
      <c r="A100" s="71">
        <v>45705</v>
      </c>
      <c r="B100" s="13" t="s">
        <v>2830</v>
      </c>
      <c r="C100" s="80">
        <v>2</v>
      </c>
      <c r="D100" s="80">
        <v>105000</v>
      </c>
      <c r="E100" s="73">
        <f>+$I$2+(FBD[[#This Row],[QUANTITE]]*FBD[[#This Row],[PRIX UNITAIRE]])</f>
        <v>210000</v>
      </c>
      <c r="F100" s="159"/>
      <c r="G100" s="74">
        <f>+SUM(E$9:$E100)-SUM(F$9:$F100)</f>
        <v>18873500</v>
      </c>
    </row>
    <row r="101" spans="1:7" ht="28.8" x14ac:dyDescent="0.55000000000000004">
      <c r="A101" s="71">
        <v>45705</v>
      </c>
      <c r="B101" s="13" t="s">
        <v>2831</v>
      </c>
      <c r="C101" s="80">
        <v>2</v>
      </c>
      <c r="D101" s="80">
        <v>115000</v>
      </c>
      <c r="E101" s="73">
        <f>+$I$2+(FBD[[#This Row],[QUANTITE]]*FBD[[#This Row],[PRIX UNITAIRE]])</f>
        <v>230000</v>
      </c>
      <c r="F101" s="159"/>
      <c r="G101" s="74">
        <f>+SUM(E$9:$E101)-SUM(F$9:$F101)</f>
        <v>19103500</v>
      </c>
    </row>
    <row r="102" spans="1:7" ht="28.8" x14ac:dyDescent="0.55000000000000004">
      <c r="A102" s="71">
        <v>45706</v>
      </c>
      <c r="B102" s="13" t="s">
        <v>247</v>
      </c>
      <c r="C102" s="80"/>
      <c r="D102" s="80"/>
      <c r="E102" s="73">
        <f>+$I$2+(FBD[[#This Row],[QUANTITE]]*FBD[[#This Row],[PRIX UNITAIRE]])</f>
        <v>0</v>
      </c>
      <c r="F102" s="159">
        <v>2000000</v>
      </c>
      <c r="G102" s="74">
        <f>+SUM(E$9:$E102)-SUM(F$9:$F102)</f>
        <v>17103500</v>
      </c>
    </row>
    <row r="103" spans="1:7" ht="28.8" x14ac:dyDescent="0.55000000000000004">
      <c r="A103" s="71">
        <v>45706</v>
      </c>
      <c r="B103" s="13" t="s">
        <v>2832</v>
      </c>
      <c r="C103" s="80">
        <v>1</v>
      </c>
      <c r="D103" s="80">
        <v>330000</v>
      </c>
      <c r="E103" s="73">
        <f>+$I$2+(FBD[[#This Row],[QUANTITE]]*FBD[[#This Row],[PRIX UNITAIRE]])</f>
        <v>330000</v>
      </c>
      <c r="F103" s="159"/>
      <c r="G103" s="74">
        <f>+SUM(E$9:$E103)-SUM(F$9:$F103)</f>
        <v>17433500</v>
      </c>
    </row>
    <row r="104" spans="1:7" ht="28.8" x14ac:dyDescent="0.55000000000000004">
      <c r="A104" s="71">
        <v>45707</v>
      </c>
      <c r="B104" s="13" t="s">
        <v>2833</v>
      </c>
      <c r="C104" s="80">
        <v>1</v>
      </c>
      <c r="D104" s="80">
        <v>330000</v>
      </c>
      <c r="E104" s="73">
        <f>+$I$2+(FBD[[#This Row],[QUANTITE]]*FBD[[#This Row],[PRIX UNITAIRE]])</f>
        <v>330000</v>
      </c>
      <c r="F104" s="159"/>
      <c r="G104" s="74">
        <f>+SUM(E$9:$E104)-SUM(F$9:$F104)</f>
        <v>17763500</v>
      </c>
    </row>
    <row r="105" spans="1:7" ht="28.8" x14ac:dyDescent="0.55000000000000004">
      <c r="A105" s="71">
        <v>45707</v>
      </c>
      <c r="B105" s="13" t="s">
        <v>2833</v>
      </c>
      <c r="C105" s="80">
        <v>1</v>
      </c>
      <c r="D105" s="80">
        <v>330000</v>
      </c>
      <c r="E105" s="73">
        <f>+$I$2+(FBD[[#This Row],[QUANTITE]]*FBD[[#This Row],[PRIX UNITAIRE]])</f>
        <v>330000</v>
      </c>
      <c r="F105" s="159"/>
      <c r="G105" s="74">
        <f>+SUM(E$9:$E105)-SUM(F$9:$F105)</f>
        <v>18093500</v>
      </c>
    </row>
    <row r="106" spans="1:7" ht="28.8" x14ac:dyDescent="0.55000000000000004">
      <c r="A106" s="71">
        <v>45707</v>
      </c>
      <c r="B106" s="13" t="s">
        <v>2834</v>
      </c>
      <c r="C106" s="80">
        <v>2</v>
      </c>
      <c r="D106" s="80">
        <v>330000</v>
      </c>
      <c r="E106" s="73">
        <f>+$I$2+(FBD[[#This Row],[QUANTITE]]*FBD[[#This Row],[PRIX UNITAIRE]])</f>
        <v>660000</v>
      </c>
      <c r="F106" s="159"/>
      <c r="G106" s="74">
        <f>+SUM(E$9:$E106)-SUM(F$9:$F106)</f>
        <v>18753500</v>
      </c>
    </row>
    <row r="107" spans="1:7" ht="28.8" x14ac:dyDescent="0.55000000000000004">
      <c r="A107" s="71">
        <v>45707</v>
      </c>
      <c r="B107" s="13" t="s">
        <v>2835</v>
      </c>
      <c r="C107" s="80">
        <v>1</v>
      </c>
      <c r="D107" s="80">
        <v>240000</v>
      </c>
      <c r="E107" s="73">
        <f>+$I$2+(FBD[[#This Row],[QUANTITE]]*FBD[[#This Row],[PRIX UNITAIRE]])</f>
        <v>240000</v>
      </c>
      <c r="F107" s="159"/>
      <c r="G107" s="74">
        <f>+SUM(E$9:$E107)-SUM(F$9:$F107)</f>
        <v>18993500</v>
      </c>
    </row>
    <row r="108" spans="1:7" ht="28.8" x14ac:dyDescent="0.55000000000000004">
      <c r="A108" s="71">
        <v>45707</v>
      </c>
      <c r="B108" s="13" t="s">
        <v>2836</v>
      </c>
      <c r="C108" s="80">
        <v>1</v>
      </c>
      <c r="D108" s="80">
        <v>240000</v>
      </c>
      <c r="E108" s="73">
        <f>+$I$2+(FBD[[#This Row],[QUANTITE]]*FBD[[#This Row],[PRIX UNITAIRE]])</f>
        <v>240000</v>
      </c>
      <c r="F108" s="159"/>
      <c r="G108" s="74">
        <f>+SUM(E$9:$E108)-SUM(F$9:$F108)</f>
        <v>19233500</v>
      </c>
    </row>
    <row r="109" spans="1:7" ht="28.8" x14ac:dyDescent="0.55000000000000004">
      <c r="A109" s="71">
        <v>45707</v>
      </c>
      <c r="B109" s="13" t="s">
        <v>2833</v>
      </c>
      <c r="C109" s="80">
        <v>2</v>
      </c>
      <c r="D109" s="80">
        <v>240000</v>
      </c>
      <c r="E109" s="73">
        <f>+$I$2+(FBD[[#This Row],[QUANTITE]]*FBD[[#This Row],[PRIX UNITAIRE]])</f>
        <v>480000</v>
      </c>
      <c r="F109" s="159"/>
      <c r="G109" s="74">
        <f>+SUM(E$9:$E109)-SUM(F$9:$F109)</f>
        <v>19713500</v>
      </c>
    </row>
    <row r="110" spans="1:7" ht="28.8" x14ac:dyDescent="0.55000000000000004">
      <c r="A110" s="71">
        <v>45707</v>
      </c>
      <c r="B110" s="13" t="s">
        <v>2837</v>
      </c>
      <c r="C110" s="80">
        <v>2</v>
      </c>
      <c r="D110" s="80">
        <v>240000</v>
      </c>
      <c r="E110" s="73">
        <f>+$I$2+(FBD[[#This Row],[QUANTITE]]*FBD[[#This Row],[PRIX UNITAIRE]])</f>
        <v>480000</v>
      </c>
      <c r="F110" s="159"/>
      <c r="G110" s="74">
        <f>+SUM(E$9:$E110)-SUM(F$9:$F110)</f>
        <v>20193500</v>
      </c>
    </row>
    <row r="111" spans="1:7" ht="28.8" x14ac:dyDescent="0.55000000000000004">
      <c r="A111" s="71">
        <v>45707</v>
      </c>
      <c r="B111" s="13" t="s">
        <v>2838</v>
      </c>
      <c r="C111" s="80">
        <v>2</v>
      </c>
      <c r="D111" s="80">
        <v>250000</v>
      </c>
      <c r="E111" s="73">
        <f>+$I$2+(FBD[[#This Row],[QUANTITE]]*FBD[[#This Row],[PRIX UNITAIRE]])</f>
        <v>500000</v>
      </c>
      <c r="F111" s="159"/>
      <c r="G111" s="74">
        <f>+SUM(E$9:$E111)-SUM(F$9:$F111)</f>
        <v>20693500</v>
      </c>
    </row>
    <row r="112" spans="1:7" ht="28.8" x14ac:dyDescent="0.55000000000000004">
      <c r="A112" s="71">
        <v>45708</v>
      </c>
      <c r="B112" s="13" t="s">
        <v>247</v>
      </c>
      <c r="C112" s="80"/>
      <c r="D112" s="80"/>
      <c r="E112" s="73">
        <f>+$I$2+(FBD[[#This Row],[QUANTITE]]*FBD[[#This Row],[PRIX UNITAIRE]])</f>
        <v>0</v>
      </c>
      <c r="F112" s="159">
        <v>1000000</v>
      </c>
      <c r="G112" s="74">
        <f>+SUM(E$9:$E112)-SUM(F$9:$F112)</f>
        <v>19693500</v>
      </c>
    </row>
    <row r="113" spans="1:7" ht="28.8" x14ac:dyDescent="0.55000000000000004">
      <c r="A113" s="71">
        <v>45710</v>
      </c>
      <c r="B113" s="13" t="s">
        <v>1214</v>
      </c>
      <c r="C113" s="80"/>
      <c r="D113" s="80"/>
      <c r="E113" s="73">
        <f>+$I$2+(FBD[[#This Row],[QUANTITE]]*FBD[[#This Row],[PRIX UNITAIRE]])</f>
        <v>0</v>
      </c>
      <c r="F113" s="159">
        <v>1120000</v>
      </c>
      <c r="G113" s="74">
        <f>+SUM(E$9:$E113)-SUM(F$9:$F113)</f>
        <v>18573500</v>
      </c>
    </row>
    <row r="114" spans="1:7" ht="28.8" x14ac:dyDescent="0.55000000000000004">
      <c r="A114" s="71">
        <v>45712</v>
      </c>
      <c r="B114" s="13" t="s">
        <v>2828</v>
      </c>
      <c r="C114" s="80">
        <v>4</v>
      </c>
      <c r="D114" s="80">
        <v>50000</v>
      </c>
      <c r="E114" s="73">
        <f>+$I$2+(FBD[[#This Row],[QUANTITE]]*FBD[[#This Row],[PRIX UNITAIRE]])</f>
        <v>200000</v>
      </c>
      <c r="F114" s="159"/>
      <c r="G114" s="74">
        <f>+SUM(E$9:$E114)-SUM(F$9:$F114)</f>
        <v>18773500</v>
      </c>
    </row>
    <row r="115" spans="1:7" ht="28.8" x14ac:dyDescent="0.55000000000000004">
      <c r="A115" s="71">
        <v>45712</v>
      </c>
      <c r="B115" s="13" t="s">
        <v>2827</v>
      </c>
      <c r="C115" s="80">
        <v>5</v>
      </c>
      <c r="D115" s="80">
        <v>60000</v>
      </c>
      <c r="E115" s="73">
        <f>+$I$2+(FBD[[#This Row],[QUANTITE]]*FBD[[#This Row],[PRIX UNITAIRE]])</f>
        <v>300000</v>
      </c>
      <c r="F115" s="159"/>
      <c r="G115" s="74">
        <f>+SUM(E$9:$E115)-SUM(F$9:$F115)</f>
        <v>19073500</v>
      </c>
    </row>
    <row r="116" spans="1:7" ht="28.8" x14ac:dyDescent="0.55000000000000004">
      <c r="A116" s="71">
        <v>45712</v>
      </c>
      <c r="B116" s="13" t="s">
        <v>2839</v>
      </c>
      <c r="C116" s="80">
        <v>2</v>
      </c>
      <c r="D116" s="80">
        <v>95000</v>
      </c>
      <c r="E116" s="73">
        <f>+$I$2+(FBD[[#This Row],[QUANTITE]]*FBD[[#This Row],[PRIX UNITAIRE]])</f>
        <v>190000</v>
      </c>
      <c r="F116" s="159"/>
      <c r="G116" s="74">
        <f>+SUM(E$9:$E116)-SUM(F$9:$F116)</f>
        <v>19263500</v>
      </c>
    </row>
    <row r="117" spans="1:7" ht="28.8" x14ac:dyDescent="0.55000000000000004">
      <c r="A117" s="71">
        <v>45712</v>
      </c>
      <c r="B117" s="13" t="s">
        <v>2840</v>
      </c>
      <c r="C117" s="80">
        <v>10</v>
      </c>
      <c r="D117" s="80">
        <v>25000</v>
      </c>
      <c r="E117" s="73">
        <f>+$I$2+(FBD[[#This Row],[QUANTITE]]*FBD[[#This Row],[PRIX UNITAIRE]])</f>
        <v>250000</v>
      </c>
      <c r="F117" s="159"/>
      <c r="G117" s="74">
        <f>+SUM(E$9:$E117)-SUM(F$9:$F117)</f>
        <v>19513500</v>
      </c>
    </row>
    <row r="118" spans="1:7" ht="28.8" x14ac:dyDescent="0.55000000000000004">
      <c r="A118" s="71">
        <v>45712</v>
      </c>
      <c r="B118" s="13" t="s">
        <v>2841</v>
      </c>
      <c r="C118" s="80">
        <v>10</v>
      </c>
      <c r="D118" s="80">
        <v>95000</v>
      </c>
      <c r="E118" s="73">
        <f>+$I$2+(FBD[[#This Row],[QUANTITE]]*FBD[[#This Row],[PRIX UNITAIRE]])</f>
        <v>950000</v>
      </c>
      <c r="F118" s="159"/>
      <c r="G118" s="74">
        <f>+SUM(E$9:$E118)-SUM(F$9:$F118)</f>
        <v>20463500</v>
      </c>
    </row>
    <row r="119" spans="1:7" ht="28.8" x14ac:dyDescent="0.55000000000000004">
      <c r="A119" s="71">
        <v>45712</v>
      </c>
      <c r="B119" s="13" t="s">
        <v>2842</v>
      </c>
      <c r="C119" s="80">
        <v>3</v>
      </c>
      <c r="D119" s="80">
        <v>105000</v>
      </c>
      <c r="E119" s="73">
        <f>+$I$2+(FBD[[#This Row],[QUANTITE]]*FBD[[#This Row],[PRIX UNITAIRE]])</f>
        <v>315000</v>
      </c>
      <c r="F119" s="159"/>
      <c r="G119" s="74">
        <f>+SUM(E$9:$E119)-SUM(F$9:$F119)</f>
        <v>20778500</v>
      </c>
    </row>
    <row r="120" spans="1:7" ht="28.8" x14ac:dyDescent="0.55000000000000004">
      <c r="A120" s="71">
        <v>45714</v>
      </c>
      <c r="B120" s="13" t="s">
        <v>247</v>
      </c>
      <c r="C120" s="80"/>
      <c r="D120" s="80"/>
      <c r="E120" s="73">
        <f>+$I$2+(FBD[[#This Row],[QUANTITE]]*FBD[[#This Row],[PRIX UNITAIRE]])</f>
        <v>0</v>
      </c>
      <c r="F120" s="159">
        <v>1000000</v>
      </c>
      <c r="G120" s="74">
        <f>+SUM(E$9:$E120)-SUM(F$9:$F120)</f>
        <v>19778500</v>
      </c>
    </row>
    <row r="121" spans="1:7" ht="28.8" x14ac:dyDescent="0.55000000000000004">
      <c r="A121" s="71">
        <v>45714</v>
      </c>
      <c r="B121" s="13" t="s">
        <v>2843</v>
      </c>
      <c r="C121" s="80">
        <v>5</v>
      </c>
      <c r="D121" s="80">
        <v>65000</v>
      </c>
      <c r="E121" s="73">
        <f>+$I$2+(FBD[[#This Row],[QUANTITE]]*FBD[[#This Row],[PRIX UNITAIRE]])</f>
        <v>325000</v>
      </c>
      <c r="F121" s="159"/>
      <c r="G121" s="74">
        <f>+SUM(E$9:$E121)-SUM(F$9:$F121)</f>
        <v>20103500</v>
      </c>
    </row>
    <row r="122" spans="1:7" ht="28.8" x14ac:dyDescent="0.55000000000000004">
      <c r="A122" s="71">
        <v>45714</v>
      </c>
      <c r="B122" s="13" t="s">
        <v>182</v>
      </c>
      <c r="C122" s="80">
        <v>4</v>
      </c>
      <c r="D122" s="80">
        <v>15000</v>
      </c>
      <c r="E122" s="73">
        <f>+$I$2+(FBD[[#This Row],[QUANTITE]]*FBD[[#This Row],[PRIX UNITAIRE]])</f>
        <v>60000</v>
      </c>
      <c r="F122" s="159"/>
      <c r="G122" s="74">
        <f>+SUM(E$9:$E122)-SUM(F$9:$F122)</f>
        <v>20163500</v>
      </c>
    </row>
    <row r="123" spans="1:7" ht="28.8" x14ac:dyDescent="0.55000000000000004">
      <c r="A123" s="71">
        <v>45714</v>
      </c>
      <c r="B123" s="13" t="s">
        <v>615</v>
      </c>
      <c r="C123" s="80">
        <v>4</v>
      </c>
      <c r="D123" s="80">
        <v>40000</v>
      </c>
      <c r="E123" s="73">
        <f>+$I$2+(FBD[[#This Row],[QUANTITE]]*FBD[[#This Row],[PRIX UNITAIRE]])</f>
        <v>160000</v>
      </c>
      <c r="F123" s="159"/>
      <c r="G123" s="74">
        <f>+SUM(E$9:$E123)-SUM(F$9:$F123)</f>
        <v>20323500</v>
      </c>
    </row>
    <row r="124" spans="1:7" ht="28.8" x14ac:dyDescent="0.55000000000000004">
      <c r="A124" s="71">
        <v>45714</v>
      </c>
      <c r="B124" s="13" t="s">
        <v>1275</v>
      </c>
      <c r="C124" s="80">
        <v>4</v>
      </c>
      <c r="D124" s="80">
        <v>40000</v>
      </c>
      <c r="E124" s="73">
        <f>+$I$2+(FBD[[#This Row],[QUANTITE]]*FBD[[#This Row],[PRIX UNITAIRE]])</f>
        <v>160000</v>
      </c>
      <c r="F124" s="159"/>
      <c r="G124" s="74">
        <f>+SUM(E$9:$E124)-SUM(F$9:$F124)</f>
        <v>20483500</v>
      </c>
    </row>
    <row r="125" spans="1:7" ht="28.8" x14ac:dyDescent="0.55000000000000004">
      <c r="A125" s="72">
        <v>45715</v>
      </c>
      <c r="B125" s="13" t="s">
        <v>261</v>
      </c>
      <c r="C125" s="80">
        <v>4</v>
      </c>
      <c r="D125" s="80">
        <v>105000</v>
      </c>
      <c r="E125" s="73">
        <f>+$I$2+(FBD[[#This Row],[QUANTITE]]*FBD[[#This Row],[PRIX UNITAIRE]])</f>
        <v>420000</v>
      </c>
      <c r="F125" s="159"/>
      <c r="G125" s="74">
        <f>+SUM(E$9:$E125)-SUM(F$9:$F125)</f>
        <v>20903500</v>
      </c>
    </row>
    <row r="126" spans="1:7" ht="28.8" x14ac:dyDescent="0.55000000000000004">
      <c r="A126" s="72">
        <v>45715</v>
      </c>
      <c r="B126" s="13" t="s">
        <v>516</v>
      </c>
      <c r="C126" s="80">
        <v>1</v>
      </c>
      <c r="D126" s="80">
        <v>50000</v>
      </c>
      <c r="E126" s="73">
        <f>+$I$2+(FBD[[#This Row],[QUANTITE]]*FBD[[#This Row],[PRIX UNITAIRE]])</f>
        <v>50000</v>
      </c>
      <c r="F126" s="159"/>
      <c r="G126" s="74">
        <f>+SUM(E$9:$E126)-SUM(F$9:$F126)</f>
        <v>20953500</v>
      </c>
    </row>
    <row r="127" spans="1:7" ht="28.8" x14ac:dyDescent="0.55000000000000004">
      <c r="A127" s="72">
        <v>45717</v>
      </c>
      <c r="B127" s="13" t="s">
        <v>247</v>
      </c>
      <c r="C127" s="80"/>
      <c r="D127" s="80"/>
      <c r="E127" s="73">
        <f>+$I$2+(FBD[[#This Row],[QUANTITE]]*FBD[[#This Row],[PRIX UNITAIRE]])</f>
        <v>0</v>
      </c>
      <c r="F127" s="159">
        <v>3022000</v>
      </c>
      <c r="G127" s="74">
        <f>+SUM(E$9:$E127)-SUM(F$9:$F127)</f>
        <v>17931500</v>
      </c>
    </row>
    <row r="128" spans="1:7" ht="28.8" x14ac:dyDescent="0.55000000000000004">
      <c r="A128" s="72">
        <v>45719</v>
      </c>
      <c r="B128" s="13" t="s">
        <v>247</v>
      </c>
      <c r="C128" s="80"/>
      <c r="D128" s="80"/>
      <c r="E128" s="73">
        <f>+$I$2+(FBD[[#This Row],[QUANTITE]]*FBD[[#This Row],[PRIX UNITAIRE]])</f>
        <v>0</v>
      </c>
      <c r="F128" s="159">
        <v>1090000</v>
      </c>
      <c r="G128" s="74">
        <f>+SUM(E$9:$E128)-SUM(F$9:$F128)</f>
        <v>16841500</v>
      </c>
    </row>
    <row r="129" spans="1:7" ht="28.8" x14ac:dyDescent="0.55000000000000004">
      <c r="A129" s="72">
        <v>45719</v>
      </c>
      <c r="B129" s="13" t="s">
        <v>261</v>
      </c>
      <c r="C129" s="80">
        <v>4</v>
      </c>
      <c r="D129" s="80">
        <v>105000</v>
      </c>
      <c r="E129" s="73">
        <f>+$I$2+(FBD[[#This Row],[QUANTITE]]*FBD[[#This Row],[PRIX UNITAIRE]])</f>
        <v>420000</v>
      </c>
      <c r="F129" s="159"/>
      <c r="G129" s="74">
        <f>+SUM(E$9:$E129)-SUM(F$9:$F129)</f>
        <v>17261500</v>
      </c>
    </row>
    <row r="130" spans="1:7" ht="28.8" x14ac:dyDescent="0.55000000000000004">
      <c r="A130" s="72">
        <v>45719</v>
      </c>
      <c r="B130" s="13" t="s">
        <v>271</v>
      </c>
      <c r="C130" s="80">
        <v>4</v>
      </c>
      <c r="D130" s="80">
        <v>128000</v>
      </c>
      <c r="E130" s="73">
        <f>+$I$2+(FBD[[#This Row],[QUANTITE]]*FBD[[#This Row],[PRIX UNITAIRE]])</f>
        <v>512000</v>
      </c>
      <c r="F130" s="159"/>
      <c r="G130" s="74">
        <f>+SUM(E$9:$E130)-SUM(F$9:$F130)</f>
        <v>17773500</v>
      </c>
    </row>
    <row r="131" spans="1:7" ht="28.8" x14ac:dyDescent="0.55000000000000004">
      <c r="A131" s="72">
        <v>45719</v>
      </c>
      <c r="B131" s="13" t="s">
        <v>2198</v>
      </c>
      <c r="C131" s="80">
        <v>2</v>
      </c>
      <c r="D131" s="80">
        <v>50000</v>
      </c>
      <c r="E131" s="73">
        <f>+$I$2+(FBD[[#This Row],[QUANTITE]]*FBD[[#This Row],[PRIX UNITAIRE]])</f>
        <v>100000</v>
      </c>
      <c r="F131" s="159"/>
      <c r="G131" s="74">
        <f>+SUM(E$9:$E131)-SUM(F$9:$F131)</f>
        <v>17873500</v>
      </c>
    </row>
    <row r="132" spans="1:7" ht="28.8" x14ac:dyDescent="0.55000000000000004">
      <c r="A132" s="72">
        <v>45719</v>
      </c>
      <c r="B132" s="13" t="s">
        <v>2844</v>
      </c>
      <c r="C132" s="80">
        <v>2</v>
      </c>
      <c r="D132" s="80">
        <v>100000</v>
      </c>
      <c r="E132" s="73">
        <f>+$I$2+(FBD[[#This Row],[QUANTITE]]*FBD[[#This Row],[PRIX UNITAIRE]])</f>
        <v>200000</v>
      </c>
      <c r="F132" s="159"/>
      <c r="G132" s="74">
        <f>+SUM(E$9:$E132)-SUM(F$9:$F132)</f>
        <v>18073500</v>
      </c>
    </row>
    <row r="133" spans="1:7" ht="28.8" x14ac:dyDescent="0.55000000000000004">
      <c r="A133" s="72">
        <v>45719</v>
      </c>
      <c r="B133" s="13" t="s">
        <v>2845</v>
      </c>
      <c r="C133" s="80">
        <v>6</v>
      </c>
      <c r="D133" s="80">
        <v>104000</v>
      </c>
      <c r="E133" s="73">
        <f>+$I$2+(FBD[[#This Row],[QUANTITE]]*FBD[[#This Row],[PRIX UNITAIRE]])</f>
        <v>624000</v>
      </c>
      <c r="F133" s="159"/>
      <c r="G133" s="74">
        <f>+SUM(E$9:$E133)-SUM(F$9:$F133)</f>
        <v>18697500</v>
      </c>
    </row>
    <row r="134" spans="1:7" ht="28.8" x14ac:dyDescent="0.55000000000000004">
      <c r="A134" s="72">
        <v>45719</v>
      </c>
      <c r="B134" s="13" t="s">
        <v>260</v>
      </c>
      <c r="C134" s="80">
        <v>2</v>
      </c>
      <c r="D134" s="80">
        <v>128000</v>
      </c>
      <c r="E134" s="73">
        <f>+$I$2+(FBD[[#This Row],[QUANTITE]]*FBD[[#This Row],[PRIX UNITAIRE]])</f>
        <v>256000</v>
      </c>
      <c r="F134" s="159"/>
      <c r="G134" s="74">
        <f>+SUM(E$9:$E134)-SUM(F$9:$F134)</f>
        <v>18953500</v>
      </c>
    </row>
    <row r="135" spans="1:7" ht="28.8" x14ac:dyDescent="0.55000000000000004">
      <c r="A135" s="72">
        <v>45719</v>
      </c>
      <c r="B135" s="13" t="s">
        <v>2846</v>
      </c>
      <c r="C135" s="80">
        <v>4</v>
      </c>
      <c r="D135" s="80">
        <v>20000</v>
      </c>
      <c r="E135" s="73">
        <f>+$I$2+(FBD[[#This Row],[QUANTITE]]*FBD[[#This Row],[PRIX UNITAIRE]])</f>
        <v>80000</v>
      </c>
      <c r="F135" s="159"/>
      <c r="G135" s="74">
        <f>+SUM(E$9:$E135)-SUM(F$9:$F135)</f>
        <v>19033500</v>
      </c>
    </row>
    <row r="136" spans="1:7" ht="28.8" x14ac:dyDescent="0.55000000000000004">
      <c r="A136" s="72">
        <v>45719</v>
      </c>
      <c r="B136" s="13" t="s">
        <v>2847</v>
      </c>
      <c r="C136" s="80">
        <v>10</v>
      </c>
      <c r="D136" s="80">
        <v>62000</v>
      </c>
      <c r="E136" s="73">
        <f>+$I$2+(FBD[[#This Row],[QUANTITE]]*FBD[[#This Row],[PRIX UNITAIRE]])</f>
        <v>620000</v>
      </c>
      <c r="F136" s="159"/>
      <c r="G136" s="74">
        <f>+SUM(E$9:$E136)-SUM(F$9:$F136)</f>
        <v>19653500</v>
      </c>
    </row>
    <row r="137" spans="1:7" ht="28.8" x14ac:dyDescent="0.55000000000000004">
      <c r="A137" s="72">
        <v>45722</v>
      </c>
      <c r="B137" s="13" t="s">
        <v>247</v>
      </c>
      <c r="C137" s="80"/>
      <c r="D137" s="80"/>
      <c r="E137" s="73">
        <f>+$I$2+(FBD[[#This Row],[QUANTITE]]*FBD[[#This Row],[PRIX UNITAIRE]])</f>
        <v>0</v>
      </c>
      <c r="F137" s="159">
        <v>335000</v>
      </c>
      <c r="G137" s="74">
        <f>+SUM(E$9:$E137)-SUM(F$9:$F137)</f>
        <v>19318500</v>
      </c>
    </row>
    <row r="138" spans="1:7" ht="28.8" x14ac:dyDescent="0.55000000000000004">
      <c r="A138" s="72">
        <v>45722</v>
      </c>
      <c r="B138" s="13" t="s">
        <v>237</v>
      </c>
      <c r="C138" s="80">
        <v>10</v>
      </c>
      <c r="D138" s="80">
        <v>33000</v>
      </c>
      <c r="E138" s="73">
        <f>+$I$2+(FBD[[#This Row],[QUANTITE]]*FBD[[#This Row],[PRIX UNITAIRE]])</f>
        <v>330000</v>
      </c>
      <c r="F138" s="159"/>
      <c r="G138" s="74">
        <f>+SUM(E$9:$E138)-SUM(F$9:$F138)</f>
        <v>19648500</v>
      </c>
    </row>
    <row r="139" spans="1:7" ht="28.8" x14ac:dyDescent="0.55000000000000004">
      <c r="A139" s="72">
        <v>45721</v>
      </c>
      <c r="B139" s="13" t="s">
        <v>2848</v>
      </c>
      <c r="C139" s="80">
        <v>4</v>
      </c>
      <c r="D139" s="80">
        <v>22000</v>
      </c>
      <c r="E139" s="73">
        <f>+$I$2+(FBD[[#This Row],[QUANTITE]]*FBD[[#This Row],[PRIX UNITAIRE]])</f>
        <v>88000</v>
      </c>
      <c r="F139" s="159"/>
      <c r="G139" s="74">
        <f>+SUM(E$9:$E139)-SUM(F$9:$F139)</f>
        <v>19736500</v>
      </c>
    </row>
    <row r="140" spans="1:7" ht="28.8" x14ac:dyDescent="0.55000000000000004">
      <c r="A140" s="72">
        <v>45722</v>
      </c>
      <c r="B140" s="13" t="s">
        <v>2849</v>
      </c>
      <c r="C140" s="80">
        <v>4</v>
      </c>
      <c r="D140" s="80">
        <v>60000</v>
      </c>
      <c r="E140" s="73">
        <f>+$I$2+(FBD[[#This Row],[QUANTITE]]*FBD[[#This Row],[PRIX UNITAIRE]])</f>
        <v>240000</v>
      </c>
      <c r="F140" s="159"/>
      <c r="G140" s="74">
        <f>+SUM(E$9:$E140)-SUM(F$9:$F140)</f>
        <v>19976500</v>
      </c>
    </row>
    <row r="141" spans="1:7" ht="28.8" x14ac:dyDescent="0.55000000000000004">
      <c r="A141" s="72">
        <v>45722</v>
      </c>
      <c r="B141" s="13" t="s">
        <v>2850</v>
      </c>
      <c r="C141" s="80">
        <v>2</v>
      </c>
      <c r="D141" s="80">
        <v>50000</v>
      </c>
      <c r="E141" s="73">
        <f>+$I$2+(FBD[[#This Row],[QUANTITE]]*FBD[[#This Row],[PRIX UNITAIRE]])</f>
        <v>100000</v>
      </c>
      <c r="F141" s="159"/>
      <c r="G141" s="74">
        <f>+SUM(E$9:$E141)-SUM(F$9:$F141)</f>
        <v>20076500</v>
      </c>
    </row>
    <row r="142" spans="1:7" ht="28.8" x14ac:dyDescent="0.55000000000000004">
      <c r="A142" s="72">
        <v>45724</v>
      </c>
      <c r="B142" s="13" t="s">
        <v>247</v>
      </c>
      <c r="C142" s="80"/>
      <c r="D142" s="80"/>
      <c r="E142" s="73">
        <f>+$I$2+(FBD[[#This Row],[QUANTITE]]*FBD[[#This Row],[PRIX UNITAIRE]])</f>
        <v>0</v>
      </c>
      <c r="F142" s="159">
        <v>2125000</v>
      </c>
      <c r="G142" s="74">
        <f>+SUM(E$9:$E142)-SUM(F$9:$F142)</f>
        <v>17951500</v>
      </c>
    </row>
    <row r="143" spans="1:7" ht="28.8" x14ac:dyDescent="0.55000000000000004">
      <c r="A143" s="72">
        <v>45724</v>
      </c>
      <c r="B143" s="13" t="s">
        <v>615</v>
      </c>
      <c r="C143" s="80">
        <v>10</v>
      </c>
      <c r="D143" s="80">
        <v>33000</v>
      </c>
      <c r="E143" s="73">
        <f>+$I$2+(FBD[[#This Row],[QUANTITE]]*FBD[[#This Row],[PRIX UNITAIRE]])</f>
        <v>330000</v>
      </c>
      <c r="F143" s="159"/>
      <c r="G143" s="74">
        <f>+SUM(E$9:$E143)-SUM(F$9:$F143)</f>
        <v>18281500</v>
      </c>
    </row>
    <row r="144" spans="1:7" ht="28.8" x14ac:dyDescent="0.55000000000000004">
      <c r="A144" s="72">
        <v>45724</v>
      </c>
      <c r="B144" s="13" t="s">
        <v>2851</v>
      </c>
      <c r="C144" s="80">
        <v>5</v>
      </c>
      <c r="D144" s="80">
        <v>33000</v>
      </c>
      <c r="E144" s="73">
        <f>+$I$2+(FBD[[#This Row],[QUANTITE]]*FBD[[#This Row],[PRIX UNITAIRE]])</f>
        <v>165000</v>
      </c>
      <c r="F144" s="159"/>
      <c r="G144" s="74">
        <f>+SUM(E$9:$E144)-SUM(F$9:$F144)</f>
        <v>18446500</v>
      </c>
    </row>
    <row r="145" spans="1:7" ht="28.8" x14ac:dyDescent="0.55000000000000004">
      <c r="A145" s="72">
        <v>45727</v>
      </c>
      <c r="B145" s="13" t="s">
        <v>247</v>
      </c>
      <c r="C145" s="80"/>
      <c r="D145" s="80"/>
      <c r="E145" s="73">
        <f>+$I$2+(FBD[[#This Row],[QUANTITE]]*FBD[[#This Row],[PRIX UNITAIRE]])</f>
        <v>0</v>
      </c>
      <c r="F145" s="159">
        <v>700000</v>
      </c>
      <c r="G145" s="74">
        <f>+SUM(E$9:$E145)-SUM(F$9:$F145)</f>
        <v>17746500</v>
      </c>
    </row>
    <row r="146" spans="1:7" ht="28.8" x14ac:dyDescent="0.55000000000000004">
      <c r="A146" s="72">
        <v>45728</v>
      </c>
      <c r="B146" s="13" t="s">
        <v>2852</v>
      </c>
      <c r="C146" s="80">
        <v>4</v>
      </c>
      <c r="D146" s="80">
        <v>90000</v>
      </c>
      <c r="E146" s="73">
        <f>+$I$2+(FBD[[#This Row],[QUANTITE]]*FBD[[#This Row],[PRIX UNITAIRE]])</f>
        <v>360000</v>
      </c>
      <c r="F146" s="159"/>
      <c r="G146" s="74">
        <f>+SUM(E$9:$E146)-SUM(F$9:$F146)</f>
        <v>18106500</v>
      </c>
    </row>
    <row r="147" spans="1:7" ht="28.8" x14ac:dyDescent="0.55000000000000004">
      <c r="A147" s="72">
        <v>45728</v>
      </c>
      <c r="B147" s="13" t="s">
        <v>251</v>
      </c>
      <c r="C147" s="80">
        <v>4</v>
      </c>
      <c r="D147" s="80">
        <v>30000</v>
      </c>
      <c r="E147" s="73">
        <f>+$I$2+(FBD[[#This Row],[QUANTITE]]*FBD[[#This Row],[PRIX UNITAIRE]])</f>
        <v>120000</v>
      </c>
      <c r="F147" s="159"/>
      <c r="G147" s="74">
        <f>+SUM(E$9:$E147)-SUM(F$9:$F147)</f>
        <v>18226500</v>
      </c>
    </row>
    <row r="148" spans="1:7" ht="28.8" x14ac:dyDescent="0.55000000000000004">
      <c r="A148" s="72">
        <v>45728</v>
      </c>
      <c r="B148" s="13" t="s">
        <v>2708</v>
      </c>
      <c r="C148" s="80">
        <v>5</v>
      </c>
      <c r="D148" s="80">
        <v>60000</v>
      </c>
      <c r="E148" s="73">
        <f>+$I$2+(FBD[[#This Row],[QUANTITE]]*FBD[[#This Row],[PRIX UNITAIRE]])</f>
        <v>300000</v>
      </c>
      <c r="F148" s="159"/>
      <c r="G148" s="74">
        <f>+SUM(E$9:$E148)-SUM(F$9:$F148)</f>
        <v>18526500</v>
      </c>
    </row>
    <row r="149" spans="1:7" ht="28.8" x14ac:dyDescent="0.55000000000000004">
      <c r="A149" s="72">
        <v>45728</v>
      </c>
      <c r="B149" s="13" t="s">
        <v>1068</v>
      </c>
      <c r="C149" s="80">
        <v>4</v>
      </c>
      <c r="D149" s="80">
        <v>45000</v>
      </c>
      <c r="E149" s="73">
        <f>+$I$2+(FBD[[#This Row],[QUANTITE]]*FBD[[#This Row],[PRIX UNITAIRE]])</f>
        <v>180000</v>
      </c>
      <c r="F149" s="159"/>
      <c r="G149" s="74">
        <f>+SUM(E$9:$E149)-SUM(F$9:$F149)</f>
        <v>18706500</v>
      </c>
    </row>
    <row r="150" spans="1:7" ht="28.8" x14ac:dyDescent="0.55000000000000004">
      <c r="A150" s="72">
        <v>45728</v>
      </c>
      <c r="B150" s="13" t="s">
        <v>249</v>
      </c>
      <c r="C150" s="80">
        <v>2</v>
      </c>
      <c r="D150" s="80">
        <v>105000</v>
      </c>
      <c r="E150" s="73">
        <f>+$I$2+(FBD[[#This Row],[QUANTITE]]*FBD[[#This Row],[PRIX UNITAIRE]])</f>
        <v>210000</v>
      </c>
      <c r="F150" s="159"/>
      <c r="G150" s="74">
        <f>+SUM(E$9:$E150)-SUM(F$9:$F150)</f>
        <v>18916500</v>
      </c>
    </row>
    <row r="151" spans="1:7" ht="28.8" x14ac:dyDescent="0.55000000000000004">
      <c r="A151" s="72">
        <v>45728</v>
      </c>
      <c r="B151" s="13" t="s">
        <v>2853</v>
      </c>
      <c r="C151" s="80">
        <v>2</v>
      </c>
      <c r="D151" s="80">
        <v>128000</v>
      </c>
      <c r="E151" s="73">
        <f>+$I$2+(FBD[[#This Row],[QUANTITE]]*FBD[[#This Row],[PRIX UNITAIRE]])</f>
        <v>256000</v>
      </c>
      <c r="F151" s="159"/>
      <c r="G151" s="74">
        <f>+SUM(E$9:$E151)-SUM(F$9:$F151)</f>
        <v>19172500</v>
      </c>
    </row>
    <row r="152" spans="1:7" ht="28.8" x14ac:dyDescent="0.55000000000000004">
      <c r="A152" s="72">
        <v>45728</v>
      </c>
      <c r="B152" s="13" t="s">
        <v>435</v>
      </c>
      <c r="C152" s="80">
        <v>2</v>
      </c>
      <c r="D152" s="80">
        <v>128000</v>
      </c>
      <c r="E152" s="73">
        <f>+$I$2+(FBD[[#This Row],[QUANTITE]]*FBD[[#This Row],[PRIX UNITAIRE]])</f>
        <v>256000</v>
      </c>
      <c r="F152" s="159"/>
      <c r="G152" s="74">
        <f>+SUM(E$9:$E152)-SUM(F$9:$F152)</f>
        <v>19428500</v>
      </c>
    </row>
    <row r="153" spans="1:7" ht="28.8" x14ac:dyDescent="0.55000000000000004">
      <c r="A153" s="72">
        <v>45728</v>
      </c>
      <c r="B153" s="13" t="s">
        <v>2852</v>
      </c>
      <c r="C153" s="80">
        <v>2</v>
      </c>
      <c r="D153" s="80">
        <v>90000</v>
      </c>
      <c r="E153" s="73">
        <f>+$I$2+(FBD[[#This Row],[QUANTITE]]*FBD[[#This Row],[PRIX UNITAIRE]])</f>
        <v>180000</v>
      </c>
      <c r="F153" s="159"/>
      <c r="G153" s="74">
        <f>+SUM(E$9:$E153)-SUM(F$9:$F153)</f>
        <v>19608500</v>
      </c>
    </row>
    <row r="154" spans="1:7" ht="28.8" x14ac:dyDescent="0.55000000000000004">
      <c r="A154" s="72">
        <v>45728</v>
      </c>
      <c r="B154" s="13" t="s">
        <v>2708</v>
      </c>
      <c r="C154" s="80">
        <v>4</v>
      </c>
      <c r="D154" s="80">
        <v>60000</v>
      </c>
      <c r="E154" s="73">
        <f>+$I$2+(FBD[[#This Row],[QUANTITE]]*FBD[[#This Row],[PRIX UNITAIRE]])</f>
        <v>240000</v>
      </c>
      <c r="F154" s="159"/>
      <c r="G154" s="74">
        <f>+SUM(E$9:$E154)-SUM(F$9:$F154)</f>
        <v>19848500</v>
      </c>
    </row>
    <row r="155" spans="1:7" ht="28.8" x14ac:dyDescent="0.55000000000000004">
      <c r="A155" s="72">
        <v>45728</v>
      </c>
      <c r="B155" s="13" t="s">
        <v>2854</v>
      </c>
      <c r="C155" s="80">
        <v>2</v>
      </c>
      <c r="D155" s="80">
        <v>55000</v>
      </c>
      <c r="E155" s="73">
        <f>+$I$2+(FBD[[#This Row],[QUANTITE]]*FBD[[#This Row],[PRIX UNITAIRE]])</f>
        <v>110000</v>
      </c>
      <c r="F155" s="159"/>
      <c r="G155" s="74">
        <f>+SUM(E$9:$E155)-SUM(F$9:$F155)</f>
        <v>19958500</v>
      </c>
    </row>
    <row r="156" spans="1:7" ht="28.8" x14ac:dyDescent="0.55000000000000004">
      <c r="A156" s="72">
        <v>45728</v>
      </c>
      <c r="B156" s="13" t="s">
        <v>251</v>
      </c>
      <c r="C156" s="80">
        <v>4</v>
      </c>
      <c r="D156" s="80">
        <v>30000</v>
      </c>
      <c r="E156" s="73">
        <f>+$I$2+(FBD[[#This Row],[QUANTITE]]*FBD[[#This Row],[PRIX UNITAIRE]])</f>
        <v>120000</v>
      </c>
      <c r="F156" s="159"/>
      <c r="G156" s="74">
        <f>+SUM(E$9:$E156)-SUM(F$9:$F156)</f>
        <v>20078500</v>
      </c>
    </row>
    <row r="157" spans="1:7" ht="28.8" x14ac:dyDescent="0.55000000000000004">
      <c r="A157" s="72">
        <v>45728</v>
      </c>
      <c r="B157" s="13" t="s">
        <v>2855</v>
      </c>
      <c r="C157" s="80">
        <v>30</v>
      </c>
      <c r="D157" s="80">
        <v>33000</v>
      </c>
      <c r="E157" s="73">
        <f>+$I$2+(FBD[[#This Row],[QUANTITE]]*FBD[[#This Row],[PRIX UNITAIRE]])</f>
        <v>990000</v>
      </c>
      <c r="F157" s="159"/>
      <c r="G157" s="74">
        <f>+SUM(E$9:$E157)-SUM(F$9:$F157)</f>
        <v>21068500</v>
      </c>
    </row>
    <row r="158" spans="1:7" ht="28.8" x14ac:dyDescent="0.55000000000000004">
      <c r="A158" s="72">
        <v>45728</v>
      </c>
      <c r="B158" s="13" t="s">
        <v>2820</v>
      </c>
      <c r="C158" s="80">
        <v>20</v>
      </c>
      <c r="D158" s="80">
        <v>33000</v>
      </c>
      <c r="E158" s="73">
        <f>+$I$2+(FBD[[#This Row],[QUANTITE]]*FBD[[#This Row],[PRIX UNITAIRE]])</f>
        <v>660000</v>
      </c>
      <c r="F158" s="159"/>
      <c r="G158" s="74">
        <f>+SUM(E$9:$E158)-SUM(F$9:$F158)</f>
        <v>21728500</v>
      </c>
    </row>
    <row r="159" spans="1:7" ht="28.8" x14ac:dyDescent="0.55000000000000004">
      <c r="A159" s="72">
        <v>45728</v>
      </c>
      <c r="B159" s="13" t="s">
        <v>2856</v>
      </c>
      <c r="C159" s="80">
        <v>10</v>
      </c>
      <c r="D159" s="80">
        <v>33000</v>
      </c>
      <c r="E159" s="73">
        <f>+$I$2+(FBD[[#This Row],[QUANTITE]]*FBD[[#This Row],[PRIX UNITAIRE]])</f>
        <v>330000</v>
      </c>
      <c r="F159" s="159"/>
      <c r="G159" s="74">
        <f>+SUM(E$9:$E159)-SUM(F$9:$F159)</f>
        <v>22058500</v>
      </c>
    </row>
    <row r="160" spans="1:7" ht="28.8" x14ac:dyDescent="0.55000000000000004">
      <c r="A160" s="72">
        <v>45728</v>
      </c>
      <c r="B160" s="13" t="s">
        <v>247</v>
      </c>
      <c r="C160" s="80"/>
      <c r="D160" s="80"/>
      <c r="E160" s="73">
        <f>+$I$2+(FBD[[#This Row],[QUANTITE]]*FBD[[#This Row],[PRIX UNITAIRE]])</f>
        <v>0</v>
      </c>
      <c r="F160" s="159">
        <v>700000</v>
      </c>
      <c r="G160" s="74">
        <f>+SUM(E$9:$E160)-SUM(F$9:$F160)</f>
        <v>21358500</v>
      </c>
    </row>
    <row r="161" spans="1:7" ht="28.8" x14ac:dyDescent="0.55000000000000004">
      <c r="A161" s="72">
        <v>45729</v>
      </c>
      <c r="B161" s="13" t="s">
        <v>2857</v>
      </c>
      <c r="C161" s="80">
        <v>1</v>
      </c>
      <c r="D161" s="80">
        <v>170000</v>
      </c>
      <c r="E161" s="73">
        <f>+$I$2+(FBD[[#This Row],[QUANTITE]]*FBD[[#This Row],[PRIX UNITAIRE]])</f>
        <v>170000</v>
      </c>
      <c r="F161" s="159"/>
      <c r="G161" s="74">
        <f>+SUM(E$9:$E161)-SUM(F$9:$F161)</f>
        <v>21528500</v>
      </c>
    </row>
    <row r="162" spans="1:7" ht="28.8" x14ac:dyDescent="0.55000000000000004">
      <c r="A162" s="72">
        <v>45729</v>
      </c>
      <c r="B162" s="13" t="s">
        <v>2858</v>
      </c>
      <c r="C162" s="80">
        <v>10</v>
      </c>
      <c r="D162" s="80">
        <v>33000</v>
      </c>
      <c r="E162" s="73">
        <f>+$I$2+(FBD[[#This Row],[QUANTITE]]*FBD[[#This Row],[PRIX UNITAIRE]])</f>
        <v>330000</v>
      </c>
      <c r="F162" s="159"/>
      <c r="G162" s="74">
        <f>+SUM(E$9:$E162)-SUM(F$9:$F162)</f>
        <v>21858500</v>
      </c>
    </row>
    <row r="163" spans="1:7" ht="28.8" x14ac:dyDescent="0.55000000000000004">
      <c r="A163" s="72">
        <v>45731</v>
      </c>
      <c r="B163" s="13" t="s">
        <v>247</v>
      </c>
      <c r="C163" s="80"/>
      <c r="D163" s="80"/>
      <c r="E163" s="73">
        <f>+$I$2+(FBD[[#This Row],[QUANTITE]]*FBD[[#This Row],[PRIX UNITAIRE]])</f>
        <v>0</v>
      </c>
      <c r="F163" s="159">
        <v>1117000</v>
      </c>
      <c r="G163" s="74">
        <f>+SUM(E$9:$E163)-SUM(F$9:$F163)</f>
        <v>20741500</v>
      </c>
    </row>
    <row r="164" spans="1:7" ht="28.8" x14ac:dyDescent="0.55000000000000004">
      <c r="A164" s="72">
        <v>45734</v>
      </c>
      <c r="B164" s="13" t="s">
        <v>495</v>
      </c>
      <c r="C164" s="80">
        <v>4</v>
      </c>
      <c r="D164" s="80">
        <v>37000</v>
      </c>
      <c r="E164" s="73">
        <f>+$I$2+(FBD[[#This Row],[QUANTITE]]*FBD[[#This Row],[PRIX UNITAIRE]])</f>
        <v>148000</v>
      </c>
      <c r="F164" s="159"/>
      <c r="G164" s="74">
        <f>+SUM(E$9:$E164)-SUM(F$9:$F164)</f>
        <v>20889500</v>
      </c>
    </row>
    <row r="165" spans="1:7" ht="28.8" x14ac:dyDescent="0.55000000000000004">
      <c r="A165" s="72">
        <v>45734</v>
      </c>
      <c r="B165" s="13" t="s">
        <v>2859</v>
      </c>
      <c r="C165" s="80">
        <v>1</v>
      </c>
      <c r="D165" s="80">
        <v>300000</v>
      </c>
      <c r="E165" s="73">
        <f>+$I$2+(FBD[[#This Row],[QUANTITE]]*FBD[[#This Row],[PRIX UNITAIRE]])</f>
        <v>300000</v>
      </c>
      <c r="F165" s="159"/>
      <c r="G165" s="74">
        <f>+SUM(E$9:$E165)-SUM(F$9:$F165)</f>
        <v>21189500</v>
      </c>
    </row>
    <row r="166" spans="1:7" ht="28.8" x14ac:dyDescent="0.55000000000000004">
      <c r="A166" s="72">
        <v>45734</v>
      </c>
      <c r="B166" s="13" t="s">
        <v>2860</v>
      </c>
      <c r="C166" s="80">
        <v>1</v>
      </c>
      <c r="D166" s="80">
        <v>330000</v>
      </c>
      <c r="E166" s="73">
        <f>+$I$2+(FBD[[#This Row],[QUANTITE]]*FBD[[#This Row],[PRIX UNITAIRE]])</f>
        <v>330000</v>
      </c>
      <c r="F166" s="159"/>
      <c r="G166" s="74">
        <f>+SUM(E$9:$E166)-SUM(F$9:$F166)</f>
        <v>21519500</v>
      </c>
    </row>
    <row r="167" spans="1:7" ht="28.8" x14ac:dyDescent="0.55000000000000004">
      <c r="A167" s="72">
        <v>45734</v>
      </c>
      <c r="B167" s="13" t="s">
        <v>2861</v>
      </c>
      <c r="C167" s="80">
        <v>1</v>
      </c>
      <c r="D167" s="80">
        <v>300000</v>
      </c>
      <c r="E167" s="73">
        <f>+$I$2+(FBD[[#This Row],[QUANTITE]]*FBD[[#This Row],[PRIX UNITAIRE]])</f>
        <v>300000</v>
      </c>
      <c r="F167" s="159"/>
      <c r="G167" s="74">
        <f>+SUM(E$9:$E167)-SUM(F$9:$F167)</f>
        <v>21819500</v>
      </c>
    </row>
    <row r="168" spans="1:7" ht="28.8" x14ac:dyDescent="0.55000000000000004">
      <c r="A168" s="72">
        <v>45737</v>
      </c>
      <c r="B168" s="13" t="s">
        <v>2862</v>
      </c>
      <c r="C168" s="80">
        <v>1</v>
      </c>
      <c r="D168" s="80">
        <v>70000</v>
      </c>
      <c r="E168" s="73">
        <f>+$I$2+(FBD[[#This Row],[QUANTITE]]*FBD[[#This Row],[PRIX UNITAIRE]])</f>
        <v>70000</v>
      </c>
      <c r="F168" s="159"/>
      <c r="G168" s="74">
        <f>+SUM(E$9:$E168)-SUM(F$9:$F168)</f>
        <v>21889500</v>
      </c>
    </row>
    <row r="169" spans="1:7" ht="28.8" x14ac:dyDescent="0.55000000000000004">
      <c r="A169" s="72">
        <v>45738</v>
      </c>
      <c r="B169" s="13" t="s">
        <v>2863</v>
      </c>
      <c r="C169" s="80">
        <v>2</v>
      </c>
      <c r="D169" s="80">
        <v>65000</v>
      </c>
      <c r="E169" s="73">
        <f>+$I$2+(FBD[[#This Row],[QUANTITE]]*FBD[[#This Row],[PRIX UNITAIRE]])</f>
        <v>130000</v>
      </c>
      <c r="F169" s="159"/>
      <c r="G169" s="74">
        <f>+SUM(E$9:$E169)-SUM(F$9:$F169)</f>
        <v>22019500</v>
      </c>
    </row>
    <row r="170" spans="1:7" ht="28.8" x14ac:dyDescent="0.55000000000000004">
      <c r="A170" s="72">
        <v>45738</v>
      </c>
      <c r="B170" s="13" t="s">
        <v>397</v>
      </c>
      <c r="C170" s="80">
        <v>1</v>
      </c>
      <c r="D170" s="80">
        <v>105000</v>
      </c>
      <c r="E170" s="73">
        <f>+$I$2+(FBD[[#This Row],[QUANTITE]]*FBD[[#This Row],[PRIX UNITAIRE]])</f>
        <v>105000</v>
      </c>
      <c r="F170" s="159"/>
      <c r="G170" s="74">
        <f>+SUM(E$9:$E170)-SUM(F$9:$F170)</f>
        <v>22124500</v>
      </c>
    </row>
    <row r="171" spans="1:7" ht="28.8" x14ac:dyDescent="0.55000000000000004">
      <c r="A171" s="72">
        <v>45738</v>
      </c>
      <c r="B171" s="13" t="s">
        <v>247</v>
      </c>
      <c r="C171" s="80"/>
      <c r="D171" s="80"/>
      <c r="E171" s="73">
        <f>+$I$2+(FBD[[#This Row],[QUANTITE]]*FBD[[#This Row],[PRIX UNITAIRE]])</f>
        <v>0</v>
      </c>
      <c r="F171" s="159">
        <v>1376000</v>
      </c>
      <c r="G171" s="74">
        <f>+SUM(E$9:$E171)-SUM(F$9:$F171)</f>
        <v>20748500</v>
      </c>
    </row>
    <row r="172" spans="1:7" ht="28.8" x14ac:dyDescent="0.55000000000000004">
      <c r="A172" s="72">
        <v>45740</v>
      </c>
      <c r="B172" s="13" t="s">
        <v>247</v>
      </c>
      <c r="C172" s="80"/>
      <c r="D172" s="80"/>
      <c r="E172" s="73">
        <f>+$I$2+(FBD[[#This Row],[QUANTITE]]*FBD[[#This Row],[PRIX UNITAIRE]])</f>
        <v>0</v>
      </c>
      <c r="F172" s="159">
        <v>1000000</v>
      </c>
      <c r="G172" s="74">
        <f>+SUM(E$9:$E172)-SUM(F$9:$F172)</f>
        <v>19748500</v>
      </c>
    </row>
    <row r="173" spans="1:7" ht="28.8" x14ac:dyDescent="0.55000000000000004">
      <c r="A173" s="72">
        <v>45741</v>
      </c>
      <c r="B173" s="13" t="s">
        <v>271</v>
      </c>
      <c r="C173" s="80">
        <v>2</v>
      </c>
      <c r="D173" s="80">
        <v>128000</v>
      </c>
      <c r="E173" s="73">
        <f>+$I$2+(FBD[[#This Row],[QUANTITE]]*FBD[[#This Row],[PRIX UNITAIRE]])</f>
        <v>256000</v>
      </c>
      <c r="F173" s="159"/>
      <c r="G173" s="74">
        <f>+SUM(E$9:$E173)-SUM(F$9:$F173)</f>
        <v>20004500</v>
      </c>
    </row>
    <row r="174" spans="1:7" ht="28.8" x14ac:dyDescent="0.55000000000000004">
      <c r="A174" s="72">
        <v>45741</v>
      </c>
      <c r="B174" s="13" t="s">
        <v>261</v>
      </c>
      <c r="C174" s="80">
        <v>1</v>
      </c>
      <c r="D174" s="80">
        <v>105000</v>
      </c>
      <c r="E174" s="73">
        <f>+$I$2+(FBD[[#This Row],[QUANTITE]]*FBD[[#This Row],[PRIX UNITAIRE]])</f>
        <v>105000</v>
      </c>
      <c r="F174" s="159"/>
      <c r="G174" s="74">
        <f>+SUM(E$9:$E174)-SUM(F$9:$F174)</f>
        <v>20109500</v>
      </c>
    </row>
    <row r="175" spans="1:7" ht="28.8" x14ac:dyDescent="0.55000000000000004">
      <c r="A175" s="72">
        <v>45745</v>
      </c>
      <c r="B175" s="13" t="s">
        <v>247</v>
      </c>
      <c r="C175" s="80"/>
      <c r="D175" s="80"/>
      <c r="E175" s="73">
        <f>+$I$2+(FBD[[#This Row],[QUANTITE]]*FBD[[#This Row],[PRIX UNITAIRE]])</f>
        <v>0</v>
      </c>
      <c r="F175" s="159">
        <v>305000</v>
      </c>
      <c r="G175" s="74">
        <f>+SUM(E$9:$E175)-SUM(F$9:$F175)</f>
        <v>19804500</v>
      </c>
    </row>
    <row r="176" spans="1:7" ht="28.8" x14ac:dyDescent="0.55000000000000004">
      <c r="A176" s="72">
        <v>45745</v>
      </c>
      <c r="B176" s="13" t="s">
        <v>2709</v>
      </c>
      <c r="C176" s="80">
        <v>2</v>
      </c>
      <c r="D176" s="80">
        <v>128000</v>
      </c>
      <c r="E176" s="73">
        <f>+$I$2+(FBD[[#This Row],[QUANTITE]]*FBD[[#This Row],[PRIX UNITAIRE]])</f>
        <v>256000</v>
      </c>
      <c r="F176" s="159"/>
      <c r="G176" s="74">
        <f>+SUM(E$9:$E176)-SUM(F$9:$F176)</f>
        <v>20060500</v>
      </c>
    </row>
    <row r="177" spans="1:7" ht="28.8" x14ac:dyDescent="0.55000000000000004">
      <c r="A177" s="72">
        <v>45749</v>
      </c>
      <c r="B177" s="13" t="s">
        <v>249</v>
      </c>
      <c r="C177" s="80">
        <v>2</v>
      </c>
      <c r="D177" s="80">
        <v>105000</v>
      </c>
      <c r="E177" s="73">
        <f>+$I$2+(FBD[[#This Row],[QUANTITE]]*FBD[[#This Row],[PRIX UNITAIRE]])</f>
        <v>210000</v>
      </c>
      <c r="F177" s="159"/>
      <c r="G177" s="74">
        <f>+SUM(E$9:$E177)-SUM(F$9:$F177)</f>
        <v>20270500</v>
      </c>
    </row>
    <row r="178" spans="1:7" ht="28.8" x14ac:dyDescent="0.55000000000000004">
      <c r="A178" s="72">
        <v>45749</v>
      </c>
      <c r="B178" s="13" t="s">
        <v>2864</v>
      </c>
      <c r="C178" s="80">
        <v>4</v>
      </c>
      <c r="D178" s="80">
        <v>85000</v>
      </c>
      <c r="E178" s="73">
        <f>+$I$2+(FBD[[#This Row],[QUANTITE]]*FBD[[#This Row],[PRIX UNITAIRE]])</f>
        <v>340000</v>
      </c>
      <c r="F178" s="159"/>
      <c r="G178" s="74">
        <f>+SUM(E$9:$E178)-SUM(F$9:$F178)</f>
        <v>20610500</v>
      </c>
    </row>
    <row r="179" spans="1:7" ht="28.8" x14ac:dyDescent="0.55000000000000004">
      <c r="A179" s="72">
        <v>45750</v>
      </c>
      <c r="B179" s="13" t="s">
        <v>2865</v>
      </c>
      <c r="C179" s="80">
        <v>93</v>
      </c>
      <c r="D179" s="80">
        <v>33000</v>
      </c>
      <c r="E179" s="73">
        <f>+$I$2+(FBD[[#This Row],[QUANTITE]]*FBD[[#This Row],[PRIX UNITAIRE]])</f>
        <v>3069000</v>
      </c>
      <c r="F179" s="159"/>
      <c r="G179" s="74">
        <f>+SUM(E$9:$E179)-SUM(F$9:$F179)</f>
        <v>23679500</v>
      </c>
    </row>
    <row r="180" spans="1:7" ht="28.8" x14ac:dyDescent="0.55000000000000004">
      <c r="A180" s="72">
        <v>45750</v>
      </c>
      <c r="B180" s="13" t="s">
        <v>2866</v>
      </c>
      <c r="C180" s="80">
        <v>4</v>
      </c>
      <c r="D180" s="80">
        <v>33000</v>
      </c>
      <c r="E180" s="73">
        <f>+$I$2+(FBD[[#This Row],[QUANTITE]]*FBD[[#This Row],[PRIX UNITAIRE]])</f>
        <v>132000</v>
      </c>
      <c r="F180" s="159"/>
      <c r="G180" s="74">
        <f>+SUM(E$9:$E180)-SUM(F$9:$F180)</f>
        <v>23811500</v>
      </c>
    </row>
    <row r="181" spans="1:7" ht="28.8" x14ac:dyDescent="0.55000000000000004">
      <c r="A181" s="72">
        <v>45750</v>
      </c>
      <c r="B181" s="13" t="s">
        <v>615</v>
      </c>
      <c r="C181" s="80">
        <v>18</v>
      </c>
      <c r="D181" s="80">
        <v>33000</v>
      </c>
      <c r="E181" s="73">
        <f>+$I$2+(FBD[[#This Row],[QUANTITE]]*FBD[[#This Row],[PRIX UNITAIRE]])</f>
        <v>594000</v>
      </c>
      <c r="F181" s="159"/>
      <c r="G181" s="74">
        <f>+SUM(E$9:$E181)-SUM(F$9:$F181)</f>
        <v>24405500</v>
      </c>
    </row>
    <row r="182" spans="1:7" ht="28.8" x14ac:dyDescent="0.55000000000000004">
      <c r="A182" s="72">
        <v>45750</v>
      </c>
      <c r="B182" s="13" t="s">
        <v>237</v>
      </c>
      <c r="C182" s="80">
        <v>85</v>
      </c>
      <c r="D182" s="80">
        <v>33000</v>
      </c>
      <c r="E182" s="73">
        <f>+$I$2+(FBD[[#This Row],[QUANTITE]]*FBD[[#This Row],[PRIX UNITAIRE]])</f>
        <v>2805000</v>
      </c>
      <c r="F182" s="159"/>
      <c r="G182" s="74">
        <f>+SUM(E$9:$E182)-SUM(F$9:$F182)</f>
        <v>27210500</v>
      </c>
    </row>
    <row r="183" spans="1:7" ht="28.8" x14ac:dyDescent="0.55000000000000004">
      <c r="A183" s="72">
        <v>45750</v>
      </c>
      <c r="B183" s="13" t="s">
        <v>2867</v>
      </c>
      <c r="C183" s="80">
        <v>4</v>
      </c>
      <c r="D183" s="80">
        <v>240000</v>
      </c>
      <c r="E183" s="73">
        <f>+$I$2+(FBD[[#This Row],[QUANTITE]]*FBD[[#This Row],[PRIX UNITAIRE]])</f>
        <v>960000</v>
      </c>
      <c r="F183" s="159"/>
      <c r="G183" s="74">
        <f>+SUM(E$9:$E183)-SUM(F$9:$F183)</f>
        <v>28170500</v>
      </c>
    </row>
    <row r="184" spans="1:7" ht="28.8" x14ac:dyDescent="0.55000000000000004">
      <c r="A184" s="72">
        <v>45750</v>
      </c>
      <c r="B184" s="13" t="s">
        <v>2868</v>
      </c>
      <c r="C184" s="80">
        <v>5</v>
      </c>
      <c r="D184" s="80">
        <v>230000</v>
      </c>
      <c r="E184" s="73">
        <f>+$I$2+(FBD[[#This Row],[QUANTITE]]*FBD[[#This Row],[PRIX UNITAIRE]])</f>
        <v>1150000</v>
      </c>
      <c r="F184" s="159"/>
      <c r="G184" s="74">
        <f>+SUM(E$9:$E184)-SUM(F$9:$F184)</f>
        <v>29320500</v>
      </c>
    </row>
    <row r="185" spans="1:7" ht="28.8" x14ac:dyDescent="0.55000000000000004">
      <c r="A185" s="72">
        <v>45750</v>
      </c>
      <c r="B185" s="13" t="s">
        <v>2869</v>
      </c>
      <c r="C185" s="80">
        <v>5</v>
      </c>
      <c r="D185" s="80">
        <v>330000</v>
      </c>
      <c r="E185" s="73">
        <f>+$I$2+(FBD[[#This Row],[QUANTITE]]*FBD[[#This Row],[PRIX UNITAIRE]])</f>
        <v>1650000</v>
      </c>
      <c r="F185" s="159"/>
      <c r="G185" s="74">
        <f>+SUM(E$9:$E185)-SUM(F$9:$F185)</f>
        <v>30970500</v>
      </c>
    </row>
    <row r="186" spans="1:7" ht="28.8" x14ac:dyDescent="0.55000000000000004">
      <c r="A186" s="72">
        <v>45750</v>
      </c>
      <c r="B186" s="13" t="s">
        <v>2870</v>
      </c>
      <c r="C186" s="80">
        <v>1</v>
      </c>
      <c r="D186" s="80">
        <v>240000</v>
      </c>
      <c r="E186" s="73">
        <f>+$I$2+(FBD[[#This Row],[QUANTITE]]*FBD[[#This Row],[PRIX UNITAIRE]])</f>
        <v>240000</v>
      </c>
      <c r="F186" s="159"/>
      <c r="G186" s="74">
        <f>+SUM(E$9:$E186)-SUM(F$9:$F186)</f>
        <v>31210500</v>
      </c>
    </row>
    <row r="187" spans="1:7" ht="28.8" x14ac:dyDescent="0.55000000000000004">
      <c r="A187" s="72">
        <v>45752</v>
      </c>
      <c r="B187" s="13" t="s">
        <v>247</v>
      </c>
      <c r="C187" s="80"/>
      <c r="D187" s="80"/>
      <c r="E187" s="73">
        <f>+$I$2+(FBD[[#This Row],[QUANTITE]]*FBD[[#This Row],[PRIX UNITAIRE]])</f>
        <v>0</v>
      </c>
      <c r="F187" s="159">
        <v>230000</v>
      </c>
      <c r="G187" s="74">
        <f>+SUM(E$9:$E187)-SUM(F$9:$F187)</f>
        <v>30980500</v>
      </c>
    </row>
    <row r="188" spans="1:7" ht="28.8" x14ac:dyDescent="0.55000000000000004">
      <c r="A188" s="72">
        <v>45755</v>
      </c>
      <c r="B188" s="13" t="s">
        <v>534</v>
      </c>
      <c r="C188" s="80">
        <v>2</v>
      </c>
      <c r="D188" s="80">
        <v>35000</v>
      </c>
      <c r="E188" s="73">
        <f>+$I$2+(FBD[[#This Row],[QUANTITE]]*FBD[[#This Row],[PRIX UNITAIRE]])</f>
        <v>70000</v>
      </c>
      <c r="F188" s="159"/>
      <c r="G188" s="74">
        <f>+SUM(E$9:$E188)-SUM(F$9:$F188)</f>
        <v>31050500</v>
      </c>
    </row>
    <row r="189" spans="1:7" ht="28.8" x14ac:dyDescent="0.55000000000000004">
      <c r="A189" s="72">
        <v>45755</v>
      </c>
      <c r="B189" s="13" t="s">
        <v>469</v>
      </c>
      <c r="C189" s="80">
        <v>1</v>
      </c>
      <c r="D189" s="80">
        <v>100000</v>
      </c>
      <c r="E189" s="73">
        <f>+$I$2+(FBD[[#This Row],[QUANTITE]]*FBD[[#This Row],[PRIX UNITAIRE]])</f>
        <v>100000</v>
      </c>
      <c r="F189" s="159"/>
      <c r="G189" s="74">
        <f>+SUM(E$9:$E189)-SUM(F$9:$F189)</f>
        <v>31150500</v>
      </c>
    </row>
    <row r="190" spans="1:7" ht="28.8" x14ac:dyDescent="0.55000000000000004">
      <c r="A190" s="72">
        <v>45756</v>
      </c>
      <c r="B190" s="13" t="s">
        <v>247</v>
      </c>
      <c r="C190" s="80"/>
      <c r="D190" s="80"/>
      <c r="E190" s="73">
        <f>+$I$2+(FBD[[#This Row],[QUANTITE]]*FBD[[#This Row],[PRIX UNITAIRE]])</f>
        <v>0</v>
      </c>
      <c r="F190" s="159">
        <v>396000</v>
      </c>
      <c r="G190" s="74">
        <f>+SUM(E$9:$E190)-SUM(F$9:$F190)</f>
        <v>30754500</v>
      </c>
    </row>
    <row r="191" spans="1:7" ht="28.8" x14ac:dyDescent="0.55000000000000004">
      <c r="A191" s="72">
        <v>45757</v>
      </c>
      <c r="B191" s="13" t="s">
        <v>247</v>
      </c>
      <c r="C191" s="80"/>
      <c r="D191" s="80"/>
      <c r="E191" s="73">
        <f>+$I$2+(FBD[[#This Row],[QUANTITE]]*FBD[[#This Row],[PRIX UNITAIRE]])</f>
        <v>0</v>
      </c>
      <c r="F191" s="159">
        <v>1870000</v>
      </c>
      <c r="G191" s="74">
        <f>+SUM(E$9:$E191)-SUM(F$9:$F191)</f>
        <v>28884500</v>
      </c>
    </row>
    <row r="192" spans="1:7" ht="28.8" x14ac:dyDescent="0.55000000000000004">
      <c r="A192" s="72">
        <v>45758</v>
      </c>
      <c r="B192" s="13" t="s">
        <v>495</v>
      </c>
      <c r="C192" s="80">
        <v>4</v>
      </c>
      <c r="D192" s="80">
        <v>40000</v>
      </c>
      <c r="E192" s="73">
        <f>+$I$2+(FBD[[#This Row],[QUANTITE]]*FBD[[#This Row],[PRIX UNITAIRE]])</f>
        <v>160000</v>
      </c>
      <c r="F192" s="159"/>
      <c r="G192" s="74">
        <f>+SUM(E$9:$E192)-SUM(F$9:$F192)</f>
        <v>29044500</v>
      </c>
    </row>
    <row r="193" spans="1:7" ht="28.8" x14ac:dyDescent="0.55000000000000004">
      <c r="A193" s="72">
        <v>45759</v>
      </c>
      <c r="B193" s="13" t="s">
        <v>2871</v>
      </c>
      <c r="C193" s="80">
        <v>4</v>
      </c>
      <c r="D193" s="80">
        <v>22000</v>
      </c>
      <c r="E193" s="73">
        <f>+$I$2+(FBD[[#This Row],[QUANTITE]]*FBD[[#This Row],[PRIX UNITAIRE]])</f>
        <v>88000</v>
      </c>
      <c r="F193" s="159"/>
      <c r="G193" s="74">
        <f>+SUM(E$9:$E193)-SUM(F$9:$F193)</f>
        <v>29132500</v>
      </c>
    </row>
    <row r="194" spans="1:7" ht="28.8" x14ac:dyDescent="0.55000000000000004">
      <c r="A194" s="72">
        <v>45759</v>
      </c>
      <c r="B194" s="13" t="s">
        <v>2872</v>
      </c>
      <c r="C194" s="80">
        <v>4</v>
      </c>
      <c r="D194" s="80">
        <v>35000</v>
      </c>
      <c r="E194" s="73">
        <f>+$I$2+(FBD[[#This Row],[QUANTITE]]*FBD[[#This Row],[PRIX UNITAIRE]])</f>
        <v>140000</v>
      </c>
      <c r="F194" s="159"/>
      <c r="G194" s="74">
        <f>+SUM(E$9:$E194)-SUM(F$9:$F194)</f>
        <v>29272500</v>
      </c>
    </row>
    <row r="195" spans="1:7" ht="28.8" x14ac:dyDescent="0.55000000000000004">
      <c r="A195" s="72">
        <v>45759</v>
      </c>
      <c r="B195" s="13" t="s">
        <v>2873</v>
      </c>
      <c r="C195" s="80">
        <v>2</v>
      </c>
      <c r="D195" s="80">
        <v>25000</v>
      </c>
      <c r="E195" s="73">
        <f>+$I$2+(FBD[[#This Row],[QUANTITE]]*FBD[[#This Row],[PRIX UNITAIRE]])</f>
        <v>50000</v>
      </c>
      <c r="F195" s="159"/>
      <c r="G195" s="74">
        <f>+SUM(E$9:$E195)-SUM(F$9:$F195)</f>
        <v>29322500</v>
      </c>
    </row>
    <row r="196" spans="1:7" ht="28.8" x14ac:dyDescent="0.55000000000000004">
      <c r="A196" s="72">
        <v>45759</v>
      </c>
      <c r="B196" s="13" t="s">
        <v>400</v>
      </c>
      <c r="C196" s="80">
        <v>5</v>
      </c>
      <c r="D196" s="80">
        <v>105000</v>
      </c>
      <c r="E196" s="73">
        <f>+$I$2+(FBD[[#This Row],[QUANTITE]]*FBD[[#This Row],[PRIX UNITAIRE]])</f>
        <v>525000</v>
      </c>
      <c r="F196" s="159"/>
      <c r="G196" s="74">
        <f>+SUM(E$9:$E196)-SUM(F$9:$F196)</f>
        <v>29847500</v>
      </c>
    </row>
    <row r="197" spans="1:7" ht="28.8" x14ac:dyDescent="0.55000000000000004">
      <c r="A197" s="72">
        <v>45759</v>
      </c>
      <c r="B197" s="13" t="s">
        <v>438</v>
      </c>
      <c r="C197" s="80">
        <v>5</v>
      </c>
      <c r="D197" s="80">
        <v>128000</v>
      </c>
      <c r="E197" s="73">
        <f>+$I$2+(FBD[[#This Row],[QUANTITE]]*FBD[[#This Row],[PRIX UNITAIRE]])</f>
        <v>640000</v>
      </c>
      <c r="F197" s="159"/>
      <c r="G197" s="74">
        <f>+SUM(E$9:$E197)-SUM(F$9:$F197)</f>
        <v>30487500</v>
      </c>
    </row>
    <row r="198" spans="1:7" ht="28.8" x14ac:dyDescent="0.55000000000000004">
      <c r="A198" s="72">
        <v>45759</v>
      </c>
      <c r="B198" s="13" t="s">
        <v>2874</v>
      </c>
      <c r="C198" s="80">
        <v>8</v>
      </c>
      <c r="D198" s="80">
        <v>40000</v>
      </c>
      <c r="E198" s="73">
        <f>+$I$2+(FBD[[#This Row],[QUANTITE]]*FBD[[#This Row],[PRIX UNITAIRE]])</f>
        <v>320000</v>
      </c>
      <c r="F198" s="159"/>
      <c r="G198" s="74">
        <f>+SUM(E$9:$E198)-SUM(F$9:$F198)</f>
        <v>30807500</v>
      </c>
    </row>
    <row r="199" spans="1:7" ht="28.8" x14ac:dyDescent="0.55000000000000004">
      <c r="A199" s="72">
        <v>45759</v>
      </c>
      <c r="B199" s="13" t="s">
        <v>2875</v>
      </c>
      <c r="C199" s="80">
        <v>8</v>
      </c>
      <c r="D199" s="80">
        <v>40000</v>
      </c>
      <c r="E199" s="73">
        <f>+$I$2+(FBD[[#This Row],[QUANTITE]]*FBD[[#This Row],[PRIX UNITAIRE]])</f>
        <v>320000</v>
      </c>
      <c r="F199" s="159"/>
      <c r="G199" s="74">
        <f>+SUM(E$9:$E199)-SUM(F$9:$F199)</f>
        <v>31127500</v>
      </c>
    </row>
    <row r="200" spans="1:7" ht="28.8" x14ac:dyDescent="0.55000000000000004">
      <c r="A200" s="72">
        <v>45759</v>
      </c>
      <c r="B200" s="13" t="s">
        <v>2876</v>
      </c>
      <c r="C200" s="80">
        <v>4</v>
      </c>
      <c r="D200" s="80">
        <v>40000</v>
      </c>
      <c r="E200" s="73">
        <f>+$I$2+(FBD[[#This Row],[QUANTITE]]*FBD[[#This Row],[PRIX UNITAIRE]])</f>
        <v>160000</v>
      </c>
      <c r="F200" s="159"/>
      <c r="G200" s="74">
        <f>+SUM(E$9:$E200)-SUM(F$9:$F200)</f>
        <v>31287500</v>
      </c>
    </row>
    <row r="201" spans="1:7" ht="28.8" x14ac:dyDescent="0.55000000000000004">
      <c r="A201" s="72">
        <v>45759</v>
      </c>
      <c r="B201" s="13" t="s">
        <v>2877</v>
      </c>
      <c r="C201" s="80">
        <v>6</v>
      </c>
      <c r="D201" s="80">
        <v>30000</v>
      </c>
      <c r="E201" s="73">
        <f>+$I$2+(FBD[[#This Row],[QUANTITE]]*FBD[[#This Row],[PRIX UNITAIRE]])</f>
        <v>180000</v>
      </c>
      <c r="F201" s="159"/>
      <c r="G201" s="74">
        <f>+SUM(E$9:$E201)-SUM(F$9:$F201)</f>
        <v>31467500</v>
      </c>
    </row>
    <row r="202" spans="1:7" ht="28.8" x14ac:dyDescent="0.55000000000000004">
      <c r="A202" s="72">
        <v>45761</v>
      </c>
      <c r="B202" s="13" t="s">
        <v>2878</v>
      </c>
      <c r="C202" s="80">
        <v>1</v>
      </c>
      <c r="D202" s="80">
        <v>25000</v>
      </c>
      <c r="E202" s="73">
        <f>+$I$2+(FBD[[#This Row],[QUANTITE]]*FBD[[#This Row],[PRIX UNITAIRE]])</f>
        <v>25000</v>
      </c>
      <c r="F202" s="159"/>
      <c r="G202" s="74">
        <f>+SUM(E$9:$E202)-SUM(F$9:$F202)</f>
        <v>31492500</v>
      </c>
    </row>
    <row r="203" spans="1:7" ht="28.8" x14ac:dyDescent="0.55000000000000004">
      <c r="A203" s="72">
        <v>45761</v>
      </c>
      <c r="B203" s="13" t="s">
        <v>2879</v>
      </c>
      <c r="C203" s="80">
        <v>1</v>
      </c>
      <c r="D203" s="80">
        <v>330000</v>
      </c>
      <c r="E203" s="73">
        <f>+$I$2+(FBD[[#This Row],[QUANTITE]]*FBD[[#This Row],[PRIX UNITAIRE]])</f>
        <v>330000</v>
      </c>
      <c r="F203" s="159"/>
      <c r="G203" s="74">
        <f>+SUM(E$9:$E203)-SUM(F$9:$F203)</f>
        <v>31822500</v>
      </c>
    </row>
    <row r="204" spans="1:7" ht="28.8" x14ac:dyDescent="0.55000000000000004">
      <c r="A204" s="72">
        <v>45764</v>
      </c>
      <c r="B204" s="13" t="s">
        <v>2880</v>
      </c>
      <c r="C204" s="80">
        <v>8</v>
      </c>
      <c r="D204" s="80">
        <v>6000</v>
      </c>
      <c r="E204" s="73">
        <f>+$I$2+(FBD[[#This Row],[QUANTITE]]*FBD[[#This Row],[PRIX UNITAIRE]])</f>
        <v>48000</v>
      </c>
      <c r="F204" s="159"/>
      <c r="G204" s="74">
        <f>+SUM(E$9:$E204)-SUM(F$9:$F204)</f>
        <v>31870500</v>
      </c>
    </row>
    <row r="205" spans="1:7" ht="28.8" x14ac:dyDescent="0.55000000000000004">
      <c r="A205" s="72">
        <v>45773</v>
      </c>
      <c r="B205" s="13" t="s">
        <v>247</v>
      </c>
      <c r="C205" s="80"/>
      <c r="D205" s="80"/>
      <c r="E205" s="73">
        <f>+$I$2+(FBD[[#This Row],[QUANTITE]]*FBD[[#This Row],[PRIX UNITAIRE]])</f>
        <v>0</v>
      </c>
      <c r="F205" s="159">
        <v>1254000</v>
      </c>
      <c r="G205" s="74">
        <f>+SUM(E$9:$E205)-SUM(F$9:$F205)</f>
        <v>30616500</v>
      </c>
    </row>
    <row r="206" spans="1:7" ht="28.8" x14ac:dyDescent="0.55000000000000004">
      <c r="A206" s="72">
        <v>45780</v>
      </c>
      <c r="B206" s="13" t="s">
        <v>247</v>
      </c>
      <c r="C206" s="80"/>
      <c r="D206" s="80"/>
      <c r="E206" s="73">
        <f>+$I$2+(FBD[[#This Row],[QUANTITE]]*FBD[[#This Row],[PRIX UNITAIRE]])</f>
        <v>0</v>
      </c>
      <c r="F206" s="159">
        <v>1217000</v>
      </c>
      <c r="G206" s="74">
        <f>+SUM(E$9:$E206)-SUM(F$9:$F206)</f>
        <v>29399500</v>
      </c>
    </row>
    <row r="207" spans="1:7" ht="28.8" x14ac:dyDescent="0.55000000000000004">
      <c r="A207" s="72">
        <v>45782</v>
      </c>
      <c r="B207" s="13" t="s">
        <v>450</v>
      </c>
      <c r="C207" s="80">
        <v>1</v>
      </c>
      <c r="D207" s="80">
        <v>128000</v>
      </c>
      <c r="E207" s="73">
        <f>+$I$2+(FBD[[#This Row],[QUANTITE]]*FBD[[#This Row],[PRIX UNITAIRE]])</f>
        <v>128000</v>
      </c>
      <c r="F207" s="159"/>
      <c r="G207" s="74">
        <f>+SUM(E$9:$E207)-SUM(F$9:$F207)</f>
        <v>29527500</v>
      </c>
    </row>
    <row r="208" spans="1:7" ht="28.8" x14ac:dyDescent="0.55000000000000004">
      <c r="A208" s="72">
        <v>45782</v>
      </c>
      <c r="B208" s="13" t="s">
        <v>2881</v>
      </c>
      <c r="C208" s="80">
        <v>4</v>
      </c>
      <c r="D208" s="80">
        <v>95000</v>
      </c>
      <c r="E208" s="73">
        <f>+$I$2+(FBD[[#This Row],[QUANTITE]]*FBD[[#This Row],[PRIX UNITAIRE]])</f>
        <v>380000</v>
      </c>
      <c r="F208" s="159"/>
      <c r="G208" s="74">
        <f>+SUM(E$9:$E208)-SUM(F$9:$F208)</f>
        <v>29907500</v>
      </c>
    </row>
    <row r="209" spans="1:7" ht="28.8" x14ac:dyDescent="0.55000000000000004">
      <c r="A209" s="72">
        <v>45782</v>
      </c>
      <c r="B209" s="13" t="s">
        <v>1070</v>
      </c>
      <c r="C209" s="80">
        <v>4</v>
      </c>
      <c r="D209" s="80">
        <v>40000</v>
      </c>
      <c r="E209" s="73">
        <f>+$I$2+(FBD[[#This Row],[QUANTITE]]*FBD[[#This Row],[PRIX UNITAIRE]])</f>
        <v>160000</v>
      </c>
      <c r="F209" s="159"/>
      <c r="G209" s="74">
        <f>+SUM(E$9:$E209)-SUM(F$9:$F209)</f>
        <v>30067500</v>
      </c>
    </row>
    <row r="210" spans="1:7" ht="28.8" x14ac:dyDescent="0.55000000000000004">
      <c r="A210" s="72">
        <v>45783</v>
      </c>
      <c r="B210" s="13" t="s">
        <v>2882</v>
      </c>
      <c r="C210" s="80">
        <v>30</v>
      </c>
      <c r="D210" s="80">
        <v>128000</v>
      </c>
      <c r="E210" s="73">
        <f>+$I$2+(FBD[[#This Row],[QUANTITE]]*FBD[[#This Row],[PRIX UNITAIRE]])</f>
        <v>3840000</v>
      </c>
      <c r="F210" s="159"/>
      <c r="G210" s="74">
        <f>+SUM(E$9:$E210)-SUM(F$9:$F210)</f>
        <v>33907500</v>
      </c>
    </row>
    <row r="211" spans="1:7" ht="28.8" x14ac:dyDescent="0.55000000000000004">
      <c r="A211" s="72">
        <v>45783</v>
      </c>
      <c r="B211" s="13" t="s">
        <v>400</v>
      </c>
      <c r="C211" s="80">
        <v>10</v>
      </c>
      <c r="D211" s="80">
        <v>105000</v>
      </c>
      <c r="E211" s="73">
        <f>+$I$2+(FBD[[#This Row],[QUANTITE]]*FBD[[#This Row],[PRIX UNITAIRE]])</f>
        <v>1050000</v>
      </c>
      <c r="F211" s="159"/>
      <c r="G211" s="74">
        <f>+SUM(E$9:$E211)-SUM(F$9:$F211)</f>
        <v>34957500</v>
      </c>
    </row>
    <row r="212" spans="1:7" ht="28.8" x14ac:dyDescent="0.55000000000000004">
      <c r="A212" s="72">
        <v>45784</v>
      </c>
      <c r="B212" s="13" t="s">
        <v>1090</v>
      </c>
      <c r="C212" s="80">
        <v>20</v>
      </c>
      <c r="D212" s="80">
        <v>105000</v>
      </c>
      <c r="E212" s="73">
        <f>+$I$2+(FBD[[#This Row],[QUANTITE]]*FBD[[#This Row],[PRIX UNITAIRE]])</f>
        <v>2100000</v>
      </c>
      <c r="F212" s="159"/>
      <c r="G212" s="74">
        <f>+SUM(E$9:$E212)-SUM(F$9:$F212)</f>
        <v>37057500</v>
      </c>
    </row>
    <row r="213" spans="1:7" ht="28.8" x14ac:dyDescent="0.55000000000000004">
      <c r="A213" s="72">
        <v>45784</v>
      </c>
      <c r="B213" s="13" t="s">
        <v>2883</v>
      </c>
      <c r="C213" s="80">
        <v>20</v>
      </c>
      <c r="D213" s="80">
        <v>128000</v>
      </c>
      <c r="E213" s="73">
        <f>+$I$2+(FBD[[#This Row],[QUANTITE]]*FBD[[#This Row],[PRIX UNITAIRE]])</f>
        <v>2560000</v>
      </c>
      <c r="F213" s="159"/>
      <c r="G213" s="74">
        <f>+SUM(E$9:$E213)-SUM(F$9:$F213)</f>
        <v>39617500</v>
      </c>
    </row>
    <row r="214" spans="1:7" ht="28.8" x14ac:dyDescent="0.55000000000000004">
      <c r="A214" s="72">
        <v>45786</v>
      </c>
      <c r="B214" s="13" t="s">
        <v>2884</v>
      </c>
      <c r="C214" s="80">
        <v>5</v>
      </c>
      <c r="D214" s="80">
        <v>35000</v>
      </c>
      <c r="E214" s="73">
        <f>+$I$2+(FBD[[#This Row],[QUANTITE]]*FBD[[#This Row],[PRIX UNITAIRE]])</f>
        <v>175000</v>
      </c>
      <c r="F214" s="159"/>
      <c r="G214" s="74">
        <f>+SUM(E$9:$E214)-SUM(F$9:$F214)</f>
        <v>39792500</v>
      </c>
    </row>
    <row r="215" spans="1:7" ht="28.8" x14ac:dyDescent="0.55000000000000004">
      <c r="A215" s="72">
        <v>45787</v>
      </c>
      <c r="B215" s="13" t="s">
        <v>247</v>
      </c>
      <c r="C215" s="80"/>
      <c r="D215" s="80"/>
      <c r="E215" s="73">
        <f>+$I$2+(FBD[[#This Row],[QUANTITE]]*FBD[[#This Row],[PRIX UNITAIRE]])</f>
        <v>0</v>
      </c>
      <c r="F215" s="159">
        <v>3974000</v>
      </c>
      <c r="G215" s="74">
        <f>+SUM(E$9:$E215)-SUM(F$9:$F215)</f>
        <v>35818500</v>
      </c>
    </row>
    <row r="216" spans="1:7" ht="28.8" x14ac:dyDescent="0.55000000000000004">
      <c r="A216" s="72">
        <v>45790</v>
      </c>
      <c r="B216" s="13" t="s">
        <v>275</v>
      </c>
      <c r="C216" s="80">
        <v>2</v>
      </c>
      <c r="D216" s="80">
        <v>55000</v>
      </c>
      <c r="E216" s="73">
        <f>+$I$2+(FBD[[#This Row],[QUANTITE]]*FBD[[#This Row],[PRIX UNITAIRE]])</f>
        <v>110000</v>
      </c>
      <c r="F216" s="159"/>
      <c r="G216" s="74">
        <f>+SUM(E$9:$E216)-SUM(F$9:$F216)</f>
        <v>35928500</v>
      </c>
    </row>
    <row r="217" spans="1:7" ht="28.8" x14ac:dyDescent="0.55000000000000004">
      <c r="A217" s="72" t="s">
        <v>2885</v>
      </c>
      <c r="B217" s="13" t="s">
        <v>276</v>
      </c>
      <c r="C217" s="80">
        <v>2</v>
      </c>
      <c r="D217" s="80">
        <v>60000</v>
      </c>
      <c r="E217" s="73">
        <f>+$I$2+(FBD[[#This Row],[QUANTITE]]*FBD[[#This Row],[PRIX UNITAIRE]])</f>
        <v>120000</v>
      </c>
      <c r="F217" s="159"/>
      <c r="G217" s="74">
        <f>+SUM(E$9:$E217)-SUM(F$9:$F217)</f>
        <v>36048500</v>
      </c>
    </row>
    <row r="218" spans="1:7" ht="28.8" x14ac:dyDescent="0.55000000000000004">
      <c r="A218" s="72">
        <v>45790</v>
      </c>
      <c r="B218" s="13" t="s">
        <v>2886</v>
      </c>
      <c r="C218" s="80">
        <v>6</v>
      </c>
      <c r="D218" s="80">
        <v>35000</v>
      </c>
      <c r="E218" s="73">
        <f>+$I$2+(FBD[[#This Row],[QUANTITE]]*FBD[[#This Row],[PRIX UNITAIRE]])</f>
        <v>210000</v>
      </c>
      <c r="F218" s="159"/>
      <c r="G218" s="74">
        <f>+SUM(E$9:$E218)-SUM(F$9:$F218)</f>
        <v>36258500</v>
      </c>
    </row>
    <row r="219" spans="1:7" ht="28.8" x14ac:dyDescent="0.55000000000000004">
      <c r="A219" s="72">
        <v>45790</v>
      </c>
      <c r="B219" s="13" t="s">
        <v>475</v>
      </c>
      <c r="C219" s="80">
        <v>2</v>
      </c>
      <c r="D219" s="80">
        <v>45000</v>
      </c>
      <c r="E219" s="73">
        <f>+$I$2+(FBD[[#This Row],[QUANTITE]]*FBD[[#This Row],[PRIX UNITAIRE]])</f>
        <v>90000</v>
      </c>
      <c r="F219" s="159"/>
      <c r="G219" s="74">
        <f>+SUM(E$9:$E219)-SUM(F$9:$F219)</f>
        <v>36348500</v>
      </c>
    </row>
    <row r="220" spans="1:7" ht="28.8" x14ac:dyDescent="0.55000000000000004">
      <c r="A220" s="72">
        <v>45790</v>
      </c>
      <c r="B220" s="13" t="s">
        <v>2684</v>
      </c>
      <c r="C220" s="80">
        <v>4</v>
      </c>
      <c r="D220" s="80">
        <v>128000</v>
      </c>
      <c r="E220" s="73">
        <f>+$I$2+(FBD[[#This Row],[QUANTITE]]*FBD[[#This Row],[PRIX UNITAIRE]])</f>
        <v>512000</v>
      </c>
      <c r="F220" s="159"/>
      <c r="G220" s="74">
        <f>+SUM(E$9:$E220)-SUM(F$9:$F220)</f>
        <v>36860500</v>
      </c>
    </row>
    <row r="221" spans="1:7" ht="28.8" x14ac:dyDescent="0.55000000000000004">
      <c r="A221" s="72">
        <v>45790</v>
      </c>
      <c r="B221" s="13" t="s">
        <v>410</v>
      </c>
      <c r="C221" s="80">
        <v>8</v>
      </c>
      <c r="D221" s="80">
        <v>30000</v>
      </c>
      <c r="E221" s="73">
        <f>+$I$2+(FBD[[#This Row],[QUANTITE]]*FBD[[#This Row],[PRIX UNITAIRE]])</f>
        <v>240000</v>
      </c>
      <c r="F221" s="159"/>
      <c r="G221" s="74">
        <f>+SUM(E$9:$E221)-SUM(F$9:$F221)</f>
        <v>37100500</v>
      </c>
    </row>
    <row r="222" spans="1:7" ht="28.8" x14ac:dyDescent="0.55000000000000004">
      <c r="A222" s="72">
        <v>45791</v>
      </c>
      <c r="B222" s="13" t="s">
        <v>2887</v>
      </c>
      <c r="C222" s="80">
        <v>2</v>
      </c>
      <c r="D222" s="80">
        <v>240000</v>
      </c>
      <c r="E222" s="73">
        <f>+$I$2+(FBD[[#This Row],[QUANTITE]]*FBD[[#This Row],[PRIX UNITAIRE]])</f>
        <v>480000</v>
      </c>
      <c r="F222" s="159"/>
      <c r="G222" s="74">
        <f>+SUM(E$9:$E222)-SUM(F$9:$F222)</f>
        <v>37580500</v>
      </c>
    </row>
    <row r="223" spans="1:7" ht="28.8" x14ac:dyDescent="0.55000000000000004">
      <c r="A223" s="72">
        <v>45791</v>
      </c>
      <c r="B223" s="13" t="s">
        <v>2834</v>
      </c>
      <c r="C223" s="80">
        <v>1</v>
      </c>
      <c r="D223" s="80">
        <v>330000</v>
      </c>
      <c r="E223" s="73">
        <f>+$I$2+(FBD[[#This Row],[QUANTITE]]*FBD[[#This Row],[PRIX UNITAIRE]])</f>
        <v>330000</v>
      </c>
      <c r="F223" s="159"/>
      <c r="G223" s="74">
        <f>+SUM(E$9:$E223)-SUM(F$9:$F223)</f>
        <v>37910500</v>
      </c>
    </row>
    <row r="224" spans="1:7" ht="28.8" x14ac:dyDescent="0.55000000000000004">
      <c r="A224" s="72">
        <v>45791</v>
      </c>
      <c r="B224" s="13" t="s">
        <v>2888</v>
      </c>
      <c r="C224" s="80">
        <v>1</v>
      </c>
      <c r="D224" s="80">
        <v>400000</v>
      </c>
      <c r="E224" s="73">
        <f>+$I$2+(FBD[[#This Row],[QUANTITE]]*FBD[[#This Row],[PRIX UNITAIRE]])</f>
        <v>400000</v>
      </c>
      <c r="F224" s="159"/>
      <c r="G224" s="74">
        <f>+SUM(E$9:$E224)-SUM(F$9:$F224)</f>
        <v>38310500</v>
      </c>
    </row>
    <row r="225" spans="1:7" ht="28.8" x14ac:dyDescent="0.55000000000000004">
      <c r="A225" s="72">
        <v>45791</v>
      </c>
      <c r="B225" s="13" t="s">
        <v>2889</v>
      </c>
      <c r="C225" s="80">
        <v>1</v>
      </c>
      <c r="D225" s="80">
        <v>270000</v>
      </c>
      <c r="E225" s="73">
        <f>+$I$2+(FBD[[#This Row],[QUANTITE]]*FBD[[#This Row],[PRIX UNITAIRE]])</f>
        <v>270000</v>
      </c>
      <c r="F225" s="159"/>
      <c r="G225" s="74">
        <f>+SUM(E$9:$E225)-SUM(F$9:$F225)</f>
        <v>38580500</v>
      </c>
    </row>
    <row r="226" spans="1:7" ht="28.8" x14ac:dyDescent="0.55000000000000004">
      <c r="A226" s="72">
        <v>45794</v>
      </c>
      <c r="B226" s="13" t="s">
        <v>2890</v>
      </c>
      <c r="C226" s="80">
        <v>20</v>
      </c>
      <c r="D226" s="80">
        <v>33000</v>
      </c>
      <c r="E226" s="73">
        <f>+$I$2+(FBD[[#This Row],[QUANTITE]]*FBD[[#This Row],[PRIX UNITAIRE]])</f>
        <v>660000</v>
      </c>
      <c r="F226" s="159"/>
      <c r="G226" s="74">
        <f>+SUM(E$9:$E226)-SUM(F$9:$F226)</f>
        <v>39240500</v>
      </c>
    </row>
    <row r="227" spans="1:7" ht="28.8" x14ac:dyDescent="0.55000000000000004">
      <c r="A227" s="72">
        <v>45794</v>
      </c>
      <c r="B227" s="13" t="s">
        <v>2820</v>
      </c>
      <c r="C227" s="80">
        <v>40</v>
      </c>
      <c r="D227" s="80">
        <v>33000</v>
      </c>
      <c r="E227" s="73">
        <f>+$I$2+(FBD[[#This Row],[QUANTITE]]*FBD[[#This Row],[PRIX UNITAIRE]])</f>
        <v>1320000</v>
      </c>
      <c r="F227" s="159"/>
      <c r="G227" s="74">
        <f>+SUM(E$9:$E227)-SUM(F$9:$F227)</f>
        <v>40560500</v>
      </c>
    </row>
    <row r="228" spans="1:7" ht="28.8" x14ac:dyDescent="0.55000000000000004">
      <c r="A228" s="72">
        <v>45794</v>
      </c>
      <c r="B228" s="13" t="s">
        <v>247</v>
      </c>
      <c r="C228" s="80"/>
      <c r="D228" s="80"/>
      <c r="E228" s="73">
        <f>+$I$2+(FBD[[#This Row],[QUANTITE]]*FBD[[#This Row],[PRIX UNITAIRE]])</f>
        <v>0</v>
      </c>
      <c r="F228" s="159">
        <v>1200000</v>
      </c>
      <c r="G228" s="74">
        <f>+SUM(E$9:$E228)-SUM(F$9:$F228)</f>
        <v>39360500</v>
      </c>
    </row>
    <row r="229" spans="1:7" ht="28.8" x14ac:dyDescent="0.55000000000000004">
      <c r="A229" s="72">
        <v>45800</v>
      </c>
      <c r="B229" s="13" t="s">
        <v>247</v>
      </c>
      <c r="C229" s="80"/>
      <c r="D229" s="80"/>
      <c r="E229" s="73">
        <f>+$I$2+(FBD[[#This Row],[QUANTITE]]*FBD[[#This Row],[PRIX UNITAIRE]])</f>
        <v>0</v>
      </c>
      <c r="F229" s="159">
        <v>882000</v>
      </c>
      <c r="G229" s="74">
        <f>+SUM(E$9:$E229)-SUM(F$9:$F229)</f>
        <v>38478500</v>
      </c>
    </row>
    <row r="230" spans="1:7" ht="28.8" x14ac:dyDescent="0.55000000000000004">
      <c r="A230" s="72">
        <v>45807</v>
      </c>
      <c r="B230" s="13" t="s">
        <v>247</v>
      </c>
      <c r="C230" s="80"/>
      <c r="D230" s="80"/>
      <c r="E230" s="73">
        <f>+$I$2+(FBD[[#This Row],[QUANTITE]]*FBD[[#This Row],[PRIX UNITAIRE]])</f>
        <v>0</v>
      </c>
      <c r="F230" s="159">
        <v>1015000</v>
      </c>
      <c r="G230" s="74">
        <f>+SUM(E$9:$E230)-SUM(F$9:$F230)</f>
        <v>37463500</v>
      </c>
    </row>
    <row r="231" spans="1:7" ht="28.8" x14ac:dyDescent="0.55000000000000004">
      <c r="A231" s="72">
        <v>45808</v>
      </c>
      <c r="B231" s="13" t="s">
        <v>247</v>
      </c>
      <c r="C231" s="80"/>
      <c r="D231" s="80"/>
      <c r="E231" s="73">
        <f>+$I$2+(FBD[[#This Row],[QUANTITE]]*FBD[[#This Row],[PRIX UNITAIRE]])</f>
        <v>0</v>
      </c>
      <c r="F231" s="159">
        <v>1370000</v>
      </c>
      <c r="G231" s="74">
        <f>+SUM(E$9:$E231)-SUM(F$9:$F231)</f>
        <v>36093500</v>
      </c>
    </row>
    <row r="232" spans="1:7" ht="28.8" x14ac:dyDescent="0.55000000000000004">
      <c r="A232" s="72">
        <v>45813</v>
      </c>
      <c r="B232" s="13" t="s">
        <v>247</v>
      </c>
      <c r="C232" s="80"/>
      <c r="D232" s="80"/>
      <c r="E232" s="73">
        <f>+$I$2+(FBD[[#This Row],[QUANTITE]]*FBD[[#This Row],[PRIX UNITAIRE]])</f>
        <v>0</v>
      </c>
      <c r="F232" s="159">
        <v>1252000</v>
      </c>
      <c r="G232" s="74">
        <f>+SUM(E$9:$E232)-SUM(F$9:$F232)</f>
        <v>34841500</v>
      </c>
    </row>
    <row r="233" spans="1:7" ht="28.8" x14ac:dyDescent="0.55000000000000004">
      <c r="A233" s="72">
        <v>45820</v>
      </c>
      <c r="B233" s="13" t="s">
        <v>251</v>
      </c>
      <c r="C233" s="80">
        <v>6</v>
      </c>
      <c r="D233" s="80">
        <v>23500</v>
      </c>
      <c r="E233" s="73">
        <f>+$I$2+(FBD[[#This Row],[QUANTITE]]*FBD[[#This Row],[PRIX UNITAIRE]])</f>
        <v>141000</v>
      </c>
      <c r="F233" s="159"/>
      <c r="G233" s="74">
        <f>+SUM(E$9:$E233)-SUM(F$9:$F233)</f>
        <v>34982500</v>
      </c>
    </row>
    <row r="234" spans="1:7" ht="28.8" x14ac:dyDescent="0.55000000000000004">
      <c r="A234" s="72">
        <v>45820</v>
      </c>
      <c r="B234" s="13" t="s">
        <v>2820</v>
      </c>
      <c r="C234" s="80">
        <v>2</v>
      </c>
      <c r="D234" s="80">
        <v>33000</v>
      </c>
      <c r="E234" s="73">
        <f>+$I$2+(FBD[[#This Row],[QUANTITE]]*FBD[[#This Row],[PRIX UNITAIRE]])</f>
        <v>66000</v>
      </c>
      <c r="F234" s="159"/>
      <c r="G234" s="74">
        <f>+SUM(E$9:$E234)-SUM(F$9:$F234)</f>
        <v>35048500</v>
      </c>
    </row>
    <row r="235" spans="1:7" ht="28.8" x14ac:dyDescent="0.55000000000000004">
      <c r="A235" s="72">
        <v>45820</v>
      </c>
      <c r="B235" s="13" t="s">
        <v>2891</v>
      </c>
      <c r="C235" s="80">
        <v>20</v>
      </c>
      <c r="D235" s="80">
        <v>33000</v>
      </c>
      <c r="E235" s="73">
        <f>+$I$2+(FBD[[#This Row],[QUANTITE]]*FBD[[#This Row],[PRIX UNITAIRE]])</f>
        <v>660000</v>
      </c>
      <c r="F235" s="159"/>
      <c r="G235" s="74">
        <f>+SUM(E$9:$E235)-SUM(F$9:$F235)</f>
        <v>35708500</v>
      </c>
    </row>
    <row r="236" spans="1:7" ht="28.8" x14ac:dyDescent="0.55000000000000004">
      <c r="A236" s="72">
        <v>45821</v>
      </c>
      <c r="B236" s="13" t="s">
        <v>2892</v>
      </c>
      <c r="C236" s="80">
        <v>2</v>
      </c>
      <c r="D236" s="80">
        <v>33000</v>
      </c>
      <c r="E236" s="73">
        <f>+$I$2+(FBD[[#This Row],[QUANTITE]]*FBD[[#This Row],[PRIX UNITAIRE]])</f>
        <v>66000</v>
      </c>
      <c r="F236" s="159"/>
      <c r="G236" s="74">
        <f>+SUM(E$9:$E236)-SUM(F$9:$F236)</f>
        <v>35774500</v>
      </c>
    </row>
    <row r="237" spans="1:7" ht="28.8" x14ac:dyDescent="0.55000000000000004">
      <c r="A237" s="72">
        <v>45822</v>
      </c>
      <c r="B237" s="13" t="s">
        <v>247</v>
      </c>
      <c r="C237" s="80"/>
      <c r="D237" s="80"/>
      <c r="E237" s="73">
        <f>+$I$2+(FBD[[#This Row],[QUANTITE]]*FBD[[#This Row],[PRIX UNITAIRE]])</f>
        <v>0</v>
      </c>
      <c r="F237" s="159">
        <v>3437000</v>
      </c>
      <c r="G237" s="74">
        <f>+SUM(E$9:$E237)-SUM(F$9:$F237)</f>
        <v>32337500</v>
      </c>
    </row>
    <row r="238" spans="1:7" ht="28.8" x14ac:dyDescent="0.55000000000000004">
      <c r="A238" s="72">
        <v>45825</v>
      </c>
      <c r="B238" s="13" t="s">
        <v>2801</v>
      </c>
      <c r="C238" s="80">
        <v>30</v>
      </c>
      <c r="D238" s="80">
        <v>3000</v>
      </c>
      <c r="E238" s="73">
        <f>+$I$2+(FBD[[#This Row],[QUANTITE]]*FBD[[#This Row],[PRIX UNITAIRE]])</f>
        <v>90000</v>
      </c>
      <c r="F238" s="159"/>
      <c r="G238" s="74">
        <f>+SUM(E$9:$E238)-SUM(F$9:$F238)</f>
        <v>32427500</v>
      </c>
    </row>
    <row r="239" spans="1:7" ht="28.8" x14ac:dyDescent="0.55000000000000004">
      <c r="A239" s="72">
        <v>45825</v>
      </c>
      <c r="B239" s="13" t="s">
        <v>247</v>
      </c>
      <c r="C239" s="80"/>
      <c r="D239" s="80"/>
      <c r="E239" s="73">
        <f>+$I$2+(FBD[[#This Row],[QUANTITE]]*FBD[[#This Row],[PRIX UNITAIRE]])</f>
        <v>0</v>
      </c>
      <c r="F239" s="159">
        <v>700000</v>
      </c>
      <c r="G239" s="74">
        <f>+SUM(E$9:$E239)-SUM(F$9:$F239)</f>
        <v>31727500</v>
      </c>
    </row>
    <row r="240" spans="1:7" ht="28.8" x14ac:dyDescent="0.55000000000000004">
      <c r="A240" s="72">
        <v>45825</v>
      </c>
      <c r="B240" s="13" t="s">
        <v>2893</v>
      </c>
      <c r="C240" s="80">
        <v>2</v>
      </c>
      <c r="D240" s="80">
        <v>40000</v>
      </c>
      <c r="E240" s="73">
        <f>+$I$2+(FBD[[#This Row],[QUANTITE]]*FBD[[#This Row],[PRIX UNITAIRE]])</f>
        <v>80000</v>
      </c>
      <c r="F240" s="159"/>
      <c r="G240" s="74">
        <f>+SUM(E$9:$E240)-SUM(F$9:$F240)</f>
        <v>31807500</v>
      </c>
    </row>
    <row r="241" spans="1:7" ht="28.8" x14ac:dyDescent="0.55000000000000004">
      <c r="A241" s="72">
        <v>45829</v>
      </c>
      <c r="B241" s="13" t="s">
        <v>247</v>
      </c>
      <c r="C241" s="80"/>
      <c r="D241" s="80"/>
      <c r="E241" s="73">
        <f>+$I$2+(FBD[[#This Row],[QUANTITE]]*FBD[[#This Row],[PRIX UNITAIRE]])</f>
        <v>0</v>
      </c>
      <c r="F241" s="159">
        <v>1313000</v>
      </c>
      <c r="G241" s="74">
        <f>+SUM(E$9:$E241)-SUM(F$9:$F241)</f>
        <v>30494500</v>
      </c>
    </row>
    <row r="242" spans="1:7" ht="28.8" x14ac:dyDescent="0.55000000000000004">
      <c r="A242" s="72">
        <v>45831</v>
      </c>
      <c r="B242" s="13" t="s">
        <v>2894</v>
      </c>
      <c r="C242" s="80">
        <v>2</v>
      </c>
      <c r="D242" s="80">
        <v>45000</v>
      </c>
      <c r="E242" s="73">
        <f>+$I$2+(FBD[[#This Row],[QUANTITE]]*FBD[[#This Row],[PRIX UNITAIRE]])</f>
        <v>90000</v>
      </c>
      <c r="F242" s="159"/>
      <c r="G242" s="74">
        <f>+SUM(E$9:$E242)-SUM(F$9:$F242)</f>
        <v>30584500</v>
      </c>
    </row>
    <row r="243" spans="1:7" ht="28.8" x14ac:dyDescent="0.55000000000000004">
      <c r="A243" s="72">
        <v>45831</v>
      </c>
      <c r="B243" s="13" t="s">
        <v>251</v>
      </c>
      <c r="C243" s="80">
        <v>6</v>
      </c>
      <c r="D243" s="80">
        <v>23500</v>
      </c>
      <c r="E243" s="73">
        <f>+$I$2+(FBD[[#This Row],[QUANTITE]]*FBD[[#This Row],[PRIX UNITAIRE]])</f>
        <v>141000</v>
      </c>
      <c r="F243" s="159"/>
      <c r="G243" s="74">
        <f>+SUM(E$9:$E243)-SUM(F$9:$F243)</f>
        <v>30725500</v>
      </c>
    </row>
    <row r="244" spans="1:7" ht="28.8" x14ac:dyDescent="0.55000000000000004">
      <c r="A244" s="72">
        <v>45831</v>
      </c>
      <c r="B244" s="13" t="s">
        <v>260</v>
      </c>
      <c r="C244" s="80">
        <v>6</v>
      </c>
      <c r="D244" s="80">
        <v>128000</v>
      </c>
      <c r="E244" s="73">
        <f>+$I$2+(FBD[[#This Row],[QUANTITE]]*FBD[[#This Row],[PRIX UNITAIRE]])</f>
        <v>768000</v>
      </c>
      <c r="F244" s="159"/>
      <c r="G244" s="74">
        <f>+SUM(E$9:$E244)-SUM(F$9:$F244)</f>
        <v>31493500</v>
      </c>
    </row>
    <row r="245" spans="1:7" ht="28.8" x14ac:dyDescent="0.55000000000000004">
      <c r="A245" s="72">
        <v>45831</v>
      </c>
      <c r="B245" s="13" t="s">
        <v>2895</v>
      </c>
      <c r="C245" s="80">
        <v>4</v>
      </c>
      <c r="D245" s="80">
        <v>65000</v>
      </c>
      <c r="E245" s="73">
        <f>+$I$2+(FBD[[#This Row],[QUANTITE]]*FBD[[#This Row],[PRIX UNITAIRE]])</f>
        <v>260000</v>
      </c>
      <c r="F245" s="159"/>
      <c r="G245" s="74">
        <f>+SUM(E$9:$E245)-SUM(F$9:$F245)</f>
        <v>31753500</v>
      </c>
    </row>
    <row r="246" spans="1:7" ht="28.8" x14ac:dyDescent="0.55000000000000004">
      <c r="A246" s="72">
        <v>45831</v>
      </c>
      <c r="B246" s="13" t="s">
        <v>249</v>
      </c>
      <c r="C246" s="80">
        <v>2</v>
      </c>
      <c r="D246" s="80">
        <v>105000</v>
      </c>
      <c r="E246" s="73">
        <f>+$I$2+(FBD[[#This Row],[QUANTITE]]*FBD[[#This Row],[PRIX UNITAIRE]])</f>
        <v>210000</v>
      </c>
      <c r="F246" s="159"/>
      <c r="G246" s="74">
        <f>+SUM(E$9:$E246)-SUM(F$9:$F246)</f>
        <v>31963500</v>
      </c>
    </row>
    <row r="247" spans="1:7" ht="28.8" x14ac:dyDescent="0.55000000000000004">
      <c r="A247" s="72">
        <v>45831</v>
      </c>
      <c r="B247" s="13" t="s">
        <v>2896</v>
      </c>
      <c r="C247" s="80">
        <v>6</v>
      </c>
      <c r="D247" s="80">
        <v>105000</v>
      </c>
      <c r="E247" s="73">
        <f>+$I$2+(FBD[[#This Row],[QUANTITE]]*FBD[[#This Row],[PRIX UNITAIRE]])</f>
        <v>630000</v>
      </c>
      <c r="F247" s="159"/>
      <c r="G247" s="74">
        <f>+SUM(E$9:$E247)-SUM(F$9:$F247)</f>
        <v>32593500</v>
      </c>
    </row>
    <row r="248" spans="1:7" ht="28.8" x14ac:dyDescent="0.55000000000000004">
      <c r="A248" s="72">
        <v>45832</v>
      </c>
      <c r="B248" s="13" t="s">
        <v>2897</v>
      </c>
      <c r="C248" s="80">
        <v>9</v>
      </c>
      <c r="D248" s="80">
        <v>35000</v>
      </c>
      <c r="E248" s="73">
        <f>+$I$2+(FBD[[#This Row],[QUANTITE]]*FBD[[#This Row],[PRIX UNITAIRE]])</f>
        <v>315000</v>
      </c>
      <c r="F248" s="159"/>
      <c r="G248" s="74">
        <f>+SUM(E$9:$E248)-SUM(F$9:$F248)</f>
        <v>32908500</v>
      </c>
    </row>
    <row r="249" spans="1:7" ht="28.8" x14ac:dyDescent="0.55000000000000004">
      <c r="A249" s="72">
        <v>45832</v>
      </c>
      <c r="B249" s="13" t="s">
        <v>2898</v>
      </c>
      <c r="C249" s="80">
        <v>1</v>
      </c>
      <c r="D249" s="80">
        <v>240000</v>
      </c>
      <c r="E249" s="73">
        <f>+$I$2+(FBD[[#This Row],[QUANTITE]]*FBD[[#This Row],[PRIX UNITAIRE]])</f>
        <v>240000</v>
      </c>
      <c r="F249" s="159"/>
      <c r="G249" s="74">
        <f>+SUM(E$9:$E249)-SUM(F$9:$F249)</f>
        <v>33148500</v>
      </c>
    </row>
    <row r="250" spans="1:7" ht="28.8" x14ac:dyDescent="0.55000000000000004">
      <c r="A250" s="72">
        <v>45832</v>
      </c>
      <c r="B250" s="13" t="s">
        <v>2899</v>
      </c>
      <c r="C250" s="80">
        <v>3</v>
      </c>
      <c r="D250" s="80">
        <v>330000</v>
      </c>
      <c r="E250" s="73">
        <f>+$I$2+(FBD[[#This Row],[QUANTITE]]*FBD[[#This Row],[PRIX UNITAIRE]])</f>
        <v>990000</v>
      </c>
      <c r="F250" s="159"/>
      <c r="G250" s="74">
        <f>+SUM(E$9:$E250)-SUM(F$9:$F250)</f>
        <v>34138500</v>
      </c>
    </row>
    <row r="251" spans="1:7" ht="28.8" x14ac:dyDescent="0.55000000000000004">
      <c r="A251" s="72">
        <v>45832</v>
      </c>
      <c r="B251" s="13" t="s">
        <v>2757</v>
      </c>
      <c r="C251" s="80">
        <v>8</v>
      </c>
      <c r="D251" s="80">
        <v>32000</v>
      </c>
      <c r="E251" s="73">
        <f>+$I$2+(FBD[[#This Row],[QUANTITE]]*FBD[[#This Row],[PRIX UNITAIRE]])</f>
        <v>256000</v>
      </c>
      <c r="F251" s="159"/>
      <c r="G251" s="74">
        <f>+SUM(E$9:$E251)-SUM(F$9:$F251)</f>
        <v>34394500</v>
      </c>
    </row>
    <row r="252" spans="1:7" ht="28.8" x14ac:dyDescent="0.55000000000000004">
      <c r="A252" s="72">
        <v>45832</v>
      </c>
      <c r="B252" s="13" t="s">
        <v>1262</v>
      </c>
      <c r="C252" s="80">
        <v>8</v>
      </c>
      <c r="D252" s="80">
        <v>40000</v>
      </c>
      <c r="E252" s="73">
        <f>+$I$2+(FBD[[#This Row],[QUANTITE]]*FBD[[#This Row],[PRIX UNITAIRE]])</f>
        <v>320000</v>
      </c>
      <c r="F252" s="159"/>
      <c r="G252" s="74">
        <f>+SUM(E$9:$E252)-SUM(F$9:$F252)</f>
        <v>34714500</v>
      </c>
    </row>
    <row r="253" spans="1:7" ht="28.8" x14ac:dyDescent="0.55000000000000004">
      <c r="A253" s="72">
        <v>45832</v>
      </c>
      <c r="B253" s="13" t="s">
        <v>249</v>
      </c>
      <c r="C253" s="80">
        <v>1</v>
      </c>
      <c r="D253" s="80">
        <v>105000</v>
      </c>
      <c r="E253" s="73">
        <f>+$I$2+(FBD[[#This Row],[QUANTITE]]*FBD[[#This Row],[PRIX UNITAIRE]])</f>
        <v>105000</v>
      </c>
      <c r="F253" s="159"/>
      <c r="G253" s="74">
        <f>+SUM(E$9:$E253)-SUM(F$9:$F253)</f>
        <v>34819500</v>
      </c>
    </row>
    <row r="254" spans="1:7" ht="28.8" x14ac:dyDescent="0.55000000000000004">
      <c r="A254" s="72">
        <v>45832</v>
      </c>
      <c r="B254" s="13" t="s">
        <v>2900</v>
      </c>
      <c r="C254" s="80">
        <v>4</v>
      </c>
      <c r="D254" s="80">
        <v>105000</v>
      </c>
      <c r="E254" s="73">
        <f>+$I$2+(FBD[[#This Row],[QUANTITE]]*FBD[[#This Row],[PRIX UNITAIRE]])</f>
        <v>420000</v>
      </c>
      <c r="F254" s="159"/>
      <c r="G254" s="74">
        <f>+SUM(E$9:$E254)-SUM(F$9:$F254)</f>
        <v>35239500</v>
      </c>
    </row>
    <row r="255" spans="1:7" ht="28.8" x14ac:dyDescent="0.55000000000000004">
      <c r="A255" s="72">
        <v>45832</v>
      </c>
      <c r="B255" s="13" t="s">
        <v>271</v>
      </c>
      <c r="C255" s="80">
        <v>20</v>
      </c>
      <c r="D255" s="80">
        <v>128000</v>
      </c>
      <c r="E255" s="73">
        <f>+$I$2+(FBD[[#This Row],[QUANTITE]]*FBD[[#This Row],[PRIX UNITAIRE]])</f>
        <v>2560000</v>
      </c>
      <c r="F255" s="159"/>
      <c r="G255" s="74">
        <f>+SUM(E$9:$E255)-SUM(F$9:$F255)</f>
        <v>37799500</v>
      </c>
    </row>
    <row r="256" spans="1:7" ht="28.8" x14ac:dyDescent="0.55000000000000004">
      <c r="A256" s="72">
        <v>45832</v>
      </c>
      <c r="B256" s="13" t="s">
        <v>2901</v>
      </c>
      <c r="C256" s="80">
        <v>1</v>
      </c>
      <c r="D256" s="80">
        <v>35000</v>
      </c>
      <c r="E256" s="73">
        <f>+$I$2+(FBD[[#This Row],[QUANTITE]]*FBD[[#This Row],[PRIX UNITAIRE]])</f>
        <v>35000</v>
      </c>
      <c r="F256" s="159"/>
      <c r="G256" s="74">
        <f>+SUM(E$9:$E256)-SUM(F$9:$F256)</f>
        <v>37834500</v>
      </c>
    </row>
    <row r="257" spans="1:7" ht="28.8" x14ac:dyDescent="0.55000000000000004">
      <c r="A257" s="72">
        <v>45832</v>
      </c>
      <c r="B257" s="13" t="s">
        <v>2902</v>
      </c>
      <c r="C257" s="80">
        <v>1</v>
      </c>
      <c r="D257" s="80">
        <v>300000</v>
      </c>
      <c r="E257" s="73">
        <f>+$I$2+(FBD[[#This Row],[QUANTITE]]*FBD[[#This Row],[PRIX UNITAIRE]])</f>
        <v>300000</v>
      </c>
      <c r="F257" s="159"/>
      <c r="G257" s="74">
        <f>+SUM(E$9:$E257)-SUM(F$9:$F257)</f>
        <v>38134500</v>
      </c>
    </row>
    <row r="258" spans="1:7" ht="28.8" x14ac:dyDescent="0.55000000000000004">
      <c r="A258" s="72">
        <v>45832</v>
      </c>
      <c r="B258" s="13" t="s">
        <v>2903</v>
      </c>
      <c r="C258" s="80">
        <v>1</v>
      </c>
      <c r="D258" s="80">
        <v>330000</v>
      </c>
      <c r="E258" s="73">
        <f>+$I$2+(FBD[[#This Row],[QUANTITE]]*FBD[[#This Row],[PRIX UNITAIRE]])</f>
        <v>330000</v>
      </c>
      <c r="F258" s="159"/>
      <c r="G258" s="74">
        <f>+SUM(E$9:$E258)-SUM(F$9:$F258)</f>
        <v>38464500</v>
      </c>
    </row>
    <row r="259" spans="1:7" ht="28.8" x14ac:dyDescent="0.55000000000000004">
      <c r="A259" s="72">
        <v>45832</v>
      </c>
      <c r="B259" s="13" t="s">
        <v>2904</v>
      </c>
      <c r="C259" s="80">
        <v>2</v>
      </c>
      <c r="D259" s="80">
        <v>40000</v>
      </c>
      <c r="E259" s="73">
        <f>+$I$2+(FBD[[#This Row],[QUANTITE]]*FBD[[#This Row],[PRIX UNITAIRE]])</f>
        <v>80000</v>
      </c>
      <c r="F259" s="159"/>
      <c r="G259" s="74">
        <f>+SUM(E$9:$E259)-SUM(F$9:$F259)</f>
        <v>38544500</v>
      </c>
    </row>
    <row r="260" spans="1:7" ht="28.8" x14ac:dyDescent="0.55000000000000004">
      <c r="A260" s="72">
        <v>45832</v>
      </c>
      <c r="B260" s="13" t="s">
        <v>2905</v>
      </c>
      <c r="C260" s="80">
        <v>2</v>
      </c>
      <c r="D260" s="80">
        <v>128000</v>
      </c>
      <c r="E260" s="73">
        <f>+$I$2+(FBD[[#This Row],[QUANTITE]]*FBD[[#This Row],[PRIX UNITAIRE]])</f>
        <v>256000</v>
      </c>
      <c r="F260" s="159"/>
      <c r="G260" s="74">
        <f>+SUM(E$9:$E260)-SUM(F$9:$F260)</f>
        <v>38800500</v>
      </c>
    </row>
    <row r="261" spans="1:7" ht="28.8" x14ac:dyDescent="0.55000000000000004">
      <c r="A261" s="72">
        <v>45832</v>
      </c>
      <c r="B261" s="13" t="s">
        <v>247</v>
      </c>
      <c r="C261" s="80"/>
      <c r="D261" s="80"/>
      <c r="E261" s="73">
        <f>+$I$2+(FBD[[#This Row],[QUANTITE]]*FBD[[#This Row],[PRIX UNITAIRE]])</f>
        <v>0</v>
      </c>
      <c r="F261" s="159">
        <v>700000</v>
      </c>
      <c r="G261" s="74">
        <f>+SUM(E$9:$E261)-SUM(F$9:$F261)</f>
        <v>38100500</v>
      </c>
    </row>
    <row r="262" spans="1:7" ht="28.8" x14ac:dyDescent="0.55000000000000004">
      <c r="A262" s="72">
        <v>45836</v>
      </c>
      <c r="B262" s="13" t="s">
        <v>259</v>
      </c>
      <c r="C262" s="80"/>
      <c r="D262" s="80"/>
      <c r="E262" s="73">
        <f>+$I$2+(FBD[[#This Row],[QUANTITE]]*FBD[[#This Row],[PRIX UNITAIRE]])</f>
        <v>0</v>
      </c>
      <c r="F262" s="159">
        <v>2506000</v>
      </c>
      <c r="G262" s="74">
        <f>+SUM(E$9:$E262)-SUM(F$9:$F262)</f>
        <v>35594500</v>
      </c>
    </row>
    <row r="263" spans="1:7" ht="28.8" x14ac:dyDescent="0.55000000000000004">
      <c r="A263" s="72">
        <v>45840</v>
      </c>
      <c r="B263" s="13" t="s">
        <v>259</v>
      </c>
      <c r="C263" s="80"/>
      <c r="D263" s="80"/>
      <c r="E263" s="73">
        <f>+$I$2+(FBD[[#This Row],[QUANTITE]]*FBD[[#This Row],[PRIX UNITAIRE]])</f>
        <v>0</v>
      </c>
      <c r="F263" s="159">
        <v>2000000</v>
      </c>
      <c r="G263" s="74">
        <f>+SUM(E$9:$E263)-SUM(F$9:$F263)</f>
        <v>33594500</v>
      </c>
    </row>
    <row r="264" spans="1:7" ht="28.8" x14ac:dyDescent="0.55000000000000004">
      <c r="A264" s="72">
        <v>45841</v>
      </c>
      <c r="B264" s="13" t="s">
        <v>2906</v>
      </c>
      <c r="C264" s="80">
        <v>8</v>
      </c>
      <c r="D264" s="80">
        <v>40000</v>
      </c>
      <c r="E264" s="73">
        <f>+$I$2+(FBD[[#This Row],[QUANTITE]]*FBD[[#This Row],[PRIX UNITAIRE]])</f>
        <v>320000</v>
      </c>
      <c r="F264" s="159"/>
      <c r="G264" s="74">
        <f>+SUM(E$9:$E264)-SUM(F$9:$F264)</f>
        <v>33914500</v>
      </c>
    </row>
    <row r="265" spans="1:7" ht="28.8" x14ac:dyDescent="0.55000000000000004">
      <c r="A265" s="72">
        <v>45841</v>
      </c>
      <c r="B265" s="13" t="s">
        <v>2846</v>
      </c>
      <c r="C265" s="80">
        <v>1</v>
      </c>
      <c r="D265" s="80">
        <v>15000</v>
      </c>
      <c r="E265" s="73">
        <f>+$I$2+(FBD[[#This Row],[QUANTITE]]*FBD[[#This Row],[PRIX UNITAIRE]])</f>
        <v>15000</v>
      </c>
      <c r="F265" s="159"/>
      <c r="G265" s="74">
        <f>+SUM(E$9:$E265)-SUM(F$9:$F265)</f>
        <v>33929500</v>
      </c>
    </row>
    <row r="266" spans="1:7" ht="28.8" x14ac:dyDescent="0.55000000000000004">
      <c r="A266" s="72">
        <v>45841</v>
      </c>
      <c r="B266" s="13" t="s">
        <v>435</v>
      </c>
      <c r="C266" s="80">
        <v>4</v>
      </c>
      <c r="D266" s="80">
        <v>128000</v>
      </c>
      <c r="E266" s="73">
        <f>+$I$2+(FBD[[#This Row],[QUANTITE]]*FBD[[#This Row],[PRIX UNITAIRE]])</f>
        <v>512000</v>
      </c>
      <c r="F266" s="159"/>
      <c r="G266" s="74">
        <f>+SUM(E$9:$E266)-SUM(F$9:$F266)</f>
        <v>34441500</v>
      </c>
    </row>
    <row r="267" spans="1:7" ht="28.8" x14ac:dyDescent="0.55000000000000004">
      <c r="A267" s="72">
        <v>45841</v>
      </c>
      <c r="B267" s="13" t="s">
        <v>251</v>
      </c>
      <c r="C267" s="80">
        <v>2</v>
      </c>
      <c r="D267" s="80">
        <v>30000</v>
      </c>
      <c r="E267" s="73">
        <f>+$I$2+(FBD[[#This Row],[QUANTITE]]*FBD[[#This Row],[PRIX UNITAIRE]])</f>
        <v>60000</v>
      </c>
      <c r="F267" s="159"/>
      <c r="G267" s="74">
        <f>+SUM(E$9:$E267)-SUM(F$9:$F267)</f>
        <v>34501500</v>
      </c>
    </row>
    <row r="268" spans="1:7" ht="28.8" x14ac:dyDescent="0.55000000000000004">
      <c r="A268" s="72">
        <v>45841</v>
      </c>
      <c r="B268" s="13" t="s">
        <v>276</v>
      </c>
      <c r="C268" s="80">
        <v>1</v>
      </c>
      <c r="D268" s="80">
        <v>60000</v>
      </c>
      <c r="E268" s="73">
        <f>+$I$2+(FBD[[#This Row],[QUANTITE]]*FBD[[#This Row],[PRIX UNITAIRE]])</f>
        <v>60000</v>
      </c>
      <c r="F268" s="159"/>
      <c r="G268" s="74">
        <f>+SUM(E$9:$E268)-SUM(F$9:$F268)</f>
        <v>34561500</v>
      </c>
    </row>
    <row r="269" spans="1:7" ht="28.8" x14ac:dyDescent="0.55000000000000004">
      <c r="A269" s="72">
        <v>45841</v>
      </c>
      <c r="B269" s="13" t="s">
        <v>2907</v>
      </c>
      <c r="C269" s="80">
        <v>10</v>
      </c>
      <c r="D269" s="80">
        <v>33000</v>
      </c>
      <c r="E269" s="73">
        <f>+$I$2+(FBD[[#This Row],[QUANTITE]]*FBD[[#This Row],[PRIX UNITAIRE]])</f>
        <v>330000</v>
      </c>
      <c r="F269" s="159"/>
      <c r="G269" s="74">
        <f>+SUM(E$9:$E269)-SUM(F$9:$F269)</f>
        <v>34891500</v>
      </c>
    </row>
    <row r="270" spans="1:7" ht="28.8" x14ac:dyDescent="0.55000000000000004">
      <c r="A270" s="72">
        <v>45841</v>
      </c>
      <c r="B270" s="13" t="s">
        <v>2908</v>
      </c>
      <c r="C270" s="80">
        <v>10</v>
      </c>
      <c r="D270" s="80">
        <v>33000</v>
      </c>
      <c r="E270" s="73">
        <f>+$I$2+(FBD[[#This Row],[QUANTITE]]*FBD[[#This Row],[PRIX UNITAIRE]])</f>
        <v>330000</v>
      </c>
      <c r="F270" s="159"/>
      <c r="G270" s="74">
        <f>+SUM(E$9:$E270)-SUM(F$9:$F270)</f>
        <v>35221500</v>
      </c>
    </row>
    <row r="271" spans="1:7" ht="28.8" x14ac:dyDescent="0.55000000000000004">
      <c r="A271" s="72">
        <v>45842</v>
      </c>
      <c r="B271" s="13" t="s">
        <v>475</v>
      </c>
      <c r="C271" s="80">
        <v>2</v>
      </c>
      <c r="D271" s="80">
        <v>45000</v>
      </c>
      <c r="E271" s="73">
        <f>+$I$2+(FBD[[#This Row],[QUANTITE]]*FBD[[#This Row],[PRIX UNITAIRE]])</f>
        <v>90000</v>
      </c>
      <c r="F271" s="159"/>
      <c r="G271" s="74">
        <f>+SUM(E$9:$E271)-SUM(F$9:$F271)</f>
        <v>35311500</v>
      </c>
    </row>
    <row r="272" spans="1:7" ht="28.8" x14ac:dyDescent="0.55000000000000004">
      <c r="A272" s="72">
        <v>45842</v>
      </c>
      <c r="B272" s="13" t="s">
        <v>259</v>
      </c>
      <c r="C272" s="80"/>
      <c r="D272" s="80"/>
      <c r="E272" s="73">
        <f>+$I$2+(FBD[[#This Row],[QUANTITE]]*FBD[[#This Row],[PRIX UNITAIRE]])</f>
        <v>0</v>
      </c>
      <c r="F272" s="159">
        <v>3000000</v>
      </c>
      <c r="G272" s="74">
        <f>+SUM(E$9:$E272)-SUM(F$9:$F272)</f>
        <v>32311500</v>
      </c>
    </row>
    <row r="273" spans="1:7" ht="28.8" x14ac:dyDescent="0.55000000000000004">
      <c r="A273" s="72">
        <v>45843</v>
      </c>
      <c r="B273" s="13" t="s">
        <v>259</v>
      </c>
      <c r="C273" s="80"/>
      <c r="D273" s="80"/>
      <c r="E273" s="73">
        <f>+$I$2+(FBD[[#This Row],[QUANTITE]]*FBD[[#This Row],[PRIX UNITAIRE]])</f>
        <v>0</v>
      </c>
      <c r="F273" s="159">
        <v>3181000</v>
      </c>
      <c r="G273" s="74">
        <f>+SUM(E$9:$E273)-SUM(F$9:$F273)</f>
        <v>29130500</v>
      </c>
    </row>
    <row r="274" spans="1:7" ht="28.8" x14ac:dyDescent="0.55000000000000004">
      <c r="A274" s="72">
        <v>45846</v>
      </c>
      <c r="B274" s="13" t="s">
        <v>2909</v>
      </c>
      <c r="C274" s="80">
        <v>2</v>
      </c>
      <c r="D274" s="80">
        <v>35000</v>
      </c>
      <c r="E274" s="73">
        <f>+$I$2+(FBD[[#This Row],[QUANTITE]]*FBD[[#This Row],[PRIX UNITAIRE]])</f>
        <v>70000</v>
      </c>
      <c r="F274" s="159"/>
      <c r="G274" s="74">
        <f>+SUM(E$9:$E274)-SUM(F$9:$F274)</f>
        <v>29200500</v>
      </c>
    </row>
    <row r="275" spans="1:7" ht="28.8" x14ac:dyDescent="0.55000000000000004">
      <c r="A275" s="72">
        <v>45846</v>
      </c>
      <c r="B275" s="13" t="s">
        <v>2909</v>
      </c>
      <c r="C275" s="80">
        <v>2</v>
      </c>
      <c r="D275" s="80">
        <v>35000</v>
      </c>
      <c r="E275" s="73">
        <f>+$I$2+(FBD[[#This Row],[QUANTITE]]*FBD[[#This Row],[PRIX UNITAIRE]])</f>
        <v>70000</v>
      </c>
      <c r="F275" s="159"/>
      <c r="G275" s="74">
        <f>+SUM(E$9:$E275)-SUM(F$9:$F275)</f>
        <v>29270500</v>
      </c>
    </row>
    <row r="276" spans="1:7" ht="28.8" x14ac:dyDescent="0.55000000000000004">
      <c r="A276" s="72">
        <v>45846</v>
      </c>
      <c r="B276" s="13" t="s">
        <v>2910</v>
      </c>
      <c r="C276" s="80">
        <v>10</v>
      </c>
      <c r="D276" s="80">
        <v>128000</v>
      </c>
      <c r="E276" s="73">
        <f>+$I$2+(FBD[[#This Row],[QUANTITE]]*FBD[[#This Row],[PRIX UNITAIRE]])</f>
        <v>1280000</v>
      </c>
      <c r="F276" s="159"/>
      <c r="G276" s="74">
        <f>+SUM(E$9:$E276)-SUM(F$9:$F276)</f>
        <v>30550500</v>
      </c>
    </row>
    <row r="277" spans="1:7" ht="28.8" x14ac:dyDescent="0.55000000000000004">
      <c r="A277" s="72">
        <v>45846</v>
      </c>
      <c r="B277" s="13" t="s">
        <v>2911</v>
      </c>
      <c r="C277" s="80">
        <v>150</v>
      </c>
      <c r="D277" s="80">
        <v>33000</v>
      </c>
      <c r="E277" s="73">
        <f>+$I$2+(FBD[[#This Row],[QUANTITE]]*FBD[[#This Row],[PRIX UNITAIRE]])</f>
        <v>4950000</v>
      </c>
      <c r="F277" s="159"/>
      <c r="G277" s="74">
        <f>+SUM(E$9:$E277)-SUM(F$9:$F277)</f>
        <v>35500500</v>
      </c>
    </row>
    <row r="278" spans="1:7" ht="28.8" x14ac:dyDescent="0.55000000000000004">
      <c r="A278" s="72">
        <v>45846</v>
      </c>
      <c r="B278" s="13" t="s">
        <v>2912</v>
      </c>
      <c r="C278" s="80">
        <v>200</v>
      </c>
      <c r="D278" s="80">
        <v>33000</v>
      </c>
      <c r="E278" s="73">
        <f>+$I$2+(FBD[[#This Row],[QUANTITE]]*FBD[[#This Row],[PRIX UNITAIRE]])</f>
        <v>6600000</v>
      </c>
      <c r="F278" s="159"/>
      <c r="G278" s="74">
        <f>+SUM(E$9:$E278)-SUM(F$9:$F278)</f>
        <v>42100500</v>
      </c>
    </row>
    <row r="279" spans="1:7" ht="28.8" x14ac:dyDescent="0.55000000000000004">
      <c r="A279" s="72">
        <v>45846</v>
      </c>
      <c r="B279" s="13" t="s">
        <v>2882</v>
      </c>
      <c r="C279" s="80">
        <v>8</v>
      </c>
      <c r="D279" s="80">
        <v>128000</v>
      </c>
      <c r="E279" s="73">
        <f>+$I$2+(FBD[[#This Row],[QUANTITE]]*FBD[[#This Row],[PRIX UNITAIRE]])</f>
        <v>1024000</v>
      </c>
      <c r="F279" s="159"/>
      <c r="G279" s="74">
        <f>+SUM(E$9:$E279)-SUM(F$9:$F279)</f>
        <v>43124500</v>
      </c>
    </row>
    <row r="280" spans="1:7" ht="28.8" x14ac:dyDescent="0.55000000000000004">
      <c r="A280" s="72">
        <v>45847</v>
      </c>
      <c r="B280" s="13"/>
      <c r="C280" s="80"/>
      <c r="D280" s="80"/>
      <c r="E280" s="73">
        <f>+$I$2+(FBD[[#This Row],[QUANTITE]]*FBD[[#This Row],[PRIX UNITAIRE]])</f>
        <v>0</v>
      </c>
      <c r="F280" s="159">
        <v>4000000</v>
      </c>
      <c r="G280" s="74">
        <f>+SUM(E$9:$E280)-SUM(F$9:$F280)</f>
        <v>39124500</v>
      </c>
    </row>
    <row r="281" spans="1:7" ht="28.8" x14ac:dyDescent="0.55000000000000004">
      <c r="A281" s="71">
        <v>45848</v>
      </c>
      <c r="B281" s="13" t="s">
        <v>2756</v>
      </c>
      <c r="C281" s="80">
        <v>10</v>
      </c>
      <c r="D281" s="80">
        <v>128000</v>
      </c>
      <c r="E281" s="73">
        <f>+$I$2+(FBD[[#This Row],[QUANTITE]]*FBD[[#This Row],[PRIX UNITAIRE]])</f>
        <v>1280000</v>
      </c>
      <c r="F281" s="159"/>
      <c r="G281" s="74">
        <f>+SUM(E$9:$E281)-SUM(F$9:$F281)</f>
        <v>40404500</v>
      </c>
    </row>
    <row r="282" spans="1:7" ht="28.8" x14ac:dyDescent="0.55000000000000004">
      <c r="A282" s="71">
        <v>45848</v>
      </c>
      <c r="B282" s="13" t="s">
        <v>2926</v>
      </c>
      <c r="C282" s="80">
        <v>2</v>
      </c>
      <c r="D282" s="80">
        <v>300000</v>
      </c>
      <c r="E282" s="73">
        <f>+$I$2+(FBD[[#This Row],[QUANTITE]]*FBD[[#This Row],[PRIX UNITAIRE]])</f>
        <v>600000</v>
      </c>
      <c r="F282" s="159"/>
      <c r="G282" s="74">
        <f>+SUM(E$9:$E282)-SUM(F$9:$F282)</f>
        <v>41004500</v>
      </c>
    </row>
    <row r="283" spans="1:7" ht="28.8" x14ac:dyDescent="0.55000000000000004">
      <c r="A283" s="71">
        <v>45848</v>
      </c>
      <c r="B283" s="13" t="s">
        <v>189</v>
      </c>
      <c r="C283" s="80">
        <v>4</v>
      </c>
      <c r="D283" s="80">
        <v>35000</v>
      </c>
      <c r="E283" s="73">
        <f>+$I$2+(FBD[[#This Row],[QUANTITE]]*FBD[[#This Row],[PRIX UNITAIRE]])</f>
        <v>140000</v>
      </c>
      <c r="F283" s="159"/>
      <c r="G283" s="74">
        <f>+SUM(E$9:$E283)-SUM(F$9:$F283)</f>
        <v>41144500</v>
      </c>
    </row>
    <row r="284" spans="1:7" ht="28.8" x14ac:dyDescent="0.55000000000000004">
      <c r="A284" s="71">
        <v>45848</v>
      </c>
      <c r="B284" s="13" t="s">
        <v>1252</v>
      </c>
      <c r="C284" s="80">
        <v>4</v>
      </c>
      <c r="D284" s="80">
        <v>40000</v>
      </c>
      <c r="E284" s="73">
        <f>+$I$2+(FBD[[#This Row],[QUANTITE]]*FBD[[#This Row],[PRIX UNITAIRE]])</f>
        <v>160000</v>
      </c>
      <c r="F284" s="159"/>
      <c r="G284" s="74">
        <f>+SUM(E$9:$E284)-SUM(F$9:$F284)</f>
        <v>41304500</v>
      </c>
    </row>
    <row r="285" spans="1:7" ht="28.8" x14ac:dyDescent="0.55000000000000004">
      <c r="A285" s="71">
        <v>45848</v>
      </c>
      <c r="B285" s="13" t="s">
        <v>2783</v>
      </c>
      <c r="C285" s="80">
        <v>6</v>
      </c>
      <c r="D285" s="80">
        <v>60000</v>
      </c>
      <c r="E285" s="73">
        <f>+$I$2+(FBD[[#This Row],[QUANTITE]]*FBD[[#This Row],[PRIX UNITAIRE]])</f>
        <v>360000</v>
      </c>
      <c r="F285" s="159"/>
      <c r="G285" s="74">
        <f>+SUM(E$9:$E285)-SUM(F$9:$F285)</f>
        <v>41664500</v>
      </c>
    </row>
    <row r="286" spans="1:7" ht="28.8" x14ac:dyDescent="0.55000000000000004">
      <c r="A286" s="71">
        <v>45848</v>
      </c>
      <c r="B286" s="13" t="s">
        <v>2927</v>
      </c>
      <c r="C286" s="80">
        <v>4</v>
      </c>
      <c r="D286" s="80">
        <v>40000</v>
      </c>
      <c r="E286" s="73">
        <f>+$I$2+(FBD[[#This Row],[QUANTITE]]*FBD[[#This Row],[PRIX UNITAIRE]])</f>
        <v>160000</v>
      </c>
      <c r="F286" s="159"/>
      <c r="G286" s="74">
        <f>+SUM(E$9:$E286)-SUM(F$9:$F286)</f>
        <v>41824500</v>
      </c>
    </row>
    <row r="287" spans="1:7" ht="28.8" x14ac:dyDescent="0.55000000000000004">
      <c r="A287" s="71">
        <v>45848</v>
      </c>
      <c r="B287" s="13" t="s">
        <v>2928</v>
      </c>
      <c r="C287" s="80">
        <v>4</v>
      </c>
      <c r="D287" s="80">
        <v>30000</v>
      </c>
      <c r="E287" s="73">
        <f>+$I$2+(FBD[[#This Row],[QUANTITE]]*FBD[[#This Row],[PRIX UNITAIRE]])</f>
        <v>120000</v>
      </c>
      <c r="F287" s="159"/>
      <c r="G287" s="74">
        <f>+SUM(E$9:$E287)-SUM(F$9:$F287)</f>
        <v>41944500</v>
      </c>
    </row>
    <row r="288" spans="1:7" ht="28.8" x14ac:dyDescent="0.55000000000000004">
      <c r="A288" s="71">
        <v>45850</v>
      </c>
      <c r="B288" s="13" t="s">
        <v>433</v>
      </c>
      <c r="C288" s="80"/>
      <c r="D288" s="80"/>
      <c r="E288" s="73">
        <f>+$I$2+(FBD[[#This Row],[QUANTITE]]*FBD[[#This Row],[PRIX UNITAIRE]])</f>
        <v>0</v>
      </c>
      <c r="F288" s="159">
        <v>1372000</v>
      </c>
      <c r="G288" s="74">
        <f>+SUM(E$9:$E288)-SUM(F$9:$F288)</f>
        <v>40572500</v>
      </c>
    </row>
    <row r="289" spans="1:17" ht="28.8" x14ac:dyDescent="0.55000000000000004">
      <c r="A289" s="71">
        <v>45853</v>
      </c>
      <c r="B289" s="13" t="s">
        <v>2929</v>
      </c>
      <c r="C289" s="80"/>
      <c r="D289" s="80"/>
      <c r="E289" s="73">
        <f>+$I$2+(FBD[[#This Row],[QUANTITE]]*FBD[[#This Row],[PRIX UNITAIRE]])</f>
        <v>0</v>
      </c>
      <c r="F289" s="159">
        <v>210000</v>
      </c>
      <c r="G289" s="74">
        <f>+SUM(E$9:$E289)-SUM(F$9:$F289)</f>
        <v>40362500</v>
      </c>
    </row>
    <row r="290" spans="1:17" ht="28.8" x14ac:dyDescent="0.55000000000000004">
      <c r="A290" s="71">
        <v>45852</v>
      </c>
      <c r="B290" s="13" t="s">
        <v>259</v>
      </c>
      <c r="C290" s="80"/>
      <c r="D290" s="75"/>
      <c r="E290" s="73">
        <f>+$I$2+(FBD[[#This Row],[QUANTITE]]*FBD[[#This Row],[PRIX UNITAIRE]])</f>
        <v>0</v>
      </c>
      <c r="F290" s="159">
        <v>2000000</v>
      </c>
      <c r="G290" s="74">
        <f>+SUM(E$9:$E290)-SUM(F$9:$F290)</f>
        <v>38362500</v>
      </c>
    </row>
    <row r="291" spans="1:17" ht="28.8" x14ac:dyDescent="0.55000000000000004">
      <c r="A291" s="71">
        <v>45855</v>
      </c>
      <c r="B291" s="13" t="s">
        <v>394</v>
      </c>
      <c r="C291" s="80">
        <v>6</v>
      </c>
      <c r="D291" s="80">
        <v>105000</v>
      </c>
      <c r="E291" s="73">
        <f>+$I$2+(FBD[[#This Row],[QUANTITE]]*FBD[[#This Row],[PRIX UNITAIRE]])</f>
        <v>630000</v>
      </c>
      <c r="F291" s="159"/>
      <c r="G291" s="74">
        <f>+SUM(E$9:$E291)-SUM(F$9:$F291)</f>
        <v>38992500</v>
      </c>
    </row>
    <row r="292" spans="1:17" ht="28.8" x14ac:dyDescent="0.55000000000000004">
      <c r="A292" s="71">
        <v>45855</v>
      </c>
      <c r="B292" s="13" t="s">
        <v>2930</v>
      </c>
      <c r="C292" s="80">
        <v>10</v>
      </c>
      <c r="D292" s="80">
        <v>33000</v>
      </c>
      <c r="E292" s="73">
        <f>+$I$2+(FBD[[#This Row],[QUANTITE]]*FBD[[#This Row],[PRIX UNITAIRE]])</f>
        <v>330000</v>
      </c>
      <c r="F292" s="159"/>
      <c r="G292" s="74">
        <f>+SUM(E$9:$E292)-SUM(F$9:$F292)</f>
        <v>39322500</v>
      </c>
    </row>
    <row r="293" spans="1:17" ht="28.8" x14ac:dyDescent="0.55000000000000004">
      <c r="A293" s="71">
        <v>45855</v>
      </c>
      <c r="B293" s="13" t="s">
        <v>420</v>
      </c>
      <c r="C293" s="80">
        <v>4</v>
      </c>
      <c r="D293" s="80">
        <v>70000</v>
      </c>
      <c r="E293" s="73">
        <f>+$I$2+(FBD[[#This Row],[QUANTITE]]*FBD[[#This Row],[PRIX UNITAIRE]])</f>
        <v>280000</v>
      </c>
      <c r="F293" s="159"/>
      <c r="G293" s="74">
        <f>+SUM(E$9:$E293)-SUM(F$9:$F293)</f>
        <v>39602500</v>
      </c>
    </row>
    <row r="294" spans="1:17" ht="28.8" x14ac:dyDescent="0.55000000000000004">
      <c r="A294" s="71">
        <v>45855</v>
      </c>
      <c r="B294" s="13" t="s">
        <v>2931</v>
      </c>
      <c r="C294" s="80"/>
      <c r="D294" s="80"/>
      <c r="E294" s="73">
        <f>+$I$2+(FBD[[#This Row],[QUANTITE]]*FBD[[#This Row],[PRIX UNITAIRE]])</f>
        <v>0</v>
      </c>
      <c r="F294" s="159"/>
      <c r="G294" s="74">
        <f>+SUM(E$9:$E294)-SUM(F$9:$F294)</f>
        <v>39602500</v>
      </c>
      <c r="L294"/>
      <c r="M294"/>
      <c r="N294"/>
      <c r="O294"/>
      <c r="P294"/>
      <c r="Q294"/>
    </row>
    <row r="295" spans="1:17" ht="28.8" x14ac:dyDescent="0.55000000000000004">
      <c r="A295" s="71">
        <v>45855</v>
      </c>
      <c r="B295" s="13" t="s">
        <v>2932</v>
      </c>
      <c r="C295" s="80">
        <v>1</v>
      </c>
      <c r="D295" s="80">
        <v>50000</v>
      </c>
      <c r="E295" s="73">
        <f>+$I$2+(FBD[[#This Row],[QUANTITE]]*FBD[[#This Row],[PRIX UNITAIRE]])</f>
        <v>50000</v>
      </c>
      <c r="F295" s="159"/>
      <c r="G295" s="74">
        <f>+SUM(E$9:$E295)-SUM(F$9:$F295)</f>
        <v>39652500</v>
      </c>
      <c r="L295"/>
      <c r="M295"/>
      <c r="N295"/>
      <c r="O295"/>
      <c r="P295"/>
      <c r="Q295"/>
    </row>
    <row r="296" spans="1:17" ht="28.8" x14ac:dyDescent="0.55000000000000004">
      <c r="A296" s="71">
        <v>45857</v>
      </c>
      <c r="B296" s="13" t="s">
        <v>259</v>
      </c>
      <c r="C296" s="80">
        <v>1</v>
      </c>
      <c r="D296" s="80"/>
      <c r="E296" s="73">
        <f>+$I$2+(FBD[[#This Row],[QUANTITE]]*FBD[[#This Row],[PRIX UNITAIRE]])</f>
        <v>0</v>
      </c>
      <c r="F296" s="159">
        <v>1045000</v>
      </c>
      <c r="G296" s="74">
        <f>+SUM(E$9:$E296)-SUM(F$9:$F296)</f>
        <v>38607500</v>
      </c>
      <c r="L296"/>
      <c r="M296"/>
      <c r="N296"/>
      <c r="O296"/>
      <c r="P296"/>
      <c r="Q296"/>
    </row>
    <row r="297" spans="1:17" ht="28.8" x14ac:dyDescent="0.55000000000000004">
      <c r="A297" s="71">
        <v>45860</v>
      </c>
      <c r="B297" s="13" t="s">
        <v>2933</v>
      </c>
      <c r="C297" s="80">
        <v>1</v>
      </c>
      <c r="D297" s="80">
        <v>240000</v>
      </c>
      <c r="E297" s="73">
        <f>+$I$2+(FBD[[#This Row],[QUANTITE]]*FBD[[#This Row],[PRIX UNITAIRE]])</f>
        <v>240000</v>
      </c>
      <c r="F297" s="159"/>
      <c r="G297" s="74">
        <f>+SUM(E$9:$E297)-SUM(F$9:$F297)</f>
        <v>38847500</v>
      </c>
      <c r="L297"/>
      <c r="M297"/>
      <c r="N297"/>
      <c r="O297"/>
      <c r="P297"/>
      <c r="Q297"/>
    </row>
    <row r="298" spans="1:17" ht="28.8" x14ac:dyDescent="0.55000000000000004">
      <c r="A298" s="71">
        <v>45860</v>
      </c>
      <c r="B298" s="13" t="s">
        <v>2934</v>
      </c>
      <c r="C298" s="80">
        <v>4</v>
      </c>
      <c r="D298" s="80">
        <v>30000</v>
      </c>
      <c r="E298" s="73">
        <f>+$I$2+(FBD[[#This Row],[QUANTITE]]*FBD[[#This Row],[PRIX UNITAIRE]])</f>
        <v>120000</v>
      </c>
      <c r="F298" s="159"/>
      <c r="G298" s="74">
        <f>+SUM(E$9:$E298)-SUM(F$9:$F298)</f>
        <v>38967500</v>
      </c>
      <c r="L298"/>
      <c r="M298"/>
      <c r="N298"/>
      <c r="O298"/>
      <c r="P298"/>
      <c r="Q298"/>
    </row>
    <row r="299" spans="1:17" ht="28.8" x14ac:dyDescent="0.55000000000000004">
      <c r="A299" s="71">
        <v>45860</v>
      </c>
      <c r="B299" s="13" t="s">
        <v>2709</v>
      </c>
      <c r="C299" s="80">
        <v>4</v>
      </c>
      <c r="D299" s="80">
        <v>128000</v>
      </c>
      <c r="E299" s="73">
        <f>+$I$2+(FBD[[#This Row],[QUANTITE]]*FBD[[#This Row],[PRIX UNITAIRE]])</f>
        <v>512000</v>
      </c>
      <c r="F299" s="159"/>
      <c r="G299" s="74">
        <f>+SUM(E$9:$E299)-SUM(F$9:$F299)</f>
        <v>39479500</v>
      </c>
    </row>
    <row r="300" spans="1:17" ht="28.8" x14ac:dyDescent="0.55000000000000004">
      <c r="A300" s="71">
        <v>45864</v>
      </c>
      <c r="B300" s="13" t="s">
        <v>259</v>
      </c>
      <c r="C300" s="80"/>
      <c r="D300" s="80"/>
      <c r="E300" s="73">
        <f>+$I$2+(FBD[[#This Row],[QUANTITE]]*FBD[[#This Row],[PRIX UNITAIRE]])</f>
        <v>0</v>
      </c>
      <c r="F300" s="159">
        <v>3657000</v>
      </c>
      <c r="G300" s="74">
        <f>+SUM(E$9:$E300)-SUM(F$9:$F300)</f>
        <v>35822500</v>
      </c>
    </row>
    <row r="301" spans="1:17" ht="28.8" x14ac:dyDescent="0.55000000000000004">
      <c r="A301" s="71">
        <v>45868</v>
      </c>
      <c r="B301" s="13" t="s">
        <v>259</v>
      </c>
      <c r="C301" s="80"/>
      <c r="D301" s="80"/>
      <c r="E301" s="73">
        <f>+$I$2+(FBD[[#This Row],[QUANTITE]]*FBD[[#This Row],[PRIX UNITAIRE]])</f>
        <v>0</v>
      </c>
      <c r="F301" s="159">
        <v>500000</v>
      </c>
      <c r="G301" s="74">
        <f>+SUM(E$9:$E301)-SUM(F$9:$F301)</f>
        <v>35322500</v>
      </c>
    </row>
    <row r="302" spans="1:17" ht="28.8" x14ac:dyDescent="0.55000000000000004">
      <c r="A302" s="71">
        <v>45871</v>
      </c>
      <c r="B302" s="13" t="s">
        <v>259</v>
      </c>
      <c r="C302" s="80"/>
      <c r="D302" s="80"/>
      <c r="E302" s="73">
        <f>+$I$2+(FBD[[#This Row],[QUANTITE]]*FBD[[#This Row],[PRIX UNITAIRE]])</f>
        <v>0</v>
      </c>
      <c r="F302" s="159">
        <v>2113000</v>
      </c>
      <c r="G302" s="74">
        <f>+SUM(E$9:$E302)-SUM(F$9:$F302)</f>
        <v>33209500</v>
      </c>
    </row>
    <row r="303" spans="1:17" ht="28.8" x14ac:dyDescent="0.55000000000000004">
      <c r="A303" s="71">
        <v>45873</v>
      </c>
      <c r="B303" s="13" t="s">
        <v>2820</v>
      </c>
      <c r="C303" s="80">
        <v>1</v>
      </c>
      <c r="D303" s="80">
        <v>33000</v>
      </c>
      <c r="E303" s="73">
        <f>+$I$2+(FBD[[#This Row],[QUANTITE]]*FBD[[#This Row],[PRIX UNITAIRE]])</f>
        <v>33000</v>
      </c>
      <c r="F303" s="159"/>
      <c r="G303" s="74">
        <f>+SUM(E$9:$E303)-SUM(F$9:$F303)</f>
        <v>33242500</v>
      </c>
    </row>
    <row r="304" spans="1:17" ht="28.8" x14ac:dyDescent="0.55000000000000004">
      <c r="A304" s="71">
        <v>45873</v>
      </c>
      <c r="B304" s="13" t="s">
        <v>2935</v>
      </c>
      <c r="C304" s="80">
        <v>1</v>
      </c>
      <c r="D304" s="80">
        <v>240000</v>
      </c>
      <c r="E304" s="73">
        <f>+$I$2+(FBD[[#This Row],[QUANTITE]]*FBD[[#This Row],[PRIX UNITAIRE]])</f>
        <v>240000</v>
      </c>
      <c r="F304" s="159"/>
      <c r="G304" s="74">
        <f>+SUM(E$9:$E304)-SUM(F$9:$F304)</f>
        <v>33482500</v>
      </c>
    </row>
    <row r="305" spans="1:7" ht="28.8" x14ac:dyDescent="0.55000000000000004">
      <c r="A305" s="71">
        <v>45873</v>
      </c>
      <c r="B305" s="13" t="s">
        <v>2936</v>
      </c>
      <c r="C305" s="80">
        <v>2</v>
      </c>
      <c r="D305" s="80">
        <v>33000</v>
      </c>
      <c r="E305" s="73">
        <f>+$I$2+(FBD[[#This Row],[QUANTITE]]*FBD[[#This Row],[PRIX UNITAIRE]])</f>
        <v>66000</v>
      </c>
      <c r="F305" s="159"/>
      <c r="G305" s="74">
        <f>+SUM(E$9:$E305)-SUM(F$9:$F305)</f>
        <v>33548500</v>
      </c>
    </row>
    <row r="306" spans="1:7" ht="28.8" x14ac:dyDescent="0.55000000000000004">
      <c r="A306" s="71">
        <v>45877</v>
      </c>
      <c r="B306" s="13" t="s">
        <v>259</v>
      </c>
      <c r="C306" s="80"/>
      <c r="D306" s="80"/>
      <c r="E306" s="73">
        <f>+$I$2+(FBD[[#This Row],[QUANTITE]]*FBD[[#This Row],[PRIX UNITAIRE]])</f>
        <v>0</v>
      </c>
      <c r="F306" s="159">
        <v>2013000</v>
      </c>
      <c r="G306" s="74">
        <f>+SUM(E$9:$E306)-SUM(F$9:$F306)</f>
        <v>31535500</v>
      </c>
    </row>
    <row r="307" spans="1:7" ht="28.8" x14ac:dyDescent="0.55000000000000004">
      <c r="A307" s="71">
        <v>45885</v>
      </c>
      <c r="B307" s="13" t="s">
        <v>259</v>
      </c>
      <c r="C307" s="80"/>
      <c r="D307" s="80"/>
      <c r="E307" s="73">
        <f>+$I$2+(FBD[[#This Row],[QUANTITE]]*FBD[[#This Row],[PRIX UNITAIRE]])</f>
        <v>0</v>
      </c>
      <c r="F307" s="159">
        <v>875000</v>
      </c>
      <c r="G307" s="74">
        <f>+SUM(E$9:$E307)-SUM(F$9:$F307)</f>
        <v>30660500</v>
      </c>
    </row>
    <row r="308" spans="1:7" ht="28.8" x14ac:dyDescent="0.55000000000000004">
      <c r="A308" s="71">
        <v>45888</v>
      </c>
      <c r="B308" s="13" t="s">
        <v>259</v>
      </c>
      <c r="C308" s="80"/>
      <c r="D308" s="80"/>
      <c r="E308" s="73">
        <f>+$I$2+(FBD[[#This Row],[QUANTITE]]*FBD[[#This Row],[PRIX UNITAIRE]])</f>
        <v>0</v>
      </c>
      <c r="F308" s="159">
        <v>5460000</v>
      </c>
      <c r="G308" s="74">
        <f>+SUM(E$9:$E308)-SUM(F$9:$F308)</f>
        <v>25200500</v>
      </c>
    </row>
    <row r="309" spans="1:7" ht="28.8" x14ac:dyDescent="0.55000000000000004">
      <c r="A309" s="71">
        <v>45890</v>
      </c>
      <c r="B309" s="13" t="s">
        <v>182</v>
      </c>
      <c r="C309" s="80">
        <v>4</v>
      </c>
      <c r="D309" s="80">
        <v>45000</v>
      </c>
      <c r="E309" s="73">
        <f>+$I$2+(FBD[[#This Row],[QUANTITE]]*FBD[[#This Row],[PRIX UNITAIRE]])</f>
        <v>180000</v>
      </c>
      <c r="F309" s="159"/>
      <c r="G309" s="74">
        <f>+SUM(E$9:$E309)-SUM(F$9:$F309)</f>
        <v>25380500</v>
      </c>
    </row>
    <row r="310" spans="1:7" ht="28.8" x14ac:dyDescent="0.55000000000000004">
      <c r="A310" s="71">
        <v>45890</v>
      </c>
      <c r="B310" s="13" t="s">
        <v>3023</v>
      </c>
      <c r="C310" s="80">
        <v>5</v>
      </c>
      <c r="D310" s="80">
        <v>33000</v>
      </c>
      <c r="E310" s="73">
        <f>+$I$2+(FBD[[#This Row],[QUANTITE]]*FBD[[#This Row],[PRIX UNITAIRE]])</f>
        <v>165000</v>
      </c>
      <c r="F310" s="159"/>
      <c r="G310" s="74">
        <f>+SUM(E$9:$E310)-SUM(F$9:$F310)</f>
        <v>25545500</v>
      </c>
    </row>
    <row r="311" spans="1:7" ht="28.8" x14ac:dyDescent="0.55000000000000004">
      <c r="A311" s="71">
        <v>45890</v>
      </c>
      <c r="B311" s="13" t="s">
        <v>3024</v>
      </c>
      <c r="C311" s="80">
        <v>1</v>
      </c>
      <c r="D311" s="80">
        <v>33000</v>
      </c>
      <c r="E311" s="73">
        <f>+$I$2+(FBD[[#This Row],[QUANTITE]]*FBD[[#This Row],[PRIX UNITAIRE]])</f>
        <v>33000</v>
      </c>
      <c r="F311" s="159"/>
      <c r="G311" s="74">
        <f>+SUM(E$9:$E311)-SUM(F$9:$F311)</f>
        <v>25578500</v>
      </c>
    </row>
    <row r="312" spans="1:7" ht="28.8" x14ac:dyDescent="0.55000000000000004">
      <c r="A312" s="71">
        <v>45890</v>
      </c>
      <c r="B312" s="13" t="s">
        <v>3025</v>
      </c>
      <c r="C312" s="80">
        <v>1</v>
      </c>
      <c r="D312" s="80">
        <v>5000</v>
      </c>
      <c r="E312" s="73">
        <f>+$I$2+(FBD[[#This Row],[QUANTITE]]*FBD[[#This Row],[PRIX UNITAIRE]])</f>
        <v>5000</v>
      </c>
      <c r="F312" s="159"/>
      <c r="G312" s="74">
        <f>+SUM(E$9:$E312)-SUM(F$9:$F312)</f>
        <v>25583500</v>
      </c>
    </row>
    <row r="313" spans="1:7" ht="28.8" x14ac:dyDescent="0.55000000000000004">
      <c r="A313" s="71">
        <v>45894</v>
      </c>
      <c r="B313" s="13" t="s">
        <v>259</v>
      </c>
      <c r="C313" s="80"/>
      <c r="D313" s="80"/>
      <c r="E313" s="73">
        <f>+$I$2+(FBD[[#This Row],[QUANTITE]]*FBD[[#This Row],[PRIX UNITAIRE]])</f>
        <v>0</v>
      </c>
      <c r="F313" s="159">
        <v>500000</v>
      </c>
      <c r="G313" s="74">
        <f>+SUM(E$9:$E313)-SUM(F$9:$F313)</f>
        <v>25083500</v>
      </c>
    </row>
    <row r="314" spans="1:7" ht="28.8" x14ac:dyDescent="0.55000000000000004">
      <c r="A314" s="71">
        <v>45895</v>
      </c>
      <c r="B314" s="13" t="s">
        <v>714</v>
      </c>
      <c r="C314" s="80">
        <v>15</v>
      </c>
      <c r="D314" s="80">
        <v>105000</v>
      </c>
      <c r="E314" s="73">
        <f>+$I$2+(FBD[[#This Row],[QUANTITE]]*FBD[[#This Row],[PRIX UNITAIRE]])</f>
        <v>1575000</v>
      </c>
      <c r="F314" s="159"/>
      <c r="G314" s="74">
        <f>+SUM(E$9:$E314)-SUM(F$9:$F314)</f>
        <v>26658500</v>
      </c>
    </row>
    <row r="315" spans="1:7" ht="28.8" x14ac:dyDescent="0.55000000000000004">
      <c r="A315" s="71">
        <v>45895</v>
      </c>
      <c r="B315" s="13" t="s">
        <v>259</v>
      </c>
      <c r="C315" s="80"/>
      <c r="D315" s="80"/>
      <c r="E315" s="73">
        <f>+$I$2+(FBD[[#This Row],[QUANTITE]]*FBD[[#This Row],[PRIX UNITAIRE]])</f>
        <v>0</v>
      </c>
      <c r="F315" s="159">
        <v>1500000</v>
      </c>
      <c r="G315" s="74">
        <f>+SUM(E$9:$E315)-SUM(F$9:$F315)</f>
        <v>25158500</v>
      </c>
    </row>
    <row r="316" spans="1:7" ht="28.8" x14ac:dyDescent="0.55000000000000004">
      <c r="A316" s="71">
        <v>45896</v>
      </c>
      <c r="B316" s="13" t="s">
        <v>3026</v>
      </c>
      <c r="C316" s="80">
        <v>30</v>
      </c>
      <c r="D316" s="80">
        <v>33000</v>
      </c>
      <c r="E316" s="73">
        <f>+$I$2+(FBD[[#This Row],[QUANTITE]]*FBD[[#This Row],[PRIX UNITAIRE]])</f>
        <v>990000</v>
      </c>
      <c r="F316" s="159"/>
      <c r="G316" s="74">
        <f>+SUM(E$9:$E316)-SUM(F$9:$F316)</f>
        <v>26148500</v>
      </c>
    </row>
    <row r="317" spans="1:7" ht="28.8" x14ac:dyDescent="0.55000000000000004">
      <c r="A317" s="71">
        <v>45896</v>
      </c>
      <c r="B317" s="13" t="s">
        <v>3027</v>
      </c>
      <c r="C317" s="80">
        <v>5</v>
      </c>
      <c r="D317" s="80">
        <v>70000</v>
      </c>
      <c r="E317" s="73">
        <f>+$I$2+(FBD[[#This Row],[QUANTITE]]*FBD[[#This Row],[PRIX UNITAIRE]])</f>
        <v>350000</v>
      </c>
      <c r="F317" s="159"/>
      <c r="G317" s="74">
        <f>+SUM(E$9:$E317)-SUM(F$9:$F317)</f>
        <v>26498500</v>
      </c>
    </row>
    <row r="318" spans="1:7" ht="28.8" x14ac:dyDescent="0.55000000000000004">
      <c r="A318" s="71">
        <v>45896</v>
      </c>
      <c r="B318" s="13" t="s">
        <v>420</v>
      </c>
      <c r="C318" s="80">
        <v>6</v>
      </c>
      <c r="D318" s="80">
        <v>60000</v>
      </c>
      <c r="E318" s="73">
        <f>+$I$2+(FBD[[#This Row],[QUANTITE]]*FBD[[#This Row],[PRIX UNITAIRE]])</f>
        <v>360000</v>
      </c>
      <c r="F318" s="159"/>
      <c r="G318" s="74">
        <f>+SUM(E$9:$E318)-SUM(F$9:$F318)</f>
        <v>26858500</v>
      </c>
    </row>
    <row r="319" spans="1:7" ht="28.8" x14ac:dyDescent="0.55000000000000004">
      <c r="A319" s="71">
        <v>45896</v>
      </c>
      <c r="B319" s="13" t="s">
        <v>974</v>
      </c>
      <c r="C319" s="80">
        <v>4</v>
      </c>
      <c r="D319" s="80">
        <v>5000</v>
      </c>
      <c r="E319" s="73">
        <f>+$I$2+(FBD[[#This Row],[QUANTITE]]*FBD[[#This Row],[PRIX UNITAIRE]])</f>
        <v>20000</v>
      </c>
      <c r="F319" s="159"/>
      <c r="G319" s="74">
        <f>+SUM(E$9:$E319)-SUM(F$9:$F319)</f>
        <v>26878500</v>
      </c>
    </row>
    <row r="320" spans="1:7" ht="28.8" x14ac:dyDescent="0.55000000000000004">
      <c r="A320" s="71">
        <v>45896</v>
      </c>
      <c r="B320" s="13" t="s">
        <v>3028</v>
      </c>
      <c r="C320" s="80">
        <v>1</v>
      </c>
      <c r="D320" s="80">
        <v>20000</v>
      </c>
      <c r="E320" s="73">
        <f>+$I$2+(FBD[[#This Row],[QUANTITE]]*FBD[[#This Row],[PRIX UNITAIRE]])</f>
        <v>20000</v>
      </c>
      <c r="F320" s="159"/>
      <c r="G320" s="74">
        <f>+SUM(E$9:$E320)-SUM(F$9:$F320)</f>
        <v>26898500</v>
      </c>
    </row>
    <row r="321" spans="1:7" ht="28.8" x14ac:dyDescent="0.55000000000000004">
      <c r="A321" s="71">
        <v>45896</v>
      </c>
      <c r="B321" s="13" t="s">
        <v>3028</v>
      </c>
      <c r="C321" s="80">
        <v>1</v>
      </c>
      <c r="D321" s="80">
        <v>20000</v>
      </c>
      <c r="E321" s="73">
        <f>+$I$2+(FBD[[#This Row],[QUANTITE]]*FBD[[#This Row],[PRIX UNITAIRE]])</f>
        <v>20000</v>
      </c>
      <c r="F321" s="159"/>
      <c r="G321" s="74">
        <f>+SUM(E$9:$E321)-SUM(F$9:$F321)</f>
        <v>26918500</v>
      </c>
    </row>
    <row r="322" spans="1:7" ht="28.8" x14ac:dyDescent="0.55000000000000004">
      <c r="A322" s="71">
        <v>45898</v>
      </c>
      <c r="B322" s="13" t="s">
        <v>259</v>
      </c>
      <c r="C322" s="80"/>
      <c r="D322" s="80"/>
      <c r="E322" s="73">
        <f>+$I$2+(FBD[[#This Row],[QUANTITE]]*FBD[[#This Row],[PRIX UNITAIRE]])</f>
        <v>0</v>
      </c>
      <c r="F322" s="159">
        <v>650000</v>
      </c>
      <c r="G322" s="74">
        <f>+SUM(E$9:$E322)-SUM(F$9:$F322)</f>
        <v>26268500</v>
      </c>
    </row>
    <row r="323" spans="1:7" ht="28.8" x14ac:dyDescent="0.55000000000000004">
      <c r="A323" s="71">
        <v>45898</v>
      </c>
      <c r="B323" s="13" t="s">
        <v>3029</v>
      </c>
      <c r="C323" s="80">
        <v>2</v>
      </c>
      <c r="D323" s="80">
        <v>25000</v>
      </c>
      <c r="E323" s="73">
        <f>+$I$2+(FBD[[#This Row],[QUANTITE]]*FBD[[#This Row],[PRIX UNITAIRE]])</f>
        <v>50000</v>
      </c>
      <c r="F323" s="159"/>
      <c r="G323" s="74">
        <f>+SUM(E$9:$E323)-SUM(F$9:$F323)</f>
        <v>26318500</v>
      </c>
    </row>
    <row r="324" spans="1:7" ht="28.8" x14ac:dyDescent="0.55000000000000004">
      <c r="A324" s="71">
        <v>45898</v>
      </c>
      <c r="B324" s="13" t="s">
        <v>3030</v>
      </c>
      <c r="C324" s="80">
        <v>2</v>
      </c>
      <c r="D324" s="80">
        <v>20000</v>
      </c>
      <c r="E324" s="73">
        <f>+$I$2+(FBD[[#This Row],[QUANTITE]]*FBD[[#This Row],[PRIX UNITAIRE]])</f>
        <v>40000</v>
      </c>
      <c r="F324" s="159"/>
      <c r="G324" s="74">
        <f>+SUM(E$9:$E324)-SUM(F$9:$F324)</f>
        <v>26358500</v>
      </c>
    </row>
    <row r="325" spans="1:7" ht="28.8" x14ac:dyDescent="0.55000000000000004">
      <c r="A325" s="71">
        <v>45899</v>
      </c>
      <c r="B325" s="13" t="s">
        <v>433</v>
      </c>
      <c r="C325" s="80"/>
      <c r="D325" s="80"/>
      <c r="E325" s="73">
        <f>+$I$2+(FBD[[#This Row],[QUANTITE]]*FBD[[#This Row],[PRIX UNITAIRE]])</f>
        <v>0</v>
      </c>
      <c r="F325" s="159">
        <v>173000</v>
      </c>
      <c r="G325" s="74">
        <f>+SUM(E$9:$E325)-SUM(F$9:$F325)</f>
        <v>26185500</v>
      </c>
    </row>
    <row r="326" spans="1:7" ht="28.8" x14ac:dyDescent="0.55000000000000004">
      <c r="A326" s="71">
        <v>45906</v>
      </c>
      <c r="B326" s="13" t="s">
        <v>259</v>
      </c>
      <c r="C326" s="80"/>
      <c r="D326" s="80"/>
      <c r="E326" s="73">
        <f>+$I$2+(FBD[[#This Row],[QUANTITE]]*FBD[[#This Row],[PRIX UNITAIRE]])</f>
        <v>0</v>
      </c>
      <c r="F326" s="159">
        <v>2160000</v>
      </c>
      <c r="G326" s="74">
        <f>+SUM(E$9:$E326)-SUM(F$9:$F326)</f>
        <v>24025500</v>
      </c>
    </row>
    <row r="327" spans="1:7" ht="28.8" x14ac:dyDescent="0.55000000000000004">
      <c r="A327" s="71">
        <v>45906</v>
      </c>
      <c r="B327" s="13" t="s">
        <v>3033</v>
      </c>
      <c r="C327" s="80">
        <v>1</v>
      </c>
      <c r="D327" s="80">
        <v>240000</v>
      </c>
      <c r="E327" s="73">
        <f>+$I$2+(FBD[[#This Row],[QUANTITE]]*FBD[[#This Row],[PRIX UNITAIRE]])</f>
        <v>240000</v>
      </c>
      <c r="F327" s="159"/>
      <c r="G327" s="74">
        <f>+SUM(E$9:$E327)-SUM(F$9:$F327)</f>
        <v>24265500</v>
      </c>
    </row>
    <row r="328" spans="1:7" ht="28.8" x14ac:dyDescent="0.55000000000000004">
      <c r="A328" s="71">
        <v>45906</v>
      </c>
      <c r="B328" s="13" t="s">
        <v>3032</v>
      </c>
      <c r="C328" s="80">
        <v>1</v>
      </c>
      <c r="D328" s="80">
        <v>300000</v>
      </c>
      <c r="E328" s="73">
        <f>+$I$2+(FBD[[#This Row],[QUANTITE]]*FBD[[#This Row],[PRIX UNITAIRE]])</f>
        <v>300000</v>
      </c>
      <c r="F328" s="159"/>
      <c r="G328" s="74">
        <f>+SUM(E$9:$E328)-SUM(F$9:$F328)</f>
        <v>24565500</v>
      </c>
    </row>
    <row r="329" spans="1:7" ht="28.8" x14ac:dyDescent="0.55000000000000004">
      <c r="A329" s="71">
        <v>45906</v>
      </c>
      <c r="B329" s="13" t="s">
        <v>1052</v>
      </c>
      <c r="C329" s="80">
        <v>2</v>
      </c>
      <c r="D329" s="80">
        <v>240000</v>
      </c>
      <c r="E329" s="73">
        <f>+$I$2+(FBD[[#This Row],[QUANTITE]]*FBD[[#This Row],[PRIX UNITAIRE]])</f>
        <v>480000</v>
      </c>
      <c r="F329" s="159"/>
      <c r="G329" s="74">
        <f>+SUM(E$9:$E329)-SUM(F$9:$F329)</f>
        <v>25045500</v>
      </c>
    </row>
    <row r="330" spans="1:7" ht="28.8" x14ac:dyDescent="0.55000000000000004">
      <c r="A330" s="71">
        <v>45906</v>
      </c>
      <c r="B330" s="13" t="s">
        <v>3031</v>
      </c>
      <c r="C330" s="80">
        <v>2</v>
      </c>
      <c r="D330" s="80">
        <v>270000</v>
      </c>
      <c r="E330" s="73">
        <f>+$I$2+(FBD[[#This Row],[QUANTITE]]*FBD[[#This Row],[PRIX UNITAIRE]])</f>
        <v>540000</v>
      </c>
      <c r="F330" s="159"/>
      <c r="G330" s="74">
        <f>+SUM(E$9:$E330)-SUM(F$9:$F330)</f>
        <v>25585500</v>
      </c>
    </row>
    <row r="331" spans="1:7" ht="28.8" x14ac:dyDescent="0.55000000000000004">
      <c r="A331" s="76">
        <v>45910</v>
      </c>
      <c r="B331" s="44" t="s">
        <v>397</v>
      </c>
      <c r="C331" s="77">
        <v>10</v>
      </c>
      <c r="D331" s="78">
        <v>105000</v>
      </c>
      <c r="E331" s="79">
        <f>+$I$2+(FBD[[#This Row],[QUANTITE]]*FBD[[#This Row],[PRIX UNITAIRE]])</f>
        <v>1050000</v>
      </c>
      <c r="F331" s="159"/>
      <c r="G331" s="74">
        <f>+SUM(E$9:$E331)-SUM(F$9:$F331)</f>
        <v>26635500</v>
      </c>
    </row>
    <row r="332" spans="1:7" ht="28.8" x14ac:dyDescent="0.55000000000000004">
      <c r="A332" s="76">
        <v>45910</v>
      </c>
      <c r="B332" s="44" t="s">
        <v>2817</v>
      </c>
      <c r="C332" s="77">
        <v>1</v>
      </c>
      <c r="D332" s="78">
        <v>65000</v>
      </c>
      <c r="E332" s="79">
        <f>+$I$2+(FBD[[#This Row],[QUANTITE]]*FBD[[#This Row],[PRIX UNITAIRE]])</f>
        <v>65000</v>
      </c>
      <c r="F332" s="159"/>
      <c r="G332" s="74">
        <f>+SUM(E$9:$E332)-SUM(F$9:$F332)</f>
        <v>26700500</v>
      </c>
    </row>
    <row r="333" spans="1:7" ht="28.8" x14ac:dyDescent="0.55000000000000004">
      <c r="A333" s="76">
        <v>45911</v>
      </c>
      <c r="B333" s="44" t="s">
        <v>259</v>
      </c>
      <c r="C333" s="77"/>
      <c r="D333" s="78"/>
      <c r="E333" s="79">
        <f>+$I$2+(FBD[[#This Row],[QUANTITE]]*FBD[[#This Row],[PRIX UNITAIRE]])</f>
        <v>0</v>
      </c>
      <c r="F333" s="159">
        <v>2300000</v>
      </c>
      <c r="G333" s="74">
        <f>+SUM(E$9:$E333)-SUM(F$9:$F333)</f>
        <v>24400500</v>
      </c>
    </row>
    <row r="334" spans="1:7" ht="28.8" x14ac:dyDescent="0.55000000000000004">
      <c r="A334" s="76">
        <v>45913</v>
      </c>
      <c r="B334" s="44" t="s">
        <v>259</v>
      </c>
      <c r="C334" s="77"/>
      <c r="D334" s="78"/>
      <c r="E334" s="79">
        <f>+$I$2+(FBD[[#This Row],[QUANTITE]]*FBD[[#This Row],[PRIX UNITAIRE]])</f>
        <v>0</v>
      </c>
      <c r="F334" s="159">
        <v>225000</v>
      </c>
      <c r="G334" s="74">
        <f>+SUM(E$9:$E334)-SUM(F$9:$F334)</f>
        <v>24175500</v>
      </c>
    </row>
    <row r="335" spans="1:7" ht="28.8" x14ac:dyDescent="0.55000000000000004">
      <c r="A335" s="76">
        <v>45917</v>
      </c>
      <c r="B335" s="44" t="s">
        <v>259</v>
      </c>
      <c r="C335" s="77"/>
      <c r="D335" s="78"/>
      <c r="E335" s="79">
        <f>+$I$2+(FBD[[#This Row],[QUANTITE]]*FBD[[#This Row],[PRIX UNITAIRE]])</f>
        <v>0</v>
      </c>
      <c r="F335" s="159">
        <v>1000000</v>
      </c>
      <c r="G335" s="74">
        <f>+SUM(E$9:$E335)-SUM(F$9:$F335)</f>
        <v>23175500</v>
      </c>
    </row>
    <row r="336" spans="1:7" ht="28.8" x14ac:dyDescent="0.55000000000000004">
      <c r="A336" s="12">
        <v>45888</v>
      </c>
      <c r="B336" s="13" t="s">
        <v>3050</v>
      </c>
      <c r="C336" s="10">
        <v>25</v>
      </c>
      <c r="D336" s="10">
        <v>119097</v>
      </c>
      <c r="E336" s="79">
        <f>+$I$2+(FBD[[#This Row],[QUANTITE]]*FBD[[#This Row],[PRIX UNITAIRE]])</f>
        <v>2977425</v>
      </c>
      <c r="F336" s="159"/>
      <c r="G336" s="74">
        <f>+SUM(E$9:$E336)-SUM(F$9:$F336)</f>
        <v>26152925</v>
      </c>
    </row>
    <row r="337" spans="1:7" ht="28.8" x14ac:dyDescent="0.55000000000000004">
      <c r="A337" s="12">
        <v>45888</v>
      </c>
      <c r="B337" s="13" t="s">
        <v>3051</v>
      </c>
      <c r="C337" s="10">
        <v>25</v>
      </c>
      <c r="D337" s="10">
        <v>121997</v>
      </c>
      <c r="E337" s="79">
        <f>+$I$2+(FBD[[#This Row],[QUANTITE]]*FBD[[#This Row],[PRIX UNITAIRE]])</f>
        <v>3049925</v>
      </c>
      <c r="F337" s="159"/>
      <c r="G337" s="74">
        <f>+SUM(E$9:$E337)-SUM(F$9:$F337)</f>
        <v>29202850</v>
      </c>
    </row>
    <row r="338" spans="1:7" ht="28.8" x14ac:dyDescent="0.55000000000000004">
      <c r="A338" s="12">
        <v>45889</v>
      </c>
      <c r="B338" s="13" t="s">
        <v>3052</v>
      </c>
      <c r="C338" s="10">
        <v>20</v>
      </c>
      <c r="D338" s="10">
        <v>123300</v>
      </c>
      <c r="E338" s="79">
        <f>+$I$2+(FBD[[#This Row],[QUANTITE]]*FBD[[#This Row],[PRIX UNITAIRE]])</f>
        <v>2466000</v>
      </c>
      <c r="F338" s="159"/>
      <c r="G338" s="74">
        <f>+SUM(E$9:$E338)-SUM(F$9:$F338)</f>
        <v>31668850</v>
      </c>
    </row>
    <row r="339" spans="1:7" ht="28.8" x14ac:dyDescent="0.55000000000000004">
      <c r="A339" s="76">
        <v>45918</v>
      </c>
      <c r="B339" s="44" t="s">
        <v>2709</v>
      </c>
      <c r="C339" s="77">
        <v>1</v>
      </c>
      <c r="D339" s="78">
        <v>121000</v>
      </c>
      <c r="E339" s="79">
        <f>+$I$2+(FBD[[#This Row],[QUANTITE]]*FBD[[#This Row],[PRIX UNITAIRE]])</f>
        <v>121000</v>
      </c>
      <c r="F339" s="159"/>
      <c r="G339" s="74">
        <f>+SUM(E$9:$E339)-SUM(F$9:$F339)</f>
        <v>31789850</v>
      </c>
    </row>
    <row r="340" spans="1:7" ht="28.8" x14ac:dyDescent="0.55000000000000004">
      <c r="A340" s="76">
        <v>45920</v>
      </c>
      <c r="B340" s="44" t="s">
        <v>433</v>
      </c>
      <c r="C340" s="77"/>
      <c r="D340" s="78"/>
      <c r="E340" s="79">
        <f>+$I$2+(FBD[[#This Row],[QUANTITE]]*FBD[[#This Row],[PRIX UNITAIRE]])</f>
        <v>0</v>
      </c>
      <c r="F340" s="159">
        <v>1670000</v>
      </c>
      <c r="G340" s="74">
        <f>+SUM(E$9:$E340)-SUM(F$9:$F340)</f>
        <v>30119850</v>
      </c>
    </row>
    <row r="341" spans="1:7" ht="28.8" x14ac:dyDescent="0.55000000000000004">
      <c r="A341" s="76">
        <v>45922</v>
      </c>
      <c r="B341" s="44" t="s">
        <v>2859</v>
      </c>
      <c r="C341" s="77">
        <v>2</v>
      </c>
      <c r="D341" s="78">
        <v>240000</v>
      </c>
      <c r="E341" s="79">
        <f>+$I$2+(FBD[[#This Row],[QUANTITE]]*FBD[[#This Row],[PRIX UNITAIRE]])</f>
        <v>480000</v>
      </c>
      <c r="F341" s="159"/>
      <c r="G341" s="74">
        <f>+SUM(E$9:$E341)-SUM(F$9:$F341)</f>
        <v>30599850</v>
      </c>
    </row>
    <row r="342" spans="1:7" ht="28.8" x14ac:dyDescent="0.55000000000000004">
      <c r="A342" s="76">
        <v>45925</v>
      </c>
      <c r="B342" s="44" t="s">
        <v>3098</v>
      </c>
      <c r="C342" s="77">
        <v>5</v>
      </c>
      <c r="D342" s="78">
        <v>128000</v>
      </c>
      <c r="E342" s="79">
        <f>+$I$2+(FBD[[#This Row],[QUANTITE]]*FBD[[#This Row],[PRIX UNITAIRE]])</f>
        <v>640000</v>
      </c>
      <c r="F342" s="159"/>
      <c r="G342" s="74">
        <f>+SUM(E$9:$E342)-SUM(F$9:$F342)</f>
        <v>31239850</v>
      </c>
    </row>
    <row r="343" spans="1:7" ht="28.8" x14ac:dyDescent="0.55000000000000004">
      <c r="A343" s="76">
        <v>45925</v>
      </c>
      <c r="B343" s="44" t="s">
        <v>3099</v>
      </c>
      <c r="C343" s="77">
        <v>5</v>
      </c>
      <c r="D343" s="78">
        <v>128000</v>
      </c>
      <c r="E343" s="79">
        <f>+$I$2+(FBD[[#This Row],[QUANTITE]]*FBD[[#This Row],[PRIX UNITAIRE]])</f>
        <v>640000</v>
      </c>
      <c r="F343" s="159"/>
      <c r="G343" s="74">
        <f>+SUM(E$9:$E343)-SUM(F$9:$F343)</f>
        <v>31879850</v>
      </c>
    </row>
    <row r="344" spans="1:7" ht="28.8" x14ac:dyDescent="0.55000000000000004">
      <c r="A344" s="76">
        <v>45925</v>
      </c>
      <c r="B344" s="44" t="s">
        <v>861</v>
      </c>
      <c r="C344" s="77">
        <v>4</v>
      </c>
      <c r="D344" s="78">
        <v>70000</v>
      </c>
      <c r="E344" s="79">
        <f>+$I$2+(FBD[[#This Row],[QUANTITE]]*FBD[[#This Row],[PRIX UNITAIRE]])</f>
        <v>280000</v>
      </c>
      <c r="F344" s="159"/>
      <c r="G344" s="74">
        <f>+SUM(E$9:$E344)-SUM(F$9:$F344)</f>
        <v>32159850</v>
      </c>
    </row>
    <row r="345" spans="1:7" ht="28.8" x14ac:dyDescent="0.55000000000000004">
      <c r="A345" s="76">
        <v>45925</v>
      </c>
      <c r="B345" s="44" t="s">
        <v>837</v>
      </c>
      <c r="C345" s="77">
        <v>4</v>
      </c>
      <c r="D345" s="78">
        <v>45000</v>
      </c>
      <c r="E345" s="79">
        <f>+$I$2+(FBD[[#This Row],[QUANTITE]]*FBD[[#This Row],[PRIX UNITAIRE]])</f>
        <v>180000</v>
      </c>
      <c r="F345" s="159"/>
      <c r="G345" s="74">
        <f>+SUM(E$9:$E345)-SUM(F$9:$F345)</f>
        <v>32339850</v>
      </c>
    </row>
    <row r="346" spans="1:7" ht="28.8" x14ac:dyDescent="0.55000000000000004">
      <c r="A346" s="76">
        <v>45925</v>
      </c>
      <c r="B346" s="44" t="s">
        <v>410</v>
      </c>
      <c r="C346" s="77">
        <v>4</v>
      </c>
      <c r="D346" s="78">
        <v>25000</v>
      </c>
      <c r="E346" s="79">
        <f>+$I$2+(FBD[[#This Row],[QUANTITE]]*FBD[[#This Row],[PRIX UNITAIRE]])</f>
        <v>100000</v>
      </c>
      <c r="F346" s="159"/>
      <c r="G346" s="74">
        <f>+SUM(E$9:$E346)-SUM(F$9:$F346)</f>
        <v>32439850</v>
      </c>
    </row>
    <row r="347" spans="1:7" ht="28.8" x14ac:dyDescent="0.55000000000000004">
      <c r="A347" s="76">
        <v>45925</v>
      </c>
      <c r="B347" s="44" t="s">
        <v>276</v>
      </c>
      <c r="C347" s="77">
        <v>4</v>
      </c>
      <c r="D347" s="78">
        <v>70000</v>
      </c>
      <c r="E347" s="79">
        <f>+$I$2+(FBD[[#This Row],[QUANTITE]]*FBD[[#This Row],[PRIX UNITAIRE]])</f>
        <v>280000</v>
      </c>
      <c r="F347" s="159"/>
      <c r="G347" s="74">
        <f>+SUM(E$9:$E347)-SUM(F$9:$F347)</f>
        <v>32719850</v>
      </c>
    </row>
    <row r="348" spans="1:7" ht="28.8" x14ac:dyDescent="0.55000000000000004">
      <c r="A348" s="76">
        <v>45925</v>
      </c>
      <c r="B348" s="44" t="s">
        <v>275</v>
      </c>
      <c r="C348" s="77">
        <v>4</v>
      </c>
      <c r="D348" s="78">
        <v>60000</v>
      </c>
      <c r="E348" s="79">
        <f>+$I$2+(FBD[[#This Row],[QUANTITE]]*FBD[[#This Row],[PRIX UNITAIRE]])</f>
        <v>240000</v>
      </c>
      <c r="F348" s="159"/>
      <c r="G348" s="74">
        <f>+SUM(E$9:$E348)-SUM(F$9:$F348)</f>
        <v>32959850</v>
      </c>
    </row>
    <row r="349" spans="1:7" ht="28.8" x14ac:dyDescent="0.55000000000000004">
      <c r="A349" s="76">
        <v>45925</v>
      </c>
      <c r="B349" s="44" t="s">
        <v>3100</v>
      </c>
      <c r="C349" s="77">
        <v>4</v>
      </c>
      <c r="D349" s="78">
        <v>40000</v>
      </c>
      <c r="E349" s="79">
        <f>+$I$2+(FBD[[#This Row],[QUANTITE]]*FBD[[#This Row],[PRIX UNITAIRE]])</f>
        <v>160000</v>
      </c>
      <c r="F349" s="159"/>
      <c r="G349" s="74">
        <f>+SUM(E$9:$E349)-SUM(F$9:$F349)</f>
        <v>33119850</v>
      </c>
    </row>
    <row r="350" spans="1:7" ht="28.8" x14ac:dyDescent="0.55000000000000004">
      <c r="A350" s="76">
        <v>45925</v>
      </c>
      <c r="B350" s="44" t="s">
        <v>2872</v>
      </c>
      <c r="C350" s="77">
        <v>8</v>
      </c>
      <c r="D350" s="78">
        <v>33000</v>
      </c>
      <c r="E350" s="79">
        <f>+$I$2+(FBD[[#This Row],[QUANTITE]]*FBD[[#This Row],[PRIX UNITAIRE]])</f>
        <v>264000</v>
      </c>
      <c r="F350" s="159"/>
      <c r="G350" s="74">
        <f>+SUM(E$9:$E350)-SUM(F$9:$F350)</f>
        <v>33383850</v>
      </c>
    </row>
    <row r="351" spans="1:7" ht="28.8" x14ac:dyDescent="0.55000000000000004">
      <c r="A351" s="76">
        <v>45925</v>
      </c>
      <c r="B351" s="44" t="s">
        <v>2875</v>
      </c>
      <c r="C351" s="77">
        <v>4</v>
      </c>
      <c r="D351" s="78">
        <v>45000</v>
      </c>
      <c r="E351" s="79">
        <f>+$I$2+(FBD[[#This Row],[QUANTITE]]*FBD[[#This Row],[PRIX UNITAIRE]])</f>
        <v>180000</v>
      </c>
      <c r="F351" s="159"/>
      <c r="G351" s="74">
        <f>+SUM(E$9:$E351)-SUM(F$9:$F351)</f>
        <v>33563850</v>
      </c>
    </row>
    <row r="352" spans="1:7" ht="28.8" x14ac:dyDescent="0.55000000000000004">
      <c r="A352" s="76">
        <v>45925</v>
      </c>
      <c r="B352" s="44" t="s">
        <v>3029</v>
      </c>
      <c r="C352" s="77">
        <v>4</v>
      </c>
      <c r="D352" s="78">
        <v>47000</v>
      </c>
      <c r="E352" s="79">
        <f>+$I$2+(FBD[[#This Row],[QUANTITE]]*FBD[[#This Row],[PRIX UNITAIRE]])</f>
        <v>188000</v>
      </c>
      <c r="F352" s="159"/>
      <c r="G352" s="74">
        <f>+SUM(E$9:$E352)-SUM(F$9:$F352)</f>
        <v>33751850</v>
      </c>
    </row>
    <row r="353" spans="1:7" ht="28.8" x14ac:dyDescent="0.55000000000000004">
      <c r="A353" s="76">
        <v>45926</v>
      </c>
      <c r="B353" s="44" t="s">
        <v>2976</v>
      </c>
      <c r="C353" s="77">
        <v>4</v>
      </c>
      <c r="D353" s="78">
        <v>120000</v>
      </c>
      <c r="E353" s="79">
        <f>+$I$2+(FBD[[#This Row],[QUANTITE]]*FBD[[#This Row],[PRIX UNITAIRE]])</f>
        <v>480000</v>
      </c>
      <c r="F353" s="159"/>
      <c r="G353" s="74">
        <f>+SUM(E$9:$E353)-SUM(F$9:$F353)</f>
        <v>34231850</v>
      </c>
    </row>
    <row r="354" spans="1:7" ht="28.8" x14ac:dyDescent="0.55000000000000004">
      <c r="A354" s="76">
        <v>45927</v>
      </c>
      <c r="B354" s="44" t="s">
        <v>2879</v>
      </c>
      <c r="C354" s="77">
        <v>1</v>
      </c>
      <c r="D354" s="78">
        <v>330000</v>
      </c>
      <c r="E354" s="79">
        <f>+$I$2+(FBD[[#This Row],[QUANTITE]]*FBD[[#This Row],[PRIX UNITAIRE]])</f>
        <v>330000</v>
      </c>
      <c r="F354" s="159"/>
      <c r="G354" s="74">
        <f>+SUM(E$9:$E354)-SUM(F$9:$F354)</f>
        <v>34561850</v>
      </c>
    </row>
    <row r="355" spans="1:7" ht="28.8" x14ac:dyDescent="0.55000000000000004">
      <c r="A355" s="76">
        <v>45927</v>
      </c>
      <c r="B355" s="44" t="s">
        <v>259</v>
      </c>
      <c r="C355" s="77"/>
      <c r="D355" s="78"/>
      <c r="E355" s="79">
        <f>+$I$2+(FBD[[#This Row],[QUANTITE]]*FBD[[#This Row],[PRIX UNITAIRE]])</f>
        <v>0</v>
      </c>
      <c r="F355" s="159">
        <v>3695000</v>
      </c>
      <c r="G355" s="74">
        <f>+SUM(E$9:$E355)-SUM(F$9:$F355)</f>
        <v>30866850</v>
      </c>
    </row>
    <row r="356" spans="1:7" ht="28.8" x14ac:dyDescent="0.55000000000000004">
      <c r="A356" s="76">
        <v>45930</v>
      </c>
      <c r="B356" s="44" t="s">
        <v>469</v>
      </c>
      <c r="C356" s="77">
        <v>2</v>
      </c>
      <c r="D356" s="78">
        <v>90000</v>
      </c>
      <c r="E356" s="79">
        <f>+$I$2+(FBD[[#This Row],[QUANTITE]]*FBD[[#This Row],[PRIX UNITAIRE]])</f>
        <v>180000</v>
      </c>
      <c r="F356" s="159"/>
      <c r="G356" s="74">
        <f>+SUM(E$9:$E356)-SUM(F$9:$F356)</f>
        <v>31046850</v>
      </c>
    </row>
    <row r="357" spans="1:7" ht="28.8" x14ac:dyDescent="0.55000000000000004">
      <c r="A357" s="76">
        <v>45930</v>
      </c>
      <c r="B357" s="44" t="s">
        <v>249</v>
      </c>
      <c r="C357" s="77">
        <v>8</v>
      </c>
      <c r="D357" s="78">
        <v>105000</v>
      </c>
      <c r="E357" s="79">
        <f>+$I$2+(FBD[[#This Row],[QUANTITE]]*FBD[[#This Row],[PRIX UNITAIRE]])</f>
        <v>840000</v>
      </c>
      <c r="F357" s="159"/>
      <c r="G357" s="74">
        <f>+SUM(E$9:$E357)-SUM(F$9:$F357)</f>
        <v>31886850</v>
      </c>
    </row>
    <row r="358" spans="1:7" ht="28.8" x14ac:dyDescent="0.55000000000000004">
      <c r="A358" s="76">
        <v>45930</v>
      </c>
      <c r="B358" s="44" t="s">
        <v>2976</v>
      </c>
      <c r="C358" s="77">
        <v>8</v>
      </c>
      <c r="D358" s="78">
        <v>128000</v>
      </c>
      <c r="E358" s="79">
        <f>+$I$2+(FBD[[#This Row],[QUANTITE]]*FBD[[#This Row],[PRIX UNITAIRE]])</f>
        <v>1024000</v>
      </c>
      <c r="F358" s="159"/>
      <c r="G358" s="74">
        <f>+SUM(E$9:$E358)-SUM(F$9:$F358)</f>
        <v>32910850</v>
      </c>
    </row>
    <row r="359" spans="1:7" ht="28.8" x14ac:dyDescent="0.55000000000000004">
      <c r="A359" s="76">
        <v>45930</v>
      </c>
      <c r="B359" s="44" t="s">
        <v>257</v>
      </c>
      <c r="C359" s="77">
        <v>4</v>
      </c>
      <c r="D359" s="78">
        <v>130000</v>
      </c>
      <c r="E359" s="79">
        <f>+$I$2+(FBD[[#This Row],[QUANTITE]]*FBD[[#This Row],[PRIX UNITAIRE]])</f>
        <v>520000</v>
      </c>
      <c r="F359" s="159"/>
      <c r="G359" s="74">
        <f>+SUM(E$9:$E359)-SUM(F$9:$F359)</f>
        <v>33430850</v>
      </c>
    </row>
    <row r="360" spans="1:7" ht="28.8" x14ac:dyDescent="0.55000000000000004">
      <c r="A360" s="76">
        <v>45934</v>
      </c>
      <c r="B360" s="44" t="s">
        <v>259</v>
      </c>
      <c r="C360" s="77"/>
      <c r="D360" s="78"/>
      <c r="E360" s="79">
        <f>+$I$2+(FBD[[#This Row],[QUANTITE]]*FBD[[#This Row],[PRIX UNITAIRE]])</f>
        <v>0</v>
      </c>
      <c r="F360" s="159">
        <v>1974000</v>
      </c>
      <c r="G360" s="74">
        <f>+SUM(E$9:$E360)-SUM(F$9:$F360)</f>
        <v>31456850</v>
      </c>
    </row>
    <row r="361" spans="1:7" ht="28.8" x14ac:dyDescent="0.55000000000000004">
      <c r="A361" s="76">
        <v>45936</v>
      </c>
      <c r="B361" s="44" t="s">
        <v>2833</v>
      </c>
      <c r="C361" s="77">
        <v>1</v>
      </c>
      <c r="D361" s="78">
        <v>330000</v>
      </c>
      <c r="E361" s="79">
        <f>+$I$2+(FBD[[#This Row],[QUANTITE]]*FBD[[#This Row],[PRIX UNITAIRE]])</f>
        <v>330000</v>
      </c>
      <c r="F361" s="159"/>
      <c r="G361" s="74">
        <f>+SUM(E$9:$E361)-SUM(F$9:$F361)</f>
        <v>31786850</v>
      </c>
    </row>
    <row r="362" spans="1:7" ht="28.8" x14ac:dyDescent="0.55000000000000004">
      <c r="A362" s="76">
        <v>45936</v>
      </c>
      <c r="B362" s="44" t="s">
        <v>259</v>
      </c>
      <c r="C362" s="77"/>
      <c r="D362" s="78"/>
      <c r="E362" s="79">
        <f>+$I$2+(FBD[[#This Row],[QUANTITE]]*FBD[[#This Row],[PRIX UNITAIRE]])</f>
        <v>0</v>
      </c>
      <c r="F362" s="159">
        <v>360000</v>
      </c>
      <c r="G362" s="74">
        <f>+SUM(E$9:$E362)-SUM(F$9:$F362)</f>
        <v>31426850</v>
      </c>
    </row>
    <row r="363" spans="1:7" ht="28.8" x14ac:dyDescent="0.55000000000000004">
      <c r="A363" s="76">
        <v>45937</v>
      </c>
      <c r="B363" s="44" t="s">
        <v>534</v>
      </c>
      <c r="C363" s="77">
        <v>4</v>
      </c>
      <c r="D363" s="78">
        <v>33500</v>
      </c>
      <c r="E363" s="79">
        <f>+$I$2+(FBD[[#This Row],[QUANTITE]]*FBD[[#This Row],[PRIX UNITAIRE]])</f>
        <v>134000</v>
      </c>
      <c r="F363" s="159"/>
      <c r="G363" s="74">
        <f>+SUM(E$9:$E363)-SUM(F$9:$F363)</f>
        <v>31560850</v>
      </c>
    </row>
    <row r="364" spans="1:7" ht="28.8" x14ac:dyDescent="0.55000000000000004">
      <c r="A364" s="76">
        <v>45937</v>
      </c>
      <c r="B364" s="44" t="s">
        <v>3155</v>
      </c>
      <c r="C364" s="77">
        <v>4</v>
      </c>
      <c r="D364" s="78">
        <v>33500</v>
      </c>
      <c r="E364" s="79">
        <f>+$I$2+(FBD[[#This Row],[QUANTITE]]*FBD[[#This Row],[PRIX UNITAIRE]])</f>
        <v>134000</v>
      </c>
      <c r="F364" s="159"/>
      <c r="G364" s="74">
        <f>+SUM(E$9:$E364)-SUM(F$9:$F364)</f>
        <v>31694850</v>
      </c>
    </row>
    <row r="365" spans="1:7" ht="28.8" x14ac:dyDescent="0.55000000000000004">
      <c r="A365" s="76">
        <v>45937</v>
      </c>
      <c r="B365" s="44" t="s">
        <v>3156</v>
      </c>
      <c r="C365" s="77">
        <v>4</v>
      </c>
      <c r="D365" s="78">
        <v>72500</v>
      </c>
      <c r="E365" s="79">
        <f>+$I$2+(FBD[[#This Row],[QUANTITE]]*FBD[[#This Row],[PRIX UNITAIRE]])</f>
        <v>290000</v>
      </c>
      <c r="F365" s="159"/>
      <c r="G365" s="74">
        <f>+SUM(E$9:$E365)-SUM(F$9:$F365)</f>
        <v>31984850</v>
      </c>
    </row>
    <row r="366" spans="1:7" ht="28.8" x14ac:dyDescent="0.55000000000000004">
      <c r="A366" s="76">
        <v>45937</v>
      </c>
      <c r="B366" s="44" t="s">
        <v>2862</v>
      </c>
      <c r="C366" s="77">
        <v>4</v>
      </c>
      <c r="D366" s="78">
        <v>73000</v>
      </c>
      <c r="E366" s="79">
        <f>+$I$2+(FBD[[#This Row],[QUANTITE]]*FBD[[#This Row],[PRIX UNITAIRE]])</f>
        <v>292000</v>
      </c>
      <c r="F366" s="159"/>
      <c r="G366" s="74">
        <f>+SUM(E$9:$E366)-SUM(F$9:$F366)</f>
        <v>32276850</v>
      </c>
    </row>
    <row r="367" spans="1:7" ht="28.8" x14ac:dyDescent="0.55000000000000004">
      <c r="A367" s="76">
        <v>45937</v>
      </c>
      <c r="B367" s="44" t="s">
        <v>3157</v>
      </c>
      <c r="C367" s="77">
        <v>4</v>
      </c>
      <c r="D367" s="78">
        <v>36000</v>
      </c>
      <c r="E367" s="79">
        <f>+$I$2+(FBD[[#This Row],[QUANTITE]]*FBD[[#This Row],[PRIX UNITAIRE]])</f>
        <v>144000</v>
      </c>
      <c r="F367" s="159"/>
      <c r="G367" s="74">
        <f>+SUM(E$9:$E367)-SUM(F$9:$F367)</f>
        <v>32420850</v>
      </c>
    </row>
    <row r="368" spans="1:7" ht="28.8" x14ac:dyDescent="0.55000000000000004">
      <c r="A368" s="76">
        <v>45937</v>
      </c>
      <c r="B368" s="44" t="s">
        <v>258</v>
      </c>
      <c r="C368" s="77">
        <v>5</v>
      </c>
      <c r="D368" s="78">
        <v>37000</v>
      </c>
      <c r="E368" s="79">
        <f>+$I$2+(FBD[[#This Row],[QUANTITE]]*FBD[[#This Row],[PRIX UNITAIRE]])</f>
        <v>185000</v>
      </c>
      <c r="F368" s="159"/>
      <c r="G368" s="74">
        <f>+SUM(E$9:$E368)-SUM(F$9:$F368)</f>
        <v>32605850</v>
      </c>
    </row>
    <row r="369" spans="1:7" ht="28.8" x14ac:dyDescent="0.55000000000000004">
      <c r="A369" s="76">
        <v>45937</v>
      </c>
      <c r="B369" s="44" t="s">
        <v>3148</v>
      </c>
      <c r="C369" s="77">
        <v>5</v>
      </c>
      <c r="D369" s="78">
        <v>35000</v>
      </c>
      <c r="E369" s="79">
        <f>+$I$2+(FBD[[#This Row],[QUANTITE]]*FBD[[#This Row],[PRIX UNITAIRE]])</f>
        <v>175000</v>
      </c>
      <c r="F369" s="159"/>
      <c r="G369" s="74">
        <f>+SUM(E$9:$E369)-SUM(F$9:$F369)</f>
        <v>32780850</v>
      </c>
    </row>
    <row r="370" spans="1:7" ht="28.8" x14ac:dyDescent="0.55000000000000004">
      <c r="A370" s="76">
        <v>45937</v>
      </c>
      <c r="B370" s="44" t="s">
        <v>3158</v>
      </c>
      <c r="C370" s="77">
        <v>4</v>
      </c>
      <c r="D370" s="78">
        <v>20000</v>
      </c>
      <c r="E370" s="79">
        <f>+$I$2+(FBD[[#This Row],[QUANTITE]]*FBD[[#This Row],[PRIX UNITAIRE]])</f>
        <v>80000</v>
      </c>
      <c r="F370" s="159"/>
      <c r="G370" s="74">
        <f>+SUM(E$9:$E370)-SUM(F$9:$F370)</f>
        <v>32860850</v>
      </c>
    </row>
    <row r="371" spans="1:7" ht="28.8" x14ac:dyDescent="0.55000000000000004">
      <c r="A371" s="76">
        <v>45937</v>
      </c>
      <c r="B371" s="44" t="s">
        <v>410</v>
      </c>
      <c r="C371" s="77">
        <v>4</v>
      </c>
      <c r="D371" s="78">
        <v>23000</v>
      </c>
      <c r="E371" s="79">
        <f>+$I$2+(FBD[[#This Row],[QUANTITE]]*FBD[[#This Row],[PRIX UNITAIRE]])</f>
        <v>92000</v>
      </c>
      <c r="F371" s="159"/>
      <c r="G371" s="74">
        <f>+SUM(E$9:$E371)-SUM(F$9:$F371)</f>
        <v>32952850</v>
      </c>
    </row>
    <row r="372" spans="1:7" ht="28.8" x14ac:dyDescent="0.55000000000000004">
      <c r="A372" s="76">
        <v>45937</v>
      </c>
      <c r="B372" s="44" t="s">
        <v>2923</v>
      </c>
      <c r="C372" s="77">
        <v>5</v>
      </c>
      <c r="D372" s="78">
        <v>60000</v>
      </c>
      <c r="E372" s="79">
        <f>+$I$2+(FBD[[#This Row],[QUANTITE]]*FBD[[#This Row],[PRIX UNITAIRE]])</f>
        <v>300000</v>
      </c>
      <c r="F372" s="159"/>
      <c r="G372" s="74">
        <f>+SUM(E$9:$E372)-SUM(F$9:$F372)</f>
        <v>33252850</v>
      </c>
    </row>
    <row r="373" spans="1:7" ht="28.8" x14ac:dyDescent="0.55000000000000004">
      <c r="A373" s="76">
        <v>45938</v>
      </c>
      <c r="B373" s="44" t="s">
        <v>1052</v>
      </c>
      <c r="C373" s="77">
        <v>1</v>
      </c>
      <c r="D373" s="78">
        <v>300000</v>
      </c>
      <c r="E373" s="79">
        <f>+$I$2+(FBD[[#This Row],[QUANTITE]]*FBD[[#This Row],[PRIX UNITAIRE]])</f>
        <v>300000</v>
      </c>
      <c r="F373" s="159"/>
      <c r="G373" s="74">
        <f>+SUM(E$9:$E373)-SUM(F$9:$F373)</f>
        <v>33552850</v>
      </c>
    </row>
    <row r="374" spans="1:7" ht="28.8" x14ac:dyDescent="0.55000000000000004">
      <c r="A374" s="76">
        <v>45938</v>
      </c>
      <c r="B374" s="44" t="s">
        <v>1053</v>
      </c>
      <c r="C374" s="77">
        <v>1</v>
      </c>
      <c r="D374" s="78">
        <v>360000</v>
      </c>
      <c r="E374" s="79">
        <f>+$I$2+(FBD[[#This Row],[QUANTITE]]*FBD[[#This Row],[PRIX UNITAIRE]])</f>
        <v>360000</v>
      </c>
      <c r="F374" s="159"/>
      <c r="G374" s="74">
        <f>+SUM(E$9:$E374)-SUM(F$9:$F374)</f>
        <v>33912850</v>
      </c>
    </row>
    <row r="375" spans="1:7" ht="28.8" x14ac:dyDescent="0.55000000000000004">
      <c r="A375" s="76">
        <v>45938</v>
      </c>
      <c r="B375" s="44" t="s">
        <v>433</v>
      </c>
      <c r="C375" s="77"/>
      <c r="D375" s="78"/>
      <c r="E375" s="79">
        <f>+$I$2+(FBD[[#This Row],[QUANTITE]]*FBD[[#This Row],[PRIX UNITAIRE]])</f>
        <v>0</v>
      </c>
      <c r="F375" s="159">
        <v>700000</v>
      </c>
      <c r="G375" s="74">
        <f>+SUM(E$9:$E375)-SUM(F$9:$F375)</f>
        <v>33212850</v>
      </c>
    </row>
    <row r="376" spans="1:7" ht="28.8" x14ac:dyDescent="0.55000000000000004">
      <c r="A376" s="76">
        <v>45939</v>
      </c>
      <c r="B376" s="44" t="s">
        <v>2976</v>
      </c>
      <c r="C376" s="77">
        <v>18</v>
      </c>
      <c r="D376" s="78">
        <v>128000</v>
      </c>
      <c r="E376" s="79">
        <f>+$I$2+(FBD[[#This Row],[QUANTITE]]*FBD[[#This Row],[PRIX UNITAIRE]])</f>
        <v>2304000</v>
      </c>
      <c r="F376" s="159"/>
      <c r="G376" s="74">
        <f>+SUM(E$9:$E376)-SUM(F$9:$F376)</f>
        <v>35516850</v>
      </c>
    </row>
    <row r="377" spans="1:7" ht="28.8" x14ac:dyDescent="0.55000000000000004">
      <c r="A377" s="76">
        <v>45939</v>
      </c>
      <c r="B377" s="44" t="s">
        <v>249</v>
      </c>
      <c r="C377" s="77">
        <v>8</v>
      </c>
      <c r="D377" s="78">
        <v>105000</v>
      </c>
      <c r="E377" s="79">
        <f>+$I$2+(FBD[[#This Row],[QUANTITE]]*FBD[[#This Row],[PRIX UNITAIRE]])</f>
        <v>840000</v>
      </c>
      <c r="F377" s="159"/>
      <c r="G377" s="74">
        <f>+SUM(E$9:$E377)-SUM(F$9:$F377)</f>
        <v>36356850</v>
      </c>
    </row>
    <row r="378" spans="1:7" ht="28.8" x14ac:dyDescent="0.55000000000000004">
      <c r="A378" s="76">
        <v>45939</v>
      </c>
      <c r="B378" s="44" t="s">
        <v>3026</v>
      </c>
      <c r="C378" s="77">
        <v>30</v>
      </c>
      <c r="D378" s="78">
        <v>33000</v>
      </c>
      <c r="E378" s="79">
        <f>+$I$2+(FBD[[#This Row],[QUANTITE]]*FBD[[#This Row],[PRIX UNITAIRE]])</f>
        <v>990000</v>
      </c>
      <c r="F378" s="159"/>
      <c r="G378" s="74">
        <f>+SUM(E$9:$E378)-SUM(F$9:$F378)</f>
        <v>37346850</v>
      </c>
    </row>
    <row r="379" spans="1:7" ht="28.8" x14ac:dyDescent="0.55000000000000004">
      <c r="A379" s="76">
        <v>45940</v>
      </c>
      <c r="B379" s="44" t="s">
        <v>433</v>
      </c>
      <c r="C379" s="77"/>
      <c r="D379" s="78"/>
      <c r="E379" s="79">
        <f>+$I$2+(FBD[[#This Row],[QUANTITE]]*FBD[[#This Row],[PRIX UNITAIRE]])</f>
        <v>0</v>
      </c>
      <c r="F379" s="159">
        <v>400000</v>
      </c>
      <c r="G379" s="74">
        <f>+SUM(E$9:$E379)-SUM(F$9:$F379)</f>
        <v>36946850</v>
      </c>
    </row>
    <row r="380" spans="1:7" ht="28.8" x14ac:dyDescent="0.55000000000000004">
      <c r="A380" s="76">
        <v>45941</v>
      </c>
      <c r="B380" s="44" t="s">
        <v>433</v>
      </c>
      <c r="C380" s="77"/>
      <c r="D380" s="78"/>
      <c r="E380" s="79">
        <f>+$I$2+(FBD[[#This Row],[QUANTITE]]*FBD[[#This Row],[PRIX UNITAIRE]])</f>
        <v>0</v>
      </c>
      <c r="F380" s="159">
        <v>1453000</v>
      </c>
      <c r="G380" s="74">
        <f>+SUM(E$9:$E380)-SUM(F$9:$F380)</f>
        <v>35493850</v>
      </c>
    </row>
    <row r="381" spans="1:7" ht="28.8" x14ac:dyDescent="0.55000000000000004">
      <c r="A381" s="76">
        <v>45936</v>
      </c>
      <c r="B381" s="44" t="s">
        <v>259</v>
      </c>
      <c r="C381" s="77"/>
      <c r="D381" s="78"/>
      <c r="E381" s="79">
        <f>+$I$2+(FBD[[#This Row],[QUANTITE]]*FBD[[#This Row],[PRIX UNITAIRE]])</f>
        <v>0</v>
      </c>
      <c r="F381" s="159">
        <v>360000</v>
      </c>
      <c r="G381" s="74">
        <f>+SUM(E$9:$E381)-SUM(F$9:$F381)</f>
        <v>35133850</v>
      </c>
    </row>
    <row r="382" spans="1:7" ht="28.8" x14ac:dyDescent="0.55000000000000004">
      <c r="A382" s="76">
        <v>45938</v>
      </c>
      <c r="B382" s="44" t="s">
        <v>3179</v>
      </c>
      <c r="C382" s="77">
        <v>1</v>
      </c>
      <c r="D382" s="78">
        <v>360000</v>
      </c>
      <c r="E382" s="79">
        <f>+$I$2+(FBD[[#This Row],[QUANTITE]]*FBD[[#This Row],[PRIX UNITAIRE]])</f>
        <v>360000</v>
      </c>
      <c r="F382" s="159"/>
      <c r="G382" s="74">
        <f>+SUM(E$9:$E382)-SUM(F$9:$F382)</f>
        <v>35493850</v>
      </c>
    </row>
    <row r="383" spans="1:7" ht="28.8" x14ac:dyDescent="0.55000000000000004">
      <c r="A383" s="76">
        <v>45938</v>
      </c>
      <c r="B383" s="44" t="s">
        <v>3180</v>
      </c>
      <c r="C383" s="77">
        <v>1</v>
      </c>
      <c r="D383" s="78">
        <v>330000</v>
      </c>
      <c r="E383" s="79">
        <f>+$I$2+(FBD[[#This Row],[QUANTITE]]*FBD[[#This Row],[PRIX UNITAIRE]])</f>
        <v>330000</v>
      </c>
      <c r="F383" s="159"/>
      <c r="G383" s="74">
        <f>+SUM(E$9:$E383)-SUM(F$9:$F383)</f>
        <v>35823850</v>
      </c>
    </row>
    <row r="384" spans="1:7" ht="28.8" x14ac:dyDescent="0.55000000000000004">
      <c r="A384" s="76">
        <v>45943</v>
      </c>
      <c r="B384" s="44" t="s">
        <v>3181</v>
      </c>
      <c r="C384" s="77">
        <v>10</v>
      </c>
      <c r="D384" s="78">
        <v>33000</v>
      </c>
      <c r="E384" s="79">
        <f>+$I$2+(FBD[[#This Row],[QUANTITE]]*FBD[[#This Row],[PRIX UNITAIRE]])</f>
        <v>330000</v>
      </c>
      <c r="F384" s="159"/>
      <c r="G384" s="74">
        <f>+SUM(E$9:$E384)-SUM(F$9:$F384)</f>
        <v>36153850</v>
      </c>
    </row>
    <row r="385" spans="1:7" ht="28.8" x14ac:dyDescent="0.55000000000000004">
      <c r="A385" s="76">
        <v>45943</v>
      </c>
      <c r="B385" s="44" t="s">
        <v>3182</v>
      </c>
      <c r="C385" s="77">
        <v>10</v>
      </c>
      <c r="D385" s="78">
        <v>20000</v>
      </c>
      <c r="E385" s="79">
        <f>+$I$2+(FBD[[#This Row],[QUANTITE]]*FBD[[#This Row],[PRIX UNITAIRE]])</f>
        <v>200000</v>
      </c>
      <c r="F385" s="159"/>
      <c r="G385" s="74">
        <f>+SUM(E$9:$E385)-SUM(F$9:$F385)</f>
        <v>36353850</v>
      </c>
    </row>
    <row r="386" spans="1:7" ht="28.8" x14ac:dyDescent="0.55000000000000004">
      <c r="A386" s="76">
        <v>45943</v>
      </c>
      <c r="B386" s="44" t="s">
        <v>3183</v>
      </c>
      <c r="C386" s="77">
        <v>10</v>
      </c>
      <c r="D386" s="78">
        <v>20000</v>
      </c>
      <c r="E386" s="79">
        <f>+$I$2+(FBD[[#This Row],[QUANTITE]]*FBD[[#This Row],[PRIX UNITAIRE]])</f>
        <v>200000</v>
      </c>
      <c r="F386" s="159"/>
      <c r="G386" s="74">
        <f>+SUM(E$9:$E386)-SUM(F$9:$F386)</f>
        <v>36553850</v>
      </c>
    </row>
    <row r="387" spans="1:7" ht="28.8" x14ac:dyDescent="0.55000000000000004">
      <c r="A387" s="76">
        <v>45943</v>
      </c>
      <c r="B387" s="44" t="s">
        <v>3184</v>
      </c>
      <c r="C387" s="77">
        <v>5</v>
      </c>
      <c r="D387" s="78">
        <v>20000</v>
      </c>
      <c r="E387" s="79">
        <f>+$I$2+(FBD[[#This Row],[QUANTITE]]*FBD[[#This Row],[PRIX UNITAIRE]])</f>
        <v>100000</v>
      </c>
      <c r="F387" s="159"/>
      <c r="G387" s="74">
        <f>+SUM(E$9:$E387)-SUM(F$9:$F387)</f>
        <v>36653850</v>
      </c>
    </row>
    <row r="388" spans="1:7" ht="28.8" x14ac:dyDescent="0.55000000000000004">
      <c r="A388" s="76">
        <v>45943</v>
      </c>
      <c r="B388" s="44" t="s">
        <v>2709</v>
      </c>
      <c r="C388" s="77">
        <v>5</v>
      </c>
      <c r="D388" s="78">
        <v>245000</v>
      </c>
      <c r="E388" s="79">
        <f>+$I$2+(FBD[[#This Row],[QUANTITE]]*FBD[[#This Row],[PRIX UNITAIRE]])</f>
        <v>1225000</v>
      </c>
      <c r="F388" s="159"/>
      <c r="G388" s="74">
        <f>+SUM(E$9:$E388)-SUM(F$9:$F388)</f>
        <v>37878850</v>
      </c>
    </row>
    <row r="389" spans="1:7" ht="28.8" x14ac:dyDescent="0.55000000000000004">
      <c r="A389" s="76">
        <v>45944</v>
      </c>
      <c r="B389" s="44" t="s">
        <v>182</v>
      </c>
      <c r="C389" s="77">
        <v>2</v>
      </c>
      <c r="D389" s="78">
        <v>33000</v>
      </c>
      <c r="E389" s="79">
        <f>+$I$2+(FBD[[#This Row],[QUANTITE]]*FBD[[#This Row],[PRIX UNITAIRE]])</f>
        <v>66000</v>
      </c>
      <c r="F389" s="159"/>
      <c r="G389" s="74">
        <f>+SUM(E$9:$E389)-SUM(F$9:$F389)</f>
        <v>37944850</v>
      </c>
    </row>
    <row r="390" spans="1:7" ht="28.8" x14ac:dyDescent="0.55000000000000004">
      <c r="A390" s="76">
        <v>45944</v>
      </c>
      <c r="B390" s="44" t="s">
        <v>3185</v>
      </c>
      <c r="C390" s="77">
        <v>1</v>
      </c>
      <c r="D390" s="78">
        <v>280000</v>
      </c>
      <c r="E390" s="79">
        <f>+$I$2+(FBD[[#This Row],[QUANTITE]]*FBD[[#This Row],[PRIX UNITAIRE]])</f>
        <v>280000</v>
      </c>
      <c r="F390" s="159"/>
      <c r="G390" s="74">
        <f>+SUM(E$9:$E390)-SUM(F$9:$F390)</f>
        <v>38224850</v>
      </c>
    </row>
    <row r="391" spans="1:7" ht="28.8" x14ac:dyDescent="0.55000000000000004">
      <c r="A391" s="76">
        <v>45944</v>
      </c>
      <c r="B391" s="44" t="s">
        <v>3186</v>
      </c>
      <c r="C391" s="77">
        <v>1</v>
      </c>
      <c r="D391" s="78">
        <v>287000</v>
      </c>
      <c r="E391" s="79">
        <f>+$I$2+(FBD[[#This Row],[QUANTITE]]*FBD[[#This Row],[PRIX UNITAIRE]])</f>
        <v>287000</v>
      </c>
      <c r="F391" s="159"/>
      <c r="G391" s="74">
        <f>+SUM(E$9:$E391)-SUM(F$9:$F391)</f>
        <v>38511850</v>
      </c>
    </row>
    <row r="392" spans="1:7" ht="28.8" x14ac:dyDescent="0.55000000000000004">
      <c r="A392" s="76">
        <v>45945</v>
      </c>
      <c r="B392" s="44" t="s">
        <v>435</v>
      </c>
      <c r="C392" s="77">
        <v>11</v>
      </c>
      <c r="D392" s="78">
        <v>121000</v>
      </c>
      <c r="E392" s="79">
        <f>+$I$2+(FBD[[#This Row],[QUANTITE]]*FBD[[#This Row],[PRIX UNITAIRE]])</f>
        <v>1331000</v>
      </c>
      <c r="F392" s="159"/>
      <c r="G392" s="74">
        <f>+SUM(E$9:$E392)-SUM(F$9:$F392)</f>
        <v>39842850</v>
      </c>
    </row>
    <row r="393" spans="1:7" ht="28.8" x14ac:dyDescent="0.55000000000000004">
      <c r="A393" s="76">
        <v>45945</v>
      </c>
      <c r="B393" s="44" t="s">
        <v>3187</v>
      </c>
      <c r="C393" s="77">
        <v>7</v>
      </c>
      <c r="D393" s="78">
        <v>115000</v>
      </c>
      <c r="E393" s="79">
        <f>+$I$2+(FBD[[#This Row],[QUANTITE]]*FBD[[#This Row],[PRIX UNITAIRE]])</f>
        <v>805000</v>
      </c>
      <c r="F393" s="159"/>
      <c r="G393" s="74">
        <f>+SUM(E$9:$E393)-SUM(F$9:$F393)</f>
        <v>40647850</v>
      </c>
    </row>
    <row r="394" spans="1:7" ht="28.8" x14ac:dyDescent="0.55000000000000004">
      <c r="A394" s="76">
        <v>45951</v>
      </c>
      <c r="B394" s="44" t="s">
        <v>3188</v>
      </c>
      <c r="C394" s="77">
        <v>4</v>
      </c>
      <c r="D394" s="78">
        <v>287000</v>
      </c>
      <c r="E394" s="79">
        <f>+$I$2+(FBD[[#This Row],[QUANTITE]]*FBD[[#This Row],[PRIX UNITAIRE]])</f>
        <v>1148000</v>
      </c>
      <c r="F394" s="159"/>
      <c r="G394" s="74">
        <f>+SUM(E$9:$E394)-SUM(F$9:$F394)</f>
        <v>41795850</v>
      </c>
    </row>
    <row r="395" spans="1:7" ht="28.8" x14ac:dyDescent="0.55000000000000004">
      <c r="A395" s="76">
        <v>45951</v>
      </c>
      <c r="B395" s="44" t="s">
        <v>3189</v>
      </c>
      <c r="C395" s="77">
        <v>4</v>
      </c>
      <c r="D395" s="78">
        <v>33000</v>
      </c>
      <c r="E395" s="79">
        <f>+$I$2+(FBD[[#This Row],[QUANTITE]]*FBD[[#This Row],[PRIX UNITAIRE]])</f>
        <v>132000</v>
      </c>
      <c r="F395" s="159"/>
      <c r="G395" s="74">
        <f>+SUM(E$9:$E395)-SUM(F$9:$F395)</f>
        <v>41927850</v>
      </c>
    </row>
    <row r="396" spans="1:7" ht="28.8" x14ac:dyDescent="0.55000000000000004">
      <c r="A396" s="76">
        <v>45938</v>
      </c>
      <c r="B396" s="44" t="s">
        <v>259</v>
      </c>
      <c r="C396" s="77"/>
      <c r="D396" s="78"/>
      <c r="E396" s="79">
        <f>+$I$2+(FBD[[#This Row],[QUANTITE]]*FBD[[#This Row],[PRIX UNITAIRE]])</f>
        <v>0</v>
      </c>
      <c r="F396" s="159">
        <v>700000</v>
      </c>
      <c r="G396" s="74">
        <f>+SUM(E$9:$E396)-SUM(F$9:$F396)</f>
        <v>41227850</v>
      </c>
    </row>
    <row r="397" spans="1:7" ht="28.8" x14ac:dyDescent="0.55000000000000004">
      <c r="A397" s="76">
        <v>45940</v>
      </c>
      <c r="B397" s="44" t="s">
        <v>259</v>
      </c>
      <c r="C397" s="77"/>
      <c r="D397" s="78"/>
      <c r="E397" s="79">
        <f>+$I$2+(FBD[[#This Row],[QUANTITE]]*FBD[[#This Row],[PRIX UNITAIRE]])</f>
        <v>0</v>
      </c>
      <c r="F397" s="159">
        <v>400000</v>
      </c>
      <c r="G397" s="74">
        <f>+SUM(E$9:$E397)-SUM(F$9:$F397)</f>
        <v>40827850</v>
      </c>
    </row>
    <row r="398" spans="1:7" ht="28.8" x14ac:dyDescent="0.55000000000000004">
      <c r="A398" s="76">
        <v>45941</v>
      </c>
      <c r="B398" s="44" t="s">
        <v>259</v>
      </c>
      <c r="C398" s="77"/>
      <c r="D398" s="78"/>
      <c r="E398" s="79">
        <f>+$I$2+(FBD[[#This Row],[QUANTITE]]*FBD[[#This Row],[PRIX UNITAIRE]])</f>
        <v>0</v>
      </c>
      <c r="F398" s="159">
        <v>1453000</v>
      </c>
      <c r="G398" s="74">
        <f>+SUM(E$9:$E398)-SUM(F$9:$F398)</f>
        <v>39374850</v>
      </c>
    </row>
    <row r="399" spans="1:7" ht="28.8" x14ac:dyDescent="0.55000000000000004">
      <c r="A399" s="76">
        <v>45946</v>
      </c>
      <c r="B399" s="44" t="s">
        <v>259</v>
      </c>
      <c r="C399" s="77"/>
      <c r="D399" s="78"/>
      <c r="E399" s="79">
        <f>+$I$2+(FBD[[#This Row],[QUANTITE]]*FBD[[#This Row],[PRIX UNITAIRE]])</f>
        <v>0</v>
      </c>
      <c r="F399" s="159">
        <v>3000000</v>
      </c>
      <c r="G399" s="74">
        <f>+SUM(E$9:$E399)-SUM(F$9:$F399)</f>
        <v>36374850</v>
      </c>
    </row>
    <row r="400" spans="1:7" ht="28.8" x14ac:dyDescent="0.55000000000000004">
      <c r="A400" s="76">
        <v>45948</v>
      </c>
      <c r="B400" s="44" t="s">
        <v>259</v>
      </c>
      <c r="C400" s="77"/>
      <c r="D400" s="78"/>
      <c r="E400" s="79">
        <f>+$I$2+(FBD[[#This Row],[QUANTITE]]*FBD[[#This Row],[PRIX UNITAIRE]])</f>
        <v>0</v>
      </c>
      <c r="F400" s="159">
        <v>1704000</v>
      </c>
      <c r="G400" s="74">
        <f>+SUM(E$9:$E400)-SUM(F$9:$F400)</f>
        <v>34670850</v>
      </c>
    </row>
    <row r="401" spans="1:7" ht="28.8" x14ac:dyDescent="0.55000000000000004">
      <c r="A401" s="76">
        <v>45953</v>
      </c>
      <c r="B401" s="44" t="s">
        <v>259</v>
      </c>
      <c r="C401" s="77"/>
      <c r="D401" s="78"/>
      <c r="E401" s="79">
        <f>+$I$2+(FBD[[#This Row],[QUANTITE]]*FBD[[#This Row],[PRIX UNITAIRE]])</f>
        <v>0</v>
      </c>
      <c r="F401" s="159">
        <v>720000</v>
      </c>
      <c r="G401" s="74">
        <f>+SUM(E$9:$E401)-SUM(F$9:$F401)</f>
        <v>33950850</v>
      </c>
    </row>
    <row r="402" spans="1:7" ht="28.8" x14ac:dyDescent="0.55000000000000004">
      <c r="A402" s="76">
        <v>45954</v>
      </c>
      <c r="B402" s="44" t="s">
        <v>259</v>
      </c>
      <c r="C402" s="77"/>
      <c r="D402" s="78"/>
      <c r="E402" s="79">
        <f>+$I$2+(FBD[[#This Row],[QUANTITE]]*FBD[[#This Row],[PRIX UNITAIRE]])</f>
        <v>0</v>
      </c>
      <c r="F402" s="159">
        <v>2469500</v>
      </c>
      <c r="G402" s="74">
        <f>+SUM(E$9:$E402)-SUM(F$9:$F402)</f>
        <v>31481350</v>
      </c>
    </row>
    <row r="403" spans="1:7" ht="28.8" x14ac:dyDescent="0.55000000000000004">
      <c r="A403" s="76">
        <v>45962</v>
      </c>
      <c r="B403" s="44" t="s">
        <v>259</v>
      </c>
      <c r="C403" s="77"/>
      <c r="D403" s="78"/>
      <c r="E403" s="79">
        <f>+$I$2+(FBD[[#This Row],[QUANTITE]]*FBD[[#This Row],[PRIX UNITAIRE]])</f>
        <v>0</v>
      </c>
      <c r="F403" s="159">
        <v>385000</v>
      </c>
      <c r="G403" s="74">
        <f>+SUM(E$9:$E403)-SUM(F$9:$F403)</f>
        <v>31096350</v>
      </c>
    </row>
    <row r="404" spans="1:7" ht="28.8" x14ac:dyDescent="0.55000000000000004">
      <c r="A404" s="76">
        <v>45964</v>
      </c>
      <c r="B404" s="44" t="s">
        <v>3230</v>
      </c>
      <c r="C404" s="77">
        <v>2</v>
      </c>
      <c r="D404" s="78"/>
      <c r="E404" s="79">
        <f>+$I$2+(FBD[[#This Row],[QUANTITE]]*FBD[[#This Row],[PRIX UNITAIRE]])</f>
        <v>0</v>
      </c>
      <c r="F404" s="159"/>
      <c r="G404" s="74">
        <f>+SUM(E$9:$E404)-SUM(F$9:$F404)</f>
        <v>31096350</v>
      </c>
    </row>
    <row r="405" spans="1:7" ht="28.8" x14ac:dyDescent="0.55000000000000004">
      <c r="A405" s="76">
        <v>45964</v>
      </c>
      <c r="B405" s="44" t="s">
        <v>3231</v>
      </c>
      <c r="C405" s="77">
        <v>2</v>
      </c>
      <c r="D405" s="78">
        <v>10000</v>
      </c>
      <c r="E405" s="79">
        <f>+$I$2+(FBD[[#This Row],[QUANTITE]]*FBD[[#This Row],[PRIX UNITAIRE]])</f>
        <v>20000</v>
      </c>
      <c r="F405" s="159"/>
      <c r="G405" s="74">
        <f>+SUM(E$9:$E405)-SUM(F$9:$F405)</f>
        <v>31116350</v>
      </c>
    </row>
    <row r="406" spans="1:7" ht="28.8" x14ac:dyDescent="0.55000000000000004">
      <c r="A406" s="76">
        <v>45964</v>
      </c>
      <c r="B406" s="44" t="s">
        <v>3232</v>
      </c>
      <c r="C406" s="77">
        <v>2</v>
      </c>
      <c r="D406" s="78">
        <v>10000</v>
      </c>
      <c r="E406" s="79">
        <f>+$I$2+(FBD[[#This Row],[QUANTITE]]*FBD[[#This Row],[PRIX UNITAIRE]])</f>
        <v>20000</v>
      </c>
      <c r="F406" s="159"/>
      <c r="G406" s="74">
        <f>+SUM(E$9:$E406)-SUM(F$9:$F406)</f>
        <v>31136350</v>
      </c>
    </row>
    <row r="407" spans="1:7" ht="28.8" x14ac:dyDescent="0.55000000000000004">
      <c r="A407" s="76">
        <v>45964</v>
      </c>
      <c r="B407" s="44" t="s">
        <v>3233</v>
      </c>
      <c r="C407" s="77">
        <v>2</v>
      </c>
      <c r="D407" s="78">
        <v>10000</v>
      </c>
      <c r="E407" s="79">
        <f>+$I$2+(FBD[[#This Row],[QUANTITE]]*FBD[[#This Row],[PRIX UNITAIRE]])</f>
        <v>20000</v>
      </c>
      <c r="F407" s="159"/>
      <c r="G407" s="74">
        <f>+SUM(E$9:$E407)-SUM(F$9:$F407)</f>
        <v>31156350</v>
      </c>
    </row>
    <row r="408" spans="1:7" ht="28.8" x14ac:dyDescent="0.55000000000000004">
      <c r="A408" s="76">
        <v>45964</v>
      </c>
      <c r="B408" s="44" t="s">
        <v>251</v>
      </c>
      <c r="C408" s="77">
        <v>10</v>
      </c>
      <c r="D408" s="78">
        <v>23500</v>
      </c>
      <c r="E408" s="79">
        <f>+$I$2+(FBD[[#This Row],[QUANTITE]]*FBD[[#This Row],[PRIX UNITAIRE]])</f>
        <v>235000</v>
      </c>
      <c r="F408" s="159"/>
      <c r="G408" s="74">
        <f>+SUM(E$9:$E408)-SUM(F$9:$F408)</f>
        <v>31391350</v>
      </c>
    </row>
    <row r="409" spans="1:7" ht="28.8" x14ac:dyDescent="0.55000000000000004">
      <c r="A409" s="76">
        <v>45964</v>
      </c>
      <c r="B409" s="44" t="s">
        <v>495</v>
      </c>
      <c r="C409" s="77">
        <v>5</v>
      </c>
      <c r="D409" s="78">
        <v>34000</v>
      </c>
      <c r="E409" s="79">
        <f>+$I$2+(FBD[[#This Row],[QUANTITE]]*FBD[[#This Row],[PRIX UNITAIRE]])</f>
        <v>170000</v>
      </c>
      <c r="F409" s="159"/>
      <c r="G409" s="74">
        <f>+SUM(E$9:$E409)-SUM(F$9:$F409)</f>
        <v>31561350</v>
      </c>
    </row>
    <row r="410" spans="1:7" ht="28.8" x14ac:dyDescent="0.55000000000000004">
      <c r="A410" s="76">
        <v>45964</v>
      </c>
      <c r="B410" s="44" t="s">
        <v>2903</v>
      </c>
      <c r="C410" s="77">
        <v>4</v>
      </c>
      <c r="D410" s="78">
        <v>330000</v>
      </c>
      <c r="E410" s="79">
        <f>+$I$2+(FBD[[#This Row],[QUANTITE]]*FBD[[#This Row],[PRIX UNITAIRE]])</f>
        <v>1320000</v>
      </c>
      <c r="F410" s="159"/>
      <c r="G410" s="74">
        <f>+SUM(E$9:$E410)-SUM(F$9:$F410)</f>
        <v>32881350</v>
      </c>
    </row>
    <row r="411" spans="1:7" ht="28.8" x14ac:dyDescent="0.55000000000000004">
      <c r="A411" s="76">
        <v>45967</v>
      </c>
      <c r="B411" s="44" t="s">
        <v>3050</v>
      </c>
      <c r="C411" s="77">
        <v>4</v>
      </c>
      <c r="D411" s="78">
        <v>115000</v>
      </c>
      <c r="E411" s="79">
        <f>+$I$2+(FBD[[#This Row],[QUANTITE]]*FBD[[#This Row],[PRIX UNITAIRE]])</f>
        <v>460000</v>
      </c>
      <c r="F411" s="159"/>
      <c r="G411" s="74">
        <f>+SUM(E$9:$E411)-SUM(F$9:$F411)</f>
        <v>33341350</v>
      </c>
    </row>
    <row r="412" spans="1:7" ht="28.8" x14ac:dyDescent="0.55000000000000004">
      <c r="A412" s="76">
        <v>45967</v>
      </c>
      <c r="B412" s="44" t="s">
        <v>404</v>
      </c>
      <c r="C412" s="77">
        <v>20</v>
      </c>
      <c r="D412" s="78">
        <v>24000</v>
      </c>
      <c r="E412" s="79">
        <f>+$I$2+(FBD[[#This Row],[QUANTITE]]*FBD[[#This Row],[PRIX UNITAIRE]])</f>
        <v>480000</v>
      </c>
      <c r="F412" s="159"/>
      <c r="G412" s="74">
        <f>+SUM(E$9:$E412)-SUM(F$9:$F412)</f>
        <v>33821350</v>
      </c>
    </row>
    <row r="413" spans="1:7" ht="28.8" x14ac:dyDescent="0.55000000000000004">
      <c r="A413" s="76">
        <v>45971</v>
      </c>
      <c r="B413" s="44" t="s">
        <v>3164</v>
      </c>
      <c r="C413" s="77">
        <v>4</v>
      </c>
      <c r="D413" s="78">
        <v>25000</v>
      </c>
      <c r="E413" s="79">
        <f>+$I$2+(FBD[[#This Row],[QUANTITE]]*FBD[[#This Row],[PRIX UNITAIRE]])</f>
        <v>100000</v>
      </c>
      <c r="F413" s="159"/>
      <c r="G413" s="74">
        <f>+SUM(E$9:$E413)-SUM(F$9:$F413)</f>
        <v>33921350</v>
      </c>
    </row>
    <row r="414" spans="1:7" ht="28.8" x14ac:dyDescent="0.55000000000000004">
      <c r="A414" s="76">
        <v>45971</v>
      </c>
      <c r="B414" s="44" t="s">
        <v>3169</v>
      </c>
      <c r="C414" s="77">
        <v>4</v>
      </c>
      <c r="D414" s="78">
        <v>58000</v>
      </c>
      <c r="E414" s="79">
        <f>+$I$2+(FBD[[#This Row],[QUANTITE]]*FBD[[#This Row],[PRIX UNITAIRE]])</f>
        <v>232000</v>
      </c>
      <c r="F414" s="159"/>
      <c r="G414" s="74">
        <f>+SUM(E$9:$E414)-SUM(F$9:$F414)</f>
        <v>34153350</v>
      </c>
    </row>
    <row r="415" spans="1:7" ht="28.8" x14ac:dyDescent="0.55000000000000004">
      <c r="A415" s="76">
        <v>45971</v>
      </c>
      <c r="B415" s="44" t="s">
        <v>3234</v>
      </c>
      <c r="C415" s="77">
        <v>4</v>
      </c>
      <c r="D415" s="78">
        <v>27000</v>
      </c>
      <c r="E415" s="79">
        <f>+$I$2+(FBD[[#This Row],[QUANTITE]]*FBD[[#This Row],[PRIX UNITAIRE]])</f>
        <v>108000</v>
      </c>
      <c r="F415" s="159"/>
      <c r="G415" s="74">
        <f>+SUM(E$9:$E415)-SUM(F$9:$F415)</f>
        <v>34261350</v>
      </c>
    </row>
    <row r="416" spans="1:7" ht="28.8" x14ac:dyDescent="0.55000000000000004">
      <c r="A416" s="76">
        <v>45971</v>
      </c>
      <c r="B416" s="44" t="s">
        <v>3235</v>
      </c>
      <c r="C416" s="77">
        <v>4</v>
      </c>
      <c r="D416" s="78">
        <v>35000</v>
      </c>
      <c r="E416" s="79">
        <f>+$I$2+(FBD[[#This Row],[QUANTITE]]*FBD[[#This Row],[PRIX UNITAIRE]])</f>
        <v>140000</v>
      </c>
      <c r="F416" s="159"/>
      <c r="G416" s="74">
        <f>+SUM(E$9:$E416)-SUM(F$9:$F416)</f>
        <v>34401350</v>
      </c>
    </row>
    <row r="417" spans="1:7" ht="28.8" x14ac:dyDescent="0.55000000000000004">
      <c r="A417" s="76">
        <v>45971</v>
      </c>
      <c r="B417" s="44" t="s">
        <v>2872</v>
      </c>
      <c r="C417" s="77">
        <v>8</v>
      </c>
      <c r="D417" s="78">
        <v>40000</v>
      </c>
      <c r="E417" s="79">
        <f>+$I$2+(FBD[[#This Row],[QUANTITE]]*FBD[[#This Row],[PRIX UNITAIRE]])</f>
        <v>320000</v>
      </c>
      <c r="F417" s="159"/>
      <c r="G417" s="74">
        <f>+SUM(E$9:$E417)-SUM(F$9:$F417)</f>
        <v>34721350</v>
      </c>
    </row>
    <row r="418" spans="1:7" ht="28.8" x14ac:dyDescent="0.55000000000000004">
      <c r="A418" s="76">
        <v>45971</v>
      </c>
      <c r="B418" s="44" t="s">
        <v>248</v>
      </c>
      <c r="C418" s="77">
        <v>4</v>
      </c>
      <c r="D418" s="78">
        <v>121000</v>
      </c>
      <c r="E418" s="79">
        <f>+$I$2+(FBD[[#This Row],[QUANTITE]]*FBD[[#This Row],[PRIX UNITAIRE]])</f>
        <v>484000</v>
      </c>
      <c r="F418" s="159"/>
      <c r="G418" s="74">
        <f>+SUM(E$9:$E418)-SUM(F$9:$F418)</f>
        <v>35205350</v>
      </c>
    </row>
    <row r="419" spans="1:7" ht="28.8" x14ac:dyDescent="0.55000000000000004">
      <c r="A419" s="76">
        <v>45971</v>
      </c>
      <c r="B419" s="44" t="s">
        <v>3236</v>
      </c>
      <c r="C419" s="77">
        <v>15</v>
      </c>
      <c r="D419" s="78">
        <v>115000</v>
      </c>
      <c r="E419" s="79">
        <f>+$I$2+(FBD[[#This Row],[QUANTITE]]*FBD[[#This Row],[PRIX UNITAIRE]])</f>
        <v>1725000</v>
      </c>
      <c r="F419" s="159"/>
      <c r="G419" s="74">
        <f>+SUM(E$9:$E419)-SUM(F$9:$F419)</f>
        <v>36930350</v>
      </c>
    </row>
    <row r="420" spans="1:7" ht="28.8" x14ac:dyDescent="0.55000000000000004">
      <c r="A420" s="76">
        <v>45972</v>
      </c>
      <c r="B420" s="44" t="s">
        <v>450</v>
      </c>
      <c r="C420" s="77">
        <v>16</v>
      </c>
      <c r="D420" s="78">
        <v>115000</v>
      </c>
      <c r="E420" s="79">
        <f>+$I$2+(FBD[[#This Row],[QUANTITE]]*FBD[[#This Row],[PRIX UNITAIRE]])</f>
        <v>1840000</v>
      </c>
      <c r="F420" s="159"/>
      <c r="G420" s="74">
        <f>+SUM(E$9:$E420)-SUM(F$9:$F420)</f>
        <v>38770350</v>
      </c>
    </row>
    <row r="421" spans="1:7" ht="28.8" x14ac:dyDescent="0.55000000000000004">
      <c r="A421" s="76">
        <v>45972</v>
      </c>
      <c r="B421" s="44" t="s">
        <v>3237</v>
      </c>
      <c r="C421" s="77">
        <v>2</v>
      </c>
      <c r="D421" s="78">
        <v>10000</v>
      </c>
      <c r="E421" s="79">
        <f>+$I$2+(FBD[[#This Row],[QUANTITE]]*FBD[[#This Row],[PRIX UNITAIRE]])</f>
        <v>20000</v>
      </c>
      <c r="F421" s="159"/>
      <c r="G421" s="74">
        <f>+SUM(E$9:$E421)-SUM(F$9:$F421)</f>
        <v>38790350</v>
      </c>
    </row>
    <row r="422" spans="1:7" ht="28.8" x14ac:dyDescent="0.55000000000000004">
      <c r="A422" s="76">
        <v>45973</v>
      </c>
      <c r="B422" s="44" t="s">
        <v>259</v>
      </c>
      <c r="C422" s="77"/>
      <c r="D422" s="78"/>
      <c r="E422" s="79">
        <f>+$I$2+(FBD[[#This Row],[QUANTITE]]*FBD[[#This Row],[PRIX UNITAIRE]])</f>
        <v>0</v>
      </c>
      <c r="F422" s="159">
        <v>3500000</v>
      </c>
      <c r="G422" s="74">
        <f>+SUM(E$9:$E422)-SUM(F$9:$F422)</f>
        <v>35290350</v>
      </c>
    </row>
    <row r="423" spans="1:7" ht="28.8" x14ac:dyDescent="0.55000000000000004">
      <c r="A423" s="76">
        <v>45976</v>
      </c>
      <c r="B423" s="44" t="s">
        <v>433</v>
      </c>
      <c r="C423" s="77"/>
      <c r="D423" s="78"/>
      <c r="E423" s="79">
        <f>+$I$2+(FBD[[#This Row],[QUANTITE]]*FBD[[#This Row],[PRIX UNITAIRE]])</f>
        <v>0</v>
      </c>
      <c r="F423" s="159">
        <v>3530000</v>
      </c>
      <c r="G423" s="74">
        <f>+SUM(E$9:$E423)-SUM(F$9:$F423)</f>
        <v>31760350</v>
      </c>
    </row>
    <row r="424" spans="1:7" ht="28.8" x14ac:dyDescent="0.55000000000000004">
      <c r="A424" s="76">
        <v>45973</v>
      </c>
      <c r="B424" s="44" t="s">
        <v>450</v>
      </c>
      <c r="C424" s="77">
        <v>32</v>
      </c>
      <c r="D424" s="78">
        <v>120000</v>
      </c>
      <c r="E424" s="79">
        <f>+$I$2+(FBD[[#This Row],[QUANTITE]]*FBD[[#This Row],[PRIX UNITAIRE]])</f>
        <v>3840000</v>
      </c>
      <c r="F424" s="159"/>
      <c r="G424" s="74">
        <f>+SUM(E$9:$E424)-SUM(F$9:$F424)</f>
        <v>35600350</v>
      </c>
    </row>
    <row r="425" spans="1:7" ht="28.8" x14ac:dyDescent="0.55000000000000004">
      <c r="A425" s="76">
        <v>45973</v>
      </c>
      <c r="B425" s="44" t="s">
        <v>3330</v>
      </c>
      <c r="C425" s="77">
        <v>1</v>
      </c>
      <c r="D425" s="78">
        <v>290000</v>
      </c>
      <c r="E425" s="79">
        <f>+$I$2+(FBD[[#This Row],[QUANTITE]]*FBD[[#This Row],[PRIX UNITAIRE]])</f>
        <v>290000</v>
      </c>
      <c r="F425" s="159"/>
      <c r="G425" s="74">
        <f>+SUM(E$9:$E425)-SUM(F$9:$F425)</f>
        <v>35890350</v>
      </c>
    </row>
    <row r="426" spans="1:7" ht="28.8" x14ac:dyDescent="0.55000000000000004">
      <c r="A426" s="76">
        <v>45980</v>
      </c>
      <c r="B426" s="44" t="s">
        <v>3331</v>
      </c>
      <c r="C426" s="77">
        <v>5</v>
      </c>
      <c r="D426" s="78">
        <v>120000</v>
      </c>
      <c r="E426" s="79">
        <f>+$I$2+(FBD[[#This Row],[QUANTITE]]*FBD[[#This Row],[PRIX UNITAIRE]])</f>
        <v>600000</v>
      </c>
      <c r="F426" s="159"/>
      <c r="G426" s="74">
        <f>+SUM(E$9:$E426)-SUM(F$9:$F426)</f>
        <v>36490350</v>
      </c>
    </row>
    <row r="427" spans="1:7" ht="28.8" x14ac:dyDescent="0.55000000000000004">
      <c r="A427" s="76">
        <v>45980</v>
      </c>
      <c r="B427" s="44" t="s">
        <v>3332</v>
      </c>
      <c r="C427" s="77">
        <v>5</v>
      </c>
      <c r="D427" s="78">
        <v>125000</v>
      </c>
      <c r="E427" s="79">
        <f>+$I$2+(FBD[[#This Row],[QUANTITE]]*FBD[[#This Row],[PRIX UNITAIRE]])</f>
        <v>625000</v>
      </c>
      <c r="F427" s="159"/>
      <c r="G427" s="74">
        <f>+SUM(E$9:$E427)-SUM(F$9:$F427)</f>
        <v>37115350</v>
      </c>
    </row>
    <row r="428" spans="1:7" ht="28.8" x14ac:dyDescent="0.55000000000000004">
      <c r="A428" s="76">
        <v>45980</v>
      </c>
      <c r="B428" s="44" t="s">
        <v>397</v>
      </c>
      <c r="C428" s="77">
        <v>5</v>
      </c>
      <c r="D428" s="78">
        <v>100000</v>
      </c>
      <c r="E428" s="79">
        <f>+$I$2+(FBD[[#This Row],[QUANTITE]]*FBD[[#This Row],[PRIX UNITAIRE]])</f>
        <v>500000</v>
      </c>
      <c r="F428" s="159"/>
      <c r="G428" s="74">
        <f>+SUM(E$9:$E428)-SUM(F$9:$F428)</f>
        <v>37615350</v>
      </c>
    </row>
    <row r="429" spans="1:7" ht="28.8" x14ac:dyDescent="0.55000000000000004">
      <c r="A429" s="76">
        <v>45980</v>
      </c>
      <c r="B429" s="44" t="s">
        <v>276</v>
      </c>
      <c r="C429" s="77">
        <v>4</v>
      </c>
      <c r="D429" s="78">
        <v>75000</v>
      </c>
      <c r="E429" s="79">
        <f>+$I$2+(FBD[[#This Row],[QUANTITE]]*FBD[[#This Row],[PRIX UNITAIRE]])</f>
        <v>300000</v>
      </c>
      <c r="F429" s="159"/>
      <c r="G429" s="74">
        <f>+SUM(E$9:$E429)-SUM(F$9:$F429)</f>
        <v>37915350</v>
      </c>
    </row>
    <row r="430" spans="1:7" ht="28.8" x14ac:dyDescent="0.55000000000000004">
      <c r="A430" s="76">
        <v>45980</v>
      </c>
      <c r="B430" s="44" t="s">
        <v>3029</v>
      </c>
      <c r="C430" s="77">
        <v>1</v>
      </c>
      <c r="D430" s="78">
        <v>35000</v>
      </c>
      <c r="E430" s="79">
        <f>+$I$2+(FBD[[#This Row],[QUANTITE]]*FBD[[#This Row],[PRIX UNITAIRE]])</f>
        <v>35000</v>
      </c>
      <c r="F430" s="159"/>
      <c r="G430" s="74">
        <f>+SUM(E$9:$E430)-SUM(F$9:$F430)</f>
        <v>37950350</v>
      </c>
    </row>
    <row r="431" spans="1:7" ht="28.8" x14ac:dyDescent="0.55000000000000004">
      <c r="A431" s="76">
        <v>45982</v>
      </c>
      <c r="B431" s="44" t="s">
        <v>259</v>
      </c>
      <c r="C431" s="77"/>
      <c r="D431" s="78"/>
      <c r="E431" s="79">
        <f>+$I$2+(FBD[[#This Row],[QUANTITE]]*FBD[[#This Row],[PRIX UNITAIRE]])</f>
        <v>0</v>
      </c>
      <c r="F431" s="159">
        <v>500000</v>
      </c>
      <c r="G431" s="74">
        <f>+SUM(E$9:$E431)-SUM(F$9:$F431)</f>
        <v>37450350</v>
      </c>
    </row>
    <row r="432" spans="1:7" ht="28.8" x14ac:dyDescent="0.55000000000000004">
      <c r="A432" s="76">
        <v>45982</v>
      </c>
      <c r="B432" s="44" t="s">
        <v>2655</v>
      </c>
      <c r="C432" s="77">
        <v>1</v>
      </c>
      <c r="D432" s="78">
        <v>330000</v>
      </c>
      <c r="E432" s="79">
        <f>+$I$2+(FBD[[#This Row],[QUANTITE]]*FBD[[#This Row],[PRIX UNITAIRE]])</f>
        <v>330000</v>
      </c>
      <c r="F432" s="159"/>
      <c r="G432" s="74">
        <f>+SUM(E$9:$E432)-SUM(F$9:$F432)</f>
        <v>37780350</v>
      </c>
    </row>
    <row r="433" spans="1:7" ht="28.8" x14ac:dyDescent="0.55000000000000004">
      <c r="A433" s="76">
        <v>45982</v>
      </c>
      <c r="B433" s="44" t="s">
        <v>2833</v>
      </c>
      <c r="C433" s="77">
        <v>2</v>
      </c>
      <c r="D433" s="78">
        <v>330000</v>
      </c>
      <c r="E433" s="79">
        <f>+$I$2+(FBD[[#This Row],[QUANTITE]]*FBD[[#This Row],[PRIX UNITAIRE]])</f>
        <v>660000</v>
      </c>
      <c r="F433" s="159"/>
      <c r="G433" s="74">
        <f>+SUM(E$9:$E433)-SUM(F$9:$F433)</f>
        <v>38440350</v>
      </c>
    </row>
    <row r="434" spans="1:7" ht="28.8" x14ac:dyDescent="0.55000000000000004">
      <c r="A434" s="76">
        <v>45982</v>
      </c>
      <c r="B434" s="44" t="s">
        <v>2655</v>
      </c>
      <c r="C434" s="77">
        <v>4</v>
      </c>
      <c r="D434" s="78">
        <v>330000</v>
      </c>
      <c r="E434" s="79">
        <f>+$I$2+(FBD[[#This Row],[QUANTITE]]*FBD[[#This Row],[PRIX UNITAIRE]])</f>
        <v>1320000</v>
      </c>
      <c r="F434" s="159"/>
      <c r="G434" s="74">
        <f>+SUM(E$9:$E434)-SUM(F$9:$F434)</f>
        <v>39760350</v>
      </c>
    </row>
    <row r="435" spans="1:7" ht="28.8" x14ac:dyDescent="0.55000000000000004">
      <c r="A435" s="76">
        <v>45982</v>
      </c>
      <c r="B435" s="44" t="s">
        <v>3333</v>
      </c>
      <c r="C435" s="77">
        <v>1</v>
      </c>
      <c r="D435" s="78">
        <v>275000</v>
      </c>
      <c r="E435" s="79">
        <f>+$I$2+(FBD[[#This Row],[QUANTITE]]*FBD[[#This Row],[PRIX UNITAIRE]])</f>
        <v>275000</v>
      </c>
      <c r="F435" s="159"/>
      <c r="G435" s="74">
        <f>+SUM(E$9:$E435)-SUM(F$9:$F435)</f>
        <v>40035350</v>
      </c>
    </row>
    <row r="436" spans="1:7" ht="28.8" x14ac:dyDescent="0.55000000000000004">
      <c r="A436" s="76">
        <v>45983</v>
      </c>
      <c r="B436" s="44" t="s">
        <v>259</v>
      </c>
      <c r="C436" s="77"/>
      <c r="D436" s="78"/>
      <c r="E436" s="79">
        <f>+$I$2+(FBD[[#This Row],[QUANTITE]]*FBD[[#This Row],[PRIX UNITAIRE]])</f>
        <v>0</v>
      </c>
      <c r="F436" s="159">
        <v>6980500</v>
      </c>
      <c r="G436" s="74">
        <f>+SUM(E$9:$E436)-SUM(F$9:$F436)</f>
        <v>33054850</v>
      </c>
    </row>
    <row r="437" spans="1:7" ht="28.8" x14ac:dyDescent="0.55000000000000004">
      <c r="A437" s="76">
        <v>45987</v>
      </c>
      <c r="B437" s="44" t="s">
        <v>397</v>
      </c>
      <c r="C437" s="77">
        <v>25</v>
      </c>
      <c r="D437" s="78">
        <v>89000</v>
      </c>
      <c r="E437" s="79">
        <f>+$I$2+(FBD[[#This Row],[QUANTITE]]*FBD[[#This Row],[PRIX UNITAIRE]])</f>
        <v>2225000</v>
      </c>
      <c r="F437" s="159"/>
      <c r="G437" s="74">
        <f>+SUM(E$9:$E437)-SUM(F$9:$F437)</f>
        <v>35279850</v>
      </c>
    </row>
    <row r="438" spans="1:7" ht="28.8" x14ac:dyDescent="0.55000000000000004">
      <c r="A438" s="76">
        <v>45987</v>
      </c>
      <c r="B438" s="44" t="s">
        <v>2655</v>
      </c>
      <c r="C438" s="77">
        <v>2</v>
      </c>
      <c r="D438" s="78">
        <v>330000</v>
      </c>
      <c r="E438" s="79">
        <f>+$I$2+(FBD[[#This Row],[QUANTITE]]*FBD[[#This Row],[PRIX UNITAIRE]])</f>
        <v>660000</v>
      </c>
      <c r="F438" s="159"/>
      <c r="G438" s="74">
        <f>+SUM(E$9:$E438)-SUM(F$9:$F438)</f>
        <v>35939850</v>
      </c>
    </row>
    <row r="439" spans="1:7" ht="28.8" x14ac:dyDescent="0.55000000000000004">
      <c r="A439" s="76">
        <v>45990</v>
      </c>
      <c r="B439" s="44" t="s">
        <v>450</v>
      </c>
      <c r="C439" s="77">
        <v>2</v>
      </c>
      <c r="D439" s="78">
        <v>125000</v>
      </c>
      <c r="E439" s="79">
        <f>+$I$2+(FBD[[#This Row],[QUANTITE]]*FBD[[#This Row],[PRIX UNITAIRE]])</f>
        <v>250000</v>
      </c>
      <c r="F439" s="159"/>
      <c r="G439" s="74">
        <f>+SUM(E$9:$E439)-SUM(F$9:$F439)</f>
        <v>36189850</v>
      </c>
    </row>
    <row r="440" spans="1:7" ht="28.8" x14ac:dyDescent="0.55000000000000004">
      <c r="A440" s="76">
        <v>45989</v>
      </c>
      <c r="B440" s="44" t="s">
        <v>433</v>
      </c>
      <c r="C440" s="77"/>
      <c r="D440" s="78"/>
      <c r="E440" s="79">
        <f>+$I$2+(FBD[[#This Row],[QUANTITE]]*FBD[[#This Row],[PRIX UNITAIRE]])</f>
        <v>0</v>
      </c>
      <c r="F440" s="159">
        <v>380000</v>
      </c>
      <c r="G440" s="74">
        <f>+SUM(E$9:$E440)-SUM(F$9:$F440)</f>
        <v>35809850</v>
      </c>
    </row>
    <row r="441" spans="1:7" ht="28.8" x14ac:dyDescent="0.55000000000000004">
      <c r="A441" s="76">
        <v>45990</v>
      </c>
      <c r="B441" s="44" t="s">
        <v>433</v>
      </c>
      <c r="C441" s="77"/>
      <c r="D441" s="78"/>
      <c r="E441" s="79">
        <f>+$I$2+(FBD[[#This Row],[QUANTITE]]*FBD[[#This Row],[PRIX UNITAIRE]])</f>
        <v>0</v>
      </c>
      <c r="F441" s="159">
        <v>828000</v>
      </c>
      <c r="G441" s="74">
        <f>+SUM(E$9:$E441)-SUM(F$9:$F441)</f>
        <v>34981850</v>
      </c>
    </row>
    <row r="442" spans="1:7" ht="28.8" x14ac:dyDescent="0.55000000000000004">
      <c r="A442" s="76">
        <v>45993</v>
      </c>
      <c r="B442" s="44" t="s">
        <v>3334</v>
      </c>
      <c r="C442" s="77">
        <v>2</v>
      </c>
      <c r="D442" s="78">
        <v>100000</v>
      </c>
      <c r="E442" s="79">
        <f>+$I$2+(FBD[[#This Row],[QUANTITE]]*FBD[[#This Row],[PRIX UNITAIRE]])</f>
        <v>200000</v>
      </c>
      <c r="F442" s="159"/>
      <c r="G442" s="74">
        <f>+SUM(E$9:$E442)-SUM(F$9:$F442)</f>
        <v>35181850</v>
      </c>
    </row>
    <row r="443" spans="1:7" ht="28.8" x14ac:dyDescent="0.55000000000000004">
      <c r="A443" s="76">
        <v>45995</v>
      </c>
      <c r="B443" s="44" t="s">
        <v>3335</v>
      </c>
      <c r="C443" s="77">
        <v>8</v>
      </c>
      <c r="D443" s="78">
        <v>89000</v>
      </c>
      <c r="E443" s="79">
        <f>+$I$2+(FBD[[#This Row],[QUANTITE]]*FBD[[#This Row],[PRIX UNITAIRE]])</f>
        <v>712000</v>
      </c>
      <c r="F443" s="159"/>
      <c r="G443" s="74">
        <f>+SUM(E$9:$E443)-SUM(F$9:$F443)</f>
        <v>35893850</v>
      </c>
    </row>
    <row r="444" spans="1:7" ht="28.8" x14ac:dyDescent="0.55000000000000004">
      <c r="A444" s="76">
        <v>45995</v>
      </c>
      <c r="B444" s="44" t="s">
        <v>3336</v>
      </c>
      <c r="C444" s="77">
        <v>2</v>
      </c>
      <c r="D444" s="78">
        <v>330000</v>
      </c>
      <c r="E444" s="79">
        <f>+$I$2+(FBD[[#This Row],[QUANTITE]]*FBD[[#This Row],[PRIX UNITAIRE]])</f>
        <v>660000</v>
      </c>
      <c r="F444" s="159"/>
      <c r="G444" s="74">
        <f>+SUM(E$9:$E444)-SUM(F$9:$F444)</f>
        <v>36553850</v>
      </c>
    </row>
    <row r="445" spans="1:7" ht="28.8" x14ac:dyDescent="0.55000000000000004">
      <c r="A445" s="76">
        <v>45995</v>
      </c>
      <c r="B445" s="44" t="s">
        <v>396</v>
      </c>
      <c r="C445" s="77">
        <v>8</v>
      </c>
      <c r="D445" s="78">
        <v>55000</v>
      </c>
      <c r="E445" s="79">
        <f>+$I$2+(FBD[[#This Row],[QUANTITE]]*FBD[[#This Row],[PRIX UNITAIRE]])</f>
        <v>440000</v>
      </c>
      <c r="F445" s="159"/>
      <c r="G445" s="74">
        <f>+SUM(E$9:$E445)-SUM(F$9:$F445)</f>
        <v>36993850</v>
      </c>
    </row>
    <row r="446" spans="1:7" ht="28.8" x14ac:dyDescent="0.55000000000000004">
      <c r="A446" s="76">
        <v>45996</v>
      </c>
      <c r="B446" s="44" t="s">
        <v>3337</v>
      </c>
      <c r="C446" s="77">
        <v>4</v>
      </c>
      <c r="D446" s="78">
        <v>50000</v>
      </c>
      <c r="E446" s="79">
        <f>+$I$2+(FBD[[#This Row],[QUANTITE]]*FBD[[#This Row],[PRIX UNITAIRE]])</f>
        <v>200000</v>
      </c>
      <c r="F446" s="159"/>
      <c r="G446" s="74">
        <f>+SUM(E$9:$E446)-SUM(F$9:$F446)</f>
        <v>37193850</v>
      </c>
    </row>
    <row r="447" spans="1:7" ht="28.8" x14ac:dyDescent="0.55000000000000004">
      <c r="A447" s="76">
        <v>45997</v>
      </c>
      <c r="B447" s="44" t="s">
        <v>3156</v>
      </c>
      <c r="C447" s="77">
        <v>4</v>
      </c>
      <c r="D447" s="78">
        <v>75000</v>
      </c>
      <c r="E447" s="79">
        <f>+$I$2+(FBD[[#This Row],[QUANTITE]]*FBD[[#This Row],[PRIX UNITAIRE]])</f>
        <v>300000</v>
      </c>
      <c r="F447" s="159"/>
      <c r="G447" s="74">
        <f>+SUM(E$9:$E447)-SUM(F$9:$F447)</f>
        <v>37493850</v>
      </c>
    </row>
    <row r="448" spans="1:7" ht="28.8" x14ac:dyDescent="0.55000000000000004">
      <c r="A448" s="76">
        <v>45997</v>
      </c>
      <c r="B448" s="44" t="s">
        <v>3338</v>
      </c>
      <c r="C448" s="77">
        <v>4</v>
      </c>
      <c r="D448" s="78">
        <v>45000</v>
      </c>
      <c r="E448" s="79">
        <f>+$I$2+(FBD[[#This Row],[QUANTITE]]*FBD[[#This Row],[PRIX UNITAIRE]])</f>
        <v>180000</v>
      </c>
      <c r="F448" s="159"/>
      <c r="G448" s="74">
        <f>+SUM(E$9:$E448)-SUM(F$9:$F448)</f>
        <v>37673850</v>
      </c>
    </row>
    <row r="449" spans="1:7" ht="28.8" x14ac:dyDescent="0.55000000000000004">
      <c r="A449" s="76">
        <v>45997</v>
      </c>
      <c r="B449" s="44" t="s">
        <v>3093</v>
      </c>
      <c r="C449" s="77">
        <v>4</v>
      </c>
      <c r="D449" s="78">
        <v>45000</v>
      </c>
      <c r="E449" s="79">
        <f>+$I$2+(FBD[[#This Row],[QUANTITE]]*FBD[[#This Row],[PRIX UNITAIRE]])</f>
        <v>180000</v>
      </c>
      <c r="F449" s="159"/>
      <c r="G449" s="74">
        <f>+SUM(E$9:$E449)-SUM(F$9:$F449)</f>
        <v>37853850</v>
      </c>
    </row>
    <row r="450" spans="1:7" ht="28.8" x14ac:dyDescent="0.55000000000000004">
      <c r="A450" s="76">
        <v>45997</v>
      </c>
      <c r="B450" s="44" t="s">
        <v>3339</v>
      </c>
      <c r="C450" s="77">
        <v>4</v>
      </c>
      <c r="D450" s="78">
        <v>40000</v>
      </c>
      <c r="E450" s="79">
        <f>+$I$2+(FBD[[#This Row],[QUANTITE]]*FBD[[#This Row],[PRIX UNITAIRE]])</f>
        <v>160000</v>
      </c>
      <c r="F450" s="159"/>
      <c r="G450" s="74">
        <f>+SUM(E$9:$E450)-SUM(F$9:$F450)</f>
        <v>38013850</v>
      </c>
    </row>
    <row r="451" spans="1:7" ht="28.8" x14ac:dyDescent="0.55000000000000004">
      <c r="A451" s="76">
        <v>45997</v>
      </c>
      <c r="B451" s="44" t="s">
        <v>3340</v>
      </c>
      <c r="C451" s="77">
        <v>25</v>
      </c>
      <c r="D451" s="78">
        <v>33000</v>
      </c>
      <c r="E451" s="79">
        <f>+$I$2+(FBD[[#This Row],[QUANTITE]]*FBD[[#This Row],[PRIX UNITAIRE]])</f>
        <v>825000</v>
      </c>
      <c r="F451" s="159"/>
      <c r="G451" s="74">
        <f>+SUM(E$9:$E451)-SUM(F$9:$F451)</f>
        <v>38838850</v>
      </c>
    </row>
    <row r="452" spans="1:7" ht="28.8" x14ac:dyDescent="0.55000000000000004">
      <c r="A452" s="76">
        <v>45997</v>
      </c>
      <c r="B452" s="44" t="s">
        <v>275</v>
      </c>
      <c r="C452" s="77">
        <v>6</v>
      </c>
      <c r="D452" s="78">
        <v>60000</v>
      </c>
      <c r="E452" s="79">
        <f>+$I$2+(FBD[[#This Row],[QUANTITE]]*FBD[[#This Row],[PRIX UNITAIRE]])</f>
        <v>360000</v>
      </c>
      <c r="F452" s="159"/>
      <c r="G452" s="74">
        <f>+SUM(E$9:$E452)-SUM(F$9:$F452)</f>
        <v>39198850</v>
      </c>
    </row>
    <row r="453" spans="1:7" ht="28.8" x14ac:dyDescent="0.55000000000000004">
      <c r="A453" s="76">
        <v>45997</v>
      </c>
      <c r="B453" s="44" t="s">
        <v>495</v>
      </c>
      <c r="C453" s="77">
        <v>6</v>
      </c>
      <c r="D453" s="78">
        <v>40000</v>
      </c>
      <c r="E453" s="79">
        <f>+$I$2+(FBD[[#This Row],[QUANTITE]]*FBD[[#This Row],[PRIX UNITAIRE]])</f>
        <v>240000</v>
      </c>
      <c r="F453" s="159"/>
      <c r="G453" s="74">
        <f>+SUM(E$9:$E453)-SUM(F$9:$F453)</f>
        <v>39438850</v>
      </c>
    </row>
    <row r="454" spans="1:7" ht="28.8" x14ac:dyDescent="0.55000000000000004">
      <c r="A454" s="76">
        <v>45997</v>
      </c>
      <c r="B454" s="44" t="s">
        <v>450</v>
      </c>
      <c r="C454" s="77">
        <v>5</v>
      </c>
      <c r="D454" s="78">
        <v>116000</v>
      </c>
      <c r="E454" s="79">
        <f>+$I$2+(FBD[[#This Row],[QUANTITE]]*FBD[[#This Row],[PRIX UNITAIRE]])</f>
        <v>580000</v>
      </c>
      <c r="F454" s="159"/>
      <c r="G454" s="74">
        <f>+SUM(E$9:$E454)-SUM(F$9:$F454)</f>
        <v>40018850</v>
      </c>
    </row>
    <row r="455" spans="1:7" ht="28.8" x14ac:dyDescent="0.55000000000000004">
      <c r="A455" s="76">
        <v>45997</v>
      </c>
      <c r="B455" s="44" t="s">
        <v>3341</v>
      </c>
      <c r="C455" s="77">
        <v>4</v>
      </c>
      <c r="D455" s="78">
        <v>75000</v>
      </c>
      <c r="E455" s="79">
        <f>+$I$2+(FBD[[#This Row],[QUANTITE]]*FBD[[#This Row],[PRIX UNITAIRE]])</f>
        <v>300000</v>
      </c>
      <c r="F455" s="159"/>
      <c r="G455" s="74">
        <f>+SUM(E$9:$E455)-SUM(F$9:$F455)</f>
        <v>40318850</v>
      </c>
    </row>
    <row r="456" spans="1:7" ht="28.8" x14ac:dyDescent="0.55000000000000004">
      <c r="A456" s="76">
        <v>45997</v>
      </c>
      <c r="B456" s="44" t="s">
        <v>3029</v>
      </c>
      <c r="C456" s="77">
        <v>2</v>
      </c>
      <c r="D456" s="78">
        <v>35000</v>
      </c>
      <c r="E456" s="79">
        <f>+$I$2+(FBD[[#This Row],[QUANTITE]]*FBD[[#This Row],[PRIX UNITAIRE]])</f>
        <v>70000</v>
      </c>
      <c r="F456" s="159"/>
      <c r="G456" s="74">
        <f>+SUM(E$9:$E456)-SUM(F$9:$F456)</f>
        <v>40388850</v>
      </c>
    </row>
    <row r="457" spans="1:7" ht="28.8" x14ac:dyDescent="0.55000000000000004">
      <c r="A457" s="76">
        <v>45997</v>
      </c>
      <c r="B457" s="44" t="s">
        <v>3342</v>
      </c>
      <c r="C457" s="77">
        <v>4</v>
      </c>
      <c r="D457" s="78">
        <v>45000</v>
      </c>
      <c r="E457" s="79">
        <f>+$I$2+(FBD[[#This Row],[QUANTITE]]*FBD[[#This Row],[PRIX UNITAIRE]])</f>
        <v>180000</v>
      </c>
      <c r="F457" s="159"/>
      <c r="G457" s="74">
        <f>+SUM(E$9:$E457)-SUM(F$9:$F457)</f>
        <v>40568850</v>
      </c>
    </row>
    <row r="458" spans="1:7" ht="28.8" x14ac:dyDescent="0.55000000000000004">
      <c r="A458" s="76">
        <v>45997</v>
      </c>
      <c r="B458" s="44" t="s">
        <v>433</v>
      </c>
      <c r="C458" s="77"/>
      <c r="D458" s="78"/>
      <c r="E458" s="79">
        <f>+$I$2+(FBD[[#This Row],[QUANTITE]]*FBD[[#This Row],[PRIX UNITAIRE]])</f>
        <v>0</v>
      </c>
      <c r="F458" s="159">
        <v>2284000</v>
      </c>
      <c r="G458" s="74">
        <f>+SUM(E$9:$E458)-SUM(F$9:$F458)</f>
        <v>38284850</v>
      </c>
    </row>
    <row r="459" spans="1:7" ht="28.8" x14ac:dyDescent="0.55000000000000004">
      <c r="A459" s="76">
        <v>45999</v>
      </c>
      <c r="B459" s="44" t="s">
        <v>433</v>
      </c>
      <c r="C459" s="77"/>
      <c r="D459" s="78"/>
      <c r="E459" s="79">
        <f>+$I$2+(FBD[[#This Row],[QUANTITE]]*FBD[[#This Row],[PRIX UNITAIRE]])</f>
        <v>0</v>
      </c>
      <c r="F459" s="159">
        <v>2290000</v>
      </c>
      <c r="G459" s="74">
        <f>+SUM(E$9:$E459)-SUM(F$9:$F459)</f>
        <v>35994850</v>
      </c>
    </row>
    <row r="460" spans="1:7" ht="28.8" x14ac:dyDescent="0.55000000000000004">
      <c r="A460" s="76">
        <v>46002</v>
      </c>
      <c r="B460" s="44" t="s">
        <v>3343</v>
      </c>
      <c r="C460" s="77">
        <v>20</v>
      </c>
      <c r="D460" s="78">
        <v>33000</v>
      </c>
      <c r="E460" s="79">
        <f>+$I$2+(FBD[[#This Row],[QUANTITE]]*FBD[[#This Row],[PRIX UNITAIRE]])</f>
        <v>660000</v>
      </c>
      <c r="F460" s="159"/>
      <c r="G460" s="74">
        <f>+SUM(E$9:$E460)-SUM(F$9:$F460)</f>
        <v>36654850</v>
      </c>
    </row>
    <row r="461" spans="1:7" ht="28.8" x14ac:dyDescent="0.55000000000000004">
      <c r="A461" s="76">
        <v>46002</v>
      </c>
      <c r="B461" s="44" t="s">
        <v>3344</v>
      </c>
      <c r="C461" s="77">
        <v>4</v>
      </c>
      <c r="D461" s="78">
        <v>180000</v>
      </c>
      <c r="E461" s="79">
        <f>+$I$2+(FBD[[#This Row],[QUANTITE]]*FBD[[#This Row],[PRIX UNITAIRE]])</f>
        <v>720000</v>
      </c>
      <c r="F461" s="159"/>
      <c r="G461" s="74">
        <f>+SUM(E$9:$E461)-SUM(F$9:$F461)</f>
        <v>37374850</v>
      </c>
    </row>
    <row r="462" spans="1:7" ht="28.8" x14ac:dyDescent="0.55000000000000004">
      <c r="A462" s="76">
        <v>46003</v>
      </c>
      <c r="B462" s="44" t="s">
        <v>276</v>
      </c>
      <c r="C462" s="77">
        <v>2</v>
      </c>
      <c r="D462" s="78">
        <v>75000</v>
      </c>
      <c r="E462" s="79">
        <f>+$I$2+(FBD[[#This Row],[QUANTITE]]*FBD[[#This Row],[PRIX UNITAIRE]])</f>
        <v>150000</v>
      </c>
      <c r="F462" s="159"/>
      <c r="G462" s="74">
        <f>+SUM(E$9:$E462)-SUM(F$9:$F462)</f>
        <v>37524850</v>
      </c>
    </row>
    <row r="463" spans="1:7" ht="28.8" x14ac:dyDescent="0.55000000000000004">
      <c r="A463" s="76">
        <v>46004</v>
      </c>
      <c r="B463" s="44" t="s">
        <v>259</v>
      </c>
      <c r="C463" s="77"/>
      <c r="D463" s="78"/>
      <c r="E463" s="79">
        <f>+$I$2+(FBD[[#This Row],[QUANTITE]]*FBD[[#This Row],[PRIX UNITAIRE]])</f>
        <v>0</v>
      </c>
      <c r="F463" s="159">
        <v>1790000</v>
      </c>
      <c r="G463" s="74">
        <f>+SUM(E$9:$E463)-SUM(F$9:$F463)</f>
        <v>35734850</v>
      </c>
    </row>
    <row r="464" spans="1:7" ht="28.8" x14ac:dyDescent="0.55000000000000004">
      <c r="A464" s="76">
        <v>46004</v>
      </c>
      <c r="B464" s="44" t="s">
        <v>2764</v>
      </c>
      <c r="C464" s="77">
        <v>10</v>
      </c>
      <c r="D464" s="78">
        <v>115000</v>
      </c>
      <c r="E464" s="79">
        <f>+$I$2+(FBD[[#This Row],[QUANTITE]]*FBD[[#This Row],[PRIX UNITAIRE]])</f>
        <v>1150000</v>
      </c>
      <c r="F464" s="159"/>
      <c r="G464" s="74">
        <f>+SUM(E$9:$E464)-SUM(F$9:$F464)</f>
        <v>36884850</v>
      </c>
    </row>
    <row r="465" spans="1:7" ht="28.8" x14ac:dyDescent="0.55000000000000004">
      <c r="A465" s="76">
        <v>46004</v>
      </c>
      <c r="B465" s="44" t="s">
        <v>450</v>
      </c>
      <c r="C465" s="77">
        <v>10</v>
      </c>
      <c r="D465" s="78">
        <v>115000</v>
      </c>
      <c r="E465" s="79">
        <f>+$I$2+(FBD[[#This Row],[QUANTITE]]*FBD[[#This Row],[PRIX UNITAIRE]])</f>
        <v>1150000</v>
      </c>
      <c r="F465" s="159"/>
      <c r="G465" s="74">
        <f>+SUM(E$9:$E465)-SUM(F$9:$F465)</f>
        <v>38034850</v>
      </c>
    </row>
    <row r="466" spans="1:7" ht="28.8" x14ac:dyDescent="0.55000000000000004">
      <c r="A466" s="76">
        <v>46004</v>
      </c>
      <c r="B466" s="44" t="s">
        <v>3335</v>
      </c>
      <c r="C466" s="77">
        <v>10</v>
      </c>
      <c r="D466" s="78">
        <v>89000</v>
      </c>
      <c r="E466" s="79">
        <f>+$I$2+(FBD[[#This Row],[QUANTITE]]*FBD[[#This Row],[PRIX UNITAIRE]])</f>
        <v>890000</v>
      </c>
      <c r="F466" s="159"/>
      <c r="G466" s="74">
        <f>+SUM(E$9:$E466)-SUM(F$9:$F466)</f>
        <v>38924850</v>
      </c>
    </row>
    <row r="467" spans="1:7" ht="28.8" x14ac:dyDescent="0.55000000000000004">
      <c r="A467" s="76">
        <v>46006</v>
      </c>
      <c r="B467" s="44" t="s">
        <v>3345</v>
      </c>
      <c r="C467" s="77">
        <v>1</v>
      </c>
      <c r="D467" s="78">
        <v>185000</v>
      </c>
      <c r="E467" s="79">
        <f>+$I$2+(FBD[[#This Row],[QUANTITE]]*FBD[[#This Row],[PRIX UNITAIRE]])</f>
        <v>185000</v>
      </c>
      <c r="F467" s="159"/>
      <c r="G467" s="74">
        <f>+SUM(E$9:$E467)-SUM(F$9:$F467)</f>
        <v>39109850</v>
      </c>
    </row>
    <row r="468" spans="1:7" ht="28.8" x14ac:dyDescent="0.55000000000000004">
      <c r="A468" s="76">
        <v>46013</v>
      </c>
      <c r="B468" s="44" t="s">
        <v>397</v>
      </c>
      <c r="C468" s="77">
        <v>10</v>
      </c>
      <c r="D468" s="78">
        <v>89000</v>
      </c>
      <c r="E468" s="79">
        <f>+$I$2+(FBD[[#This Row],[QUANTITE]]*FBD[[#This Row],[PRIX UNITAIRE]])</f>
        <v>890000</v>
      </c>
      <c r="F468" s="159"/>
      <c r="G468" s="74">
        <f>+SUM(E$9:$E468)-SUM(F$9:$F468)</f>
        <v>39999850</v>
      </c>
    </row>
    <row r="469" spans="1:7" ht="28.8" x14ac:dyDescent="0.55000000000000004">
      <c r="A469" s="76">
        <v>46011</v>
      </c>
      <c r="B469" s="44" t="s">
        <v>433</v>
      </c>
      <c r="C469" s="77"/>
      <c r="D469" s="78"/>
      <c r="E469" s="79">
        <f>+$I$2+(FBD[[#This Row],[QUANTITE]]*FBD[[#This Row],[PRIX UNITAIRE]])</f>
        <v>0</v>
      </c>
      <c r="F469" s="159">
        <v>11852500</v>
      </c>
      <c r="G469" s="74">
        <f>+SUM(E$9:$E469)-SUM(F$9:$F469)</f>
        <v>28147350</v>
      </c>
    </row>
    <row r="470" spans="1:7" ht="28.8" x14ac:dyDescent="0.55000000000000004">
      <c r="A470" s="76">
        <v>46011</v>
      </c>
      <c r="B470" s="44" t="s">
        <v>3346</v>
      </c>
      <c r="C470" s="77">
        <v>25</v>
      </c>
      <c r="D470" s="78">
        <v>115000</v>
      </c>
      <c r="E470" s="79">
        <f>+$I$2+(FBD[[#This Row],[QUANTITE]]*FBD[[#This Row],[PRIX UNITAIRE]])</f>
        <v>2875000</v>
      </c>
      <c r="F470" s="159"/>
      <c r="G470" s="74">
        <f>+SUM(E$9:$E470)-SUM(F$9:$F470)</f>
        <v>31022350</v>
      </c>
    </row>
    <row r="471" spans="1:7" ht="28.8" x14ac:dyDescent="0.55000000000000004">
      <c r="A471" s="76">
        <v>46014</v>
      </c>
      <c r="B471" s="44" t="s">
        <v>3347</v>
      </c>
      <c r="C471" s="77">
        <v>5</v>
      </c>
      <c r="D471" s="78">
        <v>10000</v>
      </c>
      <c r="E471" s="79">
        <f>+$I$2+(FBD[[#This Row],[QUANTITE]]*FBD[[#This Row],[PRIX UNITAIRE]])</f>
        <v>50000</v>
      </c>
      <c r="F471" s="159"/>
      <c r="G471" s="74">
        <f>+SUM(E$9:$E471)-SUM(F$9:$F471)</f>
        <v>31072350</v>
      </c>
    </row>
    <row r="472" spans="1:7" ht="28.8" x14ac:dyDescent="0.55000000000000004">
      <c r="A472" s="76">
        <v>46018</v>
      </c>
      <c r="B472" s="44" t="s">
        <v>433</v>
      </c>
      <c r="C472" s="77"/>
      <c r="D472" s="78"/>
      <c r="E472" s="79">
        <f>+$I$2+(FBD[[#This Row],[QUANTITE]]*FBD[[#This Row],[PRIX UNITAIRE]])</f>
        <v>0</v>
      </c>
      <c r="F472" s="159">
        <v>990000</v>
      </c>
      <c r="G472" s="74">
        <f>+SUM(E$9:$E472)-SUM(F$9:$F472)</f>
        <v>30082350</v>
      </c>
    </row>
    <row r="473" spans="1:7" ht="28.8" x14ac:dyDescent="0.55000000000000004">
      <c r="A473" s="76">
        <v>46020</v>
      </c>
      <c r="B473" s="44" t="s">
        <v>3348</v>
      </c>
      <c r="C473" s="77">
        <v>4</v>
      </c>
      <c r="D473" s="78">
        <v>75000</v>
      </c>
      <c r="E473" s="79">
        <f>+$I$2+(FBD[[#This Row],[QUANTITE]]*FBD[[#This Row],[PRIX UNITAIRE]])</f>
        <v>300000</v>
      </c>
      <c r="F473" s="159"/>
      <c r="G473" s="74">
        <f>+SUM(E$9:$E473)-SUM(F$9:$F473)</f>
        <v>30382350</v>
      </c>
    </row>
    <row r="474" spans="1:7" ht="28.8" x14ac:dyDescent="0.55000000000000004">
      <c r="A474" s="76">
        <v>46008</v>
      </c>
      <c r="B474" s="44" t="s">
        <v>275</v>
      </c>
      <c r="C474" s="77">
        <v>6</v>
      </c>
      <c r="D474" s="78">
        <v>60000</v>
      </c>
      <c r="E474" s="79">
        <f>+$I$2+(FBD[[#This Row],[QUANTITE]]*FBD[[#This Row],[PRIX UNITAIRE]])</f>
        <v>360000</v>
      </c>
      <c r="F474" s="159"/>
      <c r="G474" s="74">
        <f>+SUM(E$9:$E474)-SUM(F$9:$F474)</f>
        <v>30742350</v>
      </c>
    </row>
    <row r="475" spans="1:7" ht="28.8" x14ac:dyDescent="0.55000000000000004">
      <c r="A475" s="76">
        <v>46008</v>
      </c>
      <c r="B475" s="44" t="s">
        <v>3349</v>
      </c>
      <c r="C475" s="77">
        <v>96</v>
      </c>
      <c r="D475" s="78">
        <v>1500</v>
      </c>
      <c r="E475" s="79">
        <f>+$I$2+(FBD[[#This Row],[QUANTITE]]*FBD[[#This Row],[PRIX UNITAIRE]])</f>
        <v>144000</v>
      </c>
      <c r="F475" s="159"/>
      <c r="G475" s="74">
        <f>+SUM(E$9:$E475)-SUM(F$9:$F475)</f>
        <v>30886350</v>
      </c>
    </row>
    <row r="476" spans="1:7" ht="28.8" x14ac:dyDescent="0.55000000000000004">
      <c r="A476" s="76">
        <v>46008</v>
      </c>
      <c r="B476" s="44" t="s">
        <v>410</v>
      </c>
      <c r="C476" s="77">
        <v>15</v>
      </c>
      <c r="D476" s="78">
        <v>35000</v>
      </c>
      <c r="E476" s="79">
        <f>+$I$2+(FBD[[#This Row],[QUANTITE]]*FBD[[#This Row],[PRIX UNITAIRE]])</f>
        <v>525000</v>
      </c>
      <c r="F476" s="159"/>
      <c r="G476" s="74">
        <f>+SUM(E$9:$E476)-SUM(F$9:$F476)</f>
        <v>31411350</v>
      </c>
    </row>
    <row r="477" spans="1:7" ht="28.8" x14ac:dyDescent="0.55000000000000004">
      <c r="A477" s="76">
        <v>46008</v>
      </c>
      <c r="B477" s="44" t="s">
        <v>3340</v>
      </c>
      <c r="C477" s="77">
        <v>10</v>
      </c>
      <c r="D477" s="78">
        <v>33000</v>
      </c>
      <c r="E477" s="79">
        <f>+$I$2+(FBD[[#This Row],[QUANTITE]]*FBD[[#This Row],[PRIX UNITAIRE]])</f>
        <v>330000</v>
      </c>
      <c r="F477" s="159"/>
      <c r="G477" s="74">
        <f>+SUM(E$9:$E477)-SUM(F$9:$F477)</f>
        <v>31741350</v>
      </c>
    </row>
    <row r="478" spans="1:7" ht="28.8" x14ac:dyDescent="0.55000000000000004">
      <c r="A478" s="76">
        <v>46008</v>
      </c>
      <c r="B478" s="44" t="s">
        <v>3029</v>
      </c>
      <c r="C478" s="77">
        <v>1</v>
      </c>
      <c r="D478" s="78">
        <v>40000</v>
      </c>
      <c r="E478" s="79">
        <f>+$I$2+(FBD[[#This Row],[QUANTITE]]*FBD[[#This Row],[PRIX UNITAIRE]])</f>
        <v>40000</v>
      </c>
      <c r="F478" s="159"/>
      <c r="G478" s="74">
        <f>+SUM(E$9:$E478)-SUM(F$9:$F478)</f>
        <v>31781350</v>
      </c>
    </row>
    <row r="479" spans="1:7" ht="28.8" x14ac:dyDescent="0.55000000000000004">
      <c r="A479" s="76">
        <v>46008</v>
      </c>
      <c r="B479" s="44" t="s">
        <v>3164</v>
      </c>
      <c r="C479" s="77">
        <v>2</v>
      </c>
      <c r="D479" s="78">
        <v>12000</v>
      </c>
      <c r="E479" s="79">
        <f>+$I$2+(FBD[[#This Row],[QUANTITE]]*FBD[[#This Row],[PRIX UNITAIRE]])</f>
        <v>24000</v>
      </c>
      <c r="F479" s="159"/>
      <c r="G479" s="74">
        <f>+SUM(E$9:$E479)-SUM(F$9:$F479)</f>
        <v>31805350</v>
      </c>
    </row>
    <row r="480" spans="1:7" ht="28.8" x14ac:dyDescent="0.55000000000000004">
      <c r="A480" s="76">
        <v>46008</v>
      </c>
      <c r="B480" s="44" t="s">
        <v>1150</v>
      </c>
      <c r="C480" s="77">
        <v>6</v>
      </c>
      <c r="D480" s="78">
        <v>75000</v>
      </c>
      <c r="E480" s="79">
        <f>+$I$2+(FBD[[#This Row],[QUANTITE]]*FBD[[#This Row],[PRIX UNITAIRE]])</f>
        <v>450000</v>
      </c>
      <c r="F480" s="159"/>
      <c r="G480" s="74">
        <f>+SUM(E$9:$E480)-SUM(F$9:$F480)</f>
        <v>32255350</v>
      </c>
    </row>
    <row r="481" spans="1:7" ht="28.8" x14ac:dyDescent="0.55000000000000004">
      <c r="A481" s="76">
        <v>46008</v>
      </c>
      <c r="B481" s="44" t="s">
        <v>3350</v>
      </c>
      <c r="C481" s="77">
        <v>4</v>
      </c>
      <c r="D481" s="78">
        <v>55000</v>
      </c>
      <c r="E481" s="79">
        <f>+$I$2+(FBD[[#This Row],[QUANTITE]]*FBD[[#This Row],[PRIX UNITAIRE]])</f>
        <v>220000</v>
      </c>
      <c r="F481" s="159"/>
      <c r="G481" s="74">
        <f>+SUM(E$9:$E481)-SUM(F$9:$F481)</f>
        <v>32475350</v>
      </c>
    </row>
    <row r="482" spans="1:7" ht="28.8" x14ac:dyDescent="0.55000000000000004">
      <c r="A482" s="76">
        <v>46008</v>
      </c>
      <c r="B482" s="44" t="s">
        <v>535</v>
      </c>
      <c r="C482" s="77">
        <v>8</v>
      </c>
      <c r="D482" s="78">
        <v>30000</v>
      </c>
      <c r="E482" s="79">
        <f>+$I$2+(FBD[[#This Row],[QUANTITE]]*FBD[[#This Row],[PRIX UNITAIRE]])</f>
        <v>240000</v>
      </c>
      <c r="F482" s="159"/>
      <c r="G482" s="74">
        <f>+SUM(E$9:$E482)-SUM(F$9:$F482)</f>
        <v>32715350</v>
      </c>
    </row>
    <row r="483" spans="1:7" ht="28.8" x14ac:dyDescent="0.55000000000000004">
      <c r="A483" s="76">
        <v>46008</v>
      </c>
      <c r="B483" s="44" t="s">
        <v>3351</v>
      </c>
      <c r="C483" s="77">
        <v>8</v>
      </c>
      <c r="D483" s="78">
        <v>115000</v>
      </c>
      <c r="E483" s="79">
        <f>+$I$2+(FBD[[#This Row],[QUANTITE]]*FBD[[#This Row],[PRIX UNITAIRE]])</f>
        <v>920000</v>
      </c>
      <c r="F483" s="159"/>
      <c r="G483" s="74">
        <f>+SUM(E$9:$E483)-SUM(F$9:$F483)</f>
        <v>33635350</v>
      </c>
    </row>
    <row r="484" spans="1:7" ht="28.8" x14ac:dyDescent="0.55000000000000004">
      <c r="A484" s="76">
        <v>46014</v>
      </c>
      <c r="B484" s="44" t="s">
        <v>3352</v>
      </c>
      <c r="C484" s="77">
        <v>10</v>
      </c>
      <c r="D484" s="78">
        <v>33000</v>
      </c>
      <c r="E484" s="79">
        <f>+$I$2+(FBD[[#This Row],[QUANTITE]]*FBD[[#This Row],[PRIX UNITAIRE]])</f>
        <v>330000</v>
      </c>
      <c r="F484" s="159"/>
      <c r="G484" s="74">
        <f>+SUM(E$9:$E484)-SUM(F$9:$F484)</f>
        <v>33965350</v>
      </c>
    </row>
    <row r="485" spans="1:7" ht="28.8" x14ac:dyDescent="0.55000000000000004">
      <c r="A485" s="76">
        <v>46014</v>
      </c>
      <c r="B485" s="44" t="s">
        <v>3353</v>
      </c>
      <c r="C485" s="77">
        <v>1</v>
      </c>
      <c r="D485" s="78">
        <v>330000</v>
      </c>
      <c r="E485" s="79">
        <f>+$I$2+(FBD[[#This Row],[QUANTITE]]*FBD[[#This Row],[PRIX UNITAIRE]])</f>
        <v>330000</v>
      </c>
      <c r="F485" s="159"/>
      <c r="G485" s="74">
        <f>+SUM(E$9:$E485)-SUM(F$9:$F485)</f>
        <v>34295350</v>
      </c>
    </row>
    <row r="486" spans="1:7" ht="28.8" x14ac:dyDescent="0.55000000000000004">
      <c r="A486" s="76">
        <v>46014</v>
      </c>
      <c r="B486" s="44" t="s">
        <v>3354</v>
      </c>
      <c r="C486" s="77">
        <v>4</v>
      </c>
      <c r="D486" s="78">
        <v>75000</v>
      </c>
      <c r="E486" s="79">
        <f>+$I$2+(FBD[[#This Row],[QUANTITE]]*FBD[[#This Row],[PRIX UNITAIRE]])</f>
        <v>300000</v>
      </c>
      <c r="F486" s="159"/>
      <c r="G486" s="74">
        <f>+SUM(E$9:$E486)-SUM(F$9:$F486)</f>
        <v>34595350</v>
      </c>
    </row>
    <row r="487" spans="1:7" ht="28.8" x14ac:dyDescent="0.55000000000000004">
      <c r="A487" s="76">
        <v>46018</v>
      </c>
      <c r="B487" s="44" t="s">
        <v>259</v>
      </c>
      <c r="C487" s="77"/>
      <c r="D487" s="78"/>
      <c r="E487" s="79">
        <f>+$I$2+(FBD[[#This Row],[QUANTITE]]*FBD[[#This Row],[PRIX UNITAIRE]])</f>
        <v>0</v>
      </c>
      <c r="F487" s="159">
        <v>990000</v>
      </c>
      <c r="G487" s="74">
        <f>+SUM(E$9:$E487)-SUM(F$9:$F487)</f>
        <v>33605350</v>
      </c>
    </row>
    <row r="488" spans="1:7" ht="28.8" x14ac:dyDescent="0.55000000000000004">
      <c r="A488" s="76">
        <v>46025</v>
      </c>
      <c r="B488" s="44" t="s">
        <v>3352</v>
      </c>
      <c r="C488" s="77">
        <v>20</v>
      </c>
      <c r="D488" s="78">
        <v>33000</v>
      </c>
      <c r="E488" s="79">
        <f>+$I$2+(FBD[[#This Row],[QUANTITE]]*FBD[[#This Row],[PRIX UNITAIRE]])</f>
        <v>660000</v>
      </c>
      <c r="F488" s="159"/>
      <c r="G488" s="74">
        <f>+SUM(E$9:$E488)-SUM(F$9:$F488)</f>
        <v>34265350</v>
      </c>
    </row>
    <row r="489" spans="1:7" ht="28.8" x14ac:dyDescent="0.55000000000000004">
      <c r="A489" s="76">
        <v>46025</v>
      </c>
      <c r="B489" s="44" t="s">
        <v>3355</v>
      </c>
      <c r="C489" s="77">
        <v>10</v>
      </c>
      <c r="D489" s="78">
        <v>33000</v>
      </c>
      <c r="E489" s="79">
        <f>+$I$2+(FBD[[#This Row],[QUANTITE]]*FBD[[#This Row],[PRIX UNITAIRE]])</f>
        <v>330000</v>
      </c>
      <c r="F489" s="159"/>
      <c r="G489" s="74">
        <f>+SUM(E$9:$E489)-SUM(F$9:$F489)</f>
        <v>34595350</v>
      </c>
    </row>
    <row r="490" spans="1:7" ht="28.8" x14ac:dyDescent="0.55000000000000004">
      <c r="A490" s="76">
        <v>46025</v>
      </c>
      <c r="B490" s="44" t="s">
        <v>397</v>
      </c>
      <c r="C490" s="77">
        <v>15</v>
      </c>
      <c r="D490" s="78">
        <v>89000</v>
      </c>
      <c r="E490" s="79">
        <f>+$I$2+(FBD[[#This Row],[QUANTITE]]*FBD[[#This Row],[PRIX UNITAIRE]])</f>
        <v>1335000</v>
      </c>
      <c r="F490" s="159"/>
      <c r="G490" s="74">
        <f>+SUM(E$9:$E490)-SUM(F$9:$F490)</f>
        <v>35930350</v>
      </c>
    </row>
    <row r="491" spans="1:7" ht="28.8" x14ac:dyDescent="0.55000000000000004">
      <c r="A491" s="76">
        <v>46022</v>
      </c>
      <c r="B491" s="44" t="s">
        <v>259</v>
      </c>
      <c r="C491" s="77"/>
      <c r="D491" s="78"/>
      <c r="E491" s="79">
        <f>+$I$2+(FBD[[#This Row],[QUANTITE]]*FBD[[#This Row],[PRIX UNITAIRE]])</f>
        <v>0</v>
      </c>
      <c r="F491" s="159">
        <v>1058000</v>
      </c>
      <c r="G491" s="74">
        <f>+SUM(E$9:$E491)-SUM(F$9:$F491)</f>
        <v>34872350</v>
      </c>
    </row>
    <row r="492" spans="1:7" ht="28.8" x14ac:dyDescent="0.55000000000000004">
      <c r="A492" s="76">
        <v>46032</v>
      </c>
      <c r="B492" s="44" t="s">
        <v>433</v>
      </c>
      <c r="C492" s="77"/>
      <c r="D492" s="78"/>
      <c r="E492" s="79">
        <f>+$I$2+(FBD[[#This Row],[QUANTITE]]*FBD[[#This Row],[PRIX UNITAIRE]])</f>
        <v>0</v>
      </c>
      <c r="F492" s="159">
        <v>1322000</v>
      </c>
      <c r="G492" s="74">
        <f>+SUM(E$9:$E492)-SUM(F$9:$F492)</f>
        <v>33550350</v>
      </c>
    </row>
    <row r="493" spans="1:7" ht="28.8" x14ac:dyDescent="0.55000000000000004">
      <c r="A493" s="76"/>
      <c r="B493" s="44"/>
      <c r="C493" s="77"/>
      <c r="D493" s="78"/>
      <c r="E493" s="79">
        <f>+$I$2+(FBD[[#This Row],[QUANTITE]]*FBD[[#This Row],[PRIX UNITAIRE]])</f>
        <v>0</v>
      </c>
      <c r="F493" s="159"/>
      <c r="G493" s="74">
        <f>+SUM(E$9:$E493)-SUM(F$9:$F493)</f>
        <v>33550350</v>
      </c>
    </row>
    <row r="494" spans="1:7" ht="28.8" x14ac:dyDescent="0.55000000000000004">
      <c r="A494" s="76"/>
      <c r="B494" s="44"/>
      <c r="C494" s="77"/>
      <c r="D494" s="78"/>
      <c r="E494" s="79">
        <f>+$I$2+(FBD[[#This Row],[QUANTITE]]*FBD[[#This Row],[PRIX UNITAIRE]])</f>
        <v>0</v>
      </c>
      <c r="F494" s="159"/>
      <c r="G494" s="74">
        <f>+SUM(E$9:$E494)-SUM(F$9:$F494)</f>
        <v>33550350</v>
      </c>
    </row>
    <row r="495" spans="1:7" ht="28.8" x14ac:dyDescent="0.55000000000000004">
      <c r="A495" s="76"/>
      <c r="B495" s="44"/>
      <c r="C495" s="77"/>
      <c r="D495" s="78"/>
      <c r="E495" s="79">
        <f>+$I$2+(FBD[[#This Row],[QUANTITE]]*FBD[[#This Row],[PRIX UNITAIRE]])</f>
        <v>0</v>
      </c>
      <c r="F495" s="159"/>
      <c r="G495" s="74">
        <f>+SUM(E$9:$E495)-SUM(F$9:$F495)</f>
        <v>33550350</v>
      </c>
    </row>
    <row r="496" spans="1:7" ht="28.8" x14ac:dyDescent="0.55000000000000004">
      <c r="A496" s="76"/>
      <c r="B496" s="44"/>
      <c r="C496" s="77"/>
      <c r="D496" s="78"/>
      <c r="E496" s="79">
        <f>+$I$2+(FBD[[#This Row],[QUANTITE]]*FBD[[#This Row],[PRIX UNITAIRE]])</f>
        <v>0</v>
      </c>
      <c r="F496" s="159"/>
      <c r="G496" s="74">
        <f>+SUM(E$9:$E496)-SUM(F$9:$F496)</f>
        <v>33550350</v>
      </c>
    </row>
    <row r="497" spans="1:7" ht="28.8" x14ac:dyDescent="0.55000000000000004">
      <c r="A497" s="76"/>
      <c r="B497" s="44"/>
      <c r="C497" s="77"/>
      <c r="D497" s="78"/>
      <c r="E497" s="79">
        <f>+$I$2+(FBD[[#This Row],[QUANTITE]]*FBD[[#This Row],[PRIX UNITAIRE]])</f>
        <v>0</v>
      </c>
      <c r="F497" s="159"/>
      <c r="G497" s="74">
        <f>+SUM(E$9:$E497)-SUM(F$9:$F497)</f>
        <v>33550350</v>
      </c>
    </row>
    <row r="498" spans="1:7" ht="28.8" x14ac:dyDescent="0.55000000000000004">
      <c r="A498" s="76"/>
      <c r="B498" s="44"/>
      <c r="C498" s="77"/>
      <c r="D498" s="78"/>
      <c r="E498" s="79">
        <f>+$I$2+(FBD[[#This Row],[QUANTITE]]*FBD[[#This Row],[PRIX UNITAIRE]])</f>
        <v>0</v>
      </c>
      <c r="F498" s="159"/>
      <c r="G498" s="74">
        <f>+SUM(E$9:$E498)-SUM(F$9:$F498)</f>
        <v>33550350</v>
      </c>
    </row>
    <row r="499" spans="1:7" ht="28.8" x14ac:dyDescent="0.55000000000000004">
      <c r="A499" s="76"/>
      <c r="B499" s="44"/>
      <c r="C499" s="77"/>
      <c r="D499" s="78"/>
      <c r="E499" s="79">
        <f>+$I$2+(FBD[[#This Row],[QUANTITE]]*FBD[[#This Row],[PRIX UNITAIRE]])</f>
        <v>0</v>
      </c>
      <c r="F499" s="159"/>
      <c r="G499" s="74">
        <f>+SUM(E$9:$E499)-SUM(F$9:$F499)</f>
        <v>33550350</v>
      </c>
    </row>
    <row r="500" spans="1:7" ht="28.8" x14ac:dyDescent="0.55000000000000004">
      <c r="A500" s="76"/>
      <c r="B500" s="44"/>
      <c r="C500" s="77"/>
      <c r="D500" s="78"/>
      <c r="E500" s="79">
        <f>+$I$2+(FBD[[#This Row],[QUANTITE]]*FBD[[#This Row],[PRIX UNITAIRE]])</f>
        <v>0</v>
      </c>
      <c r="F500" s="159"/>
      <c r="G500" s="74">
        <f>+SUM(E$9:$E500)-SUM(F$9:$F500)</f>
        <v>33550350</v>
      </c>
    </row>
    <row r="501" spans="1:7" ht="28.8" x14ac:dyDescent="0.55000000000000004">
      <c r="A501" s="76"/>
      <c r="B501" s="44"/>
      <c r="C501" s="77"/>
      <c r="D501" s="78"/>
      <c r="E501" s="79">
        <f>+$I$2+(FBD[[#This Row],[QUANTITE]]*FBD[[#This Row],[PRIX UNITAIRE]])</f>
        <v>0</v>
      </c>
      <c r="F501" s="159"/>
      <c r="G501" s="74">
        <f>+SUM(E$9:$E501)-SUM(F$9:$F501)</f>
        <v>33550350</v>
      </c>
    </row>
    <row r="502" spans="1:7" ht="28.8" x14ac:dyDescent="0.55000000000000004">
      <c r="A502" s="76"/>
      <c r="B502" s="44"/>
      <c r="C502" s="77"/>
      <c r="D502" s="78"/>
      <c r="E502" s="79">
        <f>+$I$2+(FBD[[#This Row],[QUANTITE]]*FBD[[#This Row],[PRIX UNITAIRE]])</f>
        <v>0</v>
      </c>
      <c r="F502" s="159"/>
      <c r="G502" s="74">
        <f>+SUM(E$9:$E502)-SUM(F$9:$F502)</f>
        <v>33550350</v>
      </c>
    </row>
    <row r="503" spans="1:7" ht="28.8" x14ac:dyDescent="0.55000000000000004">
      <c r="A503" s="76"/>
      <c r="B503" s="44"/>
      <c r="C503" s="77"/>
      <c r="D503" s="78"/>
      <c r="E503" s="79">
        <f>+$I$2+(FBD[[#This Row],[QUANTITE]]*FBD[[#This Row],[PRIX UNITAIRE]])</f>
        <v>0</v>
      </c>
      <c r="F503" s="159"/>
      <c r="G503" s="74">
        <f>+SUM(E$9:$E503)-SUM(F$9:$F503)</f>
        <v>33550350</v>
      </c>
    </row>
    <row r="504" spans="1:7" ht="28.8" x14ac:dyDescent="0.55000000000000004">
      <c r="A504" s="76"/>
      <c r="B504" s="44"/>
      <c r="C504" s="77"/>
      <c r="D504" s="78"/>
      <c r="E504" s="79">
        <f>+$I$2+(FBD[[#This Row],[QUANTITE]]*FBD[[#This Row],[PRIX UNITAIRE]])</f>
        <v>0</v>
      </c>
      <c r="F504" s="159"/>
      <c r="G504" s="74">
        <f>+SUM(E$9:$E504)-SUM(F$9:$F504)</f>
        <v>33550350</v>
      </c>
    </row>
    <row r="505" spans="1:7" ht="28.8" x14ac:dyDescent="0.55000000000000004">
      <c r="A505" s="76"/>
      <c r="B505" s="44"/>
      <c r="C505" s="77"/>
      <c r="D505" s="78"/>
      <c r="E505" s="79">
        <f>+$I$2+(FBD[[#This Row],[QUANTITE]]*FBD[[#This Row],[PRIX UNITAIRE]])</f>
        <v>0</v>
      </c>
      <c r="F505" s="159"/>
      <c r="G505" s="74">
        <f>+SUM(E$9:$E505)-SUM(F$9:$F505)</f>
        <v>33550350</v>
      </c>
    </row>
    <row r="506" spans="1:7" ht="28.8" x14ac:dyDescent="0.55000000000000004">
      <c r="A506" s="76"/>
      <c r="B506" s="44"/>
      <c r="C506" s="77"/>
      <c r="D506" s="78"/>
      <c r="E506" s="79">
        <f>+$I$2+(FBD[[#This Row],[QUANTITE]]*FBD[[#This Row],[PRIX UNITAIRE]])</f>
        <v>0</v>
      </c>
      <c r="F506" s="159"/>
      <c r="G506" s="74">
        <f>+SUM(E$9:$E506)-SUM(F$9:$F506)</f>
        <v>33550350</v>
      </c>
    </row>
    <row r="507" spans="1:7" ht="28.8" x14ac:dyDescent="0.55000000000000004">
      <c r="A507" s="76"/>
      <c r="B507" s="44"/>
      <c r="C507" s="77"/>
      <c r="D507" s="78"/>
      <c r="E507" s="79">
        <f>+$I$2+(FBD[[#This Row],[QUANTITE]]*FBD[[#This Row],[PRIX UNITAIRE]])</f>
        <v>0</v>
      </c>
      <c r="F507" s="159"/>
      <c r="G507" s="74">
        <f>+SUM(E$9:$E507)-SUM(F$9:$F507)</f>
        <v>33550350</v>
      </c>
    </row>
    <row r="508" spans="1:7" ht="28.8" x14ac:dyDescent="0.55000000000000004">
      <c r="A508" s="76"/>
      <c r="B508" s="44"/>
      <c r="C508" s="77"/>
      <c r="D508" s="78"/>
      <c r="E508" s="79">
        <f>+$I$2+(FBD[[#This Row],[QUANTITE]]*FBD[[#This Row],[PRIX UNITAIRE]])</f>
        <v>0</v>
      </c>
      <c r="F508" s="159"/>
      <c r="G508" s="74">
        <f>+SUM(E$9:$E508)-SUM(F$9:$F508)</f>
        <v>33550350</v>
      </c>
    </row>
    <row r="509" spans="1:7" ht="28.8" x14ac:dyDescent="0.55000000000000004">
      <c r="A509" s="76"/>
      <c r="B509" s="44"/>
      <c r="C509" s="77"/>
      <c r="D509" s="78"/>
      <c r="E509" s="79">
        <f>+$I$2+(FBD[[#This Row],[QUANTITE]]*FBD[[#This Row],[PRIX UNITAIRE]])</f>
        <v>0</v>
      </c>
      <c r="F509" s="159"/>
      <c r="G509" s="74">
        <f>+SUM(E$9:$E509)-SUM(F$9:$F509)</f>
        <v>33550350</v>
      </c>
    </row>
    <row r="510" spans="1:7" ht="28.8" x14ac:dyDescent="0.55000000000000004">
      <c r="A510" s="76"/>
      <c r="B510" s="44"/>
      <c r="C510" s="77"/>
      <c r="D510" s="78"/>
      <c r="E510" s="79">
        <f>+$I$2+(FBD[[#This Row],[QUANTITE]]*FBD[[#This Row],[PRIX UNITAIRE]])</f>
        <v>0</v>
      </c>
      <c r="F510" s="159"/>
      <c r="G510" s="74">
        <f>+SUM(E$9:$E510)-SUM(F$9:$F510)</f>
        <v>33550350</v>
      </c>
    </row>
    <row r="511" spans="1:7" ht="28.8" x14ac:dyDescent="0.55000000000000004">
      <c r="A511" s="76"/>
      <c r="B511" s="44"/>
      <c r="C511" s="77"/>
      <c r="D511" s="78"/>
      <c r="E511" s="79">
        <f>+$I$2+(FBD[[#This Row],[QUANTITE]]*FBD[[#This Row],[PRIX UNITAIRE]])</f>
        <v>0</v>
      </c>
      <c r="F511" s="159"/>
      <c r="G511" s="74">
        <f>+SUM(E$9:$E511)-SUM(F$9:$F511)</f>
        <v>33550350</v>
      </c>
    </row>
    <row r="512" spans="1:7" ht="28.8" x14ac:dyDescent="0.55000000000000004">
      <c r="A512" s="76"/>
      <c r="B512" s="44"/>
      <c r="C512" s="77"/>
      <c r="D512" s="78"/>
      <c r="E512" s="79">
        <f>+$I$2+(FBD[[#This Row],[QUANTITE]]*FBD[[#This Row],[PRIX UNITAIRE]])</f>
        <v>0</v>
      </c>
      <c r="F512" s="159"/>
      <c r="G512" s="74">
        <f>+SUM(E$9:$E512)-SUM(F$9:$F512)</f>
        <v>33550350</v>
      </c>
    </row>
    <row r="513" spans="1:7" ht="28.8" x14ac:dyDescent="0.55000000000000004">
      <c r="A513" s="76"/>
      <c r="B513" s="44"/>
      <c r="C513" s="77"/>
      <c r="D513" s="78"/>
      <c r="E513" s="79">
        <f>+$I$2+(FBD[[#This Row],[QUANTITE]]*FBD[[#This Row],[PRIX UNITAIRE]])</f>
        <v>0</v>
      </c>
      <c r="F513" s="159"/>
      <c r="G513" s="74">
        <f>+SUM(E$9:$E513)-SUM(F$9:$F513)</f>
        <v>33550350</v>
      </c>
    </row>
    <row r="514" spans="1:7" ht="28.8" x14ac:dyDescent="0.55000000000000004">
      <c r="A514" s="76"/>
      <c r="B514" s="44"/>
      <c r="C514" s="77"/>
      <c r="D514" s="78"/>
      <c r="E514" s="79">
        <f>+$I$2+(FBD[[#This Row],[QUANTITE]]*FBD[[#This Row],[PRIX UNITAIRE]])</f>
        <v>0</v>
      </c>
      <c r="F514" s="159"/>
      <c r="G514" s="74">
        <f>+SUM(E$9:$E514)-SUM(F$9:$F514)</f>
        <v>33550350</v>
      </c>
    </row>
    <row r="515" spans="1:7" ht="28.8" x14ac:dyDescent="0.55000000000000004">
      <c r="A515" s="76"/>
      <c r="B515" s="44"/>
      <c r="C515" s="77"/>
      <c r="D515" s="78"/>
      <c r="E515" s="79">
        <f>+$I$2+(FBD[[#This Row],[QUANTITE]]*FBD[[#This Row],[PRIX UNITAIRE]])</f>
        <v>0</v>
      </c>
      <c r="F515" s="159"/>
      <c r="G515" s="74">
        <f>+SUM(E$9:$E515)-SUM(F$9:$F515)</f>
        <v>33550350</v>
      </c>
    </row>
    <row r="516" spans="1:7" ht="28.8" x14ac:dyDescent="0.55000000000000004">
      <c r="A516" s="76"/>
      <c r="B516" s="44"/>
      <c r="C516" s="77"/>
      <c r="D516" s="78"/>
      <c r="E516" s="79">
        <f>+$I$2+(FBD[[#This Row],[QUANTITE]]*FBD[[#This Row],[PRIX UNITAIRE]])</f>
        <v>0</v>
      </c>
      <c r="F516" s="159"/>
      <c r="G516" s="74">
        <f>+SUM(E$9:$E516)-SUM(F$9:$F516)</f>
        <v>33550350</v>
      </c>
    </row>
    <row r="517" spans="1:7" ht="28.8" x14ac:dyDescent="0.55000000000000004">
      <c r="A517" s="76"/>
      <c r="B517" s="44"/>
      <c r="C517" s="77"/>
      <c r="D517" s="78"/>
      <c r="E517" s="79">
        <f>+$I$2+(FBD[[#This Row],[QUANTITE]]*FBD[[#This Row],[PRIX UNITAIRE]])</f>
        <v>0</v>
      </c>
      <c r="F517" s="159"/>
      <c r="G517" s="74">
        <f>+SUM(E$9:$E517)-SUM(F$9:$F517)</f>
        <v>33550350</v>
      </c>
    </row>
    <row r="518" spans="1:7" ht="28.8" x14ac:dyDescent="0.55000000000000004">
      <c r="A518" s="76"/>
      <c r="B518" s="44"/>
      <c r="C518" s="77"/>
      <c r="D518" s="78"/>
      <c r="E518" s="79">
        <f>+$I$2+(FBD[[#This Row],[QUANTITE]]*FBD[[#This Row],[PRIX UNITAIRE]])</f>
        <v>0</v>
      </c>
      <c r="F518" s="159"/>
      <c r="G518" s="74">
        <f>+SUM(E$9:$E518)-SUM(F$9:$F518)</f>
        <v>33550350</v>
      </c>
    </row>
    <row r="519" spans="1:7" ht="28.8" x14ac:dyDescent="0.55000000000000004">
      <c r="A519" s="76"/>
      <c r="B519" s="44"/>
      <c r="C519" s="77"/>
      <c r="D519" s="78"/>
      <c r="E519" s="79">
        <f>+$I$2+(FBD[[#This Row],[QUANTITE]]*FBD[[#This Row],[PRIX UNITAIRE]])</f>
        <v>0</v>
      </c>
      <c r="F519" s="159"/>
      <c r="G519" s="74">
        <f>+SUM(E$9:$E519)-SUM(F$9:$F519)</f>
        <v>33550350</v>
      </c>
    </row>
    <row r="520" spans="1:7" ht="28.8" x14ac:dyDescent="0.55000000000000004">
      <c r="A520" s="76"/>
      <c r="B520" s="44"/>
      <c r="C520" s="77"/>
      <c r="D520" s="78"/>
      <c r="E520" s="79">
        <f>+$I$2+(FBD[[#This Row],[QUANTITE]]*FBD[[#This Row],[PRIX UNITAIRE]])</f>
        <v>0</v>
      </c>
      <c r="F520" s="159"/>
      <c r="G520" s="74">
        <f>+SUM(E$9:$E520)-SUM(F$9:$F520)</f>
        <v>33550350</v>
      </c>
    </row>
    <row r="521" spans="1:7" ht="28.8" x14ac:dyDescent="0.55000000000000004">
      <c r="A521" s="76"/>
      <c r="B521" s="44"/>
      <c r="C521" s="77"/>
      <c r="D521" s="78"/>
      <c r="E521" s="79">
        <f>+$I$2+(FBD[[#This Row],[QUANTITE]]*FBD[[#This Row],[PRIX UNITAIRE]])</f>
        <v>0</v>
      </c>
      <c r="F521" s="159"/>
      <c r="G521" s="74">
        <f>+SUM(E$9:$E521)-SUM(F$9:$F521)</f>
        <v>33550350</v>
      </c>
    </row>
    <row r="522" spans="1:7" ht="28.8" x14ac:dyDescent="0.55000000000000004">
      <c r="A522" s="76"/>
      <c r="B522" s="44"/>
      <c r="C522" s="77"/>
      <c r="D522" s="78"/>
      <c r="E522" s="79">
        <f>+$I$2+(FBD[[#This Row],[QUANTITE]]*FBD[[#This Row],[PRIX UNITAIRE]])</f>
        <v>0</v>
      </c>
      <c r="F522" s="159"/>
      <c r="G522" s="74">
        <f>+SUM(E$9:$E522)-SUM(F$9:$F522)</f>
        <v>33550350</v>
      </c>
    </row>
    <row r="523" spans="1:7" ht="28.8" x14ac:dyDescent="0.55000000000000004">
      <c r="A523" s="76"/>
      <c r="B523" s="44"/>
      <c r="C523" s="77"/>
      <c r="D523" s="78"/>
      <c r="E523" s="79">
        <f>+$I$2+(FBD[[#This Row],[QUANTITE]]*FBD[[#This Row],[PRIX UNITAIRE]])</f>
        <v>0</v>
      </c>
      <c r="F523" s="159"/>
      <c r="G523" s="74">
        <f>+SUM(E$9:$E523)-SUM(F$9:$F523)</f>
        <v>33550350</v>
      </c>
    </row>
    <row r="524" spans="1:7" ht="28.8" x14ac:dyDescent="0.55000000000000004">
      <c r="A524" s="76"/>
      <c r="B524" s="44"/>
      <c r="C524" s="77"/>
      <c r="D524" s="78"/>
      <c r="E524" s="79">
        <f>+$I$2+(FBD[[#This Row],[QUANTITE]]*FBD[[#This Row],[PRIX UNITAIRE]])</f>
        <v>0</v>
      </c>
      <c r="F524" s="159"/>
      <c r="G524" s="74">
        <f>+SUM(E$9:$E524)-SUM(F$9:$F524)</f>
        <v>33550350</v>
      </c>
    </row>
    <row r="525" spans="1:7" ht="28.8" x14ac:dyDescent="0.55000000000000004">
      <c r="A525" s="76"/>
      <c r="B525" s="44"/>
      <c r="C525" s="77"/>
      <c r="D525" s="78"/>
      <c r="E525" s="79">
        <f>+$I$2+(FBD[[#This Row],[QUANTITE]]*FBD[[#This Row],[PRIX UNITAIRE]])</f>
        <v>0</v>
      </c>
      <c r="F525" s="159"/>
      <c r="G525" s="74">
        <f>+SUM(E$9:$E525)-SUM(F$9:$F525)</f>
        <v>33550350</v>
      </c>
    </row>
    <row r="526" spans="1:7" ht="28.8" x14ac:dyDescent="0.55000000000000004">
      <c r="A526" s="76"/>
      <c r="B526" s="44"/>
      <c r="C526" s="77"/>
      <c r="D526" s="78"/>
      <c r="E526" s="79">
        <f>+$I$2+(FBD[[#This Row],[QUANTITE]]*FBD[[#This Row],[PRIX UNITAIRE]])</f>
        <v>0</v>
      </c>
      <c r="F526" s="159"/>
      <c r="G526" s="74">
        <f>+SUM(E$9:$E526)-SUM(F$9:$F526)</f>
        <v>33550350</v>
      </c>
    </row>
    <row r="527" spans="1:7" ht="28.8" x14ac:dyDescent="0.55000000000000004">
      <c r="A527" s="76"/>
      <c r="B527" s="44"/>
      <c r="C527" s="77"/>
      <c r="D527" s="78"/>
      <c r="E527" s="79">
        <f>+$I$2+(FBD[[#This Row],[QUANTITE]]*FBD[[#This Row],[PRIX UNITAIRE]])</f>
        <v>0</v>
      </c>
      <c r="F527" s="159"/>
      <c r="G527" s="74">
        <f>+SUM(E$9:$E527)-SUM(F$9:$F527)</f>
        <v>33550350</v>
      </c>
    </row>
    <row r="528" spans="1:7" ht="28.8" x14ac:dyDescent="0.55000000000000004">
      <c r="A528" s="76"/>
      <c r="B528" s="44"/>
      <c r="C528" s="77"/>
      <c r="D528" s="78"/>
      <c r="E528" s="79">
        <f>+$I$2+(FBD[[#This Row],[QUANTITE]]*FBD[[#This Row],[PRIX UNITAIRE]])</f>
        <v>0</v>
      </c>
      <c r="F528" s="159"/>
      <c r="G528" s="74">
        <f>+SUM(E$9:$E528)-SUM(F$9:$F528)</f>
        <v>33550350</v>
      </c>
    </row>
    <row r="529" spans="1:7" ht="28.8" x14ac:dyDescent="0.55000000000000004">
      <c r="A529" s="76"/>
      <c r="B529" s="44"/>
      <c r="C529" s="77"/>
      <c r="D529" s="78"/>
      <c r="E529" s="79">
        <f>+$I$2+(FBD[[#This Row],[QUANTITE]]*FBD[[#This Row],[PRIX UNITAIRE]])</f>
        <v>0</v>
      </c>
      <c r="F529" s="159"/>
      <c r="G529" s="74">
        <f>+SUM(E$9:$E529)-SUM(F$9:$F529)</f>
        <v>33550350</v>
      </c>
    </row>
  </sheetData>
  <sheetProtection selectLockedCells="1" autoFilter="0"/>
  <mergeCells count="1">
    <mergeCell ref="B6:C6"/>
  </mergeCells>
  <conditionalFormatting sqref="B9:B11 B14:B109 B331:B335 B339:B480">
    <cfRule type="expression" dxfId="871" priority="13">
      <formula>$F9</formula>
    </cfRule>
  </conditionalFormatting>
  <conditionalFormatting sqref="G4">
    <cfRule type="cellIs" dxfId="870" priority="6" operator="lessThan">
      <formula>0</formula>
    </cfRule>
    <cfRule type="cellIs" dxfId="869" priority="7" operator="greaterThan">
      <formula>0</formula>
    </cfRule>
  </conditionalFormatting>
  <conditionalFormatting sqref="B12">
    <cfRule type="expression" dxfId="868" priority="118">
      <formula>$F13</formula>
    </cfRule>
  </conditionalFormatting>
  <conditionalFormatting sqref="B13">
    <cfRule type="expression" dxfId="867" priority="119">
      <formula>#REF!</formula>
    </cfRule>
  </conditionalFormatting>
  <conditionalFormatting sqref="B9:B335 B339:B480">
    <cfRule type="expression" dxfId="866" priority="3">
      <formula>$F9</formula>
    </cfRule>
  </conditionalFormatting>
  <conditionalFormatting sqref="B306">
    <cfRule type="expression" dxfId="865" priority="2">
      <formula>$F306</formula>
    </cfRule>
  </conditionalFormatting>
  <conditionalFormatting sqref="B336:B338">
    <cfRule type="expression" dxfId="864" priority="1">
      <formula>$F336</formula>
    </cfRule>
  </conditionalFormatting>
  <dataValidations count="1">
    <dataValidation type="date" operator="greaterThan" allowBlank="1" showInputMessage="1" showErrorMessage="1" error="VEILLEZ ENTRER UNE DATE VALIDE" sqref="A9:A529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I71"/>
  <sheetViews>
    <sheetView showGridLines="0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26.21875" style="1" customWidth="1"/>
    <col min="2" max="2" width="51.21875" style="1" customWidth="1"/>
    <col min="3" max="3" width="19.77734375" style="1" bestFit="1" customWidth="1"/>
    <col min="4" max="4" width="46.4414062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  <c r="I1" s="1">
        <v>0</v>
      </c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+SUM(ARTCI[TOTAL MONTANT])</f>
        <v>5945000</v>
      </c>
      <c r="F4" s="41">
        <f>+SUM(ARTCI[VERSEMENT])</f>
        <v>5945000</v>
      </c>
      <c r="G4" s="130">
        <f>+E4-F4</f>
        <v>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278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45786</v>
      </c>
      <c r="B9" s="13" t="s">
        <v>279</v>
      </c>
      <c r="C9" s="10">
        <v>4</v>
      </c>
      <c r="D9" s="10">
        <v>75000</v>
      </c>
      <c r="E9" s="7">
        <f>$I$1+(ARTCI[[#This Row],[QUANTITE]]*ARTCI[[#This Row],[PRIX UNITAIRE]])</f>
        <v>300000</v>
      </c>
      <c r="F9" s="14"/>
      <c r="G9" s="6">
        <f>SUM(E$9:$E9)-SUM(F$9:$F9)</f>
        <v>300000</v>
      </c>
    </row>
    <row r="10" spans="1:9" ht="28.8" x14ac:dyDescent="0.55000000000000004">
      <c r="A10" s="12">
        <v>45791</v>
      </c>
      <c r="B10" s="13" t="s">
        <v>280</v>
      </c>
      <c r="C10" s="11">
        <v>1</v>
      </c>
      <c r="D10" s="11">
        <v>80000</v>
      </c>
      <c r="E10" s="7">
        <f>$I$1+(ARTCI[[#This Row],[QUANTITE]]*ARTCI[[#This Row],[PRIX UNITAIRE]])</f>
        <v>80000</v>
      </c>
      <c r="F10" s="14"/>
      <c r="G10" s="8">
        <f>SUM(E$9:$E10)-SUM(F$9:$F10)</f>
        <v>380000</v>
      </c>
    </row>
    <row r="11" spans="1:9" ht="28.8" x14ac:dyDescent="0.55000000000000004">
      <c r="A11" s="12">
        <v>45791</v>
      </c>
      <c r="B11" s="13" t="s">
        <v>281</v>
      </c>
      <c r="C11" s="11">
        <v>1</v>
      </c>
      <c r="D11" s="11">
        <v>60000</v>
      </c>
      <c r="E11" s="7">
        <f>$I$1+(ARTCI[[#This Row],[QUANTITE]]*ARTCI[[#This Row],[PRIX UNITAIRE]])</f>
        <v>60000</v>
      </c>
      <c r="F11" s="14"/>
      <c r="G11" s="8">
        <f>SUM(E$9:$E11)-SUM(F$9:$F11)</f>
        <v>440000</v>
      </c>
    </row>
    <row r="12" spans="1:9" ht="28.8" x14ac:dyDescent="0.55000000000000004">
      <c r="A12" s="12">
        <v>45846</v>
      </c>
      <c r="B12" s="13" t="s">
        <v>1244</v>
      </c>
      <c r="C12" s="10">
        <v>1</v>
      </c>
      <c r="D12" s="10">
        <v>0</v>
      </c>
      <c r="E12" s="7">
        <f>$I$1+(ARTCI[[#This Row],[QUANTITE]]*ARTCI[[#This Row],[PRIX UNITAIRE]])</f>
        <v>0</v>
      </c>
      <c r="F12" s="14">
        <v>300000</v>
      </c>
      <c r="G12" s="6">
        <f>SUM(E$9:$E12)-SUM(F$9:$F12)</f>
        <v>140000</v>
      </c>
    </row>
    <row r="13" spans="1:9" ht="28.8" x14ac:dyDescent="0.55000000000000004">
      <c r="A13" s="12">
        <v>45846</v>
      </c>
      <c r="B13" s="13" t="s">
        <v>1245</v>
      </c>
      <c r="C13" s="10">
        <v>1</v>
      </c>
      <c r="D13" s="10">
        <v>1305000</v>
      </c>
      <c r="E13" s="7">
        <f>$I$1+(ARTCI[[#This Row],[QUANTITE]]*ARTCI[[#This Row],[PRIX UNITAIRE]])</f>
        <v>1305000</v>
      </c>
      <c r="F13" s="14">
        <v>140000</v>
      </c>
      <c r="G13" s="6">
        <f>SUM(E$9:$E13)-SUM(F$9:$F13)</f>
        <v>1305000</v>
      </c>
    </row>
    <row r="14" spans="1:9" ht="28.8" x14ac:dyDescent="0.55000000000000004">
      <c r="A14" s="12">
        <v>45856</v>
      </c>
      <c r="B14" s="13" t="s">
        <v>2760</v>
      </c>
      <c r="C14" s="10">
        <v>5</v>
      </c>
      <c r="D14" s="10">
        <v>65000</v>
      </c>
      <c r="E14" s="7">
        <f>$I$1+(ARTCI[[#This Row],[QUANTITE]]*ARTCI[[#This Row],[PRIX UNITAIRE]])</f>
        <v>325000</v>
      </c>
      <c r="F14" s="14"/>
      <c r="G14" s="6">
        <f>SUM(E$9:$E14)-SUM(F$9:$F14)</f>
        <v>1630000</v>
      </c>
    </row>
    <row r="15" spans="1:9" ht="28.8" x14ac:dyDescent="0.55000000000000004">
      <c r="A15" s="12">
        <v>45856</v>
      </c>
      <c r="B15" s="13" t="s">
        <v>2762</v>
      </c>
      <c r="C15" s="10">
        <v>4</v>
      </c>
      <c r="D15" s="10">
        <v>20000</v>
      </c>
      <c r="E15" s="7">
        <f>$I$1+(ARTCI[[#This Row],[QUANTITE]]*ARTCI[[#This Row],[PRIX UNITAIRE]])</f>
        <v>80000</v>
      </c>
      <c r="F15" s="14"/>
      <c r="G15" s="6">
        <f>SUM(E$9:$E15)-SUM(F$9:$F15)</f>
        <v>1710000</v>
      </c>
    </row>
    <row r="16" spans="1:9" ht="28.8" x14ac:dyDescent="0.55000000000000004">
      <c r="A16" s="12">
        <v>45880</v>
      </c>
      <c r="B16" s="13" t="s">
        <v>2942</v>
      </c>
      <c r="C16" s="10">
        <v>5</v>
      </c>
      <c r="D16" s="10">
        <v>65000</v>
      </c>
      <c r="E16" s="7">
        <f>$I$1+(ARTCI[[#This Row],[QUANTITE]]*ARTCI[[#This Row],[PRIX UNITAIRE]])</f>
        <v>325000</v>
      </c>
      <c r="F16" s="14"/>
      <c r="G16" s="6">
        <f>SUM(E$9:$E16)-SUM(F$9:$F16)</f>
        <v>2035000</v>
      </c>
    </row>
    <row r="17" spans="1:7" ht="28.8" x14ac:dyDescent="0.55000000000000004">
      <c r="A17" s="12">
        <v>45903</v>
      </c>
      <c r="B17" s="13" t="s">
        <v>2942</v>
      </c>
      <c r="C17" s="10">
        <v>4</v>
      </c>
      <c r="D17" s="10">
        <v>65000</v>
      </c>
      <c r="E17" s="7">
        <f>$I$1+(ARTCI[[#This Row],[QUANTITE]]*ARTCI[[#This Row],[PRIX UNITAIRE]])</f>
        <v>260000</v>
      </c>
      <c r="F17" s="14"/>
      <c r="G17" s="6">
        <f>SUM(E$9:$E17)-SUM(F$9:$F17)</f>
        <v>2295000</v>
      </c>
    </row>
    <row r="18" spans="1:7" ht="28.8" x14ac:dyDescent="0.55000000000000004">
      <c r="A18" s="12">
        <v>45903</v>
      </c>
      <c r="B18" s="13" t="s">
        <v>2978</v>
      </c>
      <c r="C18" s="10">
        <v>1</v>
      </c>
      <c r="D18" s="10">
        <v>65000</v>
      </c>
      <c r="E18" s="7">
        <f>$I$1+(ARTCI[[#This Row],[QUANTITE]]*ARTCI[[#This Row],[PRIX UNITAIRE]])</f>
        <v>65000</v>
      </c>
      <c r="F18" s="14"/>
      <c r="G18" s="6">
        <f>SUM(E$9:$E18)-SUM(F$9:$F18)</f>
        <v>2360000</v>
      </c>
    </row>
    <row r="19" spans="1:7" ht="28.8" x14ac:dyDescent="0.55000000000000004">
      <c r="A19" s="12">
        <v>45905</v>
      </c>
      <c r="B19" s="13" t="s">
        <v>700</v>
      </c>
      <c r="C19" s="10"/>
      <c r="D19" s="10"/>
      <c r="E19" s="7">
        <f>$I$1+(ARTCI[[#This Row],[QUANTITE]]*ARTCI[[#This Row],[PRIX UNITAIRE]])</f>
        <v>0</v>
      </c>
      <c r="F19" s="14">
        <v>540000</v>
      </c>
      <c r="G19" s="6">
        <f>SUM(E$9:$E19)-SUM(F$9:$F19)</f>
        <v>1820000</v>
      </c>
    </row>
    <row r="20" spans="1:7" ht="28.8" x14ac:dyDescent="0.55000000000000004">
      <c r="A20" s="12">
        <v>45905</v>
      </c>
      <c r="B20" s="13" t="s">
        <v>700</v>
      </c>
      <c r="C20" s="10"/>
      <c r="D20" s="10"/>
      <c r="E20" s="7">
        <f>$I$1+(ARTCI[[#This Row],[QUANTITE]]*ARTCI[[#This Row],[PRIX UNITAIRE]])</f>
        <v>0</v>
      </c>
      <c r="F20" s="14">
        <v>975000</v>
      </c>
      <c r="G20" s="6">
        <f>SUM(E$9:$E20)-SUM(F$9:$F20)</f>
        <v>845000</v>
      </c>
    </row>
    <row r="21" spans="1:7" ht="28.8" x14ac:dyDescent="0.55000000000000004">
      <c r="A21" s="12">
        <v>45912</v>
      </c>
      <c r="B21" s="13" t="s">
        <v>2939</v>
      </c>
      <c r="C21" s="10">
        <v>5</v>
      </c>
      <c r="D21" s="10">
        <v>45000</v>
      </c>
      <c r="E21" s="7">
        <f>$I$1+(ARTCI[[#This Row],[QUANTITE]]*ARTCI[[#This Row],[PRIX UNITAIRE]])</f>
        <v>225000</v>
      </c>
      <c r="F21" s="14"/>
      <c r="G21" s="6">
        <f>SUM(E$9:$E21)-SUM(F$9:$F21)</f>
        <v>1070000</v>
      </c>
    </row>
    <row r="22" spans="1:7" ht="28.8" x14ac:dyDescent="0.55000000000000004">
      <c r="A22" s="12">
        <v>45912</v>
      </c>
      <c r="B22" s="13" t="s">
        <v>3066</v>
      </c>
      <c r="C22" s="10">
        <v>2</v>
      </c>
      <c r="D22" s="10">
        <v>200000</v>
      </c>
      <c r="E22" s="7">
        <f>$I$1+(ARTCI[[#This Row],[QUANTITE]]*ARTCI[[#This Row],[PRIX UNITAIRE]])</f>
        <v>400000</v>
      </c>
      <c r="F22" s="14"/>
      <c r="G22" s="6">
        <f>SUM(E$9:$E22)-SUM(F$9:$F22)</f>
        <v>1470000</v>
      </c>
    </row>
    <row r="23" spans="1:7" ht="28.8" x14ac:dyDescent="0.55000000000000004">
      <c r="A23" s="12">
        <v>45912</v>
      </c>
      <c r="B23" s="13" t="s">
        <v>3067</v>
      </c>
      <c r="C23" s="10">
        <v>2</v>
      </c>
      <c r="D23" s="10">
        <v>150000</v>
      </c>
      <c r="E23" s="7">
        <f>$I$1+(ARTCI[[#This Row],[QUANTITE]]*ARTCI[[#This Row],[PRIX UNITAIRE]])</f>
        <v>300000</v>
      </c>
      <c r="F23" s="14"/>
      <c r="G23" s="6">
        <f>SUM(E$9:$E23)-SUM(F$9:$F23)</f>
        <v>1770000</v>
      </c>
    </row>
    <row r="24" spans="1:7" ht="28.8" x14ac:dyDescent="0.55000000000000004">
      <c r="A24" s="12">
        <v>45912</v>
      </c>
      <c r="B24" s="13" t="s">
        <v>3068</v>
      </c>
      <c r="C24" s="10">
        <v>1</v>
      </c>
      <c r="D24" s="10">
        <v>10000</v>
      </c>
      <c r="E24" s="7">
        <f>$I$1+(ARTCI[[#This Row],[QUANTITE]]*ARTCI[[#This Row],[PRIX UNITAIRE]])</f>
        <v>10000</v>
      </c>
      <c r="F24" s="14"/>
      <c r="G24" s="6">
        <f>SUM(E$9:$E24)-SUM(F$9:$F24)</f>
        <v>1780000</v>
      </c>
    </row>
    <row r="25" spans="1:7" ht="28.8" x14ac:dyDescent="0.55000000000000004">
      <c r="A25" s="12">
        <v>45919</v>
      </c>
      <c r="B25" s="13" t="s">
        <v>451</v>
      </c>
      <c r="C25" s="10"/>
      <c r="D25" s="10"/>
      <c r="E25" s="7">
        <f>$I$1+(ARTCI[[#This Row],[QUANTITE]]*ARTCI[[#This Row],[PRIX UNITAIRE]])</f>
        <v>0</v>
      </c>
      <c r="F25" s="14">
        <v>1000000</v>
      </c>
      <c r="G25" s="6">
        <f>SUM(E$9:$E25)-SUM(F$9:$F25)</f>
        <v>780000</v>
      </c>
    </row>
    <row r="26" spans="1:7" ht="28.8" x14ac:dyDescent="0.55000000000000004">
      <c r="A26" s="12">
        <v>45923</v>
      </c>
      <c r="B26" s="13" t="s">
        <v>699</v>
      </c>
      <c r="C26" s="10">
        <v>5</v>
      </c>
      <c r="D26" s="10">
        <v>45000</v>
      </c>
      <c r="E26" s="7">
        <f>$I$1+(ARTCI[[#This Row],[QUANTITE]]*ARTCI[[#This Row],[PRIX UNITAIRE]])</f>
        <v>225000</v>
      </c>
      <c r="F26" s="14"/>
      <c r="G26" s="6">
        <f>SUM(E$9:$E26)-SUM(F$9:$F26)</f>
        <v>1005000</v>
      </c>
    </row>
    <row r="27" spans="1:7" ht="28.8" x14ac:dyDescent="0.55000000000000004">
      <c r="A27" s="12"/>
      <c r="B27" s="13"/>
      <c r="C27" s="10">
        <v>1</v>
      </c>
      <c r="D27" s="10">
        <v>400000</v>
      </c>
      <c r="E27" s="7">
        <f>$I$1+(ARTCI[[#This Row],[QUANTITE]]*ARTCI[[#This Row],[PRIX UNITAIRE]])</f>
        <v>400000</v>
      </c>
      <c r="F27" s="14"/>
      <c r="G27" s="6">
        <f>SUM(E$9:$E27)-SUM(F$9:$F27)</f>
        <v>1405000</v>
      </c>
    </row>
    <row r="28" spans="1:7" ht="28.8" x14ac:dyDescent="0.55000000000000004">
      <c r="A28" s="12">
        <v>45940</v>
      </c>
      <c r="B28" s="13" t="s">
        <v>2777</v>
      </c>
      <c r="C28" s="10">
        <v>4</v>
      </c>
      <c r="D28" s="10">
        <v>85000</v>
      </c>
      <c r="E28" s="7">
        <f>$I$1+(ARTCI[[#This Row],[QUANTITE]]*ARTCI[[#This Row],[PRIX UNITAIRE]])</f>
        <v>340000</v>
      </c>
      <c r="F28" s="14"/>
      <c r="G28" s="6">
        <f>SUM(E$9:$E28)-SUM(F$9:$F28)</f>
        <v>1745000</v>
      </c>
    </row>
    <row r="29" spans="1:7" ht="28.8" x14ac:dyDescent="0.55000000000000004">
      <c r="A29" s="12">
        <v>45940</v>
      </c>
      <c r="B29" s="13" t="s">
        <v>1244</v>
      </c>
      <c r="C29" s="10"/>
      <c r="D29" s="10"/>
      <c r="E29" s="7">
        <f>$I$1+(ARTCI[[#This Row],[QUANTITE]]*ARTCI[[#This Row],[PRIX UNITAIRE]])</f>
        <v>0</v>
      </c>
      <c r="F29" s="14">
        <v>340000</v>
      </c>
      <c r="G29" s="6">
        <f>SUM(E$9:$E29)-SUM(F$9:$F29)</f>
        <v>1405000</v>
      </c>
    </row>
    <row r="30" spans="1:7" ht="28.8" x14ac:dyDescent="0.55000000000000004">
      <c r="A30" s="12">
        <v>45961</v>
      </c>
      <c r="B30" s="13" t="s">
        <v>3208</v>
      </c>
      <c r="C30" s="10">
        <v>1</v>
      </c>
      <c r="D30" s="10">
        <v>225000</v>
      </c>
      <c r="E30" s="7">
        <f>$I$1+(ARTCI[[#This Row],[QUANTITE]]*ARTCI[[#This Row],[PRIX UNITAIRE]])</f>
        <v>225000</v>
      </c>
      <c r="F30" s="14"/>
      <c r="G30" s="6">
        <f>SUM(E$9:$E30)-SUM(F$9:$F30)</f>
        <v>1630000</v>
      </c>
    </row>
    <row r="31" spans="1:7" ht="28.8" x14ac:dyDescent="0.55000000000000004">
      <c r="A31" s="12"/>
      <c r="B31" s="13" t="s">
        <v>3254</v>
      </c>
      <c r="C31" s="10">
        <v>1</v>
      </c>
      <c r="D31" s="10">
        <v>0</v>
      </c>
      <c r="E31" s="7">
        <f>$I$1+(ARTCI[[#This Row],[QUANTITE]]*ARTCI[[#This Row],[PRIX UNITAIRE]])</f>
        <v>0</v>
      </c>
      <c r="F31" s="14">
        <v>235000</v>
      </c>
      <c r="G31" s="6">
        <f>SUM(E$9:$E31)-SUM(F$9:$F31)</f>
        <v>1395000</v>
      </c>
    </row>
    <row r="32" spans="1:7" ht="28.8" x14ac:dyDescent="0.55000000000000004">
      <c r="A32" s="12">
        <v>45986</v>
      </c>
      <c r="B32" s="13" t="s">
        <v>3255</v>
      </c>
      <c r="C32" s="10">
        <v>2</v>
      </c>
      <c r="D32" s="10">
        <v>290000</v>
      </c>
      <c r="E32" s="7">
        <f>$I$1+(ARTCI[[#This Row],[QUANTITE]]*ARTCI[[#This Row],[PRIX UNITAIRE]])</f>
        <v>580000</v>
      </c>
      <c r="F32" s="14"/>
      <c r="G32" s="6">
        <f>SUM(E$9:$E32)-SUM(F$9:$F32)</f>
        <v>1975000</v>
      </c>
    </row>
    <row r="33" spans="1:7" ht="28.8" x14ac:dyDescent="0.55000000000000004">
      <c r="A33" s="12">
        <v>45986</v>
      </c>
      <c r="B33" s="13" t="s">
        <v>3256</v>
      </c>
      <c r="C33" s="10">
        <v>2</v>
      </c>
      <c r="D33" s="10">
        <v>220000</v>
      </c>
      <c r="E33" s="7">
        <f>$I$1+(ARTCI[[#This Row],[QUANTITE]]*ARTCI[[#This Row],[PRIX UNITAIRE]])</f>
        <v>440000</v>
      </c>
      <c r="F33" s="14"/>
      <c r="G33" s="6">
        <f>SUM(E$9:$E33)-SUM(F$9:$F33)</f>
        <v>2415000</v>
      </c>
    </row>
    <row r="34" spans="1:7" ht="28.8" x14ac:dyDescent="0.55000000000000004">
      <c r="A34" s="12"/>
      <c r="B34" s="13"/>
      <c r="C34" s="10"/>
      <c r="D34" s="10"/>
      <c r="E34" s="7">
        <f>$I$1+(ARTCI[[#This Row],[QUANTITE]]*ARTCI[[#This Row],[PRIX UNITAIRE]])</f>
        <v>0</v>
      </c>
      <c r="F34" s="14">
        <v>1195000</v>
      </c>
      <c r="G34" s="6">
        <f>SUM(E$9:$E34)-SUM(F$9:$F34)</f>
        <v>1220000</v>
      </c>
    </row>
    <row r="35" spans="1:7" ht="28.8" x14ac:dyDescent="0.55000000000000004">
      <c r="A35" s="12">
        <v>46048</v>
      </c>
      <c r="B35" s="13" t="s">
        <v>3254</v>
      </c>
      <c r="C35" s="10">
        <v>1</v>
      </c>
      <c r="D35" s="10">
        <v>0</v>
      </c>
      <c r="E35" s="7">
        <f>$I$1+(ARTCI[[#This Row],[QUANTITE]]*ARTCI[[#This Row],[PRIX UNITAIRE]])</f>
        <v>0</v>
      </c>
      <c r="F35" s="14">
        <v>1220000</v>
      </c>
      <c r="G35" s="6">
        <f>SUM(E$9:$E35)-SUM(F$9:$F35)</f>
        <v>0</v>
      </c>
    </row>
    <row r="36" spans="1:7" ht="28.8" x14ac:dyDescent="0.55000000000000004">
      <c r="A36" s="12"/>
      <c r="B36" s="13"/>
      <c r="C36" s="10"/>
      <c r="D36" s="10"/>
      <c r="E36" s="7">
        <f>$I$1+(ARTCI[[#This Row],[QUANTITE]]*ARTCI[[#This Row],[PRIX UNITAIRE]])</f>
        <v>0</v>
      </c>
      <c r="F36" s="14"/>
      <c r="G36" s="6">
        <f>SUM(E$9:$E36)-SUM(F$9:$F36)</f>
        <v>0</v>
      </c>
    </row>
    <row r="37" spans="1:7" ht="28.8" x14ac:dyDescent="0.55000000000000004">
      <c r="A37" s="12"/>
      <c r="B37" s="13"/>
      <c r="C37" s="10"/>
      <c r="D37" s="10"/>
      <c r="E37" s="7">
        <f>$I$1+(ARTCI[[#This Row],[QUANTITE]]*ARTCI[[#This Row],[PRIX UNITAIRE]])</f>
        <v>0</v>
      </c>
      <c r="F37" s="14"/>
      <c r="G37" s="6">
        <f>SUM(E$9:$E37)-SUM(F$9:$F37)</f>
        <v>0</v>
      </c>
    </row>
    <row r="38" spans="1:7" ht="28.8" x14ac:dyDescent="0.55000000000000004">
      <c r="A38" s="12"/>
      <c r="B38" s="13"/>
      <c r="C38" s="10"/>
      <c r="D38" s="10"/>
      <c r="E38" s="7">
        <f>$I$1+(ARTCI[[#This Row],[QUANTITE]]*ARTCI[[#This Row],[PRIX UNITAIRE]])</f>
        <v>0</v>
      </c>
      <c r="F38" s="14"/>
      <c r="G38" s="6">
        <f>SUM(E$9:$E38)-SUM(F$9:$F38)</f>
        <v>0</v>
      </c>
    </row>
    <row r="39" spans="1:7" ht="28.8" x14ac:dyDescent="0.55000000000000004">
      <c r="A39" s="12"/>
      <c r="B39" s="13"/>
      <c r="C39" s="10"/>
      <c r="D39" s="10"/>
      <c r="E39" s="7">
        <f>$I$1+(ARTCI[[#This Row],[QUANTITE]]*ARTCI[[#This Row],[PRIX UNITAIRE]])</f>
        <v>0</v>
      </c>
      <c r="F39" s="14"/>
      <c r="G39" s="6">
        <f>SUM(E$9:$E39)-SUM(F$9:$F39)</f>
        <v>0</v>
      </c>
    </row>
    <row r="40" spans="1:7" ht="28.8" x14ac:dyDescent="0.55000000000000004">
      <c r="A40" s="12"/>
      <c r="B40" s="13"/>
      <c r="C40" s="10"/>
      <c r="D40" s="10"/>
      <c r="E40" s="7">
        <f>$I$1+(ARTCI[[#This Row],[QUANTITE]]*ARTCI[[#This Row],[PRIX UNITAIRE]])</f>
        <v>0</v>
      </c>
      <c r="F40" s="14"/>
      <c r="G40" s="6">
        <f>SUM(E$9:$E40)-SUM(F$9:$F40)</f>
        <v>0</v>
      </c>
    </row>
    <row r="41" spans="1:7" ht="28.8" x14ac:dyDescent="0.55000000000000004">
      <c r="A41" s="12"/>
      <c r="B41" s="13"/>
      <c r="C41" s="10"/>
      <c r="D41" s="10"/>
      <c r="E41" s="7">
        <f>$I$1+(ARTCI[[#This Row],[QUANTITE]]*ARTCI[[#This Row],[PRIX UNITAIRE]])</f>
        <v>0</v>
      </c>
      <c r="F41" s="14"/>
      <c r="G41" s="6">
        <f>SUM(E$9:$E41)-SUM(F$9:$F41)</f>
        <v>0</v>
      </c>
    </row>
    <row r="42" spans="1:7" ht="28.8" x14ac:dyDescent="0.55000000000000004">
      <c r="A42" s="12"/>
      <c r="B42" s="13"/>
      <c r="C42" s="10"/>
      <c r="D42" s="10"/>
      <c r="E42" s="7">
        <f>$I$1+(ARTCI[[#This Row],[QUANTITE]]*ARTCI[[#This Row],[PRIX UNITAIRE]])</f>
        <v>0</v>
      </c>
      <c r="F42" s="14"/>
      <c r="G42" s="6">
        <f>SUM(E$9:$E42)-SUM(F$9:$F42)</f>
        <v>0</v>
      </c>
    </row>
    <row r="43" spans="1:7" ht="28.8" x14ac:dyDescent="0.55000000000000004">
      <c r="A43" s="12"/>
      <c r="B43" s="13"/>
      <c r="C43" s="10"/>
      <c r="D43" s="10"/>
      <c r="E43" s="7">
        <f>$I$1+(ARTCI[[#This Row],[QUANTITE]]*ARTCI[[#This Row],[PRIX UNITAIRE]])</f>
        <v>0</v>
      </c>
      <c r="F43" s="14"/>
      <c r="G43" s="6">
        <f>SUM(E$9:$E43)-SUM(F$9:$F43)</f>
        <v>0</v>
      </c>
    </row>
    <row r="44" spans="1:7" ht="28.8" x14ac:dyDescent="0.55000000000000004">
      <c r="A44" s="12"/>
      <c r="B44" s="13"/>
      <c r="C44" s="10"/>
      <c r="D44" s="10"/>
      <c r="E44" s="7">
        <f>$I$1+(ARTCI[[#This Row],[QUANTITE]]*ARTCI[[#This Row],[PRIX UNITAIRE]])</f>
        <v>0</v>
      </c>
      <c r="F44" s="14"/>
      <c r="G44" s="6">
        <f>SUM(E$9:$E44)-SUM(F$9:$F44)</f>
        <v>0</v>
      </c>
    </row>
    <row r="45" spans="1:7" ht="28.8" x14ac:dyDescent="0.55000000000000004">
      <c r="A45" s="12"/>
      <c r="B45" s="13"/>
      <c r="C45" s="10"/>
      <c r="D45" s="10"/>
      <c r="E45" s="7">
        <f>$I$1+(ARTCI[[#This Row],[QUANTITE]]*ARTCI[[#This Row],[PRIX UNITAIRE]])</f>
        <v>0</v>
      </c>
      <c r="F45" s="14"/>
      <c r="G45" s="6">
        <f>SUM(E$9:$E45)-SUM(F$9:$F45)</f>
        <v>0</v>
      </c>
    </row>
    <row r="46" spans="1:7" ht="28.8" x14ac:dyDescent="0.55000000000000004">
      <c r="A46" s="12"/>
      <c r="B46" s="13"/>
      <c r="C46" s="10"/>
      <c r="D46" s="10"/>
      <c r="E46" s="7">
        <f>$I$1+(ARTCI[[#This Row],[QUANTITE]]*ARTCI[[#This Row],[PRIX UNITAIRE]])</f>
        <v>0</v>
      </c>
      <c r="F46" s="14"/>
      <c r="G46" s="6">
        <f>SUM(E$9:$E46)-SUM(F$9:$F46)</f>
        <v>0</v>
      </c>
    </row>
    <row r="47" spans="1:7" ht="28.8" x14ac:dyDescent="0.55000000000000004">
      <c r="A47" s="12"/>
      <c r="B47" s="13"/>
      <c r="C47" s="10"/>
      <c r="D47" s="10"/>
      <c r="E47" s="7">
        <f>$I$1+(ARTCI[[#This Row],[QUANTITE]]*ARTCI[[#This Row],[PRIX UNITAIRE]])</f>
        <v>0</v>
      </c>
      <c r="F47" s="14"/>
      <c r="G47" s="6">
        <f>SUM(E$9:$E47)-SUM(F$9:$F47)</f>
        <v>0</v>
      </c>
    </row>
    <row r="48" spans="1:7" ht="28.8" x14ac:dyDescent="0.55000000000000004">
      <c r="A48" s="12"/>
      <c r="B48" s="13"/>
      <c r="C48" s="10"/>
      <c r="D48" s="10"/>
      <c r="E48" s="7">
        <f>$I$1+(ARTCI[[#This Row],[QUANTITE]]*ARTCI[[#This Row],[PRIX UNITAIRE]])</f>
        <v>0</v>
      </c>
      <c r="F48" s="14"/>
      <c r="G48" s="6">
        <f>SUM(E$9:$E48)-SUM(F$9:$F48)</f>
        <v>0</v>
      </c>
    </row>
    <row r="49" spans="1:7" ht="28.8" x14ac:dyDescent="0.55000000000000004">
      <c r="A49" s="12"/>
      <c r="B49" s="13"/>
      <c r="C49" s="10"/>
      <c r="D49" s="10"/>
      <c r="E49" s="7">
        <f>$I$1+(ARTCI[[#This Row],[QUANTITE]]*ARTCI[[#This Row],[PRIX UNITAIRE]])</f>
        <v>0</v>
      </c>
      <c r="F49" s="14"/>
      <c r="G49" s="6">
        <f>SUM(E$9:$E49)-SUM(F$9:$F49)</f>
        <v>0</v>
      </c>
    </row>
    <row r="50" spans="1:7" ht="28.8" x14ac:dyDescent="0.55000000000000004">
      <c r="A50" s="12"/>
      <c r="B50" s="13"/>
      <c r="C50" s="10"/>
      <c r="D50" s="10"/>
      <c r="E50" s="7">
        <f>$I$1+(ARTCI[[#This Row],[QUANTITE]]*ARTCI[[#This Row],[PRIX UNITAIRE]])</f>
        <v>0</v>
      </c>
      <c r="F50" s="14"/>
      <c r="G50" s="6">
        <f>SUM(E$9:$E50)-SUM(F$9:$F50)</f>
        <v>0</v>
      </c>
    </row>
    <row r="51" spans="1:7" ht="28.8" x14ac:dyDescent="0.55000000000000004">
      <c r="A51" s="12"/>
      <c r="B51" s="13"/>
      <c r="C51" s="10"/>
      <c r="D51" s="10"/>
      <c r="E51" s="7">
        <f>$I$1+(ARTCI[[#This Row],[QUANTITE]]*ARTCI[[#This Row],[PRIX UNITAIRE]])</f>
        <v>0</v>
      </c>
      <c r="F51" s="14"/>
      <c r="G51" s="6">
        <f>SUM(E$9:$E51)-SUM(F$9:$F51)</f>
        <v>0</v>
      </c>
    </row>
    <row r="52" spans="1:7" ht="28.8" x14ac:dyDescent="0.55000000000000004">
      <c r="A52" s="12"/>
      <c r="B52" s="13"/>
      <c r="C52" s="10"/>
      <c r="D52" s="10"/>
      <c r="E52" s="7">
        <f>$I$1+(ARTCI[[#This Row],[QUANTITE]]*ARTCI[[#This Row],[PRIX UNITAIRE]])</f>
        <v>0</v>
      </c>
      <c r="F52" s="14"/>
      <c r="G52" s="6">
        <f>SUM(E$9:$E52)-SUM(F$9:$F52)</f>
        <v>0</v>
      </c>
    </row>
    <row r="53" spans="1:7" ht="28.8" x14ac:dyDescent="0.55000000000000004">
      <c r="A53" s="12"/>
      <c r="B53" s="13"/>
      <c r="C53" s="10"/>
      <c r="D53" s="10"/>
      <c r="E53" s="7">
        <f>$I$1+(ARTCI[[#This Row],[QUANTITE]]*ARTCI[[#This Row],[PRIX UNITAIRE]])</f>
        <v>0</v>
      </c>
      <c r="F53" s="14"/>
      <c r="G53" s="6">
        <f>SUM(E$9:$E53)-SUM(F$9:$F53)</f>
        <v>0</v>
      </c>
    </row>
    <row r="54" spans="1:7" ht="28.8" x14ac:dyDescent="0.55000000000000004">
      <c r="A54" s="12"/>
      <c r="B54" s="13"/>
      <c r="C54" s="10"/>
      <c r="D54" s="10"/>
      <c r="E54" s="7">
        <f>$I$1+(ARTCI[[#This Row],[QUANTITE]]*ARTCI[[#This Row],[PRIX UNITAIRE]])</f>
        <v>0</v>
      </c>
      <c r="F54" s="14"/>
      <c r="G54" s="6">
        <f>SUM(E$9:$E54)-SUM(F$9:$F54)</f>
        <v>0</v>
      </c>
    </row>
    <row r="55" spans="1:7" ht="28.8" x14ac:dyDescent="0.55000000000000004">
      <c r="A55" s="12"/>
      <c r="B55" s="13"/>
      <c r="C55" s="10"/>
      <c r="D55" s="10"/>
      <c r="E55" s="7">
        <f>$I$1+(ARTCI[[#This Row],[QUANTITE]]*ARTCI[[#This Row],[PRIX UNITAIRE]])</f>
        <v>0</v>
      </c>
      <c r="F55" s="14"/>
      <c r="G55" s="6">
        <f>SUM(E$9:$E55)-SUM(F$9:$F55)</f>
        <v>0</v>
      </c>
    </row>
    <row r="56" spans="1:7" ht="28.8" x14ac:dyDescent="0.55000000000000004">
      <c r="A56" s="12"/>
      <c r="B56" s="13"/>
      <c r="C56" s="10"/>
      <c r="D56" s="10"/>
      <c r="E56" s="7">
        <f>$I$1+(ARTCI[[#This Row],[QUANTITE]]*ARTCI[[#This Row],[PRIX UNITAIRE]])</f>
        <v>0</v>
      </c>
      <c r="F56" s="14"/>
      <c r="G56" s="6">
        <f>SUM(E$9:$E56)-SUM(F$9:$F56)</f>
        <v>0</v>
      </c>
    </row>
    <row r="57" spans="1:7" ht="28.8" x14ac:dyDescent="0.55000000000000004">
      <c r="A57" s="12"/>
      <c r="B57" s="13"/>
      <c r="C57" s="10"/>
      <c r="D57" s="10"/>
      <c r="E57" s="7">
        <f>$I$1+(ARTCI[[#This Row],[QUANTITE]]*ARTCI[[#This Row],[PRIX UNITAIRE]])</f>
        <v>0</v>
      </c>
      <c r="F57" s="14"/>
      <c r="G57" s="6">
        <f>SUM(E$9:$E57)-SUM(F$9:$F57)</f>
        <v>0</v>
      </c>
    </row>
    <row r="58" spans="1:7" ht="28.8" x14ac:dyDescent="0.55000000000000004">
      <c r="A58" s="12"/>
      <c r="B58" s="13"/>
      <c r="C58" s="10"/>
      <c r="D58" s="10"/>
      <c r="E58" s="7">
        <f>$I$1+(ARTCI[[#This Row],[QUANTITE]]*ARTCI[[#This Row],[PRIX UNITAIRE]])</f>
        <v>0</v>
      </c>
      <c r="F58" s="14"/>
      <c r="G58" s="6">
        <f>SUM(E$9:$E58)-SUM(F$9:$F58)</f>
        <v>0</v>
      </c>
    </row>
    <row r="59" spans="1:7" ht="28.8" x14ac:dyDescent="0.55000000000000004">
      <c r="A59" s="12"/>
      <c r="B59" s="13"/>
      <c r="C59" s="10"/>
      <c r="D59" s="10"/>
      <c r="E59" s="7">
        <f>$I$1+(ARTCI[[#This Row],[QUANTITE]]*ARTCI[[#This Row],[PRIX UNITAIRE]])</f>
        <v>0</v>
      </c>
      <c r="F59" s="14"/>
      <c r="G59" s="6">
        <f>SUM(E$9:$E59)-SUM(F$9:$F59)</f>
        <v>0</v>
      </c>
    </row>
    <row r="60" spans="1:7" ht="28.8" x14ac:dyDescent="0.55000000000000004">
      <c r="A60" s="12"/>
      <c r="B60" s="13"/>
      <c r="C60" s="10"/>
      <c r="D60" s="10"/>
      <c r="E60" s="7">
        <f>$I$1+(ARTCI[[#This Row],[QUANTITE]]*ARTCI[[#This Row],[PRIX UNITAIRE]])</f>
        <v>0</v>
      </c>
      <c r="F60" s="14"/>
      <c r="G60" s="6">
        <f>SUM(E$9:$E60)-SUM(F$9:$F60)</f>
        <v>0</v>
      </c>
    </row>
    <row r="61" spans="1:7" ht="28.8" x14ac:dyDescent="0.55000000000000004">
      <c r="A61" s="12"/>
      <c r="B61" s="13"/>
      <c r="C61" s="10"/>
      <c r="D61" s="10"/>
      <c r="E61" s="7">
        <f>$I$1+(ARTCI[[#This Row],[QUANTITE]]*ARTCI[[#This Row],[PRIX UNITAIRE]])</f>
        <v>0</v>
      </c>
      <c r="F61" s="14"/>
      <c r="G61" s="6">
        <f>SUM(E$9:$E61)-SUM(F$9:$F61)</f>
        <v>0</v>
      </c>
    </row>
    <row r="62" spans="1:7" ht="28.8" x14ac:dyDescent="0.55000000000000004">
      <c r="A62" s="12"/>
      <c r="B62" s="13"/>
      <c r="C62" s="10"/>
      <c r="D62" s="10"/>
      <c r="E62" s="7">
        <f>$I$1+(ARTCI[[#This Row],[QUANTITE]]*ARTCI[[#This Row],[PRIX UNITAIRE]])</f>
        <v>0</v>
      </c>
      <c r="F62" s="14"/>
      <c r="G62" s="6">
        <f>SUM(E$9:$E62)-SUM(F$9:$F62)</f>
        <v>0</v>
      </c>
    </row>
    <row r="63" spans="1:7" ht="28.8" x14ac:dyDescent="0.55000000000000004">
      <c r="A63" s="12"/>
      <c r="B63" s="13"/>
      <c r="C63" s="10"/>
      <c r="D63" s="10"/>
      <c r="E63" s="7">
        <f>$I$1+(ARTCI[[#This Row],[QUANTITE]]*ARTCI[[#This Row],[PRIX UNITAIRE]])</f>
        <v>0</v>
      </c>
      <c r="F63" s="14"/>
      <c r="G63" s="6">
        <f>SUM(E$9:$E63)-SUM(F$9:$F63)</f>
        <v>0</v>
      </c>
    </row>
    <row r="64" spans="1:7" ht="28.8" x14ac:dyDescent="0.55000000000000004">
      <c r="A64" s="12"/>
      <c r="B64" s="13"/>
      <c r="C64" s="10"/>
      <c r="D64" s="10"/>
      <c r="E64" s="7">
        <f>$I$1+(ARTCI[[#This Row],[QUANTITE]]*ARTCI[[#This Row],[PRIX UNITAIRE]])</f>
        <v>0</v>
      </c>
      <c r="F64" s="14"/>
      <c r="G64" s="6">
        <f>SUM(E$9:$E64)-SUM(F$9:$F64)</f>
        <v>0</v>
      </c>
    </row>
    <row r="65" spans="1:7" ht="28.8" x14ac:dyDescent="0.55000000000000004">
      <c r="A65" s="12"/>
      <c r="B65" s="13"/>
      <c r="C65" s="10"/>
      <c r="D65" s="10"/>
      <c r="E65" s="7">
        <f>$I$1+(ARTCI[[#This Row],[QUANTITE]]*ARTCI[[#This Row],[PRIX UNITAIRE]])</f>
        <v>0</v>
      </c>
      <c r="F65" s="14"/>
      <c r="G65" s="6">
        <f>SUM(E$9:$E65)-SUM(F$9:$F65)</f>
        <v>0</v>
      </c>
    </row>
    <row r="66" spans="1:7" ht="28.8" x14ac:dyDescent="0.55000000000000004">
      <c r="A66" s="12"/>
      <c r="B66" s="13"/>
      <c r="C66" s="10"/>
      <c r="D66" s="10"/>
      <c r="E66" s="7">
        <f>$I$1+(ARTCI[[#This Row],[QUANTITE]]*ARTCI[[#This Row],[PRIX UNITAIRE]])</f>
        <v>0</v>
      </c>
      <c r="F66" s="14"/>
      <c r="G66" s="6">
        <f>SUM(E$9:$E66)-SUM(F$9:$F66)</f>
        <v>0</v>
      </c>
    </row>
    <row r="67" spans="1:7" ht="28.8" x14ac:dyDescent="0.55000000000000004">
      <c r="A67" s="12"/>
      <c r="B67" s="13"/>
      <c r="C67" s="10"/>
      <c r="D67" s="10"/>
      <c r="E67" s="7">
        <f>$I$1+(ARTCI[[#This Row],[QUANTITE]]*ARTCI[[#This Row],[PRIX UNITAIRE]])</f>
        <v>0</v>
      </c>
      <c r="F67" s="14"/>
      <c r="G67" s="6">
        <f>SUM(E$9:$E67)-SUM(F$9:$F67)</f>
        <v>0</v>
      </c>
    </row>
    <row r="68" spans="1:7" ht="28.8" x14ac:dyDescent="0.55000000000000004">
      <c r="A68" s="12"/>
      <c r="B68" s="13"/>
      <c r="C68" s="10"/>
      <c r="D68" s="10"/>
      <c r="E68" s="7">
        <f>$I$1+(ARTCI[[#This Row],[QUANTITE]]*ARTCI[[#This Row],[PRIX UNITAIRE]])</f>
        <v>0</v>
      </c>
      <c r="F68" s="14"/>
      <c r="G68" s="6">
        <f>SUM(E$9:$E68)-SUM(F$9:$F68)</f>
        <v>0</v>
      </c>
    </row>
    <row r="69" spans="1:7" ht="28.8" x14ac:dyDescent="0.55000000000000004">
      <c r="A69" s="12"/>
      <c r="B69" s="13"/>
      <c r="C69" s="10"/>
      <c r="D69" s="10"/>
      <c r="E69" s="7">
        <f>$I$1+(ARTCI[[#This Row],[QUANTITE]]*ARTCI[[#This Row],[PRIX UNITAIRE]])</f>
        <v>0</v>
      </c>
      <c r="F69" s="14"/>
      <c r="G69" s="6">
        <f>SUM(E$9:$E69)-SUM(F$9:$F69)</f>
        <v>0</v>
      </c>
    </row>
    <row r="70" spans="1:7" ht="28.8" x14ac:dyDescent="0.55000000000000004">
      <c r="A70" s="12"/>
      <c r="B70" s="13"/>
      <c r="C70" s="10"/>
      <c r="D70" s="10"/>
      <c r="E70" s="7">
        <f>$I$1+(ARTCI[[#This Row],[QUANTITE]]*ARTCI[[#This Row],[PRIX UNITAIRE]])</f>
        <v>0</v>
      </c>
      <c r="F70" s="14"/>
      <c r="G70" s="6">
        <f>SUM(E$9:$E70)-SUM(F$9:$F70)</f>
        <v>0</v>
      </c>
    </row>
    <row r="71" spans="1:7" ht="28.8" x14ac:dyDescent="0.55000000000000004">
      <c r="A71" s="12"/>
      <c r="B71" s="13"/>
      <c r="C71" s="10"/>
      <c r="D71" s="10"/>
      <c r="E71" s="7">
        <f>$I$1+(ARTCI[[#This Row],[QUANTITE]]*ARTCI[[#This Row],[PRIX UNITAIRE]])</f>
        <v>0</v>
      </c>
      <c r="F71" s="14"/>
      <c r="G71" s="6">
        <f>SUM(E$9:$E71)-SUM(F$9:$F71)</f>
        <v>0</v>
      </c>
    </row>
  </sheetData>
  <sheetProtection selectLockedCells="1" autoFilter="0"/>
  <mergeCells count="1">
    <mergeCell ref="B6:C6"/>
  </mergeCells>
  <conditionalFormatting sqref="B9:B71">
    <cfRule type="expression" dxfId="847" priority="5">
      <formula>$F9</formula>
    </cfRule>
  </conditionalFormatting>
  <conditionalFormatting sqref="G4">
    <cfRule type="cellIs" dxfId="846" priority="2" operator="lessThan">
      <formula>0</formula>
    </cfRule>
    <cfRule type="cellIs" dxfId="845" priority="3" operator="greaterThan">
      <formula>0</formula>
    </cfRule>
  </conditionalFormatting>
  <dataValidations disablePrompts="1" count="1">
    <dataValidation type="date" operator="greaterThan" allowBlank="1" showInputMessage="1" showErrorMessage="1" error="VEILLEZ ENTRER UNE DATE VALIDE" sqref="A9:A71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I72"/>
  <sheetViews>
    <sheetView showGridLines="0" zoomScale="60" zoomScaleNormal="60" workbookViewId="0">
      <pane ySplit="8" topLeftCell="A4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6.4414062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+SUM(SOFACO[TOTAL MONTANT])</f>
        <v>7042000</v>
      </c>
      <c r="F4" s="41">
        <f>+SUM(SOFACO[VERSEMENT])</f>
        <v>5360000</v>
      </c>
      <c r="G4" s="130">
        <f>+E4-F4</f>
        <v>1682000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282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45798</v>
      </c>
      <c r="B9" s="13" t="s">
        <v>2725</v>
      </c>
      <c r="C9" s="10">
        <v>2</v>
      </c>
      <c r="D9" s="10">
        <v>325000</v>
      </c>
      <c r="E9" s="7">
        <f>+$I$2+(SOFACO[[#This Row],[QUANTITE]]*SOFACO[[#This Row],[PRIX UNITAIRE]])</f>
        <v>650000</v>
      </c>
      <c r="F9" s="14"/>
      <c r="G9" s="6">
        <f>+SUM(E$9:$E9)-SUM(F$9:$F9)</f>
        <v>650000</v>
      </c>
    </row>
    <row r="10" spans="1:9" ht="28.8" x14ac:dyDescent="0.55000000000000004">
      <c r="A10" s="12">
        <v>45799</v>
      </c>
      <c r="B10" s="13" t="s">
        <v>283</v>
      </c>
      <c r="C10" s="11">
        <v>4</v>
      </c>
      <c r="D10" s="11">
        <v>135000</v>
      </c>
      <c r="E10" s="7">
        <f>+$I$2+(SOFACO[[#This Row],[QUANTITE]]*SOFACO[[#This Row],[PRIX UNITAIRE]])</f>
        <v>540000</v>
      </c>
      <c r="F10" s="14"/>
      <c r="G10" s="8">
        <f>+SUM(E$9:$E10)-SUM(F$9:$F10)</f>
        <v>1190000</v>
      </c>
    </row>
    <row r="11" spans="1:9" ht="28.8" x14ac:dyDescent="0.55000000000000004">
      <c r="A11" s="12">
        <v>45799</v>
      </c>
      <c r="B11" s="13" t="s">
        <v>284</v>
      </c>
      <c r="C11" s="11">
        <v>4</v>
      </c>
      <c r="D11" s="11">
        <v>135000</v>
      </c>
      <c r="E11" s="7">
        <f>+$I$2+(SOFACO[[#This Row],[QUANTITE]]*SOFACO[[#This Row],[PRIX UNITAIRE]])</f>
        <v>540000</v>
      </c>
      <c r="F11" s="14"/>
      <c r="G11" s="8">
        <f>+SUM(E$9:$E11)-SUM(F$9:$F11)</f>
        <v>1730000</v>
      </c>
    </row>
    <row r="12" spans="1:9" ht="28.8" x14ac:dyDescent="0.55000000000000004">
      <c r="A12" s="15">
        <v>45811</v>
      </c>
      <c r="B12" s="16" t="s">
        <v>285</v>
      </c>
      <c r="C12" s="11">
        <v>4</v>
      </c>
      <c r="D12" s="11">
        <v>135000</v>
      </c>
      <c r="E12" s="7">
        <f>+$I$2+(SOFACO[[#This Row],[QUANTITE]]*SOFACO[[#This Row],[PRIX UNITAIRE]])</f>
        <v>540000</v>
      </c>
      <c r="F12" s="17"/>
      <c r="G12" s="8">
        <f>+SUM(E$9:$E12)-SUM(F$9:$F12)</f>
        <v>2270000</v>
      </c>
    </row>
    <row r="13" spans="1:9" ht="28.8" x14ac:dyDescent="0.55000000000000004">
      <c r="A13" s="12">
        <v>45847</v>
      </c>
      <c r="B13" s="13" t="s">
        <v>451</v>
      </c>
      <c r="C13" s="10"/>
      <c r="D13" s="10"/>
      <c r="E13" s="7"/>
      <c r="F13" s="14">
        <v>1730000</v>
      </c>
      <c r="G13" s="6">
        <f>+SUM(E$9:$E13)-SUM(F$9:$F13)</f>
        <v>540000</v>
      </c>
    </row>
    <row r="14" spans="1:9" ht="28.8" x14ac:dyDescent="0.55000000000000004">
      <c r="A14" s="12">
        <v>45866</v>
      </c>
      <c r="B14" s="13" t="s">
        <v>451</v>
      </c>
      <c r="C14" s="10"/>
      <c r="D14" s="10"/>
      <c r="E14" s="7">
        <f>+$I$2+(SOFACO[[#This Row],[QUANTITE]]*SOFACO[[#This Row],[PRIX UNITAIRE]])</f>
        <v>0</v>
      </c>
      <c r="F14" s="14">
        <v>540000</v>
      </c>
      <c r="G14" s="6">
        <f>+SUM(E$9:$E14)-SUM(F$9:$F14)</f>
        <v>0</v>
      </c>
    </row>
    <row r="15" spans="1:9" ht="28.8" x14ac:dyDescent="0.55000000000000004">
      <c r="A15" s="12">
        <v>45890</v>
      </c>
      <c r="B15" s="13" t="s">
        <v>3000</v>
      </c>
      <c r="C15" s="10">
        <v>1</v>
      </c>
      <c r="D15" s="10">
        <v>0</v>
      </c>
      <c r="E15" s="7">
        <f>+$I$2+(SOFACO[[#This Row],[QUANTITE]]*SOFACO[[#This Row],[PRIX UNITAIRE]])</f>
        <v>0</v>
      </c>
      <c r="F15" s="14"/>
      <c r="G15" s="6">
        <f>+SUM(E$9:$E15)-SUM(F$9:$F15)</f>
        <v>0</v>
      </c>
    </row>
    <row r="16" spans="1:9" ht="28.8" x14ac:dyDescent="0.55000000000000004">
      <c r="A16" s="12">
        <v>45895</v>
      </c>
      <c r="B16" s="13" t="s">
        <v>3001</v>
      </c>
      <c r="C16" s="10">
        <v>1</v>
      </c>
      <c r="D16" s="10">
        <v>65000</v>
      </c>
      <c r="E16" s="7">
        <f>+$I$2+(SOFACO[[#This Row],[QUANTITE]]*SOFACO[[#This Row],[PRIX UNITAIRE]])</f>
        <v>65000</v>
      </c>
      <c r="F16" s="14"/>
      <c r="G16" s="6">
        <f>+SUM(E$9:$E16)-SUM(F$9:$F16)</f>
        <v>65000</v>
      </c>
    </row>
    <row r="17" spans="1:7" ht="28.8" x14ac:dyDescent="0.55000000000000004">
      <c r="A17" s="12">
        <v>45915</v>
      </c>
      <c r="B17" s="13" t="s">
        <v>1250</v>
      </c>
      <c r="C17" s="10">
        <v>1</v>
      </c>
      <c r="D17" s="10">
        <v>150000</v>
      </c>
      <c r="E17" s="7">
        <f>+$I$2+(SOFACO[[#This Row],[QUANTITE]]*SOFACO[[#This Row],[PRIX UNITAIRE]])</f>
        <v>150000</v>
      </c>
      <c r="F17" s="14"/>
      <c r="G17" s="6">
        <f>+SUM(E$9:$E17)-SUM(F$9:$F17)</f>
        <v>215000</v>
      </c>
    </row>
    <row r="18" spans="1:7" ht="28.8" x14ac:dyDescent="0.55000000000000004">
      <c r="A18" s="12">
        <v>45936</v>
      </c>
      <c r="B18" s="13" t="s">
        <v>3160</v>
      </c>
      <c r="C18" s="10">
        <v>1</v>
      </c>
      <c r="D18" s="10">
        <v>40000</v>
      </c>
      <c r="E18" s="7">
        <f>+$I$2+(SOFACO[[#This Row],[QUANTITE]]*SOFACO[[#This Row],[PRIX UNITAIRE]])</f>
        <v>40000</v>
      </c>
      <c r="F18" s="14"/>
      <c r="G18" s="6">
        <f>+SUM(E$9:$E18)-SUM(F$9:$F18)</f>
        <v>255000</v>
      </c>
    </row>
    <row r="19" spans="1:7" ht="28.8" x14ac:dyDescent="0.55000000000000004">
      <c r="A19" s="12"/>
      <c r="B19" s="13" t="s">
        <v>3161</v>
      </c>
      <c r="C19" s="10">
        <v>1</v>
      </c>
      <c r="D19" s="10">
        <v>10000</v>
      </c>
      <c r="E19" s="7">
        <f>+$I$2+(SOFACO[[#This Row],[QUANTITE]]*SOFACO[[#This Row],[PRIX UNITAIRE]])</f>
        <v>10000</v>
      </c>
      <c r="F19" s="14"/>
      <c r="G19" s="6">
        <f>+SUM(E$9:$E19)-SUM(F$9:$F19)</f>
        <v>265000</v>
      </c>
    </row>
    <row r="20" spans="1:7" ht="28.8" x14ac:dyDescent="0.55000000000000004">
      <c r="A20" s="12"/>
      <c r="B20" s="13" t="s">
        <v>673</v>
      </c>
      <c r="C20" s="10">
        <v>1</v>
      </c>
      <c r="D20" s="10">
        <v>18000</v>
      </c>
      <c r="E20" s="7">
        <f>+$I$2+(SOFACO[[#This Row],[QUANTITE]]*SOFACO[[#This Row],[PRIX UNITAIRE]])</f>
        <v>18000</v>
      </c>
      <c r="F20" s="14"/>
      <c r="G20" s="6">
        <f>+SUM(E$9:$E20)-SUM(F$9:$F20)</f>
        <v>283000</v>
      </c>
    </row>
    <row r="21" spans="1:7" ht="28.8" x14ac:dyDescent="0.55000000000000004">
      <c r="A21" s="12"/>
      <c r="B21" s="13" t="s">
        <v>467</v>
      </c>
      <c r="C21" s="10">
        <v>1</v>
      </c>
      <c r="D21" s="10">
        <v>12000</v>
      </c>
      <c r="E21" s="7">
        <f>+$I$2+(SOFACO[[#This Row],[QUANTITE]]*SOFACO[[#This Row],[PRIX UNITAIRE]])</f>
        <v>12000</v>
      </c>
      <c r="F21" s="14"/>
      <c r="G21" s="6">
        <f>+SUM(E$9:$E21)-SUM(F$9:$F21)</f>
        <v>295000</v>
      </c>
    </row>
    <row r="22" spans="1:7" ht="28.8" x14ac:dyDescent="0.55000000000000004">
      <c r="A22" s="12"/>
      <c r="B22" s="13" t="s">
        <v>3162</v>
      </c>
      <c r="C22" s="10">
        <v>1</v>
      </c>
      <c r="D22" s="10">
        <v>20000</v>
      </c>
      <c r="E22" s="7">
        <f>+$I$2+(SOFACO[[#This Row],[QUANTITE]]*SOFACO[[#This Row],[PRIX UNITAIRE]])</f>
        <v>20000</v>
      </c>
      <c r="F22" s="14"/>
      <c r="G22" s="6">
        <f>+SUM(E$9:$E22)-SUM(F$9:$F22)</f>
        <v>315000</v>
      </c>
    </row>
    <row r="23" spans="1:7" ht="28.8" x14ac:dyDescent="0.55000000000000004">
      <c r="A23" s="12">
        <v>45940</v>
      </c>
      <c r="B23" s="13" t="s">
        <v>3157</v>
      </c>
      <c r="C23" s="10">
        <v>4</v>
      </c>
      <c r="D23" s="10">
        <v>118750</v>
      </c>
      <c r="E23" s="7">
        <f>+$I$2+(SOFACO[[#This Row],[QUANTITE]]*SOFACO[[#This Row],[PRIX UNITAIRE]])</f>
        <v>475000</v>
      </c>
      <c r="F23" s="14"/>
      <c r="G23" s="6">
        <f>+SUM(E$9:$E23)-SUM(F$9:$F23)</f>
        <v>790000</v>
      </c>
    </row>
    <row r="24" spans="1:7" ht="28.8" x14ac:dyDescent="0.55000000000000004">
      <c r="A24" s="12">
        <v>45995</v>
      </c>
      <c r="B24" s="13" t="s">
        <v>3283</v>
      </c>
      <c r="C24" s="10">
        <v>1</v>
      </c>
      <c r="D24" s="10">
        <v>36000</v>
      </c>
      <c r="E24" s="7">
        <f>+$I$2+(SOFACO[[#This Row],[QUANTITE]]*SOFACO[[#This Row],[PRIX UNITAIRE]])</f>
        <v>36000</v>
      </c>
      <c r="F24" s="14"/>
      <c r="G24" s="6">
        <f>+SUM(E$9:$E24)-SUM(F$9:$F24)</f>
        <v>826000</v>
      </c>
    </row>
    <row r="25" spans="1:7" ht="28.8" x14ac:dyDescent="0.55000000000000004">
      <c r="A25" s="12"/>
      <c r="B25" s="13" t="s">
        <v>3161</v>
      </c>
      <c r="C25" s="10">
        <v>1</v>
      </c>
      <c r="D25" s="10">
        <v>13000</v>
      </c>
      <c r="E25" s="7">
        <f>+$I$2+(SOFACO[[#This Row],[QUANTITE]]*SOFACO[[#This Row],[PRIX UNITAIRE]])</f>
        <v>13000</v>
      </c>
      <c r="F25" s="14"/>
      <c r="G25" s="6">
        <f>+SUM(E$9:$E25)-SUM(F$9:$F25)</f>
        <v>839000</v>
      </c>
    </row>
    <row r="26" spans="1:7" ht="28.8" x14ac:dyDescent="0.55000000000000004">
      <c r="A26" s="12"/>
      <c r="B26" s="13" t="s">
        <v>673</v>
      </c>
      <c r="C26" s="10">
        <v>1</v>
      </c>
      <c r="D26" s="10">
        <v>15000</v>
      </c>
      <c r="E26" s="7">
        <f>+$I$2+(SOFACO[[#This Row],[QUANTITE]]*SOFACO[[#This Row],[PRIX UNITAIRE]])</f>
        <v>15000</v>
      </c>
      <c r="F26" s="14"/>
      <c r="G26" s="6">
        <f>+SUM(E$9:$E26)-SUM(F$9:$F26)</f>
        <v>854000</v>
      </c>
    </row>
    <row r="27" spans="1:7" ht="28.8" x14ac:dyDescent="0.55000000000000004">
      <c r="A27" s="12"/>
      <c r="B27" s="13" t="s">
        <v>3281</v>
      </c>
      <c r="C27" s="10">
        <v>1</v>
      </c>
      <c r="D27" s="10">
        <v>12000</v>
      </c>
      <c r="E27" s="7">
        <f>+$I$2+(SOFACO[[#This Row],[QUANTITE]]*SOFACO[[#This Row],[PRIX UNITAIRE]])</f>
        <v>12000</v>
      </c>
      <c r="F27" s="14"/>
      <c r="G27" s="6">
        <f>+SUM(E$9:$E27)-SUM(F$9:$F27)</f>
        <v>866000</v>
      </c>
    </row>
    <row r="28" spans="1:7" ht="28.8" x14ac:dyDescent="0.55000000000000004">
      <c r="A28" s="12"/>
      <c r="B28" s="13" t="s">
        <v>3282</v>
      </c>
      <c r="C28" s="10">
        <v>1</v>
      </c>
      <c r="D28" s="10">
        <v>13000</v>
      </c>
      <c r="E28" s="7">
        <f>+$I$2+(SOFACO[[#This Row],[QUANTITE]]*SOFACO[[#This Row],[PRIX UNITAIRE]])</f>
        <v>13000</v>
      </c>
      <c r="F28" s="14"/>
      <c r="G28" s="6">
        <f>+SUM(E$9:$E28)-SUM(F$9:$F28)</f>
        <v>879000</v>
      </c>
    </row>
    <row r="29" spans="1:7" ht="28.8" x14ac:dyDescent="0.55000000000000004">
      <c r="A29" s="12"/>
      <c r="B29" s="13" t="s">
        <v>432</v>
      </c>
      <c r="C29" s="10">
        <v>1</v>
      </c>
      <c r="D29" s="10">
        <v>20000</v>
      </c>
      <c r="E29" s="7">
        <f>+$I$2+(SOFACO[[#This Row],[QUANTITE]]*SOFACO[[#This Row],[PRIX UNITAIRE]])</f>
        <v>20000</v>
      </c>
      <c r="F29" s="14"/>
      <c r="G29" s="6">
        <f>+SUM(E$9:$E29)-SUM(F$9:$F29)</f>
        <v>899000</v>
      </c>
    </row>
    <row r="30" spans="1:7" ht="28.8" x14ac:dyDescent="0.55000000000000004">
      <c r="A30" s="12">
        <v>46008</v>
      </c>
      <c r="B30" s="13" t="s">
        <v>3301</v>
      </c>
      <c r="C30" s="10">
        <v>1</v>
      </c>
      <c r="D30" s="10">
        <v>65000</v>
      </c>
      <c r="E30" s="7">
        <f>+$I$2+(SOFACO[[#This Row],[QUANTITE]]*SOFACO[[#This Row],[PRIX UNITAIRE]])</f>
        <v>65000</v>
      </c>
      <c r="F30" s="14"/>
      <c r="G30" s="6">
        <f>+SUM(E$9:$E30)-SUM(F$9:$F30)</f>
        <v>964000</v>
      </c>
    </row>
    <row r="31" spans="1:7" ht="28.8" x14ac:dyDescent="0.55000000000000004">
      <c r="A31" s="12">
        <v>46015</v>
      </c>
      <c r="B31" s="13" t="s">
        <v>451</v>
      </c>
      <c r="C31" s="10"/>
      <c r="D31" s="10"/>
      <c r="E31" s="7">
        <f>+$I$2+(SOFACO[[#This Row],[QUANTITE]]*SOFACO[[#This Row],[PRIX UNITAIRE]])</f>
        <v>0</v>
      </c>
      <c r="F31" s="14">
        <v>1570000</v>
      </c>
      <c r="G31" s="6">
        <f>+SUM(E$9:$E31)-SUM(F$9:$F31)</f>
        <v>-606000</v>
      </c>
    </row>
    <row r="32" spans="1:7" ht="28.8" x14ac:dyDescent="0.55000000000000004">
      <c r="A32" s="12">
        <v>46042</v>
      </c>
      <c r="B32" s="13" t="s">
        <v>3383</v>
      </c>
      <c r="C32" s="10">
        <v>1</v>
      </c>
      <c r="D32" s="10">
        <v>95000</v>
      </c>
      <c r="E32" s="7">
        <f>+$I$2+(SOFACO[[#This Row],[QUANTITE]]*SOFACO[[#This Row],[PRIX UNITAIRE]])</f>
        <v>95000</v>
      </c>
      <c r="F32" s="14"/>
      <c r="G32" s="6">
        <f>+SUM(E$9:$E32)-SUM(F$9:$F32)</f>
        <v>-511000</v>
      </c>
    </row>
    <row r="33" spans="1:7" ht="28.8" x14ac:dyDescent="0.55000000000000004">
      <c r="A33" s="12">
        <v>46043</v>
      </c>
      <c r="B33" s="13" t="s">
        <v>540</v>
      </c>
      <c r="C33" s="10"/>
      <c r="D33" s="10"/>
      <c r="E33" s="7">
        <f>+$I$2+(SOFACO[[#This Row],[QUANTITE]]*SOFACO[[#This Row],[PRIX UNITAIRE]])</f>
        <v>0</v>
      </c>
      <c r="F33" s="14">
        <v>585000</v>
      </c>
      <c r="G33" s="6">
        <f>+SUM(E$9:$E33)-SUM(F$9:$F33)</f>
        <v>-1096000</v>
      </c>
    </row>
    <row r="34" spans="1:7" ht="28.8" x14ac:dyDescent="0.55000000000000004">
      <c r="A34" s="12">
        <v>46043</v>
      </c>
      <c r="B34" s="13" t="s">
        <v>450</v>
      </c>
      <c r="C34" s="10">
        <v>3</v>
      </c>
      <c r="D34" s="10">
        <v>0</v>
      </c>
      <c r="E34" s="7">
        <f>+$I$2+(SOFACO[[#This Row],[QUANTITE]]*SOFACO[[#This Row],[PRIX UNITAIRE]])</f>
        <v>0</v>
      </c>
      <c r="F34" s="14"/>
      <c r="G34" s="6">
        <f>+SUM(E$9:$E34)-SUM(F$9:$F34)</f>
        <v>-1096000</v>
      </c>
    </row>
    <row r="35" spans="1:7" ht="28.8" x14ac:dyDescent="0.55000000000000004">
      <c r="A35" s="12"/>
      <c r="B35" s="13" t="s">
        <v>261</v>
      </c>
      <c r="C35" s="10">
        <v>4</v>
      </c>
      <c r="D35" s="10">
        <v>130000</v>
      </c>
      <c r="E35" s="7">
        <f>+$I$2+(SOFACO[[#This Row],[QUANTITE]]*SOFACO[[#This Row],[PRIX UNITAIRE]])</f>
        <v>520000</v>
      </c>
      <c r="F35" s="14"/>
      <c r="G35" s="6">
        <f>+SUM(E$9:$E35)-SUM(F$9:$F35)</f>
        <v>-576000</v>
      </c>
    </row>
    <row r="36" spans="1:7" ht="28.8" x14ac:dyDescent="0.55000000000000004">
      <c r="A36" s="12">
        <v>46056</v>
      </c>
      <c r="B36" s="13" t="s">
        <v>3406</v>
      </c>
      <c r="C36" s="10">
        <v>4</v>
      </c>
      <c r="D36" s="10">
        <v>145000</v>
      </c>
      <c r="E36" s="7">
        <f>+$I$2+(SOFACO[[#This Row],[QUANTITE]]*SOFACO[[#This Row],[PRIX UNITAIRE]])</f>
        <v>580000</v>
      </c>
      <c r="F36" s="14"/>
      <c r="G36" s="6">
        <f>+SUM(E$9:$E36)-SUM(F$9:$F36)</f>
        <v>4000</v>
      </c>
    </row>
    <row r="37" spans="1:7" ht="28.8" x14ac:dyDescent="0.55000000000000004">
      <c r="A37" s="12">
        <v>46058</v>
      </c>
      <c r="B37" s="13" t="s">
        <v>3412</v>
      </c>
      <c r="C37" s="10">
        <v>1</v>
      </c>
      <c r="D37" s="10">
        <v>55000</v>
      </c>
      <c r="E37" s="7">
        <f>+$I$2+(SOFACO[[#This Row],[QUANTITE]]*SOFACO[[#This Row],[PRIX UNITAIRE]])</f>
        <v>55000</v>
      </c>
      <c r="F37" s="14"/>
      <c r="G37" s="6">
        <f>+SUM(E$9:$E37)-SUM(F$9:$F37)</f>
        <v>59000</v>
      </c>
    </row>
    <row r="38" spans="1:7" ht="28.8" x14ac:dyDescent="0.55000000000000004">
      <c r="A38" s="12">
        <v>46058</v>
      </c>
      <c r="B38" s="13" t="s">
        <v>3413</v>
      </c>
      <c r="C38" s="10">
        <v>1</v>
      </c>
      <c r="D38" s="10">
        <v>20000</v>
      </c>
      <c r="E38" s="7">
        <f>+$I$2+(SOFACO[[#This Row],[QUANTITE]]*SOFACO[[#This Row],[PRIX UNITAIRE]])</f>
        <v>20000</v>
      </c>
      <c r="F38" s="14"/>
      <c r="G38" s="6">
        <f>+SUM(E$9:$E38)-SUM(F$9:$F38)</f>
        <v>79000</v>
      </c>
    </row>
    <row r="39" spans="1:7" ht="28.8" x14ac:dyDescent="0.55000000000000004">
      <c r="A39" s="12">
        <v>46072</v>
      </c>
      <c r="B39" s="13" t="s">
        <v>3447</v>
      </c>
      <c r="C39" s="10">
        <v>1</v>
      </c>
      <c r="D39" s="10">
        <v>40000</v>
      </c>
      <c r="E39" s="7">
        <f>+$I$2+(SOFACO[[#This Row],[QUANTITE]]*SOFACO[[#This Row],[PRIX UNITAIRE]])</f>
        <v>40000</v>
      </c>
      <c r="F39" s="14"/>
      <c r="G39" s="6">
        <f>+SUM(E$9:$E39)-SUM(F$9:$F39)</f>
        <v>119000</v>
      </c>
    </row>
    <row r="40" spans="1:7" ht="28.8" x14ac:dyDescent="0.55000000000000004">
      <c r="A40" s="12">
        <v>46072</v>
      </c>
      <c r="B40" s="13" t="s">
        <v>3448</v>
      </c>
      <c r="C40" s="10">
        <v>1</v>
      </c>
      <c r="D40" s="10">
        <v>13000</v>
      </c>
      <c r="E40" s="7">
        <f>+$I$2+(SOFACO[[#This Row],[QUANTITE]]*SOFACO[[#This Row],[PRIX UNITAIRE]])</f>
        <v>13000</v>
      </c>
      <c r="F40" s="14"/>
      <c r="G40" s="6">
        <f>+SUM(E$9:$E40)-SUM(F$9:$F40)</f>
        <v>132000</v>
      </c>
    </row>
    <row r="41" spans="1:7" ht="28.8" x14ac:dyDescent="0.55000000000000004">
      <c r="A41" s="12">
        <v>46072</v>
      </c>
      <c r="B41" s="13" t="s">
        <v>3449</v>
      </c>
      <c r="C41" s="10">
        <v>1</v>
      </c>
      <c r="D41" s="10">
        <v>15000</v>
      </c>
      <c r="E41" s="7">
        <f>+$I$2+(SOFACO[[#This Row],[QUANTITE]]*SOFACO[[#This Row],[PRIX UNITAIRE]])</f>
        <v>15000</v>
      </c>
      <c r="F41" s="14"/>
      <c r="G41" s="6">
        <f>+SUM(E$9:$E41)-SUM(F$9:$F41)</f>
        <v>147000</v>
      </c>
    </row>
    <row r="42" spans="1:7" ht="28.8" x14ac:dyDescent="0.55000000000000004">
      <c r="A42" s="12">
        <v>46072</v>
      </c>
      <c r="B42" s="13" t="s">
        <v>3450</v>
      </c>
      <c r="C42" s="10">
        <v>1</v>
      </c>
      <c r="D42" s="10">
        <v>10000</v>
      </c>
      <c r="E42" s="7">
        <f>+$I$2+(SOFACO[[#This Row],[QUANTITE]]*SOFACO[[#This Row],[PRIX UNITAIRE]])</f>
        <v>10000</v>
      </c>
      <c r="F42" s="14"/>
      <c r="G42" s="6">
        <f>+SUM(E$9:$E42)-SUM(F$9:$F42)</f>
        <v>157000</v>
      </c>
    </row>
    <row r="43" spans="1:7" ht="28.8" x14ac:dyDescent="0.55000000000000004">
      <c r="A43" s="12">
        <v>46072</v>
      </c>
      <c r="B43" s="13" t="s">
        <v>3451</v>
      </c>
      <c r="C43" s="10">
        <v>1</v>
      </c>
      <c r="D43" s="10">
        <v>20000</v>
      </c>
      <c r="E43" s="7">
        <f>+$I$2+(SOFACO[[#This Row],[QUANTITE]]*SOFACO[[#This Row],[PRIX UNITAIRE]])</f>
        <v>20000</v>
      </c>
      <c r="F43" s="14"/>
      <c r="G43" s="6">
        <f>+SUM(E$9:$E43)-SUM(F$9:$F43)</f>
        <v>177000</v>
      </c>
    </row>
    <row r="44" spans="1:7" ht="28.8" x14ac:dyDescent="0.55000000000000004">
      <c r="A44" s="12">
        <v>46076</v>
      </c>
      <c r="B44" s="13" t="s">
        <v>3458</v>
      </c>
      <c r="C44" s="10">
        <v>1</v>
      </c>
      <c r="D44" s="10">
        <v>190000</v>
      </c>
      <c r="E44" s="7">
        <f>+$I$2+(SOFACO[[#This Row],[QUANTITE]]*SOFACO[[#This Row],[PRIX UNITAIRE]])</f>
        <v>190000</v>
      </c>
      <c r="F44" s="14"/>
      <c r="G44" s="6">
        <f>+SUM(E$9:$E44)-SUM(F$9:$F44)</f>
        <v>367000</v>
      </c>
    </row>
    <row r="45" spans="1:7" ht="28.8" x14ac:dyDescent="0.55000000000000004">
      <c r="A45" s="12">
        <v>46076</v>
      </c>
      <c r="B45" s="13" t="s">
        <v>3459</v>
      </c>
      <c r="C45" s="10">
        <v>1</v>
      </c>
      <c r="D45" s="10">
        <v>485000</v>
      </c>
      <c r="E45" s="7">
        <f>+$I$2+(SOFACO[[#This Row],[QUANTITE]]*SOFACO[[#This Row],[PRIX UNITAIRE]])</f>
        <v>485000</v>
      </c>
      <c r="F45" s="14"/>
      <c r="G45" s="6">
        <f>+SUM(E$9:$E45)-SUM(F$9:$F45)</f>
        <v>852000</v>
      </c>
    </row>
    <row r="46" spans="1:7" ht="28.8" x14ac:dyDescent="0.55000000000000004">
      <c r="A46" s="12">
        <v>46076</v>
      </c>
      <c r="B46" s="13" t="s">
        <v>3460</v>
      </c>
      <c r="C46" s="10">
        <v>1</v>
      </c>
      <c r="D46" s="10">
        <v>70000</v>
      </c>
      <c r="E46" s="7">
        <f>+$I$2+(SOFACO[[#This Row],[QUANTITE]]*SOFACO[[#This Row],[PRIX UNITAIRE]])</f>
        <v>70000</v>
      </c>
      <c r="F46" s="14"/>
      <c r="G46" s="6">
        <f>+SUM(E$9:$E46)-SUM(F$9:$F46)</f>
        <v>922000</v>
      </c>
    </row>
    <row r="47" spans="1:7" ht="28.8" x14ac:dyDescent="0.55000000000000004">
      <c r="A47" s="12">
        <v>46076</v>
      </c>
      <c r="B47" s="13" t="s">
        <v>3461</v>
      </c>
      <c r="C47" s="10">
        <v>1</v>
      </c>
      <c r="D47" s="10">
        <v>30000</v>
      </c>
      <c r="E47" s="7">
        <f>+$I$2+(SOFACO[[#This Row],[QUANTITE]]*SOFACO[[#This Row],[PRIX UNITAIRE]])</f>
        <v>30000</v>
      </c>
      <c r="F47" s="14"/>
      <c r="G47" s="6">
        <f>+SUM(E$9:$E47)-SUM(F$9:$F47)</f>
        <v>952000</v>
      </c>
    </row>
    <row r="48" spans="1:7" ht="28.8" x14ac:dyDescent="0.55000000000000004">
      <c r="A48" s="12">
        <v>46076</v>
      </c>
      <c r="B48" s="13" t="s">
        <v>3462</v>
      </c>
      <c r="C48" s="10">
        <v>1</v>
      </c>
      <c r="D48" s="10">
        <v>15000</v>
      </c>
      <c r="E48" s="7">
        <f>+$I$2+(SOFACO[[#This Row],[QUANTITE]]*SOFACO[[#This Row],[PRIX UNITAIRE]])</f>
        <v>15000</v>
      </c>
      <c r="F48" s="14"/>
      <c r="G48" s="6">
        <f>+SUM(E$9:$E48)-SUM(F$9:$F48)</f>
        <v>967000</v>
      </c>
    </row>
    <row r="49" spans="1:7" ht="28.8" x14ac:dyDescent="0.55000000000000004">
      <c r="A49" s="12">
        <v>46076</v>
      </c>
      <c r="B49" s="13" t="s">
        <v>3463</v>
      </c>
      <c r="C49" s="10">
        <v>1</v>
      </c>
      <c r="D49" s="10">
        <v>110000</v>
      </c>
      <c r="E49" s="7">
        <f>+$I$2+(SOFACO[[#This Row],[QUANTITE]]*SOFACO[[#This Row],[PRIX UNITAIRE]])</f>
        <v>110000</v>
      </c>
      <c r="F49" s="14"/>
      <c r="G49" s="6">
        <f>+SUM(E$9:$E49)-SUM(F$9:$F49)</f>
        <v>1077000</v>
      </c>
    </row>
    <row r="50" spans="1:7" ht="28.8" x14ac:dyDescent="0.55000000000000004">
      <c r="A50" s="12">
        <v>46084</v>
      </c>
      <c r="B50" s="13" t="s">
        <v>3496</v>
      </c>
      <c r="C50" s="10">
        <v>1</v>
      </c>
      <c r="D50" s="10">
        <v>0</v>
      </c>
      <c r="E50" s="7">
        <v>0</v>
      </c>
      <c r="F50" s="14">
        <v>280000</v>
      </c>
      <c r="G50" s="6">
        <f>+SUM(E$9:$E50)-SUM(F$9:$F50)</f>
        <v>797000</v>
      </c>
    </row>
    <row r="51" spans="1:7" ht="28.8" x14ac:dyDescent="0.55000000000000004">
      <c r="A51" s="12">
        <v>46090</v>
      </c>
      <c r="B51" s="13" t="s">
        <v>3503</v>
      </c>
      <c r="C51" s="10">
        <v>2</v>
      </c>
      <c r="D51" s="10">
        <v>12500</v>
      </c>
      <c r="E51" s="7">
        <f>+$I$2+(SOFACO[[#This Row],[QUANTITE]]*SOFACO[[#This Row],[PRIX UNITAIRE]])</f>
        <v>25000</v>
      </c>
      <c r="F51" s="14"/>
      <c r="G51" s="6">
        <f>+SUM(E$9:$E51)-SUM(F$9:$F51)</f>
        <v>822000</v>
      </c>
    </row>
    <row r="52" spans="1:7" ht="28.8" x14ac:dyDescent="0.55000000000000004">
      <c r="A52" s="12">
        <v>46090</v>
      </c>
      <c r="B52" s="13" t="s">
        <v>3504</v>
      </c>
      <c r="C52" s="10">
        <v>1</v>
      </c>
      <c r="D52" s="10">
        <v>290000</v>
      </c>
      <c r="E52" s="7">
        <f>+$I$2+(SOFACO[[#This Row],[QUANTITE]]*SOFACO[[#This Row],[PRIX UNITAIRE]])</f>
        <v>290000</v>
      </c>
      <c r="F52" s="14"/>
      <c r="G52" s="6">
        <f>+SUM(E$9:$E52)-SUM(F$9:$F52)</f>
        <v>1112000</v>
      </c>
    </row>
    <row r="53" spans="1:7" ht="28.8" x14ac:dyDescent="0.55000000000000004">
      <c r="A53" s="12">
        <v>46090</v>
      </c>
      <c r="B53" s="13" t="s">
        <v>1244</v>
      </c>
      <c r="C53" s="10"/>
      <c r="D53" s="10"/>
      <c r="E53" s="7">
        <f>+$I$2+(SOFACO[[#This Row],[QUANTITE]]*SOFACO[[#This Row],[PRIX UNITAIRE]])</f>
        <v>0</v>
      </c>
      <c r="F53" s="14">
        <v>655000</v>
      </c>
      <c r="G53" s="6">
        <f>+SUM(E$9:$E53)-SUM(F$9:$F53)</f>
        <v>457000</v>
      </c>
    </row>
    <row r="54" spans="1:7" ht="28.8" x14ac:dyDescent="0.55000000000000004">
      <c r="A54" s="12">
        <v>46090</v>
      </c>
      <c r="B54" s="13" t="s">
        <v>3508</v>
      </c>
      <c r="C54" s="10">
        <v>1</v>
      </c>
      <c r="D54" s="10">
        <v>50000</v>
      </c>
      <c r="E54" s="7">
        <f>+$I$2+(SOFACO[[#This Row],[QUANTITE]]*SOFACO[[#This Row],[PRIX UNITAIRE]])</f>
        <v>50000</v>
      </c>
      <c r="F54" s="14"/>
      <c r="G54" s="6">
        <f>+SUM(E$9:$E54)-SUM(F$9:$F54)</f>
        <v>507000</v>
      </c>
    </row>
    <row r="55" spans="1:7" ht="28.8" x14ac:dyDescent="0.55000000000000004">
      <c r="A55" s="12">
        <v>46091</v>
      </c>
      <c r="B55" s="13" t="s">
        <v>3510</v>
      </c>
      <c r="C55" s="10">
        <v>1</v>
      </c>
      <c r="D55" s="10">
        <v>900000</v>
      </c>
      <c r="E55" s="7">
        <f>+$I$2+(SOFACO[[#This Row],[QUANTITE]]*SOFACO[[#This Row],[PRIX UNITAIRE]])</f>
        <v>900000</v>
      </c>
      <c r="F55" s="14"/>
      <c r="G55" s="6">
        <f>+SUM(E$9:$E55)-SUM(F$9:$F55)</f>
        <v>1407000</v>
      </c>
    </row>
    <row r="56" spans="1:7" ht="28.8" x14ac:dyDescent="0.55000000000000004">
      <c r="A56" s="12">
        <v>46093</v>
      </c>
      <c r="B56" s="13" t="s">
        <v>3515</v>
      </c>
      <c r="C56" s="10">
        <v>1</v>
      </c>
      <c r="D56" s="10">
        <v>85000</v>
      </c>
      <c r="E56" s="7">
        <f>+$I$2+(SOFACO[[#This Row],[QUANTITE]]*SOFACO[[#This Row],[PRIX UNITAIRE]])</f>
        <v>85000</v>
      </c>
      <c r="F56" s="14"/>
      <c r="G56" s="6">
        <f>+SUM(E$9:$E56)-SUM(F$9:$F56)</f>
        <v>1492000</v>
      </c>
    </row>
    <row r="57" spans="1:7" ht="28.8" x14ac:dyDescent="0.55000000000000004">
      <c r="A57" s="12">
        <v>46098</v>
      </c>
      <c r="B57" s="13" t="s">
        <v>3524</v>
      </c>
      <c r="C57" s="10">
        <v>1</v>
      </c>
      <c r="D57" s="10">
        <v>190000</v>
      </c>
      <c r="E57" s="7">
        <f>+$I$2+(SOFACO[[#This Row],[QUANTITE]]*SOFACO[[#This Row],[PRIX UNITAIRE]])</f>
        <v>190000</v>
      </c>
      <c r="F57" s="14"/>
      <c r="G57" s="6">
        <f>+SUM(E$9:$E57)-SUM(F$9:$F57)</f>
        <v>1682000</v>
      </c>
    </row>
    <row r="58" spans="1:7" ht="28.8" x14ac:dyDescent="0.55000000000000004">
      <c r="A58" s="12"/>
      <c r="B58" s="13"/>
      <c r="C58" s="10"/>
      <c r="D58" s="10"/>
      <c r="E58" s="7">
        <f>+$I$2+(SOFACO[[#This Row],[QUANTITE]]*SOFACO[[#This Row],[PRIX UNITAIRE]])</f>
        <v>0</v>
      </c>
      <c r="F58" s="14"/>
      <c r="G58" s="6">
        <f>+SUM(E$9:$E58)-SUM(F$9:$F58)</f>
        <v>1682000</v>
      </c>
    </row>
    <row r="59" spans="1:7" ht="28.8" x14ac:dyDescent="0.55000000000000004">
      <c r="A59" s="12"/>
      <c r="B59" s="13"/>
      <c r="C59" s="10"/>
      <c r="D59" s="10"/>
      <c r="E59" s="7">
        <f>+$I$2+(SOFACO[[#This Row],[QUANTITE]]*SOFACO[[#This Row],[PRIX UNITAIRE]])</f>
        <v>0</v>
      </c>
      <c r="F59" s="14"/>
      <c r="G59" s="6">
        <f>+SUM(E$9:$E59)-SUM(F$9:$F59)</f>
        <v>1682000</v>
      </c>
    </row>
    <row r="60" spans="1:7" ht="28.8" x14ac:dyDescent="0.55000000000000004">
      <c r="A60" s="12"/>
      <c r="B60" s="13"/>
      <c r="C60" s="10"/>
      <c r="D60" s="10"/>
      <c r="E60" s="7">
        <f>+$I$2+(SOFACO[[#This Row],[QUANTITE]]*SOFACO[[#This Row],[PRIX UNITAIRE]])</f>
        <v>0</v>
      </c>
      <c r="F60" s="14"/>
      <c r="G60" s="6">
        <f>+SUM(E$9:$E60)-SUM(F$9:$F60)</f>
        <v>1682000</v>
      </c>
    </row>
    <row r="61" spans="1:7" ht="28.8" x14ac:dyDescent="0.55000000000000004">
      <c r="A61" s="12"/>
      <c r="B61" s="13"/>
      <c r="C61" s="10"/>
      <c r="D61" s="10"/>
      <c r="E61" s="7">
        <f>+$I$2+(SOFACO[[#This Row],[QUANTITE]]*SOFACO[[#This Row],[PRIX UNITAIRE]])</f>
        <v>0</v>
      </c>
      <c r="F61" s="14"/>
      <c r="G61" s="6">
        <f>+SUM(E$9:$E61)-SUM(F$9:$F61)</f>
        <v>1682000</v>
      </c>
    </row>
    <row r="62" spans="1:7" ht="28.8" x14ac:dyDescent="0.55000000000000004">
      <c r="A62" s="12"/>
      <c r="B62" s="13"/>
      <c r="C62" s="10"/>
      <c r="D62" s="10"/>
      <c r="E62" s="7">
        <f>+$I$2+(SOFACO[[#This Row],[QUANTITE]]*SOFACO[[#This Row],[PRIX UNITAIRE]])</f>
        <v>0</v>
      </c>
      <c r="F62" s="14"/>
      <c r="G62" s="6">
        <f>+SUM(E$9:$E62)-SUM(F$9:$F62)</f>
        <v>1682000</v>
      </c>
    </row>
    <row r="63" spans="1:7" ht="28.8" x14ac:dyDescent="0.55000000000000004">
      <c r="A63" s="12"/>
      <c r="B63" s="13"/>
      <c r="C63" s="10"/>
      <c r="D63" s="10"/>
      <c r="E63" s="7">
        <f>+$I$2+(SOFACO[[#This Row],[QUANTITE]]*SOFACO[[#This Row],[PRIX UNITAIRE]])</f>
        <v>0</v>
      </c>
      <c r="F63" s="14"/>
      <c r="G63" s="6">
        <f>+SUM(E$9:$E63)-SUM(F$9:$F63)</f>
        <v>1682000</v>
      </c>
    </row>
    <row r="64" spans="1:7" ht="28.8" x14ac:dyDescent="0.55000000000000004">
      <c r="A64" s="12"/>
      <c r="B64" s="13"/>
      <c r="C64" s="10"/>
      <c r="D64" s="10"/>
      <c r="E64" s="7">
        <f>+$I$2+(SOFACO[[#This Row],[QUANTITE]]*SOFACO[[#This Row],[PRIX UNITAIRE]])</f>
        <v>0</v>
      </c>
      <c r="F64" s="14"/>
      <c r="G64" s="6">
        <f>+SUM(E$9:$E64)-SUM(F$9:$F64)</f>
        <v>1682000</v>
      </c>
    </row>
    <row r="65" spans="1:7" ht="28.8" x14ac:dyDescent="0.55000000000000004">
      <c r="A65" s="12"/>
      <c r="B65" s="13"/>
      <c r="C65" s="10"/>
      <c r="D65" s="10"/>
      <c r="E65" s="7">
        <f>+$I$2+(SOFACO[[#This Row],[QUANTITE]]*SOFACO[[#This Row],[PRIX UNITAIRE]])</f>
        <v>0</v>
      </c>
      <c r="F65" s="14"/>
      <c r="G65" s="6">
        <f>+SUM(E$9:$E65)-SUM(F$9:$F65)</f>
        <v>1682000</v>
      </c>
    </row>
    <row r="66" spans="1:7" ht="28.8" x14ac:dyDescent="0.55000000000000004">
      <c r="A66" s="12"/>
      <c r="B66" s="13"/>
      <c r="C66" s="10"/>
      <c r="D66" s="10"/>
      <c r="E66" s="7">
        <f>+$I$2+(SOFACO[[#This Row],[QUANTITE]]*SOFACO[[#This Row],[PRIX UNITAIRE]])</f>
        <v>0</v>
      </c>
      <c r="F66" s="14"/>
      <c r="G66" s="6">
        <f>+SUM(E$9:$E66)-SUM(F$9:$F66)</f>
        <v>1682000</v>
      </c>
    </row>
    <row r="67" spans="1:7" ht="28.8" x14ac:dyDescent="0.55000000000000004">
      <c r="A67" s="12"/>
      <c r="B67" s="13"/>
      <c r="C67" s="10"/>
      <c r="D67" s="10"/>
      <c r="E67" s="7">
        <f>+$I$2+(SOFACO[[#This Row],[QUANTITE]]*SOFACO[[#This Row],[PRIX UNITAIRE]])</f>
        <v>0</v>
      </c>
      <c r="F67" s="14"/>
      <c r="G67" s="6">
        <f>+SUM(E$9:$E67)-SUM(F$9:$F67)</f>
        <v>1682000</v>
      </c>
    </row>
    <row r="68" spans="1:7" ht="28.8" x14ac:dyDescent="0.55000000000000004">
      <c r="A68" s="12"/>
      <c r="B68" s="13"/>
      <c r="C68" s="10"/>
      <c r="D68" s="10"/>
      <c r="E68" s="7">
        <f>+$I$2+(SOFACO[[#This Row],[QUANTITE]]*SOFACO[[#This Row],[PRIX UNITAIRE]])</f>
        <v>0</v>
      </c>
      <c r="F68" s="14"/>
      <c r="G68" s="6">
        <f>+SUM(E$9:$E68)-SUM(F$9:$F68)</f>
        <v>1682000</v>
      </c>
    </row>
    <row r="69" spans="1:7" ht="28.8" x14ac:dyDescent="0.55000000000000004">
      <c r="A69" s="12"/>
      <c r="B69" s="13"/>
      <c r="C69" s="10"/>
      <c r="D69" s="10"/>
      <c r="E69" s="7">
        <f>+$I$2+(SOFACO[[#This Row],[QUANTITE]]*SOFACO[[#This Row],[PRIX UNITAIRE]])</f>
        <v>0</v>
      </c>
      <c r="F69" s="14"/>
      <c r="G69" s="6">
        <f>+SUM(E$9:$E69)-SUM(F$9:$F69)</f>
        <v>1682000</v>
      </c>
    </row>
    <row r="70" spans="1:7" ht="28.8" x14ac:dyDescent="0.55000000000000004">
      <c r="A70" s="12"/>
      <c r="B70" s="13"/>
      <c r="C70" s="10"/>
      <c r="D70" s="10"/>
      <c r="E70" s="7">
        <f>+$I$2+(SOFACO[[#This Row],[QUANTITE]]*SOFACO[[#This Row],[PRIX UNITAIRE]])</f>
        <v>0</v>
      </c>
      <c r="F70" s="14"/>
      <c r="G70" s="6">
        <f>+SUM(E$9:$E70)-SUM(F$9:$F70)</f>
        <v>1682000</v>
      </c>
    </row>
    <row r="71" spans="1:7" ht="28.8" x14ac:dyDescent="0.55000000000000004">
      <c r="A71" s="12"/>
      <c r="B71" s="13"/>
      <c r="C71" s="10"/>
      <c r="D71" s="10"/>
      <c r="E71" s="7">
        <f>+$I$2+(SOFACO[[#This Row],[QUANTITE]]*SOFACO[[#This Row],[PRIX UNITAIRE]])</f>
        <v>0</v>
      </c>
      <c r="F71" s="14"/>
      <c r="G71" s="6">
        <f>+SUM(E$9:$E71)-SUM(F$9:$F71)</f>
        <v>1682000</v>
      </c>
    </row>
    <row r="72" spans="1:7" ht="28.8" x14ac:dyDescent="0.55000000000000004">
      <c r="A72" s="12"/>
      <c r="B72" s="13"/>
      <c r="C72" s="10"/>
      <c r="D72" s="10"/>
      <c r="E72" s="7">
        <f>+$I$2+(SOFACO[[#This Row],[QUANTITE]]*SOFACO[[#This Row],[PRIX UNITAIRE]])</f>
        <v>0</v>
      </c>
      <c r="F72" s="14"/>
      <c r="G72" s="6">
        <f>+SUM(E$9:$E72)-SUM(F$9:$F72)</f>
        <v>1682000</v>
      </c>
    </row>
  </sheetData>
  <sheetProtection selectLockedCells="1" autoFilter="0"/>
  <mergeCells count="1">
    <mergeCell ref="B6:C6"/>
  </mergeCells>
  <conditionalFormatting sqref="B9:B72">
    <cfRule type="expression" dxfId="828" priority="5">
      <formula>$F9</formula>
    </cfRule>
  </conditionalFormatting>
  <conditionalFormatting sqref="G4">
    <cfRule type="cellIs" dxfId="827" priority="2" operator="lessThan">
      <formula>0</formula>
    </cfRule>
    <cfRule type="cellIs" dxfId="826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7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I291"/>
  <sheetViews>
    <sheetView showGridLines="0" zoomScale="60" zoomScaleNormal="60" workbookViewId="0">
      <pane ySplit="8" topLeftCell="A275" activePane="bottomLeft" state="frozen"/>
      <selection activeCell="L10" sqref="L10"/>
      <selection pane="bottomLeft" activeCell="B287" sqref="B287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6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+SUM(MANTPS[TOTAL MONTANT])</f>
        <v>29468500</v>
      </c>
      <c r="F4" s="41">
        <f>+SUM(MANTPS[VERSEMENT])</f>
        <v>30000000</v>
      </c>
      <c r="G4" s="130">
        <f>+E4-F4</f>
        <v>-531500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286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/>
      <c r="B9" s="13" t="s">
        <v>287</v>
      </c>
      <c r="C9" s="10">
        <v>1</v>
      </c>
      <c r="D9" s="8">
        <v>1491000</v>
      </c>
      <c r="E9" s="7">
        <f>+$I$2+(MANTPS[[#This Row],[QUANTITE]]*MANTPS[[#This Row],[PRIX UNITAIRE]])</f>
        <v>1491000</v>
      </c>
      <c r="F9" s="20"/>
      <c r="G9" s="6">
        <f>+SUM(E$9:$E9)-SUM(F$9:$F9)</f>
        <v>1491000</v>
      </c>
    </row>
    <row r="10" spans="1:9" ht="28.8" x14ac:dyDescent="0.55000000000000004">
      <c r="A10" s="12">
        <v>45643</v>
      </c>
      <c r="B10" s="13" t="s">
        <v>288</v>
      </c>
      <c r="C10" s="10">
        <v>6</v>
      </c>
      <c r="D10" s="10">
        <v>180000</v>
      </c>
      <c r="E10" s="7">
        <f>+$I$2+(MANTPS[[#This Row],[QUANTITE]]*MANTPS[[#This Row],[PRIX UNITAIRE]])</f>
        <v>1080000</v>
      </c>
      <c r="F10" s="23"/>
      <c r="G10" s="6">
        <f>+SUM(E$9:$E10)-SUM(F$9:$F10)</f>
        <v>2571000</v>
      </c>
    </row>
    <row r="11" spans="1:9" ht="28.8" x14ac:dyDescent="0.55000000000000004">
      <c r="A11" s="12">
        <v>45644</v>
      </c>
      <c r="B11" s="13" t="s">
        <v>289</v>
      </c>
      <c r="C11" s="10">
        <v>2</v>
      </c>
      <c r="D11" s="10">
        <v>27500</v>
      </c>
      <c r="E11" s="7">
        <f>+$I$2+(MANTPS[[#This Row],[QUANTITE]]*MANTPS[[#This Row],[PRIX UNITAIRE]])</f>
        <v>55000</v>
      </c>
      <c r="F11" s="23"/>
      <c r="G11" s="6">
        <f>+SUM(E$9:$E11)-SUM(F$9:$F11)</f>
        <v>2626000</v>
      </c>
    </row>
    <row r="12" spans="1:9" ht="28.8" x14ac:dyDescent="0.55000000000000004">
      <c r="A12" s="12">
        <v>45644</v>
      </c>
      <c r="B12" s="13" t="s">
        <v>290</v>
      </c>
      <c r="C12" s="10">
        <v>2</v>
      </c>
      <c r="D12" s="10">
        <v>27500</v>
      </c>
      <c r="E12" s="7">
        <f>+$I$2+(MANTPS[[#This Row],[QUANTITE]]*MANTPS[[#This Row],[PRIX UNITAIRE]])</f>
        <v>55000</v>
      </c>
      <c r="F12" s="23"/>
      <c r="G12" s="6">
        <f>+SUM(E$9:$E12)-SUM(F$9:$F12)</f>
        <v>2681000</v>
      </c>
    </row>
    <row r="13" spans="1:9" ht="28.8" x14ac:dyDescent="0.55000000000000004">
      <c r="A13" s="12">
        <v>45646</v>
      </c>
      <c r="B13" s="13" t="s">
        <v>291</v>
      </c>
      <c r="C13" s="10">
        <v>2</v>
      </c>
      <c r="D13" s="10">
        <v>27500</v>
      </c>
      <c r="E13" s="7">
        <f>+$I$2+(MANTPS[[#This Row],[QUANTITE]]*MANTPS[[#This Row],[PRIX UNITAIRE]])</f>
        <v>55000</v>
      </c>
      <c r="F13" s="23"/>
      <c r="G13" s="6">
        <f>+SUM(E$9:$E13)-SUM(F$9:$F13)</f>
        <v>2736000</v>
      </c>
    </row>
    <row r="14" spans="1:9" ht="28.8" x14ac:dyDescent="0.55000000000000004">
      <c r="A14" s="12">
        <v>45649</v>
      </c>
      <c r="B14" s="13" t="s">
        <v>292</v>
      </c>
      <c r="C14" s="10">
        <v>2</v>
      </c>
      <c r="D14" s="10">
        <v>27500</v>
      </c>
      <c r="E14" s="7">
        <f>+$I$2+(MANTPS[[#This Row],[QUANTITE]]*MANTPS[[#This Row],[PRIX UNITAIRE]])</f>
        <v>55000</v>
      </c>
      <c r="F14" s="23"/>
      <c r="G14" s="6">
        <f>+SUM(E$9:$E14)-SUM(F$9:$F14)</f>
        <v>2791000</v>
      </c>
    </row>
    <row r="15" spans="1:9" ht="28.8" x14ac:dyDescent="0.55000000000000004">
      <c r="A15" s="12">
        <v>45649</v>
      </c>
      <c r="B15" s="13" t="s">
        <v>293</v>
      </c>
      <c r="C15" s="10">
        <v>2</v>
      </c>
      <c r="D15" s="10">
        <v>27500</v>
      </c>
      <c r="E15" s="7">
        <f>+$I$2+(MANTPS[[#This Row],[QUANTITE]]*MANTPS[[#This Row],[PRIX UNITAIRE]])</f>
        <v>55000</v>
      </c>
      <c r="F15" s="23"/>
      <c r="G15" s="6">
        <f>+SUM(E$9:$E15)-SUM(F$9:$F15)</f>
        <v>2846000</v>
      </c>
    </row>
    <row r="16" spans="1:9" ht="28.8" x14ac:dyDescent="0.55000000000000004">
      <c r="A16" s="12">
        <v>45649</v>
      </c>
      <c r="B16" s="13" t="s">
        <v>213</v>
      </c>
      <c r="C16" s="10">
        <v>4</v>
      </c>
      <c r="D16" s="10">
        <v>180000</v>
      </c>
      <c r="E16" s="7">
        <f>+$I$2+(MANTPS[[#This Row],[QUANTITE]]*MANTPS[[#This Row],[PRIX UNITAIRE]])</f>
        <v>720000</v>
      </c>
      <c r="F16" s="23"/>
      <c r="G16" s="6">
        <f>+SUM(E$9:$E16)-SUM(F$9:$F16)</f>
        <v>3566000</v>
      </c>
    </row>
    <row r="17" spans="1:7" ht="28.8" x14ac:dyDescent="0.55000000000000004">
      <c r="A17" s="12">
        <v>45656</v>
      </c>
      <c r="B17" s="13" t="s">
        <v>294</v>
      </c>
      <c r="C17" s="10">
        <v>2</v>
      </c>
      <c r="D17" s="10">
        <v>27500</v>
      </c>
      <c r="E17" s="7">
        <f>+$I$2+(MANTPS[[#This Row],[QUANTITE]]*MANTPS[[#This Row],[PRIX UNITAIRE]])</f>
        <v>55000</v>
      </c>
      <c r="F17" s="23"/>
      <c r="G17" s="6">
        <f>+SUM(E$9:$E17)-SUM(F$9:$F17)</f>
        <v>3621000</v>
      </c>
    </row>
    <row r="18" spans="1:7" ht="28.8" x14ac:dyDescent="0.55000000000000004">
      <c r="A18" s="12">
        <v>45656</v>
      </c>
      <c r="B18" s="13" t="s">
        <v>295</v>
      </c>
      <c r="C18" s="10">
        <v>2</v>
      </c>
      <c r="D18" s="10">
        <v>27500</v>
      </c>
      <c r="E18" s="7">
        <f>+$I$2+(MANTPS[[#This Row],[QUANTITE]]*MANTPS[[#This Row],[PRIX UNITAIRE]])</f>
        <v>55000</v>
      </c>
      <c r="F18" s="23"/>
      <c r="G18" s="6">
        <f>+SUM(E$9:$E18)-SUM(F$9:$F18)</f>
        <v>3676000</v>
      </c>
    </row>
    <row r="19" spans="1:7" ht="28.8" x14ac:dyDescent="0.55000000000000004">
      <c r="A19" s="12">
        <v>45660</v>
      </c>
      <c r="B19" s="13" t="s">
        <v>296</v>
      </c>
      <c r="C19" s="10">
        <v>2</v>
      </c>
      <c r="D19" s="10">
        <v>27500</v>
      </c>
      <c r="E19" s="7">
        <f>+$I$2+(MANTPS[[#This Row],[QUANTITE]]*MANTPS[[#This Row],[PRIX UNITAIRE]])</f>
        <v>55000</v>
      </c>
      <c r="F19" s="23"/>
      <c r="G19" s="6">
        <f>+SUM(E$9:$E19)-SUM(F$9:$F19)</f>
        <v>3731000</v>
      </c>
    </row>
    <row r="20" spans="1:7" ht="28.8" x14ac:dyDescent="0.55000000000000004">
      <c r="A20" s="12">
        <v>45661</v>
      </c>
      <c r="B20" s="13" t="s">
        <v>297</v>
      </c>
      <c r="C20" s="10">
        <v>1</v>
      </c>
      <c r="D20" s="10">
        <v>27500</v>
      </c>
      <c r="E20" s="7">
        <f>+$I$2+(MANTPS[[#This Row],[QUANTITE]]*MANTPS[[#This Row],[PRIX UNITAIRE]])</f>
        <v>27500</v>
      </c>
      <c r="F20" s="23"/>
      <c r="G20" s="6">
        <f>+SUM(E$9:$E20)-SUM(F$9:$F20)</f>
        <v>3758500</v>
      </c>
    </row>
    <row r="21" spans="1:7" ht="28.8" x14ac:dyDescent="0.55000000000000004">
      <c r="A21" s="12">
        <v>45664</v>
      </c>
      <c r="B21" s="13" t="s">
        <v>298</v>
      </c>
      <c r="C21" s="10">
        <v>2</v>
      </c>
      <c r="D21" s="10">
        <v>27500</v>
      </c>
      <c r="E21" s="7">
        <f>+$I$2+(MANTPS[[#This Row],[QUANTITE]]*MANTPS[[#This Row],[PRIX UNITAIRE]])</f>
        <v>55000</v>
      </c>
      <c r="F21" s="23"/>
      <c r="G21" s="6">
        <f>+SUM(E$9:$E21)-SUM(F$9:$F21)</f>
        <v>3813500</v>
      </c>
    </row>
    <row r="22" spans="1:7" ht="28.8" x14ac:dyDescent="0.55000000000000004">
      <c r="A22" s="12">
        <v>45667</v>
      </c>
      <c r="B22" s="13" t="s">
        <v>299</v>
      </c>
      <c r="C22" s="10">
        <v>2</v>
      </c>
      <c r="D22" s="10">
        <v>27500</v>
      </c>
      <c r="E22" s="7">
        <f>+$I$2+(MANTPS[[#This Row],[QUANTITE]]*MANTPS[[#This Row],[PRIX UNITAIRE]])</f>
        <v>55000</v>
      </c>
      <c r="F22" s="23"/>
      <c r="G22" s="6">
        <f>+SUM(E$9:$E22)-SUM(F$9:$F22)</f>
        <v>3868500</v>
      </c>
    </row>
    <row r="23" spans="1:7" ht="28.8" x14ac:dyDescent="0.55000000000000004">
      <c r="A23" s="12">
        <v>45667</v>
      </c>
      <c r="B23" s="13" t="s">
        <v>300</v>
      </c>
      <c r="C23" s="10">
        <v>1</v>
      </c>
      <c r="D23" s="10">
        <v>27500</v>
      </c>
      <c r="E23" s="7">
        <f>+$I$2+(MANTPS[[#This Row],[QUANTITE]]*MANTPS[[#This Row],[PRIX UNITAIRE]])</f>
        <v>27500</v>
      </c>
      <c r="F23" s="23"/>
      <c r="G23" s="6">
        <f>+SUM(E$9:$E23)-SUM(F$9:$F23)</f>
        <v>3896000</v>
      </c>
    </row>
    <row r="24" spans="1:7" ht="28.8" x14ac:dyDescent="0.55000000000000004">
      <c r="A24" s="12">
        <v>45668</v>
      </c>
      <c r="B24" s="13" t="s">
        <v>301</v>
      </c>
      <c r="C24" s="10">
        <v>1</v>
      </c>
      <c r="D24" s="10">
        <v>27500</v>
      </c>
      <c r="E24" s="7">
        <f>+$I$2+(MANTPS[[#This Row],[QUANTITE]]*MANTPS[[#This Row],[PRIX UNITAIRE]])</f>
        <v>27500</v>
      </c>
      <c r="F24" s="23"/>
      <c r="G24" s="6">
        <f>+SUM(E$9:$E24)-SUM(F$9:$F24)</f>
        <v>3923500</v>
      </c>
    </row>
    <row r="25" spans="1:7" ht="28.8" x14ac:dyDescent="0.55000000000000004">
      <c r="A25" s="12">
        <v>45671</v>
      </c>
      <c r="B25" s="13" t="s">
        <v>302</v>
      </c>
      <c r="C25" s="10">
        <v>1</v>
      </c>
      <c r="D25" s="10">
        <v>27500</v>
      </c>
      <c r="E25" s="7">
        <f>+$I$2+(MANTPS[[#This Row],[QUANTITE]]*MANTPS[[#This Row],[PRIX UNITAIRE]])</f>
        <v>27500</v>
      </c>
      <c r="F25" s="23"/>
      <c r="G25" s="6">
        <f>+SUM(E$9:$E25)-SUM(F$9:$F25)</f>
        <v>3951000</v>
      </c>
    </row>
    <row r="26" spans="1:7" ht="28.8" x14ac:dyDescent="0.55000000000000004">
      <c r="A26" s="12">
        <v>45671</v>
      </c>
      <c r="B26" s="13" t="s">
        <v>303</v>
      </c>
      <c r="C26" s="10">
        <v>2</v>
      </c>
      <c r="D26" s="10">
        <v>27500</v>
      </c>
      <c r="E26" s="7">
        <f>+$I$2+(MANTPS[[#This Row],[QUANTITE]]*MANTPS[[#This Row],[PRIX UNITAIRE]])</f>
        <v>55000</v>
      </c>
      <c r="F26" s="23"/>
      <c r="G26" s="6">
        <f>+SUM(E$9:$E26)-SUM(F$9:$F26)</f>
        <v>4006000</v>
      </c>
    </row>
    <row r="27" spans="1:7" ht="28.8" x14ac:dyDescent="0.55000000000000004">
      <c r="A27" s="12">
        <v>45672</v>
      </c>
      <c r="B27" s="13" t="s">
        <v>304</v>
      </c>
      <c r="C27" s="10">
        <v>1</v>
      </c>
      <c r="D27" s="10">
        <v>27500</v>
      </c>
      <c r="E27" s="7">
        <f>+$I$2+(MANTPS[[#This Row],[QUANTITE]]*MANTPS[[#This Row],[PRIX UNITAIRE]])</f>
        <v>27500</v>
      </c>
      <c r="F27" s="23"/>
      <c r="G27" s="6">
        <f>+SUM(E$9:$E27)-SUM(F$9:$F27)</f>
        <v>4033500</v>
      </c>
    </row>
    <row r="28" spans="1:7" ht="28.8" x14ac:dyDescent="0.55000000000000004">
      <c r="A28" s="12">
        <v>45673</v>
      </c>
      <c r="B28" s="13" t="s">
        <v>305</v>
      </c>
      <c r="C28" s="10">
        <v>2</v>
      </c>
      <c r="D28" s="10">
        <v>27500</v>
      </c>
      <c r="E28" s="7">
        <f>+$I$2+(MANTPS[[#This Row],[QUANTITE]]*MANTPS[[#This Row],[PRIX UNITAIRE]])</f>
        <v>55000</v>
      </c>
      <c r="F28" s="23"/>
      <c r="G28" s="6">
        <f>+SUM(E$9:$E28)-SUM(F$9:$F28)</f>
        <v>4088500</v>
      </c>
    </row>
    <row r="29" spans="1:7" ht="28.8" x14ac:dyDescent="0.55000000000000004">
      <c r="A29" s="12">
        <v>45675</v>
      </c>
      <c r="B29" s="13" t="s">
        <v>306</v>
      </c>
      <c r="C29" s="10">
        <v>2</v>
      </c>
      <c r="D29" s="10">
        <v>27500</v>
      </c>
      <c r="E29" s="7">
        <f>+$I$2+(MANTPS[[#This Row],[QUANTITE]]*MANTPS[[#This Row],[PRIX UNITAIRE]])</f>
        <v>55000</v>
      </c>
      <c r="F29" s="23"/>
      <c r="G29" s="6">
        <f>+SUM(E$9:$E29)-SUM(F$9:$F29)</f>
        <v>4143500</v>
      </c>
    </row>
    <row r="30" spans="1:7" ht="28.8" x14ac:dyDescent="0.55000000000000004">
      <c r="A30" s="12">
        <v>45677</v>
      </c>
      <c r="B30" s="13" t="s">
        <v>307</v>
      </c>
      <c r="C30" s="10">
        <v>2</v>
      </c>
      <c r="D30" s="10">
        <v>27500</v>
      </c>
      <c r="E30" s="7">
        <f>+$I$2+(MANTPS[[#This Row],[QUANTITE]]*MANTPS[[#This Row],[PRIX UNITAIRE]])</f>
        <v>55000</v>
      </c>
      <c r="F30" s="23"/>
      <c r="G30" s="6">
        <f>+SUM(E$9:$E30)-SUM(F$9:$F30)</f>
        <v>4198500</v>
      </c>
    </row>
    <row r="31" spans="1:7" ht="28.8" x14ac:dyDescent="0.55000000000000004">
      <c r="A31" s="12">
        <v>45678</v>
      </c>
      <c r="B31" s="13" t="s">
        <v>289</v>
      </c>
      <c r="C31" s="10">
        <v>2</v>
      </c>
      <c r="D31" s="10">
        <v>27500</v>
      </c>
      <c r="E31" s="7">
        <f>+$I$2+(MANTPS[[#This Row],[QUANTITE]]*MANTPS[[#This Row],[PRIX UNITAIRE]])</f>
        <v>55000</v>
      </c>
      <c r="F31" s="23"/>
      <c r="G31" s="6">
        <f>+SUM(E$9:$E31)-SUM(F$9:$F31)</f>
        <v>4253500</v>
      </c>
    </row>
    <row r="32" spans="1:7" ht="28.8" x14ac:dyDescent="0.55000000000000004">
      <c r="A32" s="12">
        <v>45680</v>
      </c>
      <c r="B32" s="13" t="s">
        <v>213</v>
      </c>
      <c r="C32" s="10">
        <v>2</v>
      </c>
      <c r="D32" s="10">
        <v>180000</v>
      </c>
      <c r="E32" s="7">
        <f>+$I$2+(MANTPS[[#This Row],[QUANTITE]]*MANTPS[[#This Row],[PRIX UNITAIRE]])</f>
        <v>360000</v>
      </c>
      <c r="F32" s="23"/>
      <c r="G32" s="6">
        <f>+SUM(E$9:$E32)-SUM(F$9:$F32)</f>
        <v>4613500</v>
      </c>
    </row>
    <row r="33" spans="1:7" ht="28.8" x14ac:dyDescent="0.55000000000000004">
      <c r="A33" s="12">
        <v>45681</v>
      </c>
      <c r="B33" s="13" t="s">
        <v>308</v>
      </c>
      <c r="C33" s="10">
        <v>2</v>
      </c>
      <c r="D33" s="10">
        <v>27500</v>
      </c>
      <c r="E33" s="7">
        <f>+$I$2+(MANTPS[[#This Row],[QUANTITE]]*MANTPS[[#This Row],[PRIX UNITAIRE]])</f>
        <v>55000</v>
      </c>
      <c r="F33" s="23"/>
      <c r="G33" s="6">
        <f>+SUM(E$9:$E33)-SUM(F$9:$F33)</f>
        <v>4668500</v>
      </c>
    </row>
    <row r="34" spans="1:7" ht="28.8" x14ac:dyDescent="0.55000000000000004">
      <c r="A34" s="12">
        <v>45684</v>
      </c>
      <c r="B34" s="13" t="s">
        <v>309</v>
      </c>
      <c r="C34" s="10">
        <v>2</v>
      </c>
      <c r="D34" s="10">
        <v>27500</v>
      </c>
      <c r="E34" s="7">
        <f>+$I$2+(MANTPS[[#This Row],[QUANTITE]]*MANTPS[[#This Row],[PRIX UNITAIRE]])</f>
        <v>55000</v>
      </c>
      <c r="F34" s="23"/>
      <c r="G34" s="6">
        <f>+SUM(E$9:$E34)-SUM(F$9:$F34)</f>
        <v>4723500</v>
      </c>
    </row>
    <row r="35" spans="1:7" ht="28.8" x14ac:dyDescent="0.55000000000000004">
      <c r="A35" s="12">
        <v>45684</v>
      </c>
      <c r="B35" s="13" t="s">
        <v>310</v>
      </c>
      <c r="C35" s="10">
        <v>1</v>
      </c>
      <c r="D35" s="10">
        <v>27500</v>
      </c>
      <c r="E35" s="7">
        <f>+$I$2+(MANTPS[[#This Row],[QUANTITE]]*MANTPS[[#This Row],[PRIX UNITAIRE]])</f>
        <v>27500</v>
      </c>
      <c r="F35" s="23"/>
      <c r="G35" s="6">
        <f>+SUM(E$9:$E35)-SUM(F$9:$F35)</f>
        <v>4751000</v>
      </c>
    </row>
    <row r="36" spans="1:7" ht="28.8" x14ac:dyDescent="0.55000000000000004">
      <c r="A36" s="12">
        <v>45684</v>
      </c>
      <c r="B36" s="13" t="s">
        <v>311</v>
      </c>
      <c r="C36" s="10">
        <v>1</v>
      </c>
      <c r="D36" s="10">
        <v>0</v>
      </c>
      <c r="E36" s="7">
        <f>+$I$2+(MANTPS[[#This Row],[QUANTITE]]*MANTPS[[#This Row],[PRIX UNITAIRE]])</f>
        <v>0</v>
      </c>
      <c r="F36" s="23">
        <v>5000000</v>
      </c>
      <c r="G36" s="6">
        <f>+SUM(E$9:$E36)-SUM(F$9:$F36)</f>
        <v>-249000</v>
      </c>
    </row>
    <row r="37" spans="1:7" ht="28.8" x14ac:dyDescent="0.55000000000000004">
      <c r="A37" s="12">
        <v>45684</v>
      </c>
      <c r="B37" s="13" t="s">
        <v>312</v>
      </c>
      <c r="C37" s="10">
        <v>2</v>
      </c>
      <c r="D37" s="10">
        <v>27500</v>
      </c>
      <c r="E37" s="7">
        <f>+$I$2+(MANTPS[[#This Row],[QUANTITE]]*MANTPS[[#This Row],[PRIX UNITAIRE]])</f>
        <v>55000</v>
      </c>
      <c r="F37" s="23"/>
      <c r="G37" s="6">
        <f>+SUM(E$9:$E37)-SUM(F$9:$F37)</f>
        <v>-194000</v>
      </c>
    </row>
    <row r="38" spans="1:7" ht="28.8" x14ac:dyDescent="0.55000000000000004">
      <c r="A38" s="12">
        <v>45685</v>
      </c>
      <c r="B38" s="13" t="s">
        <v>313</v>
      </c>
      <c r="C38" s="10">
        <v>2</v>
      </c>
      <c r="D38" s="10">
        <v>27500</v>
      </c>
      <c r="E38" s="7">
        <f>+$I$2+(MANTPS[[#This Row],[QUANTITE]]*MANTPS[[#This Row],[PRIX UNITAIRE]])</f>
        <v>55000</v>
      </c>
      <c r="F38" s="23"/>
      <c r="G38" s="6">
        <f>+SUM(E$9:$E38)-SUM(F$9:$F38)</f>
        <v>-139000</v>
      </c>
    </row>
    <row r="39" spans="1:7" ht="28.8" x14ac:dyDescent="0.55000000000000004">
      <c r="A39" s="12">
        <v>45691</v>
      </c>
      <c r="B39" s="13" t="s">
        <v>295</v>
      </c>
      <c r="C39" s="10">
        <v>2</v>
      </c>
      <c r="D39" s="10">
        <v>27500</v>
      </c>
      <c r="E39" s="7">
        <f>+$I$2+(MANTPS[[#This Row],[QUANTITE]]*MANTPS[[#This Row],[PRIX UNITAIRE]])</f>
        <v>55000</v>
      </c>
      <c r="F39" s="23"/>
      <c r="G39" s="6">
        <f>+SUM(E$9:$E39)-SUM(F$9:$F39)</f>
        <v>-84000</v>
      </c>
    </row>
    <row r="40" spans="1:7" ht="28.8" x14ac:dyDescent="0.55000000000000004">
      <c r="A40" s="12">
        <v>45692</v>
      </c>
      <c r="B40" s="13" t="s">
        <v>314</v>
      </c>
      <c r="C40" s="10">
        <v>2</v>
      </c>
      <c r="D40" s="10">
        <v>27500</v>
      </c>
      <c r="E40" s="7">
        <f>+$I$2+(MANTPS[[#This Row],[QUANTITE]]*MANTPS[[#This Row],[PRIX UNITAIRE]])</f>
        <v>55000</v>
      </c>
      <c r="F40" s="23"/>
      <c r="G40" s="6">
        <f>+SUM(E$9:$E40)-SUM(F$9:$F40)</f>
        <v>-29000</v>
      </c>
    </row>
    <row r="41" spans="1:7" ht="28.8" x14ac:dyDescent="0.55000000000000004">
      <c r="A41" s="12">
        <v>45693</v>
      </c>
      <c r="B41" s="13" t="s">
        <v>315</v>
      </c>
      <c r="C41" s="10">
        <v>2</v>
      </c>
      <c r="D41" s="10">
        <v>27500</v>
      </c>
      <c r="E41" s="7">
        <f>+$I$2+(MANTPS[[#This Row],[QUANTITE]]*MANTPS[[#This Row],[PRIX UNITAIRE]])</f>
        <v>55000</v>
      </c>
      <c r="F41" s="23"/>
      <c r="G41" s="6">
        <f>+SUM(E$9:$E41)-SUM(F$9:$F41)</f>
        <v>26000</v>
      </c>
    </row>
    <row r="42" spans="1:7" ht="28.8" x14ac:dyDescent="0.55000000000000004">
      <c r="A42" s="12">
        <v>45695</v>
      </c>
      <c r="B42" s="13" t="s">
        <v>316</v>
      </c>
      <c r="C42" s="10">
        <v>2</v>
      </c>
      <c r="D42" s="10">
        <v>180000</v>
      </c>
      <c r="E42" s="7">
        <f>+$I$2+(MANTPS[[#This Row],[QUANTITE]]*MANTPS[[#This Row],[PRIX UNITAIRE]])</f>
        <v>360000</v>
      </c>
      <c r="F42" s="23"/>
      <c r="G42" s="6">
        <f>+SUM(E$9:$E42)-SUM(F$9:$F42)</f>
        <v>386000</v>
      </c>
    </row>
    <row r="43" spans="1:7" ht="28.8" x14ac:dyDescent="0.55000000000000004">
      <c r="A43" s="12">
        <v>45695</v>
      </c>
      <c r="B43" s="13" t="s">
        <v>317</v>
      </c>
      <c r="C43" s="10">
        <v>1</v>
      </c>
      <c r="D43" s="10">
        <v>27500</v>
      </c>
      <c r="E43" s="7">
        <f>+$I$2+(MANTPS[[#This Row],[QUANTITE]]*MANTPS[[#This Row],[PRIX UNITAIRE]])</f>
        <v>27500</v>
      </c>
      <c r="F43" s="23"/>
      <c r="G43" s="6">
        <f>+SUM(E$9:$E43)-SUM(F$9:$F43)</f>
        <v>413500</v>
      </c>
    </row>
    <row r="44" spans="1:7" ht="28.8" x14ac:dyDescent="0.55000000000000004">
      <c r="A44" s="12">
        <v>45695</v>
      </c>
      <c r="B44" s="13" t="s">
        <v>290</v>
      </c>
      <c r="C44" s="10">
        <v>1</v>
      </c>
      <c r="D44" s="10">
        <v>27500</v>
      </c>
      <c r="E44" s="7">
        <f>+$I$2+(MANTPS[[#This Row],[QUANTITE]]*MANTPS[[#This Row],[PRIX UNITAIRE]])</f>
        <v>27500</v>
      </c>
      <c r="F44" s="23"/>
      <c r="G44" s="6">
        <f>+SUM(E$9:$E44)-SUM(F$9:$F44)</f>
        <v>441000</v>
      </c>
    </row>
    <row r="45" spans="1:7" ht="28.8" x14ac:dyDescent="0.55000000000000004">
      <c r="A45" s="12">
        <v>45699</v>
      </c>
      <c r="B45" s="13" t="s">
        <v>318</v>
      </c>
      <c r="C45" s="10">
        <v>2</v>
      </c>
      <c r="D45" s="10">
        <v>27500</v>
      </c>
      <c r="E45" s="7">
        <f>+$I$2+(MANTPS[[#This Row],[QUANTITE]]*MANTPS[[#This Row],[PRIX UNITAIRE]])</f>
        <v>55000</v>
      </c>
      <c r="F45" s="23"/>
      <c r="G45" s="6">
        <f>+SUM(E$9:$E45)-SUM(F$9:$F45)</f>
        <v>496000</v>
      </c>
    </row>
    <row r="46" spans="1:7" ht="28.8" x14ac:dyDescent="0.55000000000000004">
      <c r="A46" s="12">
        <v>45699</v>
      </c>
      <c r="B46" s="13" t="s">
        <v>319</v>
      </c>
      <c r="C46" s="10">
        <v>2</v>
      </c>
      <c r="D46" s="10">
        <v>27500</v>
      </c>
      <c r="E46" s="7">
        <f>+$I$2+(MANTPS[[#This Row],[QUANTITE]]*MANTPS[[#This Row],[PRIX UNITAIRE]])</f>
        <v>55000</v>
      </c>
      <c r="F46" s="23"/>
      <c r="G46" s="6">
        <f>+SUM(E$9:$E46)-SUM(F$9:$F46)</f>
        <v>551000</v>
      </c>
    </row>
    <row r="47" spans="1:7" ht="28.8" x14ac:dyDescent="0.55000000000000004">
      <c r="A47" s="12">
        <v>45699</v>
      </c>
      <c r="B47" s="13" t="s">
        <v>320</v>
      </c>
      <c r="C47" s="10">
        <v>1</v>
      </c>
      <c r="D47" s="10">
        <v>180000</v>
      </c>
      <c r="E47" s="7">
        <f>+$I$2+(MANTPS[[#This Row],[QUANTITE]]*MANTPS[[#This Row],[PRIX UNITAIRE]])</f>
        <v>180000</v>
      </c>
      <c r="F47" s="23"/>
      <c r="G47" s="6">
        <f>+SUM(E$9:$E47)-SUM(F$9:$F47)</f>
        <v>731000</v>
      </c>
    </row>
    <row r="48" spans="1:7" ht="28.8" x14ac:dyDescent="0.55000000000000004">
      <c r="A48" s="12">
        <v>45707</v>
      </c>
      <c r="B48" s="13" t="s">
        <v>321</v>
      </c>
      <c r="C48" s="10">
        <v>2</v>
      </c>
      <c r="D48" s="10">
        <v>27500</v>
      </c>
      <c r="E48" s="7">
        <f>+$I$2+(MANTPS[[#This Row],[QUANTITE]]*MANTPS[[#This Row],[PRIX UNITAIRE]])</f>
        <v>55000</v>
      </c>
      <c r="F48" s="23"/>
      <c r="G48" s="6">
        <f>+SUM(E$9:$E48)-SUM(F$9:$F48)</f>
        <v>786000</v>
      </c>
    </row>
    <row r="49" spans="1:7" ht="28.8" x14ac:dyDescent="0.55000000000000004">
      <c r="A49" s="12">
        <v>45706</v>
      </c>
      <c r="B49" s="13" t="s">
        <v>322</v>
      </c>
      <c r="C49" s="10">
        <v>2</v>
      </c>
      <c r="D49" s="10">
        <v>27500</v>
      </c>
      <c r="E49" s="7">
        <f>+$I$2+(MANTPS[[#This Row],[QUANTITE]]*MANTPS[[#This Row],[PRIX UNITAIRE]])</f>
        <v>55000</v>
      </c>
      <c r="F49" s="23"/>
      <c r="G49" s="6">
        <f>+SUM(E$9:$E49)-SUM(F$9:$F49)</f>
        <v>841000</v>
      </c>
    </row>
    <row r="50" spans="1:7" ht="28.8" x14ac:dyDescent="0.55000000000000004">
      <c r="A50" s="12">
        <v>45709</v>
      </c>
      <c r="B50" s="13" t="s">
        <v>323</v>
      </c>
      <c r="C50" s="10">
        <v>2</v>
      </c>
      <c r="D50" s="10">
        <v>27500</v>
      </c>
      <c r="E50" s="7">
        <f>+$I$2+(MANTPS[[#This Row],[QUANTITE]]*MANTPS[[#This Row],[PRIX UNITAIRE]])</f>
        <v>55000</v>
      </c>
      <c r="F50" s="23"/>
      <c r="G50" s="6">
        <f>+SUM(E$9:$E50)-SUM(F$9:$F50)</f>
        <v>896000</v>
      </c>
    </row>
    <row r="51" spans="1:7" ht="28.8" x14ac:dyDescent="0.55000000000000004">
      <c r="A51" s="12">
        <v>45712</v>
      </c>
      <c r="B51" s="13" t="s">
        <v>324</v>
      </c>
      <c r="C51" s="10">
        <v>2</v>
      </c>
      <c r="D51" s="10">
        <v>27500</v>
      </c>
      <c r="E51" s="7">
        <f>+$I$2+(MANTPS[[#This Row],[QUANTITE]]*MANTPS[[#This Row],[PRIX UNITAIRE]])</f>
        <v>55000</v>
      </c>
      <c r="F51" s="23"/>
      <c r="G51" s="6">
        <f>+SUM(E$9:$E51)-SUM(F$9:$F51)</f>
        <v>951000</v>
      </c>
    </row>
    <row r="52" spans="1:7" ht="28.8" x14ac:dyDescent="0.55000000000000004">
      <c r="A52" s="12">
        <v>45714</v>
      </c>
      <c r="B52" s="13" t="s">
        <v>325</v>
      </c>
      <c r="C52" s="10">
        <v>2</v>
      </c>
      <c r="D52" s="10">
        <v>27500</v>
      </c>
      <c r="E52" s="7">
        <f>+$I$2+(MANTPS[[#This Row],[QUANTITE]]*MANTPS[[#This Row],[PRIX UNITAIRE]])</f>
        <v>55000</v>
      </c>
      <c r="F52" s="23"/>
      <c r="G52" s="6">
        <f>+SUM(E$9:$E52)-SUM(F$9:$F52)</f>
        <v>1006000</v>
      </c>
    </row>
    <row r="53" spans="1:7" ht="28.8" x14ac:dyDescent="0.55000000000000004">
      <c r="A53" s="12">
        <v>45714</v>
      </c>
      <c r="B53" s="13" t="s">
        <v>326</v>
      </c>
      <c r="C53" s="10">
        <v>2</v>
      </c>
      <c r="D53" s="10">
        <v>27500</v>
      </c>
      <c r="E53" s="7">
        <f>+$I$2+(MANTPS[[#This Row],[QUANTITE]]*MANTPS[[#This Row],[PRIX UNITAIRE]])</f>
        <v>55000</v>
      </c>
      <c r="F53" s="23"/>
      <c r="G53" s="6">
        <f>+SUM(E$9:$E53)-SUM(F$9:$F53)</f>
        <v>1061000</v>
      </c>
    </row>
    <row r="54" spans="1:7" ht="28.8" x14ac:dyDescent="0.55000000000000004">
      <c r="A54" s="12">
        <v>45715</v>
      </c>
      <c r="B54" s="13" t="s">
        <v>327</v>
      </c>
      <c r="C54" s="10">
        <v>2</v>
      </c>
      <c r="D54" s="10">
        <v>27500</v>
      </c>
      <c r="E54" s="7">
        <f>+$I$2+(MANTPS[[#This Row],[QUANTITE]]*MANTPS[[#This Row],[PRIX UNITAIRE]])</f>
        <v>55000</v>
      </c>
      <c r="F54" s="23"/>
      <c r="G54" s="6">
        <f>+SUM(E$9:$E54)-SUM(F$9:$F54)</f>
        <v>1116000</v>
      </c>
    </row>
    <row r="55" spans="1:7" ht="28.8" x14ac:dyDescent="0.55000000000000004">
      <c r="A55" s="12">
        <v>45717</v>
      </c>
      <c r="B55" s="13" t="s">
        <v>328</v>
      </c>
      <c r="C55" s="10">
        <v>2</v>
      </c>
      <c r="D55" s="10">
        <v>27500</v>
      </c>
      <c r="E55" s="7">
        <f>+$I$2+(MANTPS[[#This Row],[QUANTITE]]*MANTPS[[#This Row],[PRIX UNITAIRE]])</f>
        <v>55000</v>
      </c>
      <c r="F55" s="23"/>
      <c r="G55" s="6">
        <f>+SUM(E$9:$E55)-SUM(F$9:$F55)</f>
        <v>1171000</v>
      </c>
    </row>
    <row r="56" spans="1:7" ht="28.8" x14ac:dyDescent="0.55000000000000004">
      <c r="A56" s="12">
        <v>45717</v>
      </c>
      <c r="B56" s="13" t="s">
        <v>329</v>
      </c>
      <c r="C56" s="10">
        <v>2</v>
      </c>
      <c r="D56" s="10">
        <v>27500</v>
      </c>
      <c r="E56" s="7">
        <f>+$I$2+(MANTPS[[#This Row],[QUANTITE]]*MANTPS[[#This Row],[PRIX UNITAIRE]])</f>
        <v>55000</v>
      </c>
      <c r="F56" s="23"/>
      <c r="G56" s="6">
        <f>+SUM(E$9:$E56)-SUM(F$9:$F56)</f>
        <v>1226000</v>
      </c>
    </row>
    <row r="57" spans="1:7" ht="28.8" x14ac:dyDescent="0.55000000000000004">
      <c r="A57" s="12">
        <v>45719</v>
      </c>
      <c r="B57" s="13" t="s">
        <v>330</v>
      </c>
      <c r="C57" s="10">
        <v>2</v>
      </c>
      <c r="D57" s="10">
        <v>160000</v>
      </c>
      <c r="E57" s="7">
        <f>+$I$2+(MANTPS[[#This Row],[QUANTITE]]*MANTPS[[#This Row],[PRIX UNITAIRE]])</f>
        <v>320000</v>
      </c>
      <c r="F57" s="23"/>
      <c r="G57" s="6">
        <f>+SUM(E$9:$E57)-SUM(F$9:$F57)</f>
        <v>1546000</v>
      </c>
    </row>
    <row r="58" spans="1:7" ht="28.8" x14ac:dyDescent="0.55000000000000004">
      <c r="A58" s="12">
        <v>45719</v>
      </c>
      <c r="B58" s="13" t="s">
        <v>331</v>
      </c>
      <c r="C58" s="10">
        <v>2</v>
      </c>
      <c r="D58" s="10">
        <v>180000</v>
      </c>
      <c r="E58" s="7">
        <f>+$I$2+(MANTPS[[#This Row],[QUANTITE]]*MANTPS[[#This Row],[PRIX UNITAIRE]])</f>
        <v>360000</v>
      </c>
      <c r="F58" s="23"/>
      <c r="G58" s="6">
        <f>+SUM(E$9:$E58)-SUM(F$9:$F58)</f>
        <v>1906000</v>
      </c>
    </row>
    <row r="59" spans="1:7" ht="28.8" x14ac:dyDescent="0.55000000000000004">
      <c r="A59" s="12">
        <v>45719</v>
      </c>
      <c r="B59" s="13" t="s">
        <v>332</v>
      </c>
      <c r="C59" s="10">
        <v>2</v>
      </c>
      <c r="D59" s="10">
        <v>27500</v>
      </c>
      <c r="E59" s="7">
        <f>+$I$2+(MANTPS[[#This Row],[QUANTITE]]*MANTPS[[#This Row],[PRIX UNITAIRE]])</f>
        <v>55000</v>
      </c>
      <c r="F59" s="23"/>
      <c r="G59" s="6">
        <f>+SUM(E$9:$E59)-SUM(F$9:$F59)</f>
        <v>1961000</v>
      </c>
    </row>
    <row r="60" spans="1:7" ht="28.8" x14ac:dyDescent="0.55000000000000004">
      <c r="A60" s="12">
        <v>45719</v>
      </c>
      <c r="B60" s="13" t="s">
        <v>333</v>
      </c>
      <c r="C60" s="10">
        <v>1</v>
      </c>
      <c r="D60" s="10">
        <v>27500</v>
      </c>
      <c r="E60" s="7">
        <f>+$I$2+(MANTPS[[#This Row],[QUANTITE]]*MANTPS[[#This Row],[PRIX UNITAIRE]])</f>
        <v>27500</v>
      </c>
      <c r="F60" s="14"/>
      <c r="G60" s="6">
        <f>+SUM(E$9:$E60)-SUM(F$9:$F60)</f>
        <v>1988500</v>
      </c>
    </row>
    <row r="61" spans="1:7" ht="28.8" x14ac:dyDescent="0.55000000000000004">
      <c r="A61" s="12">
        <v>45720</v>
      </c>
      <c r="B61" s="13" t="s">
        <v>334</v>
      </c>
      <c r="C61" s="10">
        <v>2</v>
      </c>
      <c r="D61" s="10">
        <v>27500</v>
      </c>
      <c r="E61" s="7">
        <f>+$I$2+(MANTPS[[#This Row],[QUANTITE]]*MANTPS[[#This Row],[PRIX UNITAIRE]])</f>
        <v>55000</v>
      </c>
      <c r="F61" s="14"/>
      <c r="G61" s="6">
        <f>+SUM(E$9:$E61)-SUM(F$9:$F61)</f>
        <v>2043500</v>
      </c>
    </row>
    <row r="62" spans="1:7" ht="28.8" x14ac:dyDescent="0.55000000000000004">
      <c r="A62" s="12">
        <v>45722</v>
      </c>
      <c r="B62" s="13" t="s">
        <v>335</v>
      </c>
      <c r="C62" s="10">
        <v>1</v>
      </c>
      <c r="D62" s="10">
        <v>27500</v>
      </c>
      <c r="E62" s="7">
        <f>+$I$2+(MANTPS[[#This Row],[QUANTITE]]*MANTPS[[#This Row],[PRIX UNITAIRE]])</f>
        <v>27500</v>
      </c>
      <c r="F62" s="14"/>
      <c r="G62" s="6">
        <f>+SUM(E$9:$E62)-SUM(F$9:$F62)</f>
        <v>2071000</v>
      </c>
    </row>
    <row r="63" spans="1:7" ht="28.8" x14ac:dyDescent="0.55000000000000004">
      <c r="A63" s="12">
        <v>45726</v>
      </c>
      <c r="B63" s="13" t="s">
        <v>336</v>
      </c>
      <c r="C63" s="10">
        <v>3</v>
      </c>
      <c r="D63" s="10">
        <v>27500</v>
      </c>
      <c r="E63" s="7">
        <f>+$I$2+(MANTPS[[#This Row],[QUANTITE]]*MANTPS[[#This Row],[PRIX UNITAIRE]])</f>
        <v>82500</v>
      </c>
      <c r="F63" s="14"/>
      <c r="G63" s="6">
        <f>+SUM(E$9:$E63)-SUM(F$9:$F63)</f>
        <v>2153500</v>
      </c>
    </row>
    <row r="64" spans="1:7" ht="28.8" x14ac:dyDescent="0.55000000000000004">
      <c r="A64" s="12">
        <v>45727</v>
      </c>
      <c r="B64" s="13" t="s">
        <v>318</v>
      </c>
      <c r="C64" s="10">
        <v>2</v>
      </c>
      <c r="D64" s="10">
        <v>27500</v>
      </c>
      <c r="E64" s="7">
        <f>+$I$2+(MANTPS[[#This Row],[QUANTITE]]*MANTPS[[#This Row],[PRIX UNITAIRE]])</f>
        <v>55000</v>
      </c>
      <c r="F64" s="14"/>
      <c r="G64" s="6">
        <f>+SUM(E$9:$E64)-SUM(F$9:$F64)</f>
        <v>2208500</v>
      </c>
    </row>
    <row r="65" spans="1:7" ht="28.8" x14ac:dyDescent="0.55000000000000004">
      <c r="A65" s="12">
        <v>45729</v>
      </c>
      <c r="B65" s="13" t="s">
        <v>337</v>
      </c>
      <c r="C65" s="10">
        <v>1</v>
      </c>
      <c r="D65" s="10">
        <v>27500</v>
      </c>
      <c r="E65" s="7">
        <f>+$I$2+(MANTPS[[#This Row],[QUANTITE]]*MANTPS[[#This Row],[PRIX UNITAIRE]])</f>
        <v>27500</v>
      </c>
      <c r="F65" s="14"/>
      <c r="G65" s="6">
        <f>+SUM(E$9:$E65)-SUM(F$9:$F65)</f>
        <v>2236000</v>
      </c>
    </row>
    <row r="66" spans="1:7" ht="28.8" x14ac:dyDescent="0.55000000000000004">
      <c r="A66" s="12">
        <v>45729</v>
      </c>
      <c r="B66" s="13" t="s">
        <v>338</v>
      </c>
      <c r="C66" s="10">
        <v>1</v>
      </c>
      <c r="D66" s="10">
        <v>27500</v>
      </c>
      <c r="E66" s="7">
        <f>+$I$2+(MANTPS[[#This Row],[QUANTITE]]*MANTPS[[#This Row],[PRIX UNITAIRE]])</f>
        <v>27500</v>
      </c>
      <c r="F66" s="14"/>
      <c r="G66" s="6">
        <f>+SUM(E$9:$E66)-SUM(F$9:$F66)</f>
        <v>2263500</v>
      </c>
    </row>
    <row r="67" spans="1:7" ht="28.8" x14ac:dyDescent="0.55000000000000004">
      <c r="A67" s="12">
        <v>45730</v>
      </c>
      <c r="B67" s="13" t="s">
        <v>339</v>
      </c>
      <c r="C67" s="10">
        <v>1</v>
      </c>
      <c r="D67" s="10">
        <v>27500</v>
      </c>
      <c r="E67" s="7">
        <f>+$I$2+(MANTPS[[#This Row],[QUANTITE]]*MANTPS[[#This Row],[PRIX UNITAIRE]])</f>
        <v>27500</v>
      </c>
      <c r="F67" s="14"/>
      <c r="G67" s="6">
        <f>+SUM(E$9:$E67)-SUM(F$9:$F67)</f>
        <v>2291000</v>
      </c>
    </row>
    <row r="68" spans="1:7" ht="28.8" x14ac:dyDescent="0.55000000000000004">
      <c r="A68" s="12">
        <v>45730</v>
      </c>
      <c r="B68" s="13" t="s">
        <v>340</v>
      </c>
      <c r="C68" s="10">
        <v>2</v>
      </c>
      <c r="D68" s="10">
        <v>27500</v>
      </c>
      <c r="E68" s="7">
        <f>+$I$2+(MANTPS[[#This Row],[QUANTITE]]*MANTPS[[#This Row],[PRIX UNITAIRE]])</f>
        <v>55000</v>
      </c>
      <c r="F68" s="14"/>
      <c r="G68" s="6">
        <f>+SUM(E$9:$E68)-SUM(F$9:$F68)</f>
        <v>2346000</v>
      </c>
    </row>
    <row r="69" spans="1:7" ht="28.8" x14ac:dyDescent="0.55000000000000004">
      <c r="A69" s="12">
        <v>45733</v>
      </c>
      <c r="B69" s="13" t="s">
        <v>302</v>
      </c>
      <c r="C69" s="10">
        <v>1</v>
      </c>
      <c r="D69" s="10">
        <v>27500</v>
      </c>
      <c r="E69" s="7">
        <f>+$I$2+(MANTPS[[#This Row],[QUANTITE]]*MANTPS[[#This Row],[PRIX UNITAIRE]])</f>
        <v>27500</v>
      </c>
      <c r="F69" s="14"/>
      <c r="G69" s="6">
        <f>+SUM(E$9:$E69)-SUM(F$9:$F69)</f>
        <v>2373500</v>
      </c>
    </row>
    <row r="70" spans="1:7" ht="28.8" x14ac:dyDescent="0.55000000000000004">
      <c r="A70" s="12">
        <v>45733</v>
      </c>
      <c r="B70" s="13" t="s">
        <v>341</v>
      </c>
      <c r="C70" s="10">
        <v>4</v>
      </c>
      <c r="D70" s="10">
        <v>50000</v>
      </c>
      <c r="E70" s="7">
        <f>+$I$2+(MANTPS[[#This Row],[QUANTITE]]*MANTPS[[#This Row],[PRIX UNITAIRE]])</f>
        <v>200000</v>
      </c>
      <c r="F70" s="14"/>
      <c r="G70" s="6">
        <f>+SUM(E$9:$E70)-SUM(F$9:$F70)</f>
        <v>2573500</v>
      </c>
    </row>
    <row r="71" spans="1:7" ht="28.8" x14ac:dyDescent="0.55000000000000004">
      <c r="A71" s="12">
        <v>45733</v>
      </c>
      <c r="B71" s="13" t="s">
        <v>342</v>
      </c>
      <c r="C71" s="10">
        <v>1</v>
      </c>
      <c r="D71" s="10">
        <v>45000</v>
      </c>
      <c r="E71" s="7">
        <f>+$I$2+(MANTPS[[#This Row],[QUANTITE]]*MANTPS[[#This Row],[PRIX UNITAIRE]])</f>
        <v>45000</v>
      </c>
      <c r="F71" s="14"/>
      <c r="G71" s="6">
        <f>+SUM(E$9:$E71)-SUM(F$9:$F71)</f>
        <v>2618500</v>
      </c>
    </row>
    <row r="72" spans="1:7" ht="28.8" x14ac:dyDescent="0.55000000000000004">
      <c r="A72" s="12">
        <v>45733</v>
      </c>
      <c r="B72" s="13" t="s">
        <v>343</v>
      </c>
      <c r="C72" s="10">
        <v>2</v>
      </c>
      <c r="D72" s="10">
        <v>145000</v>
      </c>
      <c r="E72" s="7">
        <f>+$I$2+(MANTPS[[#This Row],[QUANTITE]]*MANTPS[[#This Row],[PRIX UNITAIRE]])</f>
        <v>290000</v>
      </c>
      <c r="F72" s="14"/>
      <c r="G72" s="6">
        <f>+SUM(E$9:$E72)-SUM(F$9:$F72)</f>
        <v>2908500</v>
      </c>
    </row>
    <row r="73" spans="1:7" ht="28.8" x14ac:dyDescent="0.55000000000000004">
      <c r="A73" s="12">
        <v>45733</v>
      </c>
      <c r="B73" s="13" t="s">
        <v>344</v>
      </c>
      <c r="C73" s="10">
        <v>2</v>
      </c>
      <c r="D73" s="10">
        <v>27500</v>
      </c>
      <c r="E73" s="7">
        <f>+$I$2+(MANTPS[[#This Row],[QUANTITE]]*MANTPS[[#This Row],[PRIX UNITAIRE]])</f>
        <v>55000</v>
      </c>
      <c r="F73" s="14"/>
      <c r="G73" s="6">
        <f>+SUM(E$9:$E73)-SUM(F$9:$F73)</f>
        <v>2963500</v>
      </c>
    </row>
    <row r="74" spans="1:7" ht="28.8" x14ac:dyDescent="0.55000000000000004">
      <c r="A74" s="12">
        <v>45734</v>
      </c>
      <c r="B74" s="13" t="s">
        <v>345</v>
      </c>
      <c r="C74" s="10">
        <v>2</v>
      </c>
      <c r="D74" s="10">
        <v>180000</v>
      </c>
      <c r="E74" s="7">
        <f>+$I$2+(MANTPS[[#This Row],[QUANTITE]]*MANTPS[[#This Row],[PRIX UNITAIRE]])</f>
        <v>360000</v>
      </c>
      <c r="F74" s="14"/>
      <c r="G74" s="6">
        <f>+SUM(E$9:$E74)-SUM(F$9:$F74)</f>
        <v>3323500</v>
      </c>
    </row>
    <row r="75" spans="1:7" ht="28.8" x14ac:dyDescent="0.55000000000000004">
      <c r="A75" s="12">
        <v>45736</v>
      </c>
      <c r="B75" s="13" t="s">
        <v>291</v>
      </c>
      <c r="C75" s="10">
        <v>1</v>
      </c>
      <c r="D75" s="10">
        <v>27500</v>
      </c>
      <c r="E75" s="7">
        <f>+$I$2+(MANTPS[[#This Row],[QUANTITE]]*MANTPS[[#This Row],[PRIX UNITAIRE]])</f>
        <v>27500</v>
      </c>
      <c r="F75" s="14"/>
      <c r="G75" s="6">
        <f>+SUM(E$9:$E75)-SUM(F$9:$F75)</f>
        <v>3351000</v>
      </c>
    </row>
    <row r="76" spans="1:7" ht="28.8" x14ac:dyDescent="0.55000000000000004">
      <c r="A76" s="12">
        <v>45737</v>
      </c>
      <c r="B76" s="13" t="s">
        <v>346</v>
      </c>
      <c r="C76" s="10">
        <v>2</v>
      </c>
      <c r="D76" s="10">
        <v>185000</v>
      </c>
      <c r="E76" s="7">
        <f>+$I$2+(MANTPS[[#This Row],[QUANTITE]]*MANTPS[[#This Row],[PRIX UNITAIRE]])</f>
        <v>370000</v>
      </c>
      <c r="F76" s="14"/>
      <c r="G76" s="6">
        <f>+SUM(E$9:$E76)-SUM(F$9:$F76)</f>
        <v>3721000</v>
      </c>
    </row>
    <row r="77" spans="1:7" ht="28.8" x14ac:dyDescent="0.55000000000000004">
      <c r="A77" s="12">
        <v>45737</v>
      </c>
      <c r="B77" s="13" t="s">
        <v>347</v>
      </c>
      <c r="C77" s="10">
        <v>2</v>
      </c>
      <c r="D77" s="10">
        <v>180000</v>
      </c>
      <c r="E77" s="7">
        <f>+$I$2+(MANTPS[[#This Row],[QUANTITE]]*MANTPS[[#This Row],[PRIX UNITAIRE]])</f>
        <v>360000</v>
      </c>
      <c r="F77" s="14"/>
      <c r="G77" s="6">
        <f>+SUM(E$9:$E77)-SUM(F$9:$F77)</f>
        <v>4081000</v>
      </c>
    </row>
    <row r="78" spans="1:7" ht="28.8" x14ac:dyDescent="0.55000000000000004">
      <c r="A78" s="12">
        <v>45740</v>
      </c>
      <c r="B78" s="13" t="s">
        <v>348</v>
      </c>
      <c r="C78" s="10">
        <v>1</v>
      </c>
      <c r="D78" s="10">
        <v>27500</v>
      </c>
      <c r="E78" s="7">
        <f>+$I$2+(MANTPS[[#This Row],[QUANTITE]]*MANTPS[[#This Row],[PRIX UNITAIRE]])</f>
        <v>27500</v>
      </c>
      <c r="F78" s="14"/>
      <c r="G78" s="6">
        <f>+SUM(E$9:$E78)-SUM(F$9:$F78)</f>
        <v>4108500</v>
      </c>
    </row>
    <row r="79" spans="1:7" ht="28.8" x14ac:dyDescent="0.55000000000000004">
      <c r="A79" s="12">
        <v>45741</v>
      </c>
      <c r="B79" s="13" t="s">
        <v>349</v>
      </c>
      <c r="C79" s="10">
        <v>1</v>
      </c>
      <c r="D79" s="10">
        <v>27500</v>
      </c>
      <c r="E79" s="7">
        <f>+$I$2+(MANTPS[[#This Row],[QUANTITE]]*MANTPS[[#This Row],[PRIX UNITAIRE]])</f>
        <v>27500</v>
      </c>
      <c r="F79" s="14"/>
      <c r="G79" s="6">
        <f>+SUM(E$9:$E79)-SUM(F$9:$F79)</f>
        <v>4136000</v>
      </c>
    </row>
    <row r="80" spans="1:7" ht="28.8" x14ac:dyDescent="0.55000000000000004">
      <c r="A80" s="12">
        <v>45744</v>
      </c>
      <c r="B80" s="13" t="s">
        <v>350</v>
      </c>
      <c r="C80" s="10">
        <v>2</v>
      </c>
      <c r="D80" s="10">
        <v>27500</v>
      </c>
      <c r="E80" s="7">
        <f>+$I$2+(MANTPS[[#This Row],[QUANTITE]]*MANTPS[[#This Row],[PRIX UNITAIRE]])</f>
        <v>55000</v>
      </c>
      <c r="F80" s="14"/>
      <c r="G80" s="6">
        <f>+SUM(E$9:$E80)-SUM(F$9:$F80)</f>
        <v>4191000</v>
      </c>
    </row>
    <row r="81" spans="1:7" ht="28.8" x14ac:dyDescent="0.55000000000000004">
      <c r="A81" s="12">
        <v>45745</v>
      </c>
      <c r="B81" s="13" t="s">
        <v>351</v>
      </c>
      <c r="C81" s="10">
        <v>2</v>
      </c>
      <c r="D81" s="10">
        <v>27500</v>
      </c>
      <c r="E81" s="7">
        <f>+$I$2+(MANTPS[[#This Row],[QUANTITE]]*MANTPS[[#This Row],[PRIX UNITAIRE]])</f>
        <v>55000</v>
      </c>
      <c r="F81" s="14"/>
      <c r="G81" s="6">
        <f>+SUM(E$9:$E81)-SUM(F$9:$F81)</f>
        <v>4246000</v>
      </c>
    </row>
    <row r="82" spans="1:7" ht="28.8" x14ac:dyDescent="0.55000000000000004">
      <c r="A82" s="12">
        <v>45748</v>
      </c>
      <c r="B82" s="13" t="s">
        <v>352</v>
      </c>
      <c r="C82" s="10">
        <v>1</v>
      </c>
      <c r="D82" s="10">
        <v>27500</v>
      </c>
      <c r="E82" s="7">
        <f>+$I$2+(MANTPS[[#This Row],[QUANTITE]]*MANTPS[[#This Row],[PRIX UNITAIRE]])</f>
        <v>27500</v>
      </c>
      <c r="F82" s="14"/>
      <c r="G82" s="6">
        <f>+SUM(E$9:$E82)-SUM(F$9:$F82)</f>
        <v>4273500</v>
      </c>
    </row>
    <row r="83" spans="1:7" ht="28.8" x14ac:dyDescent="0.55000000000000004">
      <c r="A83" s="12">
        <v>45748</v>
      </c>
      <c r="B83" s="13" t="s">
        <v>353</v>
      </c>
      <c r="C83" s="10">
        <v>2</v>
      </c>
      <c r="D83" s="10">
        <v>27500</v>
      </c>
      <c r="E83" s="7">
        <f>+$I$2+(MANTPS[[#This Row],[QUANTITE]]*MANTPS[[#This Row],[PRIX UNITAIRE]])</f>
        <v>55000</v>
      </c>
      <c r="F83" s="14"/>
      <c r="G83" s="6">
        <f>+SUM(E$9:$E83)-SUM(F$9:$F83)</f>
        <v>4328500</v>
      </c>
    </row>
    <row r="84" spans="1:7" ht="28.8" x14ac:dyDescent="0.55000000000000004">
      <c r="A84" s="12">
        <v>45749</v>
      </c>
      <c r="B84" s="13" t="s">
        <v>354</v>
      </c>
      <c r="C84" s="10">
        <v>2</v>
      </c>
      <c r="D84" s="10">
        <v>27500</v>
      </c>
      <c r="E84" s="7">
        <f>+$I$2+(MANTPS[[#This Row],[QUANTITE]]*MANTPS[[#This Row],[PRIX UNITAIRE]])</f>
        <v>55000</v>
      </c>
      <c r="F84" s="14"/>
      <c r="G84" s="6">
        <f>+SUM(E$9:$E84)-SUM(F$9:$F84)</f>
        <v>4383500</v>
      </c>
    </row>
    <row r="85" spans="1:7" ht="28.8" x14ac:dyDescent="0.55000000000000004">
      <c r="A85" s="12">
        <v>45749</v>
      </c>
      <c r="B85" s="13" t="s">
        <v>355</v>
      </c>
      <c r="C85" s="10">
        <v>4</v>
      </c>
      <c r="D85" s="10">
        <v>180000</v>
      </c>
      <c r="E85" s="7">
        <f>+$I$2+(MANTPS[[#This Row],[QUANTITE]]*MANTPS[[#This Row],[PRIX UNITAIRE]])</f>
        <v>720000</v>
      </c>
      <c r="F85" s="14"/>
      <c r="G85" s="6">
        <f>+SUM(E$9:$E85)-SUM(F$9:$F85)</f>
        <v>5103500</v>
      </c>
    </row>
    <row r="86" spans="1:7" ht="28.8" x14ac:dyDescent="0.55000000000000004">
      <c r="A86" s="12">
        <v>45749</v>
      </c>
      <c r="B86" s="13" t="s">
        <v>356</v>
      </c>
      <c r="C86" s="10">
        <v>2</v>
      </c>
      <c r="D86" s="10">
        <v>27500</v>
      </c>
      <c r="E86" s="7">
        <f>+$I$2+(MANTPS[[#This Row],[QUANTITE]]*MANTPS[[#This Row],[PRIX UNITAIRE]])</f>
        <v>55000</v>
      </c>
      <c r="F86" s="14"/>
      <c r="G86" s="6">
        <f>+SUM(E$9:$E86)-SUM(F$9:$F86)</f>
        <v>5158500</v>
      </c>
    </row>
    <row r="87" spans="1:7" ht="28.8" x14ac:dyDescent="0.55000000000000004">
      <c r="A87" s="12">
        <v>45749</v>
      </c>
      <c r="B87" s="13" t="s">
        <v>357</v>
      </c>
      <c r="C87" s="10">
        <v>2</v>
      </c>
      <c r="D87" s="10">
        <v>27500</v>
      </c>
      <c r="E87" s="7">
        <f>+$I$2+(MANTPS[[#This Row],[QUANTITE]]*MANTPS[[#This Row],[PRIX UNITAIRE]])</f>
        <v>55000</v>
      </c>
      <c r="F87" s="14"/>
      <c r="G87" s="6">
        <f>+SUM(E$9:$E87)-SUM(F$9:$F87)</f>
        <v>5213500</v>
      </c>
    </row>
    <row r="88" spans="1:7" ht="28.8" x14ac:dyDescent="0.55000000000000004">
      <c r="A88" s="12">
        <v>45755</v>
      </c>
      <c r="B88" s="13" t="s">
        <v>358</v>
      </c>
      <c r="C88" s="10">
        <v>1</v>
      </c>
      <c r="D88" s="10">
        <v>27500</v>
      </c>
      <c r="E88" s="7">
        <f>+$I$2+(MANTPS[[#This Row],[QUANTITE]]*MANTPS[[#This Row],[PRIX UNITAIRE]])</f>
        <v>27500</v>
      </c>
      <c r="F88" s="14"/>
      <c r="G88" s="6">
        <f>+SUM(E$9:$E88)-SUM(F$9:$F88)</f>
        <v>5241000</v>
      </c>
    </row>
    <row r="89" spans="1:7" ht="28.8" x14ac:dyDescent="0.55000000000000004">
      <c r="A89" s="12">
        <v>45755</v>
      </c>
      <c r="B89" s="13" t="s">
        <v>359</v>
      </c>
      <c r="C89" s="10">
        <v>2</v>
      </c>
      <c r="D89" s="10">
        <v>180000</v>
      </c>
      <c r="E89" s="7">
        <f>+$I$2+(MANTPS[[#This Row],[QUANTITE]]*MANTPS[[#This Row],[PRIX UNITAIRE]])</f>
        <v>360000</v>
      </c>
      <c r="F89" s="14"/>
      <c r="G89" s="6">
        <f>+SUM(E$9:$E89)-SUM(F$9:$F89)</f>
        <v>5601000</v>
      </c>
    </row>
    <row r="90" spans="1:7" ht="28.8" x14ac:dyDescent="0.55000000000000004">
      <c r="A90" s="12">
        <v>45755</v>
      </c>
      <c r="B90" s="13" t="s">
        <v>360</v>
      </c>
      <c r="C90" s="10">
        <v>1</v>
      </c>
      <c r="D90" s="10">
        <v>150000</v>
      </c>
      <c r="E90" s="7">
        <f>+$I$2+(MANTPS[[#This Row],[QUANTITE]]*MANTPS[[#This Row],[PRIX UNITAIRE]])</f>
        <v>150000</v>
      </c>
      <c r="F90" s="14"/>
      <c r="G90" s="6">
        <f>+SUM(E$9:$E90)-SUM(F$9:$F90)</f>
        <v>5751000</v>
      </c>
    </row>
    <row r="91" spans="1:7" ht="28.8" x14ac:dyDescent="0.55000000000000004">
      <c r="A91" s="12">
        <v>45757</v>
      </c>
      <c r="B91" s="13" t="s">
        <v>361</v>
      </c>
      <c r="C91" s="10">
        <v>2</v>
      </c>
      <c r="D91" s="10">
        <v>185000</v>
      </c>
      <c r="E91" s="7">
        <f>+$I$2+(MANTPS[[#This Row],[QUANTITE]]*MANTPS[[#This Row],[PRIX UNITAIRE]])</f>
        <v>370000</v>
      </c>
      <c r="F91" s="14"/>
      <c r="G91" s="6">
        <f>+SUM(E$9:$E91)-SUM(F$9:$F91)</f>
        <v>6121000</v>
      </c>
    </row>
    <row r="92" spans="1:7" ht="28.8" x14ac:dyDescent="0.55000000000000004">
      <c r="A92" s="12">
        <v>45758</v>
      </c>
      <c r="B92" s="13" t="s">
        <v>362</v>
      </c>
      <c r="C92" s="10">
        <v>2</v>
      </c>
      <c r="D92" s="10">
        <v>27500</v>
      </c>
      <c r="E92" s="7">
        <f>+$I$2+(MANTPS[[#This Row],[QUANTITE]]*MANTPS[[#This Row],[PRIX UNITAIRE]])</f>
        <v>55000</v>
      </c>
      <c r="F92" s="14"/>
      <c r="G92" s="6">
        <f>+SUM(E$9:$E92)-SUM(F$9:$F92)</f>
        <v>6176000</v>
      </c>
    </row>
    <row r="93" spans="1:7" ht="28.8" x14ac:dyDescent="0.55000000000000004">
      <c r="A93" s="12">
        <v>45759</v>
      </c>
      <c r="B93" s="13" t="s">
        <v>363</v>
      </c>
      <c r="C93" s="10">
        <v>2</v>
      </c>
      <c r="D93" s="10">
        <v>27500</v>
      </c>
      <c r="E93" s="7">
        <f>+$I$2+(MANTPS[[#This Row],[QUANTITE]]*MANTPS[[#This Row],[PRIX UNITAIRE]])</f>
        <v>55000</v>
      </c>
      <c r="F93" s="14"/>
      <c r="G93" s="6">
        <f>+SUM(E$9:$E93)-SUM(F$9:$F93)</f>
        <v>6231000</v>
      </c>
    </row>
    <row r="94" spans="1:7" ht="28.8" x14ac:dyDescent="0.55000000000000004">
      <c r="A94" s="12">
        <v>45761</v>
      </c>
      <c r="B94" s="13" t="s">
        <v>364</v>
      </c>
      <c r="C94" s="10">
        <v>2</v>
      </c>
      <c r="D94" s="10">
        <v>27500</v>
      </c>
      <c r="E94" s="7">
        <f>+$I$2+(MANTPS[[#This Row],[QUANTITE]]*MANTPS[[#This Row],[PRIX UNITAIRE]])</f>
        <v>55000</v>
      </c>
      <c r="F94" s="14"/>
      <c r="G94" s="6">
        <f>+SUM(E$9:$E94)-SUM(F$9:$F94)</f>
        <v>6286000</v>
      </c>
    </row>
    <row r="95" spans="1:7" ht="28.8" x14ac:dyDescent="0.55000000000000004">
      <c r="A95" s="12">
        <v>45762</v>
      </c>
      <c r="B95" s="13" t="s">
        <v>291</v>
      </c>
      <c r="C95" s="10">
        <v>1</v>
      </c>
      <c r="D95" s="10">
        <v>27500</v>
      </c>
      <c r="E95" s="7">
        <f>+$I$2+(MANTPS[[#This Row],[QUANTITE]]*MANTPS[[#This Row],[PRIX UNITAIRE]])</f>
        <v>27500</v>
      </c>
      <c r="F95" s="14"/>
      <c r="G95" s="6">
        <f>+SUM(E$9:$E95)-SUM(F$9:$F95)</f>
        <v>6313500</v>
      </c>
    </row>
    <row r="96" spans="1:7" ht="28.8" x14ac:dyDescent="0.55000000000000004">
      <c r="A96" s="12">
        <v>45770</v>
      </c>
      <c r="B96" s="13" t="s">
        <v>365</v>
      </c>
      <c r="C96" s="10">
        <v>2</v>
      </c>
      <c r="D96" s="10">
        <v>27500</v>
      </c>
      <c r="E96" s="7">
        <f>+$I$2+(MANTPS[[#This Row],[QUANTITE]]*MANTPS[[#This Row],[PRIX UNITAIRE]])</f>
        <v>55000</v>
      </c>
      <c r="F96" s="14"/>
      <c r="G96" s="6">
        <f>+SUM(E$9:$E96)-SUM(F$9:$F96)</f>
        <v>6368500</v>
      </c>
    </row>
    <row r="97" spans="1:7" ht="28.8" x14ac:dyDescent="0.55000000000000004">
      <c r="A97" s="12">
        <v>45772</v>
      </c>
      <c r="B97" s="13" t="s">
        <v>366</v>
      </c>
      <c r="C97" s="10">
        <v>2</v>
      </c>
      <c r="D97" s="10">
        <v>27500</v>
      </c>
      <c r="E97" s="7">
        <f>+$I$2+(MANTPS[[#This Row],[QUANTITE]]*MANTPS[[#This Row],[PRIX UNITAIRE]])</f>
        <v>55000</v>
      </c>
      <c r="F97" s="14"/>
      <c r="G97" s="6">
        <f>+SUM(E$9:$E97)-SUM(F$9:$F97)</f>
        <v>6423500</v>
      </c>
    </row>
    <row r="98" spans="1:7" ht="28.8" x14ac:dyDescent="0.55000000000000004">
      <c r="A98" s="12">
        <v>45771</v>
      </c>
      <c r="B98" s="13" t="s">
        <v>367</v>
      </c>
      <c r="C98" s="10">
        <v>2</v>
      </c>
      <c r="D98" s="10">
        <v>180000</v>
      </c>
      <c r="E98" s="7">
        <f>+$I$2+(MANTPS[[#This Row],[QUANTITE]]*MANTPS[[#This Row],[PRIX UNITAIRE]])</f>
        <v>360000</v>
      </c>
      <c r="F98" s="14"/>
      <c r="G98" s="6">
        <f>+SUM(E$9:$E98)-SUM(F$9:$F98)</f>
        <v>6783500</v>
      </c>
    </row>
    <row r="99" spans="1:7" ht="28.8" x14ac:dyDescent="0.55000000000000004">
      <c r="A99" s="12">
        <v>45773</v>
      </c>
      <c r="B99" s="13" t="s">
        <v>368</v>
      </c>
      <c r="C99" s="10">
        <v>1</v>
      </c>
      <c r="D99" s="10">
        <v>185000</v>
      </c>
      <c r="E99" s="7">
        <f>+$I$2+(MANTPS[[#This Row],[QUANTITE]]*MANTPS[[#This Row],[PRIX UNITAIRE]])</f>
        <v>185000</v>
      </c>
      <c r="F99" s="14"/>
      <c r="G99" s="6">
        <f>+SUM(E$9:$E99)-SUM(F$9:$F99)</f>
        <v>6968500</v>
      </c>
    </row>
    <row r="100" spans="1:7" ht="28.8" x14ac:dyDescent="0.55000000000000004">
      <c r="A100" s="12">
        <v>45775</v>
      </c>
      <c r="B100" s="13" t="s">
        <v>369</v>
      </c>
      <c r="C100" s="10">
        <v>2</v>
      </c>
      <c r="D100" s="10">
        <v>27500</v>
      </c>
      <c r="E100" s="7">
        <f>+$I$2+(MANTPS[[#This Row],[QUANTITE]]*MANTPS[[#This Row],[PRIX UNITAIRE]])</f>
        <v>55000</v>
      </c>
      <c r="F100" s="14"/>
      <c r="G100" s="6">
        <f>+SUM(E$9:$E100)-SUM(F$9:$F100)</f>
        <v>7023500</v>
      </c>
    </row>
    <row r="101" spans="1:7" ht="28.8" x14ac:dyDescent="0.55000000000000004">
      <c r="A101" s="12">
        <v>45777</v>
      </c>
      <c r="B101" s="13" t="s">
        <v>312</v>
      </c>
      <c r="C101" s="10">
        <v>2</v>
      </c>
      <c r="D101" s="10">
        <v>27500</v>
      </c>
      <c r="E101" s="7">
        <f>+$I$2+(MANTPS[[#This Row],[QUANTITE]]*MANTPS[[#This Row],[PRIX UNITAIRE]])</f>
        <v>55000</v>
      </c>
      <c r="F101" s="14"/>
      <c r="G101" s="6">
        <f>+SUM(E$9:$E101)-SUM(F$9:$F101)</f>
        <v>7078500</v>
      </c>
    </row>
    <row r="102" spans="1:7" ht="28.8" x14ac:dyDescent="0.55000000000000004">
      <c r="A102" s="12">
        <v>45779</v>
      </c>
      <c r="B102" s="13" t="s">
        <v>290</v>
      </c>
      <c r="C102" s="10">
        <v>2</v>
      </c>
      <c r="D102" s="10">
        <v>27500</v>
      </c>
      <c r="E102" s="7">
        <f>+$I$2+(MANTPS[[#This Row],[QUANTITE]]*MANTPS[[#This Row],[PRIX UNITAIRE]])</f>
        <v>55000</v>
      </c>
      <c r="F102" s="14"/>
      <c r="G102" s="6">
        <f>+SUM(E$9:$E102)-SUM(F$9:$F102)</f>
        <v>7133500</v>
      </c>
    </row>
    <row r="103" spans="1:7" ht="28.8" x14ac:dyDescent="0.55000000000000004">
      <c r="A103" s="12">
        <v>45780</v>
      </c>
      <c r="B103" s="13" t="s">
        <v>370</v>
      </c>
      <c r="C103" s="10">
        <v>2</v>
      </c>
      <c r="D103" s="10">
        <v>27500</v>
      </c>
      <c r="E103" s="7">
        <f>+$I$2+(MANTPS[[#This Row],[QUANTITE]]*MANTPS[[#This Row],[PRIX UNITAIRE]])</f>
        <v>55000</v>
      </c>
      <c r="F103" s="14"/>
      <c r="G103" s="6">
        <f>+SUM(E$9:$E103)-SUM(F$9:$F103)</f>
        <v>7188500</v>
      </c>
    </row>
    <row r="104" spans="1:7" ht="28.8" x14ac:dyDescent="0.55000000000000004">
      <c r="A104" s="12">
        <v>45782</v>
      </c>
      <c r="B104" s="13" t="s">
        <v>371</v>
      </c>
      <c r="C104" s="10">
        <v>2</v>
      </c>
      <c r="D104" s="10">
        <v>27500</v>
      </c>
      <c r="E104" s="7">
        <f>+$I$2+(MANTPS[[#This Row],[QUANTITE]]*MANTPS[[#This Row],[PRIX UNITAIRE]])</f>
        <v>55000</v>
      </c>
      <c r="F104" s="14"/>
      <c r="G104" s="6">
        <f>+SUM(E$9:$E104)-SUM(F$9:$F104)</f>
        <v>7243500</v>
      </c>
    </row>
    <row r="105" spans="1:7" ht="28.8" x14ac:dyDescent="0.55000000000000004">
      <c r="A105" s="12">
        <v>45782</v>
      </c>
      <c r="B105" s="13" t="s">
        <v>371</v>
      </c>
      <c r="C105" s="10">
        <v>2</v>
      </c>
      <c r="D105" s="10">
        <v>27500</v>
      </c>
      <c r="E105" s="7">
        <f>+$I$2+(MANTPS[[#This Row],[QUANTITE]]*MANTPS[[#This Row],[PRIX UNITAIRE]])</f>
        <v>55000</v>
      </c>
      <c r="F105" s="14"/>
      <c r="G105" s="6">
        <f>+SUM(E$9:$E105)-SUM(F$9:$F105)</f>
        <v>7298500</v>
      </c>
    </row>
    <row r="106" spans="1:7" ht="28.8" x14ac:dyDescent="0.55000000000000004">
      <c r="A106" s="12">
        <v>45784</v>
      </c>
      <c r="B106" s="13" t="s">
        <v>298</v>
      </c>
      <c r="C106" s="10">
        <v>1</v>
      </c>
      <c r="D106" s="10">
        <v>27500</v>
      </c>
      <c r="E106" s="7">
        <f>+$I$2+(MANTPS[[#This Row],[QUANTITE]]*MANTPS[[#This Row],[PRIX UNITAIRE]])</f>
        <v>27500</v>
      </c>
      <c r="F106" s="14"/>
      <c r="G106" s="6">
        <f>+SUM(E$9:$E106)-SUM(F$9:$F106)</f>
        <v>7326000</v>
      </c>
    </row>
    <row r="107" spans="1:7" ht="28.8" x14ac:dyDescent="0.55000000000000004">
      <c r="A107" s="12">
        <v>45784</v>
      </c>
      <c r="B107" s="13" t="s">
        <v>372</v>
      </c>
      <c r="C107" s="10">
        <v>2</v>
      </c>
      <c r="D107" s="10">
        <v>27500</v>
      </c>
      <c r="E107" s="7">
        <f>+$I$2+(MANTPS[[#This Row],[QUANTITE]]*MANTPS[[#This Row],[PRIX UNITAIRE]])</f>
        <v>55000</v>
      </c>
      <c r="F107" s="14"/>
      <c r="G107" s="6">
        <f>+SUM(E$9:$E107)-SUM(F$9:$F107)</f>
        <v>7381000</v>
      </c>
    </row>
    <row r="108" spans="1:7" ht="28.8" x14ac:dyDescent="0.55000000000000004">
      <c r="A108" s="12">
        <v>45786</v>
      </c>
      <c r="B108" s="13" t="s">
        <v>373</v>
      </c>
      <c r="C108" s="10">
        <v>2</v>
      </c>
      <c r="D108" s="10">
        <v>27500</v>
      </c>
      <c r="E108" s="7">
        <f>+$I$2+(MANTPS[[#This Row],[QUANTITE]]*MANTPS[[#This Row],[PRIX UNITAIRE]])</f>
        <v>55000</v>
      </c>
      <c r="F108" s="14"/>
      <c r="G108" s="6">
        <f>+SUM(E$9:$E108)-SUM(F$9:$F108)</f>
        <v>7436000</v>
      </c>
    </row>
    <row r="109" spans="1:7" ht="28.8" x14ac:dyDescent="0.55000000000000004">
      <c r="A109" s="12">
        <v>45787</v>
      </c>
      <c r="B109" s="13" t="s">
        <v>290</v>
      </c>
      <c r="C109" s="10">
        <v>1</v>
      </c>
      <c r="D109" s="10">
        <v>27500</v>
      </c>
      <c r="E109" s="7">
        <f>+$I$2+(MANTPS[[#This Row],[QUANTITE]]*MANTPS[[#This Row],[PRIX UNITAIRE]])</f>
        <v>27500</v>
      </c>
      <c r="F109" s="14"/>
      <c r="G109" s="6">
        <f>+SUM(E$9:$E109)-SUM(F$9:$F109)</f>
        <v>7463500</v>
      </c>
    </row>
    <row r="110" spans="1:7" ht="28.8" x14ac:dyDescent="0.55000000000000004">
      <c r="A110" s="12">
        <v>45790</v>
      </c>
      <c r="B110" s="13" t="s">
        <v>297</v>
      </c>
      <c r="C110" s="10">
        <v>2</v>
      </c>
      <c r="D110" s="10">
        <v>27500</v>
      </c>
      <c r="E110" s="7">
        <f>+$I$2+(MANTPS[[#This Row],[QUANTITE]]*MANTPS[[#This Row],[PRIX UNITAIRE]])</f>
        <v>55000</v>
      </c>
      <c r="F110" s="14"/>
      <c r="G110" s="6">
        <f>+SUM(E$9:$E110)-SUM(F$9:$F110)</f>
        <v>7518500</v>
      </c>
    </row>
    <row r="111" spans="1:7" ht="28.8" x14ac:dyDescent="0.55000000000000004">
      <c r="A111" s="12">
        <v>45790</v>
      </c>
      <c r="B111" s="13" t="s">
        <v>324</v>
      </c>
      <c r="C111" s="10">
        <v>2</v>
      </c>
      <c r="D111" s="10">
        <v>27500</v>
      </c>
      <c r="E111" s="7">
        <f>+$I$2+(MANTPS[[#This Row],[QUANTITE]]*MANTPS[[#This Row],[PRIX UNITAIRE]])</f>
        <v>55000</v>
      </c>
      <c r="F111" s="14"/>
      <c r="G111" s="6">
        <f>+SUM(E$9:$E111)-SUM(F$9:$F111)</f>
        <v>7573500</v>
      </c>
    </row>
    <row r="112" spans="1:7" ht="28.8" x14ac:dyDescent="0.55000000000000004">
      <c r="A112" s="12">
        <v>45790</v>
      </c>
      <c r="B112" s="13" t="s">
        <v>374</v>
      </c>
      <c r="C112" s="10">
        <v>3</v>
      </c>
      <c r="D112" s="10">
        <v>27500</v>
      </c>
      <c r="E112" s="7">
        <f>+$I$2+(MANTPS[[#This Row],[QUANTITE]]*MANTPS[[#This Row],[PRIX UNITAIRE]])</f>
        <v>82500</v>
      </c>
      <c r="F112" s="14"/>
      <c r="G112" s="6">
        <f>+SUM(E$9:$E112)-SUM(F$9:$F112)</f>
        <v>7656000</v>
      </c>
    </row>
    <row r="113" spans="1:7" ht="28.8" x14ac:dyDescent="0.55000000000000004">
      <c r="A113" s="12">
        <v>45790</v>
      </c>
      <c r="B113" s="13" t="s">
        <v>375</v>
      </c>
      <c r="C113" s="10">
        <v>1</v>
      </c>
      <c r="D113" s="10">
        <v>27500</v>
      </c>
      <c r="E113" s="7">
        <f>+$I$2+(MANTPS[[#This Row],[QUANTITE]]*MANTPS[[#This Row],[PRIX UNITAIRE]])</f>
        <v>27500</v>
      </c>
      <c r="F113" s="14"/>
      <c r="G113" s="6">
        <f>+SUM(E$9:$E113)-SUM(F$9:$F113)</f>
        <v>7683500</v>
      </c>
    </row>
    <row r="114" spans="1:7" ht="28.8" x14ac:dyDescent="0.55000000000000004">
      <c r="A114" s="12">
        <v>45791</v>
      </c>
      <c r="B114" s="13" t="s">
        <v>376</v>
      </c>
      <c r="C114" s="10">
        <v>1</v>
      </c>
      <c r="D114" s="10">
        <v>27500</v>
      </c>
      <c r="E114" s="7">
        <f>+$I$2+(MANTPS[[#This Row],[QUANTITE]]*MANTPS[[#This Row],[PRIX UNITAIRE]])</f>
        <v>27500</v>
      </c>
      <c r="F114" s="14"/>
      <c r="G114" s="6">
        <f>+SUM(E$9:$E114)-SUM(F$9:$F114)</f>
        <v>7711000</v>
      </c>
    </row>
    <row r="115" spans="1:7" ht="28.8" x14ac:dyDescent="0.55000000000000004">
      <c r="A115" s="12">
        <v>45792</v>
      </c>
      <c r="B115" s="13" t="s">
        <v>353</v>
      </c>
      <c r="C115" s="10">
        <v>2</v>
      </c>
      <c r="D115" s="10">
        <v>27500</v>
      </c>
      <c r="E115" s="7">
        <f>+$I$2+(MANTPS[[#This Row],[QUANTITE]]*MANTPS[[#This Row],[PRIX UNITAIRE]])</f>
        <v>55000</v>
      </c>
      <c r="F115" s="14"/>
      <c r="G115" s="6">
        <f>+SUM(E$9:$E115)-SUM(F$9:$F115)</f>
        <v>7766000</v>
      </c>
    </row>
    <row r="116" spans="1:7" ht="28.8" x14ac:dyDescent="0.55000000000000004">
      <c r="A116" s="12">
        <v>45796</v>
      </c>
      <c r="B116" s="13" t="s">
        <v>377</v>
      </c>
      <c r="C116" s="10">
        <v>2</v>
      </c>
      <c r="D116" s="10">
        <v>27500</v>
      </c>
      <c r="E116" s="7">
        <f>+$I$2+(MANTPS[[#This Row],[QUANTITE]]*MANTPS[[#This Row],[PRIX UNITAIRE]])</f>
        <v>55000</v>
      </c>
      <c r="F116" s="14"/>
      <c r="G116" s="6">
        <f>+SUM(E$9:$E116)-SUM(F$9:$F116)</f>
        <v>7821000</v>
      </c>
    </row>
    <row r="117" spans="1:7" ht="28.8" x14ac:dyDescent="0.55000000000000004">
      <c r="A117" s="12">
        <v>45796</v>
      </c>
      <c r="B117" s="13" t="s">
        <v>378</v>
      </c>
      <c r="C117" s="10">
        <v>2</v>
      </c>
      <c r="D117" s="10">
        <v>180000</v>
      </c>
      <c r="E117" s="7">
        <f>+$I$2+(MANTPS[[#This Row],[QUANTITE]]*MANTPS[[#This Row],[PRIX UNITAIRE]])</f>
        <v>360000</v>
      </c>
      <c r="F117" s="14"/>
      <c r="G117" s="6">
        <f>+SUM(E$9:$E117)-SUM(F$9:$F117)</f>
        <v>8181000</v>
      </c>
    </row>
    <row r="118" spans="1:7" ht="28.8" x14ac:dyDescent="0.55000000000000004">
      <c r="A118" s="12">
        <v>45798</v>
      </c>
      <c r="B118" s="13" t="s">
        <v>379</v>
      </c>
      <c r="C118" s="10">
        <v>2</v>
      </c>
      <c r="D118" s="10">
        <v>27500</v>
      </c>
      <c r="E118" s="7">
        <f>+$I$2+(MANTPS[[#This Row],[QUANTITE]]*MANTPS[[#This Row],[PRIX UNITAIRE]])</f>
        <v>55000</v>
      </c>
      <c r="F118" s="14"/>
      <c r="G118" s="6">
        <f>+SUM(E$9:$E118)-SUM(F$9:$F118)</f>
        <v>8236000</v>
      </c>
    </row>
    <row r="119" spans="1:7" ht="28.8" x14ac:dyDescent="0.55000000000000004">
      <c r="A119" s="12">
        <v>45798</v>
      </c>
      <c r="B119" s="13" t="s">
        <v>307</v>
      </c>
      <c r="C119" s="10">
        <v>1</v>
      </c>
      <c r="D119" s="10">
        <v>27500</v>
      </c>
      <c r="E119" s="7">
        <f>+$I$2+(MANTPS[[#This Row],[QUANTITE]]*MANTPS[[#This Row],[PRIX UNITAIRE]])</f>
        <v>27500</v>
      </c>
      <c r="F119" s="14"/>
      <c r="G119" s="6">
        <f>+SUM(E$9:$E119)-SUM(F$9:$F119)</f>
        <v>8263500</v>
      </c>
    </row>
    <row r="120" spans="1:7" ht="28.8" x14ac:dyDescent="0.55000000000000004">
      <c r="A120" s="12">
        <v>45800</v>
      </c>
      <c r="B120" s="13" t="s">
        <v>380</v>
      </c>
      <c r="C120" s="10">
        <v>2</v>
      </c>
      <c r="D120" s="10">
        <v>27500</v>
      </c>
      <c r="E120" s="7">
        <f>+$I$2+(MANTPS[[#This Row],[QUANTITE]]*MANTPS[[#This Row],[PRIX UNITAIRE]])</f>
        <v>55000</v>
      </c>
      <c r="F120" s="14"/>
      <c r="G120" s="6">
        <f>+SUM(E$9:$E120)-SUM(F$9:$F120)</f>
        <v>8318500</v>
      </c>
    </row>
    <row r="121" spans="1:7" ht="28.8" x14ac:dyDescent="0.55000000000000004">
      <c r="A121" s="12">
        <v>45801</v>
      </c>
      <c r="B121" s="13" t="s">
        <v>381</v>
      </c>
      <c r="C121" s="10">
        <v>2</v>
      </c>
      <c r="D121" s="10">
        <v>27500</v>
      </c>
      <c r="E121" s="7">
        <f>+$I$2+(MANTPS[[#This Row],[QUANTITE]]*MANTPS[[#This Row],[PRIX UNITAIRE]])</f>
        <v>55000</v>
      </c>
      <c r="F121" s="14"/>
      <c r="G121" s="6">
        <f>+SUM(E$9:$E121)-SUM(F$9:$F121)</f>
        <v>8373500</v>
      </c>
    </row>
    <row r="122" spans="1:7" ht="28.8" x14ac:dyDescent="0.55000000000000004">
      <c r="A122" s="12">
        <v>45801</v>
      </c>
      <c r="B122" s="13" t="s">
        <v>338</v>
      </c>
      <c r="C122" s="10">
        <v>2</v>
      </c>
      <c r="D122" s="10">
        <v>27500</v>
      </c>
      <c r="E122" s="7">
        <f>+$I$2+(MANTPS[[#This Row],[QUANTITE]]*MANTPS[[#This Row],[PRIX UNITAIRE]])</f>
        <v>55000</v>
      </c>
      <c r="F122" s="14"/>
      <c r="G122" s="6">
        <f>+SUM(E$9:$E122)-SUM(F$9:$F122)</f>
        <v>8428500</v>
      </c>
    </row>
    <row r="123" spans="1:7" ht="28.8" x14ac:dyDescent="0.55000000000000004">
      <c r="A123" s="12">
        <v>45803</v>
      </c>
      <c r="B123" s="13" t="s">
        <v>292</v>
      </c>
      <c r="C123" s="10">
        <v>2</v>
      </c>
      <c r="D123" s="10">
        <v>27500</v>
      </c>
      <c r="E123" s="7">
        <f>+$I$2+(MANTPS[[#This Row],[QUANTITE]]*MANTPS[[#This Row],[PRIX UNITAIRE]])</f>
        <v>55000</v>
      </c>
      <c r="F123" s="14"/>
      <c r="G123" s="6">
        <f>+SUM(E$9:$E123)-SUM(F$9:$F123)</f>
        <v>8483500</v>
      </c>
    </row>
    <row r="124" spans="1:7" ht="28.8" x14ac:dyDescent="0.55000000000000004">
      <c r="A124" s="12">
        <v>45804</v>
      </c>
      <c r="B124" s="13" t="s">
        <v>382</v>
      </c>
      <c r="C124" s="10">
        <v>1</v>
      </c>
      <c r="D124" s="10">
        <v>27500</v>
      </c>
      <c r="E124" s="7">
        <f>+$I$2+(MANTPS[[#This Row],[QUANTITE]]*MANTPS[[#This Row],[PRIX UNITAIRE]])</f>
        <v>27500</v>
      </c>
      <c r="F124" s="14"/>
      <c r="G124" s="6">
        <f>+SUM(E$9:$E124)-SUM(F$9:$F124)</f>
        <v>8511000</v>
      </c>
    </row>
    <row r="125" spans="1:7" ht="28.8" x14ac:dyDescent="0.55000000000000004">
      <c r="A125" s="12">
        <v>45805</v>
      </c>
      <c r="B125" s="13" t="s">
        <v>339</v>
      </c>
      <c r="C125" s="10">
        <v>2</v>
      </c>
      <c r="D125" s="10">
        <v>27500</v>
      </c>
      <c r="E125" s="7">
        <f>+$I$2+(MANTPS[[#This Row],[QUANTITE]]*MANTPS[[#This Row],[PRIX UNITAIRE]])</f>
        <v>55000</v>
      </c>
      <c r="F125" s="14"/>
      <c r="G125" s="6">
        <f>+SUM(E$9:$E125)-SUM(F$9:$F125)</f>
        <v>8566000</v>
      </c>
    </row>
    <row r="126" spans="1:7" ht="28.8" x14ac:dyDescent="0.55000000000000004">
      <c r="A126" s="12">
        <v>45807</v>
      </c>
      <c r="B126" s="13" t="s">
        <v>383</v>
      </c>
      <c r="C126" s="10">
        <v>1</v>
      </c>
      <c r="D126" s="10">
        <v>27500</v>
      </c>
      <c r="E126" s="7">
        <f>+$I$2+(MANTPS[[#This Row],[QUANTITE]]*MANTPS[[#This Row],[PRIX UNITAIRE]])</f>
        <v>27500</v>
      </c>
      <c r="F126" s="14"/>
      <c r="G126" s="6">
        <f>+SUM(E$9:$E126)-SUM(F$9:$F126)</f>
        <v>8593500</v>
      </c>
    </row>
    <row r="127" spans="1:7" ht="28.8" x14ac:dyDescent="0.55000000000000004">
      <c r="A127" s="12">
        <v>45807</v>
      </c>
      <c r="B127" s="13" t="s">
        <v>384</v>
      </c>
      <c r="C127" s="10">
        <v>2</v>
      </c>
      <c r="D127" s="10">
        <v>27500</v>
      </c>
      <c r="E127" s="7">
        <f>+$I$2+(MANTPS[[#This Row],[QUANTITE]]*MANTPS[[#This Row],[PRIX UNITAIRE]])</f>
        <v>55000</v>
      </c>
      <c r="F127" s="14"/>
      <c r="G127" s="6">
        <f>+SUM(E$9:$E127)-SUM(F$9:$F127)</f>
        <v>8648500</v>
      </c>
    </row>
    <row r="128" spans="1:7" ht="28.8" x14ac:dyDescent="0.55000000000000004">
      <c r="A128" s="12">
        <v>45807</v>
      </c>
      <c r="B128" s="13" t="s">
        <v>385</v>
      </c>
      <c r="C128" s="10">
        <v>3</v>
      </c>
      <c r="D128" s="10">
        <v>180000</v>
      </c>
      <c r="E128" s="7">
        <f>+$I$2+(MANTPS[[#This Row],[QUANTITE]]*MANTPS[[#This Row],[PRIX UNITAIRE]])</f>
        <v>540000</v>
      </c>
      <c r="F128" s="14"/>
      <c r="G128" s="6">
        <f>+SUM(E$9:$E128)-SUM(F$9:$F128)</f>
        <v>9188500</v>
      </c>
    </row>
    <row r="129" spans="1:7" ht="28.8" x14ac:dyDescent="0.55000000000000004">
      <c r="A129" s="12">
        <v>45807</v>
      </c>
      <c r="B129" s="13" t="s">
        <v>386</v>
      </c>
      <c r="C129" s="10">
        <v>3</v>
      </c>
      <c r="D129" s="10">
        <v>180000</v>
      </c>
      <c r="E129" s="7">
        <f>+$I$2+(MANTPS[[#This Row],[QUANTITE]]*MANTPS[[#This Row],[PRIX UNITAIRE]])</f>
        <v>540000</v>
      </c>
      <c r="F129" s="14"/>
      <c r="G129" s="6">
        <f>+SUM(E$9:$E129)-SUM(F$9:$F129)</f>
        <v>9728500</v>
      </c>
    </row>
    <row r="130" spans="1:7" ht="28.8" x14ac:dyDescent="0.55000000000000004">
      <c r="A130" s="12">
        <v>45808</v>
      </c>
      <c r="B130" s="13" t="s">
        <v>387</v>
      </c>
      <c r="C130" s="10">
        <v>3</v>
      </c>
      <c r="D130" s="10">
        <v>185000</v>
      </c>
      <c r="E130" s="7">
        <f>+$I$2+(MANTPS[[#This Row],[QUANTITE]]*MANTPS[[#This Row],[PRIX UNITAIRE]])</f>
        <v>555000</v>
      </c>
      <c r="F130" s="14"/>
      <c r="G130" s="6">
        <f>+SUM(E$9:$E130)-SUM(F$9:$F130)</f>
        <v>10283500</v>
      </c>
    </row>
    <row r="131" spans="1:7" ht="28.8" x14ac:dyDescent="0.55000000000000004">
      <c r="A131" s="12">
        <v>45808</v>
      </c>
      <c r="B131" s="13" t="s">
        <v>388</v>
      </c>
      <c r="C131" s="10">
        <v>1</v>
      </c>
      <c r="D131" s="10">
        <v>27500</v>
      </c>
      <c r="E131" s="7">
        <f>+$I$2+(MANTPS[[#This Row],[QUANTITE]]*MANTPS[[#This Row],[PRIX UNITAIRE]])</f>
        <v>27500</v>
      </c>
      <c r="F131" s="14"/>
      <c r="G131" s="6">
        <f>+SUM(E$9:$E131)-SUM(F$9:$F131)</f>
        <v>10311000</v>
      </c>
    </row>
    <row r="132" spans="1:7" ht="28.8" x14ac:dyDescent="0.55000000000000004">
      <c r="A132" s="12">
        <v>45810</v>
      </c>
      <c r="B132" s="13" t="s">
        <v>389</v>
      </c>
      <c r="C132" s="10">
        <v>2</v>
      </c>
      <c r="D132" s="10">
        <v>27500</v>
      </c>
      <c r="E132" s="7">
        <f>+$I$2+(MANTPS[[#This Row],[QUANTITE]]*MANTPS[[#This Row],[PRIX UNITAIRE]])</f>
        <v>55000</v>
      </c>
      <c r="F132" s="14"/>
      <c r="G132" s="6">
        <f>+SUM(E$9:$E132)-SUM(F$9:$F132)</f>
        <v>10366000</v>
      </c>
    </row>
    <row r="133" spans="1:7" ht="28.8" x14ac:dyDescent="0.55000000000000004">
      <c r="A133" s="12">
        <v>45812</v>
      </c>
      <c r="B133" s="13" t="s">
        <v>390</v>
      </c>
      <c r="C133" s="10">
        <v>2</v>
      </c>
      <c r="D133" s="10">
        <v>27500</v>
      </c>
      <c r="E133" s="7">
        <f>+$I$2+(MANTPS[[#This Row],[QUANTITE]]*MANTPS[[#This Row],[PRIX UNITAIRE]])</f>
        <v>55000</v>
      </c>
      <c r="F133" s="14"/>
      <c r="G133" s="6">
        <f>+SUM(E$9:$E133)-SUM(F$9:$F133)</f>
        <v>10421000</v>
      </c>
    </row>
    <row r="134" spans="1:7" ht="28.8" x14ac:dyDescent="0.55000000000000004">
      <c r="A134" s="12">
        <v>45813</v>
      </c>
      <c r="B134" s="13" t="s">
        <v>391</v>
      </c>
      <c r="C134" s="10">
        <v>1</v>
      </c>
      <c r="D134" s="10">
        <v>27500</v>
      </c>
      <c r="E134" s="7">
        <f>+$I$2+(MANTPS[[#This Row],[QUANTITE]]*MANTPS[[#This Row],[PRIX UNITAIRE]])</f>
        <v>27500</v>
      </c>
      <c r="F134" s="14"/>
      <c r="G134" s="6">
        <f>+SUM(E$9:$E134)-SUM(F$9:$F134)</f>
        <v>10448500</v>
      </c>
    </row>
    <row r="135" spans="1:7" ht="28.8" x14ac:dyDescent="0.55000000000000004">
      <c r="A135" s="12">
        <v>45820</v>
      </c>
      <c r="B135" s="13" t="s">
        <v>1101</v>
      </c>
      <c r="C135" s="10">
        <v>2</v>
      </c>
      <c r="D135" s="10">
        <v>27500</v>
      </c>
      <c r="E135" s="7">
        <f>+$I$2+(MANTPS[[#This Row],[QUANTITE]]*MANTPS[[#This Row],[PRIX UNITAIRE]])</f>
        <v>55000</v>
      </c>
      <c r="F135" s="14"/>
      <c r="G135" s="6">
        <f>+SUM(E$9:$E135)-SUM(F$9:$F135)</f>
        <v>10503500</v>
      </c>
    </row>
    <row r="136" spans="1:7" ht="28.8" x14ac:dyDescent="0.55000000000000004">
      <c r="A136" s="12">
        <v>45821</v>
      </c>
      <c r="B136" s="13" t="s">
        <v>392</v>
      </c>
      <c r="C136" s="10">
        <v>2</v>
      </c>
      <c r="D136" s="10">
        <v>27500</v>
      </c>
      <c r="E136" s="7">
        <f>+$I$2+(MANTPS[[#This Row],[QUANTITE]]*MANTPS[[#This Row],[PRIX UNITAIRE]])</f>
        <v>55000</v>
      </c>
      <c r="F136" s="14"/>
      <c r="G136" s="6">
        <f>+SUM(E$9:$E136)-SUM(F$9:$F136)</f>
        <v>10558500</v>
      </c>
    </row>
    <row r="137" spans="1:7" ht="28.8" x14ac:dyDescent="0.55000000000000004">
      <c r="A137" s="12">
        <v>45821</v>
      </c>
      <c r="B137" s="13" t="s">
        <v>1102</v>
      </c>
      <c r="C137" s="10">
        <v>2</v>
      </c>
      <c r="D137" s="10">
        <v>27500</v>
      </c>
      <c r="E137" s="7">
        <f>+$I$2+(MANTPS[[#This Row],[QUANTITE]]*MANTPS[[#This Row],[PRIX UNITAIRE]])</f>
        <v>55000</v>
      </c>
      <c r="F137" s="14"/>
      <c r="G137" s="6">
        <f>+SUM(E$9:$E137)-SUM(F$9:$F137)</f>
        <v>10613500</v>
      </c>
    </row>
    <row r="138" spans="1:7" ht="28.8" x14ac:dyDescent="0.55000000000000004">
      <c r="A138" s="12">
        <v>45821</v>
      </c>
      <c r="B138" s="13" t="s">
        <v>1103</v>
      </c>
      <c r="C138" s="10">
        <v>2</v>
      </c>
      <c r="D138" s="10">
        <v>27500</v>
      </c>
      <c r="E138" s="7">
        <f>+$I$2+(MANTPS[[#This Row],[QUANTITE]]*MANTPS[[#This Row],[PRIX UNITAIRE]])</f>
        <v>55000</v>
      </c>
      <c r="F138" s="14"/>
      <c r="G138" s="6">
        <f>+SUM(E$9:$E138)-SUM(F$9:$F138)</f>
        <v>10668500</v>
      </c>
    </row>
    <row r="139" spans="1:7" ht="28.8" x14ac:dyDescent="0.55000000000000004">
      <c r="A139" s="12">
        <v>45824</v>
      </c>
      <c r="B139" s="13" t="s">
        <v>1104</v>
      </c>
      <c r="C139" s="10">
        <v>2</v>
      </c>
      <c r="D139" s="10">
        <v>27500</v>
      </c>
      <c r="E139" s="7">
        <f>+$I$2+(MANTPS[[#This Row],[QUANTITE]]*MANTPS[[#This Row],[PRIX UNITAIRE]])</f>
        <v>55000</v>
      </c>
      <c r="F139" s="14"/>
      <c r="G139" s="6">
        <f>+SUM(E$9:$E139)-SUM(F$9:$F139)</f>
        <v>10723500</v>
      </c>
    </row>
    <row r="140" spans="1:7" ht="28.8" x14ac:dyDescent="0.55000000000000004">
      <c r="A140" s="12">
        <v>45826</v>
      </c>
      <c r="B140" s="13" t="s">
        <v>1105</v>
      </c>
      <c r="C140" s="10">
        <v>2</v>
      </c>
      <c r="D140" s="10">
        <v>27500</v>
      </c>
      <c r="E140" s="7">
        <f>+$I$2+(MANTPS[[#This Row],[QUANTITE]]*MANTPS[[#This Row],[PRIX UNITAIRE]])</f>
        <v>55000</v>
      </c>
      <c r="F140" s="14"/>
      <c r="G140" s="6">
        <f>+SUM(E$9:$E140)-SUM(F$9:$F140)</f>
        <v>10778500</v>
      </c>
    </row>
    <row r="141" spans="1:7" ht="28.8" x14ac:dyDescent="0.55000000000000004">
      <c r="A141" s="12">
        <v>45827</v>
      </c>
      <c r="B141" s="13" t="s">
        <v>2712</v>
      </c>
      <c r="C141" s="10">
        <v>2</v>
      </c>
      <c r="D141" s="10">
        <v>27500</v>
      </c>
      <c r="E141" s="7">
        <f>+$I$2+(MANTPS[[#This Row],[QUANTITE]]*MANTPS[[#This Row],[PRIX UNITAIRE]])</f>
        <v>55000</v>
      </c>
      <c r="F141" s="14"/>
      <c r="G141" s="6">
        <f>+SUM(E$9:$E141)-SUM(F$9:$F141)</f>
        <v>10833500</v>
      </c>
    </row>
    <row r="142" spans="1:7" ht="28.8" x14ac:dyDescent="0.55000000000000004">
      <c r="A142" s="12">
        <v>45827</v>
      </c>
      <c r="B142" s="13" t="s">
        <v>2713</v>
      </c>
      <c r="C142" s="10">
        <v>3</v>
      </c>
      <c r="D142" s="10">
        <v>27500</v>
      </c>
      <c r="E142" s="7">
        <f>+$I$2+(MANTPS[[#This Row],[QUANTITE]]*MANTPS[[#This Row],[PRIX UNITAIRE]])</f>
        <v>82500</v>
      </c>
      <c r="F142" s="14"/>
      <c r="G142" s="6">
        <f>+SUM(E$9:$E142)-SUM(F$9:$F142)</f>
        <v>10916000</v>
      </c>
    </row>
    <row r="143" spans="1:7" ht="28.8" x14ac:dyDescent="0.55000000000000004">
      <c r="A143" s="12">
        <v>45831</v>
      </c>
      <c r="B143" s="13" t="s">
        <v>2714</v>
      </c>
      <c r="C143" s="10">
        <v>2</v>
      </c>
      <c r="D143" s="10">
        <v>27500</v>
      </c>
      <c r="E143" s="7">
        <f>+$I$2+(MANTPS[[#This Row],[QUANTITE]]*MANTPS[[#This Row],[PRIX UNITAIRE]])</f>
        <v>55000</v>
      </c>
      <c r="F143" s="14"/>
      <c r="G143" s="6">
        <f>+SUM(E$9:$E143)-SUM(F$9:$F143)</f>
        <v>10971000</v>
      </c>
    </row>
    <row r="144" spans="1:7" ht="28.8" x14ac:dyDescent="0.55000000000000004">
      <c r="A144" s="12">
        <v>45834</v>
      </c>
      <c r="B144" s="13" t="s">
        <v>2715</v>
      </c>
      <c r="C144" s="10">
        <v>2</v>
      </c>
      <c r="D144" s="10">
        <v>27500</v>
      </c>
      <c r="E144" s="7">
        <f>+$I$2+(MANTPS[[#This Row],[QUANTITE]]*MANTPS[[#This Row],[PRIX UNITAIRE]])</f>
        <v>55000</v>
      </c>
      <c r="F144" s="14"/>
      <c r="G144" s="6">
        <f>+SUM(E$9:$E144)-SUM(F$9:$F144)</f>
        <v>11026000</v>
      </c>
    </row>
    <row r="145" spans="1:7" ht="28.8" x14ac:dyDescent="0.55000000000000004">
      <c r="A145" s="12">
        <v>45834</v>
      </c>
      <c r="B145" s="13" t="s">
        <v>2716</v>
      </c>
      <c r="C145" s="10">
        <v>2</v>
      </c>
      <c r="D145" s="10">
        <v>27500</v>
      </c>
      <c r="E145" s="7">
        <f>+$I$2+(MANTPS[[#This Row],[QUANTITE]]*MANTPS[[#This Row],[PRIX UNITAIRE]])</f>
        <v>55000</v>
      </c>
      <c r="F145" s="14"/>
      <c r="G145" s="6">
        <f>+SUM(E$9:$E145)-SUM(F$9:$F145)</f>
        <v>11081000</v>
      </c>
    </row>
    <row r="146" spans="1:7" ht="28.8" x14ac:dyDescent="0.55000000000000004">
      <c r="A146" s="12">
        <v>45835</v>
      </c>
      <c r="B146" s="13" t="s">
        <v>2715</v>
      </c>
      <c r="C146" s="10">
        <v>2</v>
      </c>
      <c r="D146" s="10">
        <v>27500</v>
      </c>
      <c r="E146" s="7">
        <f>+$I$2+(MANTPS[[#This Row],[QUANTITE]]*MANTPS[[#This Row],[PRIX UNITAIRE]])</f>
        <v>55000</v>
      </c>
      <c r="F146" s="14"/>
      <c r="G146" s="6">
        <f>+SUM(E$9:$E146)-SUM(F$9:$F146)</f>
        <v>11136000</v>
      </c>
    </row>
    <row r="147" spans="1:7" ht="28.8" x14ac:dyDescent="0.55000000000000004">
      <c r="A147" s="12">
        <v>45836</v>
      </c>
      <c r="B147" s="13" t="s">
        <v>2715</v>
      </c>
      <c r="C147" s="10">
        <v>4</v>
      </c>
      <c r="D147" s="10">
        <v>27500</v>
      </c>
      <c r="E147" s="7">
        <f>+$I$2+(MANTPS[[#This Row],[QUANTITE]]*MANTPS[[#This Row],[PRIX UNITAIRE]])</f>
        <v>110000</v>
      </c>
      <c r="F147" s="14"/>
      <c r="G147" s="6">
        <f>+SUM(E$9:$E147)-SUM(F$9:$F147)</f>
        <v>11246000</v>
      </c>
    </row>
    <row r="148" spans="1:7" ht="28.8" x14ac:dyDescent="0.55000000000000004">
      <c r="A148" s="12">
        <v>45834</v>
      </c>
      <c r="B148" s="13" t="s">
        <v>2717</v>
      </c>
      <c r="C148" s="10">
        <v>2</v>
      </c>
      <c r="D148" s="10">
        <v>27500</v>
      </c>
      <c r="E148" s="7">
        <f>+$I$2+(MANTPS[[#This Row],[QUANTITE]]*MANTPS[[#This Row],[PRIX UNITAIRE]])</f>
        <v>55000</v>
      </c>
      <c r="F148" s="14"/>
      <c r="G148" s="6">
        <f>+SUM(E$9:$E148)-SUM(F$9:$F148)</f>
        <v>11301000</v>
      </c>
    </row>
    <row r="149" spans="1:7" ht="28.8" x14ac:dyDescent="0.55000000000000004">
      <c r="A149" s="12">
        <v>45838</v>
      </c>
      <c r="B149" s="13" t="s">
        <v>2718</v>
      </c>
      <c r="C149" s="10">
        <v>2</v>
      </c>
      <c r="D149" s="10">
        <v>27500</v>
      </c>
      <c r="E149" s="7">
        <f>+$I$2+(MANTPS[[#This Row],[QUANTITE]]*MANTPS[[#This Row],[PRIX UNITAIRE]])</f>
        <v>55000</v>
      </c>
      <c r="F149" s="14"/>
      <c r="G149" s="6">
        <f>+SUM(E$9:$E149)-SUM(F$9:$F149)</f>
        <v>11356000</v>
      </c>
    </row>
    <row r="150" spans="1:7" ht="28.8" x14ac:dyDescent="0.55000000000000004">
      <c r="A150" s="12">
        <v>45839</v>
      </c>
      <c r="B150" s="13" t="s">
        <v>2719</v>
      </c>
      <c r="C150" s="10">
        <v>2</v>
      </c>
      <c r="D150" s="10">
        <v>27500</v>
      </c>
      <c r="E150" s="7">
        <f>+$I$2+(MANTPS[[#This Row],[QUANTITE]]*MANTPS[[#This Row],[PRIX UNITAIRE]])</f>
        <v>55000</v>
      </c>
      <c r="F150" s="14"/>
      <c r="G150" s="6">
        <f>+SUM(E$9:$E150)-SUM(F$9:$F150)</f>
        <v>11411000</v>
      </c>
    </row>
    <row r="151" spans="1:7" ht="28.8" x14ac:dyDescent="0.55000000000000004">
      <c r="A151" s="12">
        <v>45839</v>
      </c>
      <c r="B151" s="13" t="s">
        <v>2720</v>
      </c>
      <c r="C151" s="10">
        <v>2</v>
      </c>
      <c r="D151" s="10">
        <v>27500</v>
      </c>
      <c r="E151" s="7">
        <f>+$I$2+(MANTPS[[#This Row],[QUANTITE]]*MANTPS[[#This Row],[PRIX UNITAIRE]])</f>
        <v>55000</v>
      </c>
      <c r="F151" s="14"/>
      <c r="G151" s="6">
        <f>+SUM(E$9:$E151)-SUM(F$9:$F151)</f>
        <v>11466000</v>
      </c>
    </row>
    <row r="152" spans="1:7" ht="28.8" x14ac:dyDescent="0.55000000000000004">
      <c r="A152" s="12">
        <v>45845</v>
      </c>
      <c r="B152" s="13" t="s">
        <v>2721</v>
      </c>
      <c r="C152" s="10">
        <v>2</v>
      </c>
      <c r="D152" s="10">
        <v>27500</v>
      </c>
      <c r="E152" s="7">
        <f>+$I$2+(MANTPS[[#This Row],[QUANTITE]]*MANTPS[[#This Row],[PRIX UNITAIRE]])</f>
        <v>55000</v>
      </c>
      <c r="F152" s="14"/>
      <c r="G152" s="6">
        <f>+SUM(E$9:$E152)-SUM(F$9:$F152)</f>
        <v>11521000</v>
      </c>
    </row>
    <row r="153" spans="1:7" ht="28.8" x14ac:dyDescent="0.55000000000000004">
      <c r="A153" s="12">
        <v>45849</v>
      </c>
      <c r="B153" s="13" t="s">
        <v>225</v>
      </c>
      <c r="C153" s="10">
        <v>2</v>
      </c>
      <c r="D153" s="10">
        <v>27500</v>
      </c>
      <c r="E153" s="7">
        <f>+$I$2+(MANTPS[[#This Row],[QUANTITE]]*MANTPS[[#This Row],[PRIX UNITAIRE]])</f>
        <v>55000</v>
      </c>
      <c r="F153" s="14"/>
      <c r="G153" s="6">
        <f>+SUM(E$9:$E153)-SUM(F$9:$F153)</f>
        <v>11576000</v>
      </c>
    </row>
    <row r="154" spans="1:7" ht="28.8" x14ac:dyDescent="0.55000000000000004">
      <c r="A154" s="12">
        <v>45852</v>
      </c>
      <c r="B154" s="13" t="s">
        <v>2747</v>
      </c>
      <c r="C154" s="10">
        <v>2</v>
      </c>
      <c r="D154" s="10">
        <v>27500</v>
      </c>
      <c r="E154" s="7">
        <f>+$I$2+(MANTPS[[#This Row],[QUANTITE]]*MANTPS[[#This Row],[PRIX UNITAIRE]])</f>
        <v>55000</v>
      </c>
      <c r="F154" s="14"/>
      <c r="G154" s="6">
        <f>+SUM(E$9:$E154)-SUM(F$9:$F154)</f>
        <v>11631000</v>
      </c>
    </row>
    <row r="155" spans="1:7" ht="28.8" x14ac:dyDescent="0.55000000000000004">
      <c r="A155" s="12">
        <v>45853</v>
      </c>
      <c r="B155" s="13" t="s">
        <v>2747</v>
      </c>
      <c r="C155" s="10">
        <v>2</v>
      </c>
      <c r="D155" s="10">
        <v>27500</v>
      </c>
      <c r="E155" s="7">
        <f>+$I$2+(MANTPS[[#This Row],[QUANTITE]]*MANTPS[[#This Row],[PRIX UNITAIRE]])</f>
        <v>55000</v>
      </c>
      <c r="F155" s="14"/>
      <c r="G155" s="6">
        <f>+SUM(E$9:$E155)-SUM(F$9:$F155)</f>
        <v>11686000</v>
      </c>
    </row>
    <row r="156" spans="1:7" ht="28.8" x14ac:dyDescent="0.55000000000000004">
      <c r="A156" s="12">
        <v>45859</v>
      </c>
      <c r="B156" s="13" t="s">
        <v>2763</v>
      </c>
      <c r="C156" s="10">
        <v>2</v>
      </c>
      <c r="D156" s="10">
        <v>27500</v>
      </c>
      <c r="E156" s="7">
        <f>+$I$2+(MANTPS[[#This Row],[QUANTITE]]*MANTPS[[#This Row],[PRIX UNITAIRE]])</f>
        <v>55000</v>
      </c>
      <c r="F156" s="14"/>
      <c r="G156" s="6">
        <f>+SUM(E$9:$E156)-SUM(F$9:$F156)</f>
        <v>11741000</v>
      </c>
    </row>
    <row r="157" spans="1:7" ht="28.8" x14ac:dyDescent="0.55000000000000004">
      <c r="A157" s="12">
        <v>45860</v>
      </c>
      <c r="B157" s="13" t="s">
        <v>2765</v>
      </c>
      <c r="C157" s="10">
        <v>2</v>
      </c>
      <c r="D157" s="10">
        <v>27500</v>
      </c>
      <c r="E157" s="7">
        <f>+$I$2+(MANTPS[[#This Row],[QUANTITE]]*MANTPS[[#This Row],[PRIX UNITAIRE]])</f>
        <v>55000</v>
      </c>
      <c r="F157" s="14"/>
      <c r="G157" s="6">
        <f>+SUM(E$9:$E157)-SUM(F$9:$F157)</f>
        <v>11796000</v>
      </c>
    </row>
    <row r="158" spans="1:7" ht="28.8" x14ac:dyDescent="0.55000000000000004">
      <c r="A158" s="12">
        <v>45860</v>
      </c>
      <c r="B158" s="13" t="s">
        <v>2771</v>
      </c>
      <c r="C158" s="10">
        <v>2</v>
      </c>
      <c r="D158" s="10">
        <v>27500</v>
      </c>
      <c r="E158" s="7">
        <f>+$I$2+(MANTPS[[#This Row],[QUANTITE]]*MANTPS[[#This Row],[PRIX UNITAIRE]])</f>
        <v>55000</v>
      </c>
      <c r="F158" s="14"/>
      <c r="G158" s="6">
        <f>+SUM(E$9:$E158)-SUM(F$9:$F158)</f>
        <v>11851000</v>
      </c>
    </row>
    <row r="159" spans="1:7" ht="28.8" x14ac:dyDescent="0.55000000000000004">
      <c r="A159" s="12">
        <v>45864</v>
      </c>
      <c r="B159" s="13" t="s">
        <v>2789</v>
      </c>
      <c r="C159" s="10">
        <v>2</v>
      </c>
      <c r="D159" s="10">
        <v>27500</v>
      </c>
      <c r="E159" s="7">
        <f>+$I$2+(MANTPS[[#This Row],[QUANTITE]]*MANTPS[[#This Row],[PRIX UNITAIRE]])</f>
        <v>55000</v>
      </c>
      <c r="F159" s="14"/>
      <c r="G159" s="6">
        <f>+SUM(E$9:$E159)-SUM(F$9:$F159)</f>
        <v>11906000</v>
      </c>
    </row>
    <row r="160" spans="1:7" ht="28.8" x14ac:dyDescent="0.55000000000000004">
      <c r="A160" s="12">
        <v>45860</v>
      </c>
      <c r="B160" s="13" t="s">
        <v>2709</v>
      </c>
      <c r="C160" s="10">
        <v>3</v>
      </c>
      <c r="D160" s="10">
        <v>185000</v>
      </c>
      <c r="E160" s="7">
        <f>+$I$2+(MANTPS[[#This Row],[QUANTITE]]*MANTPS[[#This Row],[PRIX UNITAIRE]])</f>
        <v>555000</v>
      </c>
      <c r="F160" s="14"/>
      <c r="G160" s="6">
        <f>+SUM(E$9:$E160)-SUM(F$9:$F160)</f>
        <v>12461000</v>
      </c>
    </row>
    <row r="161" spans="1:7" ht="28.8" x14ac:dyDescent="0.55000000000000004">
      <c r="A161" s="12">
        <v>45867</v>
      </c>
      <c r="B161" s="13" t="s">
        <v>2790</v>
      </c>
      <c r="C161" s="10"/>
      <c r="D161" s="10"/>
      <c r="E161" s="7">
        <f>+$I$2+(MANTPS[[#This Row],[QUANTITE]]*MANTPS[[#This Row],[PRIX UNITAIRE]])</f>
        <v>0</v>
      </c>
      <c r="F161" s="14">
        <v>15000000</v>
      </c>
      <c r="G161" s="6">
        <f>+SUM(E$9:$E161)-SUM(F$9:$F161)</f>
        <v>-2539000</v>
      </c>
    </row>
    <row r="162" spans="1:7" ht="28.8" x14ac:dyDescent="0.55000000000000004">
      <c r="A162" s="12">
        <v>45870</v>
      </c>
      <c r="B162" s="13" t="s">
        <v>331</v>
      </c>
      <c r="C162" s="10">
        <v>2</v>
      </c>
      <c r="D162" s="10">
        <v>180000</v>
      </c>
      <c r="E162" s="7">
        <f>+$I$2+(MANTPS[[#This Row],[QUANTITE]]*MANTPS[[#This Row],[PRIX UNITAIRE]])</f>
        <v>360000</v>
      </c>
      <c r="F162" s="14"/>
      <c r="G162" s="6">
        <f>+SUM(E$9:$E162)-SUM(F$9:$F162)</f>
        <v>-2179000</v>
      </c>
    </row>
    <row r="163" spans="1:7" ht="28.8" x14ac:dyDescent="0.55000000000000004">
      <c r="A163" s="12">
        <v>45871</v>
      </c>
      <c r="B163" s="13" t="s">
        <v>2715</v>
      </c>
      <c r="C163" s="10">
        <v>2</v>
      </c>
      <c r="D163" s="10">
        <v>27500</v>
      </c>
      <c r="E163" s="7">
        <f>+$I$2+(MANTPS[[#This Row],[QUANTITE]]*MANTPS[[#This Row],[PRIX UNITAIRE]])</f>
        <v>55000</v>
      </c>
      <c r="F163" s="14"/>
      <c r="G163" s="6">
        <f>+SUM(E$9:$E163)-SUM(F$9:$F163)</f>
        <v>-2124000</v>
      </c>
    </row>
    <row r="164" spans="1:7" ht="28.8" x14ac:dyDescent="0.55000000000000004">
      <c r="A164" s="12">
        <v>45874</v>
      </c>
      <c r="B164" s="13" t="s">
        <v>2938</v>
      </c>
      <c r="C164" s="10">
        <v>2</v>
      </c>
      <c r="D164" s="10">
        <v>27500</v>
      </c>
      <c r="E164" s="7">
        <f>+$I$2+(MANTPS[[#This Row],[QUANTITE]]*MANTPS[[#This Row],[PRIX UNITAIRE]])</f>
        <v>55000</v>
      </c>
      <c r="F164" s="14"/>
      <c r="G164" s="6">
        <f>+SUM(E$9:$E164)-SUM(F$9:$F164)</f>
        <v>-2069000</v>
      </c>
    </row>
    <row r="165" spans="1:7" ht="28.8" x14ac:dyDescent="0.55000000000000004">
      <c r="A165" s="12">
        <v>45875</v>
      </c>
      <c r="B165" s="13" t="s">
        <v>2941</v>
      </c>
      <c r="C165" s="10">
        <v>1</v>
      </c>
      <c r="D165" s="10">
        <v>27500</v>
      </c>
      <c r="E165" s="7">
        <f>+$I$2+(MANTPS[[#This Row],[QUANTITE]]*MANTPS[[#This Row],[PRIX UNITAIRE]])</f>
        <v>27500</v>
      </c>
      <c r="F165" s="14"/>
      <c r="G165" s="6">
        <f>+SUM(E$9:$E165)-SUM(F$9:$F165)</f>
        <v>-2041500</v>
      </c>
    </row>
    <row r="166" spans="1:7" ht="28.8" x14ac:dyDescent="0.55000000000000004">
      <c r="A166" s="12">
        <v>45878</v>
      </c>
      <c r="B166" s="13" t="s">
        <v>2943</v>
      </c>
      <c r="C166" s="10">
        <v>2</v>
      </c>
      <c r="D166" s="10">
        <v>27500</v>
      </c>
      <c r="E166" s="7">
        <f>+$I$2+(MANTPS[[#This Row],[QUANTITE]]*MANTPS[[#This Row],[PRIX UNITAIRE]])</f>
        <v>55000</v>
      </c>
      <c r="F166" s="14"/>
      <c r="G166" s="6">
        <f>+SUM(E$9:$E166)-SUM(F$9:$F166)</f>
        <v>-1986500</v>
      </c>
    </row>
    <row r="167" spans="1:7" ht="28.8" x14ac:dyDescent="0.55000000000000004">
      <c r="A167" s="12">
        <v>45880</v>
      </c>
      <c r="B167" s="13" t="s">
        <v>2944</v>
      </c>
      <c r="C167" s="10">
        <v>2</v>
      </c>
      <c r="D167" s="10">
        <v>27500</v>
      </c>
      <c r="E167" s="7">
        <f>+$I$2+(MANTPS[[#This Row],[QUANTITE]]*MANTPS[[#This Row],[PRIX UNITAIRE]])</f>
        <v>55000</v>
      </c>
      <c r="F167" s="14"/>
      <c r="G167" s="6">
        <f>+SUM(E$9:$E167)-SUM(F$9:$F167)</f>
        <v>-1931500</v>
      </c>
    </row>
    <row r="168" spans="1:7" ht="28.8" x14ac:dyDescent="0.55000000000000004">
      <c r="A168" s="12">
        <v>45880</v>
      </c>
      <c r="B168" s="13" t="s">
        <v>2945</v>
      </c>
      <c r="C168" s="10">
        <v>2</v>
      </c>
      <c r="D168" s="10">
        <v>27500</v>
      </c>
      <c r="E168" s="7">
        <f>+$I$2+(MANTPS[[#This Row],[QUANTITE]]*MANTPS[[#This Row],[PRIX UNITAIRE]])</f>
        <v>55000</v>
      </c>
      <c r="F168" s="14"/>
      <c r="G168" s="6">
        <f>+SUM(E$9:$E168)-SUM(F$9:$F168)</f>
        <v>-1876500</v>
      </c>
    </row>
    <row r="169" spans="1:7" ht="28.8" x14ac:dyDescent="0.55000000000000004">
      <c r="A169" s="12">
        <v>45883</v>
      </c>
      <c r="B169" s="13" t="s">
        <v>2956</v>
      </c>
      <c r="C169" s="10">
        <v>2</v>
      </c>
      <c r="D169" s="10">
        <v>27500</v>
      </c>
      <c r="E169" s="7">
        <f>+$I$2+(MANTPS[[#This Row],[QUANTITE]]*MANTPS[[#This Row],[PRIX UNITAIRE]])</f>
        <v>55000</v>
      </c>
      <c r="F169" s="14"/>
      <c r="G169" s="6">
        <f>+SUM(E$9:$E169)-SUM(F$9:$F169)</f>
        <v>-1821500</v>
      </c>
    </row>
    <row r="170" spans="1:7" ht="28.8" x14ac:dyDescent="0.55000000000000004">
      <c r="A170" s="12">
        <v>45883</v>
      </c>
      <c r="B170" s="13" t="s">
        <v>366</v>
      </c>
      <c r="C170" s="10">
        <v>2</v>
      </c>
      <c r="D170" s="10">
        <v>27500</v>
      </c>
      <c r="E170" s="7">
        <f>+$I$2+(MANTPS[[#This Row],[QUANTITE]]*MANTPS[[#This Row],[PRIX UNITAIRE]])</f>
        <v>55000</v>
      </c>
      <c r="F170" s="14"/>
      <c r="G170" s="6">
        <f>+SUM(E$9:$E170)-SUM(F$9:$F170)</f>
        <v>-1766500</v>
      </c>
    </row>
    <row r="171" spans="1:7" ht="28.8" x14ac:dyDescent="0.55000000000000004">
      <c r="A171" s="12">
        <v>45884</v>
      </c>
      <c r="B171" s="13" t="s">
        <v>2957</v>
      </c>
      <c r="C171" s="10">
        <v>2</v>
      </c>
      <c r="D171" s="10">
        <v>27500</v>
      </c>
      <c r="E171" s="7">
        <f>+$I$2+(MANTPS[[#This Row],[QUANTITE]]*MANTPS[[#This Row],[PRIX UNITAIRE]])</f>
        <v>55000</v>
      </c>
      <c r="F171" s="14"/>
      <c r="G171" s="6">
        <f>+SUM(E$9:$E171)-SUM(F$9:$F171)</f>
        <v>-1711500</v>
      </c>
    </row>
    <row r="172" spans="1:7" ht="28.8" x14ac:dyDescent="0.55000000000000004">
      <c r="A172" s="12">
        <v>45885</v>
      </c>
      <c r="B172" s="13" t="s">
        <v>2979</v>
      </c>
      <c r="C172" s="10">
        <v>2</v>
      </c>
      <c r="D172" s="10">
        <v>27500</v>
      </c>
      <c r="E172" s="7">
        <f>+$I$2+(MANTPS[[#This Row],[QUANTITE]]*MANTPS[[#This Row],[PRIX UNITAIRE]])</f>
        <v>55000</v>
      </c>
      <c r="F172" s="14"/>
      <c r="G172" s="6">
        <f>+SUM(E$9:$E172)-SUM(F$9:$F172)</f>
        <v>-1656500</v>
      </c>
    </row>
    <row r="173" spans="1:7" ht="28.8" x14ac:dyDescent="0.55000000000000004">
      <c r="A173" s="12">
        <v>45894</v>
      </c>
      <c r="B173" s="13" t="s">
        <v>2980</v>
      </c>
      <c r="C173" s="10">
        <v>2</v>
      </c>
      <c r="D173" s="10">
        <v>27500</v>
      </c>
      <c r="E173" s="7">
        <f>+$I$2+(MANTPS[[#This Row],[QUANTITE]]*MANTPS[[#This Row],[PRIX UNITAIRE]])</f>
        <v>55000</v>
      </c>
      <c r="F173" s="14"/>
      <c r="G173" s="6">
        <f>+SUM(E$9:$E173)-SUM(F$9:$F173)</f>
        <v>-1601500</v>
      </c>
    </row>
    <row r="174" spans="1:7" ht="28.8" x14ac:dyDescent="0.55000000000000004">
      <c r="A174" s="12">
        <v>45926</v>
      </c>
      <c r="B174" s="13" t="s">
        <v>2981</v>
      </c>
      <c r="C174" s="10">
        <v>2</v>
      </c>
      <c r="D174" s="10">
        <v>27500</v>
      </c>
      <c r="E174" s="7">
        <f>+$I$2+(MANTPS[[#This Row],[QUANTITE]]*MANTPS[[#This Row],[PRIX UNITAIRE]])</f>
        <v>55000</v>
      </c>
      <c r="F174" s="14"/>
      <c r="G174" s="6">
        <f>+SUM(E$9:$E174)-SUM(F$9:$F174)</f>
        <v>-1546500</v>
      </c>
    </row>
    <row r="175" spans="1:7" ht="28.8" x14ac:dyDescent="0.55000000000000004">
      <c r="A175" s="12">
        <v>45895</v>
      </c>
      <c r="B175" s="13" t="s">
        <v>2982</v>
      </c>
      <c r="C175" s="10">
        <v>2</v>
      </c>
      <c r="D175" s="10">
        <v>180000</v>
      </c>
      <c r="E175" s="7">
        <f>+$I$2+(MANTPS[[#This Row],[QUANTITE]]*MANTPS[[#This Row],[PRIX UNITAIRE]])</f>
        <v>360000</v>
      </c>
      <c r="F175" s="14"/>
      <c r="G175" s="6">
        <f>+SUM(E$9:$E175)-SUM(F$9:$F175)</f>
        <v>-1186500</v>
      </c>
    </row>
    <row r="176" spans="1:7" ht="28.8" x14ac:dyDescent="0.55000000000000004">
      <c r="A176" s="12">
        <v>45898</v>
      </c>
      <c r="B176" s="13" t="s">
        <v>324</v>
      </c>
      <c r="C176" s="10">
        <v>1</v>
      </c>
      <c r="D176" s="10">
        <v>27500</v>
      </c>
      <c r="E176" s="7">
        <f>+$I$2+(MANTPS[[#This Row],[QUANTITE]]*MANTPS[[#This Row],[PRIX UNITAIRE]])</f>
        <v>27500</v>
      </c>
      <c r="F176" s="14"/>
      <c r="G176" s="6">
        <f>+SUM(E$9:$E176)-SUM(F$9:$F176)</f>
        <v>-1159000</v>
      </c>
    </row>
    <row r="177" spans="1:7" ht="28.8" x14ac:dyDescent="0.55000000000000004">
      <c r="A177" s="12">
        <v>45899</v>
      </c>
      <c r="B177" s="13" t="s">
        <v>2983</v>
      </c>
      <c r="C177" s="10">
        <v>2</v>
      </c>
      <c r="D177" s="10">
        <v>27500</v>
      </c>
      <c r="E177" s="7">
        <f>+$I$2+(MANTPS[[#This Row],[QUANTITE]]*MANTPS[[#This Row],[PRIX UNITAIRE]])</f>
        <v>55000</v>
      </c>
      <c r="F177" s="14"/>
      <c r="G177" s="6">
        <f>+SUM(E$9:$E177)-SUM(F$9:$F177)</f>
        <v>-1104000</v>
      </c>
    </row>
    <row r="178" spans="1:7" ht="28.8" x14ac:dyDescent="0.55000000000000004">
      <c r="A178" s="12">
        <v>45903</v>
      </c>
      <c r="B178" s="13" t="s">
        <v>2984</v>
      </c>
      <c r="C178" s="10">
        <v>1</v>
      </c>
      <c r="D178" s="10">
        <v>27500</v>
      </c>
      <c r="E178" s="7">
        <f>+$I$2+(MANTPS[[#This Row],[QUANTITE]]*MANTPS[[#This Row],[PRIX UNITAIRE]])</f>
        <v>27500</v>
      </c>
      <c r="F178" s="14"/>
      <c r="G178" s="6">
        <f>+SUM(E$9:$E178)-SUM(F$9:$F178)</f>
        <v>-1076500</v>
      </c>
    </row>
    <row r="179" spans="1:7" ht="28.8" x14ac:dyDescent="0.55000000000000004">
      <c r="A179" s="12">
        <v>45905</v>
      </c>
      <c r="B179" s="13" t="s">
        <v>2990</v>
      </c>
      <c r="C179" s="10">
        <v>2</v>
      </c>
      <c r="D179" s="10">
        <v>27500</v>
      </c>
      <c r="E179" s="7">
        <f>+$I$2+(MANTPS[[#This Row],[QUANTITE]]*MANTPS[[#This Row],[PRIX UNITAIRE]])</f>
        <v>55000</v>
      </c>
      <c r="F179" s="14"/>
      <c r="G179" s="6">
        <f>+SUM(E$9:$E179)-SUM(F$9:$F179)</f>
        <v>-1021500</v>
      </c>
    </row>
    <row r="180" spans="1:7" ht="28.8" x14ac:dyDescent="0.55000000000000004">
      <c r="A180" s="12">
        <v>45903</v>
      </c>
      <c r="B180" s="13" t="s">
        <v>2995</v>
      </c>
      <c r="C180" s="10">
        <v>2</v>
      </c>
      <c r="D180" s="10">
        <v>180000</v>
      </c>
      <c r="E180" s="7">
        <f>+$I$2+(MANTPS[[#This Row],[QUANTITE]]*MANTPS[[#This Row],[PRIX UNITAIRE]])</f>
        <v>360000</v>
      </c>
      <c r="F180" s="14"/>
      <c r="G180" s="6">
        <f>+SUM(E$9:$E180)-SUM(F$9:$F180)</f>
        <v>-661500</v>
      </c>
    </row>
    <row r="181" spans="1:7" ht="28.8" x14ac:dyDescent="0.55000000000000004">
      <c r="A181" s="12">
        <v>45902</v>
      </c>
      <c r="B181" s="13" t="s">
        <v>2996</v>
      </c>
      <c r="C181" s="10">
        <v>2</v>
      </c>
      <c r="D181" s="10">
        <v>27500</v>
      </c>
      <c r="E181" s="7">
        <f>+$I$2+(MANTPS[[#This Row],[QUANTITE]]*MANTPS[[#This Row],[PRIX UNITAIRE]])</f>
        <v>55000</v>
      </c>
      <c r="F181" s="14"/>
      <c r="G181" s="6">
        <f>+SUM(E$9:$E181)-SUM(F$9:$F181)</f>
        <v>-606500</v>
      </c>
    </row>
    <row r="182" spans="1:7" ht="28.8" x14ac:dyDescent="0.55000000000000004">
      <c r="A182" s="12">
        <v>45902</v>
      </c>
      <c r="B182" s="13" t="s">
        <v>2941</v>
      </c>
      <c r="C182" s="10">
        <v>1</v>
      </c>
      <c r="D182" s="10">
        <v>27500</v>
      </c>
      <c r="E182" s="7">
        <f>+$I$2+(MANTPS[[#This Row],[QUANTITE]]*MANTPS[[#This Row],[PRIX UNITAIRE]])</f>
        <v>27500</v>
      </c>
      <c r="F182" s="14"/>
      <c r="G182" s="6">
        <f>+SUM(E$9:$E182)-SUM(F$9:$F182)</f>
        <v>-579000</v>
      </c>
    </row>
    <row r="183" spans="1:7" ht="28.8" x14ac:dyDescent="0.55000000000000004">
      <c r="A183" s="12">
        <v>45910</v>
      </c>
      <c r="B183" s="13" t="s">
        <v>358</v>
      </c>
      <c r="C183" s="10">
        <v>2</v>
      </c>
      <c r="D183" s="10">
        <v>27500</v>
      </c>
      <c r="E183" s="7">
        <f>+$I$2+(MANTPS[[#This Row],[QUANTITE]]*MANTPS[[#This Row],[PRIX UNITAIRE]])</f>
        <v>55000</v>
      </c>
      <c r="F183" s="14"/>
      <c r="G183" s="6">
        <f>+SUM(E$9:$E183)-SUM(F$9:$F183)</f>
        <v>-524000</v>
      </c>
    </row>
    <row r="184" spans="1:7" ht="28.8" x14ac:dyDescent="0.55000000000000004">
      <c r="A184" s="12">
        <v>45913</v>
      </c>
      <c r="B184" s="13" t="s">
        <v>3036</v>
      </c>
      <c r="C184" s="10">
        <v>2</v>
      </c>
      <c r="D184" s="10">
        <v>27500</v>
      </c>
      <c r="E184" s="7">
        <f>+$I$2+(MANTPS[[#This Row],[QUANTITE]]*MANTPS[[#This Row],[PRIX UNITAIRE]])</f>
        <v>55000</v>
      </c>
      <c r="F184" s="14"/>
      <c r="G184" s="6">
        <f>+SUM(E$9:$E184)-SUM(F$9:$F184)</f>
        <v>-469000</v>
      </c>
    </row>
    <row r="185" spans="1:7" ht="28.8" x14ac:dyDescent="0.55000000000000004">
      <c r="A185" s="12">
        <v>45913</v>
      </c>
      <c r="B185" s="13" t="s">
        <v>3037</v>
      </c>
      <c r="C185" s="10">
        <v>2</v>
      </c>
      <c r="D185" s="10">
        <v>27500</v>
      </c>
      <c r="E185" s="7">
        <f>+$I$2+(MANTPS[[#This Row],[QUANTITE]]*MANTPS[[#This Row],[PRIX UNITAIRE]])</f>
        <v>55000</v>
      </c>
      <c r="F185" s="14"/>
      <c r="G185" s="6">
        <f>+SUM(E$9:$E185)-SUM(F$9:$F185)</f>
        <v>-414000</v>
      </c>
    </row>
    <row r="186" spans="1:7" ht="28.8" x14ac:dyDescent="0.55000000000000004">
      <c r="A186" s="12">
        <v>45913</v>
      </c>
      <c r="B186" s="13" t="s">
        <v>3038</v>
      </c>
      <c r="C186" s="10">
        <v>1</v>
      </c>
      <c r="D186" s="10">
        <v>27500</v>
      </c>
      <c r="E186" s="7">
        <f>+$I$2+(MANTPS[[#This Row],[QUANTITE]]*MANTPS[[#This Row],[PRIX UNITAIRE]])</f>
        <v>27500</v>
      </c>
      <c r="F186" s="14"/>
      <c r="G186" s="6">
        <f>+SUM(E$9:$E186)-SUM(F$9:$F186)</f>
        <v>-386500</v>
      </c>
    </row>
    <row r="187" spans="1:7" ht="28.8" x14ac:dyDescent="0.55000000000000004">
      <c r="A187" s="12">
        <v>45915</v>
      </c>
      <c r="B187" s="13" t="s">
        <v>3041</v>
      </c>
      <c r="C187" s="10">
        <v>2</v>
      </c>
      <c r="D187" s="10">
        <v>180000</v>
      </c>
      <c r="E187" s="7">
        <f>+$I$2+(MANTPS[[#This Row],[QUANTITE]]*MANTPS[[#This Row],[PRIX UNITAIRE]])</f>
        <v>360000</v>
      </c>
      <c r="F187" s="14"/>
      <c r="G187" s="6">
        <f>+SUM(E$9:$E187)-SUM(F$9:$F187)</f>
        <v>-26500</v>
      </c>
    </row>
    <row r="188" spans="1:7" ht="28.8" x14ac:dyDescent="0.55000000000000004">
      <c r="A188" s="12">
        <v>45915</v>
      </c>
      <c r="B188" s="13" t="s">
        <v>3042</v>
      </c>
      <c r="C188" s="10">
        <v>4</v>
      </c>
      <c r="D188" s="10">
        <v>160000</v>
      </c>
      <c r="E188" s="7">
        <f>+$I$2+(MANTPS[[#This Row],[QUANTITE]]*MANTPS[[#This Row],[PRIX UNITAIRE]])</f>
        <v>640000</v>
      </c>
      <c r="F188" s="14"/>
      <c r="G188" s="6">
        <f>+SUM(E$9:$E188)-SUM(F$9:$F188)</f>
        <v>613500</v>
      </c>
    </row>
    <row r="189" spans="1:7" ht="28.8" x14ac:dyDescent="0.55000000000000004">
      <c r="A189" s="12">
        <v>45915</v>
      </c>
      <c r="B189" s="13" t="s">
        <v>3043</v>
      </c>
      <c r="C189" s="10">
        <v>4</v>
      </c>
      <c r="D189" s="10">
        <v>160000</v>
      </c>
      <c r="E189" s="7">
        <f>+$I$2+(MANTPS[[#This Row],[QUANTITE]]*MANTPS[[#This Row],[PRIX UNITAIRE]])</f>
        <v>640000</v>
      </c>
      <c r="F189" s="14"/>
      <c r="G189" s="6">
        <f>+SUM(E$9:$E189)-SUM(F$9:$F189)</f>
        <v>1253500</v>
      </c>
    </row>
    <row r="190" spans="1:7" ht="28.8" x14ac:dyDescent="0.55000000000000004">
      <c r="A190" s="12">
        <v>45919</v>
      </c>
      <c r="B190" s="13" t="s">
        <v>3069</v>
      </c>
      <c r="C190" s="10">
        <v>2</v>
      </c>
      <c r="D190" s="10">
        <v>27500</v>
      </c>
      <c r="E190" s="7">
        <f>+$I$2+(MANTPS[[#This Row],[QUANTITE]]*MANTPS[[#This Row],[PRIX UNITAIRE]])</f>
        <v>55000</v>
      </c>
      <c r="F190" s="14"/>
      <c r="G190" s="6">
        <f>+SUM(E$9:$E190)-SUM(F$9:$F190)</f>
        <v>1308500</v>
      </c>
    </row>
    <row r="191" spans="1:7" ht="28.8" x14ac:dyDescent="0.55000000000000004">
      <c r="A191" s="89">
        <v>45919</v>
      </c>
      <c r="B191" s="13" t="s">
        <v>3077</v>
      </c>
      <c r="C191" s="90">
        <v>1</v>
      </c>
      <c r="D191" s="90">
        <v>27500</v>
      </c>
      <c r="E191" s="91">
        <f>+$I$2+(MANTPS[[#This Row],[QUANTITE]]*MANTPS[[#This Row],[PRIX UNITAIRE]])</f>
        <v>27500</v>
      </c>
      <c r="F191" s="92"/>
      <c r="G191" s="6">
        <f>+SUM(E$9:$E191)-SUM(F$9:$F191)</f>
        <v>1336000</v>
      </c>
    </row>
    <row r="192" spans="1:7" ht="28.8" x14ac:dyDescent="0.55000000000000004">
      <c r="A192" s="89">
        <v>45922</v>
      </c>
      <c r="B192" s="13" t="s">
        <v>3079</v>
      </c>
      <c r="C192" s="90">
        <v>1</v>
      </c>
      <c r="D192" s="90">
        <v>27500</v>
      </c>
      <c r="E192" s="91">
        <f>+$I$2+(MANTPS[[#This Row],[QUANTITE]]*MANTPS[[#This Row],[PRIX UNITAIRE]])</f>
        <v>27500</v>
      </c>
      <c r="F192" s="92"/>
      <c r="G192" s="6">
        <f>+SUM(E$9:$E192)-SUM(F$9:$F192)</f>
        <v>1363500</v>
      </c>
    </row>
    <row r="193" spans="1:7" ht="28.8" x14ac:dyDescent="0.55000000000000004">
      <c r="A193" s="89">
        <v>45923</v>
      </c>
      <c r="B193" s="13" t="s">
        <v>3081</v>
      </c>
      <c r="C193" s="90">
        <v>2</v>
      </c>
      <c r="D193" s="90">
        <v>27500</v>
      </c>
      <c r="E193" s="91">
        <f>+$I$2+(MANTPS[[#This Row],[QUANTITE]]*MANTPS[[#This Row],[PRIX UNITAIRE]])</f>
        <v>55000</v>
      </c>
      <c r="F193" s="92"/>
      <c r="G193" s="6">
        <f>+SUM(E$9:$E193)-SUM(F$9:$F193)</f>
        <v>1418500</v>
      </c>
    </row>
    <row r="194" spans="1:7" ht="28.8" x14ac:dyDescent="0.55000000000000004">
      <c r="A194" s="89">
        <v>45924</v>
      </c>
      <c r="B194" s="13" t="s">
        <v>3084</v>
      </c>
      <c r="C194" s="90">
        <v>1</v>
      </c>
      <c r="D194" s="90">
        <v>27500</v>
      </c>
      <c r="E194" s="91">
        <f>+$I$2+(MANTPS[[#This Row],[QUANTITE]]*MANTPS[[#This Row],[PRIX UNITAIRE]])</f>
        <v>27500</v>
      </c>
      <c r="F194" s="92"/>
      <c r="G194" s="6">
        <f>+SUM(E$9:$E194)-SUM(F$9:$F194)</f>
        <v>1446000</v>
      </c>
    </row>
    <row r="195" spans="1:7" ht="28.8" x14ac:dyDescent="0.55000000000000004">
      <c r="A195" s="89">
        <v>45926</v>
      </c>
      <c r="B195" s="13" t="s">
        <v>3110</v>
      </c>
      <c r="C195" s="90">
        <v>2</v>
      </c>
      <c r="D195" s="90">
        <v>27500</v>
      </c>
      <c r="E195" s="91">
        <f>+$I$2+(MANTPS[[#This Row],[QUANTITE]]*MANTPS[[#This Row],[PRIX UNITAIRE]])</f>
        <v>55000</v>
      </c>
      <c r="F195" s="92"/>
      <c r="G195" s="6">
        <f>+SUM(E$9:$E195)-SUM(F$9:$F195)</f>
        <v>1501000</v>
      </c>
    </row>
    <row r="196" spans="1:7" ht="28.8" x14ac:dyDescent="0.55000000000000004">
      <c r="A196" s="89">
        <v>45929</v>
      </c>
      <c r="B196" s="13" t="s">
        <v>3119</v>
      </c>
      <c r="C196" s="90">
        <v>2</v>
      </c>
      <c r="D196" s="90">
        <v>27500</v>
      </c>
      <c r="E196" s="91">
        <f>+$I$2+(MANTPS[[#This Row],[QUANTITE]]*MANTPS[[#This Row],[PRIX UNITAIRE]])</f>
        <v>55000</v>
      </c>
      <c r="F196" s="92"/>
      <c r="G196" s="6">
        <f>+SUM(E$9:$E196)-SUM(F$9:$F196)</f>
        <v>1556000</v>
      </c>
    </row>
    <row r="197" spans="1:7" ht="28.8" x14ac:dyDescent="0.55000000000000004">
      <c r="A197" s="89">
        <v>45931</v>
      </c>
      <c r="B197" s="13" t="s">
        <v>3120</v>
      </c>
      <c r="C197" s="90">
        <v>1</v>
      </c>
      <c r="D197" s="90">
        <v>180000</v>
      </c>
      <c r="E197" s="91">
        <f>+$I$2+(MANTPS[[#This Row],[QUANTITE]]*MANTPS[[#This Row],[PRIX UNITAIRE]])</f>
        <v>180000</v>
      </c>
      <c r="F197" s="92"/>
      <c r="G197" s="6">
        <f>+SUM(E$9:$E197)-SUM(F$9:$F197)</f>
        <v>1736000</v>
      </c>
    </row>
    <row r="198" spans="1:7" ht="28.8" x14ac:dyDescent="0.55000000000000004">
      <c r="A198" s="89">
        <v>45931</v>
      </c>
      <c r="B198" s="13" t="s">
        <v>3121</v>
      </c>
      <c r="C198" s="90">
        <v>1</v>
      </c>
      <c r="D198" s="90">
        <v>180000</v>
      </c>
      <c r="E198" s="91">
        <f>+$I$2+(MANTPS[[#This Row],[QUANTITE]]*MANTPS[[#This Row],[PRIX UNITAIRE]])</f>
        <v>180000</v>
      </c>
      <c r="F198" s="92"/>
      <c r="G198" s="6">
        <f>+SUM(E$9:$E198)-SUM(F$9:$F198)</f>
        <v>1916000</v>
      </c>
    </row>
    <row r="199" spans="1:7" ht="28.8" x14ac:dyDescent="0.55000000000000004">
      <c r="A199" s="89">
        <v>45931</v>
      </c>
      <c r="B199" s="13" t="s">
        <v>3122</v>
      </c>
      <c r="C199" s="90">
        <v>1</v>
      </c>
      <c r="D199" s="90">
        <v>180000</v>
      </c>
      <c r="E199" s="91">
        <f>+$I$2+(MANTPS[[#This Row],[QUANTITE]]*MANTPS[[#This Row],[PRIX UNITAIRE]])</f>
        <v>180000</v>
      </c>
      <c r="F199" s="92"/>
      <c r="G199" s="6">
        <f>+SUM(E$9:$E199)-SUM(F$9:$F199)</f>
        <v>2096000</v>
      </c>
    </row>
    <row r="200" spans="1:7" ht="28.8" x14ac:dyDescent="0.55000000000000004">
      <c r="A200" s="89">
        <v>45932</v>
      </c>
      <c r="B200" s="13" t="s">
        <v>3147</v>
      </c>
      <c r="C200" s="90">
        <v>2</v>
      </c>
      <c r="D200" s="90">
        <v>27500</v>
      </c>
      <c r="E200" s="91">
        <f>+$I$2+(MANTPS[[#This Row],[QUANTITE]]*MANTPS[[#This Row],[PRIX UNITAIRE]])</f>
        <v>55000</v>
      </c>
      <c r="F200" s="92"/>
      <c r="G200" s="6">
        <f>+SUM(E$9:$E200)-SUM(F$9:$F200)</f>
        <v>2151000</v>
      </c>
    </row>
    <row r="201" spans="1:7" ht="28.8" x14ac:dyDescent="0.55000000000000004">
      <c r="A201" s="89">
        <v>45943</v>
      </c>
      <c r="B201" s="13" t="s">
        <v>2941</v>
      </c>
      <c r="C201" s="90">
        <v>2</v>
      </c>
      <c r="D201" s="90">
        <v>27500</v>
      </c>
      <c r="E201" s="91">
        <f>+$I$2+(MANTPS[[#This Row],[QUANTITE]]*MANTPS[[#This Row],[PRIX UNITAIRE]])</f>
        <v>55000</v>
      </c>
      <c r="F201" s="92"/>
      <c r="G201" s="6">
        <f>+SUM(E$9:$E201)-SUM(F$9:$F201)</f>
        <v>2206000</v>
      </c>
    </row>
    <row r="202" spans="1:7" ht="28.8" x14ac:dyDescent="0.55000000000000004">
      <c r="A202" s="89">
        <v>45944</v>
      </c>
      <c r="B202" s="13" t="s">
        <v>2941</v>
      </c>
      <c r="C202" s="90">
        <v>2</v>
      </c>
      <c r="D202" s="90">
        <v>27500</v>
      </c>
      <c r="E202" s="91">
        <f>+$I$2+(MANTPS[[#This Row],[QUANTITE]]*MANTPS[[#This Row],[PRIX UNITAIRE]])</f>
        <v>55000</v>
      </c>
      <c r="F202" s="92"/>
      <c r="G202" s="6">
        <f>+SUM(E$9:$E202)-SUM(F$9:$F202)</f>
        <v>2261000</v>
      </c>
    </row>
    <row r="203" spans="1:7" ht="28.8" x14ac:dyDescent="0.55000000000000004">
      <c r="A203" s="89">
        <v>45947</v>
      </c>
      <c r="B203" s="13" t="s">
        <v>2941</v>
      </c>
      <c r="C203" s="90">
        <v>2</v>
      </c>
      <c r="D203" s="90">
        <v>27500</v>
      </c>
      <c r="E203" s="91">
        <f>+$I$2+(MANTPS[[#This Row],[QUANTITE]]*MANTPS[[#This Row],[PRIX UNITAIRE]])</f>
        <v>55000</v>
      </c>
      <c r="F203" s="92"/>
      <c r="G203" s="6">
        <f>+SUM(E$9:$E203)-SUM(F$9:$F203)</f>
        <v>2316000</v>
      </c>
    </row>
    <row r="204" spans="1:7" ht="28.8" x14ac:dyDescent="0.55000000000000004">
      <c r="A204" s="89">
        <v>45951</v>
      </c>
      <c r="B204" s="13" t="s">
        <v>3194</v>
      </c>
      <c r="C204" s="90">
        <v>2</v>
      </c>
      <c r="D204" s="90">
        <v>27500</v>
      </c>
      <c r="E204" s="91">
        <f>+$I$2+(MANTPS[[#This Row],[QUANTITE]]*MANTPS[[#This Row],[PRIX UNITAIRE]])</f>
        <v>55000</v>
      </c>
      <c r="F204" s="92"/>
      <c r="G204" s="6">
        <f>+SUM(E$9:$E204)-SUM(F$9:$F204)</f>
        <v>2371000</v>
      </c>
    </row>
    <row r="205" spans="1:7" ht="28.8" x14ac:dyDescent="0.55000000000000004">
      <c r="A205" s="89">
        <v>45953</v>
      </c>
      <c r="B205" s="13" t="s">
        <v>3195</v>
      </c>
      <c r="C205" s="90">
        <v>2</v>
      </c>
      <c r="D205" s="90">
        <v>27500</v>
      </c>
      <c r="E205" s="91">
        <f>+$I$2+(MANTPS[[#This Row],[QUANTITE]]*MANTPS[[#This Row],[PRIX UNITAIRE]])</f>
        <v>55000</v>
      </c>
      <c r="F205" s="92"/>
      <c r="G205" s="6">
        <f>+SUM(E$9:$E205)-SUM(F$9:$F205)</f>
        <v>2426000</v>
      </c>
    </row>
    <row r="206" spans="1:7" ht="28.8" x14ac:dyDescent="0.55000000000000004">
      <c r="A206" s="89">
        <v>45953</v>
      </c>
      <c r="B206" s="13" t="s">
        <v>3196</v>
      </c>
      <c r="C206" s="90">
        <v>2</v>
      </c>
      <c r="D206" s="90">
        <v>27500</v>
      </c>
      <c r="E206" s="91">
        <f>+$I$2+(MANTPS[[#This Row],[QUANTITE]]*MANTPS[[#This Row],[PRIX UNITAIRE]])</f>
        <v>55000</v>
      </c>
      <c r="F206" s="92"/>
      <c r="G206" s="6">
        <f>+SUM(E$9:$E206)-SUM(F$9:$F206)</f>
        <v>2481000</v>
      </c>
    </row>
    <row r="207" spans="1:7" ht="28.8" x14ac:dyDescent="0.55000000000000004">
      <c r="A207" s="89">
        <v>45953</v>
      </c>
      <c r="B207" s="13" t="s">
        <v>3197</v>
      </c>
      <c r="C207" s="90">
        <v>2</v>
      </c>
      <c r="D207" s="90">
        <v>180000</v>
      </c>
      <c r="E207" s="91">
        <f>+$I$2+(MANTPS[[#This Row],[QUANTITE]]*MANTPS[[#This Row],[PRIX UNITAIRE]])</f>
        <v>360000</v>
      </c>
      <c r="F207" s="92"/>
      <c r="G207" s="6">
        <f>+SUM(E$9:$E207)-SUM(F$9:$F207)</f>
        <v>2841000</v>
      </c>
    </row>
    <row r="208" spans="1:7" ht="28.8" x14ac:dyDescent="0.55000000000000004">
      <c r="A208" s="89">
        <v>45953</v>
      </c>
      <c r="B208" s="13" t="s">
        <v>3198</v>
      </c>
      <c r="C208" s="90">
        <v>1</v>
      </c>
      <c r="D208" s="90">
        <v>180000</v>
      </c>
      <c r="E208" s="91">
        <f>+$I$2+(MANTPS[[#This Row],[QUANTITE]]*MANTPS[[#This Row],[PRIX UNITAIRE]])</f>
        <v>180000</v>
      </c>
      <c r="F208" s="92"/>
      <c r="G208" s="6">
        <f>+SUM(E$9:$E208)-SUM(F$9:$F208)</f>
        <v>3021000</v>
      </c>
    </row>
    <row r="209" spans="1:7" ht="28.8" x14ac:dyDescent="0.55000000000000004">
      <c r="A209" s="89">
        <v>45958</v>
      </c>
      <c r="B209" s="13" t="s">
        <v>1065</v>
      </c>
      <c r="C209" s="90">
        <v>2</v>
      </c>
      <c r="D209" s="90">
        <v>85000</v>
      </c>
      <c r="E209" s="91">
        <f>+$I$2+(MANTPS[[#This Row],[QUANTITE]]*MANTPS[[#This Row],[PRIX UNITAIRE]])</f>
        <v>170000</v>
      </c>
      <c r="F209" s="92"/>
      <c r="G209" s="6">
        <f>+SUM(E$9:$E209)-SUM(F$9:$F209)</f>
        <v>3191000</v>
      </c>
    </row>
    <row r="210" spans="1:7" ht="28.8" x14ac:dyDescent="0.55000000000000004">
      <c r="A210" s="89">
        <v>45961</v>
      </c>
      <c r="B210" s="13" t="s">
        <v>3209</v>
      </c>
      <c r="C210" s="90">
        <v>2</v>
      </c>
      <c r="D210" s="90">
        <v>27500</v>
      </c>
      <c r="E210" s="91">
        <f>+$I$2+(MANTPS[[#This Row],[QUANTITE]]*MANTPS[[#This Row],[PRIX UNITAIRE]])</f>
        <v>55000</v>
      </c>
      <c r="F210" s="92"/>
      <c r="G210" s="6">
        <f>+SUM(E$9:$E210)-SUM(F$9:$F210)</f>
        <v>3246000</v>
      </c>
    </row>
    <row r="211" spans="1:7" ht="28.8" x14ac:dyDescent="0.55000000000000004">
      <c r="A211" s="89">
        <v>45964</v>
      </c>
      <c r="B211" s="13" t="s">
        <v>3210</v>
      </c>
      <c r="C211" s="10">
        <v>2</v>
      </c>
      <c r="D211" s="90">
        <v>27500</v>
      </c>
      <c r="E211" s="91">
        <f>+$I$2+(MANTPS[[#This Row],[QUANTITE]]*MANTPS[[#This Row],[PRIX UNITAIRE]])</f>
        <v>55000</v>
      </c>
      <c r="F211" s="92"/>
      <c r="G211" s="6">
        <f>+SUM(E$9:$E211)-SUM(F$9:$F211)</f>
        <v>3301000</v>
      </c>
    </row>
    <row r="212" spans="1:7" ht="28.8" x14ac:dyDescent="0.55000000000000004">
      <c r="A212" s="89">
        <v>45965</v>
      </c>
      <c r="B212" s="13" t="s">
        <v>339</v>
      </c>
      <c r="C212" s="90">
        <v>1</v>
      </c>
      <c r="D212" s="90">
        <v>27500</v>
      </c>
      <c r="E212" s="91">
        <f>+$I$2+(MANTPS[[#This Row],[QUANTITE]]*MANTPS[[#This Row],[PRIX UNITAIRE]])</f>
        <v>27500</v>
      </c>
      <c r="F212" s="92"/>
      <c r="G212" s="6">
        <f>+SUM(E$9:$E212)-SUM(F$9:$F212)</f>
        <v>3328500</v>
      </c>
    </row>
    <row r="213" spans="1:7" ht="28.8" x14ac:dyDescent="0.55000000000000004">
      <c r="A213" s="89">
        <v>45968</v>
      </c>
      <c r="B213" s="13" t="s">
        <v>3211</v>
      </c>
      <c r="C213" s="90">
        <v>2</v>
      </c>
      <c r="D213" s="90">
        <v>27500</v>
      </c>
      <c r="E213" s="91">
        <f>+$I$2+(MANTPS[[#This Row],[QUANTITE]]*MANTPS[[#This Row],[PRIX UNITAIRE]])</f>
        <v>55000</v>
      </c>
      <c r="F213" s="92"/>
      <c r="G213" s="6">
        <f>+SUM(E$9:$E213)-SUM(F$9:$F213)</f>
        <v>3383500</v>
      </c>
    </row>
    <row r="214" spans="1:7" ht="28.8" x14ac:dyDescent="0.55000000000000004">
      <c r="A214" s="89">
        <v>45968</v>
      </c>
      <c r="B214" s="13" t="s">
        <v>307</v>
      </c>
      <c r="C214" s="90">
        <v>2</v>
      </c>
      <c r="D214" s="90">
        <v>27500</v>
      </c>
      <c r="E214" s="91">
        <f>+$I$2+(MANTPS[[#This Row],[QUANTITE]]*MANTPS[[#This Row],[PRIX UNITAIRE]])</f>
        <v>55000</v>
      </c>
      <c r="F214" s="92"/>
      <c r="G214" s="6">
        <f>+SUM(E$9:$E214)-SUM(F$9:$F214)</f>
        <v>3438500</v>
      </c>
    </row>
    <row r="215" spans="1:7" ht="28.8" x14ac:dyDescent="0.55000000000000004">
      <c r="A215" s="89">
        <v>45968</v>
      </c>
      <c r="B215" s="13" t="s">
        <v>3218</v>
      </c>
      <c r="C215" s="90">
        <v>2</v>
      </c>
      <c r="D215" s="10">
        <v>27500</v>
      </c>
      <c r="E215" s="91">
        <f>+$I$2+(MANTPS[[#This Row],[QUANTITE]]*MANTPS[[#This Row],[PRIX UNITAIRE]])</f>
        <v>55000</v>
      </c>
      <c r="F215" s="92"/>
      <c r="G215" s="6">
        <f>+SUM(E$9:$E215)-SUM(F$9:$F215)</f>
        <v>3493500</v>
      </c>
    </row>
    <row r="216" spans="1:7" ht="28.8" x14ac:dyDescent="0.55000000000000004">
      <c r="A216" s="89">
        <v>45968</v>
      </c>
      <c r="B216" s="13" t="s">
        <v>3219</v>
      </c>
      <c r="C216" s="90">
        <v>2</v>
      </c>
      <c r="D216" s="90">
        <v>27500</v>
      </c>
      <c r="E216" s="91">
        <f>+$I$2+(MANTPS[[#This Row],[QUANTITE]]*MANTPS[[#This Row],[PRIX UNITAIRE]])</f>
        <v>55000</v>
      </c>
      <c r="F216" s="92"/>
      <c r="G216" s="6">
        <f>+SUM(E$9:$E216)-SUM(F$9:$F216)</f>
        <v>3548500</v>
      </c>
    </row>
    <row r="217" spans="1:7" ht="28.8" x14ac:dyDescent="0.55000000000000004">
      <c r="A217" s="89">
        <v>45973</v>
      </c>
      <c r="B217" s="13" t="s">
        <v>324</v>
      </c>
      <c r="C217" s="90">
        <v>2</v>
      </c>
      <c r="D217" s="90">
        <v>27500</v>
      </c>
      <c r="E217" s="91">
        <f>+$I$2+(MANTPS[[#This Row],[QUANTITE]]*MANTPS[[#This Row],[PRIX UNITAIRE]])</f>
        <v>55000</v>
      </c>
      <c r="F217" s="92"/>
      <c r="G217" s="6">
        <f>+SUM(E$9:$E217)-SUM(F$9:$F217)</f>
        <v>3603500</v>
      </c>
    </row>
    <row r="218" spans="1:7" ht="28.8" x14ac:dyDescent="0.55000000000000004">
      <c r="A218" s="89">
        <v>45974</v>
      </c>
      <c r="B218" s="13" t="s">
        <v>310</v>
      </c>
      <c r="C218" s="90">
        <v>2</v>
      </c>
      <c r="D218" s="90">
        <v>27500</v>
      </c>
      <c r="E218" s="91">
        <f>+$I$2+(MANTPS[[#This Row],[QUANTITE]]*MANTPS[[#This Row],[PRIX UNITAIRE]])</f>
        <v>55000</v>
      </c>
      <c r="F218" s="92"/>
      <c r="G218" s="6">
        <f>+SUM(E$9:$E218)-SUM(F$9:$F218)</f>
        <v>3658500</v>
      </c>
    </row>
    <row r="219" spans="1:7" ht="28.8" x14ac:dyDescent="0.55000000000000004">
      <c r="A219" s="89">
        <v>45980</v>
      </c>
      <c r="B219" s="13" t="s">
        <v>1104</v>
      </c>
      <c r="C219" s="90">
        <v>2</v>
      </c>
      <c r="D219" s="90">
        <v>27500</v>
      </c>
      <c r="E219" s="91">
        <f>+$I$2+(MANTPS[[#This Row],[QUANTITE]]*MANTPS[[#This Row],[PRIX UNITAIRE]])</f>
        <v>55000</v>
      </c>
      <c r="F219" s="92"/>
      <c r="G219" s="6">
        <f>+SUM(E$9:$E219)-SUM(F$9:$F219)</f>
        <v>3713500</v>
      </c>
    </row>
    <row r="220" spans="1:7" ht="28.8" x14ac:dyDescent="0.55000000000000004">
      <c r="A220" s="89">
        <v>45980</v>
      </c>
      <c r="B220" s="13" t="s">
        <v>3240</v>
      </c>
      <c r="C220" s="90">
        <v>2</v>
      </c>
      <c r="D220" s="90">
        <v>27500</v>
      </c>
      <c r="E220" s="91">
        <f>+$I$2+(MANTPS[[#This Row],[QUANTITE]]*MANTPS[[#This Row],[PRIX UNITAIRE]])</f>
        <v>55000</v>
      </c>
      <c r="F220" s="92"/>
      <c r="G220" s="6">
        <f>+SUM(E$9:$E220)-SUM(F$9:$F220)</f>
        <v>3768500</v>
      </c>
    </row>
    <row r="221" spans="1:7" ht="28.8" x14ac:dyDescent="0.55000000000000004">
      <c r="A221" s="89">
        <v>45982</v>
      </c>
      <c r="B221" s="13" t="s">
        <v>3242</v>
      </c>
      <c r="C221" s="90">
        <v>1</v>
      </c>
      <c r="D221" s="90">
        <v>27500</v>
      </c>
      <c r="E221" s="91">
        <f>+$I$2+(MANTPS[[#This Row],[QUANTITE]]*MANTPS[[#This Row],[PRIX UNITAIRE]])</f>
        <v>27500</v>
      </c>
      <c r="F221" s="92"/>
      <c r="G221" s="6">
        <f>+SUM(E$9:$E221)-SUM(F$9:$F221)</f>
        <v>3796000</v>
      </c>
    </row>
    <row r="222" spans="1:7" ht="28.8" x14ac:dyDescent="0.55000000000000004">
      <c r="A222" s="89">
        <v>45983</v>
      </c>
      <c r="B222" s="13" t="s">
        <v>3243</v>
      </c>
      <c r="C222" s="90">
        <v>2</v>
      </c>
      <c r="D222" s="90">
        <v>27500</v>
      </c>
      <c r="E222" s="91">
        <f>+$I$2+(MANTPS[[#This Row],[QUANTITE]]*MANTPS[[#This Row],[PRIX UNITAIRE]])</f>
        <v>55000</v>
      </c>
      <c r="F222" s="92"/>
      <c r="G222" s="6">
        <f>+SUM(E$9:$E222)-SUM(F$9:$F222)</f>
        <v>3851000</v>
      </c>
    </row>
    <row r="223" spans="1:7" ht="28.8" x14ac:dyDescent="0.55000000000000004">
      <c r="A223" s="89">
        <v>45975</v>
      </c>
      <c r="B223" s="13" t="s">
        <v>3258</v>
      </c>
      <c r="C223" s="90">
        <v>4</v>
      </c>
      <c r="D223" s="90">
        <v>27500</v>
      </c>
      <c r="E223" s="91">
        <f>+$I$2+(MANTPS[[#This Row],[QUANTITE]]*MANTPS[[#This Row],[PRIX UNITAIRE]])</f>
        <v>110000</v>
      </c>
      <c r="F223" s="92"/>
      <c r="G223" s="6">
        <f>+SUM(E$9:$E223)-SUM(F$9:$F223)</f>
        <v>3961000</v>
      </c>
    </row>
    <row r="224" spans="1:7" ht="28.8" x14ac:dyDescent="0.55000000000000004">
      <c r="A224" s="89">
        <v>45971</v>
      </c>
      <c r="B224" s="13" t="s">
        <v>3249</v>
      </c>
      <c r="C224" s="90">
        <v>2</v>
      </c>
      <c r="D224" s="90">
        <v>27500</v>
      </c>
      <c r="E224" s="91">
        <f>+$I$2+(MANTPS[[#This Row],[QUANTITE]]*MANTPS[[#This Row],[PRIX UNITAIRE]])</f>
        <v>55000</v>
      </c>
      <c r="F224" s="92"/>
      <c r="G224" s="6">
        <f>+SUM(E$9:$E224)-SUM(F$9:$F224)</f>
        <v>4016000</v>
      </c>
    </row>
    <row r="225" spans="1:7" ht="28.8" x14ac:dyDescent="0.55000000000000004">
      <c r="A225" s="89">
        <v>45985</v>
      </c>
      <c r="B225" s="13" t="s">
        <v>3250</v>
      </c>
      <c r="C225" s="90">
        <v>1</v>
      </c>
      <c r="D225" s="90">
        <v>185000</v>
      </c>
      <c r="E225" s="91">
        <f>+$I$2+(MANTPS[[#This Row],[QUANTITE]]*MANTPS[[#This Row],[PRIX UNITAIRE]])</f>
        <v>185000</v>
      </c>
      <c r="F225" s="92"/>
      <c r="G225" s="6">
        <f>+SUM(E$9:$E225)-SUM(F$9:$F225)</f>
        <v>4201000</v>
      </c>
    </row>
    <row r="226" spans="1:7" ht="28.8" x14ac:dyDescent="0.55000000000000004">
      <c r="A226" s="89">
        <v>45985</v>
      </c>
      <c r="B226" s="13" t="s">
        <v>3251</v>
      </c>
      <c r="C226" s="90">
        <v>2</v>
      </c>
      <c r="D226" s="90">
        <v>160000</v>
      </c>
      <c r="E226" s="91">
        <f>+$I$2+(MANTPS[[#This Row],[QUANTITE]]*MANTPS[[#This Row],[PRIX UNITAIRE]])</f>
        <v>320000</v>
      </c>
      <c r="F226" s="92"/>
      <c r="G226" s="6">
        <f>+SUM(E$9:$E226)-SUM(F$9:$F226)</f>
        <v>4521000</v>
      </c>
    </row>
    <row r="227" spans="1:7" ht="28.8" x14ac:dyDescent="0.55000000000000004">
      <c r="A227" s="89">
        <v>45985</v>
      </c>
      <c r="B227" s="13" t="s">
        <v>3252</v>
      </c>
      <c r="C227" s="90">
        <v>1</v>
      </c>
      <c r="D227" s="90">
        <v>185000</v>
      </c>
      <c r="E227" s="91">
        <f>+$I$2+(MANTPS[[#This Row],[QUANTITE]]*MANTPS[[#This Row],[PRIX UNITAIRE]])</f>
        <v>185000</v>
      </c>
      <c r="F227" s="92"/>
      <c r="G227" s="6">
        <f>+SUM(E$9:$E227)-SUM(F$9:$F227)</f>
        <v>4706000</v>
      </c>
    </row>
    <row r="228" spans="1:7" ht="28.8" x14ac:dyDescent="0.55000000000000004">
      <c r="A228" s="89">
        <v>45985</v>
      </c>
      <c r="B228" s="13" t="s">
        <v>302</v>
      </c>
      <c r="C228" s="90">
        <v>1</v>
      </c>
      <c r="D228" s="90">
        <v>27500</v>
      </c>
      <c r="E228" s="91">
        <f>+$I$2+(MANTPS[[#This Row],[QUANTITE]]*MANTPS[[#This Row],[PRIX UNITAIRE]])</f>
        <v>27500</v>
      </c>
      <c r="F228" s="92"/>
      <c r="G228" s="6">
        <f>+SUM(E$9:$E228)-SUM(F$9:$F228)</f>
        <v>4733500</v>
      </c>
    </row>
    <row r="229" spans="1:7" ht="28.8" x14ac:dyDescent="0.55000000000000004">
      <c r="A229" s="89">
        <v>45992</v>
      </c>
      <c r="B229" s="13" t="s">
        <v>312</v>
      </c>
      <c r="C229" s="90">
        <v>2</v>
      </c>
      <c r="D229" s="90">
        <v>27500</v>
      </c>
      <c r="E229" s="91">
        <f>+$I$2+(MANTPS[[#This Row],[QUANTITE]]*MANTPS[[#This Row],[PRIX UNITAIRE]])</f>
        <v>55000</v>
      </c>
      <c r="F229" s="92"/>
      <c r="G229" s="6">
        <f>+SUM(E$9:$E229)-SUM(F$9:$F229)</f>
        <v>4788500</v>
      </c>
    </row>
    <row r="230" spans="1:7" ht="28.8" x14ac:dyDescent="0.55000000000000004">
      <c r="A230" s="89">
        <v>45994</v>
      </c>
      <c r="B230" s="13" t="s">
        <v>3274</v>
      </c>
      <c r="C230" s="90">
        <v>2</v>
      </c>
      <c r="D230" s="90">
        <v>27500</v>
      </c>
      <c r="E230" s="91">
        <f>+$I$2+(MANTPS[[#This Row],[QUANTITE]]*MANTPS[[#This Row],[PRIX UNITAIRE]])</f>
        <v>55000</v>
      </c>
      <c r="F230" s="92"/>
      <c r="G230" s="6">
        <f>+SUM(E$9:$E230)-SUM(F$9:$F230)</f>
        <v>4843500</v>
      </c>
    </row>
    <row r="231" spans="1:7" ht="28.8" x14ac:dyDescent="0.55000000000000004">
      <c r="A231" s="89">
        <v>45995</v>
      </c>
      <c r="B231" s="13" t="s">
        <v>3279</v>
      </c>
      <c r="C231" s="90">
        <v>1</v>
      </c>
      <c r="D231" s="90">
        <v>27500</v>
      </c>
      <c r="E231" s="91">
        <f>+$I$2+(MANTPS[[#This Row],[QUANTITE]]*MANTPS[[#This Row],[PRIX UNITAIRE]])</f>
        <v>27500</v>
      </c>
      <c r="F231" s="92"/>
      <c r="G231" s="6">
        <f>+SUM(E$9:$E231)-SUM(F$9:$F231)</f>
        <v>4871000</v>
      </c>
    </row>
    <row r="232" spans="1:7" ht="28.8" x14ac:dyDescent="0.55000000000000004">
      <c r="A232" s="89">
        <v>45995</v>
      </c>
      <c r="B232" s="13" t="s">
        <v>2941</v>
      </c>
      <c r="C232" s="90">
        <v>1</v>
      </c>
      <c r="D232" s="90">
        <v>27500</v>
      </c>
      <c r="E232" s="91">
        <f>+$I$2+(MANTPS[[#This Row],[QUANTITE]]*MANTPS[[#This Row],[PRIX UNITAIRE]])</f>
        <v>27500</v>
      </c>
      <c r="F232" s="92"/>
      <c r="G232" s="6">
        <f>+SUM(E$9:$E232)-SUM(F$9:$F232)</f>
        <v>4898500</v>
      </c>
    </row>
    <row r="233" spans="1:7" ht="28.8" x14ac:dyDescent="0.55000000000000004">
      <c r="A233" s="89">
        <v>45995</v>
      </c>
      <c r="B233" s="13" t="s">
        <v>3280</v>
      </c>
      <c r="C233" s="90">
        <v>1</v>
      </c>
      <c r="D233" s="90">
        <v>27500</v>
      </c>
      <c r="E233" s="91">
        <f>+$I$2+(MANTPS[[#This Row],[QUANTITE]]*MANTPS[[#This Row],[PRIX UNITAIRE]])</f>
        <v>27500</v>
      </c>
      <c r="F233" s="92"/>
      <c r="G233" s="6">
        <f>+SUM(E$9:$E233)-SUM(F$9:$F233)</f>
        <v>4926000</v>
      </c>
    </row>
    <row r="234" spans="1:7" ht="28.8" x14ac:dyDescent="0.55000000000000004">
      <c r="A234" s="89">
        <v>45997</v>
      </c>
      <c r="B234" s="13" t="s">
        <v>3286</v>
      </c>
      <c r="C234" s="90">
        <v>1</v>
      </c>
      <c r="D234" s="90">
        <v>27500</v>
      </c>
      <c r="E234" s="91">
        <f>+$I$2+(MANTPS[[#This Row],[QUANTITE]]*MANTPS[[#This Row],[PRIX UNITAIRE]])</f>
        <v>27500</v>
      </c>
      <c r="F234" s="92"/>
      <c r="G234" s="6">
        <f>+SUM(E$9:$E234)-SUM(F$9:$F234)</f>
        <v>4953500</v>
      </c>
    </row>
    <row r="235" spans="1:7" ht="28.8" x14ac:dyDescent="0.55000000000000004">
      <c r="A235" s="89">
        <v>45999</v>
      </c>
      <c r="B235" s="13" t="s">
        <v>3287</v>
      </c>
      <c r="C235" s="90">
        <v>1</v>
      </c>
      <c r="D235" s="90">
        <v>27500</v>
      </c>
      <c r="E235" s="91">
        <f>+$I$2+(MANTPS[[#This Row],[QUANTITE]]*MANTPS[[#This Row],[PRIX UNITAIRE]])</f>
        <v>27500</v>
      </c>
      <c r="F235" s="92"/>
      <c r="G235" s="6">
        <f>+SUM(E$9:$E235)-SUM(F$9:$F235)</f>
        <v>4981000</v>
      </c>
    </row>
    <row r="236" spans="1:7" ht="28.8" x14ac:dyDescent="0.55000000000000004">
      <c r="A236" s="89">
        <v>46002</v>
      </c>
      <c r="B236" s="13" t="s">
        <v>3290</v>
      </c>
      <c r="C236" s="90">
        <v>2</v>
      </c>
      <c r="D236" s="90">
        <v>27500</v>
      </c>
      <c r="E236" s="91">
        <f>+$I$2+(MANTPS[[#This Row],[QUANTITE]]*MANTPS[[#This Row],[PRIX UNITAIRE]])</f>
        <v>55000</v>
      </c>
      <c r="F236" s="92"/>
      <c r="G236" s="6">
        <f>+SUM(E$9:$E236)-SUM(F$9:$F236)</f>
        <v>5036000</v>
      </c>
    </row>
    <row r="237" spans="1:7" ht="28.8" x14ac:dyDescent="0.55000000000000004">
      <c r="A237" s="89">
        <v>46003</v>
      </c>
      <c r="B237" s="13" t="s">
        <v>3293</v>
      </c>
      <c r="C237" s="90">
        <v>2</v>
      </c>
      <c r="D237" s="90">
        <v>27500</v>
      </c>
      <c r="E237" s="91">
        <f>+$I$2+(MANTPS[[#This Row],[QUANTITE]]*MANTPS[[#This Row],[PRIX UNITAIRE]])</f>
        <v>55000</v>
      </c>
      <c r="F237" s="92"/>
      <c r="G237" s="6">
        <f>+SUM(E$9:$E237)-SUM(F$9:$F237)</f>
        <v>5091000</v>
      </c>
    </row>
    <row r="238" spans="1:7" ht="28.8" x14ac:dyDescent="0.55000000000000004">
      <c r="A238" s="89">
        <v>46006</v>
      </c>
      <c r="B238" s="13" t="s">
        <v>3297</v>
      </c>
      <c r="C238" s="90">
        <v>1</v>
      </c>
      <c r="D238" s="90">
        <v>27500</v>
      </c>
      <c r="E238" s="91">
        <f>+$I$2+(MANTPS[[#This Row],[QUANTITE]]*MANTPS[[#This Row],[PRIX UNITAIRE]])</f>
        <v>27500</v>
      </c>
      <c r="F238" s="92"/>
      <c r="G238" s="6">
        <f>+SUM(E$9:$E238)-SUM(F$9:$F238)</f>
        <v>5118500</v>
      </c>
    </row>
    <row r="239" spans="1:7" ht="28.8" x14ac:dyDescent="0.55000000000000004">
      <c r="A239" s="89">
        <v>46008</v>
      </c>
      <c r="B239" s="13" t="s">
        <v>3302</v>
      </c>
      <c r="C239" s="90">
        <v>2</v>
      </c>
      <c r="D239" s="90">
        <v>27500</v>
      </c>
      <c r="E239" s="91">
        <f>+$I$2+(MANTPS[[#This Row],[QUANTITE]]*MANTPS[[#This Row],[PRIX UNITAIRE]])</f>
        <v>55000</v>
      </c>
      <c r="F239" s="92"/>
      <c r="G239" s="6">
        <f>+SUM(E$9:$E239)-SUM(F$9:$F239)</f>
        <v>5173500</v>
      </c>
    </row>
    <row r="240" spans="1:7" ht="28.8" x14ac:dyDescent="0.55000000000000004">
      <c r="A240" s="89">
        <v>46008</v>
      </c>
      <c r="B240" s="13" t="s">
        <v>3303</v>
      </c>
      <c r="C240" s="90">
        <v>1</v>
      </c>
      <c r="D240" s="90">
        <v>20000</v>
      </c>
      <c r="E240" s="91">
        <f>+$I$2+(MANTPS[[#This Row],[QUANTITE]]*MANTPS[[#This Row],[PRIX UNITAIRE]])</f>
        <v>20000</v>
      </c>
      <c r="F240" s="92"/>
      <c r="G240" s="6">
        <f>+SUM(E$9:$E240)-SUM(F$9:$F240)</f>
        <v>5193500</v>
      </c>
    </row>
    <row r="241" spans="1:7" ht="28.8" x14ac:dyDescent="0.55000000000000004">
      <c r="A241" s="12">
        <v>46009</v>
      </c>
      <c r="B241" s="13" t="s">
        <v>451</v>
      </c>
      <c r="C241" s="10"/>
      <c r="D241" s="10"/>
      <c r="E241" s="7">
        <f>+$I$2+(MANTPS[[#This Row],[QUANTITE]]*MANTPS[[#This Row],[PRIX UNITAIRE]])</f>
        <v>0</v>
      </c>
      <c r="F241" s="14">
        <v>10000000</v>
      </c>
      <c r="G241" s="6">
        <f>+SUM(E$9:$E241)-SUM(F$9:$F241)</f>
        <v>-4806500</v>
      </c>
    </row>
    <row r="242" spans="1:7" ht="28.8" x14ac:dyDescent="0.55000000000000004">
      <c r="A242" s="12">
        <v>46013</v>
      </c>
      <c r="B242" s="13" t="s">
        <v>3305</v>
      </c>
      <c r="C242" s="10">
        <v>3</v>
      </c>
      <c r="D242" s="10">
        <v>27500</v>
      </c>
      <c r="E242" s="7">
        <f>+$I$2+(MANTPS[[#This Row],[QUANTITE]]*MANTPS[[#This Row],[PRIX UNITAIRE]])</f>
        <v>82500</v>
      </c>
      <c r="F242" s="14"/>
      <c r="G242" s="6">
        <f>+SUM(E$9:$E242)-SUM(F$9:$F242)</f>
        <v>-4724000</v>
      </c>
    </row>
    <row r="243" spans="1:7" ht="28.8" x14ac:dyDescent="0.55000000000000004">
      <c r="A243" s="12">
        <v>46017</v>
      </c>
      <c r="B243" s="13" t="s">
        <v>3307</v>
      </c>
      <c r="C243" s="10">
        <v>1</v>
      </c>
      <c r="D243" s="10">
        <v>27500</v>
      </c>
      <c r="E243" s="7">
        <f>+$I$2+(MANTPS[[#This Row],[QUANTITE]]*MANTPS[[#This Row],[PRIX UNITAIRE]])</f>
        <v>27500</v>
      </c>
      <c r="F243" s="14"/>
      <c r="G243" s="6">
        <f>+SUM(E$9:$E243)-SUM(F$9:$F243)</f>
        <v>-4696500</v>
      </c>
    </row>
    <row r="244" spans="1:7" ht="28.8" x14ac:dyDescent="0.55000000000000004">
      <c r="A244" s="12">
        <v>46020</v>
      </c>
      <c r="B244" s="13" t="s">
        <v>3311</v>
      </c>
      <c r="C244" s="10">
        <v>2</v>
      </c>
      <c r="D244" s="10">
        <v>27500</v>
      </c>
      <c r="E244" s="7">
        <f>+$I$2+(MANTPS[[#This Row],[QUANTITE]]*MANTPS[[#This Row],[PRIX UNITAIRE]])</f>
        <v>55000</v>
      </c>
      <c r="F244" s="14"/>
      <c r="G244" s="6">
        <f>+SUM(E$9:$E244)-SUM(F$9:$F244)</f>
        <v>-4641500</v>
      </c>
    </row>
    <row r="245" spans="1:7" ht="28.8" x14ac:dyDescent="0.55000000000000004">
      <c r="A245" s="12">
        <v>46020</v>
      </c>
      <c r="B245" s="13" t="s">
        <v>3293</v>
      </c>
      <c r="C245" s="10">
        <v>2</v>
      </c>
      <c r="D245" s="10">
        <v>27500</v>
      </c>
      <c r="E245" s="7">
        <f>+$I$2+(MANTPS[[#This Row],[QUANTITE]]*MANTPS[[#This Row],[PRIX UNITAIRE]])</f>
        <v>55000</v>
      </c>
      <c r="F245" s="14"/>
      <c r="G245" s="6">
        <f>+SUM(E$9:$E245)-SUM(F$9:$F245)</f>
        <v>-4586500</v>
      </c>
    </row>
    <row r="246" spans="1:7" ht="28.8" x14ac:dyDescent="0.55000000000000004">
      <c r="A246" s="12">
        <v>46020</v>
      </c>
      <c r="B246" s="13" t="s">
        <v>3313</v>
      </c>
      <c r="C246" s="10">
        <v>2</v>
      </c>
      <c r="D246" s="10">
        <v>160000</v>
      </c>
      <c r="E246" s="7">
        <f>+$I$2+(MANTPS[[#This Row],[QUANTITE]]*MANTPS[[#This Row],[PRIX UNITAIRE]])</f>
        <v>320000</v>
      </c>
      <c r="F246" s="14"/>
      <c r="G246" s="6">
        <f>+SUM(E$9:$E246)-SUM(F$9:$F246)</f>
        <v>-4266500</v>
      </c>
    </row>
    <row r="247" spans="1:7" ht="28.8" x14ac:dyDescent="0.55000000000000004">
      <c r="A247" s="12">
        <v>46020</v>
      </c>
      <c r="B247" s="13" t="s">
        <v>3314</v>
      </c>
      <c r="C247" s="10">
        <v>1</v>
      </c>
      <c r="D247" s="10">
        <v>185000</v>
      </c>
      <c r="E247" s="7">
        <f>+$I$2+(MANTPS[[#This Row],[QUANTITE]]*MANTPS[[#This Row],[PRIX UNITAIRE]])</f>
        <v>185000</v>
      </c>
      <c r="F247" s="14"/>
      <c r="G247" s="6">
        <f>+SUM(E$9:$E247)-SUM(F$9:$F247)</f>
        <v>-4081500</v>
      </c>
    </row>
    <row r="248" spans="1:7" ht="28.8" x14ac:dyDescent="0.55000000000000004">
      <c r="A248" s="12">
        <v>46020</v>
      </c>
      <c r="B248" s="13" t="s">
        <v>3315</v>
      </c>
      <c r="C248" s="10">
        <v>2</v>
      </c>
      <c r="D248" s="10">
        <v>180000</v>
      </c>
      <c r="E248" s="7">
        <f>+$I$2+(MANTPS[[#This Row],[QUANTITE]]*MANTPS[[#This Row],[PRIX UNITAIRE]])</f>
        <v>360000</v>
      </c>
      <c r="F248" s="14"/>
      <c r="G248" s="6">
        <f>+SUM(E$9:$E248)-SUM(F$9:$F248)</f>
        <v>-3721500</v>
      </c>
    </row>
    <row r="249" spans="1:7" ht="28.8" x14ac:dyDescent="0.55000000000000004">
      <c r="A249" s="12">
        <v>46024</v>
      </c>
      <c r="B249" s="13" t="s">
        <v>3316</v>
      </c>
      <c r="C249" s="10">
        <v>2</v>
      </c>
      <c r="D249" s="10">
        <v>27500</v>
      </c>
      <c r="E249" s="7">
        <f>+$I$2+(MANTPS[[#This Row],[QUANTITE]]*MANTPS[[#This Row],[PRIX UNITAIRE]])</f>
        <v>55000</v>
      </c>
      <c r="F249" s="14"/>
      <c r="G249" s="6">
        <f>+SUM(E$9:$E249)-SUM(F$9:$F249)</f>
        <v>-3666500</v>
      </c>
    </row>
    <row r="250" spans="1:7" ht="28.8" x14ac:dyDescent="0.55000000000000004">
      <c r="A250" s="12">
        <v>46027</v>
      </c>
      <c r="B250" s="13" t="s">
        <v>3318</v>
      </c>
      <c r="C250" s="10">
        <v>2</v>
      </c>
      <c r="D250" s="10">
        <v>27500</v>
      </c>
      <c r="E250" s="7">
        <f>+$I$2+(MANTPS[[#This Row],[QUANTITE]]*MANTPS[[#This Row],[PRIX UNITAIRE]])</f>
        <v>55000</v>
      </c>
      <c r="F250" s="14"/>
      <c r="G250" s="6">
        <f>+SUM(E$9:$E250)-SUM(F$9:$F250)</f>
        <v>-3611500</v>
      </c>
    </row>
    <row r="251" spans="1:7" ht="28.8" x14ac:dyDescent="0.55000000000000004">
      <c r="A251" s="12"/>
      <c r="B251" s="13" t="s">
        <v>3357</v>
      </c>
      <c r="C251" s="10">
        <v>2</v>
      </c>
      <c r="D251" s="10">
        <v>27500</v>
      </c>
      <c r="E251" s="7">
        <f>+$I$2+(MANTPS[[#This Row],[QUANTITE]]*MANTPS[[#This Row],[PRIX UNITAIRE]])</f>
        <v>55000</v>
      </c>
      <c r="F251" s="14"/>
      <c r="G251" s="6">
        <f>+SUM(E$9:$E251)-SUM(F$9:$F251)</f>
        <v>-3556500</v>
      </c>
    </row>
    <row r="252" spans="1:7" ht="28.8" x14ac:dyDescent="0.55000000000000004">
      <c r="A252" s="12"/>
      <c r="B252" s="13" t="s">
        <v>3358</v>
      </c>
      <c r="C252" s="10">
        <v>2</v>
      </c>
      <c r="D252" s="10">
        <v>27500</v>
      </c>
      <c r="E252" s="7">
        <f>+$I$2+(MANTPS[[#This Row],[QUANTITE]]*MANTPS[[#This Row],[PRIX UNITAIRE]])</f>
        <v>55000</v>
      </c>
      <c r="F252" s="14"/>
      <c r="G252" s="6">
        <f>+SUM(E$9:$E252)-SUM(F$9:$F252)</f>
        <v>-3501500</v>
      </c>
    </row>
    <row r="253" spans="1:7" ht="28.8" x14ac:dyDescent="0.55000000000000004">
      <c r="A253" s="12"/>
      <c r="B253" s="13" t="s">
        <v>3319</v>
      </c>
      <c r="C253" s="10">
        <v>2</v>
      </c>
      <c r="D253" s="10">
        <v>27500</v>
      </c>
      <c r="E253" s="7">
        <f>+$I$2+(MANTPS[[#This Row],[QUANTITE]]*MANTPS[[#This Row],[PRIX UNITAIRE]])</f>
        <v>55000</v>
      </c>
      <c r="F253" s="14"/>
      <c r="G253" s="6">
        <f>+SUM(E$9:$E253)-SUM(F$9:$F253)</f>
        <v>-3446500</v>
      </c>
    </row>
    <row r="254" spans="1:7" ht="28.8" x14ac:dyDescent="0.55000000000000004">
      <c r="A254" s="12">
        <v>46029</v>
      </c>
      <c r="B254" s="13" t="s">
        <v>3356</v>
      </c>
      <c r="C254" s="10">
        <v>2</v>
      </c>
      <c r="D254" s="10">
        <v>27500</v>
      </c>
      <c r="E254" s="7">
        <f>+$I$2+(MANTPS[[#This Row],[QUANTITE]]*MANTPS[[#This Row],[PRIX UNITAIRE]])</f>
        <v>55000</v>
      </c>
      <c r="F254" s="14"/>
      <c r="G254" s="6">
        <f>+SUM(E$9:$E254)-SUM(F$9:$F254)</f>
        <v>-3391500</v>
      </c>
    </row>
    <row r="255" spans="1:7" ht="28.8" x14ac:dyDescent="0.55000000000000004">
      <c r="A255" s="12">
        <v>46032</v>
      </c>
      <c r="B255" s="13" t="s">
        <v>3366</v>
      </c>
      <c r="C255" s="10">
        <v>1</v>
      </c>
      <c r="D255" s="10">
        <v>27500</v>
      </c>
      <c r="E255" s="7">
        <f>+$I$2+(MANTPS[[#This Row],[QUANTITE]]*MANTPS[[#This Row],[PRIX UNITAIRE]])</f>
        <v>27500</v>
      </c>
      <c r="F255" s="14"/>
      <c r="G255" s="6">
        <f>+SUM(E$9:$E255)-SUM(F$9:$F255)</f>
        <v>-3364000</v>
      </c>
    </row>
    <row r="256" spans="1:7" ht="28.8" x14ac:dyDescent="0.55000000000000004">
      <c r="A256" s="12">
        <v>46035</v>
      </c>
      <c r="B256" s="13" t="s">
        <v>3367</v>
      </c>
      <c r="C256" s="10">
        <v>2</v>
      </c>
      <c r="D256" s="10">
        <v>27500</v>
      </c>
      <c r="E256" s="7">
        <f>+$I$2+(MANTPS[[#This Row],[QUANTITE]]*MANTPS[[#This Row],[PRIX UNITAIRE]])</f>
        <v>55000</v>
      </c>
      <c r="F256" s="14"/>
      <c r="G256" s="6">
        <f>+SUM(E$9:$E256)-SUM(F$9:$F256)</f>
        <v>-3309000</v>
      </c>
    </row>
    <row r="257" spans="1:7" ht="28.8" x14ac:dyDescent="0.55000000000000004">
      <c r="A257" s="12">
        <v>46036</v>
      </c>
      <c r="B257" s="13" t="s">
        <v>3374</v>
      </c>
      <c r="C257" s="10">
        <v>2</v>
      </c>
      <c r="D257" s="10">
        <v>27500</v>
      </c>
      <c r="E257" s="7">
        <f>+$I$2+(MANTPS[[#This Row],[QUANTITE]]*MANTPS[[#This Row],[PRIX UNITAIRE]])</f>
        <v>55000</v>
      </c>
      <c r="F257" s="14"/>
      <c r="G257" s="6">
        <f>+SUM(E$9:$E257)-SUM(F$9:$F257)</f>
        <v>-3254000</v>
      </c>
    </row>
    <row r="258" spans="1:7" ht="28.8" x14ac:dyDescent="0.55000000000000004">
      <c r="A258" s="12">
        <v>46037</v>
      </c>
      <c r="B258" s="13" t="s">
        <v>3380</v>
      </c>
      <c r="C258" s="10">
        <v>2</v>
      </c>
      <c r="D258" s="10">
        <v>27500</v>
      </c>
      <c r="E258" s="7">
        <f>+$I$2+(MANTPS[[#This Row],[QUANTITE]]*MANTPS[[#This Row],[PRIX UNITAIRE]])</f>
        <v>55000</v>
      </c>
      <c r="F258" s="14"/>
      <c r="G258" s="6">
        <f>+SUM(E$9:$E258)-SUM(F$9:$F258)</f>
        <v>-3199000</v>
      </c>
    </row>
    <row r="259" spans="1:7" ht="28.8" x14ac:dyDescent="0.55000000000000004">
      <c r="A259" s="12">
        <v>46039</v>
      </c>
      <c r="B259" s="13" t="s">
        <v>3381</v>
      </c>
      <c r="C259" s="10">
        <v>2</v>
      </c>
      <c r="D259" s="10">
        <v>27500</v>
      </c>
      <c r="E259" s="7">
        <f>+$I$2+(MANTPS[[#This Row],[QUANTITE]]*MANTPS[[#This Row],[PRIX UNITAIRE]])</f>
        <v>55000</v>
      </c>
      <c r="F259" s="14"/>
      <c r="G259" s="6">
        <f>+SUM(E$9:$E259)-SUM(F$9:$F259)</f>
        <v>-3144000</v>
      </c>
    </row>
    <row r="260" spans="1:7" ht="28.8" x14ac:dyDescent="0.55000000000000004">
      <c r="A260" s="12">
        <v>46042</v>
      </c>
      <c r="B260" s="13" t="s">
        <v>3382</v>
      </c>
      <c r="C260" s="10">
        <v>2</v>
      </c>
      <c r="D260" s="10">
        <v>27500</v>
      </c>
      <c r="E260" s="7">
        <f>+$I$2+(MANTPS[[#This Row],[QUANTITE]]*MANTPS[[#This Row],[PRIX UNITAIRE]])</f>
        <v>55000</v>
      </c>
      <c r="F260" s="14"/>
      <c r="G260" s="6">
        <f>+SUM(E$9:$E260)-SUM(F$9:$F260)</f>
        <v>-3089000</v>
      </c>
    </row>
    <row r="261" spans="1:7" ht="28.8" x14ac:dyDescent="0.55000000000000004">
      <c r="A261" s="12">
        <v>46043</v>
      </c>
      <c r="B261" s="13" t="s">
        <v>3384</v>
      </c>
      <c r="C261" s="10">
        <v>2</v>
      </c>
      <c r="D261" s="10">
        <v>27500</v>
      </c>
      <c r="E261" s="7">
        <f>+$I$2+(MANTPS[[#This Row],[QUANTITE]]*MANTPS[[#This Row],[PRIX UNITAIRE]])</f>
        <v>55000</v>
      </c>
      <c r="F261" s="14"/>
      <c r="G261" s="6">
        <f>+SUM(E$9:$E261)-SUM(F$9:$F261)</f>
        <v>-3034000</v>
      </c>
    </row>
    <row r="262" spans="1:7" ht="28.8" x14ac:dyDescent="0.55000000000000004">
      <c r="A262" s="12">
        <v>46046</v>
      </c>
      <c r="B262" s="13" t="s">
        <v>3386</v>
      </c>
      <c r="C262" s="10">
        <v>2</v>
      </c>
      <c r="D262" s="10">
        <v>27500</v>
      </c>
      <c r="E262" s="7">
        <f>+$I$2+(MANTPS[[#This Row],[QUANTITE]]*MANTPS[[#This Row],[PRIX UNITAIRE]])</f>
        <v>55000</v>
      </c>
      <c r="F262" s="14"/>
      <c r="G262" s="6">
        <f>+SUM(E$9:$E262)-SUM(F$9:$F262)</f>
        <v>-2979000</v>
      </c>
    </row>
    <row r="263" spans="1:7" ht="28.8" x14ac:dyDescent="0.55000000000000004">
      <c r="A263" s="12">
        <v>46048</v>
      </c>
      <c r="B263" s="13" t="s">
        <v>3390</v>
      </c>
      <c r="C263" s="10">
        <v>1</v>
      </c>
      <c r="D263" s="10">
        <v>27500</v>
      </c>
      <c r="E263" s="7">
        <f>+$I$2+(MANTPS[[#This Row],[QUANTITE]]*MANTPS[[#This Row],[PRIX UNITAIRE]])</f>
        <v>27500</v>
      </c>
      <c r="F263" s="14"/>
      <c r="G263" s="6">
        <f>+SUM(E$9:$E263)-SUM(F$9:$F263)</f>
        <v>-2951500</v>
      </c>
    </row>
    <row r="264" spans="1:7" ht="28.8" x14ac:dyDescent="0.55000000000000004">
      <c r="A264" s="12">
        <v>46049</v>
      </c>
      <c r="B264" s="13" t="s">
        <v>3393</v>
      </c>
      <c r="C264" s="10">
        <v>1</v>
      </c>
      <c r="D264" s="10">
        <v>27500</v>
      </c>
      <c r="E264" s="7">
        <f>+$I$2+(MANTPS[[#This Row],[QUANTITE]]*MANTPS[[#This Row],[PRIX UNITAIRE]])</f>
        <v>27500</v>
      </c>
      <c r="F264" s="14"/>
      <c r="G264" s="6">
        <f>+SUM(E$9:$E264)-SUM(F$9:$F264)</f>
        <v>-2924000</v>
      </c>
    </row>
    <row r="265" spans="1:7" ht="28.8" x14ac:dyDescent="0.55000000000000004">
      <c r="A265" s="12">
        <v>46052</v>
      </c>
      <c r="B265" s="13" t="s">
        <v>3395</v>
      </c>
      <c r="C265" s="10">
        <v>3</v>
      </c>
      <c r="D265" s="10">
        <v>27500</v>
      </c>
      <c r="E265" s="7">
        <f>+$I$2+(MANTPS[[#This Row],[QUANTITE]]*MANTPS[[#This Row],[PRIX UNITAIRE]])</f>
        <v>82500</v>
      </c>
      <c r="F265" s="14"/>
      <c r="G265" s="6">
        <f>+SUM(E$9:$E265)-SUM(F$9:$F265)</f>
        <v>-2841500</v>
      </c>
    </row>
    <row r="266" spans="1:7" ht="28.8" x14ac:dyDescent="0.55000000000000004">
      <c r="A266" s="12">
        <v>46052</v>
      </c>
      <c r="B266" s="13" t="s">
        <v>3396</v>
      </c>
      <c r="C266" s="10">
        <v>2</v>
      </c>
      <c r="D266" s="10">
        <v>27500</v>
      </c>
      <c r="E266" s="7">
        <f>+$I$2+(MANTPS[[#This Row],[QUANTITE]]*MANTPS[[#This Row],[PRIX UNITAIRE]])</f>
        <v>55000</v>
      </c>
      <c r="F266" s="14"/>
      <c r="G266" s="6">
        <f>+SUM(E$9:$E266)-SUM(F$9:$F266)</f>
        <v>-2786500</v>
      </c>
    </row>
    <row r="267" spans="1:7" ht="28.8" x14ac:dyDescent="0.55000000000000004">
      <c r="A267" s="12">
        <v>46053</v>
      </c>
      <c r="B267" s="13" t="s">
        <v>3381</v>
      </c>
      <c r="C267" s="10">
        <v>1</v>
      </c>
      <c r="D267" s="10">
        <v>27500</v>
      </c>
      <c r="E267" s="7">
        <f>+$I$2+(MANTPS[[#This Row],[QUANTITE]]*MANTPS[[#This Row],[PRIX UNITAIRE]])</f>
        <v>27500</v>
      </c>
      <c r="F267" s="14"/>
      <c r="G267" s="6">
        <f>+SUM(E$9:$E267)-SUM(F$9:$F267)</f>
        <v>-2759000</v>
      </c>
    </row>
    <row r="268" spans="1:7" ht="28.8" x14ac:dyDescent="0.55000000000000004">
      <c r="A268" s="12">
        <v>46056</v>
      </c>
      <c r="B268" s="13" t="s">
        <v>3404</v>
      </c>
      <c r="C268" s="10">
        <v>1</v>
      </c>
      <c r="D268" s="10">
        <v>27500</v>
      </c>
      <c r="E268" s="7">
        <f>+$I$2+(MANTPS[[#This Row],[QUANTITE]]*MANTPS[[#This Row],[PRIX UNITAIRE]])</f>
        <v>27500</v>
      </c>
      <c r="F268" s="14"/>
      <c r="G268" s="6">
        <f>+SUM(E$9:$E268)-SUM(F$9:$F268)</f>
        <v>-2731500</v>
      </c>
    </row>
    <row r="269" spans="1:7" ht="28.8" x14ac:dyDescent="0.55000000000000004">
      <c r="A269" s="12">
        <v>46057</v>
      </c>
      <c r="B269" s="13" t="s">
        <v>3407</v>
      </c>
      <c r="C269" s="10">
        <v>1</v>
      </c>
      <c r="D269" s="10">
        <v>27500</v>
      </c>
      <c r="E269" s="7">
        <f>+$I$2+(MANTPS[[#This Row],[QUANTITE]]*MANTPS[[#This Row],[PRIX UNITAIRE]])</f>
        <v>27500</v>
      </c>
      <c r="F269" s="14"/>
      <c r="G269" s="6">
        <f>+SUM(E$9:$E269)-SUM(F$9:$F269)</f>
        <v>-2704000</v>
      </c>
    </row>
    <row r="270" spans="1:7" ht="28.8" x14ac:dyDescent="0.55000000000000004">
      <c r="A270" s="12">
        <v>46058</v>
      </c>
      <c r="B270" s="13" t="s">
        <v>3415</v>
      </c>
      <c r="C270" s="10">
        <v>2</v>
      </c>
      <c r="D270" s="10">
        <v>27500</v>
      </c>
      <c r="E270" s="7">
        <f>+$I$2+(MANTPS[[#This Row],[QUANTITE]]*MANTPS[[#This Row],[PRIX UNITAIRE]])</f>
        <v>55000</v>
      </c>
      <c r="F270" s="14"/>
      <c r="G270" s="6">
        <f>+SUM(E$9:$E270)-SUM(F$9:$F270)</f>
        <v>-2649000</v>
      </c>
    </row>
    <row r="271" spans="1:7" ht="28.8" x14ac:dyDescent="0.55000000000000004">
      <c r="A271" s="12">
        <v>46059</v>
      </c>
      <c r="B271" s="13" t="s">
        <v>3366</v>
      </c>
      <c r="C271" s="10">
        <v>2</v>
      </c>
      <c r="D271" s="10">
        <v>27500</v>
      </c>
      <c r="E271" s="7">
        <f>+$I$2+(MANTPS[[#This Row],[QUANTITE]]*MANTPS[[#This Row],[PRIX UNITAIRE]])</f>
        <v>55000</v>
      </c>
      <c r="F271" s="14"/>
      <c r="G271" s="6">
        <f>+SUM(E$9:$E271)-SUM(F$9:$F271)</f>
        <v>-2594000</v>
      </c>
    </row>
    <row r="272" spans="1:7" ht="28.8" x14ac:dyDescent="0.55000000000000004">
      <c r="A272" s="12">
        <v>46060</v>
      </c>
      <c r="B272" s="13" t="s">
        <v>3416</v>
      </c>
      <c r="C272" s="10">
        <v>2</v>
      </c>
      <c r="D272" s="10">
        <v>27500</v>
      </c>
      <c r="E272" s="7">
        <f>+$I$2+(MANTPS[[#This Row],[QUANTITE]]*MANTPS[[#This Row],[PRIX UNITAIRE]])</f>
        <v>55000</v>
      </c>
      <c r="F272" s="14"/>
      <c r="G272" s="6">
        <f>+SUM(E$9:$E272)-SUM(F$9:$F272)</f>
        <v>-2539000</v>
      </c>
    </row>
    <row r="273" spans="1:7" ht="28.8" x14ac:dyDescent="0.55000000000000004">
      <c r="A273" s="12"/>
      <c r="B273" s="13" t="s">
        <v>3418</v>
      </c>
      <c r="C273" s="10">
        <v>2</v>
      </c>
      <c r="D273" s="10">
        <v>185000</v>
      </c>
      <c r="E273" s="7">
        <f>+$I$2+(MANTPS[[#This Row],[QUANTITE]]*MANTPS[[#This Row],[PRIX UNITAIRE]])</f>
        <v>370000</v>
      </c>
      <c r="F273" s="14"/>
      <c r="G273" s="6">
        <f>+SUM(E$9:$E273)-SUM(F$9:$F273)</f>
        <v>-2169000</v>
      </c>
    </row>
    <row r="274" spans="1:7" ht="28.8" x14ac:dyDescent="0.55000000000000004">
      <c r="A274" s="12"/>
      <c r="B274" s="13" t="s">
        <v>3419</v>
      </c>
      <c r="C274" s="10">
        <v>2</v>
      </c>
      <c r="D274" s="10">
        <v>160000</v>
      </c>
      <c r="E274" s="7">
        <f>+$I$2+(MANTPS[[#This Row],[QUANTITE]]*MANTPS[[#This Row],[PRIX UNITAIRE]])</f>
        <v>320000</v>
      </c>
      <c r="F274" s="14"/>
      <c r="G274" s="6">
        <f>+SUM(E$9:$E274)-SUM(F$9:$F274)</f>
        <v>-1849000</v>
      </c>
    </row>
    <row r="275" spans="1:7" ht="28.8" x14ac:dyDescent="0.55000000000000004">
      <c r="A275" s="12">
        <v>46064</v>
      </c>
      <c r="B275" s="13" t="s">
        <v>3426</v>
      </c>
      <c r="C275" s="10">
        <v>2</v>
      </c>
      <c r="D275" s="10">
        <v>27500</v>
      </c>
      <c r="E275" s="7">
        <f>+$I$2+(MANTPS[[#This Row],[QUANTITE]]*MANTPS[[#This Row],[PRIX UNITAIRE]])</f>
        <v>55000</v>
      </c>
      <c r="F275" s="14"/>
      <c r="G275" s="6">
        <f>+SUM(E$9:$E275)-SUM(F$9:$F275)</f>
        <v>-1794000</v>
      </c>
    </row>
    <row r="276" spans="1:7" ht="28.8" x14ac:dyDescent="0.55000000000000004">
      <c r="A276" s="12">
        <v>46064</v>
      </c>
      <c r="B276" s="13" t="s">
        <v>3427</v>
      </c>
      <c r="C276" s="10">
        <v>1</v>
      </c>
      <c r="D276" s="10">
        <v>27500</v>
      </c>
      <c r="E276" s="7">
        <f>+$I$2+(MANTPS[[#This Row],[QUANTITE]]*MANTPS[[#This Row],[PRIX UNITAIRE]])</f>
        <v>27500</v>
      </c>
      <c r="F276" s="14"/>
      <c r="G276" s="6">
        <f>+SUM(E$9:$E276)-SUM(F$9:$F276)</f>
        <v>-1766500</v>
      </c>
    </row>
    <row r="277" spans="1:7" ht="28.8" x14ac:dyDescent="0.55000000000000004">
      <c r="A277" s="12">
        <v>46064</v>
      </c>
      <c r="B277" s="13" t="s">
        <v>3428</v>
      </c>
      <c r="C277" s="10">
        <v>4</v>
      </c>
      <c r="D277" s="10">
        <v>185000</v>
      </c>
      <c r="E277" s="7">
        <f>+$I$2+(MANTPS[[#This Row],[QUANTITE]]*MANTPS[[#This Row],[PRIX UNITAIRE]])</f>
        <v>740000</v>
      </c>
      <c r="F277" s="14"/>
      <c r="G277" s="6">
        <f>+SUM(E$9:$E277)-SUM(F$9:$F277)</f>
        <v>-1026500</v>
      </c>
    </row>
    <row r="278" spans="1:7" ht="28.8" x14ac:dyDescent="0.55000000000000004">
      <c r="A278" s="12">
        <v>46069</v>
      </c>
      <c r="B278" s="13" t="s">
        <v>3437</v>
      </c>
      <c r="C278" s="10">
        <v>2</v>
      </c>
      <c r="D278" s="10">
        <v>27500</v>
      </c>
      <c r="E278" s="7">
        <f>+$I$2+(MANTPS[[#This Row],[QUANTITE]]*MANTPS[[#This Row],[PRIX UNITAIRE]])</f>
        <v>55000</v>
      </c>
      <c r="F278" s="14"/>
      <c r="G278" s="6">
        <f>+SUM(E$9:$E278)-SUM(F$9:$F278)</f>
        <v>-971500</v>
      </c>
    </row>
    <row r="279" spans="1:7" ht="28.8" x14ac:dyDescent="0.55000000000000004">
      <c r="A279" s="12">
        <v>46074</v>
      </c>
      <c r="B279" s="13" t="s">
        <v>3457</v>
      </c>
      <c r="C279" s="10">
        <v>2</v>
      </c>
      <c r="D279" s="10">
        <v>27500</v>
      </c>
      <c r="E279" s="7">
        <f>+$I$2+(MANTPS[[#This Row],[QUANTITE]]*MANTPS[[#This Row],[PRIX UNITAIRE]])</f>
        <v>55000</v>
      </c>
      <c r="F279" s="14"/>
      <c r="G279" s="6">
        <f>+SUM(E$9:$E279)-SUM(F$9:$F279)</f>
        <v>-916500</v>
      </c>
    </row>
    <row r="280" spans="1:7" ht="28.8" x14ac:dyDescent="0.55000000000000004">
      <c r="A280" s="12">
        <v>46085</v>
      </c>
      <c r="B280" s="13" t="s">
        <v>3380</v>
      </c>
      <c r="C280" s="10">
        <v>2</v>
      </c>
      <c r="D280" s="10">
        <v>27500</v>
      </c>
      <c r="E280" s="7">
        <f>+$I$2+(MANTPS[[#This Row],[QUANTITE]]*MANTPS[[#This Row],[PRIX UNITAIRE]])</f>
        <v>55000</v>
      </c>
      <c r="F280" s="14"/>
      <c r="G280" s="6">
        <f>+SUM(E$9:$E280)-SUM(F$9:$F280)</f>
        <v>-861500</v>
      </c>
    </row>
    <row r="281" spans="1:7" ht="28.8" x14ac:dyDescent="0.55000000000000004">
      <c r="A281" s="12">
        <v>46086</v>
      </c>
      <c r="B281" s="13" t="s">
        <v>3374</v>
      </c>
      <c r="C281" s="10">
        <v>2</v>
      </c>
      <c r="D281" s="10">
        <v>27500</v>
      </c>
      <c r="E281" s="7">
        <f>+$I$2+(MANTPS[[#This Row],[QUANTITE]]*MANTPS[[#This Row],[PRIX UNITAIRE]])</f>
        <v>55000</v>
      </c>
      <c r="F281" s="14"/>
      <c r="G281" s="6">
        <f>+SUM(E$9:$E281)-SUM(F$9:$F281)</f>
        <v>-806500</v>
      </c>
    </row>
    <row r="282" spans="1:7" ht="28.8" x14ac:dyDescent="0.55000000000000004">
      <c r="A282" s="12">
        <v>46088</v>
      </c>
      <c r="B282" s="13" t="s">
        <v>3499</v>
      </c>
      <c r="C282" s="10">
        <v>2</v>
      </c>
      <c r="D282" s="10">
        <v>27500</v>
      </c>
      <c r="E282" s="7">
        <f>+$I$2+(MANTPS[[#This Row],[QUANTITE]]*MANTPS[[#This Row],[PRIX UNITAIRE]])</f>
        <v>55000</v>
      </c>
      <c r="F282" s="14"/>
      <c r="G282" s="6">
        <f>+SUM(E$9:$E282)-SUM(F$9:$F282)</f>
        <v>-751500</v>
      </c>
    </row>
    <row r="283" spans="1:7" ht="28.8" x14ac:dyDescent="0.55000000000000004">
      <c r="A283" s="12">
        <v>46088</v>
      </c>
      <c r="B283" s="13" t="s">
        <v>3500</v>
      </c>
      <c r="C283" s="10">
        <v>2</v>
      </c>
      <c r="D283" s="10">
        <v>27500</v>
      </c>
      <c r="E283" s="7">
        <f>+$I$2+(MANTPS[[#This Row],[QUANTITE]]*MANTPS[[#This Row],[PRIX UNITAIRE]])</f>
        <v>55000</v>
      </c>
      <c r="F283" s="14"/>
      <c r="G283" s="6">
        <f>+SUM(E$9:$E283)-SUM(F$9:$F283)</f>
        <v>-696500</v>
      </c>
    </row>
    <row r="284" spans="1:7" ht="28.8" x14ac:dyDescent="0.55000000000000004">
      <c r="A284" s="12">
        <v>46093</v>
      </c>
      <c r="B284" s="13" t="s">
        <v>3514</v>
      </c>
      <c r="C284" s="10">
        <v>2</v>
      </c>
      <c r="D284" s="10">
        <v>27500</v>
      </c>
      <c r="E284" s="7">
        <f>+$I$2+(MANTPS[[#This Row],[QUANTITE]]*MANTPS[[#This Row],[PRIX UNITAIRE]])</f>
        <v>55000</v>
      </c>
      <c r="F284" s="14"/>
      <c r="G284" s="6">
        <f>+SUM(E$9:$E284)-SUM(F$9:$F284)</f>
        <v>-641500</v>
      </c>
    </row>
    <row r="285" spans="1:7" ht="28.8" x14ac:dyDescent="0.55000000000000004">
      <c r="A285" s="12">
        <v>46098</v>
      </c>
      <c r="B285" s="13" t="s">
        <v>3522</v>
      </c>
      <c r="C285" s="10">
        <v>2</v>
      </c>
      <c r="D285" s="10">
        <v>27500</v>
      </c>
      <c r="E285" s="7">
        <f>+$I$2+(MANTPS[[#This Row],[QUANTITE]]*MANTPS[[#This Row],[PRIX UNITAIRE]])</f>
        <v>55000</v>
      </c>
      <c r="F285" s="14"/>
      <c r="G285" s="6">
        <f>+SUM(E$9:$E285)-SUM(F$9:$F285)</f>
        <v>-586500</v>
      </c>
    </row>
    <row r="286" spans="1:7" ht="28.8" x14ac:dyDescent="0.55000000000000004">
      <c r="A286" s="12">
        <v>46099</v>
      </c>
      <c r="B286" s="13" t="s">
        <v>3525</v>
      </c>
      <c r="C286" s="10">
        <v>2</v>
      </c>
      <c r="D286" s="10">
        <v>27500</v>
      </c>
      <c r="E286" s="7">
        <f>+$I$2+(MANTPS[[#This Row],[QUANTITE]]*MANTPS[[#This Row],[PRIX UNITAIRE]])</f>
        <v>55000</v>
      </c>
      <c r="F286" s="14"/>
      <c r="G286" s="6">
        <f>+SUM(E$9:$E286)-SUM(F$9:$F286)</f>
        <v>-531500</v>
      </c>
    </row>
    <row r="287" spans="1:7" ht="28.8" x14ac:dyDescent="0.55000000000000004">
      <c r="A287" s="12"/>
      <c r="B287" s="13"/>
      <c r="C287" s="10"/>
      <c r="D287" s="10"/>
      <c r="E287" s="7">
        <f>+$I$2+(MANTPS[[#This Row],[QUANTITE]]*MANTPS[[#This Row],[PRIX UNITAIRE]])</f>
        <v>0</v>
      </c>
      <c r="F287" s="14"/>
      <c r="G287" s="6">
        <f>+SUM(E$9:$E287)-SUM(F$9:$F287)</f>
        <v>-531500</v>
      </c>
    </row>
    <row r="288" spans="1:7" ht="28.8" x14ac:dyDescent="0.55000000000000004">
      <c r="A288" s="12"/>
      <c r="B288" s="13"/>
      <c r="C288" s="10"/>
      <c r="D288" s="10"/>
      <c r="E288" s="7">
        <f>+$I$2+(MANTPS[[#This Row],[QUANTITE]]*MANTPS[[#This Row],[PRIX UNITAIRE]])</f>
        <v>0</v>
      </c>
      <c r="F288" s="14"/>
      <c r="G288" s="6">
        <f>+SUM(E$9:$E288)-SUM(F$9:$F288)</f>
        <v>-531500</v>
      </c>
    </row>
    <row r="289" spans="1:7" ht="28.8" x14ac:dyDescent="0.55000000000000004">
      <c r="A289" s="12"/>
      <c r="B289" s="13"/>
      <c r="C289" s="10"/>
      <c r="D289" s="10"/>
      <c r="E289" s="7">
        <f>+$I$2+(MANTPS[[#This Row],[QUANTITE]]*MANTPS[[#This Row],[PRIX UNITAIRE]])</f>
        <v>0</v>
      </c>
      <c r="F289" s="14"/>
      <c r="G289" s="6">
        <f>+SUM(E$9:$E289)-SUM(F$9:$F289)</f>
        <v>-531500</v>
      </c>
    </row>
    <row r="290" spans="1:7" ht="28.8" x14ac:dyDescent="0.55000000000000004">
      <c r="A290" s="12"/>
      <c r="B290" s="13"/>
      <c r="C290" s="10"/>
      <c r="D290" s="10"/>
      <c r="E290" s="7">
        <f>+$I$2+(MANTPS[[#This Row],[QUANTITE]]*MANTPS[[#This Row],[PRIX UNITAIRE]])</f>
        <v>0</v>
      </c>
      <c r="F290" s="14"/>
      <c r="G290" s="6">
        <f>+SUM(E$9:$E290)-SUM(F$9:$F290)</f>
        <v>-531500</v>
      </c>
    </row>
    <row r="291" spans="1:7" ht="28.8" x14ac:dyDescent="0.55000000000000004">
      <c r="A291" s="12"/>
      <c r="B291" s="13"/>
      <c r="C291" s="10">
        <v>0</v>
      </c>
      <c r="D291" s="10">
        <v>0</v>
      </c>
      <c r="E291" s="7">
        <v>0</v>
      </c>
      <c r="F291" s="14"/>
      <c r="G291" s="6">
        <f>+SUM(E$9:$E291)-SUM(F$9:$F291)</f>
        <v>-531500</v>
      </c>
    </row>
  </sheetData>
  <sheetProtection selectLockedCells="1" autoFilter="0"/>
  <mergeCells count="1">
    <mergeCell ref="B6:C6"/>
  </mergeCells>
  <conditionalFormatting sqref="B9:B291">
    <cfRule type="expression" dxfId="809" priority="5">
      <formula>$F9</formula>
    </cfRule>
  </conditionalFormatting>
  <conditionalFormatting sqref="G4">
    <cfRule type="cellIs" dxfId="808" priority="2" operator="lessThan">
      <formula>0</formula>
    </cfRule>
    <cfRule type="cellIs" dxfId="807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291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/>
  <dimension ref="A1:I71"/>
  <sheetViews>
    <sheetView showGridLines="0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6.4414062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+SUM(HACHICHINDIEN[TOTAL MONTANT])</f>
        <v>940000</v>
      </c>
      <c r="F4" s="41">
        <f>+SUM(HACHICHINDIEN[VERSEMENT])</f>
        <v>940000</v>
      </c>
      <c r="G4" s="130">
        <f>+E4-F4</f>
        <v>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393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45779</v>
      </c>
      <c r="B9" s="13" t="s">
        <v>394</v>
      </c>
      <c r="C9" s="10">
        <v>6</v>
      </c>
      <c r="D9" s="10">
        <v>130000</v>
      </c>
      <c r="E9" s="7">
        <f>+$I$2+(HACHICHINDIEN[[#This Row],[QUANTITE]]*HACHICHINDIEN[[#This Row],[PRIX UNITAIRE]])</f>
        <v>780000</v>
      </c>
      <c r="F9" s="20"/>
      <c r="G9" s="6">
        <f>+SUM(E$9:$E9)-SUM(F$9:$F9)</f>
        <v>780000</v>
      </c>
    </row>
    <row r="10" spans="1:9" ht="28.8" x14ac:dyDescent="0.55000000000000004">
      <c r="A10" s="12">
        <v>45779</v>
      </c>
      <c r="B10" s="13" t="s">
        <v>395</v>
      </c>
      <c r="C10" s="11">
        <v>1</v>
      </c>
      <c r="D10" s="11">
        <v>70000</v>
      </c>
      <c r="E10" s="7">
        <f>+$I$2+(HACHICHINDIEN[[#This Row],[QUANTITE]]*HACHICHINDIEN[[#This Row],[PRIX UNITAIRE]])</f>
        <v>70000</v>
      </c>
      <c r="F10" s="14"/>
      <c r="G10" s="8">
        <f>+HACHICHINDIEN[[#This Row],[TOTAL MONTANT]]-HACHICHINDIEN[[#This Row],[VERSEMENT]]</f>
        <v>70000</v>
      </c>
    </row>
    <row r="11" spans="1:9" ht="28.8" x14ac:dyDescent="0.55000000000000004">
      <c r="A11" s="12">
        <v>45779</v>
      </c>
      <c r="B11" s="13" t="s">
        <v>396</v>
      </c>
      <c r="C11" s="11">
        <v>2</v>
      </c>
      <c r="D11" s="11">
        <v>45000</v>
      </c>
      <c r="E11" s="7">
        <f>+$I$2+(HACHICHINDIEN[[#This Row],[QUANTITE]]*HACHICHINDIEN[[#This Row],[PRIX UNITAIRE]])</f>
        <v>90000</v>
      </c>
      <c r="F11" s="14"/>
      <c r="G11" s="8">
        <f>+HACHICHINDIEN[[#This Row],[TOTAL MONTANT]]-HACHICHINDIEN[[#This Row],[VERSEMENT]]</f>
        <v>90000</v>
      </c>
    </row>
    <row r="12" spans="1:9" ht="28.8" x14ac:dyDescent="0.55000000000000004">
      <c r="A12" s="12"/>
      <c r="B12" s="13"/>
      <c r="C12" s="10"/>
      <c r="D12" s="10"/>
      <c r="E12" s="7">
        <f>+$I$2+(HACHICHINDIEN[[#This Row],[QUANTITE]]*HACHICHINDIEN[[#This Row],[PRIX UNITAIRE]])</f>
        <v>0</v>
      </c>
      <c r="F12" s="14">
        <v>940000</v>
      </c>
      <c r="G12" s="6">
        <f>+HACHICHINDIEN[[#This Row],[TOTAL MONTANT]]-HACHICHINDIEN[[#This Row],[VERSEMENT]]</f>
        <v>-940000</v>
      </c>
    </row>
    <row r="13" spans="1:9" ht="28.8" x14ac:dyDescent="0.55000000000000004">
      <c r="A13" s="12"/>
      <c r="B13" s="13"/>
      <c r="C13" s="10"/>
      <c r="D13" s="10"/>
      <c r="E13" s="7">
        <f>+$I$2+(HACHICHINDIEN[[#This Row],[QUANTITE]]*HACHICHINDIEN[[#This Row],[PRIX UNITAIRE]])</f>
        <v>0</v>
      </c>
      <c r="F13" s="14"/>
      <c r="G13" s="6">
        <f>+HACHICHINDIEN[[#This Row],[TOTAL MONTANT]]-HACHICHINDIEN[[#This Row],[VERSEMENT]]</f>
        <v>0</v>
      </c>
    </row>
    <row r="14" spans="1:9" ht="28.8" x14ac:dyDescent="0.55000000000000004">
      <c r="A14" s="12"/>
      <c r="B14" s="13"/>
      <c r="C14" s="10"/>
      <c r="D14" s="10"/>
      <c r="E14" s="7">
        <f>+$I$2+(HACHICHINDIEN[[#This Row],[QUANTITE]]*HACHICHINDIEN[[#This Row],[PRIX UNITAIRE]])</f>
        <v>0</v>
      </c>
      <c r="F14" s="14"/>
      <c r="G14" s="6">
        <f>+HACHICHINDIEN[[#This Row],[TOTAL MONTANT]]-HACHICHINDIEN[[#This Row],[VERSEMENT]]</f>
        <v>0</v>
      </c>
    </row>
    <row r="15" spans="1:9" ht="28.8" x14ac:dyDescent="0.55000000000000004">
      <c r="A15" s="12"/>
      <c r="B15" s="13"/>
      <c r="C15" s="10"/>
      <c r="D15" s="10"/>
      <c r="E15" s="7">
        <f>+$I$2+(HACHICHINDIEN[[#This Row],[QUANTITE]]*HACHICHINDIEN[[#This Row],[PRIX UNITAIRE]])</f>
        <v>0</v>
      </c>
      <c r="F15" s="14"/>
      <c r="G15" s="6">
        <f>+HACHICHINDIEN[[#This Row],[TOTAL MONTANT]]-HACHICHINDIEN[[#This Row],[VERSEMENT]]</f>
        <v>0</v>
      </c>
    </row>
    <row r="16" spans="1:9" ht="28.8" x14ac:dyDescent="0.55000000000000004">
      <c r="A16" s="12"/>
      <c r="B16" s="13"/>
      <c r="C16" s="10"/>
      <c r="D16" s="10"/>
      <c r="E16" s="7">
        <f>+$I$2+(HACHICHINDIEN[[#This Row],[QUANTITE]]*HACHICHINDIEN[[#This Row],[PRIX UNITAIRE]])</f>
        <v>0</v>
      </c>
      <c r="F16" s="14"/>
      <c r="G16" s="6">
        <f>+HACHICHINDIEN[[#This Row],[TOTAL MONTANT]]-HACHICHINDIEN[[#This Row],[VERSEMENT]]</f>
        <v>0</v>
      </c>
    </row>
    <row r="17" spans="1:7" ht="28.8" x14ac:dyDescent="0.55000000000000004">
      <c r="A17" s="12"/>
      <c r="B17" s="13"/>
      <c r="C17" s="10"/>
      <c r="D17" s="10"/>
      <c r="E17" s="7">
        <f>+$I$2+(HACHICHINDIEN[[#This Row],[QUANTITE]]*HACHICHINDIEN[[#This Row],[PRIX UNITAIRE]])</f>
        <v>0</v>
      </c>
      <c r="F17" s="14"/>
      <c r="G17" s="6">
        <f>+HACHICHINDIEN[[#This Row],[TOTAL MONTANT]]-HACHICHINDIEN[[#This Row],[VERSEMENT]]</f>
        <v>0</v>
      </c>
    </row>
    <row r="18" spans="1:7" ht="28.8" x14ac:dyDescent="0.55000000000000004">
      <c r="A18" s="12"/>
      <c r="B18" s="13"/>
      <c r="C18" s="10"/>
      <c r="D18" s="10"/>
      <c r="E18" s="7">
        <f>+$I$2+(HACHICHINDIEN[[#This Row],[QUANTITE]]*HACHICHINDIEN[[#This Row],[PRIX UNITAIRE]])</f>
        <v>0</v>
      </c>
      <c r="F18" s="14"/>
      <c r="G18" s="6">
        <f>+HACHICHINDIEN[[#This Row],[TOTAL MONTANT]]-HACHICHINDIEN[[#This Row],[VERSEMENT]]</f>
        <v>0</v>
      </c>
    </row>
    <row r="19" spans="1:7" ht="28.8" x14ac:dyDescent="0.55000000000000004">
      <c r="A19" s="12"/>
      <c r="B19" s="13"/>
      <c r="C19" s="10"/>
      <c r="D19" s="10"/>
      <c r="E19" s="7">
        <f>+$I$2+(HACHICHINDIEN[[#This Row],[QUANTITE]]*HACHICHINDIEN[[#This Row],[PRIX UNITAIRE]])</f>
        <v>0</v>
      </c>
      <c r="F19" s="14"/>
      <c r="G19" s="6">
        <f>+HACHICHINDIEN[[#This Row],[TOTAL MONTANT]]-HACHICHINDIEN[[#This Row],[VERSEMENT]]</f>
        <v>0</v>
      </c>
    </row>
    <row r="20" spans="1:7" ht="28.8" x14ac:dyDescent="0.55000000000000004">
      <c r="A20" s="12"/>
      <c r="B20" s="13"/>
      <c r="C20" s="10"/>
      <c r="D20" s="10"/>
      <c r="E20" s="7">
        <f>+$I$2+(HACHICHINDIEN[[#This Row],[QUANTITE]]*HACHICHINDIEN[[#This Row],[PRIX UNITAIRE]])</f>
        <v>0</v>
      </c>
      <c r="F20" s="14"/>
      <c r="G20" s="6">
        <f>+HACHICHINDIEN[[#This Row],[TOTAL MONTANT]]-HACHICHINDIEN[[#This Row],[VERSEMENT]]</f>
        <v>0</v>
      </c>
    </row>
    <row r="21" spans="1:7" ht="28.8" x14ac:dyDescent="0.55000000000000004">
      <c r="A21" s="12"/>
      <c r="B21" s="13"/>
      <c r="C21" s="10"/>
      <c r="D21" s="10"/>
      <c r="E21" s="7">
        <f>+$I$2+(HACHICHINDIEN[[#This Row],[QUANTITE]]*HACHICHINDIEN[[#This Row],[PRIX UNITAIRE]])</f>
        <v>0</v>
      </c>
      <c r="F21" s="14"/>
      <c r="G21" s="6">
        <f>+HACHICHINDIEN[[#This Row],[TOTAL MONTANT]]-HACHICHINDIEN[[#This Row],[VERSEMENT]]</f>
        <v>0</v>
      </c>
    </row>
    <row r="22" spans="1:7" ht="28.8" x14ac:dyDescent="0.55000000000000004">
      <c r="A22" s="12"/>
      <c r="B22" s="13"/>
      <c r="C22" s="10"/>
      <c r="D22" s="10"/>
      <c r="E22" s="7">
        <f>+$I$2+(HACHICHINDIEN[[#This Row],[QUANTITE]]*HACHICHINDIEN[[#This Row],[PRIX UNITAIRE]])</f>
        <v>0</v>
      </c>
      <c r="F22" s="14"/>
      <c r="G22" s="6">
        <f>+HACHICHINDIEN[[#This Row],[TOTAL MONTANT]]-HACHICHINDIEN[[#This Row],[VERSEMENT]]</f>
        <v>0</v>
      </c>
    </row>
    <row r="23" spans="1:7" ht="28.8" x14ac:dyDescent="0.55000000000000004">
      <c r="A23" s="12"/>
      <c r="B23" s="13"/>
      <c r="C23" s="10"/>
      <c r="D23" s="10"/>
      <c r="E23" s="7">
        <f>+$I$2+(HACHICHINDIEN[[#This Row],[QUANTITE]]*HACHICHINDIEN[[#This Row],[PRIX UNITAIRE]])</f>
        <v>0</v>
      </c>
      <c r="F23" s="14"/>
      <c r="G23" s="6">
        <f>+HACHICHINDIEN[[#This Row],[TOTAL MONTANT]]-HACHICHINDIEN[[#This Row],[VERSEMENT]]</f>
        <v>0</v>
      </c>
    </row>
    <row r="24" spans="1:7" ht="28.8" x14ac:dyDescent="0.55000000000000004">
      <c r="A24" s="12"/>
      <c r="B24" s="13"/>
      <c r="C24" s="10"/>
      <c r="D24" s="10"/>
      <c r="E24" s="7">
        <f>+$I$2+(HACHICHINDIEN[[#This Row],[QUANTITE]]*HACHICHINDIEN[[#This Row],[PRIX UNITAIRE]])</f>
        <v>0</v>
      </c>
      <c r="F24" s="14"/>
      <c r="G24" s="6">
        <f>+HACHICHINDIEN[[#This Row],[TOTAL MONTANT]]-HACHICHINDIEN[[#This Row],[VERSEMENT]]</f>
        <v>0</v>
      </c>
    </row>
    <row r="25" spans="1:7" ht="28.8" x14ac:dyDescent="0.55000000000000004">
      <c r="A25" s="12"/>
      <c r="B25" s="13"/>
      <c r="C25" s="10"/>
      <c r="D25" s="10"/>
      <c r="E25" s="7">
        <f>+$I$2+(HACHICHINDIEN[[#This Row],[QUANTITE]]*HACHICHINDIEN[[#This Row],[PRIX UNITAIRE]])</f>
        <v>0</v>
      </c>
      <c r="F25" s="14"/>
      <c r="G25" s="6">
        <f>+HACHICHINDIEN[[#This Row],[TOTAL MONTANT]]-HACHICHINDIEN[[#This Row],[VERSEMENT]]</f>
        <v>0</v>
      </c>
    </row>
    <row r="26" spans="1:7" ht="28.8" x14ac:dyDescent="0.55000000000000004">
      <c r="A26" s="12"/>
      <c r="B26" s="13"/>
      <c r="C26" s="10"/>
      <c r="D26" s="10"/>
      <c r="E26" s="7">
        <f>+$I$2+(HACHICHINDIEN[[#This Row],[QUANTITE]]*HACHICHINDIEN[[#This Row],[PRIX UNITAIRE]])</f>
        <v>0</v>
      </c>
      <c r="F26" s="14"/>
      <c r="G26" s="6">
        <f>+HACHICHINDIEN[[#This Row],[TOTAL MONTANT]]-HACHICHINDIEN[[#This Row],[VERSEMENT]]</f>
        <v>0</v>
      </c>
    </row>
    <row r="27" spans="1:7" ht="28.8" x14ac:dyDescent="0.55000000000000004">
      <c r="A27" s="12"/>
      <c r="B27" s="13"/>
      <c r="C27" s="10"/>
      <c r="D27" s="10"/>
      <c r="E27" s="7">
        <f>+$I$2+(HACHICHINDIEN[[#This Row],[QUANTITE]]*HACHICHINDIEN[[#This Row],[PRIX UNITAIRE]])</f>
        <v>0</v>
      </c>
      <c r="F27" s="14"/>
      <c r="G27" s="6">
        <f>+HACHICHINDIEN[[#This Row],[TOTAL MONTANT]]-HACHICHINDIEN[[#This Row],[VERSEMENT]]</f>
        <v>0</v>
      </c>
    </row>
    <row r="28" spans="1:7" ht="28.8" x14ac:dyDescent="0.55000000000000004">
      <c r="A28" s="12"/>
      <c r="B28" s="13"/>
      <c r="C28" s="10"/>
      <c r="D28" s="10"/>
      <c r="E28" s="7">
        <f>+$I$2+(HACHICHINDIEN[[#This Row],[QUANTITE]]*HACHICHINDIEN[[#This Row],[PRIX UNITAIRE]])</f>
        <v>0</v>
      </c>
      <c r="F28" s="14"/>
      <c r="G28" s="6">
        <f>+HACHICHINDIEN[[#This Row],[TOTAL MONTANT]]-HACHICHINDIEN[[#This Row],[VERSEMENT]]</f>
        <v>0</v>
      </c>
    </row>
    <row r="29" spans="1:7" ht="28.8" x14ac:dyDescent="0.55000000000000004">
      <c r="A29" s="12"/>
      <c r="B29" s="13"/>
      <c r="C29" s="10"/>
      <c r="D29" s="10"/>
      <c r="E29" s="7">
        <f>+$I$2+(HACHICHINDIEN[[#This Row],[QUANTITE]]*HACHICHINDIEN[[#This Row],[PRIX UNITAIRE]])</f>
        <v>0</v>
      </c>
      <c r="F29" s="14"/>
      <c r="G29" s="6">
        <f>+HACHICHINDIEN[[#This Row],[TOTAL MONTANT]]-HACHICHINDIEN[[#This Row],[VERSEMENT]]</f>
        <v>0</v>
      </c>
    </row>
    <row r="30" spans="1:7" ht="28.8" x14ac:dyDescent="0.55000000000000004">
      <c r="A30" s="12"/>
      <c r="B30" s="13"/>
      <c r="C30" s="10"/>
      <c r="D30" s="10"/>
      <c r="E30" s="7">
        <f>+$I$2+(HACHICHINDIEN[[#This Row],[QUANTITE]]*HACHICHINDIEN[[#This Row],[PRIX UNITAIRE]])</f>
        <v>0</v>
      </c>
      <c r="F30" s="14"/>
      <c r="G30" s="6">
        <f>+HACHICHINDIEN[[#This Row],[TOTAL MONTANT]]-HACHICHINDIEN[[#This Row],[VERSEMENT]]</f>
        <v>0</v>
      </c>
    </row>
    <row r="31" spans="1:7" ht="28.8" x14ac:dyDescent="0.55000000000000004">
      <c r="A31" s="12"/>
      <c r="B31" s="13"/>
      <c r="C31" s="10"/>
      <c r="D31" s="10"/>
      <c r="E31" s="7">
        <f>+$I$2+(HACHICHINDIEN[[#This Row],[QUANTITE]]*HACHICHINDIEN[[#This Row],[PRIX UNITAIRE]])</f>
        <v>0</v>
      </c>
      <c r="F31" s="14"/>
      <c r="G31" s="6">
        <f>+HACHICHINDIEN[[#This Row],[TOTAL MONTANT]]-HACHICHINDIEN[[#This Row],[VERSEMENT]]</f>
        <v>0</v>
      </c>
    </row>
    <row r="32" spans="1:7" ht="28.8" x14ac:dyDescent="0.55000000000000004">
      <c r="A32" s="12"/>
      <c r="B32" s="13"/>
      <c r="C32" s="10"/>
      <c r="D32" s="10"/>
      <c r="E32" s="7">
        <f>+$I$2+(HACHICHINDIEN[[#This Row],[QUANTITE]]*HACHICHINDIEN[[#This Row],[PRIX UNITAIRE]])</f>
        <v>0</v>
      </c>
      <c r="F32" s="14"/>
      <c r="G32" s="6">
        <f>+HACHICHINDIEN[[#This Row],[TOTAL MONTANT]]-HACHICHINDIEN[[#This Row],[VERSEMENT]]</f>
        <v>0</v>
      </c>
    </row>
    <row r="33" spans="1:7" ht="28.8" x14ac:dyDescent="0.55000000000000004">
      <c r="A33" s="12"/>
      <c r="B33" s="13"/>
      <c r="C33" s="10"/>
      <c r="D33" s="10"/>
      <c r="E33" s="7">
        <f>+$I$2+(HACHICHINDIEN[[#This Row],[QUANTITE]]*HACHICHINDIEN[[#This Row],[PRIX UNITAIRE]])</f>
        <v>0</v>
      </c>
      <c r="F33" s="14"/>
      <c r="G33" s="6">
        <f>+HACHICHINDIEN[[#This Row],[TOTAL MONTANT]]-HACHICHINDIEN[[#This Row],[VERSEMENT]]</f>
        <v>0</v>
      </c>
    </row>
    <row r="34" spans="1:7" ht="28.8" x14ac:dyDescent="0.55000000000000004">
      <c r="A34" s="12"/>
      <c r="B34" s="13"/>
      <c r="C34" s="10"/>
      <c r="D34" s="10"/>
      <c r="E34" s="7">
        <f>+$I$2+(HACHICHINDIEN[[#This Row],[QUANTITE]]*HACHICHINDIEN[[#This Row],[PRIX UNITAIRE]])</f>
        <v>0</v>
      </c>
      <c r="F34" s="14"/>
      <c r="G34" s="6">
        <f>+HACHICHINDIEN[[#This Row],[TOTAL MONTANT]]-HACHICHINDIEN[[#This Row],[VERSEMENT]]</f>
        <v>0</v>
      </c>
    </row>
    <row r="35" spans="1:7" ht="28.8" x14ac:dyDescent="0.55000000000000004">
      <c r="A35" s="12"/>
      <c r="B35" s="13"/>
      <c r="C35" s="10"/>
      <c r="D35" s="10"/>
      <c r="E35" s="7">
        <f>+$I$2+(HACHICHINDIEN[[#This Row],[QUANTITE]]*HACHICHINDIEN[[#This Row],[PRIX UNITAIRE]])</f>
        <v>0</v>
      </c>
      <c r="F35" s="14"/>
      <c r="G35" s="6">
        <f>+HACHICHINDIEN[[#This Row],[TOTAL MONTANT]]-HACHICHINDIEN[[#This Row],[VERSEMENT]]</f>
        <v>0</v>
      </c>
    </row>
    <row r="36" spans="1:7" ht="28.8" x14ac:dyDescent="0.55000000000000004">
      <c r="A36" s="12"/>
      <c r="B36" s="13"/>
      <c r="C36" s="10"/>
      <c r="D36" s="10"/>
      <c r="E36" s="7">
        <f>+$I$2+(HACHICHINDIEN[[#This Row],[QUANTITE]]*HACHICHINDIEN[[#This Row],[PRIX UNITAIRE]])</f>
        <v>0</v>
      </c>
      <c r="F36" s="14"/>
      <c r="G36" s="6">
        <f>+HACHICHINDIEN[[#This Row],[TOTAL MONTANT]]-HACHICHINDIEN[[#This Row],[VERSEMENT]]</f>
        <v>0</v>
      </c>
    </row>
    <row r="37" spans="1:7" ht="28.8" x14ac:dyDescent="0.55000000000000004">
      <c r="A37" s="12"/>
      <c r="B37" s="13"/>
      <c r="C37" s="10"/>
      <c r="D37" s="10"/>
      <c r="E37" s="7">
        <f>+$I$2+(HACHICHINDIEN[[#This Row],[QUANTITE]]*HACHICHINDIEN[[#This Row],[PRIX UNITAIRE]])</f>
        <v>0</v>
      </c>
      <c r="F37" s="14"/>
      <c r="G37" s="6">
        <f>+HACHICHINDIEN[[#This Row],[TOTAL MONTANT]]-HACHICHINDIEN[[#This Row],[VERSEMENT]]</f>
        <v>0</v>
      </c>
    </row>
    <row r="38" spans="1:7" ht="28.8" x14ac:dyDescent="0.55000000000000004">
      <c r="A38" s="12"/>
      <c r="B38" s="13"/>
      <c r="C38" s="10"/>
      <c r="D38" s="10"/>
      <c r="E38" s="7">
        <f>+$I$2+(HACHICHINDIEN[[#This Row],[QUANTITE]]*HACHICHINDIEN[[#This Row],[PRIX UNITAIRE]])</f>
        <v>0</v>
      </c>
      <c r="F38" s="14"/>
      <c r="G38" s="6">
        <f>+HACHICHINDIEN[[#This Row],[TOTAL MONTANT]]-HACHICHINDIEN[[#This Row],[VERSEMENT]]</f>
        <v>0</v>
      </c>
    </row>
    <row r="39" spans="1:7" ht="28.8" x14ac:dyDescent="0.55000000000000004">
      <c r="A39" s="12"/>
      <c r="B39" s="13"/>
      <c r="C39" s="10"/>
      <c r="D39" s="10"/>
      <c r="E39" s="7">
        <f>+$I$2+(HACHICHINDIEN[[#This Row],[QUANTITE]]*HACHICHINDIEN[[#This Row],[PRIX UNITAIRE]])</f>
        <v>0</v>
      </c>
      <c r="F39" s="14"/>
      <c r="G39" s="6">
        <f>+HACHICHINDIEN[[#This Row],[TOTAL MONTANT]]-HACHICHINDIEN[[#This Row],[VERSEMENT]]</f>
        <v>0</v>
      </c>
    </row>
    <row r="40" spans="1:7" ht="28.8" x14ac:dyDescent="0.55000000000000004">
      <c r="A40" s="12"/>
      <c r="B40" s="13"/>
      <c r="C40" s="10"/>
      <c r="D40" s="10"/>
      <c r="E40" s="7">
        <f>+$I$2+(HACHICHINDIEN[[#This Row],[QUANTITE]]*HACHICHINDIEN[[#This Row],[PRIX UNITAIRE]])</f>
        <v>0</v>
      </c>
      <c r="F40" s="14"/>
      <c r="G40" s="6">
        <f>+HACHICHINDIEN[[#This Row],[TOTAL MONTANT]]-HACHICHINDIEN[[#This Row],[VERSEMENT]]</f>
        <v>0</v>
      </c>
    </row>
    <row r="41" spans="1:7" ht="28.8" x14ac:dyDescent="0.55000000000000004">
      <c r="A41" s="12"/>
      <c r="B41" s="13"/>
      <c r="C41" s="10"/>
      <c r="D41" s="10"/>
      <c r="E41" s="7">
        <f>+$I$2+(HACHICHINDIEN[[#This Row],[QUANTITE]]*HACHICHINDIEN[[#This Row],[PRIX UNITAIRE]])</f>
        <v>0</v>
      </c>
      <c r="F41" s="14"/>
      <c r="G41" s="6">
        <f>+HACHICHINDIEN[[#This Row],[TOTAL MONTANT]]-HACHICHINDIEN[[#This Row],[VERSEMENT]]</f>
        <v>0</v>
      </c>
    </row>
    <row r="42" spans="1:7" ht="28.8" x14ac:dyDescent="0.55000000000000004">
      <c r="A42" s="12"/>
      <c r="B42" s="13"/>
      <c r="C42" s="10"/>
      <c r="D42" s="10"/>
      <c r="E42" s="7">
        <f>+$I$2+(HACHICHINDIEN[[#This Row],[QUANTITE]]*HACHICHINDIEN[[#This Row],[PRIX UNITAIRE]])</f>
        <v>0</v>
      </c>
      <c r="F42" s="14"/>
      <c r="G42" s="6">
        <f>+HACHICHINDIEN[[#This Row],[TOTAL MONTANT]]-HACHICHINDIEN[[#This Row],[VERSEMENT]]</f>
        <v>0</v>
      </c>
    </row>
    <row r="43" spans="1:7" ht="28.8" x14ac:dyDescent="0.55000000000000004">
      <c r="A43" s="12"/>
      <c r="B43" s="13"/>
      <c r="C43" s="10"/>
      <c r="D43" s="10"/>
      <c r="E43" s="7">
        <f>+$I$2+(HACHICHINDIEN[[#This Row],[QUANTITE]]*HACHICHINDIEN[[#This Row],[PRIX UNITAIRE]])</f>
        <v>0</v>
      </c>
      <c r="F43" s="14"/>
      <c r="G43" s="6">
        <f>+HACHICHINDIEN[[#This Row],[TOTAL MONTANT]]-HACHICHINDIEN[[#This Row],[VERSEMENT]]</f>
        <v>0</v>
      </c>
    </row>
    <row r="44" spans="1:7" ht="28.8" x14ac:dyDescent="0.55000000000000004">
      <c r="A44" s="12"/>
      <c r="B44" s="13"/>
      <c r="C44" s="10"/>
      <c r="D44" s="10"/>
      <c r="E44" s="7">
        <f>+$I$2+(HACHICHINDIEN[[#This Row],[QUANTITE]]*HACHICHINDIEN[[#This Row],[PRIX UNITAIRE]])</f>
        <v>0</v>
      </c>
      <c r="F44" s="14"/>
      <c r="G44" s="6">
        <f>+HACHICHINDIEN[[#This Row],[TOTAL MONTANT]]-HACHICHINDIEN[[#This Row],[VERSEMENT]]</f>
        <v>0</v>
      </c>
    </row>
    <row r="45" spans="1:7" ht="28.8" x14ac:dyDescent="0.55000000000000004">
      <c r="A45" s="12"/>
      <c r="B45" s="13"/>
      <c r="C45" s="10"/>
      <c r="D45" s="10"/>
      <c r="E45" s="7">
        <f>+$I$2+(HACHICHINDIEN[[#This Row],[QUANTITE]]*HACHICHINDIEN[[#This Row],[PRIX UNITAIRE]])</f>
        <v>0</v>
      </c>
      <c r="F45" s="14"/>
      <c r="G45" s="6">
        <f>+HACHICHINDIEN[[#This Row],[TOTAL MONTANT]]-HACHICHINDIEN[[#This Row],[VERSEMENT]]</f>
        <v>0</v>
      </c>
    </row>
    <row r="46" spans="1:7" ht="28.8" x14ac:dyDescent="0.55000000000000004">
      <c r="A46" s="12"/>
      <c r="B46" s="13"/>
      <c r="C46" s="10"/>
      <c r="D46" s="10"/>
      <c r="E46" s="7">
        <f>+$I$2+(HACHICHINDIEN[[#This Row],[QUANTITE]]*HACHICHINDIEN[[#This Row],[PRIX UNITAIRE]])</f>
        <v>0</v>
      </c>
      <c r="F46" s="14"/>
      <c r="G46" s="6">
        <f>+HACHICHINDIEN[[#This Row],[TOTAL MONTANT]]-HACHICHINDIEN[[#This Row],[VERSEMENT]]</f>
        <v>0</v>
      </c>
    </row>
    <row r="47" spans="1:7" ht="28.8" x14ac:dyDescent="0.55000000000000004">
      <c r="A47" s="12"/>
      <c r="B47" s="13"/>
      <c r="C47" s="10"/>
      <c r="D47" s="10"/>
      <c r="E47" s="7">
        <f>+$I$2+(HACHICHINDIEN[[#This Row],[QUANTITE]]*HACHICHINDIEN[[#This Row],[PRIX UNITAIRE]])</f>
        <v>0</v>
      </c>
      <c r="F47" s="14"/>
      <c r="G47" s="6">
        <f>+HACHICHINDIEN[[#This Row],[TOTAL MONTANT]]-HACHICHINDIEN[[#This Row],[VERSEMENT]]</f>
        <v>0</v>
      </c>
    </row>
    <row r="48" spans="1:7" ht="28.8" x14ac:dyDescent="0.55000000000000004">
      <c r="A48" s="12"/>
      <c r="B48" s="13"/>
      <c r="C48" s="10"/>
      <c r="D48" s="10"/>
      <c r="E48" s="7">
        <f>+$I$2+(HACHICHINDIEN[[#This Row],[QUANTITE]]*HACHICHINDIEN[[#This Row],[PRIX UNITAIRE]])</f>
        <v>0</v>
      </c>
      <c r="F48" s="14"/>
      <c r="G48" s="6">
        <f>+HACHICHINDIEN[[#This Row],[TOTAL MONTANT]]-HACHICHINDIEN[[#This Row],[VERSEMENT]]</f>
        <v>0</v>
      </c>
    </row>
    <row r="49" spans="1:7" ht="28.8" x14ac:dyDescent="0.55000000000000004">
      <c r="A49" s="12"/>
      <c r="B49" s="13"/>
      <c r="C49" s="10"/>
      <c r="D49" s="10"/>
      <c r="E49" s="7">
        <f>+$I$2+(HACHICHINDIEN[[#This Row],[QUANTITE]]*HACHICHINDIEN[[#This Row],[PRIX UNITAIRE]])</f>
        <v>0</v>
      </c>
      <c r="F49" s="14"/>
      <c r="G49" s="6">
        <f>+HACHICHINDIEN[[#This Row],[TOTAL MONTANT]]-HACHICHINDIEN[[#This Row],[VERSEMENT]]</f>
        <v>0</v>
      </c>
    </row>
    <row r="50" spans="1:7" ht="28.8" x14ac:dyDescent="0.55000000000000004">
      <c r="A50" s="12"/>
      <c r="B50" s="13"/>
      <c r="C50" s="10"/>
      <c r="D50" s="10"/>
      <c r="E50" s="7">
        <f>+$I$2+(HACHICHINDIEN[[#This Row],[QUANTITE]]*HACHICHINDIEN[[#This Row],[PRIX UNITAIRE]])</f>
        <v>0</v>
      </c>
      <c r="F50" s="14"/>
      <c r="G50" s="6">
        <f>+HACHICHINDIEN[[#This Row],[TOTAL MONTANT]]-HACHICHINDIEN[[#This Row],[VERSEMENT]]</f>
        <v>0</v>
      </c>
    </row>
    <row r="51" spans="1:7" ht="28.8" x14ac:dyDescent="0.55000000000000004">
      <c r="A51" s="12"/>
      <c r="B51" s="13"/>
      <c r="C51" s="10"/>
      <c r="D51" s="10"/>
      <c r="E51" s="7">
        <f>+$I$2+(HACHICHINDIEN[[#This Row],[QUANTITE]]*HACHICHINDIEN[[#This Row],[PRIX UNITAIRE]])</f>
        <v>0</v>
      </c>
      <c r="F51" s="14"/>
      <c r="G51" s="6">
        <f>+HACHICHINDIEN[[#This Row],[TOTAL MONTANT]]-HACHICHINDIEN[[#This Row],[VERSEMENT]]</f>
        <v>0</v>
      </c>
    </row>
    <row r="52" spans="1:7" ht="28.8" x14ac:dyDescent="0.55000000000000004">
      <c r="A52" s="12"/>
      <c r="B52" s="13"/>
      <c r="C52" s="10"/>
      <c r="D52" s="10"/>
      <c r="E52" s="7">
        <f>+$I$2+(HACHICHINDIEN[[#This Row],[QUANTITE]]*HACHICHINDIEN[[#This Row],[PRIX UNITAIRE]])</f>
        <v>0</v>
      </c>
      <c r="F52" s="14"/>
      <c r="G52" s="6">
        <f>+HACHICHINDIEN[[#This Row],[TOTAL MONTANT]]-HACHICHINDIEN[[#This Row],[VERSEMENT]]</f>
        <v>0</v>
      </c>
    </row>
    <row r="53" spans="1:7" ht="28.8" x14ac:dyDescent="0.55000000000000004">
      <c r="A53" s="12"/>
      <c r="B53" s="13"/>
      <c r="C53" s="10"/>
      <c r="D53" s="10"/>
      <c r="E53" s="7">
        <f>+$I$2+(HACHICHINDIEN[[#This Row],[QUANTITE]]*HACHICHINDIEN[[#This Row],[PRIX UNITAIRE]])</f>
        <v>0</v>
      </c>
      <c r="F53" s="14"/>
      <c r="G53" s="6">
        <f>+HACHICHINDIEN[[#This Row],[TOTAL MONTANT]]-HACHICHINDIEN[[#This Row],[VERSEMENT]]</f>
        <v>0</v>
      </c>
    </row>
    <row r="54" spans="1:7" ht="28.8" x14ac:dyDescent="0.55000000000000004">
      <c r="A54" s="12"/>
      <c r="B54" s="13"/>
      <c r="C54" s="10"/>
      <c r="D54" s="10"/>
      <c r="E54" s="7">
        <f>+$I$2+(HACHICHINDIEN[[#This Row],[QUANTITE]]*HACHICHINDIEN[[#This Row],[PRIX UNITAIRE]])</f>
        <v>0</v>
      </c>
      <c r="F54" s="14"/>
      <c r="G54" s="6">
        <f>+HACHICHINDIEN[[#This Row],[TOTAL MONTANT]]-HACHICHINDIEN[[#This Row],[VERSEMENT]]</f>
        <v>0</v>
      </c>
    </row>
    <row r="55" spans="1:7" ht="28.8" x14ac:dyDescent="0.55000000000000004">
      <c r="A55" s="12"/>
      <c r="B55" s="13"/>
      <c r="C55" s="10"/>
      <c r="D55" s="10"/>
      <c r="E55" s="7">
        <f>+$I$2+(HACHICHINDIEN[[#This Row],[QUANTITE]]*HACHICHINDIEN[[#This Row],[PRIX UNITAIRE]])</f>
        <v>0</v>
      </c>
      <c r="F55" s="14"/>
      <c r="G55" s="6">
        <f>+HACHICHINDIEN[[#This Row],[TOTAL MONTANT]]-HACHICHINDIEN[[#This Row],[VERSEMENT]]</f>
        <v>0</v>
      </c>
    </row>
    <row r="56" spans="1:7" ht="28.8" x14ac:dyDescent="0.55000000000000004">
      <c r="A56" s="12"/>
      <c r="B56" s="13"/>
      <c r="C56" s="10"/>
      <c r="D56" s="10"/>
      <c r="E56" s="7">
        <f>+$I$2+(HACHICHINDIEN[[#This Row],[QUANTITE]]*HACHICHINDIEN[[#This Row],[PRIX UNITAIRE]])</f>
        <v>0</v>
      </c>
      <c r="F56" s="14"/>
      <c r="G56" s="6">
        <f>+HACHICHINDIEN[[#This Row],[TOTAL MONTANT]]-HACHICHINDIEN[[#This Row],[VERSEMENT]]</f>
        <v>0</v>
      </c>
    </row>
    <row r="57" spans="1:7" ht="28.8" x14ac:dyDescent="0.55000000000000004">
      <c r="A57" s="12"/>
      <c r="B57" s="13"/>
      <c r="C57" s="10"/>
      <c r="D57" s="10"/>
      <c r="E57" s="7">
        <f>+$I$2+(HACHICHINDIEN[[#This Row],[QUANTITE]]*HACHICHINDIEN[[#This Row],[PRIX UNITAIRE]])</f>
        <v>0</v>
      </c>
      <c r="F57" s="14"/>
      <c r="G57" s="6">
        <f>+HACHICHINDIEN[[#This Row],[TOTAL MONTANT]]-HACHICHINDIEN[[#This Row],[VERSEMENT]]</f>
        <v>0</v>
      </c>
    </row>
    <row r="58" spans="1:7" ht="28.8" x14ac:dyDescent="0.55000000000000004">
      <c r="A58" s="12"/>
      <c r="B58" s="13"/>
      <c r="C58" s="10"/>
      <c r="D58" s="10"/>
      <c r="E58" s="7">
        <f>+$I$2+(HACHICHINDIEN[[#This Row],[QUANTITE]]*HACHICHINDIEN[[#This Row],[PRIX UNITAIRE]])</f>
        <v>0</v>
      </c>
      <c r="F58" s="14"/>
      <c r="G58" s="6">
        <f>+HACHICHINDIEN[[#This Row],[TOTAL MONTANT]]-HACHICHINDIEN[[#This Row],[VERSEMENT]]</f>
        <v>0</v>
      </c>
    </row>
    <row r="59" spans="1:7" ht="28.8" x14ac:dyDescent="0.55000000000000004">
      <c r="A59" s="12"/>
      <c r="B59" s="13"/>
      <c r="C59" s="10"/>
      <c r="D59" s="10"/>
      <c r="E59" s="7">
        <f>+$I$2+(HACHICHINDIEN[[#This Row],[QUANTITE]]*HACHICHINDIEN[[#This Row],[PRIX UNITAIRE]])</f>
        <v>0</v>
      </c>
      <c r="F59" s="14"/>
      <c r="G59" s="6">
        <f>+HACHICHINDIEN[[#This Row],[TOTAL MONTANT]]-HACHICHINDIEN[[#This Row],[VERSEMENT]]</f>
        <v>0</v>
      </c>
    </row>
    <row r="60" spans="1:7" ht="28.8" x14ac:dyDescent="0.55000000000000004">
      <c r="A60" s="12"/>
      <c r="B60" s="13"/>
      <c r="C60" s="10"/>
      <c r="D60" s="10"/>
      <c r="E60" s="7">
        <f>+$I$2+(HACHICHINDIEN[[#This Row],[QUANTITE]]*HACHICHINDIEN[[#This Row],[PRIX UNITAIRE]])</f>
        <v>0</v>
      </c>
      <c r="F60" s="14"/>
      <c r="G60" s="6">
        <f>+HACHICHINDIEN[[#This Row],[TOTAL MONTANT]]-HACHICHINDIEN[[#This Row],[VERSEMENT]]</f>
        <v>0</v>
      </c>
    </row>
    <row r="61" spans="1:7" ht="28.8" x14ac:dyDescent="0.55000000000000004">
      <c r="A61" s="12"/>
      <c r="B61" s="13"/>
      <c r="C61" s="10"/>
      <c r="D61" s="10"/>
      <c r="E61" s="7">
        <f>+$I$2+(HACHICHINDIEN[[#This Row],[QUANTITE]]*HACHICHINDIEN[[#This Row],[PRIX UNITAIRE]])</f>
        <v>0</v>
      </c>
      <c r="F61" s="14"/>
      <c r="G61" s="6">
        <f>+HACHICHINDIEN[[#This Row],[TOTAL MONTANT]]-HACHICHINDIEN[[#This Row],[VERSEMENT]]</f>
        <v>0</v>
      </c>
    </row>
    <row r="62" spans="1:7" ht="28.8" x14ac:dyDescent="0.55000000000000004">
      <c r="A62" s="12"/>
      <c r="B62" s="13"/>
      <c r="C62" s="10"/>
      <c r="D62" s="10"/>
      <c r="E62" s="7">
        <f>+$I$2+(HACHICHINDIEN[[#This Row],[QUANTITE]]*HACHICHINDIEN[[#This Row],[PRIX UNITAIRE]])</f>
        <v>0</v>
      </c>
      <c r="F62" s="14"/>
      <c r="G62" s="6">
        <f>+HACHICHINDIEN[[#This Row],[TOTAL MONTANT]]-HACHICHINDIEN[[#This Row],[VERSEMENT]]</f>
        <v>0</v>
      </c>
    </row>
    <row r="63" spans="1:7" ht="28.8" x14ac:dyDescent="0.55000000000000004">
      <c r="A63" s="12"/>
      <c r="B63" s="13"/>
      <c r="C63" s="10"/>
      <c r="D63" s="10"/>
      <c r="E63" s="7">
        <f>+$I$2+(HACHICHINDIEN[[#This Row],[QUANTITE]]*HACHICHINDIEN[[#This Row],[PRIX UNITAIRE]])</f>
        <v>0</v>
      </c>
      <c r="F63" s="14"/>
      <c r="G63" s="6">
        <f>+HACHICHINDIEN[[#This Row],[TOTAL MONTANT]]-HACHICHINDIEN[[#This Row],[VERSEMENT]]</f>
        <v>0</v>
      </c>
    </row>
    <row r="64" spans="1:7" ht="28.8" x14ac:dyDescent="0.55000000000000004">
      <c r="A64" s="12"/>
      <c r="B64" s="13"/>
      <c r="C64" s="10"/>
      <c r="D64" s="10"/>
      <c r="E64" s="7">
        <f>+$I$2+(HACHICHINDIEN[[#This Row],[QUANTITE]]*HACHICHINDIEN[[#This Row],[PRIX UNITAIRE]])</f>
        <v>0</v>
      </c>
      <c r="F64" s="14"/>
      <c r="G64" s="6">
        <f>+HACHICHINDIEN[[#This Row],[TOTAL MONTANT]]-HACHICHINDIEN[[#This Row],[VERSEMENT]]</f>
        <v>0</v>
      </c>
    </row>
    <row r="65" spans="1:7" ht="28.8" x14ac:dyDescent="0.55000000000000004">
      <c r="A65" s="12"/>
      <c r="B65" s="13"/>
      <c r="C65" s="10"/>
      <c r="D65" s="10"/>
      <c r="E65" s="7">
        <f>+$I$2+(HACHICHINDIEN[[#This Row],[QUANTITE]]*HACHICHINDIEN[[#This Row],[PRIX UNITAIRE]])</f>
        <v>0</v>
      </c>
      <c r="F65" s="14"/>
      <c r="G65" s="6">
        <f>+HACHICHINDIEN[[#This Row],[TOTAL MONTANT]]-HACHICHINDIEN[[#This Row],[VERSEMENT]]</f>
        <v>0</v>
      </c>
    </row>
    <row r="66" spans="1:7" ht="28.8" x14ac:dyDescent="0.55000000000000004">
      <c r="A66" s="12"/>
      <c r="B66" s="13"/>
      <c r="C66" s="10"/>
      <c r="D66" s="10"/>
      <c r="E66" s="7">
        <f>+$I$2+(HACHICHINDIEN[[#This Row],[QUANTITE]]*HACHICHINDIEN[[#This Row],[PRIX UNITAIRE]])</f>
        <v>0</v>
      </c>
      <c r="F66" s="14"/>
      <c r="G66" s="6">
        <f>+HACHICHINDIEN[[#This Row],[TOTAL MONTANT]]-HACHICHINDIEN[[#This Row],[VERSEMENT]]</f>
        <v>0</v>
      </c>
    </row>
    <row r="67" spans="1:7" ht="28.8" x14ac:dyDescent="0.55000000000000004">
      <c r="A67" s="12"/>
      <c r="B67" s="13"/>
      <c r="C67" s="10"/>
      <c r="D67" s="10"/>
      <c r="E67" s="7">
        <f>+$I$2+(HACHICHINDIEN[[#This Row],[QUANTITE]]*HACHICHINDIEN[[#This Row],[PRIX UNITAIRE]])</f>
        <v>0</v>
      </c>
      <c r="F67" s="14"/>
      <c r="G67" s="6">
        <f>+HACHICHINDIEN[[#This Row],[TOTAL MONTANT]]-HACHICHINDIEN[[#This Row],[VERSEMENT]]</f>
        <v>0</v>
      </c>
    </row>
    <row r="68" spans="1:7" ht="28.8" x14ac:dyDescent="0.55000000000000004">
      <c r="A68" s="12"/>
      <c r="B68" s="13"/>
      <c r="C68" s="10"/>
      <c r="D68" s="10"/>
      <c r="E68" s="7">
        <f>+$I$2+(HACHICHINDIEN[[#This Row],[QUANTITE]]*HACHICHINDIEN[[#This Row],[PRIX UNITAIRE]])</f>
        <v>0</v>
      </c>
      <c r="F68" s="14"/>
      <c r="G68" s="6">
        <f>+HACHICHINDIEN[[#This Row],[TOTAL MONTANT]]-HACHICHINDIEN[[#This Row],[VERSEMENT]]</f>
        <v>0</v>
      </c>
    </row>
    <row r="69" spans="1:7" ht="28.8" x14ac:dyDescent="0.55000000000000004">
      <c r="A69" s="12"/>
      <c r="B69" s="13"/>
      <c r="C69" s="10"/>
      <c r="D69" s="10"/>
      <c r="E69" s="7">
        <f>+$I$2+(HACHICHINDIEN[[#This Row],[QUANTITE]]*HACHICHINDIEN[[#This Row],[PRIX UNITAIRE]])</f>
        <v>0</v>
      </c>
      <c r="F69" s="14"/>
      <c r="G69" s="6">
        <f>+HACHICHINDIEN[[#This Row],[TOTAL MONTANT]]-HACHICHINDIEN[[#This Row],[VERSEMENT]]</f>
        <v>0</v>
      </c>
    </row>
    <row r="70" spans="1:7" ht="28.8" x14ac:dyDescent="0.55000000000000004">
      <c r="A70" s="12"/>
      <c r="B70" s="13"/>
      <c r="C70" s="10"/>
      <c r="D70" s="10"/>
      <c r="E70" s="7">
        <f>+$I$2+(HACHICHINDIEN[[#This Row],[QUANTITE]]*HACHICHINDIEN[[#This Row],[PRIX UNITAIRE]])</f>
        <v>0</v>
      </c>
      <c r="F70" s="14"/>
      <c r="G70" s="6">
        <f>+HACHICHINDIEN[[#This Row],[TOTAL MONTANT]]-HACHICHINDIEN[[#This Row],[VERSEMENT]]</f>
        <v>0</v>
      </c>
    </row>
    <row r="71" spans="1:7" ht="28.8" x14ac:dyDescent="0.55000000000000004">
      <c r="A71" s="12"/>
      <c r="B71" s="13"/>
      <c r="C71" s="10"/>
      <c r="D71" s="10"/>
      <c r="E71" s="7">
        <f>+$I$2+(HACHICHINDIEN[[#This Row],[QUANTITE]]*HACHICHINDIEN[[#This Row],[PRIX UNITAIRE]])</f>
        <v>0</v>
      </c>
      <c r="F71" s="14"/>
      <c r="G71" s="6">
        <f>+HACHICHINDIEN[[#This Row],[TOTAL MONTANT]]-HACHICHINDIEN[[#This Row],[VERSEMENT]]</f>
        <v>0</v>
      </c>
    </row>
  </sheetData>
  <sheetProtection selectLockedCells="1" autoFilter="0"/>
  <mergeCells count="1">
    <mergeCell ref="B6:C6"/>
  </mergeCells>
  <conditionalFormatting sqref="B9:B71">
    <cfRule type="expression" dxfId="790" priority="5">
      <formula>$F9</formula>
    </cfRule>
  </conditionalFormatting>
  <conditionalFormatting sqref="G4">
    <cfRule type="cellIs" dxfId="789" priority="2" operator="lessThan">
      <formula>0</formula>
    </cfRule>
    <cfRule type="cellIs" dxfId="788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71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/>
  <dimension ref="A1:I69"/>
  <sheetViews>
    <sheetView showGridLines="0" zoomScale="60" zoomScaleNormal="60" workbookViewId="0">
      <pane ySplit="8" topLeftCell="A51" activePane="bottomLeft" state="frozen"/>
      <selection activeCell="L10" sqref="L10"/>
      <selection pane="bottomLeft" activeCell="E66" sqref="E66"/>
    </sheetView>
  </sheetViews>
  <sheetFormatPr baseColWidth="10" defaultColWidth="11.5546875" defaultRowHeight="14.4" x14ac:dyDescent="0.3"/>
  <cols>
    <col min="1" max="1" width="19.21875" style="1" bestFit="1" customWidth="1"/>
    <col min="2" max="2" width="33.5546875" style="167" customWidth="1"/>
    <col min="3" max="3" width="62.5546875" style="1" bestFit="1" customWidth="1"/>
    <col min="4" max="4" width="45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25.21875" style="1" bestFit="1" customWidth="1"/>
    <col min="9" max="9" width="0" style="1" hidden="1" customWidth="1"/>
    <col min="10" max="16384" width="11.5546875" style="1"/>
  </cols>
  <sheetData>
    <row r="1" spans="1:9" x14ac:dyDescent="0.3">
      <c r="A1" s="122"/>
      <c r="B1" s="161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62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62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62"/>
      <c r="C4" s="128"/>
      <c r="D4" s="38" t="s">
        <v>1224</v>
      </c>
      <c r="E4" s="41">
        <f>+SUM(DIVERSCLIENTS[TOTAL MONTANT])</f>
        <v>8662000</v>
      </c>
      <c r="F4" s="41">
        <f>+SUM(DIVERSCLIENTS[VERSEMENT])</f>
        <v>4462000</v>
      </c>
      <c r="G4" s="130">
        <f>+E4-F4</f>
        <v>4200000</v>
      </c>
    </row>
    <row r="5" spans="1:9" ht="29.4" thickBot="1" x14ac:dyDescent="0.35">
      <c r="A5" s="131"/>
      <c r="B5" s="16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1035</v>
      </c>
      <c r="C6" s="169"/>
      <c r="D6" s="132"/>
      <c r="E6" s="135"/>
      <c r="F6" s="132"/>
      <c r="G6" s="134"/>
    </row>
    <row r="7" spans="1:9" ht="15" thickBot="1" x14ac:dyDescent="0.35">
      <c r="A7" s="136"/>
      <c r="B7" s="164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165" t="s">
        <v>7</v>
      </c>
      <c r="C8" s="2" t="s">
        <v>1</v>
      </c>
      <c r="D8" s="2" t="s">
        <v>2</v>
      </c>
      <c r="E8" s="2" t="s">
        <v>3</v>
      </c>
      <c r="F8" s="5" t="s">
        <v>4</v>
      </c>
      <c r="G8" s="2" t="s">
        <v>5</v>
      </c>
      <c r="H8" s="4" t="s">
        <v>6</v>
      </c>
    </row>
    <row r="9" spans="1:9" ht="28.8" x14ac:dyDescent="0.55000000000000004">
      <c r="A9" s="12">
        <v>45863</v>
      </c>
      <c r="B9" s="166"/>
      <c r="C9" s="13" t="s">
        <v>2781</v>
      </c>
      <c r="D9" s="10"/>
      <c r="E9" s="10"/>
      <c r="F9" s="7">
        <f>+$I$2+(DIVERSCLIENTS[[#This Row],[QUANTITE]]*DIVERSCLIENTS[[#This Row],[PRIX UNITAIRE]])</f>
        <v>0</v>
      </c>
      <c r="G9" s="20"/>
      <c r="H9" s="6">
        <f>+SUM($F$9:F9)-SUM($G$9:G9)</f>
        <v>0</v>
      </c>
    </row>
    <row r="10" spans="1:9" ht="28.8" x14ac:dyDescent="0.55000000000000004">
      <c r="A10" s="12">
        <v>45863</v>
      </c>
      <c r="B10" s="166"/>
      <c r="C10" s="13" t="s">
        <v>2782</v>
      </c>
      <c r="D10" s="10">
        <v>4</v>
      </c>
      <c r="E10" s="10">
        <v>150000</v>
      </c>
      <c r="F10" s="7">
        <f>+$I$2+(DIVERSCLIENTS[[#This Row],[QUANTITE]]*DIVERSCLIENTS[[#This Row],[PRIX UNITAIRE]])</f>
        <v>600000</v>
      </c>
      <c r="G10" s="63"/>
      <c r="H10" s="6">
        <f>+SUM($F$9:F10)-SUM($G$9:G10)</f>
        <v>600000</v>
      </c>
    </row>
    <row r="11" spans="1:9" ht="28.8" x14ac:dyDescent="0.55000000000000004">
      <c r="A11" s="12">
        <v>45863</v>
      </c>
      <c r="B11" s="166"/>
      <c r="C11" s="13" t="s">
        <v>260</v>
      </c>
      <c r="D11" s="10">
        <v>1</v>
      </c>
      <c r="E11" s="10">
        <v>165000</v>
      </c>
      <c r="F11" s="7">
        <f>+$I$2+(DIVERSCLIENTS[[#This Row],[QUANTITE]]*DIVERSCLIENTS[[#This Row],[PRIX UNITAIRE]])</f>
        <v>165000</v>
      </c>
      <c r="G11" s="14"/>
      <c r="H11" s="6">
        <f>+SUM($F$9:F11)-SUM($G$9:G11)</f>
        <v>765000</v>
      </c>
    </row>
    <row r="12" spans="1:9" ht="28.8" x14ac:dyDescent="0.55000000000000004">
      <c r="A12" s="12">
        <v>45863</v>
      </c>
      <c r="B12" s="166"/>
      <c r="C12" s="13" t="s">
        <v>1243</v>
      </c>
      <c r="D12" s="10">
        <v>2</v>
      </c>
      <c r="E12" s="10">
        <v>185000</v>
      </c>
      <c r="F12" s="7">
        <f>+$I$2+(DIVERSCLIENTS[[#This Row],[QUANTITE]]*DIVERSCLIENTS[[#This Row],[PRIX UNITAIRE]])</f>
        <v>370000</v>
      </c>
      <c r="G12" s="14"/>
      <c r="H12" s="6">
        <f>+SUM($F$9:F12)-SUM($G$9:G12)</f>
        <v>1135000</v>
      </c>
    </row>
    <row r="13" spans="1:9" ht="28.8" x14ac:dyDescent="0.55000000000000004">
      <c r="A13" s="12">
        <v>45863</v>
      </c>
      <c r="B13" s="166"/>
      <c r="C13" s="13" t="s">
        <v>2783</v>
      </c>
      <c r="D13" s="10">
        <v>4</v>
      </c>
      <c r="E13" s="10">
        <v>110000</v>
      </c>
      <c r="F13" s="7">
        <f>+$I$2+(DIVERSCLIENTS[[#This Row],[QUANTITE]]*DIVERSCLIENTS[[#This Row],[PRIX UNITAIRE]])</f>
        <v>440000</v>
      </c>
      <c r="G13" s="14"/>
      <c r="H13" s="6">
        <f>+SUM($F$9:F13)-SUM($G$9:G13)</f>
        <v>1575000</v>
      </c>
    </row>
    <row r="14" spans="1:9" ht="28.8" x14ac:dyDescent="0.55000000000000004">
      <c r="A14" s="12">
        <v>45863</v>
      </c>
      <c r="B14" s="166"/>
      <c r="C14" s="13" t="s">
        <v>1244</v>
      </c>
      <c r="D14" s="10"/>
      <c r="E14" s="10"/>
      <c r="F14" s="7">
        <f>+$I$2+(DIVERSCLIENTS[[#This Row],[QUANTITE]]*DIVERSCLIENTS[[#This Row],[PRIX UNITAIRE]])</f>
        <v>0</v>
      </c>
      <c r="G14" s="14">
        <v>1575000</v>
      </c>
      <c r="H14" s="6">
        <f>+SUM($F$9:F14)-SUM($G$9:G14)</f>
        <v>0</v>
      </c>
    </row>
    <row r="15" spans="1:9" ht="28.8" x14ac:dyDescent="0.55000000000000004">
      <c r="A15" s="12">
        <v>45896</v>
      </c>
      <c r="B15" s="166"/>
      <c r="C15" s="13" t="s">
        <v>2968</v>
      </c>
      <c r="D15" s="10">
        <v>1</v>
      </c>
      <c r="E15" s="10">
        <v>65000</v>
      </c>
      <c r="F15" s="7">
        <f>+$I$2+(DIVERSCLIENTS[[#This Row],[QUANTITE]]*DIVERSCLIENTS[[#This Row],[PRIX UNITAIRE]])</f>
        <v>65000</v>
      </c>
      <c r="G15" s="14"/>
      <c r="H15" s="6">
        <f>+SUM($F$9:F15)-SUM($G$9:G15)</f>
        <v>65000</v>
      </c>
    </row>
    <row r="16" spans="1:9" ht="28.8" x14ac:dyDescent="0.55000000000000004">
      <c r="A16" s="12">
        <v>45896</v>
      </c>
      <c r="B16" s="166"/>
      <c r="C16" s="13" t="s">
        <v>2969</v>
      </c>
      <c r="D16" s="10">
        <v>1</v>
      </c>
      <c r="E16" s="10">
        <v>200000</v>
      </c>
      <c r="F16" s="7">
        <f>+$I$2+(DIVERSCLIENTS[[#This Row],[QUANTITE]]*DIVERSCLIENTS[[#This Row],[PRIX UNITAIRE]])</f>
        <v>200000</v>
      </c>
      <c r="G16" s="14"/>
      <c r="H16" s="6">
        <f>+SUM($F$9:F16)-SUM($G$9:G16)</f>
        <v>265000</v>
      </c>
    </row>
    <row r="17" spans="1:8" ht="28.8" x14ac:dyDescent="0.55000000000000004">
      <c r="A17" s="12"/>
      <c r="B17" s="166"/>
      <c r="C17" s="13" t="s">
        <v>2970</v>
      </c>
      <c r="D17" s="10">
        <v>1</v>
      </c>
      <c r="E17" s="10">
        <v>300000</v>
      </c>
      <c r="F17" s="7">
        <f>+$I$2+(DIVERSCLIENTS[[#This Row],[QUANTITE]]*DIVERSCLIENTS[[#This Row],[PRIX UNITAIRE]])</f>
        <v>300000</v>
      </c>
      <c r="G17" s="14"/>
      <c r="H17" s="6">
        <f>+SUM($F$9:F17)-SUM($G$9:G17)</f>
        <v>565000</v>
      </c>
    </row>
    <row r="18" spans="1:8" ht="28.8" x14ac:dyDescent="0.55000000000000004">
      <c r="A18" s="12"/>
      <c r="B18" s="166"/>
      <c r="C18" s="13" t="s">
        <v>2971</v>
      </c>
      <c r="D18" s="10">
        <v>2</v>
      </c>
      <c r="E18" s="10">
        <v>80000</v>
      </c>
      <c r="F18" s="7">
        <f>+$I$2+(DIVERSCLIENTS[[#This Row],[QUANTITE]]*DIVERSCLIENTS[[#This Row],[PRIX UNITAIRE]])</f>
        <v>160000</v>
      </c>
      <c r="G18" s="14"/>
      <c r="H18" s="6">
        <f>+SUM($F$9:F18)-SUM($G$9:G18)</f>
        <v>725000</v>
      </c>
    </row>
    <row r="19" spans="1:8" ht="28.8" x14ac:dyDescent="0.55000000000000004">
      <c r="A19" s="12">
        <v>45913</v>
      </c>
      <c r="B19" s="166"/>
      <c r="C19" s="13" t="s">
        <v>3039</v>
      </c>
      <c r="D19" s="10">
        <v>1</v>
      </c>
      <c r="E19" s="10">
        <v>400000</v>
      </c>
      <c r="F19" s="7">
        <f>+$I$2+(DIVERSCLIENTS[[#This Row],[QUANTITE]]*DIVERSCLIENTS[[#This Row],[PRIX UNITAIRE]])</f>
        <v>400000</v>
      </c>
      <c r="G19" s="14"/>
      <c r="H19" s="6">
        <f>+SUM($F$9:F19)-SUM($G$9:G19)</f>
        <v>1125000</v>
      </c>
    </row>
    <row r="20" spans="1:8" ht="28.8" x14ac:dyDescent="0.55000000000000004">
      <c r="A20" s="12">
        <v>45913</v>
      </c>
      <c r="B20" s="166"/>
      <c r="C20" s="13" t="s">
        <v>3073</v>
      </c>
      <c r="D20" s="10">
        <v>1</v>
      </c>
      <c r="E20" s="10">
        <v>35000</v>
      </c>
      <c r="F20" s="7">
        <f>+$I$2+(DIVERSCLIENTS[[#This Row],[QUANTITE]]*DIVERSCLIENTS[[#This Row],[PRIX UNITAIRE]])</f>
        <v>35000</v>
      </c>
      <c r="G20" s="14"/>
      <c r="H20" s="6">
        <f>+SUM($F$9:F20)-SUM($G$9:G20)</f>
        <v>1160000</v>
      </c>
    </row>
    <row r="21" spans="1:8" ht="28.8" x14ac:dyDescent="0.55000000000000004">
      <c r="A21" s="12">
        <v>45913</v>
      </c>
      <c r="B21" s="166"/>
      <c r="C21" s="13" t="s">
        <v>3074</v>
      </c>
      <c r="D21" s="10">
        <v>1</v>
      </c>
      <c r="E21" s="10">
        <v>85000</v>
      </c>
      <c r="F21" s="7">
        <f>+$I$2+(DIVERSCLIENTS[[#This Row],[QUANTITE]]*DIVERSCLIENTS[[#This Row],[PRIX UNITAIRE]])</f>
        <v>85000</v>
      </c>
      <c r="G21" s="14"/>
      <c r="H21" s="6">
        <f>+SUM($F$9:F21)-SUM($G$9:G21)</f>
        <v>1245000</v>
      </c>
    </row>
    <row r="22" spans="1:8" ht="28.8" x14ac:dyDescent="0.55000000000000004">
      <c r="A22" s="12">
        <v>45913</v>
      </c>
      <c r="B22" s="166"/>
      <c r="C22" s="13" t="s">
        <v>3075</v>
      </c>
      <c r="D22" s="10">
        <v>1</v>
      </c>
      <c r="E22" s="10">
        <v>90000</v>
      </c>
      <c r="F22" s="7">
        <f>+$I$2+(DIVERSCLIENTS[[#This Row],[QUANTITE]]*DIVERSCLIENTS[[#This Row],[PRIX UNITAIRE]])</f>
        <v>90000</v>
      </c>
      <c r="G22" s="14"/>
      <c r="H22" s="6">
        <f>+SUM($F$9:F22)-SUM($G$9:G22)</f>
        <v>1335000</v>
      </c>
    </row>
    <row r="23" spans="1:8" ht="28.8" x14ac:dyDescent="0.55000000000000004">
      <c r="A23" s="12">
        <v>45913</v>
      </c>
      <c r="B23" s="166"/>
      <c r="C23" s="13" t="s">
        <v>3076</v>
      </c>
      <c r="D23" s="10">
        <v>1</v>
      </c>
      <c r="E23" s="10">
        <v>190000</v>
      </c>
      <c r="F23" s="7">
        <f>+$I$2+(DIVERSCLIENTS[[#This Row],[QUANTITE]]*DIVERSCLIENTS[[#This Row],[PRIX UNITAIRE]])</f>
        <v>190000</v>
      </c>
      <c r="G23" s="14"/>
      <c r="H23" s="6">
        <f>+SUM($F$9:F23)-SUM($G$9:G23)</f>
        <v>1525000</v>
      </c>
    </row>
    <row r="24" spans="1:8" ht="28.8" x14ac:dyDescent="0.55000000000000004">
      <c r="A24" s="12">
        <v>45897</v>
      </c>
      <c r="B24" s="166"/>
      <c r="C24" s="13" t="s">
        <v>3072</v>
      </c>
      <c r="D24" s="10">
        <v>1</v>
      </c>
      <c r="E24" s="10">
        <v>170000</v>
      </c>
      <c r="F24" s="7">
        <f>+$I$2+(DIVERSCLIENTS[[#This Row],[QUANTITE]]*DIVERSCLIENTS[[#This Row],[PRIX UNITAIRE]])</f>
        <v>170000</v>
      </c>
      <c r="G24" s="14"/>
      <c r="H24" s="6">
        <f>+SUM($F$9:F24)-SUM($G$9:G24)</f>
        <v>1695000</v>
      </c>
    </row>
    <row r="25" spans="1:8" ht="28.8" x14ac:dyDescent="0.55000000000000004">
      <c r="A25" s="12">
        <v>45938</v>
      </c>
      <c r="B25" s="166"/>
      <c r="C25" s="13" t="s">
        <v>3165</v>
      </c>
      <c r="D25" s="10">
        <v>1</v>
      </c>
      <c r="E25" s="10">
        <v>45000</v>
      </c>
      <c r="F25" s="7">
        <f>+$I$2+(DIVERSCLIENTS[[#This Row],[QUANTITE]]*DIVERSCLIENTS[[#This Row],[PRIX UNITAIRE]])</f>
        <v>45000</v>
      </c>
      <c r="G25" s="14"/>
      <c r="H25" s="6">
        <f>+SUM($F$9:F25)-SUM($G$9:G25)</f>
        <v>1740000</v>
      </c>
    </row>
    <row r="26" spans="1:8" ht="28.8" x14ac:dyDescent="0.55000000000000004">
      <c r="A26" s="12">
        <v>45939</v>
      </c>
      <c r="B26" s="166"/>
      <c r="C26" s="13" t="s">
        <v>3166</v>
      </c>
      <c r="D26" s="10">
        <v>1</v>
      </c>
      <c r="E26" s="10">
        <v>50000</v>
      </c>
      <c r="F26" s="7">
        <f>+$I$2+(DIVERSCLIENTS[[#This Row],[QUANTITE]]*DIVERSCLIENTS[[#This Row],[PRIX UNITAIRE]])</f>
        <v>50000</v>
      </c>
      <c r="G26" s="14"/>
      <c r="H26" s="6">
        <f>+SUM($F$9:F26)-SUM($G$9:G26)</f>
        <v>1790000</v>
      </c>
    </row>
    <row r="27" spans="1:8" ht="28.8" x14ac:dyDescent="0.55000000000000004">
      <c r="A27" s="12">
        <v>45939</v>
      </c>
      <c r="B27" s="166"/>
      <c r="C27" s="13" t="s">
        <v>3167</v>
      </c>
      <c r="D27" s="10">
        <v>1</v>
      </c>
      <c r="E27" s="10">
        <v>50000</v>
      </c>
      <c r="F27" s="7">
        <f>+$I$2+(DIVERSCLIENTS[[#This Row],[QUANTITE]]*DIVERSCLIENTS[[#This Row],[PRIX UNITAIRE]])</f>
        <v>50000</v>
      </c>
      <c r="G27" s="14"/>
      <c r="H27" s="6">
        <f>+SUM($F$9:F27)-SUM($G$9:G27)</f>
        <v>1840000</v>
      </c>
    </row>
    <row r="28" spans="1:8" ht="28.8" x14ac:dyDescent="0.55000000000000004">
      <c r="A28" s="12">
        <v>45943</v>
      </c>
      <c r="B28" s="166"/>
      <c r="C28" s="13" t="s">
        <v>3174</v>
      </c>
      <c r="D28" s="10">
        <v>10</v>
      </c>
      <c r="E28" s="10">
        <v>110000</v>
      </c>
      <c r="F28" s="7">
        <f>+$I$2+(DIVERSCLIENTS[[#This Row],[QUANTITE]]*DIVERSCLIENTS[[#This Row],[PRIX UNITAIRE]])</f>
        <v>1100000</v>
      </c>
      <c r="G28" s="14"/>
      <c r="H28" s="6">
        <f>+SUM($F$9:F28)-SUM($G$9:G28)</f>
        <v>2940000</v>
      </c>
    </row>
    <row r="29" spans="1:8" ht="28.8" x14ac:dyDescent="0.55000000000000004">
      <c r="A29" s="12">
        <v>45943</v>
      </c>
      <c r="B29" s="166"/>
      <c r="C29" s="13" t="s">
        <v>3175</v>
      </c>
      <c r="D29" s="10">
        <v>2</v>
      </c>
      <c r="E29" s="10">
        <v>130000</v>
      </c>
      <c r="F29" s="7">
        <f>+$I$2+(DIVERSCLIENTS[[#This Row],[QUANTITE]]*DIVERSCLIENTS[[#This Row],[PRIX UNITAIRE]])</f>
        <v>260000</v>
      </c>
      <c r="G29" s="14"/>
      <c r="H29" s="6">
        <f>+SUM($F$9:F29)-SUM($G$9:G29)</f>
        <v>3200000</v>
      </c>
    </row>
    <row r="30" spans="1:8" ht="28.8" x14ac:dyDescent="0.55000000000000004">
      <c r="A30" s="12"/>
      <c r="B30" s="166"/>
      <c r="C30" s="13" t="s">
        <v>410</v>
      </c>
      <c r="D30" s="10">
        <v>40</v>
      </c>
      <c r="E30" s="10">
        <v>30000</v>
      </c>
      <c r="F30" s="7">
        <f>+$I$2+(DIVERSCLIENTS[[#This Row],[QUANTITE]]*DIVERSCLIENTS[[#This Row],[PRIX UNITAIRE]])</f>
        <v>1200000</v>
      </c>
      <c r="G30" s="14">
        <v>1000000</v>
      </c>
      <c r="H30" s="6">
        <f>+SUM($F$9:F30)-SUM($G$9:G30)</f>
        <v>3400000</v>
      </c>
    </row>
    <row r="31" spans="1:8" ht="28.8" x14ac:dyDescent="0.55000000000000004">
      <c r="A31" s="12"/>
      <c r="B31" s="166"/>
      <c r="C31" s="13" t="s">
        <v>276</v>
      </c>
      <c r="D31" s="10">
        <v>10</v>
      </c>
      <c r="E31" s="10">
        <v>70000</v>
      </c>
      <c r="F31" s="7">
        <f>+$I$2+(DIVERSCLIENTS[[#This Row],[QUANTITE]]*DIVERSCLIENTS[[#This Row],[PRIX UNITAIRE]])</f>
        <v>700000</v>
      </c>
      <c r="G31" s="14">
        <v>700000</v>
      </c>
      <c r="H31" s="6">
        <f>+SUM($F$9:F31)-SUM($G$9:G31)</f>
        <v>3400000</v>
      </c>
    </row>
    <row r="32" spans="1:8" ht="28.8" x14ac:dyDescent="0.55000000000000004">
      <c r="A32" s="12"/>
      <c r="B32" s="166"/>
      <c r="C32" s="13"/>
      <c r="D32" s="10"/>
      <c r="E32" s="10"/>
      <c r="F32" s="7">
        <f>+$I$2+(DIVERSCLIENTS[[#This Row],[QUANTITE]]*DIVERSCLIENTS[[#This Row],[PRIX UNITAIRE]])</f>
        <v>0</v>
      </c>
      <c r="G32" s="14"/>
      <c r="H32" s="6">
        <f>+SUM($F$9:F32)-SUM($G$9:G32)</f>
        <v>3400000</v>
      </c>
    </row>
    <row r="33" spans="1:8" ht="28.8" x14ac:dyDescent="0.55000000000000004">
      <c r="A33" s="12">
        <v>45983</v>
      </c>
      <c r="B33" s="166"/>
      <c r="C33" s="13" t="s">
        <v>3259</v>
      </c>
      <c r="D33" s="10">
        <v>1</v>
      </c>
      <c r="E33" s="10">
        <v>45000</v>
      </c>
      <c r="F33" s="7">
        <f>+$I$2+(DIVERSCLIENTS[[#This Row],[QUANTITE]]*DIVERSCLIENTS[[#This Row],[PRIX UNITAIRE]])</f>
        <v>45000</v>
      </c>
      <c r="G33" s="14">
        <v>45000</v>
      </c>
      <c r="H33" s="6">
        <f>+SUM($F$9:F33)-SUM($G$9:G33)</f>
        <v>3400000</v>
      </c>
    </row>
    <row r="34" spans="1:8" ht="28.8" x14ac:dyDescent="0.55000000000000004">
      <c r="A34" s="12">
        <v>45990</v>
      </c>
      <c r="B34" s="166"/>
      <c r="C34" s="13" t="s">
        <v>3260</v>
      </c>
      <c r="D34" s="10"/>
      <c r="E34" s="10"/>
      <c r="F34" s="7">
        <f>+$I$2+(DIVERSCLIENTS[[#This Row],[QUANTITE]]*DIVERSCLIENTS[[#This Row],[PRIX UNITAIRE]])</f>
        <v>0</v>
      </c>
      <c r="G34" s="14"/>
      <c r="H34" s="6">
        <f>+SUM($F$9:F34)-SUM($G$9:G34)</f>
        <v>3400000</v>
      </c>
    </row>
    <row r="35" spans="1:8" ht="28.8" x14ac:dyDescent="0.55000000000000004">
      <c r="A35" s="12">
        <v>45988</v>
      </c>
      <c r="B35" s="166"/>
      <c r="C35" s="13" t="s">
        <v>3266</v>
      </c>
      <c r="D35" s="10">
        <v>0</v>
      </c>
      <c r="E35" s="10">
        <v>0</v>
      </c>
      <c r="F35" s="7">
        <f>+$I$2+(DIVERSCLIENTS[[#This Row],[QUANTITE]]*DIVERSCLIENTS[[#This Row],[PRIX UNITAIRE]])</f>
        <v>0</v>
      </c>
      <c r="G35" s="14"/>
      <c r="H35" s="6">
        <f>+SUM($F$9:F35)-SUM($G$9:G35)</f>
        <v>3400000</v>
      </c>
    </row>
    <row r="36" spans="1:8" ht="28.8" x14ac:dyDescent="0.55000000000000004">
      <c r="A36" s="12">
        <v>45994</v>
      </c>
      <c r="B36" s="166"/>
      <c r="C36" s="13" t="s">
        <v>3275</v>
      </c>
      <c r="D36" s="10">
        <v>2</v>
      </c>
      <c r="E36" s="10">
        <v>70000</v>
      </c>
      <c r="F36" s="7">
        <f>+$I$2+(DIVERSCLIENTS[[#This Row],[QUANTITE]]*DIVERSCLIENTS[[#This Row],[PRIX UNITAIRE]])</f>
        <v>140000</v>
      </c>
      <c r="G36" s="14"/>
      <c r="H36" s="6">
        <f>+SUM($F$9:F36)-SUM($G$9:G36)</f>
        <v>3540000</v>
      </c>
    </row>
    <row r="37" spans="1:8" ht="28.8" x14ac:dyDescent="0.55000000000000004">
      <c r="A37" s="12">
        <v>46007</v>
      </c>
      <c r="B37" s="166"/>
      <c r="C37" s="13" t="s">
        <v>3299</v>
      </c>
      <c r="D37" s="10">
        <v>1</v>
      </c>
      <c r="E37" s="10">
        <v>70000</v>
      </c>
      <c r="F37" s="7">
        <f>+$I$2+(DIVERSCLIENTS[[#This Row],[QUANTITE]]*DIVERSCLIENTS[[#This Row],[PRIX UNITAIRE]])</f>
        <v>70000</v>
      </c>
      <c r="G37" s="14">
        <v>70000</v>
      </c>
      <c r="H37" s="6">
        <f>+SUM($F$9:F37)-SUM($G$9:G37)</f>
        <v>3540000</v>
      </c>
    </row>
    <row r="38" spans="1:8" ht="28.8" x14ac:dyDescent="0.55000000000000004">
      <c r="A38" s="12">
        <v>46004</v>
      </c>
      <c r="B38" s="166"/>
      <c r="C38" s="13" t="s">
        <v>3321</v>
      </c>
      <c r="D38" s="10">
        <v>1</v>
      </c>
      <c r="E38" s="10">
        <v>130000</v>
      </c>
      <c r="F38" s="7">
        <f>+$I$2+(DIVERSCLIENTS[[#This Row],[QUANTITE]]*DIVERSCLIENTS[[#This Row],[PRIX UNITAIRE]])</f>
        <v>130000</v>
      </c>
      <c r="G38" s="14">
        <v>130000</v>
      </c>
      <c r="H38" s="6">
        <f>+SUM($F$9:F38)-SUM($G$9:G38)</f>
        <v>3540000</v>
      </c>
    </row>
    <row r="39" spans="1:8" ht="28.8" x14ac:dyDescent="0.55000000000000004">
      <c r="A39" s="12">
        <v>46034</v>
      </c>
      <c r="B39" s="166"/>
      <c r="C39" s="13" t="s">
        <v>3360</v>
      </c>
      <c r="D39" s="10">
        <v>2</v>
      </c>
      <c r="E39" s="10"/>
      <c r="F39" s="7">
        <f>+$I$2+(DIVERSCLIENTS[[#This Row],[QUANTITE]]*DIVERSCLIENTS[[#This Row],[PRIX UNITAIRE]])</f>
        <v>0</v>
      </c>
      <c r="G39" s="14"/>
      <c r="H39" s="6">
        <f>+SUM($F$9:F39)-SUM($G$9:G39)</f>
        <v>3540000</v>
      </c>
    </row>
    <row r="40" spans="1:8" ht="28.8" x14ac:dyDescent="0.55000000000000004">
      <c r="A40" s="12">
        <v>46034</v>
      </c>
      <c r="B40" s="166"/>
      <c r="C40" s="13" t="s">
        <v>3365</v>
      </c>
      <c r="D40" s="10">
        <v>2</v>
      </c>
      <c r="E40" s="10">
        <v>45000</v>
      </c>
      <c r="F40" s="7">
        <f>+$I$2+(DIVERSCLIENTS[[#This Row],[QUANTITE]]*DIVERSCLIENTS[[#This Row],[PRIX UNITAIRE]])</f>
        <v>90000</v>
      </c>
      <c r="G40" s="14"/>
      <c r="H40" s="6">
        <f>+SUM($F$9:F40)-SUM($G$9:G40)</f>
        <v>3630000</v>
      </c>
    </row>
    <row r="41" spans="1:8" ht="28.8" x14ac:dyDescent="0.55000000000000004">
      <c r="A41" s="12">
        <v>46036</v>
      </c>
      <c r="B41" s="166"/>
      <c r="C41" s="13" t="s">
        <v>3375</v>
      </c>
      <c r="D41" s="10">
        <v>4</v>
      </c>
      <c r="E41" s="10">
        <v>45000</v>
      </c>
      <c r="F41" s="7">
        <f>+$I$2+(DIVERSCLIENTS[[#This Row],[QUANTITE]]*DIVERSCLIENTS[[#This Row],[PRIX UNITAIRE]])</f>
        <v>180000</v>
      </c>
      <c r="G41" s="14">
        <v>180000</v>
      </c>
      <c r="H41" s="6">
        <f>+SUM($F$9:F41)-SUM($G$9:G41)</f>
        <v>3630000</v>
      </c>
    </row>
    <row r="42" spans="1:8" ht="28.8" x14ac:dyDescent="0.55000000000000004">
      <c r="A42" s="12">
        <v>46036</v>
      </c>
      <c r="B42" s="166"/>
      <c r="C42" s="13" t="s">
        <v>3376</v>
      </c>
      <c r="D42" s="10"/>
      <c r="E42" s="10"/>
      <c r="F42" s="7">
        <f>+$I$2+(DIVERSCLIENTS[[#This Row],[QUANTITE]]*DIVERSCLIENTS[[#This Row],[PRIX UNITAIRE]])</f>
        <v>0</v>
      </c>
      <c r="G42" s="14"/>
      <c r="H42" s="6">
        <f>+SUM($F$9:F42)-SUM($G$9:G42)</f>
        <v>3630000</v>
      </c>
    </row>
    <row r="43" spans="1:8" ht="28.8" x14ac:dyDescent="0.55000000000000004">
      <c r="A43" s="12">
        <v>46036</v>
      </c>
      <c r="B43" s="166"/>
      <c r="C43" s="13" t="s">
        <v>3377</v>
      </c>
      <c r="D43" s="10"/>
      <c r="E43" s="10"/>
      <c r="F43" s="7">
        <f>+$I$2+(DIVERSCLIENTS[[#This Row],[QUANTITE]]*DIVERSCLIENTS[[#This Row],[PRIX UNITAIRE]])</f>
        <v>0</v>
      </c>
      <c r="G43" s="14"/>
      <c r="H43" s="6">
        <f>+SUM($F$9:F43)-SUM($G$9:G43)</f>
        <v>3630000</v>
      </c>
    </row>
    <row r="44" spans="1:8" ht="28.8" x14ac:dyDescent="0.55000000000000004">
      <c r="A44" s="12">
        <v>46036</v>
      </c>
      <c r="B44" s="166"/>
      <c r="C44" s="13" t="s">
        <v>3378</v>
      </c>
      <c r="D44" s="10">
        <v>1</v>
      </c>
      <c r="E44" s="10">
        <v>120000</v>
      </c>
      <c r="F44" s="7">
        <f>+$I$2+(DIVERSCLIENTS[[#This Row],[QUANTITE]]*DIVERSCLIENTS[[#This Row],[PRIX UNITAIRE]])</f>
        <v>120000</v>
      </c>
      <c r="G44" s="14">
        <v>120000</v>
      </c>
      <c r="H44" s="6">
        <f>+SUM($F$9:F44)-SUM($G$9:G44)</f>
        <v>3630000</v>
      </c>
    </row>
    <row r="45" spans="1:8" ht="28.8" x14ac:dyDescent="0.55000000000000004">
      <c r="A45" s="12"/>
      <c r="B45" s="166"/>
      <c r="C45" s="13" t="s">
        <v>3379</v>
      </c>
      <c r="D45" s="10">
        <v>1</v>
      </c>
      <c r="E45" s="10">
        <v>45000</v>
      </c>
      <c r="F45" s="7">
        <f>+$I$2+(DIVERSCLIENTS[[#This Row],[QUANTITE]]*DIVERSCLIENTS[[#This Row],[PRIX UNITAIRE]])</f>
        <v>45000</v>
      </c>
      <c r="G45" s="14">
        <v>45000</v>
      </c>
      <c r="H45" s="6">
        <f>+SUM($F$9:F45)-SUM($G$9:G45)</f>
        <v>3630000</v>
      </c>
    </row>
    <row r="46" spans="1:8" ht="28.8" x14ac:dyDescent="0.55000000000000004">
      <c r="A46" s="12">
        <v>46048</v>
      </c>
      <c r="B46" s="166"/>
      <c r="C46" s="13" t="s">
        <v>3389</v>
      </c>
      <c r="D46" s="10">
        <v>1</v>
      </c>
      <c r="E46" s="10">
        <v>37000</v>
      </c>
      <c r="F46" s="7">
        <f>+$I$2+(DIVERSCLIENTS[[#This Row],[QUANTITE]]*DIVERSCLIENTS[[#This Row],[PRIX UNITAIRE]])</f>
        <v>37000</v>
      </c>
      <c r="G46" s="14">
        <v>37000</v>
      </c>
      <c r="H46" s="6">
        <f>+SUM($F$9:F46)-SUM($G$9:G46)</f>
        <v>3630000</v>
      </c>
    </row>
    <row r="47" spans="1:8" ht="28.8" x14ac:dyDescent="0.55000000000000004">
      <c r="A47" s="12">
        <v>46055</v>
      </c>
      <c r="B47" s="166"/>
      <c r="C47" s="13" t="s">
        <v>3399</v>
      </c>
      <c r="D47" s="10">
        <v>1</v>
      </c>
      <c r="E47" s="10"/>
      <c r="F47" s="7">
        <f>+$I$2+(DIVERSCLIENTS[[#This Row],[QUANTITE]]*DIVERSCLIENTS[[#This Row],[PRIX UNITAIRE]])</f>
        <v>0</v>
      </c>
      <c r="G47" s="14"/>
      <c r="H47" s="6">
        <f>+SUM($F$9:F47)-SUM($G$9:G47)</f>
        <v>3630000</v>
      </c>
    </row>
    <row r="48" spans="1:8" ht="28.8" x14ac:dyDescent="0.55000000000000004">
      <c r="A48" s="12">
        <v>46046</v>
      </c>
      <c r="B48" s="166"/>
      <c r="C48" s="13" t="s">
        <v>3400</v>
      </c>
      <c r="D48" s="10">
        <v>2</v>
      </c>
      <c r="E48" s="10">
        <v>80000</v>
      </c>
      <c r="F48" s="7">
        <f>+$I$2+(DIVERSCLIENTS[[#This Row],[QUANTITE]]*DIVERSCLIENTS[[#This Row],[PRIX UNITAIRE]])</f>
        <v>160000</v>
      </c>
      <c r="G48" s="14"/>
      <c r="H48" s="6">
        <f>+SUM($F$9:F48)-SUM($G$9:G48)</f>
        <v>3790000</v>
      </c>
    </row>
    <row r="49" spans="1:8" ht="28.8" x14ac:dyDescent="0.55000000000000004">
      <c r="A49" s="12">
        <v>46056</v>
      </c>
      <c r="B49" s="166"/>
      <c r="C49" s="13" t="s">
        <v>3405</v>
      </c>
      <c r="D49" s="10">
        <v>2</v>
      </c>
      <c r="E49" s="10">
        <v>15000</v>
      </c>
      <c r="F49" s="7">
        <f>+$I$2+(DIVERSCLIENTS[[#This Row],[QUANTITE]]*DIVERSCLIENTS[[#This Row],[PRIX UNITAIRE]])</f>
        <v>30000</v>
      </c>
      <c r="G49" s="14"/>
      <c r="H49" s="6">
        <f>+SUM($F$9:F49)-SUM($G$9:G49)</f>
        <v>3820000</v>
      </c>
    </row>
    <row r="50" spans="1:8" ht="28.8" x14ac:dyDescent="0.55000000000000004">
      <c r="A50" s="12">
        <v>46063</v>
      </c>
      <c r="B50" s="166"/>
      <c r="C50" s="13" t="s">
        <v>3423</v>
      </c>
      <c r="D50" s="10">
        <v>1</v>
      </c>
      <c r="E50" s="10">
        <v>80000</v>
      </c>
      <c r="F50" s="7">
        <f>+$I$2+(DIVERSCLIENTS[[#This Row],[QUANTITE]]*DIVERSCLIENTS[[#This Row],[PRIX UNITAIRE]])</f>
        <v>80000</v>
      </c>
      <c r="G50" s="14">
        <v>80000</v>
      </c>
      <c r="H50" s="6">
        <f>+SUM($F$9:F50)-SUM($G$9:G50)</f>
        <v>3820000</v>
      </c>
    </row>
    <row r="51" spans="1:8" ht="28.8" x14ac:dyDescent="0.55000000000000004">
      <c r="A51" s="12">
        <v>46070</v>
      </c>
      <c r="B51" s="166"/>
      <c r="C51" s="13" t="s">
        <v>3438</v>
      </c>
      <c r="D51" s="10">
        <v>1</v>
      </c>
      <c r="E51" s="10">
        <v>20000</v>
      </c>
      <c r="F51" s="7">
        <f>+$I$2+(DIVERSCLIENTS[[#This Row],[QUANTITE]]*DIVERSCLIENTS[[#This Row],[PRIX UNITAIRE]])</f>
        <v>20000</v>
      </c>
      <c r="G51" s="14"/>
      <c r="H51" s="6">
        <f>+SUM($F$9:F51)-SUM($G$9:G51)</f>
        <v>3840000</v>
      </c>
    </row>
    <row r="52" spans="1:8" ht="28.8" x14ac:dyDescent="0.55000000000000004">
      <c r="A52" s="12">
        <v>46076</v>
      </c>
      <c r="B52" s="166"/>
      <c r="C52" s="13" t="s">
        <v>3475</v>
      </c>
      <c r="D52" s="10">
        <v>1</v>
      </c>
      <c r="E52" s="10">
        <v>20000</v>
      </c>
      <c r="F52" s="7">
        <f>+$I$2+(DIVERSCLIENTS[[#This Row],[QUANTITE]]*DIVERSCLIENTS[[#This Row],[PRIX UNITAIRE]])</f>
        <v>20000</v>
      </c>
      <c r="G52" s="14"/>
      <c r="H52" s="6">
        <f>+SUM($F$9:F52)-SUM($G$9:G52)</f>
        <v>3860000</v>
      </c>
    </row>
    <row r="53" spans="1:8" ht="28.8" x14ac:dyDescent="0.55000000000000004">
      <c r="A53" s="12">
        <v>46076</v>
      </c>
      <c r="B53" s="166"/>
      <c r="C53" s="13" t="s">
        <v>3476</v>
      </c>
      <c r="D53" s="10">
        <v>1</v>
      </c>
      <c r="E53" s="10">
        <v>30000</v>
      </c>
      <c r="F53" s="7">
        <f>+$I$2+(DIVERSCLIENTS[[#This Row],[QUANTITE]]*DIVERSCLIENTS[[#This Row],[PRIX UNITAIRE]])</f>
        <v>30000</v>
      </c>
      <c r="G53" s="14"/>
      <c r="H53" s="6">
        <f>+SUM($F$9:F53)-SUM($G$9:G53)</f>
        <v>3890000</v>
      </c>
    </row>
    <row r="54" spans="1:8" ht="28.8" x14ac:dyDescent="0.55000000000000004">
      <c r="A54" s="12">
        <v>46076</v>
      </c>
      <c r="B54" s="166"/>
      <c r="C54" s="13" t="s">
        <v>3478</v>
      </c>
      <c r="D54" s="10">
        <v>1</v>
      </c>
      <c r="E54" s="10">
        <v>20000</v>
      </c>
      <c r="F54" s="7">
        <f>+$I$2+(DIVERSCLIENTS[[#This Row],[QUANTITE]]*DIVERSCLIENTS[[#This Row],[PRIX UNITAIRE]])</f>
        <v>20000</v>
      </c>
      <c r="G54" s="14"/>
      <c r="H54" s="6">
        <f>+SUM($F$9:F54)-SUM($G$9:G54)</f>
        <v>3910000</v>
      </c>
    </row>
    <row r="55" spans="1:8" ht="28.8" x14ac:dyDescent="0.55000000000000004">
      <c r="A55" s="12">
        <v>46079</v>
      </c>
      <c r="B55" s="166"/>
      <c r="C55" s="13" t="s">
        <v>3483</v>
      </c>
      <c r="D55" s="10">
        <v>1</v>
      </c>
      <c r="E55" s="10">
        <v>120000</v>
      </c>
      <c r="F55" s="7">
        <f>+$I$2+(DIVERSCLIENTS[[#This Row],[QUANTITE]]*DIVERSCLIENTS[[#This Row],[PRIX UNITAIRE]])</f>
        <v>120000</v>
      </c>
      <c r="G55" s="14">
        <v>120000</v>
      </c>
      <c r="H55" s="6">
        <f>+SUM($F$9:F55)-SUM($G$9:G55)</f>
        <v>3910000</v>
      </c>
    </row>
    <row r="56" spans="1:8" ht="28.8" x14ac:dyDescent="0.55000000000000004">
      <c r="A56" s="12">
        <v>46090</v>
      </c>
      <c r="B56" s="166"/>
      <c r="C56" s="13" t="s">
        <v>3506</v>
      </c>
      <c r="D56" s="10">
        <v>1</v>
      </c>
      <c r="E56" s="10">
        <v>360000</v>
      </c>
      <c r="F56" s="7">
        <f>+$I$2+(DIVERSCLIENTS[[#This Row],[QUANTITE]]*DIVERSCLIENTS[[#This Row],[PRIX UNITAIRE]])</f>
        <v>360000</v>
      </c>
      <c r="G56" s="14">
        <v>360000</v>
      </c>
      <c r="H56" s="6">
        <f>+SUM($F$9:F56)-SUM($G$9:G56)</f>
        <v>3910000</v>
      </c>
    </row>
    <row r="57" spans="1:8" ht="28.8" x14ac:dyDescent="0.55000000000000004">
      <c r="A57" s="12">
        <v>46095</v>
      </c>
      <c r="B57" s="166"/>
      <c r="C57" s="13" t="s">
        <v>3520</v>
      </c>
      <c r="D57" s="10">
        <v>1</v>
      </c>
      <c r="E57" s="10">
        <v>50000</v>
      </c>
      <c r="F57" s="7">
        <f>+$I$2+(DIVERSCLIENTS[[#This Row],[QUANTITE]]*DIVERSCLIENTS[[#This Row],[PRIX UNITAIRE]])</f>
        <v>50000</v>
      </c>
      <c r="G57" s="14"/>
      <c r="H57" s="6">
        <f>+SUM($F$9:F57)-SUM($G$9:G57)</f>
        <v>3960000</v>
      </c>
    </row>
    <row r="58" spans="1:8" ht="28.8" x14ac:dyDescent="0.55000000000000004">
      <c r="A58" s="12">
        <v>46100</v>
      </c>
      <c r="B58" s="166"/>
      <c r="C58" s="13" t="s">
        <v>3550</v>
      </c>
      <c r="D58" s="10">
        <v>1</v>
      </c>
      <c r="E58" s="10">
        <v>85000</v>
      </c>
      <c r="F58" s="7">
        <f>+$I$2+(DIVERSCLIENTS[[#This Row],[QUANTITE]]*DIVERSCLIENTS[[#This Row],[PRIX UNITAIRE]])</f>
        <v>85000</v>
      </c>
      <c r="G58" s="14"/>
      <c r="H58" s="6">
        <f>+SUM($F$9:F58)-SUM($G$9:G58)</f>
        <v>4045000</v>
      </c>
    </row>
    <row r="59" spans="1:8" ht="28.8" x14ac:dyDescent="0.55000000000000004">
      <c r="A59" s="12">
        <v>46100</v>
      </c>
      <c r="B59" s="166"/>
      <c r="C59" s="13" t="s">
        <v>3551</v>
      </c>
      <c r="D59" s="10">
        <v>1</v>
      </c>
      <c r="E59" s="10">
        <v>40000</v>
      </c>
      <c r="F59" s="7">
        <f>+$I$2+(DIVERSCLIENTS[[#This Row],[QUANTITE]]*DIVERSCLIENTS[[#This Row],[PRIX UNITAIRE]])</f>
        <v>40000</v>
      </c>
      <c r="G59" s="14"/>
      <c r="H59" s="6">
        <f>+SUM($F$9:F59)-SUM($G$9:G59)</f>
        <v>4085000</v>
      </c>
    </row>
    <row r="60" spans="1:8" ht="28.8" x14ac:dyDescent="0.55000000000000004">
      <c r="A60" s="12">
        <v>46100</v>
      </c>
      <c r="B60" s="166"/>
      <c r="C60" s="13" t="s">
        <v>3492</v>
      </c>
      <c r="D60" s="10">
        <v>2</v>
      </c>
      <c r="E60" s="10">
        <v>10000</v>
      </c>
      <c r="F60" s="7">
        <f>+$I$2+(DIVERSCLIENTS[[#This Row],[QUANTITE]]*DIVERSCLIENTS[[#This Row],[PRIX UNITAIRE]])</f>
        <v>20000</v>
      </c>
      <c r="G60" s="14"/>
      <c r="H60" s="6">
        <f>+SUM($F$9:F60)-SUM($G$9:G60)</f>
        <v>4105000</v>
      </c>
    </row>
    <row r="61" spans="1:8" ht="28.8" x14ac:dyDescent="0.55000000000000004">
      <c r="A61" s="12">
        <v>46100</v>
      </c>
      <c r="B61" s="166"/>
      <c r="C61" s="13" t="s">
        <v>3552</v>
      </c>
      <c r="D61" s="10">
        <v>1</v>
      </c>
      <c r="E61" s="10">
        <v>30000</v>
      </c>
      <c r="F61" s="7">
        <f>+$I$2+(DIVERSCLIENTS[[#This Row],[QUANTITE]]*DIVERSCLIENTS[[#This Row],[PRIX UNITAIRE]])</f>
        <v>30000</v>
      </c>
      <c r="G61" s="14"/>
      <c r="H61" s="6">
        <f>+SUM($F$9:F61)-SUM($G$9:G61)</f>
        <v>4135000</v>
      </c>
    </row>
    <row r="62" spans="1:8" ht="28.8" x14ac:dyDescent="0.55000000000000004">
      <c r="A62" s="12">
        <v>46100</v>
      </c>
      <c r="B62" s="166"/>
      <c r="C62" s="13" t="s">
        <v>673</v>
      </c>
      <c r="D62" s="10">
        <v>1</v>
      </c>
      <c r="E62" s="10">
        <v>10000</v>
      </c>
      <c r="F62" s="7">
        <f>+$I$2+(DIVERSCLIENTS[[#This Row],[QUANTITE]]*DIVERSCLIENTS[[#This Row],[PRIX UNITAIRE]])</f>
        <v>10000</v>
      </c>
      <c r="G62" s="14"/>
      <c r="H62" s="6">
        <f>+SUM($F$9:F62)-SUM($G$9:G62)</f>
        <v>4145000</v>
      </c>
    </row>
    <row r="63" spans="1:8" ht="28.8" x14ac:dyDescent="0.55000000000000004">
      <c r="A63" s="12">
        <v>46100</v>
      </c>
      <c r="B63" s="166"/>
      <c r="C63" s="13" t="s">
        <v>466</v>
      </c>
      <c r="D63" s="10">
        <v>1</v>
      </c>
      <c r="E63" s="10">
        <v>10000</v>
      </c>
      <c r="F63" s="7">
        <f>+$I$2+(DIVERSCLIENTS[[#This Row],[QUANTITE]]*DIVERSCLIENTS[[#This Row],[PRIX UNITAIRE]])</f>
        <v>10000</v>
      </c>
      <c r="G63" s="14"/>
      <c r="H63" s="6">
        <f>+SUM($F$9:F63)-SUM($G$9:G63)</f>
        <v>4155000</v>
      </c>
    </row>
    <row r="64" spans="1:8" ht="28.8" x14ac:dyDescent="0.55000000000000004">
      <c r="A64" s="12">
        <v>46100</v>
      </c>
      <c r="B64" s="166"/>
      <c r="C64" s="13" t="s">
        <v>3485</v>
      </c>
      <c r="D64" s="10">
        <v>1</v>
      </c>
      <c r="E64" s="10">
        <v>10000</v>
      </c>
      <c r="F64" s="7">
        <f>+$I$2+(DIVERSCLIENTS[[#This Row],[QUANTITE]]*DIVERSCLIENTS[[#This Row],[PRIX UNITAIRE]])</f>
        <v>10000</v>
      </c>
      <c r="G64" s="14"/>
      <c r="H64" s="6">
        <f>+SUM($F$9:F64)-SUM($G$9:G64)</f>
        <v>4165000</v>
      </c>
    </row>
    <row r="65" spans="1:8" ht="28.8" x14ac:dyDescent="0.55000000000000004">
      <c r="A65" s="12">
        <v>46100</v>
      </c>
      <c r="B65" s="166"/>
      <c r="C65" s="13" t="s">
        <v>819</v>
      </c>
      <c r="D65" s="10">
        <v>1</v>
      </c>
      <c r="E65" s="10">
        <v>35000</v>
      </c>
      <c r="F65" s="7">
        <f>+$I$2+(DIVERSCLIENTS[[#This Row],[QUANTITE]]*DIVERSCLIENTS[[#This Row],[PRIX UNITAIRE]])</f>
        <v>35000</v>
      </c>
      <c r="G65" s="14"/>
      <c r="H65" s="6">
        <f>+SUM($F$9:F65)-SUM($G$9:G65)</f>
        <v>4200000</v>
      </c>
    </row>
    <row r="66" spans="1:8" ht="28.8" x14ac:dyDescent="0.55000000000000004">
      <c r="A66" s="12"/>
      <c r="B66" s="166"/>
      <c r="C66" s="13"/>
      <c r="D66" s="10"/>
      <c r="E66" s="10"/>
      <c r="F66" s="7">
        <f>+$I$2+(DIVERSCLIENTS[[#This Row],[QUANTITE]]*DIVERSCLIENTS[[#This Row],[PRIX UNITAIRE]])</f>
        <v>0</v>
      </c>
      <c r="G66" s="14"/>
      <c r="H66" s="6">
        <f>+SUM($F$9:F66)-SUM($G$9:G66)</f>
        <v>4200000</v>
      </c>
    </row>
    <row r="67" spans="1:8" ht="28.8" x14ac:dyDescent="0.55000000000000004">
      <c r="A67" s="12"/>
      <c r="B67" s="166"/>
      <c r="C67" s="13"/>
      <c r="D67" s="10"/>
      <c r="E67" s="10"/>
      <c r="F67" s="7">
        <f>+$I$2+(DIVERSCLIENTS[[#This Row],[QUANTITE]]*DIVERSCLIENTS[[#This Row],[PRIX UNITAIRE]])</f>
        <v>0</v>
      </c>
      <c r="G67" s="14"/>
      <c r="H67" s="6">
        <f>+SUM($F$9:F67)-SUM($G$9:G67)</f>
        <v>4200000</v>
      </c>
    </row>
    <row r="68" spans="1:8" ht="28.8" x14ac:dyDescent="0.55000000000000004">
      <c r="A68" s="12"/>
      <c r="B68" s="166"/>
      <c r="C68" s="13"/>
      <c r="D68" s="10"/>
      <c r="E68" s="10"/>
      <c r="F68" s="7">
        <f>+$I$2+(DIVERSCLIENTS[[#This Row],[QUANTITE]]*DIVERSCLIENTS[[#This Row],[PRIX UNITAIRE]])</f>
        <v>0</v>
      </c>
      <c r="G68" s="14"/>
      <c r="H68" s="6">
        <f>+SUM($F$9:F68)-SUM($G$9:G68)</f>
        <v>4200000</v>
      </c>
    </row>
    <row r="69" spans="1:8" ht="28.8" x14ac:dyDescent="0.55000000000000004">
      <c r="A69" s="12"/>
      <c r="B69" s="166"/>
      <c r="C69" s="13"/>
      <c r="D69" s="10"/>
      <c r="E69" s="10"/>
      <c r="F69" s="7">
        <f>+$I$2+(DIVERSCLIENTS[[#This Row],[QUANTITE]]*DIVERSCLIENTS[[#This Row],[PRIX UNITAIRE]])</f>
        <v>0</v>
      </c>
      <c r="G69" s="14"/>
      <c r="H69" s="6">
        <f>+SUM($F$9:F69)-SUM($G$9:G69)</f>
        <v>4200000</v>
      </c>
    </row>
  </sheetData>
  <sheetProtection selectLockedCells="1" autoFilter="0"/>
  <mergeCells count="1">
    <mergeCell ref="B6:C6"/>
  </mergeCells>
  <conditionalFormatting sqref="C9:C69">
    <cfRule type="expression" dxfId="772" priority="5">
      <formula>$G9</formula>
    </cfRule>
  </conditionalFormatting>
  <conditionalFormatting sqref="G4">
    <cfRule type="cellIs" dxfId="771" priority="2" operator="lessThan">
      <formula>0</formula>
    </cfRule>
    <cfRule type="cellIs" dxfId="770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B69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/>
  <dimension ref="A1:I69"/>
  <sheetViews>
    <sheetView showGridLines="0" zoomScale="60" zoomScaleNormal="60" zoomScaleSheetLayoutView="70" workbookViewId="0">
      <pane ySplit="8" topLeftCell="A9" activePane="bottomLeft" state="frozen"/>
      <selection activeCell="L10" sqref="L10"/>
      <selection pane="bottomLeft" activeCell="A5" sqref="A5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6.4414062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+SUM(SOGODO[TOTAL MONTANT])</f>
        <v>2047500</v>
      </c>
      <c r="F4" s="41">
        <f>+SUM(SOGODO[VERSEMENT])</f>
        <v>1000000</v>
      </c>
      <c r="G4" s="130">
        <f>+E4-F4</f>
        <v>1047500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398</v>
      </c>
      <c r="C6" s="169"/>
      <c r="D6" s="132"/>
      <c r="E6" s="135" t="b">
        <v>0</v>
      </c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45788</v>
      </c>
      <c r="B9" s="13" t="s">
        <v>399</v>
      </c>
      <c r="C9" s="10">
        <v>1</v>
      </c>
      <c r="D9" s="10">
        <v>220000</v>
      </c>
      <c r="E9" s="7">
        <f>+$I$2+(SOGODO[[#This Row],[QUANTITE]]*SOGODO[[#This Row],[PRIX UNITAIRE]])</f>
        <v>220000</v>
      </c>
      <c r="F9" s="20"/>
      <c r="G9" s="6">
        <f>+SUM(E$9:$E9)-SUM(F$9:$F9)</f>
        <v>220000</v>
      </c>
    </row>
    <row r="10" spans="1:9" ht="28.8" x14ac:dyDescent="0.55000000000000004">
      <c r="A10" s="12">
        <v>45789</v>
      </c>
      <c r="B10" s="13" t="s">
        <v>400</v>
      </c>
      <c r="C10" s="10">
        <v>13</v>
      </c>
      <c r="D10" s="10">
        <v>110000</v>
      </c>
      <c r="E10" s="7">
        <f>+$I$2+(SOGODO[[#This Row],[QUANTITE]]*SOGODO[[#This Row],[PRIX UNITAIRE]])</f>
        <v>1430000</v>
      </c>
      <c r="F10" s="14"/>
      <c r="G10" s="6">
        <f>+SUM(E$9:$E10)-SUM(F$9:$F10)</f>
        <v>1650000</v>
      </c>
    </row>
    <row r="11" spans="1:9" ht="28.8" x14ac:dyDescent="0.55000000000000004">
      <c r="A11" s="12">
        <v>45790</v>
      </c>
      <c r="B11" s="13" t="s">
        <v>401</v>
      </c>
      <c r="C11" s="10">
        <v>3</v>
      </c>
      <c r="D11" s="10">
        <v>132500</v>
      </c>
      <c r="E11" s="7">
        <f>+$I$2+(SOGODO[[#This Row],[QUANTITE]]*SOGODO[[#This Row],[PRIX UNITAIRE]])</f>
        <v>397500</v>
      </c>
      <c r="F11" s="14"/>
      <c r="G11" s="6">
        <f>+SUM(E$9:$E11)-SUM(F$9:$F11)</f>
        <v>2047500</v>
      </c>
    </row>
    <row r="12" spans="1:9" ht="28.8" x14ac:dyDescent="0.55000000000000004">
      <c r="A12" s="12"/>
      <c r="B12" s="13"/>
      <c r="C12" s="10"/>
      <c r="D12" s="10"/>
      <c r="E12" s="7">
        <f>+$I$2+(SOGODO[[#This Row],[QUANTITE]]*SOGODO[[#This Row],[PRIX UNITAIRE]])</f>
        <v>0</v>
      </c>
      <c r="F12" s="14">
        <v>1000000</v>
      </c>
      <c r="G12" s="6">
        <f>+SUM(E$9:$E12)-SUM(F$9:$F12)</f>
        <v>1047500</v>
      </c>
    </row>
    <row r="13" spans="1:9" ht="28.8" x14ac:dyDescent="0.55000000000000004">
      <c r="A13" s="12"/>
      <c r="B13" s="13"/>
      <c r="C13" s="10"/>
      <c r="D13" s="10"/>
      <c r="E13" s="7">
        <f>+$I$2+(SOGODO[[#This Row],[QUANTITE]]*SOGODO[[#This Row],[PRIX UNITAIRE]])</f>
        <v>0</v>
      </c>
      <c r="F13" s="14"/>
      <c r="G13" s="6">
        <f>+SUM(E$9:$E13)-SUM(F$9:$F13)</f>
        <v>1047500</v>
      </c>
    </row>
    <row r="14" spans="1:9" ht="28.8" x14ac:dyDescent="0.55000000000000004">
      <c r="A14" s="12"/>
      <c r="B14" s="13"/>
      <c r="C14" s="10"/>
      <c r="D14" s="10"/>
      <c r="E14" s="7">
        <f>+$I$2+(SOGODO[[#This Row],[QUANTITE]]*SOGODO[[#This Row],[PRIX UNITAIRE]])</f>
        <v>0</v>
      </c>
      <c r="F14" s="14"/>
      <c r="G14" s="6">
        <f>+SUM(E$9:$E14)-SUM(F$9:$F14)</f>
        <v>1047500</v>
      </c>
    </row>
    <row r="15" spans="1:9" ht="28.8" x14ac:dyDescent="0.55000000000000004">
      <c r="A15" s="12"/>
      <c r="B15" s="13"/>
      <c r="C15" s="10"/>
      <c r="D15" s="10"/>
      <c r="E15" s="7">
        <f>+$I$2+(SOGODO[[#This Row],[QUANTITE]]*SOGODO[[#This Row],[PRIX UNITAIRE]])</f>
        <v>0</v>
      </c>
      <c r="F15" s="14"/>
      <c r="G15" s="6">
        <f>+SUM(E$9:$E15)-SUM(F$9:$F15)</f>
        <v>1047500</v>
      </c>
    </row>
    <row r="16" spans="1:9" ht="28.8" x14ac:dyDescent="0.55000000000000004">
      <c r="A16" s="12"/>
      <c r="B16" s="13"/>
      <c r="C16" s="10"/>
      <c r="D16" s="10"/>
      <c r="E16" s="7">
        <f>+$I$2+(SOGODO[[#This Row],[QUANTITE]]*SOGODO[[#This Row],[PRIX UNITAIRE]])</f>
        <v>0</v>
      </c>
      <c r="F16" s="14"/>
      <c r="G16" s="6">
        <f>+SUM(E$9:$E16)-SUM(F$9:$F16)</f>
        <v>1047500</v>
      </c>
    </row>
    <row r="17" spans="1:7" ht="28.8" x14ac:dyDescent="0.55000000000000004">
      <c r="A17" s="12"/>
      <c r="B17" s="13"/>
      <c r="C17" s="10"/>
      <c r="D17" s="10"/>
      <c r="E17" s="7">
        <f>+$I$2+(SOGODO[[#This Row],[QUANTITE]]*SOGODO[[#This Row],[PRIX UNITAIRE]])</f>
        <v>0</v>
      </c>
      <c r="F17" s="14"/>
      <c r="G17" s="6">
        <f>+SUM(E$9:$E17)-SUM(F$9:$F17)</f>
        <v>1047500</v>
      </c>
    </row>
    <row r="18" spans="1:7" ht="28.8" x14ac:dyDescent="0.55000000000000004">
      <c r="A18" s="12"/>
      <c r="B18" s="13"/>
      <c r="C18" s="10"/>
      <c r="D18" s="10"/>
      <c r="E18" s="7">
        <f>+$I$2+(SOGODO[[#This Row],[QUANTITE]]*SOGODO[[#This Row],[PRIX UNITAIRE]])</f>
        <v>0</v>
      </c>
      <c r="F18" s="14"/>
      <c r="G18" s="6">
        <f>+SUM(E$9:$E18)-SUM(F$9:$F18)</f>
        <v>1047500</v>
      </c>
    </row>
    <row r="19" spans="1:7" ht="28.8" x14ac:dyDescent="0.55000000000000004">
      <c r="A19" s="12"/>
      <c r="B19" s="13"/>
      <c r="C19" s="10"/>
      <c r="D19" s="10"/>
      <c r="E19" s="7">
        <f>+$I$2+(SOGODO[[#This Row],[QUANTITE]]*SOGODO[[#This Row],[PRIX UNITAIRE]])</f>
        <v>0</v>
      </c>
      <c r="F19" s="14"/>
      <c r="G19" s="6">
        <f>+SUM(E$9:$E19)-SUM(F$9:$F19)</f>
        <v>1047500</v>
      </c>
    </row>
    <row r="20" spans="1:7" ht="28.8" x14ac:dyDescent="0.55000000000000004">
      <c r="A20" s="12"/>
      <c r="B20" s="13"/>
      <c r="C20" s="10"/>
      <c r="D20" s="10"/>
      <c r="E20" s="7">
        <f>+$I$2+(SOGODO[[#This Row],[QUANTITE]]*SOGODO[[#This Row],[PRIX UNITAIRE]])</f>
        <v>0</v>
      </c>
      <c r="F20" s="14"/>
      <c r="G20" s="6">
        <f>+SUM(E$9:$E20)-SUM(F$9:$F20)</f>
        <v>1047500</v>
      </c>
    </row>
    <row r="21" spans="1:7" ht="28.8" x14ac:dyDescent="0.55000000000000004">
      <c r="A21" s="12"/>
      <c r="B21" s="13"/>
      <c r="C21" s="10"/>
      <c r="D21" s="10"/>
      <c r="E21" s="7">
        <f>+$I$2+(SOGODO[[#This Row],[QUANTITE]]*SOGODO[[#This Row],[PRIX UNITAIRE]])</f>
        <v>0</v>
      </c>
      <c r="F21" s="14"/>
      <c r="G21" s="6">
        <f>+SUM(E$9:$E21)-SUM(F$9:$F21)</f>
        <v>1047500</v>
      </c>
    </row>
    <row r="22" spans="1:7" ht="28.8" x14ac:dyDescent="0.55000000000000004">
      <c r="A22" s="12"/>
      <c r="B22" s="13"/>
      <c r="C22" s="10"/>
      <c r="D22" s="10"/>
      <c r="E22" s="7">
        <f>+$I$2+(SOGODO[[#This Row],[QUANTITE]]*SOGODO[[#This Row],[PRIX UNITAIRE]])</f>
        <v>0</v>
      </c>
      <c r="F22" s="14"/>
      <c r="G22" s="6">
        <f>+SUM(E$9:$E22)-SUM(F$9:$F22)</f>
        <v>1047500</v>
      </c>
    </row>
    <row r="23" spans="1:7" ht="28.8" x14ac:dyDescent="0.55000000000000004">
      <c r="A23" s="12"/>
      <c r="B23" s="13"/>
      <c r="C23" s="10"/>
      <c r="D23" s="10"/>
      <c r="E23" s="7">
        <f>+$I$2+(SOGODO[[#This Row],[QUANTITE]]*SOGODO[[#This Row],[PRIX UNITAIRE]])</f>
        <v>0</v>
      </c>
      <c r="F23" s="14"/>
      <c r="G23" s="6">
        <f>+SUM(E$9:$E23)-SUM(F$9:$F23)</f>
        <v>1047500</v>
      </c>
    </row>
    <row r="24" spans="1:7" ht="28.8" x14ac:dyDescent="0.55000000000000004">
      <c r="A24" s="12"/>
      <c r="B24" s="13"/>
      <c r="C24" s="10"/>
      <c r="D24" s="10"/>
      <c r="E24" s="7">
        <f>+$I$2+(SOGODO[[#This Row],[QUANTITE]]*SOGODO[[#This Row],[PRIX UNITAIRE]])</f>
        <v>0</v>
      </c>
      <c r="F24" s="14"/>
      <c r="G24" s="6">
        <f>+SUM(E$9:$E24)-SUM(F$9:$F24)</f>
        <v>1047500</v>
      </c>
    </row>
    <row r="25" spans="1:7" ht="28.8" x14ac:dyDescent="0.55000000000000004">
      <c r="A25" s="12"/>
      <c r="B25" s="13"/>
      <c r="C25" s="10"/>
      <c r="D25" s="10"/>
      <c r="E25" s="7">
        <f>+$I$2+(SOGODO[[#This Row],[QUANTITE]]*SOGODO[[#This Row],[PRIX UNITAIRE]])</f>
        <v>0</v>
      </c>
      <c r="F25" s="14"/>
      <c r="G25" s="6">
        <f>+SUM(E$9:$E25)-SUM(F$9:$F25)</f>
        <v>1047500</v>
      </c>
    </row>
    <row r="26" spans="1:7" ht="28.8" x14ac:dyDescent="0.55000000000000004">
      <c r="A26" s="12"/>
      <c r="B26" s="13"/>
      <c r="C26" s="10"/>
      <c r="D26" s="10"/>
      <c r="E26" s="7">
        <f>+$I$2+(SOGODO[[#This Row],[QUANTITE]]*SOGODO[[#This Row],[PRIX UNITAIRE]])</f>
        <v>0</v>
      </c>
      <c r="F26" s="14"/>
      <c r="G26" s="6">
        <f>+SUM(E$9:$E26)-SUM(F$9:$F26)</f>
        <v>1047500</v>
      </c>
    </row>
    <row r="27" spans="1:7" ht="28.8" x14ac:dyDescent="0.55000000000000004">
      <c r="A27" s="12"/>
      <c r="B27" s="13"/>
      <c r="C27" s="10"/>
      <c r="D27" s="10"/>
      <c r="E27" s="7">
        <f>+$I$2+(SOGODO[[#This Row],[QUANTITE]]*SOGODO[[#This Row],[PRIX UNITAIRE]])</f>
        <v>0</v>
      </c>
      <c r="F27" s="14"/>
      <c r="G27" s="6">
        <f>+SUM(E$9:$E27)-SUM(F$9:$F27)</f>
        <v>1047500</v>
      </c>
    </row>
    <row r="28" spans="1:7" ht="28.8" x14ac:dyDescent="0.55000000000000004">
      <c r="A28" s="12"/>
      <c r="B28" s="13"/>
      <c r="C28" s="10"/>
      <c r="D28" s="10"/>
      <c r="E28" s="7">
        <f>+$I$2+(SOGODO[[#This Row],[QUANTITE]]*SOGODO[[#This Row],[PRIX UNITAIRE]])</f>
        <v>0</v>
      </c>
      <c r="F28" s="14"/>
      <c r="G28" s="6">
        <f>+SUM(E$9:$E28)-SUM(F$9:$F28)</f>
        <v>1047500</v>
      </c>
    </row>
    <row r="29" spans="1:7" ht="28.8" x14ac:dyDescent="0.55000000000000004">
      <c r="A29" s="12"/>
      <c r="B29" s="13"/>
      <c r="C29" s="10"/>
      <c r="D29" s="10"/>
      <c r="E29" s="7">
        <f>+$I$2+(SOGODO[[#This Row],[QUANTITE]]*SOGODO[[#This Row],[PRIX UNITAIRE]])</f>
        <v>0</v>
      </c>
      <c r="F29" s="14"/>
      <c r="G29" s="6">
        <f>+SUM(E$9:$E29)-SUM(F$9:$F29)</f>
        <v>1047500</v>
      </c>
    </row>
    <row r="30" spans="1:7" ht="28.8" x14ac:dyDescent="0.55000000000000004">
      <c r="A30" s="12"/>
      <c r="B30" s="13"/>
      <c r="C30" s="10"/>
      <c r="D30" s="10"/>
      <c r="E30" s="7">
        <f>+$I$2+(SOGODO[[#This Row],[QUANTITE]]*SOGODO[[#This Row],[PRIX UNITAIRE]])</f>
        <v>0</v>
      </c>
      <c r="F30" s="14"/>
      <c r="G30" s="6">
        <f>+SUM(E$9:$E30)-SUM(F$9:$F30)</f>
        <v>1047500</v>
      </c>
    </row>
    <row r="31" spans="1:7" ht="28.8" x14ac:dyDescent="0.55000000000000004">
      <c r="A31" s="12"/>
      <c r="B31" s="13"/>
      <c r="C31" s="10"/>
      <c r="D31" s="10"/>
      <c r="E31" s="7">
        <f>+$I$2+(SOGODO[[#This Row],[QUANTITE]]*SOGODO[[#This Row],[PRIX UNITAIRE]])</f>
        <v>0</v>
      </c>
      <c r="F31" s="14"/>
      <c r="G31" s="6">
        <f>+SUM(E$9:$E31)-SUM(F$9:$F31)</f>
        <v>1047500</v>
      </c>
    </row>
    <row r="32" spans="1:7" ht="28.8" x14ac:dyDescent="0.55000000000000004">
      <c r="A32" s="12"/>
      <c r="B32" s="13"/>
      <c r="C32" s="10"/>
      <c r="D32" s="10"/>
      <c r="E32" s="7">
        <f>+$I$2+(SOGODO[[#This Row],[QUANTITE]]*SOGODO[[#This Row],[PRIX UNITAIRE]])</f>
        <v>0</v>
      </c>
      <c r="F32" s="14"/>
      <c r="G32" s="6">
        <f>+SUM(E$9:$E32)-SUM(F$9:$F32)</f>
        <v>1047500</v>
      </c>
    </row>
    <row r="33" spans="1:7" ht="28.8" x14ac:dyDescent="0.55000000000000004">
      <c r="A33" s="12"/>
      <c r="B33" s="13"/>
      <c r="C33" s="10"/>
      <c r="D33" s="10"/>
      <c r="E33" s="7">
        <f>+$I$2+(SOGODO[[#This Row],[QUANTITE]]*SOGODO[[#This Row],[PRIX UNITAIRE]])</f>
        <v>0</v>
      </c>
      <c r="F33" s="14"/>
      <c r="G33" s="6">
        <f>+SUM(E$9:$E33)-SUM(F$9:$F33)</f>
        <v>1047500</v>
      </c>
    </row>
    <row r="34" spans="1:7" ht="28.8" x14ac:dyDescent="0.55000000000000004">
      <c r="A34" s="12"/>
      <c r="B34" s="13"/>
      <c r="C34" s="10"/>
      <c r="D34" s="10"/>
      <c r="E34" s="7">
        <f>+$I$2+(SOGODO[[#This Row],[QUANTITE]]*SOGODO[[#This Row],[PRIX UNITAIRE]])</f>
        <v>0</v>
      </c>
      <c r="F34" s="14"/>
      <c r="G34" s="6">
        <f>+SUM(E$9:$E34)-SUM(F$9:$F34)</f>
        <v>1047500</v>
      </c>
    </row>
    <row r="35" spans="1:7" ht="28.8" x14ac:dyDescent="0.55000000000000004">
      <c r="A35" s="12"/>
      <c r="B35" s="13"/>
      <c r="C35" s="10"/>
      <c r="D35" s="10"/>
      <c r="E35" s="7">
        <f>+$I$2+(SOGODO[[#This Row],[QUANTITE]]*SOGODO[[#This Row],[PRIX UNITAIRE]])</f>
        <v>0</v>
      </c>
      <c r="F35" s="14"/>
      <c r="G35" s="6">
        <f>+SUM(E$9:$E35)-SUM(F$9:$F35)</f>
        <v>1047500</v>
      </c>
    </row>
    <row r="36" spans="1:7" ht="28.8" x14ac:dyDescent="0.55000000000000004">
      <c r="A36" s="12"/>
      <c r="B36" s="13"/>
      <c r="C36" s="10"/>
      <c r="D36" s="10"/>
      <c r="E36" s="7">
        <f>+$I$2+(SOGODO[[#This Row],[QUANTITE]]*SOGODO[[#This Row],[PRIX UNITAIRE]])</f>
        <v>0</v>
      </c>
      <c r="F36" s="14"/>
      <c r="G36" s="6">
        <f>+SUM(E$9:$E36)-SUM(F$9:$F36)</f>
        <v>1047500</v>
      </c>
    </row>
    <row r="37" spans="1:7" ht="28.8" x14ac:dyDescent="0.55000000000000004">
      <c r="A37" s="12"/>
      <c r="B37" s="13"/>
      <c r="C37" s="10"/>
      <c r="D37" s="10"/>
      <c r="E37" s="7">
        <f>+$I$2+(SOGODO[[#This Row],[QUANTITE]]*SOGODO[[#This Row],[PRIX UNITAIRE]])</f>
        <v>0</v>
      </c>
      <c r="F37" s="14"/>
      <c r="G37" s="6">
        <f>+SUM(E$9:$E37)-SUM(F$9:$F37)</f>
        <v>1047500</v>
      </c>
    </row>
    <row r="38" spans="1:7" ht="28.8" x14ac:dyDescent="0.55000000000000004">
      <c r="A38" s="12"/>
      <c r="B38" s="13"/>
      <c r="C38" s="10"/>
      <c r="D38" s="10"/>
      <c r="E38" s="7">
        <f>+$I$2+(SOGODO[[#This Row],[QUANTITE]]*SOGODO[[#This Row],[PRIX UNITAIRE]])</f>
        <v>0</v>
      </c>
      <c r="F38" s="14"/>
      <c r="G38" s="6">
        <f>+SUM(E$9:$E38)-SUM(F$9:$F38)</f>
        <v>1047500</v>
      </c>
    </row>
    <row r="39" spans="1:7" ht="28.8" x14ac:dyDescent="0.55000000000000004">
      <c r="A39" s="12"/>
      <c r="B39" s="13"/>
      <c r="C39" s="10"/>
      <c r="D39" s="10"/>
      <c r="E39" s="7">
        <f>+$I$2+(SOGODO[[#This Row],[QUANTITE]]*SOGODO[[#This Row],[PRIX UNITAIRE]])</f>
        <v>0</v>
      </c>
      <c r="F39" s="14"/>
      <c r="G39" s="6">
        <f>+SUM(E$9:$E39)-SUM(F$9:$F39)</f>
        <v>1047500</v>
      </c>
    </row>
    <row r="40" spans="1:7" ht="28.8" x14ac:dyDescent="0.55000000000000004">
      <c r="A40" s="12"/>
      <c r="B40" s="13"/>
      <c r="C40" s="10"/>
      <c r="D40" s="10"/>
      <c r="E40" s="7">
        <f>+$I$2+(SOGODO[[#This Row],[QUANTITE]]*SOGODO[[#This Row],[PRIX UNITAIRE]])</f>
        <v>0</v>
      </c>
      <c r="F40" s="14"/>
      <c r="G40" s="6">
        <f>+SUM(E$9:$E40)-SUM(F$9:$F40)</f>
        <v>1047500</v>
      </c>
    </row>
    <row r="41" spans="1:7" ht="28.8" x14ac:dyDescent="0.55000000000000004">
      <c r="A41" s="12"/>
      <c r="B41" s="13"/>
      <c r="C41" s="10"/>
      <c r="D41" s="10"/>
      <c r="E41" s="7">
        <f>+$I$2+(SOGODO[[#This Row],[QUANTITE]]*SOGODO[[#This Row],[PRIX UNITAIRE]])</f>
        <v>0</v>
      </c>
      <c r="F41" s="14"/>
      <c r="G41" s="6">
        <f>+SUM(E$9:$E41)-SUM(F$9:$F41)</f>
        <v>1047500</v>
      </c>
    </row>
    <row r="42" spans="1:7" ht="28.8" x14ac:dyDescent="0.55000000000000004">
      <c r="A42" s="12"/>
      <c r="B42" s="13"/>
      <c r="C42" s="10"/>
      <c r="D42" s="10"/>
      <c r="E42" s="7">
        <f>+$I$2+(SOGODO[[#This Row],[QUANTITE]]*SOGODO[[#This Row],[PRIX UNITAIRE]])</f>
        <v>0</v>
      </c>
      <c r="F42" s="14"/>
      <c r="G42" s="6">
        <f>+SUM(E$9:$E42)-SUM(F$9:$F42)</f>
        <v>1047500</v>
      </c>
    </row>
    <row r="43" spans="1:7" ht="28.8" x14ac:dyDescent="0.55000000000000004">
      <c r="A43" s="12"/>
      <c r="B43" s="13"/>
      <c r="C43" s="10"/>
      <c r="D43" s="10"/>
      <c r="E43" s="7">
        <f>+$I$2+(SOGODO[[#This Row],[QUANTITE]]*SOGODO[[#This Row],[PRIX UNITAIRE]])</f>
        <v>0</v>
      </c>
      <c r="F43" s="14"/>
      <c r="G43" s="6">
        <f>+SUM(E$9:$E43)-SUM(F$9:$F43)</f>
        <v>1047500</v>
      </c>
    </row>
    <row r="44" spans="1:7" ht="28.8" x14ac:dyDescent="0.55000000000000004">
      <c r="A44" s="12"/>
      <c r="B44" s="13"/>
      <c r="C44" s="10"/>
      <c r="D44" s="10"/>
      <c r="E44" s="7">
        <f>+$I$2+(SOGODO[[#This Row],[QUANTITE]]*SOGODO[[#This Row],[PRIX UNITAIRE]])</f>
        <v>0</v>
      </c>
      <c r="F44" s="14"/>
      <c r="G44" s="6">
        <f>+SUM(E$9:$E44)-SUM(F$9:$F44)</f>
        <v>1047500</v>
      </c>
    </row>
    <row r="45" spans="1:7" ht="28.8" x14ac:dyDescent="0.55000000000000004">
      <c r="A45" s="12"/>
      <c r="B45" s="13"/>
      <c r="C45" s="10"/>
      <c r="D45" s="10"/>
      <c r="E45" s="7">
        <f>+$I$2+(SOGODO[[#This Row],[QUANTITE]]*SOGODO[[#This Row],[PRIX UNITAIRE]])</f>
        <v>0</v>
      </c>
      <c r="F45" s="14"/>
      <c r="G45" s="6">
        <f>+SUM(E$9:$E45)-SUM(F$9:$F45)</f>
        <v>1047500</v>
      </c>
    </row>
    <row r="46" spans="1:7" ht="28.8" x14ac:dyDescent="0.55000000000000004">
      <c r="A46" s="12"/>
      <c r="B46" s="13"/>
      <c r="C46" s="10"/>
      <c r="D46" s="10"/>
      <c r="E46" s="7">
        <f>+$I$2+(SOGODO[[#This Row],[QUANTITE]]*SOGODO[[#This Row],[PRIX UNITAIRE]])</f>
        <v>0</v>
      </c>
      <c r="F46" s="14"/>
      <c r="G46" s="6">
        <f>+SUM(E$9:$E46)-SUM(F$9:$F46)</f>
        <v>1047500</v>
      </c>
    </row>
    <row r="47" spans="1:7" ht="28.8" x14ac:dyDescent="0.55000000000000004">
      <c r="A47" s="12"/>
      <c r="B47" s="13"/>
      <c r="C47" s="10"/>
      <c r="D47" s="10"/>
      <c r="E47" s="7">
        <f>+$I$2+(SOGODO[[#This Row],[QUANTITE]]*SOGODO[[#This Row],[PRIX UNITAIRE]])</f>
        <v>0</v>
      </c>
      <c r="F47" s="14"/>
      <c r="G47" s="6">
        <f>+SUM(E$9:$E47)-SUM(F$9:$F47)</f>
        <v>1047500</v>
      </c>
    </row>
    <row r="48" spans="1:7" ht="28.8" x14ac:dyDescent="0.55000000000000004">
      <c r="A48" s="12"/>
      <c r="B48" s="13"/>
      <c r="C48" s="10"/>
      <c r="D48" s="10"/>
      <c r="E48" s="7">
        <f>+$I$2+(SOGODO[[#This Row],[QUANTITE]]*SOGODO[[#This Row],[PRIX UNITAIRE]])</f>
        <v>0</v>
      </c>
      <c r="F48" s="14"/>
      <c r="G48" s="6">
        <f>+SUM(E$9:$E48)-SUM(F$9:$F48)</f>
        <v>1047500</v>
      </c>
    </row>
    <row r="49" spans="1:7" ht="28.8" x14ac:dyDescent="0.55000000000000004">
      <c r="A49" s="12"/>
      <c r="B49" s="13"/>
      <c r="C49" s="10"/>
      <c r="D49" s="10"/>
      <c r="E49" s="7">
        <f>+$I$2+(SOGODO[[#This Row],[QUANTITE]]*SOGODO[[#This Row],[PRIX UNITAIRE]])</f>
        <v>0</v>
      </c>
      <c r="F49" s="14"/>
      <c r="G49" s="6">
        <f>+SUM(E$9:$E49)-SUM(F$9:$F49)</f>
        <v>1047500</v>
      </c>
    </row>
    <row r="50" spans="1:7" ht="28.8" x14ac:dyDescent="0.55000000000000004">
      <c r="A50" s="12"/>
      <c r="B50" s="13"/>
      <c r="C50" s="10"/>
      <c r="D50" s="10"/>
      <c r="E50" s="7">
        <f>+$I$2+(SOGODO[[#This Row],[QUANTITE]]*SOGODO[[#This Row],[PRIX UNITAIRE]])</f>
        <v>0</v>
      </c>
      <c r="F50" s="14"/>
      <c r="G50" s="6">
        <f>+SUM(E$9:$E50)-SUM(F$9:$F50)</f>
        <v>1047500</v>
      </c>
    </row>
    <row r="51" spans="1:7" ht="28.8" x14ac:dyDescent="0.55000000000000004">
      <c r="A51" s="12"/>
      <c r="B51" s="13"/>
      <c r="C51" s="10"/>
      <c r="D51" s="10"/>
      <c r="E51" s="7">
        <f>+$I$2+(SOGODO[[#This Row],[QUANTITE]]*SOGODO[[#This Row],[PRIX UNITAIRE]])</f>
        <v>0</v>
      </c>
      <c r="F51" s="14"/>
      <c r="G51" s="6">
        <f>+SUM(E$9:$E51)-SUM(F$9:$F51)</f>
        <v>1047500</v>
      </c>
    </row>
    <row r="52" spans="1:7" ht="28.8" x14ac:dyDescent="0.55000000000000004">
      <c r="A52" s="12"/>
      <c r="B52" s="13"/>
      <c r="C52" s="10"/>
      <c r="D52" s="10"/>
      <c r="E52" s="7">
        <f>+$I$2+(SOGODO[[#This Row],[QUANTITE]]*SOGODO[[#This Row],[PRIX UNITAIRE]])</f>
        <v>0</v>
      </c>
      <c r="F52" s="14"/>
      <c r="G52" s="6">
        <f>+SUM(E$9:$E52)-SUM(F$9:$F52)</f>
        <v>1047500</v>
      </c>
    </row>
    <row r="53" spans="1:7" ht="28.8" x14ac:dyDescent="0.55000000000000004">
      <c r="A53" s="12"/>
      <c r="B53" s="13"/>
      <c r="C53" s="10"/>
      <c r="D53" s="10"/>
      <c r="E53" s="7">
        <f>+$I$2+(SOGODO[[#This Row],[QUANTITE]]*SOGODO[[#This Row],[PRIX UNITAIRE]])</f>
        <v>0</v>
      </c>
      <c r="F53" s="14"/>
      <c r="G53" s="6">
        <f>+SUM(E$9:$E53)-SUM(F$9:$F53)</f>
        <v>1047500</v>
      </c>
    </row>
    <row r="54" spans="1:7" ht="28.8" x14ac:dyDescent="0.55000000000000004">
      <c r="A54" s="12"/>
      <c r="B54" s="13"/>
      <c r="C54" s="10"/>
      <c r="D54" s="10"/>
      <c r="E54" s="7">
        <f>+$I$2+(SOGODO[[#This Row],[QUANTITE]]*SOGODO[[#This Row],[PRIX UNITAIRE]])</f>
        <v>0</v>
      </c>
      <c r="F54" s="14"/>
      <c r="G54" s="6">
        <f>+SUM(E$9:$E54)-SUM(F$9:$F54)</f>
        <v>1047500</v>
      </c>
    </row>
    <row r="55" spans="1:7" ht="28.8" x14ac:dyDescent="0.55000000000000004">
      <c r="A55" s="12"/>
      <c r="B55" s="13"/>
      <c r="C55" s="10"/>
      <c r="D55" s="10"/>
      <c r="E55" s="7">
        <f>+$I$2+(SOGODO[[#This Row],[QUANTITE]]*SOGODO[[#This Row],[PRIX UNITAIRE]])</f>
        <v>0</v>
      </c>
      <c r="F55" s="14"/>
      <c r="G55" s="6">
        <f>+SUM(E$9:$E55)-SUM(F$9:$F55)</f>
        <v>1047500</v>
      </c>
    </row>
    <row r="56" spans="1:7" ht="28.8" x14ac:dyDescent="0.55000000000000004">
      <c r="A56" s="12"/>
      <c r="B56" s="13"/>
      <c r="C56" s="10"/>
      <c r="D56" s="10"/>
      <c r="E56" s="7">
        <f>+$I$2+(SOGODO[[#This Row],[QUANTITE]]*SOGODO[[#This Row],[PRIX UNITAIRE]])</f>
        <v>0</v>
      </c>
      <c r="F56" s="14"/>
      <c r="G56" s="6">
        <f>+SUM(E$9:$E56)-SUM(F$9:$F56)</f>
        <v>1047500</v>
      </c>
    </row>
    <row r="57" spans="1:7" ht="28.8" x14ac:dyDescent="0.55000000000000004">
      <c r="A57" s="12"/>
      <c r="B57" s="13"/>
      <c r="C57" s="10"/>
      <c r="D57" s="10"/>
      <c r="E57" s="7">
        <f>+$I$2+(SOGODO[[#This Row],[QUANTITE]]*SOGODO[[#This Row],[PRIX UNITAIRE]])</f>
        <v>0</v>
      </c>
      <c r="F57" s="14"/>
      <c r="G57" s="6">
        <f>+SUM(E$9:$E57)-SUM(F$9:$F57)</f>
        <v>1047500</v>
      </c>
    </row>
    <row r="58" spans="1:7" ht="28.8" x14ac:dyDescent="0.55000000000000004">
      <c r="A58" s="12"/>
      <c r="B58" s="13"/>
      <c r="C58" s="10"/>
      <c r="D58" s="10"/>
      <c r="E58" s="7">
        <f>+$I$2+(SOGODO[[#This Row],[QUANTITE]]*SOGODO[[#This Row],[PRIX UNITAIRE]])</f>
        <v>0</v>
      </c>
      <c r="F58" s="14"/>
      <c r="G58" s="6">
        <f>+SUM(E$9:$E58)-SUM(F$9:$F58)</f>
        <v>1047500</v>
      </c>
    </row>
    <row r="59" spans="1:7" ht="28.8" x14ac:dyDescent="0.55000000000000004">
      <c r="A59" s="12"/>
      <c r="B59" s="13"/>
      <c r="C59" s="10"/>
      <c r="D59" s="10"/>
      <c r="E59" s="7">
        <f>+$I$2+(SOGODO[[#This Row],[QUANTITE]]*SOGODO[[#This Row],[PRIX UNITAIRE]])</f>
        <v>0</v>
      </c>
      <c r="F59" s="14"/>
      <c r="G59" s="6">
        <f>+SUM(E$9:$E59)-SUM(F$9:$F59)</f>
        <v>1047500</v>
      </c>
    </row>
    <row r="60" spans="1:7" ht="28.8" x14ac:dyDescent="0.55000000000000004">
      <c r="A60" s="12"/>
      <c r="B60" s="13"/>
      <c r="C60" s="10"/>
      <c r="D60" s="10"/>
      <c r="E60" s="7">
        <f>+$I$2+(SOGODO[[#This Row],[QUANTITE]]*SOGODO[[#This Row],[PRIX UNITAIRE]])</f>
        <v>0</v>
      </c>
      <c r="F60" s="14"/>
      <c r="G60" s="6">
        <f>+SUM(E$9:$E60)-SUM(F$9:$F60)</f>
        <v>1047500</v>
      </c>
    </row>
    <row r="61" spans="1:7" ht="28.8" x14ac:dyDescent="0.55000000000000004">
      <c r="A61" s="12"/>
      <c r="B61" s="13"/>
      <c r="C61" s="10"/>
      <c r="D61" s="10"/>
      <c r="E61" s="7">
        <f>+$I$2+(SOGODO[[#This Row],[QUANTITE]]*SOGODO[[#This Row],[PRIX UNITAIRE]])</f>
        <v>0</v>
      </c>
      <c r="F61" s="14"/>
      <c r="G61" s="6">
        <f>+SUM(E$9:$E61)-SUM(F$9:$F61)</f>
        <v>1047500</v>
      </c>
    </row>
    <row r="62" spans="1:7" ht="28.8" x14ac:dyDescent="0.55000000000000004">
      <c r="A62" s="12"/>
      <c r="B62" s="13"/>
      <c r="C62" s="10"/>
      <c r="D62" s="10"/>
      <c r="E62" s="7">
        <f>+$I$2+(SOGODO[[#This Row],[QUANTITE]]*SOGODO[[#This Row],[PRIX UNITAIRE]])</f>
        <v>0</v>
      </c>
      <c r="F62" s="14"/>
      <c r="G62" s="6">
        <f>+SUM(E$9:$E62)-SUM(F$9:$F62)</f>
        <v>1047500</v>
      </c>
    </row>
    <row r="63" spans="1:7" ht="28.8" x14ac:dyDescent="0.55000000000000004">
      <c r="A63" s="12"/>
      <c r="B63" s="13"/>
      <c r="C63" s="10"/>
      <c r="D63" s="10"/>
      <c r="E63" s="7">
        <f>+$I$2+(SOGODO[[#This Row],[QUANTITE]]*SOGODO[[#This Row],[PRIX UNITAIRE]])</f>
        <v>0</v>
      </c>
      <c r="F63" s="14"/>
      <c r="G63" s="6">
        <f>+SUM(E$9:$E63)-SUM(F$9:$F63)</f>
        <v>1047500</v>
      </c>
    </row>
    <row r="64" spans="1:7" ht="28.8" x14ac:dyDescent="0.55000000000000004">
      <c r="A64" s="12"/>
      <c r="B64" s="13"/>
      <c r="C64" s="10"/>
      <c r="D64" s="10"/>
      <c r="E64" s="7">
        <f>+$I$2+(SOGODO[[#This Row],[QUANTITE]]*SOGODO[[#This Row],[PRIX UNITAIRE]])</f>
        <v>0</v>
      </c>
      <c r="F64" s="14"/>
      <c r="G64" s="6">
        <f>+SUM(E$9:$E64)-SUM(F$9:$F64)</f>
        <v>1047500</v>
      </c>
    </row>
    <row r="65" spans="1:7" ht="28.8" x14ac:dyDescent="0.55000000000000004">
      <c r="A65" s="12"/>
      <c r="B65" s="13"/>
      <c r="C65" s="10"/>
      <c r="D65" s="10"/>
      <c r="E65" s="7">
        <f>+$I$2+(SOGODO[[#This Row],[QUANTITE]]*SOGODO[[#This Row],[PRIX UNITAIRE]])</f>
        <v>0</v>
      </c>
      <c r="F65" s="14"/>
      <c r="G65" s="6">
        <f>+SUM(E$9:$E65)-SUM(F$9:$F65)</f>
        <v>1047500</v>
      </c>
    </row>
    <row r="66" spans="1:7" ht="28.8" x14ac:dyDescent="0.55000000000000004">
      <c r="A66" s="12"/>
      <c r="B66" s="13"/>
      <c r="C66" s="10"/>
      <c r="D66" s="10"/>
      <c r="E66" s="7">
        <f>+$I$2+(SOGODO[[#This Row],[QUANTITE]]*SOGODO[[#This Row],[PRIX UNITAIRE]])</f>
        <v>0</v>
      </c>
      <c r="F66" s="14"/>
      <c r="G66" s="6">
        <f>+SUM(E$9:$E66)-SUM(F$9:$F66)</f>
        <v>1047500</v>
      </c>
    </row>
    <row r="67" spans="1:7" ht="28.8" x14ac:dyDescent="0.55000000000000004">
      <c r="A67" s="12"/>
      <c r="B67" s="13"/>
      <c r="C67" s="10"/>
      <c r="D67" s="10"/>
      <c r="E67" s="7">
        <f>+$I$2+(SOGODO[[#This Row],[QUANTITE]]*SOGODO[[#This Row],[PRIX UNITAIRE]])</f>
        <v>0</v>
      </c>
      <c r="F67" s="14"/>
      <c r="G67" s="6">
        <f>+SUM(E$9:$E67)-SUM(F$9:$F67)</f>
        <v>1047500</v>
      </c>
    </row>
    <row r="68" spans="1:7" ht="28.8" x14ac:dyDescent="0.55000000000000004">
      <c r="A68" s="12"/>
      <c r="B68" s="13"/>
      <c r="C68" s="10"/>
      <c r="D68" s="10"/>
      <c r="E68" s="7">
        <f>+$I$2+(SOGODO[[#This Row],[QUANTITE]]*SOGODO[[#This Row],[PRIX UNITAIRE]])</f>
        <v>0</v>
      </c>
      <c r="F68" s="14"/>
      <c r="G68" s="6">
        <f>+SUM(E$9:$E68)-SUM(F$9:$F68)</f>
        <v>1047500</v>
      </c>
    </row>
    <row r="69" spans="1:7" ht="28.8" x14ac:dyDescent="0.55000000000000004">
      <c r="A69" s="12"/>
      <c r="B69" s="13"/>
      <c r="C69" s="10"/>
      <c r="D69" s="10"/>
      <c r="E69" s="7">
        <f>+$I$2+(SOGODO[[#This Row],[QUANTITE]]*SOGODO[[#This Row],[PRIX UNITAIRE]])</f>
        <v>0</v>
      </c>
      <c r="F69" s="14"/>
      <c r="G69" s="6">
        <f>+SUM(E$9:$E69)-SUM(F$9:$F69)</f>
        <v>1047500</v>
      </c>
    </row>
  </sheetData>
  <sheetProtection selectLockedCells="1" autoFilter="0"/>
  <mergeCells count="1">
    <mergeCell ref="B6:C6"/>
  </mergeCells>
  <conditionalFormatting sqref="B9:B69">
    <cfRule type="expression" dxfId="751" priority="5">
      <formula>$F9</formula>
    </cfRule>
  </conditionalFormatting>
  <conditionalFormatting sqref="G4">
    <cfRule type="cellIs" dxfId="750" priority="2" operator="lessThan">
      <formula>0</formula>
    </cfRule>
    <cfRule type="cellIs" dxfId="749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69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I69"/>
  <sheetViews>
    <sheetView showGridLines="0" zoomScale="60" zoomScaleNormal="60" workbookViewId="0">
      <pane ySplit="8" topLeftCell="A14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6.4414062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+SUM(ALICHERRI[TOTAL MONTANT])</f>
        <v>1143000</v>
      </c>
      <c r="F4" s="41">
        <f>+SUM(ALICHERRI[VERSEMENT])</f>
        <v>500000</v>
      </c>
      <c r="G4" s="130">
        <f>+E4-F4</f>
        <v>643000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402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45750</v>
      </c>
      <c r="B9" s="13" t="s">
        <v>403</v>
      </c>
      <c r="C9" s="10">
        <v>2</v>
      </c>
      <c r="D9" s="10">
        <v>50000</v>
      </c>
      <c r="E9" s="7">
        <f>+$I$2+(ALICHERRI[[#This Row],[QUANTITE]]*ALICHERRI[[#This Row],[PRIX UNITAIRE]])</f>
        <v>100000</v>
      </c>
      <c r="F9" s="20"/>
      <c r="G9" s="6">
        <f>+SUM(E$9:$E9)-SUM(F$9:$F9)</f>
        <v>100000</v>
      </c>
    </row>
    <row r="10" spans="1:9" ht="28.8" x14ac:dyDescent="0.55000000000000004">
      <c r="A10" s="12">
        <v>45750</v>
      </c>
      <c r="B10" s="13" t="s">
        <v>404</v>
      </c>
      <c r="C10" s="10">
        <v>1</v>
      </c>
      <c r="D10" s="10">
        <v>50000</v>
      </c>
      <c r="E10" s="7">
        <f>+$I$2+(ALICHERRI[[#This Row],[QUANTITE]]*ALICHERRI[[#This Row],[PRIX UNITAIRE]])</f>
        <v>50000</v>
      </c>
      <c r="F10" s="14"/>
      <c r="G10" s="6">
        <f>+SUM(E$9:$E10)-SUM(F$9:$F10)</f>
        <v>150000</v>
      </c>
    </row>
    <row r="11" spans="1:9" ht="28.8" x14ac:dyDescent="0.55000000000000004">
      <c r="A11" s="12">
        <v>45750</v>
      </c>
      <c r="B11" s="13" t="s">
        <v>405</v>
      </c>
      <c r="C11" s="10">
        <v>3</v>
      </c>
      <c r="D11" s="10">
        <v>65000</v>
      </c>
      <c r="E11" s="7">
        <f>+$I$2+(ALICHERRI[[#This Row],[QUANTITE]]*ALICHERRI[[#This Row],[PRIX UNITAIRE]])</f>
        <v>195000</v>
      </c>
      <c r="F11" s="14"/>
      <c r="G11" s="6">
        <f>+SUM(E$9:$E11)-SUM(F$9:$F11)</f>
        <v>345000</v>
      </c>
    </row>
    <row r="12" spans="1:9" ht="28.8" x14ac:dyDescent="0.55000000000000004">
      <c r="A12" s="12">
        <v>45762</v>
      </c>
      <c r="B12" s="13" t="s">
        <v>406</v>
      </c>
      <c r="C12" s="10">
        <v>1</v>
      </c>
      <c r="D12" s="10">
        <v>50000</v>
      </c>
      <c r="E12" s="7">
        <f>+$I$2+(ALICHERRI[[#This Row],[QUANTITE]]*ALICHERRI[[#This Row],[PRIX UNITAIRE]])</f>
        <v>50000</v>
      </c>
      <c r="F12" s="14"/>
      <c r="G12" s="6">
        <f>+SUM(E$9:$E12)-SUM(F$9:$F12)</f>
        <v>395000</v>
      </c>
    </row>
    <row r="13" spans="1:9" ht="28.8" x14ac:dyDescent="0.55000000000000004">
      <c r="A13" s="12">
        <v>45790</v>
      </c>
      <c r="B13" s="13" t="s">
        <v>407</v>
      </c>
      <c r="C13" s="10">
        <v>1</v>
      </c>
      <c r="D13" s="10">
        <v>45000</v>
      </c>
      <c r="E13" s="7">
        <f>+$I$2+(ALICHERRI[[#This Row],[QUANTITE]]*ALICHERRI[[#This Row],[PRIX UNITAIRE]])</f>
        <v>45000</v>
      </c>
      <c r="F13" s="14"/>
      <c r="G13" s="6">
        <f>+SUM(E$9:$E13)-SUM(F$9:$F13)</f>
        <v>440000</v>
      </c>
    </row>
    <row r="14" spans="1:9" ht="28.8" x14ac:dyDescent="0.55000000000000004">
      <c r="A14" s="12">
        <v>45915</v>
      </c>
      <c r="B14" s="13" t="s">
        <v>3040</v>
      </c>
      <c r="C14" s="10">
        <v>1</v>
      </c>
      <c r="D14" s="10">
        <v>80000</v>
      </c>
      <c r="E14" s="7">
        <f>+$I$2+(ALICHERRI[[#This Row],[QUANTITE]]*ALICHERRI[[#This Row],[PRIX UNITAIRE]])</f>
        <v>80000</v>
      </c>
      <c r="F14" s="14"/>
      <c r="G14" s="6">
        <f>+SUM(E$9:$E14)-SUM(F$9:$F14)</f>
        <v>520000</v>
      </c>
    </row>
    <row r="15" spans="1:9" ht="28.8" x14ac:dyDescent="0.55000000000000004">
      <c r="A15" s="12">
        <v>45916</v>
      </c>
      <c r="B15" s="13" t="s">
        <v>451</v>
      </c>
      <c r="C15" s="10"/>
      <c r="D15" s="10"/>
      <c r="E15" s="7">
        <f>+$I$2+(ALICHERRI[[#This Row],[QUANTITE]]*ALICHERRI[[#This Row],[PRIX UNITAIRE]])</f>
        <v>0</v>
      </c>
      <c r="F15" s="14">
        <v>500000</v>
      </c>
      <c r="G15" s="6">
        <f>+SUM(E$9:$E15)-SUM(F$9:$F15)</f>
        <v>20000</v>
      </c>
    </row>
    <row r="16" spans="1:9" ht="28.8" x14ac:dyDescent="0.55000000000000004">
      <c r="A16" s="12">
        <v>45918</v>
      </c>
      <c r="B16" s="13" t="s">
        <v>3065</v>
      </c>
      <c r="C16" s="10">
        <v>4</v>
      </c>
      <c r="D16" s="10">
        <v>40000</v>
      </c>
      <c r="E16" s="7">
        <f>+$I$2+(ALICHERRI[[#This Row],[QUANTITE]]*ALICHERRI[[#This Row],[PRIX UNITAIRE]])</f>
        <v>160000</v>
      </c>
      <c r="F16" s="14"/>
      <c r="G16" s="6">
        <f>+SUM(E$9:$E16)-SUM(F$9:$F16)</f>
        <v>180000</v>
      </c>
    </row>
    <row r="17" spans="1:7" ht="28.8" x14ac:dyDescent="0.55000000000000004">
      <c r="A17" s="12">
        <v>45922</v>
      </c>
      <c r="B17" s="13" t="s">
        <v>3078</v>
      </c>
      <c r="C17" s="10">
        <v>1</v>
      </c>
      <c r="D17" s="10">
        <v>50000</v>
      </c>
      <c r="E17" s="7">
        <f>+$I$2+(ALICHERRI[[#This Row],[QUANTITE]]*ALICHERRI[[#This Row],[PRIX UNITAIRE]])</f>
        <v>50000</v>
      </c>
      <c r="F17" s="14"/>
      <c r="G17" s="6">
        <f>+SUM(E$9:$E17)-SUM(F$9:$F17)</f>
        <v>230000</v>
      </c>
    </row>
    <row r="18" spans="1:7" ht="28.8" x14ac:dyDescent="0.55000000000000004">
      <c r="A18" s="12">
        <v>45925</v>
      </c>
      <c r="B18" s="13" t="s">
        <v>3109</v>
      </c>
      <c r="C18" s="10">
        <v>1</v>
      </c>
      <c r="D18" s="10">
        <v>18000</v>
      </c>
      <c r="E18" s="7">
        <f>+$I$2+(ALICHERRI[[#This Row],[QUANTITE]]*ALICHERRI[[#This Row],[PRIX UNITAIRE]])</f>
        <v>18000</v>
      </c>
      <c r="F18" s="14"/>
      <c r="G18" s="6">
        <f>+SUM(E$9:$E18)-SUM(F$9:$F18)</f>
        <v>248000</v>
      </c>
    </row>
    <row r="19" spans="1:7" ht="28.8" x14ac:dyDescent="0.55000000000000004">
      <c r="A19" s="12">
        <v>45925</v>
      </c>
      <c r="B19" s="13" t="s">
        <v>767</v>
      </c>
      <c r="C19" s="10">
        <v>1</v>
      </c>
      <c r="D19" s="10">
        <v>10000</v>
      </c>
      <c r="E19" s="7">
        <f>+$I$2+(ALICHERRI[[#This Row],[QUANTITE]]*ALICHERRI[[#This Row],[PRIX UNITAIRE]])</f>
        <v>10000</v>
      </c>
      <c r="F19" s="14"/>
      <c r="G19" s="6">
        <f>+SUM(E$9:$E19)-SUM(F$9:$F19)</f>
        <v>258000</v>
      </c>
    </row>
    <row r="20" spans="1:7" ht="28.8" x14ac:dyDescent="0.55000000000000004">
      <c r="A20" s="12">
        <v>45927</v>
      </c>
      <c r="B20" s="13" t="s">
        <v>3112</v>
      </c>
      <c r="C20" s="10">
        <v>1</v>
      </c>
      <c r="D20" s="10">
        <v>10000</v>
      </c>
      <c r="E20" s="7">
        <f>+$I$2+(ALICHERRI[[#This Row],[QUANTITE]]*ALICHERRI[[#This Row],[PRIX UNITAIRE]])</f>
        <v>10000</v>
      </c>
      <c r="F20" s="14"/>
      <c r="G20" s="6">
        <f>+SUM(E$9:$E20)-SUM(F$9:$F20)</f>
        <v>268000</v>
      </c>
    </row>
    <row r="21" spans="1:7" ht="28.8" x14ac:dyDescent="0.55000000000000004">
      <c r="A21" s="12">
        <v>45927</v>
      </c>
      <c r="B21" s="13" t="s">
        <v>3113</v>
      </c>
      <c r="C21" s="10">
        <v>1</v>
      </c>
      <c r="D21" s="10">
        <v>10000</v>
      </c>
      <c r="E21" s="7">
        <f>+$I$2+(ALICHERRI[[#This Row],[QUANTITE]]*ALICHERRI[[#This Row],[PRIX UNITAIRE]])</f>
        <v>10000</v>
      </c>
      <c r="F21" s="14"/>
      <c r="G21" s="6">
        <f>+SUM(E$9:$E21)-SUM(F$9:$F21)</f>
        <v>278000</v>
      </c>
    </row>
    <row r="22" spans="1:7" ht="28.8" x14ac:dyDescent="0.55000000000000004">
      <c r="A22" s="12">
        <v>45927</v>
      </c>
      <c r="B22" s="13" t="s">
        <v>3114</v>
      </c>
      <c r="C22" s="10">
        <v>1</v>
      </c>
      <c r="D22" s="10">
        <v>5000</v>
      </c>
      <c r="E22" s="7">
        <f>+$I$2+(ALICHERRI[[#This Row],[QUANTITE]]*ALICHERRI[[#This Row],[PRIX UNITAIRE]])</f>
        <v>5000</v>
      </c>
      <c r="F22" s="14"/>
      <c r="G22" s="6">
        <f>+SUM(E$9:$E22)-SUM(F$9:$F22)</f>
        <v>283000</v>
      </c>
    </row>
    <row r="23" spans="1:7" ht="28.8" x14ac:dyDescent="0.55000000000000004">
      <c r="A23" s="12">
        <v>45933</v>
      </c>
      <c r="B23" s="13" t="s">
        <v>3148</v>
      </c>
      <c r="C23" s="10">
        <v>1</v>
      </c>
      <c r="D23" s="10">
        <v>50000</v>
      </c>
      <c r="E23" s="7">
        <f>+$I$2+(ALICHERRI[[#This Row],[QUANTITE]]*ALICHERRI[[#This Row],[PRIX UNITAIRE]])</f>
        <v>50000</v>
      </c>
      <c r="F23" s="14"/>
      <c r="G23" s="6">
        <f>+SUM(E$9:$E23)-SUM(F$9:$F23)</f>
        <v>333000</v>
      </c>
    </row>
    <row r="24" spans="1:7" ht="28.8" x14ac:dyDescent="0.55000000000000004">
      <c r="A24" s="12">
        <v>45933</v>
      </c>
      <c r="B24" s="13" t="s">
        <v>251</v>
      </c>
      <c r="C24" s="10">
        <v>4</v>
      </c>
      <c r="D24" s="10">
        <v>50000</v>
      </c>
      <c r="E24" s="7">
        <f>+$I$2+(ALICHERRI[[#This Row],[QUANTITE]]*ALICHERRI[[#This Row],[PRIX UNITAIRE]])</f>
        <v>200000</v>
      </c>
      <c r="F24" s="14"/>
      <c r="G24" s="6">
        <f>+SUM(E$9:$E24)-SUM(F$9:$F24)</f>
        <v>533000</v>
      </c>
    </row>
    <row r="25" spans="1:7" ht="28.8" x14ac:dyDescent="0.55000000000000004">
      <c r="A25" s="12">
        <v>46062</v>
      </c>
      <c r="B25" s="13" t="s">
        <v>3480</v>
      </c>
      <c r="C25" s="10">
        <v>1</v>
      </c>
      <c r="D25" s="10">
        <v>95000</v>
      </c>
      <c r="E25" s="7">
        <f>+$I$2+(ALICHERRI[[#This Row],[QUANTITE]]*ALICHERRI[[#This Row],[PRIX UNITAIRE]])</f>
        <v>95000</v>
      </c>
      <c r="F25" s="14"/>
      <c r="G25" s="6">
        <f>+SUM(E$9:$E25)-SUM(F$9:$F25)</f>
        <v>628000</v>
      </c>
    </row>
    <row r="26" spans="1:7" ht="28.8" x14ac:dyDescent="0.55000000000000004">
      <c r="A26" s="12">
        <v>46079</v>
      </c>
      <c r="B26" s="13" t="s">
        <v>3481</v>
      </c>
      <c r="C26" s="10">
        <v>1</v>
      </c>
      <c r="D26" s="10">
        <v>15000</v>
      </c>
      <c r="E26" s="7">
        <f>+$I$2+(ALICHERRI[[#This Row],[QUANTITE]]*ALICHERRI[[#This Row],[PRIX UNITAIRE]])</f>
        <v>15000</v>
      </c>
      <c r="F26" s="14"/>
      <c r="G26" s="6">
        <f>+SUM(E$9:$E26)-SUM(F$9:$F26)</f>
        <v>643000</v>
      </c>
    </row>
    <row r="27" spans="1:7" ht="28.8" x14ac:dyDescent="0.55000000000000004">
      <c r="A27" s="12"/>
      <c r="B27" s="13"/>
      <c r="C27" s="10"/>
      <c r="D27" s="10"/>
      <c r="E27" s="7">
        <f>+$I$2+(ALICHERRI[[#This Row],[QUANTITE]]*ALICHERRI[[#This Row],[PRIX UNITAIRE]])</f>
        <v>0</v>
      </c>
      <c r="F27" s="14"/>
      <c r="G27" s="6">
        <f>+SUM(E$9:$E27)-SUM(F$9:$F27)</f>
        <v>643000</v>
      </c>
    </row>
    <row r="28" spans="1:7" ht="28.8" x14ac:dyDescent="0.55000000000000004">
      <c r="A28" s="12"/>
      <c r="B28" s="13"/>
      <c r="C28" s="10"/>
      <c r="D28" s="10"/>
      <c r="E28" s="7">
        <f>+$I$2+(ALICHERRI[[#This Row],[QUANTITE]]*ALICHERRI[[#This Row],[PRIX UNITAIRE]])</f>
        <v>0</v>
      </c>
      <c r="F28" s="14"/>
      <c r="G28" s="6">
        <f>+SUM(E$9:$E28)-SUM(F$9:$F28)</f>
        <v>643000</v>
      </c>
    </row>
    <row r="29" spans="1:7" ht="28.8" x14ac:dyDescent="0.55000000000000004">
      <c r="A29" s="12"/>
      <c r="B29" s="13"/>
      <c r="C29" s="10"/>
      <c r="D29" s="10"/>
      <c r="E29" s="7">
        <f>+$I$2+(ALICHERRI[[#This Row],[QUANTITE]]*ALICHERRI[[#This Row],[PRIX UNITAIRE]])</f>
        <v>0</v>
      </c>
      <c r="F29" s="14"/>
      <c r="G29" s="6">
        <f>+SUM(E$9:$E29)-SUM(F$9:$F29)</f>
        <v>643000</v>
      </c>
    </row>
    <row r="30" spans="1:7" ht="28.8" x14ac:dyDescent="0.55000000000000004">
      <c r="A30" s="12"/>
      <c r="B30" s="13"/>
      <c r="C30" s="10"/>
      <c r="D30" s="10"/>
      <c r="E30" s="7">
        <f>+$I$2+(ALICHERRI[[#This Row],[QUANTITE]]*ALICHERRI[[#This Row],[PRIX UNITAIRE]])</f>
        <v>0</v>
      </c>
      <c r="F30" s="14"/>
      <c r="G30" s="6">
        <f>+SUM(E$9:$E30)-SUM(F$9:$F30)</f>
        <v>643000</v>
      </c>
    </row>
    <row r="31" spans="1:7" ht="28.8" x14ac:dyDescent="0.55000000000000004">
      <c r="A31" s="12"/>
      <c r="B31" s="13"/>
      <c r="C31" s="10"/>
      <c r="D31" s="10"/>
      <c r="E31" s="7">
        <f>+$I$2+(ALICHERRI[[#This Row],[QUANTITE]]*ALICHERRI[[#This Row],[PRIX UNITAIRE]])</f>
        <v>0</v>
      </c>
      <c r="F31" s="14"/>
      <c r="G31" s="6">
        <f>+SUM(E$9:$E31)-SUM(F$9:$F31)</f>
        <v>643000</v>
      </c>
    </row>
    <row r="32" spans="1:7" ht="28.8" x14ac:dyDescent="0.55000000000000004">
      <c r="A32" s="12"/>
      <c r="B32" s="13"/>
      <c r="C32" s="10"/>
      <c r="D32" s="10"/>
      <c r="E32" s="7">
        <f>+$I$2+(ALICHERRI[[#This Row],[QUANTITE]]*ALICHERRI[[#This Row],[PRIX UNITAIRE]])</f>
        <v>0</v>
      </c>
      <c r="F32" s="14"/>
      <c r="G32" s="6">
        <f>+SUM(E$9:$E32)-SUM(F$9:$F32)</f>
        <v>643000</v>
      </c>
    </row>
    <row r="33" spans="1:7" ht="28.8" x14ac:dyDescent="0.55000000000000004">
      <c r="A33" s="12"/>
      <c r="B33" s="13"/>
      <c r="C33" s="10"/>
      <c r="D33" s="10"/>
      <c r="E33" s="7">
        <f>+$I$2+(ALICHERRI[[#This Row],[QUANTITE]]*ALICHERRI[[#This Row],[PRIX UNITAIRE]])</f>
        <v>0</v>
      </c>
      <c r="F33" s="14"/>
      <c r="G33" s="6">
        <f>+SUM(E$9:$E33)-SUM(F$9:$F33)</f>
        <v>643000</v>
      </c>
    </row>
    <row r="34" spans="1:7" ht="28.8" x14ac:dyDescent="0.55000000000000004">
      <c r="A34" s="12"/>
      <c r="B34" s="13"/>
      <c r="C34" s="10"/>
      <c r="D34" s="10"/>
      <c r="E34" s="7">
        <f>+$I$2+(ALICHERRI[[#This Row],[QUANTITE]]*ALICHERRI[[#This Row],[PRIX UNITAIRE]])</f>
        <v>0</v>
      </c>
      <c r="F34" s="14"/>
      <c r="G34" s="6">
        <f>+SUM(E$9:$E34)-SUM(F$9:$F34)</f>
        <v>643000</v>
      </c>
    </row>
    <row r="35" spans="1:7" ht="28.8" x14ac:dyDescent="0.55000000000000004">
      <c r="A35" s="12"/>
      <c r="B35" s="13"/>
      <c r="C35" s="10"/>
      <c r="D35" s="10"/>
      <c r="E35" s="7">
        <f>+$I$2+(ALICHERRI[[#This Row],[QUANTITE]]*ALICHERRI[[#This Row],[PRIX UNITAIRE]])</f>
        <v>0</v>
      </c>
      <c r="F35" s="14"/>
      <c r="G35" s="6">
        <f>+SUM(E$9:$E35)-SUM(F$9:$F35)</f>
        <v>643000</v>
      </c>
    </row>
    <row r="36" spans="1:7" ht="28.8" x14ac:dyDescent="0.55000000000000004">
      <c r="A36" s="12"/>
      <c r="B36" s="13"/>
      <c r="C36" s="10"/>
      <c r="D36" s="10"/>
      <c r="E36" s="7">
        <f>+$I$2+(ALICHERRI[[#This Row],[QUANTITE]]*ALICHERRI[[#This Row],[PRIX UNITAIRE]])</f>
        <v>0</v>
      </c>
      <c r="F36" s="14"/>
      <c r="G36" s="6">
        <f>+SUM(E$9:$E36)-SUM(F$9:$F36)</f>
        <v>643000</v>
      </c>
    </row>
    <row r="37" spans="1:7" ht="28.8" x14ac:dyDescent="0.55000000000000004">
      <c r="A37" s="12"/>
      <c r="B37" s="13"/>
      <c r="C37" s="10"/>
      <c r="D37" s="10"/>
      <c r="E37" s="7">
        <f>+$I$2+(ALICHERRI[[#This Row],[QUANTITE]]*ALICHERRI[[#This Row],[PRIX UNITAIRE]])</f>
        <v>0</v>
      </c>
      <c r="F37" s="14"/>
      <c r="G37" s="6">
        <f>+SUM(E$9:$E37)-SUM(F$9:$F37)</f>
        <v>643000</v>
      </c>
    </row>
    <row r="38" spans="1:7" ht="28.8" x14ac:dyDescent="0.55000000000000004">
      <c r="A38" s="12"/>
      <c r="B38" s="13"/>
      <c r="C38" s="10"/>
      <c r="D38" s="10"/>
      <c r="E38" s="7">
        <f>+$I$2+(ALICHERRI[[#This Row],[QUANTITE]]*ALICHERRI[[#This Row],[PRIX UNITAIRE]])</f>
        <v>0</v>
      </c>
      <c r="F38" s="14"/>
      <c r="G38" s="6">
        <f>+SUM(E$9:$E38)-SUM(F$9:$F38)</f>
        <v>643000</v>
      </c>
    </row>
    <row r="39" spans="1:7" ht="28.8" x14ac:dyDescent="0.55000000000000004">
      <c r="A39" s="12"/>
      <c r="B39" s="13"/>
      <c r="C39" s="10"/>
      <c r="D39" s="10"/>
      <c r="E39" s="7">
        <f>+$I$2+(ALICHERRI[[#This Row],[QUANTITE]]*ALICHERRI[[#This Row],[PRIX UNITAIRE]])</f>
        <v>0</v>
      </c>
      <c r="F39" s="14"/>
      <c r="G39" s="6">
        <f>+SUM(E$9:$E39)-SUM(F$9:$F39)</f>
        <v>643000</v>
      </c>
    </row>
    <row r="40" spans="1:7" ht="28.8" x14ac:dyDescent="0.55000000000000004">
      <c r="A40" s="12"/>
      <c r="B40" s="13"/>
      <c r="C40" s="10"/>
      <c r="D40" s="10"/>
      <c r="E40" s="7">
        <f>+$I$2+(ALICHERRI[[#This Row],[QUANTITE]]*ALICHERRI[[#This Row],[PRIX UNITAIRE]])</f>
        <v>0</v>
      </c>
      <c r="F40" s="14"/>
      <c r="G40" s="6">
        <f>+SUM(E$9:$E40)-SUM(F$9:$F40)</f>
        <v>643000</v>
      </c>
    </row>
    <row r="41" spans="1:7" ht="28.8" x14ac:dyDescent="0.55000000000000004">
      <c r="A41" s="12"/>
      <c r="B41" s="13"/>
      <c r="C41" s="10"/>
      <c r="D41" s="10"/>
      <c r="E41" s="7">
        <f>+$I$2+(ALICHERRI[[#This Row],[QUANTITE]]*ALICHERRI[[#This Row],[PRIX UNITAIRE]])</f>
        <v>0</v>
      </c>
      <c r="F41" s="14"/>
      <c r="G41" s="6">
        <f>+SUM(E$9:$E41)-SUM(F$9:$F41)</f>
        <v>643000</v>
      </c>
    </row>
    <row r="42" spans="1:7" ht="28.8" x14ac:dyDescent="0.55000000000000004">
      <c r="A42" s="12"/>
      <c r="B42" s="13"/>
      <c r="C42" s="10"/>
      <c r="D42" s="10"/>
      <c r="E42" s="7">
        <f>+$I$2+(ALICHERRI[[#This Row],[QUANTITE]]*ALICHERRI[[#This Row],[PRIX UNITAIRE]])</f>
        <v>0</v>
      </c>
      <c r="F42" s="14"/>
      <c r="G42" s="6">
        <f>+SUM(E$9:$E42)-SUM(F$9:$F42)</f>
        <v>643000</v>
      </c>
    </row>
    <row r="43" spans="1:7" ht="28.8" x14ac:dyDescent="0.55000000000000004">
      <c r="A43" s="12"/>
      <c r="B43" s="13"/>
      <c r="C43" s="10"/>
      <c r="D43" s="10"/>
      <c r="E43" s="7">
        <f>+$I$2+(ALICHERRI[[#This Row],[QUANTITE]]*ALICHERRI[[#This Row],[PRIX UNITAIRE]])</f>
        <v>0</v>
      </c>
      <c r="F43" s="14"/>
      <c r="G43" s="6">
        <f>+SUM(E$9:$E43)-SUM(F$9:$F43)</f>
        <v>643000</v>
      </c>
    </row>
    <row r="44" spans="1:7" ht="28.8" x14ac:dyDescent="0.55000000000000004">
      <c r="A44" s="12"/>
      <c r="B44" s="13"/>
      <c r="C44" s="10"/>
      <c r="D44" s="10"/>
      <c r="E44" s="7">
        <f>+$I$2+(ALICHERRI[[#This Row],[QUANTITE]]*ALICHERRI[[#This Row],[PRIX UNITAIRE]])</f>
        <v>0</v>
      </c>
      <c r="F44" s="14"/>
      <c r="G44" s="6">
        <f>+SUM(E$9:$E44)-SUM(F$9:$F44)</f>
        <v>643000</v>
      </c>
    </row>
    <row r="45" spans="1:7" ht="28.8" x14ac:dyDescent="0.55000000000000004">
      <c r="A45" s="12"/>
      <c r="B45" s="13"/>
      <c r="C45" s="10"/>
      <c r="D45" s="10"/>
      <c r="E45" s="7">
        <f>+$I$2+(ALICHERRI[[#This Row],[QUANTITE]]*ALICHERRI[[#This Row],[PRIX UNITAIRE]])</f>
        <v>0</v>
      </c>
      <c r="F45" s="14"/>
      <c r="G45" s="6">
        <f>+SUM(E$9:$E45)-SUM(F$9:$F45)</f>
        <v>643000</v>
      </c>
    </row>
    <row r="46" spans="1:7" ht="28.8" x14ac:dyDescent="0.55000000000000004">
      <c r="A46" s="12"/>
      <c r="B46" s="13"/>
      <c r="C46" s="10"/>
      <c r="D46" s="10"/>
      <c r="E46" s="7">
        <f>+$I$2+(ALICHERRI[[#This Row],[QUANTITE]]*ALICHERRI[[#This Row],[PRIX UNITAIRE]])</f>
        <v>0</v>
      </c>
      <c r="F46" s="14"/>
      <c r="G46" s="6">
        <f>+SUM(E$9:$E46)-SUM(F$9:$F46)</f>
        <v>643000</v>
      </c>
    </row>
    <row r="47" spans="1:7" ht="28.8" x14ac:dyDescent="0.55000000000000004">
      <c r="A47" s="12"/>
      <c r="B47" s="13"/>
      <c r="C47" s="10"/>
      <c r="D47" s="10"/>
      <c r="E47" s="7">
        <f>+$I$2+(ALICHERRI[[#This Row],[QUANTITE]]*ALICHERRI[[#This Row],[PRIX UNITAIRE]])</f>
        <v>0</v>
      </c>
      <c r="F47" s="14"/>
      <c r="G47" s="6">
        <f>+SUM(E$9:$E47)-SUM(F$9:$F47)</f>
        <v>643000</v>
      </c>
    </row>
    <row r="48" spans="1:7" ht="28.8" x14ac:dyDescent="0.55000000000000004">
      <c r="A48" s="12"/>
      <c r="B48" s="13"/>
      <c r="C48" s="10"/>
      <c r="D48" s="10"/>
      <c r="E48" s="7">
        <f>+$I$2+(ALICHERRI[[#This Row],[QUANTITE]]*ALICHERRI[[#This Row],[PRIX UNITAIRE]])</f>
        <v>0</v>
      </c>
      <c r="F48" s="14"/>
      <c r="G48" s="6">
        <f>+SUM(E$9:$E48)-SUM(F$9:$F48)</f>
        <v>643000</v>
      </c>
    </row>
    <row r="49" spans="1:7" ht="28.8" x14ac:dyDescent="0.55000000000000004">
      <c r="A49" s="12"/>
      <c r="B49" s="13"/>
      <c r="C49" s="10"/>
      <c r="D49" s="10"/>
      <c r="E49" s="7">
        <f>+$I$2+(ALICHERRI[[#This Row],[QUANTITE]]*ALICHERRI[[#This Row],[PRIX UNITAIRE]])</f>
        <v>0</v>
      </c>
      <c r="F49" s="14"/>
      <c r="G49" s="6">
        <f>+SUM(E$9:$E49)-SUM(F$9:$F49)</f>
        <v>643000</v>
      </c>
    </row>
    <row r="50" spans="1:7" ht="28.8" x14ac:dyDescent="0.55000000000000004">
      <c r="A50" s="12"/>
      <c r="B50" s="13"/>
      <c r="C50" s="10"/>
      <c r="D50" s="10"/>
      <c r="E50" s="7">
        <f>+$I$2+(ALICHERRI[[#This Row],[QUANTITE]]*ALICHERRI[[#This Row],[PRIX UNITAIRE]])</f>
        <v>0</v>
      </c>
      <c r="F50" s="14"/>
      <c r="G50" s="6">
        <f>+SUM(E$9:$E50)-SUM(F$9:$F50)</f>
        <v>643000</v>
      </c>
    </row>
    <row r="51" spans="1:7" ht="28.8" x14ac:dyDescent="0.55000000000000004">
      <c r="A51" s="12"/>
      <c r="B51" s="13"/>
      <c r="C51" s="10"/>
      <c r="D51" s="10"/>
      <c r="E51" s="7">
        <f>+$I$2+(ALICHERRI[[#This Row],[QUANTITE]]*ALICHERRI[[#This Row],[PRIX UNITAIRE]])</f>
        <v>0</v>
      </c>
      <c r="F51" s="14"/>
      <c r="G51" s="6">
        <f>+SUM(E$9:$E51)-SUM(F$9:$F51)</f>
        <v>643000</v>
      </c>
    </row>
    <row r="52" spans="1:7" ht="28.8" x14ac:dyDescent="0.55000000000000004">
      <c r="A52" s="12"/>
      <c r="B52" s="13"/>
      <c r="C52" s="10"/>
      <c r="D52" s="10"/>
      <c r="E52" s="7">
        <f>+$I$2+(ALICHERRI[[#This Row],[QUANTITE]]*ALICHERRI[[#This Row],[PRIX UNITAIRE]])</f>
        <v>0</v>
      </c>
      <c r="F52" s="14"/>
      <c r="G52" s="6">
        <f>+SUM(E$9:$E52)-SUM(F$9:$F52)</f>
        <v>643000</v>
      </c>
    </row>
    <row r="53" spans="1:7" ht="28.8" x14ac:dyDescent="0.55000000000000004">
      <c r="A53" s="12"/>
      <c r="B53" s="13"/>
      <c r="C53" s="10"/>
      <c r="D53" s="10"/>
      <c r="E53" s="7">
        <f>+$I$2+(ALICHERRI[[#This Row],[QUANTITE]]*ALICHERRI[[#This Row],[PRIX UNITAIRE]])</f>
        <v>0</v>
      </c>
      <c r="F53" s="14"/>
      <c r="G53" s="6">
        <f>+SUM(E$9:$E53)-SUM(F$9:$F53)</f>
        <v>643000</v>
      </c>
    </row>
    <row r="54" spans="1:7" ht="28.8" x14ac:dyDescent="0.55000000000000004">
      <c r="A54" s="12"/>
      <c r="B54" s="13"/>
      <c r="C54" s="10"/>
      <c r="D54" s="10"/>
      <c r="E54" s="7">
        <f>+$I$2+(ALICHERRI[[#This Row],[QUANTITE]]*ALICHERRI[[#This Row],[PRIX UNITAIRE]])</f>
        <v>0</v>
      </c>
      <c r="F54" s="14"/>
      <c r="G54" s="6">
        <f>+SUM(E$9:$E54)-SUM(F$9:$F54)</f>
        <v>643000</v>
      </c>
    </row>
    <row r="55" spans="1:7" ht="28.8" x14ac:dyDescent="0.55000000000000004">
      <c r="A55" s="12"/>
      <c r="B55" s="13"/>
      <c r="C55" s="10"/>
      <c r="D55" s="10"/>
      <c r="E55" s="7">
        <f>+$I$2+(ALICHERRI[[#This Row],[QUANTITE]]*ALICHERRI[[#This Row],[PRIX UNITAIRE]])</f>
        <v>0</v>
      </c>
      <c r="F55" s="14"/>
      <c r="G55" s="6">
        <f>+SUM(E$9:$E55)-SUM(F$9:$F55)</f>
        <v>643000</v>
      </c>
    </row>
    <row r="56" spans="1:7" ht="28.8" x14ac:dyDescent="0.55000000000000004">
      <c r="A56" s="12"/>
      <c r="B56" s="13"/>
      <c r="C56" s="10"/>
      <c r="D56" s="10"/>
      <c r="E56" s="7">
        <f>+$I$2+(ALICHERRI[[#This Row],[QUANTITE]]*ALICHERRI[[#This Row],[PRIX UNITAIRE]])</f>
        <v>0</v>
      </c>
      <c r="F56" s="14"/>
      <c r="G56" s="6">
        <f>+SUM(E$9:$E56)-SUM(F$9:$F56)</f>
        <v>643000</v>
      </c>
    </row>
    <row r="57" spans="1:7" ht="28.8" x14ac:dyDescent="0.55000000000000004">
      <c r="A57" s="12"/>
      <c r="B57" s="13"/>
      <c r="C57" s="10"/>
      <c r="D57" s="10"/>
      <c r="E57" s="7">
        <f>+$I$2+(ALICHERRI[[#This Row],[QUANTITE]]*ALICHERRI[[#This Row],[PRIX UNITAIRE]])</f>
        <v>0</v>
      </c>
      <c r="F57" s="14"/>
      <c r="G57" s="6">
        <f>+SUM(E$9:$E57)-SUM(F$9:$F57)</f>
        <v>643000</v>
      </c>
    </row>
    <row r="58" spans="1:7" ht="28.8" x14ac:dyDescent="0.55000000000000004">
      <c r="A58" s="12"/>
      <c r="B58" s="13"/>
      <c r="C58" s="10"/>
      <c r="D58" s="10"/>
      <c r="E58" s="7">
        <f>+$I$2+(ALICHERRI[[#This Row],[QUANTITE]]*ALICHERRI[[#This Row],[PRIX UNITAIRE]])</f>
        <v>0</v>
      </c>
      <c r="F58" s="14"/>
      <c r="G58" s="6">
        <f>+SUM(E$9:$E58)-SUM(F$9:$F58)</f>
        <v>643000</v>
      </c>
    </row>
    <row r="59" spans="1:7" ht="28.8" x14ac:dyDescent="0.55000000000000004">
      <c r="A59" s="12"/>
      <c r="B59" s="13"/>
      <c r="C59" s="10"/>
      <c r="D59" s="10"/>
      <c r="E59" s="7">
        <f>+$I$2+(ALICHERRI[[#This Row],[QUANTITE]]*ALICHERRI[[#This Row],[PRIX UNITAIRE]])</f>
        <v>0</v>
      </c>
      <c r="F59" s="14"/>
      <c r="G59" s="6">
        <f>+SUM(E$9:$E59)-SUM(F$9:$F59)</f>
        <v>643000</v>
      </c>
    </row>
    <row r="60" spans="1:7" ht="28.8" x14ac:dyDescent="0.55000000000000004">
      <c r="A60" s="12"/>
      <c r="B60" s="13"/>
      <c r="C60" s="10"/>
      <c r="D60" s="10"/>
      <c r="E60" s="7">
        <f>+$I$2+(ALICHERRI[[#This Row],[QUANTITE]]*ALICHERRI[[#This Row],[PRIX UNITAIRE]])</f>
        <v>0</v>
      </c>
      <c r="F60" s="14"/>
      <c r="G60" s="6">
        <f>+SUM(E$9:$E60)-SUM(F$9:$F60)</f>
        <v>643000</v>
      </c>
    </row>
    <row r="61" spans="1:7" ht="28.8" x14ac:dyDescent="0.55000000000000004">
      <c r="A61" s="12"/>
      <c r="B61" s="13"/>
      <c r="C61" s="10"/>
      <c r="D61" s="10"/>
      <c r="E61" s="7">
        <f>+$I$2+(ALICHERRI[[#This Row],[QUANTITE]]*ALICHERRI[[#This Row],[PRIX UNITAIRE]])</f>
        <v>0</v>
      </c>
      <c r="F61" s="14"/>
      <c r="G61" s="6">
        <f>+SUM(E$9:$E61)-SUM(F$9:$F61)</f>
        <v>643000</v>
      </c>
    </row>
    <row r="62" spans="1:7" ht="28.8" x14ac:dyDescent="0.55000000000000004">
      <c r="A62" s="12"/>
      <c r="B62" s="13"/>
      <c r="C62" s="10"/>
      <c r="D62" s="10"/>
      <c r="E62" s="7">
        <f>+$I$2+(ALICHERRI[[#This Row],[QUANTITE]]*ALICHERRI[[#This Row],[PRIX UNITAIRE]])</f>
        <v>0</v>
      </c>
      <c r="F62" s="14"/>
      <c r="G62" s="6">
        <f>+SUM(E$9:$E62)-SUM(F$9:$F62)</f>
        <v>643000</v>
      </c>
    </row>
    <row r="63" spans="1:7" ht="28.8" x14ac:dyDescent="0.55000000000000004">
      <c r="A63" s="12"/>
      <c r="B63" s="13"/>
      <c r="C63" s="10"/>
      <c r="D63" s="10"/>
      <c r="E63" s="7">
        <f>+$I$2+(ALICHERRI[[#This Row],[QUANTITE]]*ALICHERRI[[#This Row],[PRIX UNITAIRE]])</f>
        <v>0</v>
      </c>
      <c r="F63" s="14"/>
      <c r="G63" s="6">
        <f>+SUM(E$9:$E63)-SUM(F$9:$F63)</f>
        <v>643000</v>
      </c>
    </row>
    <row r="64" spans="1:7" ht="28.8" x14ac:dyDescent="0.55000000000000004">
      <c r="A64" s="12"/>
      <c r="B64" s="13"/>
      <c r="C64" s="10"/>
      <c r="D64" s="10"/>
      <c r="E64" s="7">
        <f>+$I$2+(ALICHERRI[[#This Row],[QUANTITE]]*ALICHERRI[[#This Row],[PRIX UNITAIRE]])</f>
        <v>0</v>
      </c>
      <c r="F64" s="14"/>
      <c r="G64" s="6">
        <f>+SUM(E$9:$E64)-SUM(F$9:$F64)</f>
        <v>643000</v>
      </c>
    </row>
    <row r="65" spans="1:7" ht="28.8" x14ac:dyDescent="0.55000000000000004">
      <c r="A65" s="12"/>
      <c r="B65" s="13"/>
      <c r="C65" s="10"/>
      <c r="D65" s="10"/>
      <c r="E65" s="7">
        <f>+$I$2+(ALICHERRI[[#This Row],[QUANTITE]]*ALICHERRI[[#This Row],[PRIX UNITAIRE]])</f>
        <v>0</v>
      </c>
      <c r="F65" s="14"/>
      <c r="G65" s="6">
        <f>+SUM(E$9:$E65)-SUM(F$9:$F65)</f>
        <v>643000</v>
      </c>
    </row>
    <row r="66" spans="1:7" ht="28.8" x14ac:dyDescent="0.55000000000000004">
      <c r="A66" s="12"/>
      <c r="B66" s="13"/>
      <c r="C66" s="10"/>
      <c r="D66" s="10"/>
      <c r="E66" s="7">
        <f>+$I$2+(ALICHERRI[[#This Row],[QUANTITE]]*ALICHERRI[[#This Row],[PRIX UNITAIRE]])</f>
        <v>0</v>
      </c>
      <c r="F66" s="14"/>
      <c r="G66" s="6">
        <f>+SUM(E$9:$E66)-SUM(F$9:$F66)</f>
        <v>643000</v>
      </c>
    </row>
    <row r="67" spans="1:7" ht="28.8" x14ac:dyDescent="0.55000000000000004">
      <c r="A67" s="12"/>
      <c r="B67" s="13"/>
      <c r="C67" s="10"/>
      <c r="D67" s="10"/>
      <c r="E67" s="7">
        <f>+$I$2+(ALICHERRI[[#This Row],[QUANTITE]]*ALICHERRI[[#This Row],[PRIX UNITAIRE]])</f>
        <v>0</v>
      </c>
      <c r="F67" s="14"/>
      <c r="G67" s="6">
        <f>+SUM(E$9:$E67)-SUM(F$9:$F67)</f>
        <v>643000</v>
      </c>
    </row>
    <row r="68" spans="1:7" ht="28.8" x14ac:dyDescent="0.55000000000000004">
      <c r="A68" s="12"/>
      <c r="B68" s="13"/>
      <c r="C68" s="10"/>
      <c r="D68" s="10"/>
      <c r="E68" s="7">
        <f>+$I$2+(ALICHERRI[[#This Row],[QUANTITE]]*ALICHERRI[[#This Row],[PRIX UNITAIRE]])</f>
        <v>0</v>
      </c>
      <c r="F68" s="14"/>
      <c r="G68" s="6">
        <f>+SUM(E$9:$E68)-SUM(F$9:$F68)</f>
        <v>643000</v>
      </c>
    </row>
    <row r="69" spans="1:7" ht="28.8" x14ac:dyDescent="0.55000000000000004">
      <c r="A69" s="12"/>
      <c r="B69" s="13"/>
      <c r="C69" s="10"/>
      <c r="D69" s="10"/>
      <c r="E69" s="7">
        <f>+$I$2+(ALICHERRI[[#This Row],[QUANTITE]]*ALICHERRI[[#This Row],[PRIX UNITAIRE]])</f>
        <v>0</v>
      </c>
      <c r="F69" s="14"/>
      <c r="G69" s="6">
        <f>+SUM(E$9:$E69)-SUM(F$9:$F69)</f>
        <v>643000</v>
      </c>
    </row>
  </sheetData>
  <sheetProtection selectLockedCells="1" autoFilter="0"/>
  <mergeCells count="1">
    <mergeCell ref="B6:C6"/>
  </mergeCells>
  <conditionalFormatting sqref="B9:B69">
    <cfRule type="expression" dxfId="732" priority="5">
      <formula>$F9</formula>
    </cfRule>
  </conditionalFormatting>
  <conditionalFormatting sqref="G4">
    <cfRule type="cellIs" dxfId="731" priority="2" operator="lessThan">
      <formula>0</formula>
    </cfRule>
    <cfRule type="cellIs" dxfId="730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69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69"/>
  <sheetViews>
    <sheetView showGridLines="0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6.4414062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+SUM(KONEMOUSTAPHA[TOTAL MONTANT])</f>
        <v>1660000</v>
      </c>
      <c r="F4" s="41">
        <f>+SUM(KONEMOUSTAPHA[VERSEMENT])</f>
        <v>1660000</v>
      </c>
      <c r="G4" s="130">
        <f>+E4-F4</f>
        <v>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408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45782</v>
      </c>
      <c r="B9" s="13" t="s">
        <v>409</v>
      </c>
      <c r="C9" s="10">
        <v>4</v>
      </c>
      <c r="D9" s="10">
        <v>75000</v>
      </c>
      <c r="E9" s="7">
        <f>+$I$2+(KONEMOUSTAPHA[[#This Row],[QUANTITE]]*KONEMOUSTAPHA[[#This Row],[PRIX UNITAIRE]])</f>
        <v>300000</v>
      </c>
      <c r="F9" s="18"/>
      <c r="G9" s="6">
        <f>+SUM(E$9:$E9)-SUM(F$9:$F9)</f>
        <v>300000</v>
      </c>
    </row>
    <row r="10" spans="1:9" ht="28.8" x14ac:dyDescent="0.55000000000000004">
      <c r="A10" s="12">
        <v>45782</v>
      </c>
      <c r="B10" s="13" t="s">
        <v>276</v>
      </c>
      <c r="C10" s="10">
        <v>6</v>
      </c>
      <c r="D10" s="10">
        <v>85000</v>
      </c>
      <c r="E10" s="7">
        <f>+$I$2+(KONEMOUSTAPHA[[#This Row],[QUANTITE]]*KONEMOUSTAPHA[[#This Row],[PRIX UNITAIRE]])</f>
        <v>510000</v>
      </c>
      <c r="F10" s="14"/>
      <c r="G10" s="6">
        <f>+SUM(E$9:$E10)-SUM(F$9:$F10)</f>
        <v>810000</v>
      </c>
    </row>
    <row r="11" spans="1:9" ht="28.8" x14ac:dyDescent="0.55000000000000004">
      <c r="A11" s="12">
        <v>45782</v>
      </c>
      <c r="B11" s="13" t="s">
        <v>410</v>
      </c>
      <c r="C11" s="10">
        <v>10</v>
      </c>
      <c r="D11" s="10">
        <v>40000</v>
      </c>
      <c r="E11" s="7">
        <f>+$I$2+(KONEMOUSTAPHA[[#This Row],[QUANTITE]]*KONEMOUSTAPHA[[#This Row],[PRIX UNITAIRE]])</f>
        <v>400000</v>
      </c>
      <c r="F11" s="14"/>
      <c r="G11" s="6">
        <f>+SUM(E$9:$E11)-SUM(F$9:$F11)</f>
        <v>1210000</v>
      </c>
    </row>
    <row r="12" spans="1:9" ht="28.8" x14ac:dyDescent="0.55000000000000004">
      <c r="A12" s="12">
        <v>45782</v>
      </c>
      <c r="B12" s="13" t="s">
        <v>411</v>
      </c>
      <c r="C12" s="10">
        <v>2</v>
      </c>
      <c r="D12" s="10">
        <v>85000</v>
      </c>
      <c r="E12" s="7">
        <f>+$I$2+(KONEMOUSTAPHA[[#This Row],[QUANTITE]]*KONEMOUSTAPHA[[#This Row],[PRIX UNITAIRE]])</f>
        <v>170000</v>
      </c>
      <c r="F12" s="14"/>
      <c r="G12" s="6">
        <f>+SUM(E$9:$E12)-SUM(F$9:$F12)</f>
        <v>1380000</v>
      </c>
    </row>
    <row r="13" spans="1:9" ht="28.8" x14ac:dyDescent="0.55000000000000004">
      <c r="A13" s="12">
        <v>45650</v>
      </c>
      <c r="B13" s="13" t="s">
        <v>412</v>
      </c>
      <c r="C13" s="10">
        <v>2</v>
      </c>
      <c r="D13" s="10">
        <v>140000</v>
      </c>
      <c r="E13" s="7">
        <f>+$I$2+(KONEMOUSTAPHA[[#This Row],[QUANTITE]]*KONEMOUSTAPHA[[#This Row],[PRIX UNITAIRE]])</f>
        <v>280000</v>
      </c>
      <c r="F13" s="14"/>
      <c r="G13" s="6">
        <f>+SUM(E$9:$E13)-SUM(F$9:$F13)</f>
        <v>1660000</v>
      </c>
    </row>
    <row r="14" spans="1:9" ht="28.8" x14ac:dyDescent="0.55000000000000004">
      <c r="A14" s="12">
        <v>45803</v>
      </c>
      <c r="B14" s="13" t="s">
        <v>413</v>
      </c>
      <c r="C14" s="10"/>
      <c r="D14" s="10"/>
      <c r="E14" s="7">
        <f>+$I$2+(KONEMOUSTAPHA[[#This Row],[QUANTITE]]*KONEMOUSTAPHA[[#This Row],[PRIX UNITAIRE]])</f>
        <v>0</v>
      </c>
      <c r="F14" s="14">
        <v>1660000</v>
      </c>
      <c r="G14" s="6">
        <f>+SUM(E$9:$E14)-SUM(F$9:$F14)</f>
        <v>0</v>
      </c>
    </row>
    <row r="15" spans="1:9" ht="28.8" x14ac:dyDescent="0.55000000000000004">
      <c r="A15" s="12"/>
      <c r="B15" s="13"/>
      <c r="C15" s="10"/>
      <c r="D15" s="10"/>
      <c r="E15" s="7">
        <f>+$I$2+(KONEMOUSTAPHA[[#This Row],[QUANTITE]]*KONEMOUSTAPHA[[#This Row],[PRIX UNITAIRE]])</f>
        <v>0</v>
      </c>
      <c r="F15" s="14"/>
      <c r="G15" s="6">
        <f>+SUM(E$9:$E15)-SUM(F$9:$F15)</f>
        <v>0</v>
      </c>
    </row>
    <row r="16" spans="1:9" ht="28.8" x14ac:dyDescent="0.55000000000000004">
      <c r="A16" s="12"/>
      <c r="B16" s="13"/>
      <c r="C16" s="10"/>
      <c r="D16" s="10"/>
      <c r="E16" s="7">
        <f>+$I$2+(KONEMOUSTAPHA[[#This Row],[QUANTITE]]*KONEMOUSTAPHA[[#This Row],[PRIX UNITAIRE]])</f>
        <v>0</v>
      </c>
      <c r="F16" s="14"/>
      <c r="G16" s="6">
        <f>+SUM(E$9:$E16)-SUM(F$9:$F16)</f>
        <v>0</v>
      </c>
    </row>
    <row r="17" spans="1:7" ht="28.8" x14ac:dyDescent="0.55000000000000004">
      <c r="A17" s="12"/>
      <c r="B17" s="13"/>
      <c r="C17" s="10"/>
      <c r="D17" s="10"/>
      <c r="E17" s="7">
        <f>+$I$2+(KONEMOUSTAPHA[[#This Row],[QUANTITE]]*KONEMOUSTAPHA[[#This Row],[PRIX UNITAIRE]])</f>
        <v>0</v>
      </c>
      <c r="F17" s="14"/>
      <c r="G17" s="6">
        <f>+SUM(E$9:$E17)-SUM(F$9:$F17)</f>
        <v>0</v>
      </c>
    </row>
    <row r="18" spans="1:7" ht="28.8" x14ac:dyDescent="0.55000000000000004">
      <c r="A18" s="12"/>
      <c r="B18" s="13"/>
      <c r="C18" s="10"/>
      <c r="D18" s="10"/>
      <c r="E18" s="7">
        <f>+$I$2+(KONEMOUSTAPHA[[#This Row],[QUANTITE]]*KONEMOUSTAPHA[[#This Row],[PRIX UNITAIRE]])</f>
        <v>0</v>
      </c>
      <c r="F18" s="14"/>
      <c r="G18" s="6">
        <f>+SUM(E$9:$E18)-SUM(F$9:$F18)</f>
        <v>0</v>
      </c>
    </row>
    <row r="19" spans="1:7" ht="28.8" x14ac:dyDescent="0.55000000000000004">
      <c r="A19" s="12"/>
      <c r="B19" s="13"/>
      <c r="C19" s="10"/>
      <c r="D19" s="10"/>
      <c r="E19" s="7">
        <f>+$I$2+(KONEMOUSTAPHA[[#This Row],[QUANTITE]]*KONEMOUSTAPHA[[#This Row],[PRIX UNITAIRE]])</f>
        <v>0</v>
      </c>
      <c r="F19" s="14"/>
      <c r="G19" s="6">
        <f>+SUM(E$9:$E19)-SUM(F$9:$F19)</f>
        <v>0</v>
      </c>
    </row>
    <row r="20" spans="1:7" ht="28.8" x14ac:dyDescent="0.55000000000000004">
      <c r="A20" s="12"/>
      <c r="B20" s="13"/>
      <c r="C20" s="10"/>
      <c r="D20" s="10"/>
      <c r="E20" s="7">
        <f>+$I$2+(KONEMOUSTAPHA[[#This Row],[QUANTITE]]*KONEMOUSTAPHA[[#This Row],[PRIX UNITAIRE]])</f>
        <v>0</v>
      </c>
      <c r="F20" s="14"/>
      <c r="G20" s="6">
        <f>+SUM(E$9:$E20)-SUM(F$9:$F20)</f>
        <v>0</v>
      </c>
    </row>
    <row r="21" spans="1:7" ht="28.8" x14ac:dyDescent="0.55000000000000004">
      <c r="A21" s="12"/>
      <c r="B21" s="13"/>
      <c r="C21" s="10"/>
      <c r="D21" s="10"/>
      <c r="E21" s="7">
        <f>+$I$2+(KONEMOUSTAPHA[[#This Row],[QUANTITE]]*KONEMOUSTAPHA[[#This Row],[PRIX UNITAIRE]])</f>
        <v>0</v>
      </c>
      <c r="F21" s="14"/>
      <c r="G21" s="6">
        <f>+SUM(E$9:$E21)-SUM(F$9:$F21)</f>
        <v>0</v>
      </c>
    </row>
    <row r="22" spans="1:7" ht="28.8" x14ac:dyDescent="0.55000000000000004">
      <c r="A22" s="12"/>
      <c r="B22" s="13"/>
      <c r="C22" s="10"/>
      <c r="D22" s="10"/>
      <c r="E22" s="7">
        <f>+$I$2+(KONEMOUSTAPHA[[#This Row],[QUANTITE]]*KONEMOUSTAPHA[[#This Row],[PRIX UNITAIRE]])</f>
        <v>0</v>
      </c>
      <c r="F22" s="14"/>
      <c r="G22" s="6">
        <f>+SUM(E$9:$E22)-SUM(F$9:$F22)</f>
        <v>0</v>
      </c>
    </row>
    <row r="23" spans="1:7" ht="28.8" x14ac:dyDescent="0.55000000000000004">
      <c r="A23" s="12"/>
      <c r="B23" s="13"/>
      <c r="C23" s="10"/>
      <c r="D23" s="10"/>
      <c r="E23" s="7">
        <f>+$I$2+(KONEMOUSTAPHA[[#This Row],[QUANTITE]]*KONEMOUSTAPHA[[#This Row],[PRIX UNITAIRE]])</f>
        <v>0</v>
      </c>
      <c r="F23" s="14"/>
      <c r="G23" s="6">
        <f>+SUM(E$9:$E23)-SUM(F$9:$F23)</f>
        <v>0</v>
      </c>
    </row>
    <row r="24" spans="1:7" ht="28.8" x14ac:dyDescent="0.55000000000000004">
      <c r="A24" s="12"/>
      <c r="B24" s="13"/>
      <c r="C24" s="10"/>
      <c r="D24" s="10"/>
      <c r="E24" s="7">
        <f>+$I$2+(KONEMOUSTAPHA[[#This Row],[QUANTITE]]*KONEMOUSTAPHA[[#This Row],[PRIX UNITAIRE]])</f>
        <v>0</v>
      </c>
      <c r="F24" s="14"/>
      <c r="G24" s="6">
        <f>+SUM(E$9:$E24)-SUM(F$9:$F24)</f>
        <v>0</v>
      </c>
    </row>
    <row r="25" spans="1:7" ht="28.8" x14ac:dyDescent="0.55000000000000004">
      <c r="A25" s="12"/>
      <c r="B25" s="13"/>
      <c r="C25" s="10"/>
      <c r="D25" s="10"/>
      <c r="E25" s="7">
        <f>+$I$2+(KONEMOUSTAPHA[[#This Row],[QUANTITE]]*KONEMOUSTAPHA[[#This Row],[PRIX UNITAIRE]])</f>
        <v>0</v>
      </c>
      <c r="F25" s="14"/>
      <c r="G25" s="6">
        <f>+SUM(E$9:$E25)-SUM(F$9:$F25)</f>
        <v>0</v>
      </c>
    </row>
    <row r="26" spans="1:7" ht="28.8" x14ac:dyDescent="0.55000000000000004">
      <c r="A26" s="12"/>
      <c r="B26" s="13"/>
      <c r="C26" s="10"/>
      <c r="D26" s="10"/>
      <c r="E26" s="7">
        <f>+$I$2+(KONEMOUSTAPHA[[#This Row],[QUANTITE]]*KONEMOUSTAPHA[[#This Row],[PRIX UNITAIRE]])</f>
        <v>0</v>
      </c>
      <c r="F26" s="14"/>
      <c r="G26" s="6">
        <f>+SUM(E$9:$E26)-SUM(F$9:$F26)</f>
        <v>0</v>
      </c>
    </row>
    <row r="27" spans="1:7" ht="28.8" x14ac:dyDescent="0.55000000000000004">
      <c r="A27" s="12"/>
      <c r="B27" s="13"/>
      <c r="C27" s="10"/>
      <c r="D27" s="10"/>
      <c r="E27" s="7">
        <f>+$I$2+(KONEMOUSTAPHA[[#This Row],[QUANTITE]]*KONEMOUSTAPHA[[#This Row],[PRIX UNITAIRE]])</f>
        <v>0</v>
      </c>
      <c r="F27" s="14"/>
      <c r="G27" s="6">
        <f>+SUM(E$9:$E27)-SUM(F$9:$F27)</f>
        <v>0</v>
      </c>
    </row>
    <row r="28" spans="1:7" ht="28.8" x14ac:dyDescent="0.55000000000000004">
      <c r="A28" s="12"/>
      <c r="B28" s="13"/>
      <c r="C28" s="10"/>
      <c r="D28" s="10"/>
      <c r="E28" s="7">
        <f>+$I$2+(KONEMOUSTAPHA[[#This Row],[QUANTITE]]*KONEMOUSTAPHA[[#This Row],[PRIX UNITAIRE]])</f>
        <v>0</v>
      </c>
      <c r="F28" s="14"/>
      <c r="G28" s="6">
        <f>+SUM(E$9:$E28)-SUM(F$9:$F28)</f>
        <v>0</v>
      </c>
    </row>
    <row r="29" spans="1:7" ht="28.8" x14ac:dyDescent="0.55000000000000004">
      <c r="A29" s="12"/>
      <c r="B29" s="13"/>
      <c r="C29" s="10"/>
      <c r="D29" s="10"/>
      <c r="E29" s="7">
        <f>+$I$2+(KONEMOUSTAPHA[[#This Row],[QUANTITE]]*KONEMOUSTAPHA[[#This Row],[PRIX UNITAIRE]])</f>
        <v>0</v>
      </c>
      <c r="F29" s="14"/>
      <c r="G29" s="6">
        <f>+SUM(E$9:$E29)-SUM(F$9:$F29)</f>
        <v>0</v>
      </c>
    </row>
    <row r="30" spans="1:7" ht="28.8" x14ac:dyDescent="0.55000000000000004">
      <c r="A30" s="12"/>
      <c r="B30" s="13"/>
      <c r="C30" s="10"/>
      <c r="D30" s="10"/>
      <c r="E30" s="7">
        <f>+$I$2+(KONEMOUSTAPHA[[#This Row],[QUANTITE]]*KONEMOUSTAPHA[[#This Row],[PRIX UNITAIRE]])</f>
        <v>0</v>
      </c>
      <c r="F30" s="14"/>
      <c r="G30" s="6">
        <f>+SUM(E$9:$E30)-SUM(F$9:$F30)</f>
        <v>0</v>
      </c>
    </row>
    <row r="31" spans="1:7" ht="28.8" x14ac:dyDescent="0.55000000000000004">
      <c r="A31" s="12"/>
      <c r="B31" s="13"/>
      <c r="C31" s="10"/>
      <c r="D31" s="10"/>
      <c r="E31" s="7">
        <f>+$I$2+(KONEMOUSTAPHA[[#This Row],[QUANTITE]]*KONEMOUSTAPHA[[#This Row],[PRIX UNITAIRE]])</f>
        <v>0</v>
      </c>
      <c r="F31" s="14"/>
      <c r="G31" s="6">
        <f>+SUM(E$9:$E31)-SUM(F$9:$F31)</f>
        <v>0</v>
      </c>
    </row>
    <row r="32" spans="1:7" ht="28.8" x14ac:dyDescent="0.55000000000000004">
      <c r="A32" s="12"/>
      <c r="B32" s="13"/>
      <c r="C32" s="10"/>
      <c r="D32" s="10"/>
      <c r="E32" s="7">
        <f>+$I$2+(KONEMOUSTAPHA[[#This Row],[QUANTITE]]*KONEMOUSTAPHA[[#This Row],[PRIX UNITAIRE]])</f>
        <v>0</v>
      </c>
      <c r="F32" s="14"/>
      <c r="G32" s="6">
        <f>+SUM(E$9:$E32)-SUM(F$9:$F32)</f>
        <v>0</v>
      </c>
    </row>
    <row r="33" spans="1:7" ht="28.8" x14ac:dyDescent="0.55000000000000004">
      <c r="A33" s="12"/>
      <c r="B33" s="13"/>
      <c r="C33" s="10"/>
      <c r="D33" s="10"/>
      <c r="E33" s="7">
        <f>+$I$2+(KONEMOUSTAPHA[[#This Row],[QUANTITE]]*KONEMOUSTAPHA[[#This Row],[PRIX UNITAIRE]])</f>
        <v>0</v>
      </c>
      <c r="F33" s="14"/>
      <c r="G33" s="6">
        <f>+SUM(E$9:$E33)-SUM(F$9:$F33)</f>
        <v>0</v>
      </c>
    </row>
    <row r="34" spans="1:7" ht="28.8" x14ac:dyDescent="0.55000000000000004">
      <c r="A34" s="12"/>
      <c r="B34" s="13"/>
      <c r="C34" s="10"/>
      <c r="D34" s="10"/>
      <c r="E34" s="7">
        <f>+$I$2+(KONEMOUSTAPHA[[#This Row],[QUANTITE]]*KONEMOUSTAPHA[[#This Row],[PRIX UNITAIRE]])</f>
        <v>0</v>
      </c>
      <c r="F34" s="14"/>
      <c r="G34" s="6">
        <f>+SUM(E$9:$E34)-SUM(F$9:$F34)</f>
        <v>0</v>
      </c>
    </row>
    <row r="35" spans="1:7" ht="28.8" x14ac:dyDescent="0.55000000000000004">
      <c r="A35" s="12"/>
      <c r="B35" s="13"/>
      <c r="C35" s="10"/>
      <c r="D35" s="10"/>
      <c r="E35" s="7">
        <f>+$I$2+(KONEMOUSTAPHA[[#This Row],[QUANTITE]]*KONEMOUSTAPHA[[#This Row],[PRIX UNITAIRE]])</f>
        <v>0</v>
      </c>
      <c r="F35" s="14"/>
      <c r="G35" s="6">
        <f>+SUM(E$9:$E35)-SUM(F$9:$F35)</f>
        <v>0</v>
      </c>
    </row>
    <row r="36" spans="1:7" ht="28.8" x14ac:dyDescent="0.55000000000000004">
      <c r="A36" s="12"/>
      <c r="B36" s="13"/>
      <c r="C36" s="10"/>
      <c r="D36" s="10"/>
      <c r="E36" s="7">
        <f>+$I$2+(KONEMOUSTAPHA[[#This Row],[QUANTITE]]*KONEMOUSTAPHA[[#This Row],[PRIX UNITAIRE]])</f>
        <v>0</v>
      </c>
      <c r="F36" s="14"/>
      <c r="G36" s="6">
        <f>+SUM(E$9:$E36)-SUM(F$9:$F36)</f>
        <v>0</v>
      </c>
    </row>
    <row r="37" spans="1:7" ht="28.8" x14ac:dyDescent="0.55000000000000004">
      <c r="A37" s="12"/>
      <c r="B37" s="13"/>
      <c r="C37" s="10"/>
      <c r="D37" s="10"/>
      <c r="E37" s="7">
        <f>+$I$2+(KONEMOUSTAPHA[[#This Row],[QUANTITE]]*KONEMOUSTAPHA[[#This Row],[PRIX UNITAIRE]])</f>
        <v>0</v>
      </c>
      <c r="F37" s="14"/>
      <c r="G37" s="6">
        <f>+SUM(E$9:$E37)-SUM(F$9:$F37)</f>
        <v>0</v>
      </c>
    </row>
    <row r="38" spans="1:7" ht="28.8" x14ac:dyDescent="0.55000000000000004">
      <c r="A38" s="12"/>
      <c r="B38" s="13"/>
      <c r="C38" s="10"/>
      <c r="D38" s="10"/>
      <c r="E38" s="7">
        <f>+$I$2+(KONEMOUSTAPHA[[#This Row],[QUANTITE]]*KONEMOUSTAPHA[[#This Row],[PRIX UNITAIRE]])</f>
        <v>0</v>
      </c>
      <c r="F38" s="14"/>
      <c r="G38" s="6">
        <f>+SUM(E$9:$E38)-SUM(F$9:$F38)</f>
        <v>0</v>
      </c>
    </row>
    <row r="39" spans="1:7" ht="28.8" x14ac:dyDescent="0.55000000000000004">
      <c r="A39" s="12"/>
      <c r="B39" s="13"/>
      <c r="C39" s="10"/>
      <c r="D39" s="10"/>
      <c r="E39" s="7">
        <f>+$I$2+(KONEMOUSTAPHA[[#This Row],[QUANTITE]]*KONEMOUSTAPHA[[#This Row],[PRIX UNITAIRE]])</f>
        <v>0</v>
      </c>
      <c r="F39" s="14"/>
      <c r="G39" s="6">
        <f>+SUM(E$9:$E39)-SUM(F$9:$F39)</f>
        <v>0</v>
      </c>
    </row>
    <row r="40" spans="1:7" ht="28.8" x14ac:dyDescent="0.55000000000000004">
      <c r="A40" s="12"/>
      <c r="B40" s="13"/>
      <c r="C40" s="10"/>
      <c r="D40" s="10"/>
      <c r="E40" s="7">
        <f>+$I$2+(KONEMOUSTAPHA[[#This Row],[QUANTITE]]*KONEMOUSTAPHA[[#This Row],[PRIX UNITAIRE]])</f>
        <v>0</v>
      </c>
      <c r="F40" s="14"/>
      <c r="G40" s="6">
        <f>+SUM(E$9:$E40)-SUM(F$9:$F40)</f>
        <v>0</v>
      </c>
    </row>
    <row r="41" spans="1:7" ht="28.8" x14ac:dyDescent="0.55000000000000004">
      <c r="A41" s="12"/>
      <c r="B41" s="13"/>
      <c r="C41" s="10"/>
      <c r="D41" s="10"/>
      <c r="E41" s="7">
        <f>+$I$2+(KONEMOUSTAPHA[[#This Row],[QUANTITE]]*KONEMOUSTAPHA[[#This Row],[PRIX UNITAIRE]])</f>
        <v>0</v>
      </c>
      <c r="F41" s="14"/>
      <c r="G41" s="6">
        <f>+SUM(E$9:$E41)-SUM(F$9:$F41)</f>
        <v>0</v>
      </c>
    </row>
    <row r="42" spans="1:7" ht="28.8" x14ac:dyDescent="0.55000000000000004">
      <c r="A42" s="12"/>
      <c r="B42" s="13"/>
      <c r="C42" s="10"/>
      <c r="D42" s="10"/>
      <c r="E42" s="7">
        <f>+$I$2+(KONEMOUSTAPHA[[#This Row],[QUANTITE]]*KONEMOUSTAPHA[[#This Row],[PRIX UNITAIRE]])</f>
        <v>0</v>
      </c>
      <c r="F42" s="14"/>
      <c r="G42" s="6">
        <f>+SUM(E$9:$E42)-SUM(F$9:$F42)</f>
        <v>0</v>
      </c>
    </row>
    <row r="43" spans="1:7" ht="28.8" x14ac:dyDescent="0.55000000000000004">
      <c r="A43" s="12"/>
      <c r="B43" s="13"/>
      <c r="C43" s="10"/>
      <c r="D43" s="10"/>
      <c r="E43" s="7">
        <f>+$I$2+(KONEMOUSTAPHA[[#This Row],[QUANTITE]]*KONEMOUSTAPHA[[#This Row],[PRIX UNITAIRE]])</f>
        <v>0</v>
      </c>
      <c r="F43" s="14"/>
      <c r="G43" s="6">
        <f>+SUM(E$9:$E43)-SUM(F$9:$F43)</f>
        <v>0</v>
      </c>
    </row>
    <row r="44" spans="1:7" ht="28.8" x14ac:dyDescent="0.55000000000000004">
      <c r="A44" s="12"/>
      <c r="B44" s="13"/>
      <c r="C44" s="10"/>
      <c r="D44" s="10"/>
      <c r="E44" s="7">
        <f>+$I$2+(KONEMOUSTAPHA[[#This Row],[QUANTITE]]*KONEMOUSTAPHA[[#This Row],[PRIX UNITAIRE]])</f>
        <v>0</v>
      </c>
      <c r="F44" s="14"/>
      <c r="G44" s="6">
        <f>+SUM(E$9:$E44)-SUM(F$9:$F44)</f>
        <v>0</v>
      </c>
    </row>
    <row r="45" spans="1:7" ht="28.8" x14ac:dyDescent="0.55000000000000004">
      <c r="A45" s="12"/>
      <c r="B45" s="13"/>
      <c r="C45" s="10"/>
      <c r="D45" s="10"/>
      <c r="E45" s="7">
        <f>+$I$2+(KONEMOUSTAPHA[[#This Row],[QUANTITE]]*KONEMOUSTAPHA[[#This Row],[PRIX UNITAIRE]])</f>
        <v>0</v>
      </c>
      <c r="F45" s="14"/>
      <c r="G45" s="6">
        <f>+SUM(E$9:$E45)-SUM(F$9:$F45)</f>
        <v>0</v>
      </c>
    </row>
    <row r="46" spans="1:7" ht="28.8" x14ac:dyDescent="0.55000000000000004">
      <c r="A46" s="12"/>
      <c r="B46" s="13"/>
      <c r="C46" s="10"/>
      <c r="D46" s="10"/>
      <c r="E46" s="7">
        <f>+$I$2+(KONEMOUSTAPHA[[#This Row],[QUANTITE]]*KONEMOUSTAPHA[[#This Row],[PRIX UNITAIRE]])</f>
        <v>0</v>
      </c>
      <c r="F46" s="14"/>
      <c r="G46" s="6">
        <f>+SUM(E$9:$E46)-SUM(F$9:$F46)</f>
        <v>0</v>
      </c>
    </row>
    <row r="47" spans="1:7" ht="28.8" x14ac:dyDescent="0.55000000000000004">
      <c r="A47" s="12"/>
      <c r="B47" s="13"/>
      <c r="C47" s="10"/>
      <c r="D47" s="10"/>
      <c r="E47" s="7">
        <f>+$I$2+(KONEMOUSTAPHA[[#This Row],[QUANTITE]]*KONEMOUSTAPHA[[#This Row],[PRIX UNITAIRE]])</f>
        <v>0</v>
      </c>
      <c r="F47" s="14"/>
      <c r="G47" s="6">
        <f>+SUM(E$9:$E47)-SUM(F$9:$F47)</f>
        <v>0</v>
      </c>
    </row>
    <row r="48" spans="1:7" ht="28.8" x14ac:dyDescent="0.55000000000000004">
      <c r="A48" s="12"/>
      <c r="B48" s="13"/>
      <c r="C48" s="10"/>
      <c r="D48" s="10"/>
      <c r="E48" s="7">
        <f>+$I$2+(KONEMOUSTAPHA[[#This Row],[QUANTITE]]*KONEMOUSTAPHA[[#This Row],[PRIX UNITAIRE]])</f>
        <v>0</v>
      </c>
      <c r="F48" s="14"/>
      <c r="G48" s="6">
        <f>+SUM(E$9:$E48)-SUM(F$9:$F48)</f>
        <v>0</v>
      </c>
    </row>
    <row r="49" spans="1:7" ht="28.8" x14ac:dyDescent="0.55000000000000004">
      <c r="A49" s="12"/>
      <c r="B49" s="13"/>
      <c r="C49" s="10"/>
      <c r="D49" s="10"/>
      <c r="E49" s="7">
        <f>+$I$2+(KONEMOUSTAPHA[[#This Row],[QUANTITE]]*KONEMOUSTAPHA[[#This Row],[PRIX UNITAIRE]])</f>
        <v>0</v>
      </c>
      <c r="F49" s="14"/>
      <c r="G49" s="6">
        <f>+SUM(E$9:$E49)-SUM(F$9:$F49)</f>
        <v>0</v>
      </c>
    </row>
    <row r="50" spans="1:7" ht="28.8" x14ac:dyDescent="0.55000000000000004">
      <c r="A50" s="12"/>
      <c r="B50" s="13"/>
      <c r="C50" s="10"/>
      <c r="D50" s="10"/>
      <c r="E50" s="7">
        <f>+$I$2+(KONEMOUSTAPHA[[#This Row],[QUANTITE]]*KONEMOUSTAPHA[[#This Row],[PRIX UNITAIRE]])</f>
        <v>0</v>
      </c>
      <c r="F50" s="14"/>
      <c r="G50" s="6">
        <f>+SUM(E$9:$E50)-SUM(F$9:$F50)</f>
        <v>0</v>
      </c>
    </row>
    <row r="51" spans="1:7" ht="28.8" x14ac:dyDescent="0.55000000000000004">
      <c r="A51" s="12"/>
      <c r="B51" s="13"/>
      <c r="C51" s="10"/>
      <c r="D51" s="10"/>
      <c r="E51" s="7">
        <f>+$I$2+(KONEMOUSTAPHA[[#This Row],[QUANTITE]]*KONEMOUSTAPHA[[#This Row],[PRIX UNITAIRE]])</f>
        <v>0</v>
      </c>
      <c r="F51" s="14"/>
      <c r="G51" s="6">
        <f>+SUM(E$9:$E51)-SUM(F$9:$F51)</f>
        <v>0</v>
      </c>
    </row>
    <row r="52" spans="1:7" ht="28.8" x14ac:dyDescent="0.55000000000000004">
      <c r="A52" s="12"/>
      <c r="B52" s="13"/>
      <c r="C52" s="10"/>
      <c r="D52" s="10"/>
      <c r="E52" s="7">
        <f>+$I$2+(KONEMOUSTAPHA[[#This Row],[QUANTITE]]*KONEMOUSTAPHA[[#This Row],[PRIX UNITAIRE]])</f>
        <v>0</v>
      </c>
      <c r="F52" s="14"/>
      <c r="G52" s="6">
        <f>+SUM(E$9:$E52)-SUM(F$9:$F52)</f>
        <v>0</v>
      </c>
    </row>
    <row r="53" spans="1:7" ht="28.8" x14ac:dyDescent="0.55000000000000004">
      <c r="A53" s="12"/>
      <c r="B53" s="13"/>
      <c r="C53" s="10"/>
      <c r="D53" s="10"/>
      <c r="E53" s="7">
        <f>+$I$2+(KONEMOUSTAPHA[[#This Row],[QUANTITE]]*KONEMOUSTAPHA[[#This Row],[PRIX UNITAIRE]])</f>
        <v>0</v>
      </c>
      <c r="F53" s="14"/>
      <c r="G53" s="6">
        <f>+SUM(E$9:$E53)-SUM(F$9:$F53)</f>
        <v>0</v>
      </c>
    </row>
    <row r="54" spans="1:7" ht="28.8" x14ac:dyDescent="0.55000000000000004">
      <c r="A54" s="12"/>
      <c r="B54" s="13"/>
      <c r="C54" s="10"/>
      <c r="D54" s="10"/>
      <c r="E54" s="7">
        <f>+$I$2+(KONEMOUSTAPHA[[#This Row],[QUANTITE]]*KONEMOUSTAPHA[[#This Row],[PRIX UNITAIRE]])</f>
        <v>0</v>
      </c>
      <c r="F54" s="14"/>
      <c r="G54" s="6">
        <f>+SUM(E$9:$E54)-SUM(F$9:$F54)</f>
        <v>0</v>
      </c>
    </row>
    <row r="55" spans="1:7" ht="28.8" x14ac:dyDescent="0.55000000000000004">
      <c r="A55" s="12"/>
      <c r="B55" s="13"/>
      <c r="C55" s="10"/>
      <c r="D55" s="10"/>
      <c r="E55" s="7">
        <f>+$I$2+(KONEMOUSTAPHA[[#This Row],[QUANTITE]]*KONEMOUSTAPHA[[#This Row],[PRIX UNITAIRE]])</f>
        <v>0</v>
      </c>
      <c r="F55" s="14"/>
      <c r="G55" s="6">
        <f>+SUM(E$9:$E55)-SUM(F$9:$F55)</f>
        <v>0</v>
      </c>
    </row>
    <row r="56" spans="1:7" ht="28.8" x14ac:dyDescent="0.55000000000000004">
      <c r="A56" s="12"/>
      <c r="B56" s="13"/>
      <c r="C56" s="10"/>
      <c r="D56" s="10"/>
      <c r="E56" s="7">
        <f>+$I$2+(KONEMOUSTAPHA[[#This Row],[QUANTITE]]*KONEMOUSTAPHA[[#This Row],[PRIX UNITAIRE]])</f>
        <v>0</v>
      </c>
      <c r="F56" s="14"/>
      <c r="G56" s="6">
        <f>+SUM(E$9:$E56)-SUM(F$9:$F56)</f>
        <v>0</v>
      </c>
    </row>
    <row r="57" spans="1:7" ht="28.8" x14ac:dyDescent="0.55000000000000004">
      <c r="A57" s="12"/>
      <c r="B57" s="13"/>
      <c r="C57" s="10"/>
      <c r="D57" s="10"/>
      <c r="E57" s="7">
        <f>+$I$2+(KONEMOUSTAPHA[[#This Row],[QUANTITE]]*KONEMOUSTAPHA[[#This Row],[PRIX UNITAIRE]])</f>
        <v>0</v>
      </c>
      <c r="F57" s="14"/>
      <c r="G57" s="6">
        <f>+SUM(E$9:$E57)-SUM(F$9:$F57)</f>
        <v>0</v>
      </c>
    </row>
    <row r="58" spans="1:7" ht="28.8" x14ac:dyDescent="0.55000000000000004">
      <c r="A58" s="12"/>
      <c r="B58" s="13"/>
      <c r="C58" s="10"/>
      <c r="D58" s="10"/>
      <c r="E58" s="7">
        <f>+$I$2+(KONEMOUSTAPHA[[#This Row],[QUANTITE]]*KONEMOUSTAPHA[[#This Row],[PRIX UNITAIRE]])</f>
        <v>0</v>
      </c>
      <c r="F58" s="14"/>
      <c r="G58" s="6">
        <f>+SUM(E$9:$E58)-SUM(F$9:$F58)</f>
        <v>0</v>
      </c>
    </row>
    <row r="59" spans="1:7" ht="28.8" x14ac:dyDescent="0.55000000000000004">
      <c r="A59" s="12"/>
      <c r="B59" s="13"/>
      <c r="C59" s="10"/>
      <c r="D59" s="10"/>
      <c r="E59" s="7">
        <f>+$I$2+(KONEMOUSTAPHA[[#This Row],[QUANTITE]]*KONEMOUSTAPHA[[#This Row],[PRIX UNITAIRE]])</f>
        <v>0</v>
      </c>
      <c r="F59" s="14"/>
      <c r="G59" s="6">
        <f>+SUM(E$9:$E59)-SUM(F$9:$F59)</f>
        <v>0</v>
      </c>
    </row>
    <row r="60" spans="1:7" ht="28.8" x14ac:dyDescent="0.55000000000000004">
      <c r="A60" s="12"/>
      <c r="B60" s="13"/>
      <c r="C60" s="10"/>
      <c r="D60" s="10"/>
      <c r="E60" s="7">
        <f>+$I$2+(KONEMOUSTAPHA[[#This Row],[QUANTITE]]*KONEMOUSTAPHA[[#This Row],[PRIX UNITAIRE]])</f>
        <v>0</v>
      </c>
      <c r="F60" s="14"/>
      <c r="G60" s="6">
        <f>+SUM(E$9:$E60)-SUM(F$9:$F60)</f>
        <v>0</v>
      </c>
    </row>
    <row r="61" spans="1:7" ht="28.8" x14ac:dyDescent="0.55000000000000004">
      <c r="A61" s="12"/>
      <c r="B61" s="13"/>
      <c r="C61" s="10"/>
      <c r="D61" s="10"/>
      <c r="E61" s="7">
        <f>+$I$2+(KONEMOUSTAPHA[[#This Row],[QUANTITE]]*KONEMOUSTAPHA[[#This Row],[PRIX UNITAIRE]])</f>
        <v>0</v>
      </c>
      <c r="F61" s="14"/>
      <c r="G61" s="6">
        <f>+SUM(E$9:$E61)-SUM(F$9:$F61)</f>
        <v>0</v>
      </c>
    </row>
    <row r="62" spans="1:7" ht="28.8" x14ac:dyDescent="0.55000000000000004">
      <c r="A62" s="12"/>
      <c r="B62" s="13"/>
      <c r="C62" s="10"/>
      <c r="D62" s="10"/>
      <c r="E62" s="7">
        <f>+$I$2+(KONEMOUSTAPHA[[#This Row],[QUANTITE]]*KONEMOUSTAPHA[[#This Row],[PRIX UNITAIRE]])</f>
        <v>0</v>
      </c>
      <c r="F62" s="14"/>
      <c r="G62" s="6">
        <f>+SUM(E$9:$E62)-SUM(F$9:$F62)</f>
        <v>0</v>
      </c>
    </row>
    <row r="63" spans="1:7" ht="28.8" x14ac:dyDescent="0.55000000000000004">
      <c r="A63" s="12"/>
      <c r="B63" s="13"/>
      <c r="C63" s="10"/>
      <c r="D63" s="10"/>
      <c r="E63" s="7">
        <f>+$I$2+(KONEMOUSTAPHA[[#This Row],[QUANTITE]]*KONEMOUSTAPHA[[#This Row],[PRIX UNITAIRE]])</f>
        <v>0</v>
      </c>
      <c r="F63" s="14"/>
      <c r="G63" s="6">
        <f>+SUM(E$9:$E63)-SUM(F$9:$F63)</f>
        <v>0</v>
      </c>
    </row>
    <row r="64" spans="1:7" ht="28.8" x14ac:dyDescent="0.55000000000000004">
      <c r="A64" s="12"/>
      <c r="B64" s="13"/>
      <c r="C64" s="10"/>
      <c r="D64" s="10"/>
      <c r="E64" s="7">
        <f>+$I$2+(KONEMOUSTAPHA[[#This Row],[QUANTITE]]*KONEMOUSTAPHA[[#This Row],[PRIX UNITAIRE]])</f>
        <v>0</v>
      </c>
      <c r="F64" s="14"/>
      <c r="G64" s="6">
        <f>+SUM(E$9:$E64)-SUM(F$9:$F64)</f>
        <v>0</v>
      </c>
    </row>
    <row r="65" spans="1:7" ht="28.8" x14ac:dyDescent="0.55000000000000004">
      <c r="A65" s="12"/>
      <c r="B65" s="13"/>
      <c r="C65" s="10"/>
      <c r="D65" s="10"/>
      <c r="E65" s="7">
        <f>+$I$2+(KONEMOUSTAPHA[[#This Row],[QUANTITE]]*KONEMOUSTAPHA[[#This Row],[PRIX UNITAIRE]])</f>
        <v>0</v>
      </c>
      <c r="F65" s="14"/>
      <c r="G65" s="6">
        <f>+SUM(E$9:$E65)-SUM(F$9:$F65)</f>
        <v>0</v>
      </c>
    </row>
    <row r="66" spans="1:7" ht="28.8" x14ac:dyDescent="0.55000000000000004">
      <c r="A66" s="12"/>
      <c r="B66" s="13"/>
      <c r="C66" s="10"/>
      <c r="D66" s="10"/>
      <c r="E66" s="7">
        <f>+$I$2+(KONEMOUSTAPHA[[#This Row],[QUANTITE]]*KONEMOUSTAPHA[[#This Row],[PRIX UNITAIRE]])</f>
        <v>0</v>
      </c>
      <c r="F66" s="14"/>
      <c r="G66" s="6">
        <f>+SUM(E$9:$E66)-SUM(F$9:$F66)</f>
        <v>0</v>
      </c>
    </row>
    <row r="67" spans="1:7" ht="28.8" x14ac:dyDescent="0.55000000000000004">
      <c r="A67" s="12"/>
      <c r="B67" s="13"/>
      <c r="C67" s="10"/>
      <c r="D67" s="10"/>
      <c r="E67" s="7">
        <f>+$I$2+(KONEMOUSTAPHA[[#This Row],[QUANTITE]]*KONEMOUSTAPHA[[#This Row],[PRIX UNITAIRE]])</f>
        <v>0</v>
      </c>
      <c r="F67" s="14"/>
      <c r="G67" s="6">
        <f>+SUM(E$9:$E67)-SUM(F$9:$F67)</f>
        <v>0</v>
      </c>
    </row>
    <row r="68" spans="1:7" ht="28.8" x14ac:dyDescent="0.55000000000000004">
      <c r="A68" s="12"/>
      <c r="B68" s="13"/>
      <c r="C68" s="10"/>
      <c r="D68" s="10"/>
      <c r="E68" s="7">
        <f>+$I$2+(KONEMOUSTAPHA[[#This Row],[QUANTITE]]*KONEMOUSTAPHA[[#This Row],[PRIX UNITAIRE]])</f>
        <v>0</v>
      </c>
      <c r="F68" s="14"/>
      <c r="G68" s="6">
        <f>+SUM(E$9:$E68)-SUM(F$9:$F68)</f>
        <v>0</v>
      </c>
    </row>
    <row r="69" spans="1:7" ht="28.8" x14ac:dyDescent="0.55000000000000004">
      <c r="A69" s="12"/>
      <c r="B69" s="13"/>
      <c r="C69" s="10"/>
      <c r="D69" s="10"/>
      <c r="E69" s="7">
        <f>+$I$2+(KONEMOUSTAPHA[[#This Row],[QUANTITE]]*KONEMOUSTAPHA[[#This Row],[PRIX UNITAIRE]])</f>
        <v>0</v>
      </c>
      <c r="F69" s="14"/>
      <c r="G69" s="6">
        <f>+SUM(E$9:$E69)-SUM(F$9:$F69)</f>
        <v>0</v>
      </c>
    </row>
  </sheetData>
  <sheetProtection selectLockedCells="1" autoFilter="0"/>
  <mergeCells count="1">
    <mergeCell ref="B6:C6"/>
  </mergeCells>
  <phoneticPr fontId="41" type="noConversion"/>
  <conditionalFormatting sqref="B9:B69">
    <cfRule type="expression" dxfId="713" priority="5">
      <formula>$F9</formula>
    </cfRule>
  </conditionalFormatting>
  <conditionalFormatting sqref="G4">
    <cfRule type="cellIs" dxfId="712" priority="2" operator="lessThan">
      <formula>0</formula>
    </cfRule>
    <cfRule type="cellIs" dxfId="711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69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>
    <pageSetUpPr fitToPage="1"/>
  </sheetPr>
  <dimension ref="A1:I180"/>
  <sheetViews>
    <sheetView showGridLines="0" zoomScale="60" zoomScaleNormal="60" workbookViewId="0">
      <pane ySplit="8" topLeftCell="A37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6.4414062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 t="s">
        <v>3359</v>
      </c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+SUM(DSCBATIME[TOTAL MONTANT])</f>
        <v>5490000</v>
      </c>
      <c r="F4" s="41">
        <f>+SUM(DSCBATIME[VERSEMENT])</f>
        <v>5490000</v>
      </c>
      <c r="G4" s="130">
        <f>+E4-F4</f>
        <v>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414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45677</v>
      </c>
      <c r="B9" s="13" t="s">
        <v>399</v>
      </c>
      <c r="C9" s="10"/>
      <c r="D9" s="10"/>
      <c r="E9" s="7">
        <f>+$I$2+(DSCBATIME[[#This Row],[QUANTITE]]*DSCBATIME[[#This Row],[PRIX UNITAIRE]])</f>
        <v>0</v>
      </c>
      <c r="F9" s="11"/>
      <c r="G9" s="6">
        <f>+SUM(E$9:$E9)-SUM(F$9:$F9)</f>
        <v>0</v>
      </c>
    </row>
    <row r="10" spans="1:9" ht="28.8" x14ac:dyDescent="0.55000000000000004">
      <c r="A10" s="12">
        <v>45677</v>
      </c>
      <c r="B10" s="13" t="s">
        <v>415</v>
      </c>
      <c r="C10" s="10">
        <v>2</v>
      </c>
      <c r="D10" s="10">
        <v>65000</v>
      </c>
      <c r="E10" s="7">
        <f>+$I$2+(DSCBATIME[[#This Row],[QUANTITE]]*DSCBATIME[[#This Row],[PRIX UNITAIRE]])</f>
        <v>130000</v>
      </c>
      <c r="F10" s="11"/>
      <c r="G10" s="6">
        <f>+SUM(E$9:$E10)-SUM(F$9:$F10)</f>
        <v>130000</v>
      </c>
    </row>
    <row r="11" spans="1:9" ht="28.8" x14ac:dyDescent="0.55000000000000004">
      <c r="A11" s="12">
        <v>45679</v>
      </c>
      <c r="B11" s="13" t="s">
        <v>416</v>
      </c>
      <c r="C11" s="10">
        <v>1</v>
      </c>
      <c r="D11" s="10">
        <v>45000</v>
      </c>
      <c r="E11" s="7">
        <f>+$I$2+(DSCBATIME[[#This Row],[QUANTITE]]*DSCBATIME[[#This Row],[PRIX UNITAIRE]])</f>
        <v>45000</v>
      </c>
      <c r="F11" s="11"/>
      <c r="G11" s="6">
        <f>+SUM(E$9:$E11)-SUM(F$9:$F11)</f>
        <v>175000</v>
      </c>
    </row>
    <row r="12" spans="1:9" ht="28.8" x14ac:dyDescent="0.55000000000000004">
      <c r="A12" s="12">
        <v>45724</v>
      </c>
      <c r="B12" s="13" t="s">
        <v>417</v>
      </c>
      <c r="C12" s="10">
        <v>2</v>
      </c>
      <c r="D12" s="10">
        <v>95000</v>
      </c>
      <c r="E12" s="7">
        <f>+$I$2+(DSCBATIME[[#This Row],[QUANTITE]]*DSCBATIME[[#This Row],[PRIX UNITAIRE]])</f>
        <v>190000</v>
      </c>
      <c r="F12" s="11"/>
      <c r="G12" s="6">
        <f>+SUM(E$9:$E12)-SUM(F$9:$F12)</f>
        <v>365000</v>
      </c>
    </row>
    <row r="13" spans="1:9" ht="28.8" x14ac:dyDescent="0.55000000000000004">
      <c r="A13" s="12">
        <v>45728</v>
      </c>
      <c r="B13" s="13" t="s">
        <v>271</v>
      </c>
      <c r="C13" s="10">
        <v>4</v>
      </c>
      <c r="D13" s="10">
        <v>140000</v>
      </c>
      <c r="E13" s="7">
        <f>+$I$2+(DSCBATIME[[#This Row],[QUANTITE]]*DSCBATIME[[#This Row],[PRIX UNITAIRE]])</f>
        <v>560000</v>
      </c>
      <c r="F13" s="11"/>
      <c r="G13" s="6">
        <f>+SUM(E$9:$E13)-SUM(F$9:$F13)</f>
        <v>925000</v>
      </c>
    </row>
    <row r="14" spans="1:9" ht="28.8" x14ac:dyDescent="0.55000000000000004">
      <c r="A14" s="12">
        <v>45728</v>
      </c>
      <c r="B14" s="13" t="s">
        <v>418</v>
      </c>
      <c r="C14" s="10">
        <v>2</v>
      </c>
      <c r="D14" s="10">
        <v>75000</v>
      </c>
      <c r="E14" s="7">
        <f>+$I$2+(DSCBATIME[[#This Row],[QUANTITE]]*DSCBATIME[[#This Row],[PRIX UNITAIRE]])</f>
        <v>150000</v>
      </c>
      <c r="F14" s="11"/>
      <c r="G14" s="6">
        <f>+SUM(E$9:$E14)-SUM(F$9:$F14)</f>
        <v>1075000</v>
      </c>
    </row>
    <row r="15" spans="1:9" ht="28.8" x14ac:dyDescent="0.55000000000000004">
      <c r="A15" s="12">
        <v>45779</v>
      </c>
      <c r="B15" s="13" t="s">
        <v>419</v>
      </c>
      <c r="C15" s="10">
        <v>2</v>
      </c>
      <c r="D15" s="10">
        <v>150000</v>
      </c>
      <c r="E15" s="7">
        <f>+$I$2+(DSCBATIME[[#This Row],[QUANTITE]]*DSCBATIME[[#This Row],[PRIX UNITAIRE]])</f>
        <v>300000</v>
      </c>
      <c r="F15" s="11"/>
      <c r="G15" s="6">
        <f>+SUM(E$9:$E15)-SUM(F$9:$F15)</f>
        <v>1375000</v>
      </c>
    </row>
    <row r="16" spans="1:9" ht="28.8" x14ac:dyDescent="0.55000000000000004">
      <c r="A16" s="12">
        <v>45796</v>
      </c>
      <c r="B16" s="13" t="s">
        <v>410</v>
      </c>
      <c r="C16" s="10">
        <v>2</v>
      </c>
      <c r="D16" s="10">
        <v>65000</v>
      </c>
      <c r="E16" s="7">
        <f>+$I$2+(DSCBATIME[[#This Row],[QUANTITE]]*DSCBATIME[[#This Row],[PRIX UNITAIRE]])</f>
        <v>130000</v>
      </c>
      <c r="F16" s="11"/>
      <c r="G16" s="6">
        <f>+SUM(E$9:$E16)-SUM(F$9:$F16)</f>
        <v>1505000</v>
      </c>
    </row>
    <row r="17" spans="1:7" ht="28.8" x14ac:dyDescent="0.55000000000000004">
      <c r="A17" s="12">
        <v>45796</v>
      </c>
      <c r="B17" s="13" t="s">
        <v>420</v>
      </c>
      <c r="C17" s="10">
        <v>1</v>
      </c>
      <c r="D17" s="10">
        <v>80000</v>
      </c>
      <c r="E17" s="7">
        <f>+$I$2+(DSCBATIME[[#This Row],[QUANTITE]]*DSCBATIME[[#This Row],[PRIX UNITAIRE]])</f>
        <v>80000</v>
      </c>
      <c r="F17" s="11"/>
      <c r="G17" s="6">
        <f>+SUM(E$9:$E17)-SUM(F$9:$F17)</f>
        <v>1585000</v>
      </c>
    </row>
    <row r="18" spans="1:7" ht="28.8" x14ac:dyDescent="0.55000000000000004">
      <c r="A18" s="12">
        <v>45796</v>
      </c>
      <c r="B18" s="13" t="s">
        <v>421</v>
      </c>
      <c r="C18" s="10">
        <v>1</v>
      </c>
      <c r="D18" s="10">
        <v>35000</v>
      </c>
      <c r="E18" s="7">
        <f>+$I$2+(DSCBATIME[[#This Row],[QUANTITE]]*DSCBATIME[[#This Row],[PRIX UNITAIRE]])</f>
        <v>35000</v>
      </c>
      <c r="F18" s="11"/>
      <c r="G18" s="6">
        <f>+SUM(E$9:$E18)-SUM(F$9:$F18)</f>
        <v>1620000</v>
      </c>
    </row>
    <row r="19" spans="1:7" ht="28.8" x14ac:dyDescent="0.55000000000000004">
      <c r="A19" s="12">
        <v>45574</v>
      </c>
      <c r="B19" s="13" t="s">
        <v>422</v>
      </c>
      <c r="C19" s="10">
        <v>1</v>
      </c>
      <c r="D19" s="10">
        <v>30000</v>
      </c>
      <c r="E19" s="7">
        <f>+$I$2+(DSCBATIME[[#This Row],[QUANTITE]]*DSCBATIME[[#This Row],[PRIX UNITAIRE]])</f>
        <v>30000</v>
      </c>
      <c r="F19" s="11"/>
      <c r="G19" s="6">
        <f>+SUM(E$9:$E19)-SUM(F$9:$F19)</f>
        <v>1650000</v>
      </c>
    </row>
    <row r="20" spans="1:7" ht="28.8" x14ac:dyDescent="0.55000000000000004">
      <c r="A20" s="12">
        <v>45574</v>
      </c>
      <c r="B20" s="13" t="s">
        <v>423</v>
      </c>
      <c r="C20" s="10">
        <v>1</v>
      </c>
      <c r="D20" s="10">
        <v>10000</v>
      </c>
      <c r="E20" s="7">
        <f>+$I$2+(DSCBATIME[[#This Row],[QUANTITE]]*DSCBATIME[[#This Row],[PRIX UNITAIRE]])</f>
        <v>10000</v>
      </c>
      <c r="F20" s="11"/>
      <c r="G20" s="6">
        <f>+SUM(E$9:$E20)-SUM(F$9:$F20)</f>
        <v>1660000</v>
      </c>
    </row>
    <row r="21" spans="1:7" ht="28.8" x14ac:dyDescent="0.55000000000000004">
      <c r="A21" s="12">
        <v>45574</v>
      </c>
      <c r="B21" s="13" t="s">
        <v>424</v>
      </c>
      <c r="C21" s="10">
        <v>1</v>
      </c>
      <c r="D21" s="10">
        <v>20000</v>
      </c>
      <c r="E21" s="7">
        <f>+$I$2+(DSCBATIME[[#This Row],[QUANTITE]]*DSCBATIME[[#This Row],[PRIX UNITAIRE]])</f>
        <v>20000</v>
      </c>
      <c r="F21" s="11"/>
      <c r="G21" s="6">
        <f>+SUM(E$9:$E21)-SUM(F$9:$F21)</f>
        <v>1680000</v>
      </c>
    </row>
    <row r="22" spans="1:7" ht="28.8" x14ac:dyDescent="0.55000000000000004">
      <c r="A22" s="12">
        <v>45574</v>
      </c>
      <c r="B22" s="13" t="s">
        <v>425</v>
      </c>
      <c r="C22" s="10">
        <v>1</v>
      </c>
      <c r="D22" s="10">
        <v>20000</v>
      </c>
      <c r="E22" s="7">
        <f>+$I$2+(DSCBATIME[[#This Row],[QUANTITE]]*DSCBATIME[[#This Row],[PRIX UNITAIRE]])</f>
        <v>20000</v>
      </c>
      <c r="F22" s="11"/>
      <c r="G22" s="6">
        <f>+SUM(E$9:$E22)-SUM(F$9:$F22)</f>
        <v>1700000</v>
      </c>
    </row>
    <row r="23" spans="1:7" ht="28.8" x14ac:dyDescent="0.55000000000000004">
      <c r="A23" s="12">
        <v>45635</v>
      </c>
      <c r="B23" s="13" t="s">
        <v>426</v>
      </c>
      <c r="C23" s="10">
        <v>2</v>
      </c>
      <c r="D23" s="10">
        <v>30000</v>
      </c>
      <c r="E23" s="7">
        <f>+$I$2+(DSCBATIME[[#This Row],[QUANTITE]]*DSCBATIME[[#This Row],[PRIX UNITAIRE]])</f>
        <v>60000</v>
      </c>
      <c r="F23" s="11"/>
      <c r="G23" s="6">
        <f>+SUM(E$9:$E23)-SUM(F$9:$F23)</f>
        <v>1760000</v>
      </c>
    </row>
    <row r="24" spans="1:7" ht="28.8" x14ac:dyDescent="0.55000000000000004">
      <c r="A24" s="12">
        <v>45635</v>
      </c>
      <c r="B24" s="13" t="s">
        <v>427</v>
      </c>
      <c r="C24" s="10">
        <v>1</v>
      </c>
      <c r="D24" s="10">
        <v>10000</v>
      </c>
      <c r="E24" s="7">
        <f>+$I$2+(DSCBATIME[[#This Row],[QUANTITE]]*DSCBATIME[[#This Row],[PRIX UNITAIRE]])</f>
        <v>10000</v>
      </c>
      <c r="F24" s="11"/>
      <c r="G24" s="6">
        <f>+SUM(E$9:$E24)-SUM(F$9:$F24)</f>
        <v>1770000</v>
      </c>
    </row>
    <row r="25" spans="1:7" ht="28.8" x14ac:dyDescent="0.55000000000000004">
      <c r="A25" s="12">
        <v>45635</v>
      </c>
      <c r="B25" s="13" t="s">
        <v>423</v>
      </c>
      <c r="C25" s="10">
        <v>1</v>
      </c>
      <c r="D25" s="10">
        <v>10000</v>
      </c>
      <c r="E25" s="7">
        <f>+$I$2+(DSCBATIME[[#This Row],[QUANTITE]]*DSCBATIME[[#This Row],[PRIX UNITAIRE]])</f>
        <v>10000</v>
      </c>
      <c r="F25" s="11"/>
      <c r="G25" s="6">
        <f>+SUM(E$9:$E25)-SUM(F$9:$F25)</f>
        <v>1780000</v>
      </c>
    </row>
    <row r="26" spans="1:7" ht="28.8" x14ac:dyDescent="0.55000000000000004">
      <c r="A26" s="12" t="s">
        <v>428</v>
      </c>
      <c r="B26" s="13" t="s">
        <v>424</v>
      </c>
      <c r="C26" s="10">
        <v>1</v>
      </c>
      <c r="D26" s="10">
        <v>15000</v>
      </c>
      <c r="E26" s="7">
        <f>+$I$2+(DSCBATIME[[#This Row],[QUANTITE]]*DSCBATIME[[#This Row],[PRIX UNITAIRE]])</f>
        <v>15000</v>
      </c>
      <c r="F26" s="11"/>
      <c r="G26" s="6">
        <f>+SUM(E$9:$E26)-SUM(F$9:$F26)</f>
        <v>1795000</v>
      </c>
    </row>
    <row r="27" spans="1:7" ht="28.8" x14ac:dyDescent="0.55000000000000004">
      <c r="A27" s="12">
        <v>45635</v>
      </c>
      <c r="B27" s="13" t="s">
        <v>429</v>
      </c>
      <c r="C27" s="10">
        <v>1</v>
      </c>
      <c r="D27" s="10">
        <v>80000</v>
      </c>
      <c r="E27" s="7">
        <f>+$I$2+(DSCBATIME[[#This Row],[QUANTITE]]*DSCBATIME[[#This Row],[PRIX UNITAIRE]])</f>
        <v>80000</v>
      </c>
      <c r="F27" s="11"/>
      <c r="G27" s="6">
        <f>+SUM(E$9:$E27)-SUM(F$9:$F27)</f>
        <v>1875000</v>
      </c>
    </row>
    <row r="28" spans="1:7" ht="28.8" x14ac:dyDescent="0.55000000000000004">
      <c r="A28" s="12" t="s">
        <v>430</v>
      </c>
      <c r="B28" s="13" t="s">
        <v>431</v>
      </c>
      <c r="C28" s="10">
        <v>1</v>
      </c>
      <c r="D28" s="10">
        <v>45000</v>
      </c>
      <c r="E28" s="7">
        <f>+$I$2+(DSCBATIME[[#This Row],[QUANTITE]]*DSCBATIME[[#This Row],[PRIX UNITAIRE]])</f>
        <v>45000</v>
      </c>
      <c r="F28" s="11"/>
      <c r="G28" s="6">
        <f>+SUM(E$9:$E28)-SUM(F$9:$F28)</f>
        <v>1920000</v>
      </c>
    </row>
    <row r="29" spans="1:7" ht="28.8" x14ac:dyDescent="0.55000000000000004">
      <c r="A29" s="12">
        <v>45635</v>
      </c>
      <c r="B29" s="13" t="s">
        <v>432</v>
      </c>
      <c r="C29" s="10">
        <v>1</v>
      </c>
      <c r="D29" s="10">
        <v>20000</v>
      </c>
      <c r="E29" s="7">
        <f>+$I$2+(DSCBATIME[[#This Row],[QUANTITE]]*DSCBATIME[[#This Row],[PRIX UNITAIRE]])</f>
        <v>20000</v>
      </c>
      <c r="F29" s="11"/>
      <c r="G29" s="6">
        <f>+SUM(E$9:$E29)-SUM(F$9:$F29)</f>
        <v>1940000</v>
      </c>
    </row>
    <row r="30" spans="1:7" ht="28.8" x14ac:dyDescent="0.55000000000000004">
      <c r="A30" s="12">
        <v>45803</v>
      </c>
      <c r="B30" s="13" t="s">
        <v>433</v>
      </c>
      <c r="C30" s="10"/>
      <c r="D30" s="10"/>
      <c r="E30" s="7">
        <f>+$I$2+(DSCBATIME[[#This Row],[QUANTITE]]*DSCBATIME[[#This Row],[PRIX UNITAIRE]])</f>
        <v>0</v>
      </c>
      <c r="F30" s="11">
        <v>1000000</v>
      </c>
      <c r="G30" s="6">
        <f>+SUM(E$9:$E30)-SUM(F$9:$F30)</f>
        <v>940000</v>
      </c>
    </row>
    <row r="31" spans="1:7" ht="28.8" x14ac:dyDescent="0.55000000000000004">
      <c r="A31" s="12">
        <v>45834</v>
      </c>
      <c r="B31" s="13" t="s">
        <v>1246</v>
      </c>
      <c r="C31" s="10">
        <v>2</v>
      </c>
      <c r="D31" s="10">
        <v>140000</v>
      </c>
      <c r="E31" s="7">
        <f>+$I$2+(DSCBATIME[[#This Row],[QUANTITE]]*DSCBATIME[[#This Row],[PRIX UNITAIRE]])</f>
        <v>280000</v>
      </c>
      <c r="F31" s="11"/>
      <c r="G31" s="6">
        <f>+SUM(E$9:$E31)-SUM(F$9:$F31)</f>
        <v>1220000</v>
      </c>
    </row>
    <row r="32" spans="1:7" ht="28.8" x14ac:dyDescent="0.55000000000000004">
      <c r="A32" s="12">
        <v>45834</v>
      </c>
      <c r="B32" s="13" t="s">
        <v>1247</v>
      </c>
      <c r="C32" s="10">
        <v>2</v>
      </c>
      <c r="D32" s="10">
        <v>125000</v>
      </c>
      <c r="E32" s="7">
        <f>+$I$2+(DSCBATIME[[#This Row],[QUANTITE]]*DSCBATIME[[#This Row],[PRIX UNITAIRE]])</f>
        <v>250000</v>
      </c>
      <c r="F32" s="11"/>
      <c r="G32" s="6">
        <f>+SUM(E$9:$E32)-SUM(F$9:$F32)</f>
        <v>1470000</v>
      </c>
    </row>
    <row r="33" spans="1:7" ht="28.8" x14ac:dyDescent="0.55000000000000004">
      <c r="A33" s="12">
        <v>45863</v>
      </c>
      <c r="B33" s="13" t="s">
        <v>419</v>
      </c>
      <c r="C33" s="10">
        <v>4</v>
      </c>
      <c r="D33" s="10">
        <v>140000</v>
      </c>
      <c r="E33" s="7">
        <f>+$I$2+(DSCBATIME[[#This Row],[QUANTITE]]*DSCBATIME[[#This Row],[PRIX UNITAIRE]])</f>
        <v>560000</v>
      </c>
      <c r="F33" s="11"/>
      <c r="G33" s="6">
        <f>+SUM(E$9:$E33)-SUM(F$9:$F33)</f>
        <v>2030000</v>
      </c>
    </row>
    <row r="34" spans="1:7" ht="28.8" x14ac:dyDescent="0.55000000000000004">
      <c r="A34" s="12">
        <v>45875</v>
      </c>
      <c r="B34" s="13" t="s">
        <v>435</v>
      </c>
      <c r="C34" s="10">
        <v>2</v>
      </c>
      <c r="D34" s="10">
        <v>180000</v>
      </c>
      <c r="E34" s="7">
        <f>+$I$2+(DSCBATIME[[#This Row],[QUANTITE]]*DSCBATIME[[#This Row],[PRIX UNITAIRE]])</f>
        <v>360000</v>
      </c>
      <c r="F34" s="11"/>
      <c r="G34" s="6">
        <f>+SUM(E$9:$E34)-SUM(F$9:$F34)</f>
        <v>2390000</v>
      </c>
    </row>
    <row r="35" spans="1:7" ht="28.8" x14ac:dyDescent="0.55000000000000004">
      <c r="A35" s="12">
        <v>45875</v>
      </c>
      <c r="B35" s="13" t="s">
        <v>397</v>
      </c>
      <c r="C35" s="10">
        <v>2</v>
      </c>
      <c r="D35" s="10">
        <v>150000</v>
      </c>
      <c r="E35" s="7">
        <f>+$I$2+(DSCBATIME[[#This Row],[QUANTITE]]*DSCBATIME[[#This Row],[PRIX UNITAIRE]])</f>
        <v>300000</v>
      </c>
      <c r="F35" s="11"/>
      <c r="G35" s="6">
        <f>+SUM(E$9:$E35)-SUM(F$9:$F35)</f>
        <v>2690000</v>
      </c>
    </row>
    <row r="36" spans="1:7" ht="28.8" x14ac:dyDescent="0.55000000000000004">
      <c r="A36" s="12">
        <v>45899</v>
      </c>
      <c r="B36" s="13" t="s">
        <v>836</v>
      </c>
      <c r="C36" s="10">
        <v>2</v>
      </c>
      <c r="D36" s="10">
        <v>45000</v>
      </c>
      <c r="E36" s="7">
        <f>+$I$2+(DSCBATIME[[#This Row],[QUANTITE]]*DSCBATIME[[#This Row],[PRIX UNITAIRE]])</f>
        <v>90000</v>
      </c>
      <c r="F36" s="11"/>
      <c r="G36" s="6">
        <f>+SUM(E$9:$E36)-SUM(F$9:$F36)</f>
        <v>2780000</v>
      </c>
    </row>
    <row r="37" spans="1:7" ht="28.8" x14ac:dyDescent="0.55000000000000004">
      <c r="A37" s="12">
        <v>45925</v>
      </c>
      <c r="B37" s="13" t="s">
        <v>419</v>
      </c>
      <c r="C37" s="10">
        <v>2</v>
      </c>
      <c r="D37" s="10">
        <v>140000</v>
      </c>
      <c r="E37" s="7">
        <f>+$I$2+(DSCBATIME[[#This Row],[QUANTITE]]*DSCBATIME[[#This Row],[PRIX UNITAIRE]])</f>
        <v>280000</v>
      </c>
      <c r="F37" s="11"/>
      <c r="G37" s="6">
        <f>+SUM(E$9:$E37)-SUM(F$9:$F37)</f>
        <v>3060000</v>
      </c>
    </row>
    <row r="38" spans="1:7" ht="28.8" x14ac:dyDescent="0.55000000000000004">
      <c r="A38" s="12">
        <v>45932</v>
      </c>
      <c r="B38" s="13" t="s">
        <v>3149</v>
      </c>
      <c r="C38" s="10">
        <v>2</v>
      </c>
      <c r="D38" s="10">
        <v>65000</v>
      </c>
      <c r="E38" s="7">
        <f>+$I$2+(DSCBATIME[[#This Row],[QUANTITE]]*DSCBATIME[[#This Row],[PRIX UNITAIRE]])</f>
        <v>130000</v>
      </c>
      <c r="F38" s="11"/>
      <c r="G38" s="6">
        <f>+SUM(E$9:$E38)-SUM(F$9:$F38)</f>
        <v>3190000</v>
      </c>
    </row>
    <row r="39" spans="1:7" ht="28.8" x14ac:dyDescent="0.55000000000000004">
      <c r="A39" s="12">
        <v>45932</v>
      </c>
      <c r="B39" s="13" t="s">
        <v>3150</v>
      </c>
      <c r="C39" s="10">
        <v>2</v>
      </c>
      <c r="D39" s="10">
        <v>22000</v>
      </c>
      <c r="E39" s="7">
        <f>+$I$2+(DSCBATIME[[#This Row],[QUANTITE]]*DSCBATIME[[#This Row],[PRIX UNITAIRE]])</f>
        <v>44000</v>
      </c>
      <c r="F39" s="11"/>
      <c r="G39" s="6">
        <f>+SUM(E$9:$E39)-SUM(F$9:$F39)</f>
        <v>3234000</v>
      </c>
    </row>
    <row r="40" spans="1:7" ht="28.8" x14ac:dyDescent="0.55000000000000004">
      <c r="A40" s="12">
        <v>45937</v>
      </c>
      <c r="B40" s="13" t="s">
        <v>3163</v>
      </c>
      <c r="C40" s="10">
        <v>4</v>
      </c>
      <c r="D40" s="10">
        <v>175000</v>
      </c>
      <c r="E40" s="7">
        <f>+$I$2+(DSCBATIME[[#This Row],[QUANTITE]]*DSCBATIME[[#This Row],[PRIX UNITAIRE]])</f>
        <v>700000</v>
      </c>
      <c r="F40" s="11"/>
      <c r="G40" s="6">
        <f>+SUM(E$9:$E40)-SUM(F$9:$F40)</f>
        <v>3934000</v>
      </c>
    </row>
    <row r="41" spans="1:7" ht="28.8" x14ac:dyDescent="0.55000000000000004">
      <c r="A41" s="12">
        <v>45939</v>
      </c>
      <c r="B41" s="13" t="s">
        <v>3172</v>
      </c>
      <c r="C41" s="10">
        <v>3</v>
      </c>
      <c r="D41" s="10">
        <v>70000</v>
      </c>
      <c r="E41" s="7">
        <f>+$I$2+(DSCBATIME[[#This Row],[QUANTITE]]*DSCBATIME[[#This Row],[PRIX UNITAIRE]])</f>
        <v>210000</v>
      </c>
      <c r="F41" s="11"/>
      <c r="G41" s="6">
        <f>+SUM(E$9:$E41)-SUM(F$9:$F41)</f>
        <v>4144000</v>
      </c>
    </row>
    <row r="42" spans="1:7" ht="28.8" x14ac:dyDescent="0.55000000000000004">
      <c r="A42" s="12">
        <v>45947</v>
      </c>
      <c r="B42" s="13" t="s">
        <v>2769</v>
      </c>
      <c r="C42" s="10">
        <v>2</v>
      </c>
      <c r="D42" s="10">
        <v>3000</v>
      </c>
      <c r="E42" s="7">
        <f>+$I$2+(DSCBATIME[[#This Row],[QUANTITE]]*DSCBATIME[[#This Row],[PRIX UNITAIRE]])</f>
        <v>6000</v>
      </c>
      <c r="F42" s="11"/>
      <c r="G42" s="6">
        <f>+SUM(E$9:$E42)-SUM(F$9:$F42)</f>
        <v>4150000</v>
      </c>
    </row>
    <row r="43" spans="1:7" ht="28.8" x14ac:dyDescent="0.55000000000000004">
      <c r="A43" s="12">
        <v>45947</v>
      </c>
      <c r="B43" s="13" t="s">
        <v>251</v>
      </c>
      <c r="C43" s="10">
        <v>1</v>
      </c>
      <c r="D43" s="10">
        <v>65000</v>
      </c>
      <c r="E43" s="7">
        <f>+$I$2+(DSCBATIME[[#This Row],[QUANTITE]]*DSCBATIME[[#This Row],[PRIX UNITAIRE]])</f>
        <v>65000</v>
      </c>
      <c r="F43" s="11"/>
      <c r="G43" s="6">
        <f>+SUM(E$9:$E43)-SUM(F$9:$F43)</f>
        <v>4215000</v>
      </c>
    </row>
    <row r="44" spans="1:7" ht="28.8" x14ac:dyDescent="0.55000000000000004">
      <c r="A44" s="12">
        <v>45958</v>
      </c>
      <c r="B44" s="13" t="s">
        <v>420</v>
      </c>
      <c r="C44" s="10">
        <v>1</v>
      </c>
      <c r="D44" s="10">
        <v>80000</v>
      </c>
      <c r="E44" s="7">
        <f>+$I$2+(DSCBATIME[[#This Row],[QUANTITE]]*DSCBATIME[[#This Row],[PRIX UNITAIRE]])</f>
        <v>80000</v>
      </c>
      <c r="F44" s="11"/>
      <c r="G44" s="6">
        <f>+SUM(E$9:$E44)-SUM(F$9:$F44)</f>
        <v>4295000</v>
      </c>
    </row>
    <row r="45" spans="1:7" ht="28.8" x14ac:dyDescent="0.55000000000000004">
      <c r="A45" s="12">
        <v>45961</v>
      </c>
      <c r="B45" s="13" t="s">
        <v>3149</v>
      </c>
      <c r="C45" s="10">
        <v>2</v>
      </c>
      <c r="D45" s="10">
        <v>65000</v>
      </c>
      <c r="E45" s="7">
        <f>+$I$2+(DSCBATIME[[#This Row],[QUANTITE]]*DSCBATIME[[#This Row],[PRIX UNITAIRE]])</f>
        <v>130000</v>
      </c>
      <c r="F45" s="11"/>
      <c r="G45" s="6">
        <f>+SUM(E$9:$E45)-SUM(F$9:$F45)</f>
        <v>4425000</v>
      </c>
    </row>
    <row r="46" spans="1:7" ht="28.8" x14ac:dyDescent="0.55000000000000004">
      <c r="A46" s="12">
        <v>45978</v>
      </c>
      <c r="B46" s="13" t="s">
        <v>3239</v>
      </c>
      <c r="C46" s="10">
        <v>1</v>
      </c>
      <c r="D46" s="10">
        <v>65000</v>
      </c>
      <c r="E46" s="7">
        <f>+$I$2+(DSCBATIME[[#This Row],[QUANTITE]]*DSCBATIME[[#This Row],[PRIX UNITAIRE]])</f>
        <v>65000</v>
      </c>
      <c r="F46" s="11"/>
      <c r="G46" s="6">
        <f>+SUM(E$9:$E46)-SUM(F$9:$F46)</f>
        <v>4490000</v>
      </c>
    </row>
    <row r="47" spans="1:7" ht="28.8" x14ac:dyDescent="0.55000000000000004">
      <c r="A47" s="12">
        <v>46093</v>
      </c>
      <c r="B47" s="13" t="s">
        <v>3513</v>
      </c>
      <c r="C47" s="10"/>
      <c r="D47" s="10"/>
      <c r="E47" s="7">
        <f>+$I$2+(DSCBATIME[[#This Row],[QUANTITE]]*DSCBATIME[[#This Row],[PRIX UNITAIRE]])</f>
        <v>0</v>
      </c>
      <c r="F47" s="11">
        <v>4490000</v>
      </c>
      <c r="G47" s="6">
        <f>+SUM(E$9:$E47)-SUM(F$9:$F47)</f>
        <v>0</v>
      </c>
    </row>
    <row r="48" spans="1:7" ht="28.8" x14ac:dyDescent="0.55000000000000004">
      <c r="A48" s="12"/>
      <c r="B48" s="13"/>
      <c r="C48" s="10"/>
      <c r="D48" s="10"/>
      <c r="E48" s="7">
        <f>+$I$2+(DSCBATIME[[#This Row],[QUANTITE]]*DSCBATIME[[#This Row],[PRIX UNITAIRE]])</f>
        <v>0</v>
      </c>
      <c r="F48" s="11"/>
      <c r="G48" s="6">
        <f>+SUM(E$9:$E48)-SUM(F$9:$F48)</f>
        <v>0</v>
      </c>
    </row>
    <row r="49" spans="1:7" ht="28.8" x14ac:dyDescent="0.55000000000000004">
      <c r="A49" s="12"/>
      <c r="B49" s="13"/>
      <c r="C49" s="10"/>
      <c r="D49" s="10"/>
      <c r="E49" s="7">
        <f>+$I$2+(DSCBATIME[[#This Row],[QUANTITE]]*DSCBATIME[[#This Row],[PRIX UNITAIRE]])</f>
        <v>0</v>
      </c>
      <c r="F49" s="11"/>
      <c r="G49" s="6">
        <f>+SUM(E$9:$E49)-SUM(F$9:$F49)</f>
        <v>0</v>
      </c>
    </row>
    <row r="50" spans="1:7" ht="28.8" x14ac:dyDescent="0.55000000000000004">
      <c r="A50" s="12"/>
      <c r="B50" s="13"/>
      <c r="C50" s="10"/>
      <c r="D50" s="10"/>
      <c r="E50" s="7">
        <f>+$I$2+(DSCBATIME[[#This Row],[QUANTITE]]*DSCBATIME[[#This Row],[PRIX UNITAIRE]])</f>
        <v>0</v>
      </c>
      <c r="F50" s="11"/>
      <c r="G50" s="6">
        <f>+SUM(E$9:$E50)-SUM(F$9:$F50)</f>
        <v>0</v>
      </c>
    </row>
    <row r="51" spans="1:7" ht="28.8" x14ac:dyDescent="0.55000000000000004">
      <c r="A51" s="12"/>
      <c r="B51" s="13"/>
      <c r="C51" s="10"/>
      <c r="D51" s="10"/>
      <c r="E51" s="7">
        <f>+$I$2+(DSCBATIME[[#This Row],[QUANTITE]]*DSCBATIME[[#This Row],[PRIX UNITAIRE]])</f>
        <v>0</v>
      </c>
      <c r="F51" s="11"/>
      <c r="G51" s="6">
        <f>+SUM(E$9:$E51)-SUM(F$9:$F51)</f>
        <v>0</v>
      </c>
    </row>
    <row r="52" spans="1:7" ht="28.8" x14ac:dyDescent="0.55000000000000004">
      <c r="A52" s="12"/>
      <c r="B52" s="13"/>
      <c r="C52" s="10"/>
      <c r="D52" s="10"/>
      <c r="E52" s="7">
        <f>+$I$2+(DSCBATIME[[#This Row],[QUANTITE]]*DSCBATIME[[#This Row],[PRIX UNITAIRE]])</f>
        <v>0</v>
      </c>
      <c r="F52" s="11"/>
      <c r="G52" s="6">
        <f>+SUM(E$9:$E52)-SUM(F$9:$F52)</f>
        <v>0</v>
      </c>
    </row>
    <row r="53" spans="1:7" ht="28.8" x14ac:dyDescent="0.55000000000000004">
      <c r="A53" s="12"/>
      <c r="B53" s="13"/>
      <c r="C53" s="10"/>
      <c r="D53" s="10"/>
      <c r="E53" s="7">
        <f>+$I$2+(DSCBATIME[[#This Row],[QUANTITE]]*DSCBATIME[[#This Row],[PRIX UNITAIRE]])</f>
        <v>0</v>
      </c>
      <c r="F53" s="11"/>
      <c r="G53" s="6">
        <f>+SUM(E$9:$E53)-SUM(F$9:$F53)</f>
        <v>0</v>
      </c>
    </row>
    <row r="54" spans="1:7" ht="28.8" x14ac:dyDescent="0.55000000000000004">
      <c r="A54" s="12"/>
      <c r="B54" s="13"/>
      <c r="C54" s="10"/>
      <c r="D54" s="10"/>
      <c r="E54" s="7">
        <f>+$I$2+(DSCBATIME[[#This Row],[QUANTITE]]*DSCBATIME[[#This Row],[PRIX UNITAIRE]])</f>
        <v>0</v>
      </c>
      <c r="F54" s="11"/>
      <c r="G54" s="6">
        <f>+SUM(E$9:$E54)-SUM(F$9:$F54)</f>
        <v>0</v>
      </c>
    </row>
    <row r="55" spans="1:7" ht="28.8" x14ac:dyDescent="0.55000000000000004">
      <c r="A55" s="12"/>
      <c r="B55" s="13"/>
      <c r="C55" s="10"/>
      <c r="D55" s="10"/>
      <c r="E55" s="7">
        <f>+$I$2+(DSCBATIME[[#This Row],[QUANTITE]]*DSCBATIME[[#This Row],[PRIX UNITAIRE]])</f>
        <v>0</v>
      </c>
      <c r="F55" s="11"/>
      <c r="G55" s="6">
        <f>+SUM(E$9:$E55)-SUM(F$9:$F55)</f>
        <v>0</v>
      </c>
    </row>
    <row r="56" spans="1:7" ht="28.8" x14ac:dyDescent="0.55000000000000004">
      <c r="A56" s="12"/>
      <c r="B56" s="13"/>
      <c r="C56" s="10"/>
      <c r="D56" s="10"/>
      <c r="E56" s="7">
        <f>+$I$2+(DSCBATIME[[#This Row],[QUANTITE]]*DSCBATIME[[#This Row],[PRIX UNITAIRE]])</f>
        <v>0</v>
      </c>
      <c r="F56" s="11"/>
      <c r="G56" s="6">
        <f>+SUM(E$9:$E56)-SUM(F$9:$F56)</f>
        <v>0</v>
      </c>
    </row>
    <row r="57" spans="1:7" ht="28.8" x14ac:dyDescent="0.55000000000000004">
      <c r="A57" s="12"/>
      <c r="B57" s="13"/>
      <c r="C57" s="10"/>
      <c r="D57" s="10"/>
      <c r="E57" s="7">
        <f>+$I$2+(DSCBATIME[[#This Row],[QUANTITE]]*DSCBATIME[[#This Row],[PRIX UNITAIRE]])</f>
        <v>0</v>
      </c>
      <c r="F57" s="11"/>
      <c r="G57" s="6">
        <f>+SUM(E$9:$E57)-SUM(F$9:$F57)</f>
        <v>0</v>
      </c>
    </row>
    <row r="58" spans="1:7" ht="28.8" x14ac:dyDescent="0.55000000000000004">
      <c r="A58" s="12"/>
      <c r="B58" s="13"/>
      <c r="C58" s="10"/>
      <c r="D58" s="10"/>
      <c r="E58" s="7">
        <f>+$I$2+(DSCBATIME[[#This Row],[QUANTITE]]*DSCBATIME[[#This Row],[PRIX UNITAIRE]])</f>
        <v>0</v>
      </c>
      <c r="F58" s="11"/>
      <c r="G58" s="6">
        <f>+SUM(E$9:$E58)-SUM(F$9:$F58)</f>
        <v>0</v>
      </c>
    </row>
    <row r="59" spans="1:7" ht="28.8" x14ac:dyDescent="0.55000000000000004">
      <c r="A59" s="12"/>
      <c r="B59" s="13"/>
      <c r="C59" s="10"/>
      <c r="D59" s="10"/>
      <c r="E59" s="7">
        <f>+$I$2+(DSCBATIME[[#This Row],[QUANTITE]]*DSCBATIME[[#This Row],[PRIX UNITAIRE]])</f>
        <v>0</v>
      </c>
      <c r="F59" s="11"/>
      <c r="G59" s="6">
        <f>+SUM(E$9:$E59)-SUM(F$9:$F59)</f>
        <v>0</v>
      </c>
    </row>
    <row r="60" spans="1:7" ht="28.8" x14ac:dyDescent="0.55000000000000004">
      <c r="A60" s="12"/>
      <c r="B60" s="13"/>
      <c r="C60" s="10"/>
      <c r="D60" s="10"/>
      <c r="E60" s="7">
        <f>+$I$2+(DSCBATIME[[#This Row],[QUANTITE]]*DSCBATIME[[#This Row],[PRIX UNITAIRE]])</f>
        <v>0</v>
      </c>
      <c r="F60" s="11"/>
      <c r="G60" s="6">
        <f>+SUM(E$9:$E60)-SUM(F$9:$F60)</f>
        <v>0</v>
      </c>
    </row>
    <row r="61" spans="1:7" ht="28.8" x14ac:dyDescent="0.55000000000000004">
      <c r="A61" s="12"/>
      <c r="B61" s="13"/>
      <c r="C61" s="10"/>
      <c r="D61" s="10"/>
      <c r="E61" s="7">
        <f>+$I$2+(DSCBATIME[[#This Row],[QUANTITE]]*DSCBATIME[[#This Row],[PRIX UNITAIRE]])</f>
        <v>0</v>
      </c>
      <c r="F61" s="11"/>
      <c r="G61" s="6">
        <f>+SUM(E$9:$E61)-SUM(F$9:$F61)</f>
        <v>0</v>
      </c>
    </row>
    <row r="62" spans="1:7" ht="28.8" x14ac:dyDescent="0.55000000000000004">
      <c r="A62" s="12"/>
      <c r="B62" s="13"/>
      <c r="C62" s="10"/>
      <c r="D62" s="10"/>
      <c r="E62" s="7">
        <f>+$I$2+(DSCBATIME[[#This Row],[QUANTITE]]*DSCBATIME[[#This Row],[PRIX UNITAIRE]])</f>
        <v>0</v>
      </c>
      <c r="F62" s="11"/>
      <c r="G62" s="6">
        <f>+SUM(E$9:$E62)-SUM(F$9:$F62)</f>
        <v>0</v>
      </c>
    </row>
    <row r="63" spans="1:7" ht="28.8" x14ac:dyDescent="0.55000000000000004">
      <c r="A63" s="12"/>
      <c r="B63" s="13"/>
      <c r="C63" s="10"/>
      <c r="D63" s="10"/>
      <c r="E63" s="7">
        <f>+$I$2+(DSCBATIME[[#This Row],[QUANTITE]]*DSCBATIME[[#This Row],[PRIX UNITAIRE]])</f>
        <v>0</v>
      </c>
      <c r="F63" s="11"/>
      <c r="G63" s="6">
        <f>+SUM(E$9:$E63)-SUM(F$9:$F63)</f>
        <v>0</v>
      </c>
    </row>
    <row r="64" spans="1:7" ht="28.8" x14ac:dyDescent="0.55000000000000004">
      <c r="A64" s="12"/>
      <c r="B64" s="13"/>
      <c r="C64" s="10"/>
      <c r="D64" s="10"/>
      <c r="E64" s="7">
        <f>+$I$2+(DSCBATIME[[#This Row],[QUANTITE]]*DSCBATIME[[#This Row],[PRIX UNITAIRE]])</f>
        <v>0</v>
      </c>
      <c r="F64" s="11"/>
      <c r="G64" s="6">
        <f>+SUM(E$9:$E64)-SUM(F$9:$F64)</f>
        <v>0</v>
      </c>
    </row>
    <row r="65" spans="1:7" ht="28.8" x14ac:dyDescent="0.55000000000000004">
      <c r="A65" s="12"/>
      <c r="B65" s="13"/>
      <c r="C65" s="10"/>
      <c r="D65" s="10"/>
      <c r="E65" s="7">
        <f>+$I$2+(DSCBATIME[[#This Row],[QUANTITE]]*DSCBATIME[[#This Row],[PRIX UNITAIRE]])</f>
        <v>0</v>
      </c>
      <c r="F65" s="11"/>
      <c r="G65" s="6">
        <f>+SUM(E$9:$E65)-SUM(F$9:$F65)</f>
        <v>0</v>
      </c>
    </row>
    <row r="66" spans="1:7" ht="28.8" x14ac:dyDescent="0.55000000000000004">
      <c r="A66" s="12"/>
      <c r="B66" s="13"/>
      <c r="C66" s="10"/>
      <c r="D66" s="10"/>
      <c r="E66" s="7">
        <f>+$I$2+(DSCBATIME[[#This Row],[QUANTITE]]*DSCBATIME[[#This Row],[PRIX UNITAIRE]])</f>
        <v>0</v>
      </c>
      <c r="F66" s="11"/>
      <c r="G66" s="6">
        <f>+SUM(E$9:$E66)-SUM(F$9:$F66)</f>
        <v>0</v>
      </c>
    </row>
    <row r="67" spans="1:7" ht="28.8" x14ac:dyDescent="0.55000000000000004">
      <c r="A67" s="12"/>
      <c r="B67" s="13"/>
      <c r="C67" s="10"/>
      <c r="D67" s="10"/>
      <c r="E67" s="7">
        <f>+$I$2+(DSCBATIME[[#This Row],[QUANTITE]]*DSCBATIME[[#This Row],[PRIX UNITAIRE]])</f>
        <v>0</v>
      </c>
      <c r="F67" s="11"/>
      <c r="G67" s="6">
        <f>+SUM(E$9:$E67)-SUM(F$9:$F67)</f>
        <v>0</v>
      </c>
    </row>
    <row r="68" spans="1:7" ht="28.8" x14ac:dyDescent="0.55000000000000004">
      <c r="A68" s="12"/>
      <c r="B68" s="13"/>
      <c r="C68" s="10"/>
      <c r="D68" s="10"/>
      <c r="E68" s="7">
        <f>+$I$2+(DSCBATIME[[#This Row],[QUANTITE]]*DSCBATIME[[#This Row],[PRIX UNITAIRE]])</f>
        <v>0</v>
      </c>
      <c r="F68" s="11"/>
      <c r="G68" s="6">
        <f>+SUM(E$9:$E68)-SUM(F$9:$F68)</f>
        <v>0</v>
      </c>
    </row>
    <row r="69" spans="1:7" ht="28.8" x14ac:dyDescent="0.55000000000000004">
      <c r="A69" s="12"/>
      <c r="B69" s="13"/>
      <c r="C69" s="10"/>
      <c r="D69" s="10"/>
      <c r="E69" s="7">
        <f>+$I$2+(DSCBATIME[[#This Row],[QUANTITE]]*DSCBATIME[[#This Row],[PRIX UNITAIRE]])</f>
        <v>0</v>
      </c>
      <c r="F69" s="11"/>
      <c r="G69" s="6">
        <f>+SUM(E$9:$E69)-SUM(F$9:$F69)</f>
        <v>0</v>
      </c>
    </row>
    <row r="70" spans="1:7" ht="28.8" x14ac:dyDescent="0.55000000000000004">
      <c r="A70" s="12"/>
      <c r="B70" s="13"/>
      <c r="C70" s="10"/>
      <c r="D70" s="10"/>
      <c r="E70" s="7">
        <f>+$I$2+(DSCBATIME[[#This Row],[QUANTITE]]*DSCBATIME[[#This Row],[PRIX UNITAIRE]])</f>
        <v>0</v>
      </c>
      <c r="F70" s="11"/>
      <c r="G70" s="6">
        <f>+SUM(E$9:$E70)-SUM(F$9:$F70)</f>
        <v>0</v>
      </c>
    </row>
    <row r="71" spans="1:7" ht="28.8" x14ac:dyDescent="0.55000000000000004">
      <c r="A71" s="12"/>
      <c r="B71" s="13"/>
      <c r="C71" s="10"/>
      <c r="D71" s="10"/>
      <c r="E71" s="7">
        <f>+$I$2+(DSCBATIME[[#This Row],[QUANTITE]]*DSCBATIME[[#This Row],[PRIX UNITAIRE]])</f>
        <v>0</v>
      </c>
      <c r="F71" s="11"/>
      <c r="G71" s="6">
        <f>+SUM(E$9:$E71)-SUM(F$9:$F71)</f>
        <v>0</v>
      </c>
    </row>
    <row r="72" spans="1:7" ht="28.8" x14ac:dyDescent="0.55000000000000004">
      <c r="A72" s="12"/>
      <c r="B72" s="13"/>
      <c r="C72" s="10"/>
      <c r="D72" s="10"/>
      <c r="E72" s="7">
        <f>+$I$2+(DSCBATIME[[#This Row],[QUANTITE]]*DSCBATIME[[#This Row],[PRIX UNITAIRE]])</f>
        <v>0</v>
      </c>
      <c r="F72" s="11"/>
      <c r="G72" s="6">
        <f>+SUM(E$9:$E72)-SUM(F$9:$F72)</f>
        <v>0</v>
      </c>
    </row>
    <row r="73" spans="1:7" ht="28.8" x14ac:dyDescent="0.55000000000000004">
      <c r="A73" s="12"/>
      <c r="B73" s="13"/>
      <c r="C73" s="10"/>
      <c r="D73" s="10"/>
      <c r="E73" s="7">
        <f>+$I$2+(DSCBATIME[[#This Row],[QUANTITE]]*DSCBATIME[[#This Row],[PRIX UNITAIRE]])</f>
        <v>0</v>
      </c>
      <c r="F73" s="11"/>
      <c r="G73" s="6">
        <f>+SUM(E$9:$E73)-SUM(F$9:$F73)</f>
        <v>0</v>
      </c>
    </row>
    <row r="74" spans="1:7" ht="28.8" x14ac:dyDescent="0.55000000000000004">
      <c r="A74" s="12"/>
      <c r="B74" s="13"/>
      <c r="C74" s="10"/>
      <c r="D74" s="10"/>
      <c r="E74" s="7">
        <f>+$I$2+(DSCBATIME[[#This Row],[QUANTITE]]*DSCBATIME[[#This Row],[PRIX UNITAIRE]])</f>
        <v>0</v>
      </c>
      <c r="F74" s="11"/>
      <c r="G74" s="6">
        <f>+SUM(E$9:$E74)-SUM(F$9:$F74)</f>
        <v>0</v>
      </c>
    </row>
    <row r="75" spans="1:7" ht="28.8" x14ac:dyDescent="0.55000000000000004">
      <c r="A75" s="12"/>
      <c r="B75" s="13"/>
      <c r="C75" s="10"/>
      <c r="D75" s="10"/>
      <c r="E75" s="7">
        <f>+$I$2+(DSCBATIME[[#This Row],[QUANTITE]]*DSCBATIME[[#This Row],[PRIX UNITAIRE]])</f>
        <v>0</v>
      </c>
      <c r="F75" s="11"/>
      <c r="G75" s="6">
        <f>+SUM(E$9:$E75)-SUM(F$9:$F75)</f>
        <v>0</v>
      </c>
    </row>
    <row r="76" spans="1:7" ht="28.8" x14ac:dyDescent="0.55000000000000004">
      <c r="A76" s="12"/>
      <c r="B76" s="13"/>
      <c r="C76" s="10"/>
      <c r="D76" s="10"/>
      <c r="E76" s="7">
        <f>+$I$2+(DSCBATIME[[#This Row],[QUANTITE]]*DSCBATIME[[#This Row],[PRIX UNITAIRE]])</f>
        <v>0</v>
      </c>
      <c r="F76" s="11"/>
      <c r="G76" s="6">
        <f>+SUM(E$9:$E76)-SUM(F$9:$F76)</f>
        <v>0</v>
      </c>
    </row>
    <row r="77" spans="1:7" ht="28.8" x14ac:dyDescent="0.55000000000000004">
      <c r="A77" s="12"/>
      <c r="B77" s="13"/>
      <c r="C77" s="10"/>
      <c r="D77" s="10"/>
      <c r="E77" s="7">
        <f>+$I$2+(DSCBATIME[[#This Row],[QUANTITE]]*DSCBATIME[[#This Row],[PRIX UNITAIRE]])</f>
        <v>0</v>
      </c>
      <c r="F77" s="11"/>
      <c r="G77" s="6">
        <f>+SUM(E$9:$E77)-SUM(F$9:$F77)</f>
        <v>0</v>
      </c>
    </row>
    <row r="78" spans="1:7" ht="28.8" x14ac:dyDescent="0.55000000000000004">
      <c r="A78" s="12"/>
      <c r="B78" s="13"/>
      <c r="C78" s="10"/>
      <c r="D78" s="10"/>
      <c r="E78" s="7">
        <f>+$I$2+(DSCBATIME[[#This Row],[QUANTITE]]*DSCBATIME[[#This Row],[PRIX UNITAIRE]])</f>
        <v>0</v>
      </c>
      <c r="F78" s="11"/>
      <c r="G78" s="6">
        <f>+SUM(E$9:$E78)-SUM(F$9:$F78)</f>
        <v>0</v>
      </c>
    </row>
    <row r="79" spans="1:7" ht="28.8" x14ac:dyDescent="0.55000000000000004">
      <c r="A79" s="12"/>
      <c r="B79" s="13"/>
      <c r="C79" s="10"/>
      <c r="D79" s="10"/>
      <c r="E79" s="7">
        <f>+$I$2+(DSCBATIME[[#This Row],[QUANTITE]]*DSCBATIME[[#This Row],[PRIX UNITAIRE]])</f>
        <v>0</v>
      </c>
      <c r="F79" s="11"/>
      <c r="G79" s="6">
        <f>+SUM(E$9:$E79)-SUM(F$9:$F79)</f>
        <v>0</v>
      </c>
    </row>
    <row r="80" spans="1:7" ht="28.8" x14ac:dyDescent="0.55000000000000004">
      <c r="A80" s="12"/>
      <c r="B80" s="13"/>
      <c r="C80" s="10"/>
      <c r="D80" s="10"/>
      <c r="E80" s="7">
        <f>+$I$2+(DSCBATIME[[#This Row],[QUANTITE]]*DSCBATIME[[#This Row],[PRIX UNITAIRE]])</f>
        <v>0</v>
      </c>
      <c r="F80" s="11"/>
      <c r="G80" s="6">
        <f>+SUM(E$9:$E80)-SUM(F$9:$F80)</f>
        <v>0</v>
      </c>
    </row>
    <row r="81" spans="1:7" ht="28.8" x14ac:dyDescent="0.55000000000000004">
      <c r="A81" s="12"/>
      <c r="B81" s="13"/>
      <c r="C81" s="10"/>
      <c r="D81" s="10"/>
      <c r="E81" s="7">
        <f>+$I$2+(DSCBATIME[[#This Row],[QUANTITE]]*DSCBATIME[[#This Row],[PRIX UNITAIRE]])</f>
        <v>0</v>
      </c>
      <c r="F81" s="11"/>
      <c r="G81" s="6">
        <f>+SUM(E$9:$E81)-SUM(F$9:$F81)</f>
        <v>0</v>
      </c>
    </row>
    <row r="82" spans="1:7" ht="28.8" x14ac:dyDescent="0.55000000000000004">
      <c r="A82" s="12"/>
      <c r="B82" s="13"/>
      <c r="C82" s="10"/>
      <c r="D82" s="10"/>
      <c r="E82" s="7">
        <f>+$I$2+(DSCBATIME[[#This Row],[QUANTITE]]*DSCBATIME[[#This Row],[PRIX UNITAIRE]])</f>
        <v>0</v>
      </c>
      <c r="F82" s="11"/>
      <c r="G82" s="6">
        <f>+SUM(E$9:$E82)-SUM(F$9:$F82)</f>
        <v>0</v>
      </c>
    </row>
    <row r="83" spans="1:7" ht="28.8" x14ac:dyDescent="0.55000000000000004">
      <c r="A83" s="12"/>
      <c r="B83" s="13"/>
      <c r="C83" s="10"/>
      <c r="D83" s="10"/>
      <c r="E83" s="7">
        <f>+$I$2+(DSCBATIME[[#This Row],[QUANTITE]]*DSCBATIME[[#This Row],[PRIX UNITAIRE]])</f>
        <v>0</v>
      </c>
      <c r="F83" s="11"/>
      <c r="G83" s="6">
        <f>+SUM(E$9:$E83)-SUM(F$9:$F83)</f>
        <v>0</v>
      </c>
    </row>
    <row r="84" spans="1:7" ht="28.8" x14ac:dyDescent="0.55000000000000004">
      <c r="A84" s="12"/>
      <c r="B84" s="13"/>
      <c r="C84" s="10"/>
      <c r="D84" s="10"/>
      <c r="E84" s="7">
        <f>+$I$2+(DSCBATIME[[#This Row],[QUANTITE]]*DSCBATIME[[#This Row],[PRIX UNITAIRE]])</f>
        <v>0</v>
      </c>
      <c r="F84" s="11"/>
      <c r="G84" s="6">
        <f>+SUM(E$9:$E84)-SUM(F$9:$F84)</f>
        <v>0</v>
      </c>
    </row>
    <row r="85" spans="1:7" ht="28.8" x14ac:dyDescent="0.55000000000000004">
      <c r="A85" s="12"/>
      <c r="B85" s="13"/>
      <c r="C85" s="10"/>
      <c r="D85" s="10"/>
      <c r="E85" s="7">
        <f>+$I$2+(DSCBATIME[[#This Row],[QUANTITE]]*DSCBATIME[[#This Row],[PRIX UNITAIRE]])</f>
        <v>0</v>
      </c>
      <c r="F85" s="11"/>
      <c r="G85" s="6">
        <f>+SUM(E$9:$E85)-SUM(F$9:$F85)</f>
        <v>0</v>
      </c>
    </row>
    <row r="86" spans="1:7" ht="28.8" x14ac:dyDescent="0.55000000000000004">
      <c r="A86" s="12"/>
      <c r="B86" s="13"/>
      <c r="C86" s="10"/>
      <c r="D86" s="10"/>
      <c r="E86" s="7">
        <f>+$I$2+(DSCBATIME[[#This Row],[QUANTITE]]*DSCBATIME[[#This Row],[PRIX UNITAIRE]])</f>
        <v>0</v>
      </c>
      <c r="F86" s="11"/>
      <c r="G86" s="6">
        <f>+SUM(E$9:$E86)-SUM(F$9:$F86)</f>
        <v>0</v>
      </c>
    </row>
    <row r="87" spans="1:7" ht="28.8" x14ac:dyDescent="0.55000000000000004">
      <c r="A87" s="12"/>
      <c r="B87" s="13"/>
      <c r="C87" s="10"/>
      <c r="D87" s="10"/>
      <c r="E87" s="7">
        <f>+$I$2+(DSCBATIME[[#This Row],[QUANTITE]]*DSCBATIME[[#This Row],[PRIX UNITAIRE]])</f>
        <v>0</v>
      </c>
      <c r="F87" s="11"/>
      <c r="G87" s="6">
        <f>+SUM(E$9:$E87)-SUM(F$9:$F87)</f>
        <v>0</v>
      </c>
    </row>
    <row r="88" spans="1:7" ht="28.8" x14ac:dyDescent="0.55000000000000004">
      <c r="A88" s="12"/>
      <c r="B88" s="13"/>
      <c r="C88" s="10"/>
      <c r="D88" s="10"/>
      <c r="E88" s="7">
        <f>+$I$2+(DSCBATIME[[#This Row],[QUANTITE]]*DSCBATIME[[#This Row],[PRIX UNITAIRE]])</f>
        <v>0</v>
      </c>
      <c r="F88" s="11"/>
      <c r="G88" s="6">
        <f>+SUM(E$9:$E88)-SUM(F$9:$F88)</f>
        <v>0</v>
      </c>
    </row>
    <row r="89" spans="1:7" ht="28.8" x14ac:dyDescent="0.55000000000000004">
      <c r="A89" s="12"/>
      <c r="B89" s="13"/>
      <c r="C89" s="10"/>
      <c r="D89" s="10"/>
      <c r="E89" s="7">
        <f>+$I$2+(DSCBATIME[[#This Row],[QUANTITE]]*DSCBATIME[[#This Row],[PRIX UNITAIRE]])</f>
        <v>0</v>
      </c>
      <c r="F89" s="11"/>
      <c r="G89" s="6">
        <f>+SUM(E$9:$E89)-SUM(F$9:$F89)</f>
        <v>0</v>
      </c>
    </row>
    <row r="90" spans="1:7" ht="28.8" x14ac:dyDescent="0.55000000000000004">
      <c r="A90" s="12"/>
      <c r="B90" s="13"/>
      <c r="C90" s="10"/>
      <c r="D90" s="10"/>
      <c r="E90" s="7">
        <f>+$I$2+(DSCBATIME[[#This Row],[QUANTITE]]*DSCBATIME[[#This Row],[PRIX UNITAIRE]])</f>
        <v>0</v>
      </c>
      <c r="F90" s="11"/>
      <c r="G90" s="6">
        <f>+SUM(E$9:$E90)-SUM(F$9:$F90)</f>
        <v>0</v>
      </c>
    </row>
    <row r="91" spans="1:7" ht="28.8" x14ac:dyDescent="0.55000000000000004">
      <c r="A91" s="12"/>
      <c r="B91" s="13"/>
      <c r="C91" s="10"/>
      <c r="D91" s="10"/>
      <c r="E91" s="7">
        <f>+$I$2+(DSCBATIME[[#This Row],[QUANTITE]]*DSCBATIME[[#This Row],[PRIX UNITAIRE]])</f>
        <v>0</v>
      </c>
      <c r="F91" s="11"/>
      <c r="G91" s="6">
        <f>+SUM(E$9:$E91)-SUM(F$9:$F91)</f>
        <v>0</v>
      </c>
    </row>
    <row r="92" spans="1:7" ht="28.8" x14ac:dyDescent="0.55000000000000004">
      <c r="A92" s="12"/>
      <c r="B92" s="13"/>
      <c r="C92" s="10"/>
      <c r="D92" s="10"/>
      <c r="E92" s="7">
        <f>+$I$2+(DSCBATIME[[#This Row],[QUANTITE]]*DSCBATIME[[#This Row],[PRIX UNITAIRE]])</f>
        <v>0</v>
      </c>
      <c r="F92" s="11"/>
      <c r="G92" s="6">
        <f>+SUM(E$9:$E92)-SUM(F$9:$F92)</f>
        <v>0</v>
      </c>
    </row>
    <row r="93" spans="1:7" ht="28.8" x14ac:dyDescent="0.55000000000000004">
      <c r="A93" s="12"/>
      <c r="B93" s="13"/>
      <c r="C93" s="10"/>
      <c r="D93" s="10"/>
      <c r="E93" s="7">
        <f>+$I$2+(DSCBATIME[[#This Row],[QUANTITE]]*DSCBATIME[[#This Row],[PRIX UNITAIRE]])</f>
        <v>0</v>
      </c>
      <c r="F93" s="11"/>
      <c r="G93" s="6">
        <f>+SUM(E$9:$E93)-SUM(F$9:$F93)</f>
        <v>0</v>
      </c>
    </row>
    <row r="94" spans="1:7" ht="28.8" x14ac:dyDescent="0.55000000000000004">
      <c r="A94" s="12"/>
      <c r="B94" s="13"/>
      <c r="C94" s="10"/>
      <c r="D94" s="10"/>
      <c r="E94" s="7">
        <f>+$I$2+(DSCBATIME[[#This Row],[QUANTITE]]*DSCBATIME[[#This Row],[PRIX UNITAIRE]])</f>
        <v>0</v>
      </c>
      <c r="F94" s="11"/>
      <c r="G94" s="6">
        <f>+SUM(E$9:$E94)-SUM(F$9:$F94)</f>
        <v>0</v>
      </c>
    </row>
    <row r="95" spans="1:7" ht="28.8" x14ac:dyDescent="0.55000000000000004">
      <c r="A95" s="12"/>
      <c r="B95" s="13"/>
      <c r="C95" s="10"/>
      <c r="D95" s="10"/>
      <c r="E95" s="7">
        <f>+$I$2+(DSCBATIME[[#This Row],[QUANTITE]]*DSCBATIME[[#This Row],[PRIX UNITAIRE]])</f>
        <v>0</v>
      </c>
      <c r="F95" s="11"/>
      <c r="G95" s="6">
        <f>+SUM(E$9:$E95)-SUM(F$9:$F95)</f>
        <v>0</v>
      </c>
    </row>
    <row r="96" spans="1:7" ht="28.8" x14ac:dyDescent="0.55000000000000004">
      <c r="A96" s="12"/>
      <c r="B96" s="13"/>
      <c r="C96" s="10"/>
      <c r="D96" s="10"/>
      <c r="E96" s="7">
        <f>+$I$2+(DSCBATIME[[#This Row],[QUANTITE]]*DSCBATIME[[#This Row],[PRIX UNITAIRE]])</f>
        <v>0</v>
      </c>
      <c r="F96" s="11"/>
      <c r="G96" s="6">
        <f>+SUM(E$9:$E96)-SUM(F$9:$F96)</f>
        <v>0</v>
      </c>
    </row>
    <row r="97" spans="1:7" ht="28.8" x14ac:dyDescent="0.55000000000000004">
      <c r="A97" s="12"/>
      <c r="B97" s="13"/>
      <c r="C97" s="10"/>
      <c r="D97" s="10"/>
      <c r="E97" s="7">
        <f>+$I$2+(DSCBATIME[[#This Row],[QUANTITE]]*DSCBATIME[[#This Row],[PRIX UNITAIRE]])</f>
        <v>0</v>
      </c>
      <c r="F97" s="11"/>
      <c r="G97" s="6">
        <f>+SUM(E$9:$E97)-SUM(F$9:$F97)</f>
        <v>0</v>
      </c>
    </row>
    <row r="98" spans="1:7" ht="28.8" x14ac:dyDescent="0.55000000000000004">
      <c r="A98" s="12"/>
      <c r="B98" s="13"/>
      <c r="C98" s="10"/>
      <c r="D98" s="10"/>
      <c r="E98" s="7">
        <f>+$I$2+(DSCBATIME[[#This Row],[QUANTITE]]*DSCBATIME[[#This Row],[PRIX UNITAIRE]])</f>
        <v>0</v>
      </c>
      <c r="F98" s="11"/>
      <c r="G98" s="6">
        <f>+SUM(E$9:$E98)-SUM(F$9:$F98)</f>
        <v>0</v>
      </c>
    </row>
    <row r="99" spans="1:7" ht="28.8" x14ac:dyDescent="0.55000000000000004">
      <c r="A99" s="12"/>
      <c r="B99" s="13"/>
      <c r="C99" s="10"/>
      <c r="D99" s="10"/>
      <c r="E99" s="7">
        <f>+$I$2+(DSCBATIME[[#This Row],[QUANTITE]]*DSCBATIME[[#This Row],[PRIX UNITAIRE]])</f>
        <v>0</v>
      </c>
      <c r="F99" s="11"/>
      <c r="G99" s="6">
        <f>+SUM(E$9:$E99)-SUM(F$9:$F99)</f>
        <v>0</v>
      </c>
    </row>
    <row r="100" spans="1:7" ht="28.8" x14ac:dyDescent="0.55000000000000004">
      <c r="A100" s="12"/>
      <c r="B100" s="13"/>
      <c r="C100" s="10"/>
      <c r="D100" s="10"/>
      <c r="E100" s="7">
        <f>+$I$2+(DSCBATIME[[#This Row],[QUANTITE]]*DSCBATIME[[#This Row],[PRIX UNITAIRE]])</f>
        <v>0</v>
      </c>
      <c r="F100" s="11"/>
      <c r="G100" s="6">
        <f>+SUM(E$9:$E100)-SUM(F$9:$F100)</f>
        <v>0</v>
      </c>
    </row>
    <row r="101" spans="1:7" ht="28.8" x14ac:dyDescent="0.55000000000000004">
      <c r="A101" s="12"/>
      <c r="B101" s="13"/>
      <c r="C101" s="10"/>
      <c r="D101" s="10"/>
      <c r="E101" s="7">
        <f>+$I$2+(DSCBATIME[[#This Row],[QUANTITE]]*DSCBATIME[[#This Row],[PRIX UNITAIRE]])</f>
        <v>0</v>
      </c>
      <c r="F101" s="11"/>
      <c r="G101" s="6">
        <f>+SUM(E$9:$E101)-SUM(F$9:$F101)</f>
        <v>0</v>
      </c>
    </row>
    <row r="102" spans="1:7" ht="28.8" x14ac:dyDescent="0.55000000000000004">
      <c r="A102" s="12"/>
      <c r="B102" s="13"/>
      <c r="C102" s="10"/>
      <c r="D102" s="10"/>
      <c r="E102" s="7">
        <f>+$I$2+(DSCBATIME[[#This Row],[QUANTITE]]*DSCBATIME[[#This Row],[PRIX UNITAIRE]])</f>
        <v>0</v>
      </c>
      <c r="F102" s="11"/>
      <c r="G102" s="6">
        <f>+SUM(E$9:$E102)-SUM(F$9:$F102)</f>
        <v>0</v>
      </c>
    </row>
    <row r="103" spans="1:7" ht="28.8" x14ac:dyDescent="0.55000000000000004">
      <c r="A103" s="12"/>
      <c r="B103" s="13"/>
      <c r="C103" s="10"/>
      <c r="D103" s="10"/>
      <c r="E103" s="7">
        <f>+$I$2+(DSCBATIME[[#This Row],[QUANTITE]]*DSCBATIME[[#This Row],[PRIX UNITAIRE]])</f>
        <v>0</v>
      </c>
      <c r="F103" s="11"/>
      <c r="G103" s="6">
        <f>+SUM(E$9:$E103)-SUM(F$9:$F103)</f>
        <v>0</v>
      </c>
    </row>
    <row r="104" spans="1:7" ht="28.8" x14ac:dyDescent="0.55000000000000004">
      <c r="A104" s="12"/>
      <c r="B104" s="13"/>
      <c r="C104" s="10"/>
      <c r="D104" s="10"/>
      <c r="E104" s="7">
        <f>+$I$2+(DSCBATIME[[#This Row],[QUANTITE]]*DSCBATIME[[#This Row],[PRIX UNITAIRE]])</f>
        <v>0</v>
      </c>
      <c r="F104" s="11"/>
      <c r="G104" s="6">
        <f>+SUM(E$9:$E104)-SUM(F$9:$F104)</f>
        <v>0</v>
      </c>
    </row>
    <row r="105" spans="1:7" ht="28.8" x14ac:dyDescent="0.55000000000000004">
      <c r="A105" s="12"/>
      <c r="B105" s="13"/>
      <c r="C105" s="10"/>
      <c r="D105" s="10"/>
      <c r="E105" s="7">
        <f>+$I$2+(DSCBATIME[[#This Row],[QUANTITE]]*DSCBATIME[[#This Row],[PRIX UNITAIRE]])</f>
        <v>0</v>
      </c>
      <c r="F105" s="11"/>
      <c r="G105" s="6">
        <f>+SUM(E$9:$E105)-SUM(F$9:$F105)</f>
        <v>0</v>
      </c>
    </row>
    <row r="106" spans="1:7" ht="28.8" x14ac:dyDescent="0.55000000000000004">
      <c r="A106" s="12"/>
      <c r="B106" s="13"/>
      <c r="C106" s="10"/>
      <c r="D106" s="10"/>
      <c r="E106" s="7">
        <f>+$I$2+(DSCBATIME[[#This Row],[QUANTITE]]*DSCBATIME[[#This Row],[PRIX UNITAIRE]])</f>
        <v>0</v>
      </c>
      <c r="F106" s="11"/>
      <c r="G106" s="6">
        <f>+SUM(E$9:$E106)-SUM(F$9:$F106)</f>
        <v>0</v>
      </c>
    </row>
    <row r="107" spans="1:7" ht="28.8" x14ac:dyDescent="0.55000000000000004">
      <c r="A107" s="12"/>
      <c r="B107" s="13"/>
      <c r="C107" s="10"/>
      <c r="D107" s="10"/>
      <c r="E107" s="7">
        <f>+$I$2+(DSCBATIME[[#This Row],[QUANTITE]]*DSCBATIME[[#This Row],[PRIX UNITAIRE]])</f>
        <v>0</v>
      </c>
      <c r="F107" s="11"/>
      <c r="G107" s="6">
        <f>+SUM(E$9:$E107)-SUM(F$9:$F107)</f>
        <v>0</v>
      </c>
    </row>
    <row r="108" spans="1:7" ht="28.8" x14ac:dyDescent="0.55000000000000004">
      <c r="A108" s="12"/>
      <c r="B108" s="13"/>
      <c r="C108" s="10"/>
      <c r="D108" s="10"/>
      <c r="E108" s="7">
        <f>+$I$2+(DSCBATIME[[#This Row],[QUANTITE]]*DSCBATIME[[#This Row],[PRIX UNITAIRE]])</f>
        <v>0</v>
      </c>
      <c r="F108" s="11"/>
      <c r="G108" s="6">
        <f>+SUM(E$9:$E108)-SUM(F$9:$F108)</f>
        <v>0</v>
      </c>
    </row>
    <row r="109" spans="1:7" ht="28.8" x14ac:dyDescent="0.55000000000000004">
      <c r="A109" s="12"/>
      <c r="B109" s="13"/>
      <c r="C109" s="10"/>
      <c r="D109" s="10"/>
      <c r="E109" s="7">
        <f>+$I$2+(DSCBATIME[[#This Row],[QUANTITE]]*DSCBATIME[[#This Row],[PRIX UNITAIRE]])</f>
        <v>0</v>
      </c>
      <c r="F109" s="11"/>
      <c r="G109" s="6">
        <f>+SUM(E$9:$E109)-SUM(F$9:$F109)</f>
        <v>0</v>
      </c>
    </row>
    <row r="110" spans="1:7" ht="28.8" x14ac:dyDescent="0.55000000000000004">
      <c r="A110" s="12"/>
      <c r="B110" s="13"/>
      <c r="C110" s="10"/>
      <c r="D110" s="10"/>
      <c r="E110" s="7">
        <f>+$I$2+(DSCBATIME[[#This Row],[QUANTITE]]*DSCBATIME[[#This Row],[PRIX UNITAIRE]])</f>
        <v>0</v>
      </c>
      <c r="F110" s="11"/>
      <c r="G110" s="6">
        <f>+SUM(E$9:$E110)-SUM(F$9:$F110)</f>
        <v>0</v>
      </c>
    </row>
    <row r="111" spans="1:7" ht="28.8" x14ac:dyDescent="0.55000000000000004">
      <c r="A111" s="12"/>
      <c r="B111" s="13"/>
      <c r="C111" s="10"/>
      <c r="D111" s="10"/>
      <c r="E111" s="7">
        <f>+$I$2+(DSCBATIME[[#This Row],[QUANTITE]]*DSCBATIME[[#This Row],[PRIX UNITAIRE]])</f>
        <v>0</v>
      </c>
      <c r="F111" s="11"/>
      <c r="G111" s="6">
        <f>+SUM(E$9:$E111)-SUM(F$9:$F111)</f>
        <v>0</v>
      </c>
    </row>
    <row r="112" spans="1:7" ht="28.8" x14ac:dyDescent="0.55000000000000004">
      <c r="A112" s="12"/>
      <c r="B112" s="13"/>
      <c r="C112" s="10"/>
      <c r="D112" s="10"/>
      <c r="E112" s="7">
        <f>+$I$2+(DSCBATIME[[#This Row],[QUANTITE]]*DSCBATIME[[#This Row],[PRIX UNITAIRE]])</f>
        <v>0</v>
      </c>
      <c r="F112" s="11"/>
      <c r="G112" s="6">
        <f>+SUM(E$9:$E112)-SUM(F$9:$F112)</f>
        <v>0</v>
      </c>
    </row>
    <row r="113" spans="1:7" ht="28.8" x14ac:dyDescent="0.55000000000000004">
      <c r="A113" s="12"/>
      <c r="B113" s="13"/>
      <c r="C113" s="10"/>
      <c r="D113" s="10"/>
      <c r="E113" s="7">
        <f>+$I$2+(DSCBATIME[[#This Row],[QUANTITE]]*DSCBATIME[[#This Row],[PRIX UNITAIRE]])</f>
        <v>0</v>
      </c>
      <c r="F113" s="11"/>
      <c r="G113" s="6">
        <f>+SUM(E$9:$E113)-SUM(F$9:$F113)</f>
        <v>0</v>
      </c>
    </row>
    <row r="114" spans="1:7" ht="28.8" x14ac:dyDescent="0.55000000000000004">
      <c r="A114" s="12"/>
      <c r="B114" s="13"/>
      <c r="C114" s="10"/>
      <c r="D114" s="10"/>
      <c r="E114" s="7">
        <f>+$I$2+(DSCBATIME[[#This Row],[QUANTITE]]*DSCBATIME[[#This Row],[PRIX UNITAIRE]])</f>
        <v>0</v>
      </c>
      <c r="F114" s="11"/>
      <c r="G114" s="6">
        <f>+SUM(E$9:$E114)-SUM(F$9:$F114)</f>
        <v>0</v>
      </c>
    </row>
    <row r="115" spans="1:7" ht="28.8" x14ac:dyDescent="0.55000000000000004">
      <c r="A115" s="12"/>
      <c r="B115" s="13"/>
      <c r="C115" s="10"/>
      <c r="D115" s="10"/>
      <c r="E115" s="7">
        <f>+$I$2+(DSCBATIME[[#This Row],[QUANTITE]]*DSCBATIME[[#This Row],[PRIX UNITAIRE]])</f>
        <v>0</v>
      </c>
      <c r="F115" s="11"/>
      <c r="G115" s="6">
        <f>+SUM(E$9:$E115)-SUM(F$9:$F115)</f>
        <v>0</v>
      </c>
    </row>
    <row r="116" spans="1:7" ht="28.8" x14ac:dyDescent="0.55000000000000004">
      <c r="A116" s="12"/>
      <c r="B116" s="13"/>
      <c r="C116" s="10"/>
      <c r="D116" s="10"/>
      <c r="E116" s="7">
        <f>+$I$2+(DSCBATIME[[#This Row],[QUANTITE]]*DSCBATIME[[#This Row],[PRIX UNITAIRE]])</f>
        <v>0</v>
      </c>
      <c r="F116" s="11"/>
      <c r="G116" s="6">
        <f>+SUM(E$9:$E116)-SUM(F$9:$F116)</f>
        <v>0</v>
      </c>
    </row>
    <row r="117" spans="1:7" ht="28.8" x14ac:dyDescent="0.55000000000000004">
      <c r="A117" s="12"/>
      <c r="B117" s="13"/>
      <c r="C117" s="10"/>
      <c r="D117" s="10"/>
      <c r="E117" s="7">
        <f>+$I$2+(DSCBATIME[[#This Row],[QUANTITE]]*DSCBATIME[[#This Row],[PRIX UNITAIRE]])</f>
        <v>0</v>
      </c>
      <c r="F117" s="11"/>
      <c r="G117" s="6">
        <f>+SUM(E$9:$E117)-SUM(F$9:$F117)</f>
        <v>0</v>
      </c>
    </row>
    <row r="118" spans="1:7" ht="28.8" x14ac:dyDescent="0.55000000000000004">
      <c r="A118" s="12"/>
      <c r="B118" s="13"/>
      <c r="C118" s="10"/>
      <c r="D118" s="10"/>
      <c r="E118" s="7">
        <f>+$I$2+(DSCBATIME[[#This Row],[QUANTITE]]*DSCBATIME[[#This Row],[PRIX UNITAIRE]])</f>
        <v>0</v>
      </c>
      <c r="F118" s="11"/>
      <c r="G118" s="6">
        <f>+SUM(E$9:$E118)-SUM(F$9:$F118)</f>
        <v>0</v>
      </c>
    </row>
    <row r="119" spans="1:7" ht="28.8" x14ac:dyDescent="0.55000000000000004">
      <c r="A119" s="12"/>
      <c r="B119" s="13"/>
      <c r="C119" s="10"/>
      <c r="D119" s="10"/>
      <c r="E119" s="7">
        <f>+$I$2+(DSCBATIME[[#This Row],[QUANTITE]]*DSCBATIME[[#This Row],[PRIX UNITAIRE]])</f>
        <v>0</v>
      </c>
      <c r="F119" s="11"/>
      <c r="G119" s="6">
        <f>+SUM(E$9:$E119)-SUM(F$9:$F119)</f>
        <v>0</v>
      </c>
    </row>
    <row r="120" spans="1:7" ht="28.8" x14ac:dyDescent="0.55000000000000004">
      <c r="A120" s="12"/>
      <c r="B120" s="13"/>
      <c r="C120" s="10"/>
      <c r="D120" s="10"/>
      <c r="E120" s="7">
        <f>+$I$2+(DSCBATIME[[#This Row],[QUANTITE]]*DSCBATIME[[#This Row],[PRIX UNITAIRE]])</f>
        <v>0</v>
      </c>
      <c r="F120" s="11"/>
      <c r="G120" s="6">
        <f>+SUM(E$9:$E120)-SUM(F$9:$F120)</f>
        <v>0</v>
      </c>
    </row>
    <row r="121" spans="1:7" ht="28.8" x14ac:dyDescent="0.55000000000000004">
      <c r="A121" s="12"/>
      <c r="B121" s="13"/>
      <c r="C121" s="10"/>
      <c r="D121" s="10"/>
      <c r="E121" s="7">
        <f>+$I$2+(DSCBATIME[[#This Row],[QUANTITE]]*DSCBATIME[[#This Row],[PRIX UNITAIRE]])</f>
        <v>0</v>
      </c>
      <c r="F121" s="11"/>
      <c r="G121" s="6">
        <f>+SUM(E$9:$E121)-SUM(F$9:$F121)</f>
        <v>0</v>
      </c>
    </row>
    <row r="122" spans="1:7" ht="28.8" x14ac:dyDescent="0.55000000000000004">
      <c r="A122" s="12"/>
      <c r="B122" s="13"/>
      <c r="C122" s="10"/>
      <c r="D122" s="10"/>
      <c r="E122" s="7">
        <f>+$I$2+(DSCBATIME[[#This Row],[QUANTITE]]*DSCBATIME[[#This Row],[PRIX UNITAIRE]])</f>
        <v>0</v>
      </c>
      <c r="F122" s="11"/>
      <c r="G122" s="6">
        <f>+SUM(E$9:$E122)-SUM(F$9:$F122)</f>
        <v>0</v>
      </c>
    </row>
    <row r="123" spans="1:7" ht="28.8" x14ac:dyDescent="0.55000000000000004">
      <c r="A123" s="12"/>
      <c r="B123" s="13"/>
      <c r="C123" s="10"/>
      <c r="D123" s="10"/>
      <c r="E123" s="7">
        <f>+$I$2+(DSCBATIME[[#This Row],[QUANTITE]]*DSCBATIME[[#This Row],[PRIX UNITAIRE]])</f>
        <v>0</v>
      </c>
      <c r="F123" s="11"/>
      <c r="G123" s="6">
        <f>+SUM(E$9:$E123)-SUM(F$9:$F123)</f>
        <v>0</v>
      </c>
    </row>
    <row r="124" spans="1:7" ht="28.8" x14ac:dyDescent="0.55000000000000004">
      <c r="A124" s="12"/>
      <c r="B124" s="13"/>
      <c r="C124" s="10"/>
      <c r="D124" s="10"/>
      <c r="E124" s="7">
        <f>+$I$2+(DSCBATIME[[#This Row],[QUANTITE]]*DSCBATIME[[#This Row],[PRIX UNITAIRE]])</f>
        <v>0</v>
      </c>
      <c r="F124" s="11"/>
      <c r="G124" s="6">
        <f>+SUM(E$9:$E124)-SUM(F$9:$F124)</f>
        <v>0</v>
      </c>
    </row>
    <row r="125" spans="1:7" ht="28.8" x14ac:dyDescent="0.55000000000000004">
      <c r="A125" s="12"/>
      <c r="B125" s="13"/>
      <c r="C125" s="10"/>
      <c r="D125" s="10"/>
      <c r="E125" s="7">
        <f>+$I$2+(DSCBATIME[[#This Row],[QUANTITE]]*DSCBATIME[[#This Row],[PRIX UNITAIRE]])</f>
        <v>0</v>
      </c>
      <c r="F125" s="11"/>
      <c r="G125" s="6">
        <f>+SUM(E$9:$E125)-SUM(F$9:$F125)</f>
        <v>0</v>
      </c>
    </row>
    <row r="126" spans="1:7" ht="28.8" x14ac:dyDescent="0.55000000000000004">
      <c r="A126" s="12"/>
      <c r="B126" s="13"/>
      <c r="C126" s="10"/>
      <c r="D126" s="10"/>
      <c r="E126" s="7">
        <f>+$I$2+(DSCBATIME[[#This Row],[QUANTITE]]*DSCBATIME[[#This Row],[PRIX UNITAIRE]])</f>
        <v>0</v>
      </c>
      <c r="F126" s="11"/>
      <c r="G126" s="6">
        <f>+SUM(E$9:$E126)-SUM(F$9:$F126)</f>
        <v>0</v>
      </c>
    </row>
    <row r="127" spans="1:7" ht="28.8" x14ac:dyDescent="0.55000000000000004">
      <c r="A127" s="12"/>
      <c r="B127" s="13"/>
      <c r="C127" s="10"/>
      <c r="D127" s="10"/>
      <c r="E127" s="7">
        <f>+$I$2+(DSCBATIME[[#This Row],[QUANTITE]]*DSCBATIME[[#This Row],[PRIX UNITAIRE]])</f>
        <v>0</v>
      </c>
      <c r="F127" s="11"/>
      <c r="G127" s="6">
        <f>+SUM(E$9:$E127)-SUM(F$9:$F127)</f>
        <v>0</v>
      </c>
    </row>
    <row r="128" spans="1:7" ht="28.8" x14ac:dyDescent="0.55000000000000004">
      <c r="A128" s="12"/>
      <c r="B128" s="13"/>
      <c r="C128" s="10"/>
      <c r="D128" s="10"/>
      <c r="E128" s="7">
        <f>+$I$2+(DSCBATIME[[#This Row],[QUANTITE]]*DSCBATIME[[#This Row],[PRIX UNITAIRE]])</f>
        <v>0</v>
      </c>
      <c r="F128" s="11"/>
      <c r="G128" s="6">
        <f>+SUM(E$9:$E128)-SUM(F$9:$F128)</f>
        <v>0</v>
      </c>
    </row>
    <row r="129" spans="1:7" ht="28.8" x14ac:dyDescent="0.55000000000000004">
      <c r="A129" s="12"/>
      <c r="B129" s="13"/>
      <c r="C129" s="10"/>
      <c r="D129" s="10"/>
      <c r="E129" s="7">
        <f>+$I$2+(DSCBATIME[[#This Row],[QUANTITE]]*DSCBATIME[[#This Row],[PRIX UNITAIRE]])</f>
        <v>0</v>
      </c>
      <c r="F129" s="11"/>
      <c r="G129" s="6">
        <f>+SUM(E$9:$E129)-SUM(F$9:$F129)</f>
        <v>0</v>
      </c>
    </row>
    <row r="130" spans="1:7" ht="28.8" x14ac:dyDescent="0.55000000000000004">
      <c r="A130" s="12"/>
      <c r="B130" s="13"/>
      <c r="C130" s="10"/>
      <c r="D130" s="10"/>
      <c r="E130" s="7">
        <f>+$I$2+(DSCBATIME[[#This Row],[QUANTITE]]*DSCBATIME[[#This Row],[PRIX UNITAIRE]])</f>
        <v>0</v>
      </c>
      <c r="F130" s="11"/>
      <c r="G130" s="6">
        <f>+SUM(E$9:$E130)-SUM(F$9:$F130)</f>
        <v>0</v>
      </c>
    </row>
    <row r="131" spans="1:7" ht="28.8" x14ac:dyDescent="0.55000000000000004">
      <c r="A131" s="12"/>
      <c r="B131" s="13"/>
      <c r="C131" s="10"/>
      <c r="D131" s="10"/>
      <c r="E131" s="7">
        <f>+$I$2+(DSCBATIME[[#This Row],[QUANTITE]]*DSCBATIME[[#This Row],[PRIX UNITAIRE]])</f>
        <v>0</v>
      </c>
      <c r="F131" s="14"/>
      <c r="G131" s="6">
        <f>+SUM(E$9:$E131)-SUM(F$9:$F131)</f>
        <v>0</v>
      </c>
    </row>
    <row r="132" spans="1:7" ht="28.8" x14ac:dyDescent="0.55000000000000004">
      <c r="A132" s="12"/>
      <c r="B132" s="13"/>
      <c r="C132" s="10"/>
      <c r="D132" s="10"/>
      <c r="E132" s="7">
        <f>+$I$2+(DSCBATIME[[#This Row],[QUANTITE]]*DSCBATIME[[#This Row],[PRIX UNITAIRE]])</f>
        <v>0</v>
      </c>
      <c r="F132" s="14"/>
      <c r="G132" s="6">
        <f>+SUM(E$9:$E132)-SUM(F$9:$F132)</f>
        <v>0</v>
      </c>
    </row>
    <row r="133" spans="1:7" ht="28.8" x14ac:dyDescent="0.55000000000000004">
      <c r="A133" s="12"/>
      <c r="B133" s="13"/>
      <c r="C133" s="10"/>
      <c r="D133" s="10"/>
      <c r="E133" s="7">
        <f>+$I$2+(DSCBATIME[[#This Row],[QUANTITE]]*DSCBATIME[[#This Row],[PRIX UNITAIRE]])</f>
        <v>0</v>
      </c>
      <c r="F133" s="14"/>
      <c r="G133" s="6">
        <f>+SUM(E$9:$E133)-SUM(F$9:$F133)</f>
        <v>0</v>
      </c>
    </row>
    <row r="134" spans="1:7" ht="28.8" x14ac:dyDescent="0.55000000000000004">
      <c r="A134" s="12"/>
      <c r="B134" s="13"/>
      <c r="C134" s="10"/>
      <c r="D134" s="10"/>
      <c r="E134" s="7">
        <f>+$I$2+(DSCBATIME[[#This Row],[QUANTITE]]*DSCBATIME[[#This Row],[PRIX UNITAIRE]])</f>
        <v>0</v>
      </c>
      <c r="F134" s="14"/>
      <c r="G134" s="6">
        <f>+SUM(E$9:$E134)-SUM(F$9:$F134)</f>
        <v>0</v>
      </c>
    </row>
    <row r="135" spans="1:7" ht="28.8" x14ac:dyDescent="0.55000000000000004">
      <c r="A135" s="12"/>
      <c r="B135" s="13"/>
      <c r="C135" s="10"/>
      <c r="D135" s="10"/>
      <c r="E135" s="7">
        <f>+$I$2+(DSCBATIME[[#This Row],[QUANTITE]]*DSCBATIME[[#This Row],[PRIX UNITAIRE]])</f>
        <v>0</v>
      </c>
      <c r="F135" s="14"/>
      <c r="G135" s="6">
        <f>+SUM(E$9:$E135)-SUM(F$9:$F135)</f>
        <v>0</v>
      </c>
    </row>
    <row r="136" spans="1:7" ht="28.8" x14ac:dyDescent="0.55000000000000004">
      <c r="A136" s="12"/>
      <c r="B136" s="13"/>
      <c r="C136" s="10"/>
      <c r="D136" s="10"/>
      <c r="E136" s="7">
        <f>+$I$2+(DSCBATIME[[#This Row],[QUANTITE]]*DSCBATIME[[#This Row],[PRIX UNITAIRE]])</f>
        <v>0</v>
      </c>
      <c r="F136" s="14"/>
      <c r="G136" s="6">
        <f>+SUM(E$9:$E136)-SUM(F$9:$F136)</f>
        <v>0</v>
      </c>
    </row>
    <row r="137" spans="1:7" ht="28.8" x14ac:dyDescent="0.55000000000000004">
      <c r="A137" s="12"/>
      <c r="B137" s="13"/>
      <c r="C137" s="10"/>
      <c r="D137" s="10"/>
      <c r="E137" s="7">
        <f>+$I$2+(DSCBATIME[[#This Row],[QUANTITE]]*DSCBATIME[[#This Row],[PRIX UNITAIRE]])</f>
        <v>0</v>
      </c>
      <c r="F137" s="14"/>
      <c r="G137" s="6">
        <f>+SUM(E$9:$E137)-SUM(F$9:$F137)</f>
        <v>0</v>
      </c>
    </row>
    <row r="138" spans="1:7" ht="28.8" x14ac:dyDescent="0.55000000000000004">
      <c r="A138" s="12"/>
      <c r="B138" s="13"/>
      <c r="C138" s="10"/>
      <c r="D138" s="10"/>
      <c r="E138" s="7">
        <f>+$I$2+(DSCBATIME[[#This Row],[QUANTITE]]*DSCBATIME[[#This Row],[PRIX UNITAIRE]])</f>
        <v>0</v>
      </c>
      <c r="F138" s="14"/>
      <c r="G138" s="6">
        <f>+SUM(E$9:$E138)-SUM(F$9:$F138)</f>
        <v>0</v>
      </c>
    </row>
    <row r="139" spans="1:7" ht="28.8" x14ac:dyDescent="0.55000000000000004">
      <c r="A139" s="12"/>
      <c r="B139" s="13"/>
      <c r="C139" s="10"/>
      <c r="D139" s="10"/>
      <c r="E139" s="7">
        <f>+$I$2+(DSCBATIME[[#This Row],[QUANTITE]]*DSCBATIME[[#This Row],[PRIX UNITAIRE]])</f>
        <v>0</v>
      </c>
      <c r="F139" s="14"/>
      <c r="G139" s="6">
        <f>+SUM(E$9:$E139)-SUM(F$9:$F139)</f>
        <v>0</v>
      </c>
    </row>
    <row r="140" spans="1:7" ht="28.8" x14ac:dyDescent="0.55000000000000004">
      <c r="A140" s="12"/>
      <c r="B140" s="13"/>
      <c r="C140" s="10"/>
      <c r="D140" s="10"/>
      <c r="E140" s="7">
        <f>+$I$2+(DSCBATIME[[#This Row],[QUANTITE]]*DSCBATIME[[#This Row],[PRIX UNITAIRE]])</f>
        <v>0</v>
      </c>
      <c r="F140" s="14"/>
      <c r="G140" s="6">
        <f>+SUM(E$9:$E140)-SUM(F$9:$F140)</f>
        <v>0</v>
      </c>
    </row>
    <row r="141" spans="1:7" ht="28.8" x14ac:dyDescent="0.55000000000000004">
      <c r="A141" s="12"/>
      <c r="B141" s="13"/>
      <c r="C141" s="10"/>
      <c r="D141" s="10"/>
      <c r="E141" s="7">
        <f>+$I$2+(DSCBATIME[[#This Row],[QUANTITE]]*DSCBATIME[[#This Row],[PRIX UNITAIRE]])</f>
        <v>0</v>
      </c>
      <c r="F141" s="14"/>
      <c r="G141" s="6">
        <f>+SUM(E$9:$E141)-SUM(F$9:$F141)</f>
        <v>0</v>
      </c>
    </row>
    <row r="142" spans="1:7" ht="28.8" x14ac:dyDescent="0.55000000000000004">
      <c r="A142" s="12"/>
      <c r="B142" s="13"/>
      <c r="C142" s="10"/>
      <c r="D142" s="10"/>
      <c r="E142" s="7">
        <f>+$I$2+(DSCBATIME[[#This Row],[QUANTITE]]*DSCBATIME[[#This Row],[PRIX UNITAIRE]])</f>
        <v>0</v>
      </c>
      <c r="F142" s="14"/>
      <c r="G142" s="6">
        <f>+SUM(E$9:$E142)-SUM(F$9:$F142)</f>
        <v>0</v>
      </c>
    </row>
    <row r="143" spans="1:7" ht="28.8" x14ac:dyDescent="0.55000000000000004">
      <c r="A143" s="12"/>
      <c r="B143" s="13"/>
      <c r="C143" s="10"/>
      <c r="D143" s="10"/>
      <c r="E143" s="7">
        <f>+$I$2+(DSCBATIME[[#This Row],[QUANTITE]]*DSCBATIME[[#This Row],[PRIX UNITAIRE]])</f>
        <v>0</v>
      </c>
      <c r="F143" s="14"/>
      <c r="G143" s="6">
        <f>+SUM(E$9:$E143)-SUM(F$9:$F143)</f>
        <v>0</v>
      </c>
    </row>
    <row r="144" spans="1:7" ht="28.8" x14ac:dyDescent="0.55000000000000004">
      <c r="A144" s="12"/>
      <c r="B144" s="13"/>
      <c r="C144" s="10"/>
      <c r="D144" s="10"/>
      <c r="E144" s="7">
        <f>+$I$2+(DSCBATIME[[#This Row],[QUANTITE]]*DSCBATIME[[#This Row],[PRIX UNITAIRE]])</f>
        <v>0</v>
      </c>
      <c r="F144" s="14"/>
      <c r="G144" s="6">
        <f>+SUM(E$9:$E144)-SUM(F$9:$F144)</f>
        <v>0</v>
      </c>
    </row>
    <row r="145" spans="1:7" ht="28.8" x14ac:dyDescent="0.55000000000000004">
      <c r="A145" s="12"/>
      <c r="B145" s="13"/>
      <c r="C145" s="10"/>
      <c r="D145" s="10"/>
      <c r="E145" s="7">
        <f>+$I$2+(DSCBATIME[[#This Row],[QUANTITE]]*DSCBATIME[[#This Row],[PRIX UNITAIRE]])</f>
        <v>0</v>
      </c>
      <c r="F145" s="14"/>
      <c r="G145" s="6">
        <f>+SUM(E$9:$E145)-SUM(F$9:$F145)</f>
        <v>0</v>
      </c>
    </row>
    <row r="146" spans="1:7" ht="28.8" x14ac:dyDescent="0.55000000000000004">
      <c r="A146" s="12"/>
      <c r="B146" s="13"/>
      <c r="C146" s="10"/>
      <c r="D146" s="10"/>
      <c r="E146" s="7">
        <f>+$I$2+(DSCBATIME[[#This Row],[QUANTITE]]*DSCBATIME[[#This Row],[PRIX UNITAIRE]])</f>
        <v>0</v>
      </c>
      <c r="F146" s="14"/>
      <c r="G146" s="6">
        <f>+SUM(E$9:$E146)-SUM(F$9:$F146)</f>
        <v>0</v>
      </c>
    </row>
    <row r="147" spans="1:7" ht="28.8" x14ac:dyDescent="0.55000000000000004">
      <c r="A147" s="12"/>
      <c r="B147" s="13"/>
      <c r="C147" s="10"/>
      <c r="D147" s="10"/>
      <c r="E147" s="7">
        <f>+$I$2+(DSCBATIME[[#This Row],[QUANTITE]]*DSCBATIME[[#This Row],[PRIX UNITAIRE]])</f>
        <v>0</v>
      </c>
      <c r="F147" s="14"/>
      <c r="G147" s="6">
        <f>+SUM(E$9:$E147)-SUM(F$9:$F147)</f>
        <v>0</v>
      </c>
    </row>
    <row r="148" spans="1:7" ht="28.8" x14ac:dyDescent="0.55000000000000004">
      <c r="A148" s="12"/>
      <c r="B148" s="13"/>
      <c r="C148" s="10"/>
      <c r="D148" s="10"/>
      <c r="E148" s="7">
        <f>+$I$2+(DSCBATIME[[#This Row],[QUANTITE]]*DSCBATIME[[#This Row],[PRIX UNITAIRE]])</f>
        <v>0</v>
      </c>
      <c r="F148" s="14"/>
      <c r="G148" s="6">
        <f>+SUM(E$9:$E148)-SUM(F$9:$F148)</f>
        <v>0</v>
      </c>
    </row>
    <row r="149" spans="1:7" ht="28.8" x14ac:dyDescent="0.55000000000000004">
      <c r="A149" s="12"/>
      <c r="B149" s="13"/>
      <c r="C149" s="10"/>
      <c r="D149" s="10"/>
      <c r="E149" s="7">
        <f>+$I$2+(DSCBATIME[[#This Row],[QUANTITE]]*DSCBATIME[[#This Row],[PRIX UNITAIRE]])</f>
        <v>0</v>
      </c>
      <c r="F149" s="14"/>
      <c r="G149" s="6">
        <f>+SUM(E$9:$E149)-SUM(F$9:$F149)</f>
        <v>0</v>
      </c>
    </row>
    <row r="150" spans="1:7" ht="28.8" x14ac:dyDescent="0.55000000000000004">
      <c r="A150" s="12"/>
      <c r="B150" s="13"/>
      <c r="C150" s="10"/>
      <c r="D150" s="10"/>
      <c r="E150" s="7">
        <f>+$I$2+(DSCBATIME[[#This Row],[QUANTITE]]*DSCBATIME[[#This Row],[PRIX UNITAIRE]])</f>
        <v>0</v>
      </c>
      <c r="F150" s="14"/>
      <c r="G150" s="6">
        <f>+SUM(E$9:$E150)-SUM(F$9:$F150)</f>
        <v>0</v>
      </c>
    </row>
    <row r="151" spans="1:7" ht="28.8" x14ac:dyDescent="0.55000000000000004">
      <c r="A151" s="12"/>
      <c r="B151" s="13"/>
      <c r="C151" s="10"/>
      <c r="D151" s="10"/>
      <c r="E151" s="7">
        <f>+$I$2+(DSCBATIME[[#This Row],[QUANTITE]]*DSCBATIME[[#This Row],[PRIX UNITAIRE]])</f>
        <v>0</v>
      </c>
      <c r="F151" s="14"/>
      <c r="G151" s="6">
        <f>+SUM(E$9:$E151)-SUM(F$9:$F151)</f>
        <v>0</v>
      </c>
    </row>
    <row r="152" spans="1:7" ht="28.8" x14ac:dyDescent="0.55000000000000004">
      <c r="A152" s="12"/>
      <c r="B152" s="13"/>
      <c r="C152" s="10"/>
      <c r="D152" s="10"/>
      <c r="E152" s="7">
        <f>+$I$2+(DSCBATIME[[#This Row],[QUANTITE]]*DSCBATIME[[#This Row],[PRIX UNITAIRE]])</f>
        <v>0</v>
      </c>
      <c r="F152" s="14"/>
      <c r="G152" s="6">
        <f>+SUM(E$9:$E152)-SUM(F$9:$F152)</f>
        <v>0</v>
      </c>
    </row>
    <row r="153" spans="1:7" ht="28.8" x14ac:dyDescent="0.55000000000000004">
      <c r="A153" s="12"/>
      <c r="B153" s="13"/>
      <c r="C153" s="10"/>
      <c r="D153" s="10"/>
      <c r="E153" s="7">
        <f>+$I$2+(DSCBATIME[[#This Row],[QUANTITE]]*DSCBATIME[[#This Row],[PRIX UNITAIRE]])</f>
        <v>0</v>
      </c>
      <c r="F153" s="14"/>
      <c r="G153" s="6">
        <f>+SUM(E$9:$E153)-SUM(F$9:$F153)</f>
        <v>0</v>
      </c>
    </row>
    <row r="154" spans="1:7" ht="28.8" x14ac:dyDescent="0.55000000000000004">
      <c r="A154" s="12"/>
      <c r="B154" s="13"/>
      <c r="C154" s="10"/>
      <c r="D154" s="10"/>
      <c r="E154" s="7">
        <f>+$I$2+(DSCBATIME[[#This Row],[QUANTITE]]*DSCBATIME[[#This Row],[PRIX UNITAIRE]])</f>
        <v>0</v>
      </c>
      <c r="F154" s="14"/>
      <c r="G154" s="6">
        <f>+SUM(E$9:$E154)-SUM(F$9:$F154)</f>
        <v>0</v>
      </c>
    </row>
    <row r="155" spans="1:7" ht="28.8" x14ac:dyDescent="0.55000000000000004">
      <c r="A155" s="12"/>
      <c r="B155" s="13"/>
      <c r="C155" s="10"/>
      <c r="D155" s="10"/>
      <c r="E155" s="7">
        <f>+$I$2+(DSCBATIME[[#This Row],[QUANTITE]]*DSCBATIME[[#This Row],[PRIX UNITAIRE]])</f>
        <v>0</v>
      </c>
      <c r="F155" s="14"/>
      <c r="G155" s="6">
        <f>+SUM(E$9:$E155)-SUM(F$9:$F155)</f>
        <v>0</v>
      </c>
    </row>
    <row r="156" spans="1:7" ht="28.8" x14ac:dyDescent="0.55000000000000004">
      <c r="A156" s="12"/>
      <c r="B156" s="13"/>
      <c r="C156" s="10"/>
      <c r="D156" s="10"/>
      <c r="E156" s="7">
        <f>+$I$2+(DSCBATIME[[#This Row],[QUANTITE]]*DSCBATIME[[#This Row],[PRIX UNITAIRE]])</f>
        <v>0</v>
      </c>
      <c r="F156" s="14"/>
      <c r="G156" s="6">
        <f>+SUM(E$9:$E156)-SUM(F$9:$F156)</f>
        <v>0</v>
      </c>
    </row>
    <row r="157" spans="1:7" ht="28.8" x14ac:dyDescent="0.55000000000000004">
      <c r="A157" s="12"/>
      <c r="B157" s="13"/>
      <c r="C157" s="10"/>
      <c r="D157" s="10"/>
      <c r="E157" s="7">
        <f>+$I$2+(DSCBATIME[[#This Row],[QUANTITE]]*DSCBATIME[[#This Row],[PRIX UNITAIRE]])</f>
        <v>0</v>
      </c>
      <c r="F157" s="14"/>
      <c r="G157" s="6">
        <f>+SUM(E$9:$E157)-SUM(F$9:$F157)</f>
        <v>0</v>
      </c>
    </row>
    <row r="158" spans="1:7" ht="28.8" x14ac:dyDescent="0.55000000000000004">
      <c r="A158" s="12"/>
      <c r="B158" s="13"/>
      <c r="C158" s="10"/>
      <c r="D158" s="10"/>
      <c r="E158" s="7">
        <f>+$I$2+(DSCBATIME[[#This Row],[QUANTITE]]*DSCBATIME[[#This Row],[PRIX UNITAIRE]])</f>
        <v>0</v>
      </c>
      <c r="F158" s="14"/>
      <c r="G158" s="6">
        <f>+SUM(E$9:$E158)-SUM(F$9:$F158)</f>
        <v>0</v>
      </c>
    </row>
    <row r="159" spans="1:7" ht="28.8" x14ac:dyDescent="0.55000000000000004">
      <c r="A159" s="12"/>
      <c r="B159" s="13"/>
      <c r="C159" s="10"/>
      <c r="D159" s="10"/>
      <c r="E159" s="7">
        <f>+$I$2+(DSCBATIME[[#This Row],[QUANTITE]]*DSCBATIME[[#This Row],[PRIX UNITAIRE]])</f>
        <v>0</v>
      </c>
      <c r="F159" s="14"/>
      <c r="G159" s="6">
        <f>+SUM(E$9:$E159)-SUM(F$9:$F159)</f>
        <v>0</v>
      </c>
    </row>
    <row r="160" spans="1:7" ht="28.8" x14ac:dyDescent="0.55000000000000004">
      <c r="A160" s="12"/>
      <c r="B160" s="13"/>
      <c r="C160" s="10"/>
      <c r="D160" s="10"/>
      <c r="E160" s="7">
        <f>+$I$2+(DSCBATIME[[#This Row],[QUANTITE]]*DSCBATIME[[#This Row],[PRIX UNITAIRE]])</f>
        <v>0</v>
      </c>
      <c r="F160" s="14"/>
      <c r="G160" s="6">
        <f>+SUM(E$9:$E160)-SUM(F$9:$F160)</f>
        <v>0</v>
      </c>
    </row>
    <row r="161" spans="1:7" ht="28.8" x14ac:dyDescent="0.55000000000000004">
      <c r="A161" s="12"/>
      <c r="B161" s="13"/>
      <c r="C161" s="10"/>
      <c r="D161" s="10"/>
      <c r="E161" s="7">
        <f>+$I$2+(DSCBATIME[[#This Row],[QUANTITE]]*DSCBATIME[[#This Row],[PRIX UNITAIRE]])</f>
        <v>0</v>
      </c>
      <c r="F161" s="14"/>
      <c r="G161" s="6">
        <f>+SUM(E$9:$E161)-SUM(F$9:$F161)</f>
        <v>0</v>
      </c>
    </row>
    <row r="162" spans="1:7" ht="28.8" x14ac:dyDescent="0.55000000000000004">
      <c r="A162" s="12"/>
      <c r="B162" s="13"/>
      <c r="C162" s="10"/>
      <c r="D162" s="10"/>
      <c r="E162" s="7">
        <f>+$I$2+(DSCBATIME[[#This Row],[QUANTITE]]*DSCBATIME[[#This Row],[PRIX UNITAIRE]])</f>
        <v>0</v>
      </c>
      <c r="F162" s="14"/>
      <c r="G162" s="6">
        <f>+SUM(E$9:$E162)-SUM(F$9:$F162)</f>
        <v>0</v>
      </c>
    </row>
    <row r="163" spans="1:7" ht="28.8" x14ac:dyDescent="0.55000000000000004">
      <c r="A163" s="12"/>
      <c r="B163" s="13"/>
      <c r="C163" s="10"/>
      <c r="D163" s="10"/>
      <c r="E163" s="7">
        <f>+$I$2+(DSCBATIME[[#This Row],[QUANTITE]]*DSCBATIME[[#This Row],[PRIX UNITAIRE]])</f>
        <v>0</v>
      </c>
      <c r="F163" s="14"/>
      <c r="G163" s="6">
        <f>+SUM(E$9:$E163)-SUM(F$9:$F163)</f>
        <v>0</v>
      </c>
    </row>
    <row r="164" spans="1:7" ht="28.8" x14ac:dyDescent="0.55000000000000004">
      <c r="A164" s="12"/>
      <c r="B164" s="13"/>
      <c r="C164" s="10"/>
      <c r="D164" s="10"/>
      <c r="E164" s="7">
        <f>+$I$2+(DSCBATIME[[#This Row],[QUANTITE]]*DSCBATIME[[#This Row],[PRIX UNITAIRE]])</f>
        <v>0</v>
      </c>
      <c r="F164" s="14"/>
      <c r="G164" s="6">
        <f>+SUM(E$9:$E164)-SUM(F$9:$F164)</f>
        <v>0</v>
      </c>
    </row>
    <row r="165" spans="1:7" ht="28.8" x14ac:dyDescent="0.55000000000000004">
      <c r="A165" s="12"/>
      <c r="B165" s="13"/>
      <c r="C165" s="10"/>
      <c r="D165" s="10"/>
      <c r="E165" s="7">
        <f>+$I$2+(DSCBATIME[[#This Row],[QUANTITE]]*DSCBATIME[[#This Row],[PRIX UNITAIRE]])</f>
        <v>0</v>
      </c>
      <c r="F165" s="14"/>
      <c r="G165" s="6">
        <f>+SUM(E$9:$E165)-SUM(F$9:$F165)</f>
        <v>0</v>
      </c>
    </row>
    <row r="166" spans="1:7" ht="28.8" x14ac:dyDescent="0.55000000000000004">
      <c r="A166" s="12"/>
      <c r="B166" s="13"/>
      <c r="C166" s="10"/>
      <c r="D166" s="10"/>
      <c r="E166" s="7">
        <f>+$I$2+(DSCBATIME[[#This Row],[QUANTITE]]*DSCBATIME[[#This Row],[PRIX UNITAIRE]])</f>
        <v>0</v>
      </c>
      <c r="F166" s="14"/>
      <c r="G166" s="6">
        <f>+SUM(E$9:$E166)-SUM(F$9:$F166)</f>
        <v>0</v>
      </c>
    </row>
    <row r="167" spans="1:7" ht="28.8" x14ac:dyDescent="0.55000000000000004">
      <c r="A167" s="12"/>
      <c r="B167" s="13"/>
      <c r="C167" s="10"/>
      <c r="D167" s="10"/>
      <c r="E167" s="7">
        <f>+$I$2+(DSCBATIME[[#This Row],[QUANTITE]]*DSCBATIME[[#This Row],[PRIX UNITAIRE]])</f>
        <v>0</v>
      </c>
      <c r="F167" s="14"/>
      <c r="G167" s="6">
        <f>+SUM(E$9:$E167)-SUM(F$9:$F167)</f>
        <v>0</v>
      </c>
    </row>
    <row r="168" spans="1:7" ht="28.8" x14ac:dyDescent="0.55000000000000004">
      <c r="A168" s="12"/>
      <c r="B168" s="13"/>
      <c r="C168" s="10"/>
      <c r="D168" s="10"/>
      <c r="E168" s="7">
        <f>+$I$2+(DSCBATIME[[#This Row],[QUANTITE]]*DSCBATIME[[#This Row],[PRIX UNITAIRE]])</f>
        <v>0</v>
      </c>
      <c r="F168" s="14"/>
      <c r="G168" s="6">
        <f>+SUM(E$9:$E168)-SUM(F$9:$F168)</f>
        <v>0</v>
      </c>
    </row>
    <row r="169" spans="1:7" ht="28.8" x14ac:dyDescent="0.55000000000000004">
      <c r="A169" s="12"/>
      <c r="B169" s="13"/>
      <c r="C169" s="10"/>
      <c r="D169" s="10"/>
      <c r="E169" s="7">
        <f>+$I$2+(DSCBATIME[[#This Row],[QUANTITE]]*DSCBATIME[[#This Row],[PRIX UNITAIRE]])</f>
        <v>0</v>
      </c>
      <c r="F169" s="14"/>
      <c r="G169" s="6">
        <f>+SUM(E$9:$E169)-SUM(F$9:$F169)</f>
        <v>0</v>
      </c>
    </row>
    <row r="170" spans="1:7" ht="28.8" x14ac:dyDescent="0.55000000000000004">
      <c r="A170" s="12"/>
      <c r="B170" s="13"/>
      <c r="C170" s="10"/>
      <c r="D170" s="10"/>
      <c r="E170" s="7">
        <f>+$I$2+(DSCBATIME[[#This Row],[QUANTITE]]*DSCBATIME[[#This Row],[PRIX UNITAIRE]])</f>
        <v>0</v>
      </c>
      <c r="F170" s="14"/>
      <c r="G170" s="6">
        <f>+SUM(E$9:$E170)-SUM(F$9:$F170)</f>
        <v>0</v>
      </c>
    </row>
    <row r="171" spans="1:7" ht="28.8" x14ac:dyDescent="0.55000000000000004">
      <c r="A171" s="12"/>
      <c r="B171" s="13"/>
      <c r="C171" s="10"/>
      <c r="D171" s="10"/>
      <c r="E171" s="7">
        <f>+$I$2+(DSCBATIME[[#This Row],[QUANTITE]]*DSCBATIME[[#This Row],[PRIX UNITAIRE]])</f>
        <v>0</v>
      </c>
      <c r="F171" s="14"/>
      <c r="G171" s="6">
        <f>+SUM(E$9:$E171)-SUM(F$9:$F171)</f>
        <v>0</v>
      </c>
    </row>
    <row r="172" spans="1:7" ht="28.8" x14ac:dyDescent="0.55000000000000004">
      <c r="A172" s="12"/>
      <c r="B172" s="13"/>
      <c r="C172" s="10"/>
      <c r="D172" s="10"/>
      <c r="E172" s="7">
        <f>+$I$2+(DSCBATIME[[#This Row],[QUANTITE]]*DSCBATIME[[#This Row],[PRIX UNITAIRE]])</f>
        <v>0</v>
      </c>
      <c r="F172" s="14"/>
      <c r="G172" s="6">
        <f>+SUM(E$9:$E172)-SUM(F$9:$F172)</f>
        <v>0</v>
      </c>
    </row>
    <row r="173" spans="1:7" ht="28.8" x14ac:dyDescent="0.55000000000000004">
      <c r="A173" s="12"/>
      <c r="B173" s="13"/>
      <c r="C173" s="10"/>
      <c r="D173" s="10"/>
      <c r="E173" s="7">
        <f>+$I$2+(DSCBATIME[[#This Row],[QUANTITE]]*DSCBATIME[[#This Row],[PRIX UNITAIRE]])</f>
        <v>0</v>
      </c>
      <c r="F173" s="14"/>
      <c r="G173" s="6">
        <f>+SUM(E$9:$E173)-SUM(F$9:$F173)</f>
        <v>0</v>
      </c>
    </row>
    <row r="174" spans="1:7" ht="28.8" x14ac:dyDescent="0.55000000000000004">
      <c r="A174" s="12"/>
      <c r="B174" s="13"/>
      <c r="C174" s="10"/>
      <c r="D174" s="10"/>
      <c r="E174" s="7">
        <f>+$I$2+(DSCBATIME[[#This Row],[QUANTITE]]*DSCBATIME[[#This Row],[PRIX UNITAIRE]])</f>
        <v>0</v>
      </c>
      <c r="F174" s="14"/>
      <c r="G174" s="6">
        <f>+SUM(E$9:$E174)-SUM(F$9:$F174)</f>
        <v>0</v>
      </c>
    </row>
    <row r="175" spans="1:7" ht="28.8" x14ac:dyDescent="0.55000000000000004">
      <c r="A175" s="12"/>
      <c r="B175" s="13"/>
      <c r="C175" s="10"/>
      <c r="D175" s="10"/>
      <c r="E175" s="7">
        <f>+$I$2+(DSCBATIME[[#This Row],[QUANTITE]]*DSCBATIME[[#This Row],[PRIX UNITAIRE]])</f>
        <v>0</v>
      </c>
      <c r="F175" s="14"/>
      <c r="G175" s="6">
        <f>+SUM(E$9:$E175)-SUM(F$9:$F175)</f>
        <v>0</v>
      </c>
    </row>
    <row r="176" spans="1:7" ht="28.8" x14ac:dyDescent="0.55000000000000004">
      <c r="A176" s="12"/>
      <c r="B176" s="13"/>
      <c r="C176" s="10"/>
      <c r="D176" s="10"/>
      <c r="E176" s="7">
        <f>+$I$2+(DSCBATIME[[#This Row],[QUANTITE]]*DSCBATIME[[#This Row],[PRIX UNITAIRE]])</f>
        <v>0</v>
      </c>
      <c r="F176" s="14"/>
      <c r="G176" s="6">
        <f>+SUM(E$9:$E176)-SUM(F$9:$F176)</f>
        <v>0</v>
      </c>
    </row>
    <row r="177" spans="1:7" ht="28.8" x14ac:dyDescent="0.55000000000000004">
      <c r="A177" s="12"/>
      <c r="B177" s="13"/>
      <c r="C177" s="10"/>
      <c r="D177" s="10"/>
      <c r="E177" s="7">
        <f>+$I$2+(DSCBATIME[[#This Row],[QUANTITE]]*DSCBATIME[[#This Row],[PRIX UNITAIRE]])</f>
        <v>0</v>
      </c>
      <c r="F177" s="14"/>
      <c r="G177" s="6">
        <f>+SUM(E$9:$E177)-SUM(F$9:$F177)</f>
        <v>0</v>
      </c>
    </row>
    <row r="178" spans="1:7" ht="28.8" x14ac:dyDescent="0.55000000000000004">
      <c r="A178" s="12"/>
      <c r="B178" s="13"/>
      <c r="C178" s="10"/>
      <c r="D178" s="10"/>
      <c r="E178" s="7">
        <f>+$I$2+(DSCBATIME[[#This Row],[QUANTITE]]*DSCBATIME[[#This Row],[PRIX UNITAIRE]])</f>
        <v>0</v>
      </c>
      <c r="F178" s="14"/>
      <c r="G178" s="6">
        <f>+SUM(E$9:$E178)-SUM(F$9:$F178)</f>
        <v>0</v>
      </c>
    </row>
    <row r="179" spans="1:7" ht="28.8" x14ac:dyDescent="0.55000000000000004">
      <c r="A179" s="12"/>
      <c r="B179" s="13"/>
      <c r="C179" s="10"/>
      <c r="D179" s="10"/>
      <c r="E179" s="7">
        <f>+$I$2+(DSCBATIME[[#This Row],[QUANTITE]]*DSCBATIME[[#This Row],[PRIX UNITAIRE]])</f>
        <v>0</v>
      </c>
      <c r="F179" s="14"/>
      <c r="G179" s="6">
        <f>+SUM(E$9:$E179)-SUM(F$9:$F179)</f>
        <v>0</v>
      </c>
    </row>
    <row r="180" spans="1:7" ht="28.8" x14ac:dyDescent="0.55000000000000004">
      <c r="A180" s="12"/>
      <c r="B180" s="13"/>
      <c r="C180" s="10"/>
      <c r="D180" s="10"/>
      <c r="E180" s="7">
        <f>+$I$2+(DSCBATIME[[#This Row],[QUANTITE]]*DSCBATIME[[#This Row],[PRIX UNITAIRE]])</f>
        <v>0</v>
      </c>
      <c r="F180" s="14"/>
      <c r="G180" s="6">
        <f>+SUM(E$9:$E180)-SUM(F$9:$F180)</f>
        <v>0</v>
      </c>
    </row>
  </sheetData>
  <sheetProtection selectLockedCells="1" autoFilter="0"/>
  <mergeCells count="1">
    <mergeCell ref="B6:C6"/>
  </mergeCells>
  <conditionalFormatting sqref="B9:B180">
    <cfRule type="expression" dxfId="694" priority="5">
      <formula>$F9</formula>
    </cfRule>
  </conditionalFormatting>
  <conditionalFormatting sqref="G4">
    <cfRule type="cellIs" dxfId="693" priority="2" operator="lessThan">
      <formula>0</formula>
    </cfRule>
    <cfRule type="cellIs" dxfId="692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180">
      <formula1>45261</formula1>
    </dataValidation>
  </dataValidations>
  <pageMargins left="0.7" right="0.7" top="0.75" bottom="0.75" header="0.3" footer="0.3"/>
  <pageSetup paperSize="9" scale="13" orientation="portrait" r:id="rId1"/>
  <drawing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I69"/>
  <sheetViews>
    <sheetView showGridLines="0" zoomScale="60" zoomScaleNormal="60" workbookViewId="0">
      <pane ySplit="8" topLeftCell="A9" activePane="bottomLeft" state="frozen"/>
      <selection activeCell="L10" sqref="L10"/>
      <selection pane="bottomLeft" activeCell="F37" sqref="F37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6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+SUM(SIDIMOHAMAD[TOTAL MONTANT])</f>
        <v>4345000</v>
      </c>
      <c r="F4" s="41">
        <f>+SUM(SIDIMOHAMAD[VERSEMENT])</f>
        <v>2115000</v>
      </c>
      <c r="G4" s="130">
        <f>+E4-F4</f>
        <v>2230000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434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45741</v>
      </c>
      <c r="B9" s="13" t="s">
        <v>261</v>
      </c>
      <c r="C9" s="10">
        <v>1</v>
      </c>
      <c r="D9" s="10">
        <v>125000</v>
      </c>
      <c r="E9" s="7">
        <f>+$I$2+(SIDIMOHAMAD[[#This Row],[QUANTITE]]*SIDIMOHAMAD[[#This Row],[PRIX UNITAIRE]])</f>
        <v>125000</v>
      </c>
      <c r="F9" s="14"/>
      <c r="G9" s="6">
        <f>+SUM(E$9:$E9)-SUM(F$9:$F9)</f>
        <v>125000</v>
      </c>
    </row>
    <row r="10" spans="1:9" ht="28.8" x14ac:dyDescent="0.55000000000000004">
      <c r="A10" s="12">
        <v>45741</v>
      </c>
      <c r="B10" s="13" t="s">
        <v>397</v>
      </c>
      <c r="C10" s="10">
        <v>1</v>
      </c>
      <c r="D10" s="10">
        <v>125000</v>
      </c>
      <c r="E10" s="7">
        <f>+$I$2+(SIDIMOHAMAD[[#This Row],[QUANTITE]]*SIDIMOHAMAD[[#This Row],[PRIX UNITAIRE]])</f>
        <v>125000</v>
      </c>
      <c r="F10" s="14"/>
      <c r="G10" s="6">
        <f>+SUM(E$9:$E10)-SUM(F$9:$F10)</f>
        <v>250000</v>
      </c>
    </row>
    <row r="11" spans="1:9" ht="28.8" x14ac:dyDescent="0.55000000000000004">
      <c r="A11" s="12">
        <v>45741</v>
      </c>
      <c r="B11" s="13" t="s">
        <v>435</v>
      </c>
      <c r="C11" s="10">
        <v>1</v>
      </c>
      <c r="D11" s="10">
        <v>150000</v>
      </c>
      <c r="E11" s="7">
        <f>+$I$2+(SIDIMOHAMAD[[#This Row],[QUANTITE]]*SIDIMOHAMAD[[#This Row],[PRIX UNITAIRE]])</f>
        <v>150000</v>
      </c>
      <c r="F11" s="14"/>
      <c r="G11" s="6">
        <f>+SUM(E$9:$E11)-SUM(F$9:$F11)</f>
        <v>400000</v>
      </c>
    </row>
    <row r="12" spans="1:9" ht="28.8" x14ac:dyDescent="0.55000000000000004">
      <c r="A12" s="12">
        <v>45758</v>
      </c>
      <c r="B12" s="13" t="s">
        <v>436</v>
      </c>
      <c r="C12" s="10">
        <v>2</v>
      </c>
      <c r="D12" s="10">
        <v>95000</v>
      </c>
      <c r="E12" s="7">
        <f>+$I$2+(SIDIMOHAMAD[[#This Row],[QUANTITE]]*SIDIMOHAMAD[[#This Row],[PRIX UNITAIRE]])</f>
        <v>190000</v>
      </c>
      <c r="F12" s="14"/>
      <c r="G12" s="6">
        <f>+SUM(E$9:$E12)-SUM(F$9:$F12)</f>
        <v>590000</v>
      </c>
    </row>
    <row r="13" spans="1:9" ht="28.8" x14ac:dyDescent="0.55000000000000004">
      <c r="A13" s="12">
        <v>45758</v>
      </c>
      <c r="B13" s="13" t="s">
        <v>435</v>
      </c>
      <c r="C13" s="10">
        <v>1</v>
      </c>
      <c r="D13" s="10">
        <v>150000</v>
      </c>
      <c r="E13" s="7">
        <f>+$I$2+(SIDIMOHAMAD[[#This Row],[QUANTITE]]*SIDIMOHAMAD[[#This Row],[PRIX UNITAIRE]])</f>
        <v>150000</v>
      </c>
      <c r="F13" s="14"/>
      <c r="G13" s="6">
        <f>+SUM(E$9:$E13)-SUM(F$9:$F13)</f>
        <v>740000</v>
      </c>
    </row>
    <row r="14" spans="1:9" ht="28.8" x14ac:dyDescent="0.55000000000000004">
      <c r="A14" s="12">
        <v>45761</v>
      </c>
      <c r="B14" s="13" t="s">
        <v>437</v>
      </c>
      <c r="C14" s="10">
        <v>1</v>
      </c>
      <c r="D14" s="10">
        <v>125000</v>
      </c>
      <c r="E14" s="7">
        <f>+$I$2+(SIDIMOHAMAD[[#This Row],[QUANTITE]]*SIDIMOHAMAD[[#This Row],[PRIX UNITAIRE]])</f>
        <v>125000</v>
      </c>
      <c r="F14" s="14"/>
      <c r="G14" s="6">
        <f>+SUM(E$9:$E14)-SUM(F$9:$F14)</f>
        <v>865000</v>
      </c>
    </row>
    <row r="15" spans="1:9" ht="28.8" x14ac:dyDescent="0.55000000000000004">
      <c r="A15" s="12">
        <v>45762</v>
      </c>
      <c r="B15" s="13" t="s">
        <v>438</v>
      </c>
      <c r="C15" s="10">
        <v>1</v>
      </c>
      <c r="D15" s="10">
        <v>150000</v>
      </c>
      <c r="E15" s="7">
        <f>+$I$2+(SIDIMOHAMAD[[#This Row],[QUANTITE]]*SIDIMOHAMAD[[#This Row],[PRIX UNITAIRE]])</f>
        <v>150000</v>
      </c>
      <c r="F15" s="14"/>
      <c r="G15" s="6">
        <f>+SUM(E$9:$E15)-SUM(F$9:$F15)</f>
        <v>1015000</v>
      </c>
    </row>
    <row r="16" spans="1:9" ht="28.8" x14ac:dyDescent="0.55000000000000004">
      <c r="A16" s="12">
        <v>45765</v>
      </c>
      <c r="B16" s="13" t="s">
        <v>437</v>
      </c>
      <c r="C16" s="10">
        <v>2</v>
      </c>
      <c r="D16" s="10">
        <v>125000</v>
      </c>
      <c r="E16" s="7">
        <f>+$I$2+(SIDIMOHAMAD[[#This Row],[QUANTITE]]*SIDIMOHAMAD[[#This Row],[PRIX UNITAIRE]])</f>
        <v>250000</v>
      </c>
      <c r="F16" s="14"/>
      <c r="G16" s="6">
        <f>+SUM(E$9:$E16)-SUM(F$9:$F16)</f>
        <v>1265000</v>
      </c>
    </row>
    <row r="17" spans="1:7" ht="28.8" x14ac:dyDescent="0.55000000000000004">
      <c r="A17" s="12">
        <v>45775</v>
      </c>
      <c r="B17" s="13" t="s">
        <v>439</v>
      </c>
      <c r="C17" s="10">
        <v>2</v>
      </c>
      <c r="D17" s="10">
        <v>75000</v>
      </c>
      <c r="E17" s="7">
        <f>+$I$2+(SIDIMOHAMAD[[#This Row],[QUANTITE]]*SIDIMOHAMAD[[#This Row],[PRIX UNITAIRE]])</f>
        <v>150000</v>
      </c>
      <c r="F17" s="14"/>
      <c r="G17" s="6">
        <f>+SUM(E$9:$E17)-SUM(F$9:$F17)</f>
        <v>1415000</v>
      </c>
    </row>
    <row r="18" spans="1:7" ht="28.8" x14ac:dyDescent="0.55000000000000004">
      <c r="A18" s="12">
        <v>45786</v>
      </c>
      <c r="B18" s="13" t="s">
        <v>259</v>
      </c>
      <c r="C18" s="10"/>
      <c r="D18" s="10"/>
      <c r="E18" s="7">
        <f>+$I$2+(SIDIMOHAMAD[[#This Row],[QUANTITE]]*SIDIMOHAMAD[[#This Row],[PRIX UNITAIRE]])</f>
        <v>0</v>
      </c>
      <c r="F18" s="14">
        <v>1415000</v>
      </c>
      <c r="G18" s="6">
        <f>+SUM(E$9:$E18)-SUM(F$9:$F18)</f>
        <v>0</v>
      </c>
    </row>
    <row r="19" spans="1:7" ht="28.8" x14ac:dyDescent="0.55000000000000004">
      <c r="A19" s="12">
        <v>45792</v>
      </c>
      <c r="B19" s="13" t="s">
        <v>440</v>
      </c>
      <c r="C19" s="10">
        <v>1</v>
      </c>
      <c r="D19" s="10">
        <v>150000</v>
      </c>
      <c r="E19" s="7">
        <f>+$I$2+(SIDIMOHAMAD[[#This Row],[QUANTITE]]*SIDIMOHAMAD[[#This Row],[PRIX UNITAIRE]])</f>
        <v>150000</v>
      </c>
      <c r="F19" s="14"/>
      <c r="G19" s="6">
        <f>+SUM(E$9:$E19)-SUM(F$9:$F19)</f>
        <v>150000</v>
      </c>
    </row>
    <row r="20" spans="1:7" ht="28.8" x14ac:dyDescent="0.55000000000000004">
      <c r="A20" s="12">
        <v>45832</v>
      </c>
      <c r="B20" s="13" t="s">
        <v>2735</v>
      </c>
      <c r="C20" s="10">
        <v>1</v>
      </c>
      <c r="D20" s="10">
        <v>150000</v>
      </c>
      <c r="E20" s="7">
        <f>+$I$2+(SIDIMOHAMAD[[#This Row],[QUANTITE]]*SIDIMOHAMAD[[#This Row],[PRIX UNITAIRE]])</f>
        <v>150000</v>
      </c>
      <c r="F20" s="14"/>
      <c r="G20" s="6">
        <f>+SUM(E$9:$E20)-SUM(F$9:$F20)</f>
        <v>300000</v>
      </c>
    </row>
    <row r="21" spans="1:7" ht="28.8" x14ac:dyDescent="0.55000000000000004">
      <c r="A21" s="12">
        <v>45847</v>
      </c>
      <c r="B21" s="13" t="s">
        <v>397</v>
      </c>
      <c r="C21" s="10">
        <v>1</v>
      </c>
      <c r="D21" s="10">
        <v>125000</v>
      </c>
      <c r="E21" s="7">
        <f>+$I$2+(SIDIMOHAMAD[[#This Row],[QUANTITE]]*SIDIMOHAMAD[[#This Row],[PRIX UNITAIRE]])</f>
        <v>125000</v>
      </c>
      <c r="F21" s="14"/>
      <c r="G21" s="6">
        <f>+SUM(E$9:$E21)-SUM(F$9:$F21)</f>
        <v>425000</v>
      </c>
    </row>
    <row r="22" spans="1:7" ht="28.8" x14ac:dyDescent="0.55000000000000004">
      <c r="A22" s="12">
        <v>45846</v>
      </c>
      <c r="B22" s="13" t="s">
        <v>435</v>
      </c>
      <c r="C22" s="10">
        <v>2</v>
      </c>
      <c r="D22" s="10">
        <v>150000</v>
      </c>
      <c r="E22" s="7">
        <f>+$I$2+(SIDIMOHAMAD[[#This Row],[QUANTITE]]*SIDIMOHAMAD[[#This Row],[PRIX UNITAIRE]])</f>
        <v>300000</v>
      </c>
      <c r="F22" s="14"/>
      <c r="G22" s="6">
        <f>+SUM(E$9:$E22)-SUM(F$9:$F22)</f>
        <v>725000</v>
      </c>
    </row>
    <row r="23" spans="1:7" ht="28.8" x14ac:dyDescent="0.55000000000000004">
      <c r="A23" s="12">
        <v>45852</v>
      </c>
      <c r="B23" s="13" t="s">
        <v>2764</v>
      </c>
      <c r="C23" s="10">
        <v>1</v>
      </c>
      <c r="D23" s="10">
        <v>150000</v>
      </c>
      <c r="E23" s="7">
        <f>+$I$2+(SIDIMOHAMAD[[#This Row],[QUANTITE]]*SIDIMOHAMAD[[#This Row],[PRIX UNITAIRE]])</f>
        <v>150000</v>
      </c>
      <c r="F23" s="14"/>
      <c r="G23" s="6">
        <f>+SUM(E$9:$E23)-SUM(F$9:$F23)</f>
        <v>875000</v>
      </c>
    </row>
    <row r="24" spans="1:7" ht="28.8" x14ac:dyDescent="0.55000000000000004">
      <c r="A24" s="12">
        <v>45868</v>
      </c>
      <c r="B24" s="13" t="s">
        <v>435</v>
      </c>
      <c r="C24" s="10">
        <v>1</v>
      </c>
      <c r="D24" s="10">
        <v>150000</v>
      </c>
      <c r="E24" s="7">
        <f>+$I$2+(SIDIMOHAMAD[[#This Row],[QUANTITE]]*SIDIMOHAMAD[[#This Row],[PRIX UNITAIRE]])</f>
        <v>150000</v>
      </c>
      <c r="F24" s="14"/>
      <c r="G24" s="6">
        <f>+SUM(E$9:$E24)-SUM(F$9:$F24)</f>
        <v>1025000</v>
      </c>
    </row>
    <row r="25" spans="1:7" ht="28.8" x14ac:dyDescent="0.55000000000000004">
      <c r="A25" s="12">
        <v>45868</v>
      </c>
      <c r="B25" s="13" t="s">
        <v>261</v>
      </c>
      <c r="C25" s="10">
        <v>1</v>
      </c>
      <c r="D25" s="10">
        <v>125000</v>
      </c>
      <c r="E25" s="7">
        <f>+$I$2+(SIDIMOHAMAD[[#This Row],[QUANTITE]]*SIDIMOHAMAD[[#This Row],[PRIX UNITAIRE]])</f>
        <v>125000</v>
      </c>
      <c r="F25" s="14"/>
      <c r="G25" s="6">
        <f>+SUM(E$9:$E25)-SUM(F$9:$F25)</f>
        <v>1150000</v>
      </c>
    </row>
    <row r="26" spans="1:7" ht="28.8" x14ac:dyDescent="0.55000000000000004">
      <c r="A26" s="12">
        <v>45889</v>
      </c>
      <c r="B26" s="13" t="s">
        <v>261</v>
      </c>
      <c r="C26" s="10">
        <v>1</v>
      </c>
      <c r="D26" s="10">
        <v>125000</v>
      </c>
      <c r="E26" s="7">
        <f>+$I$2+(SIDIMOHAMAD[[#This Row],[QUANTITE]]*SIDIMOHAMAD[[#This Row],[PRIX UNITAIRE]])</f>
        <v>125000</v>
      </c>
      <c r="F26" s="14"/>
      <c r="G26" s="6">
        <f>+SUM(E$9:$E26)-SUM(F$9:$F26)</f>
        <v>1275000</v>
      </c>
    </row>
    <row r="27" spans="1:7" ht="28.8" x14ac:dyDescent="0.55000000000000004">
      <c r="A27" s="12">
        <v>45906</v>
      </c>
      <c r="B27" s="13" t="s">
        <v>397</v>
      </c>
      <c r="C27" s="10">
        <v>1</v>
      </c>
      <c r="D27" s="10">
        <v>125000</v>
      </c>
      <c r="E27" s="7">
        <f>+$I$2+(SIDIMOHAMAD[[#This Row],[QUANTITE]]*SIDIMOHAMAD[[#This Row],[PRIX UNITAIRE]])</f>
        <v>125000</v>
      </c>
      <c r="F27" s="14"/>
      <c r="G27" s="6">
        <f>+SUM(E$9:$E27)-SUM(F$9:$F27)</f>
        <v>1400000</v>
      </c>
    </row>
    <row r="28" spans="1:7" ht="28.8" x14ac:dyDescent="0.55000000000000004">
      <c r="A28" s="12">
        <v>45917</v>
      </c>
      <c r="B28" s="13" t="s">
        <v>259</v>
      </c>
      <c r="C28" s="10"/>
      <c r="D28" s="10"/>
      <c r="E28" s="7">
        <f>+$I$2+(SIDIMOHAMAD[[#This Row],[QUANTITE]]*SIDIMOHAMAD[[#This Row],[PRIX UNITAIRE]])</f>
        <v>0</v>
      </c>
      <c r="F28" s="14">
        <v>400000</v>
      </c>
      <c r="G28" s="6">
        <f>+SUM(E$9:$E28)-SUM(F$9:$F28)</f>
        <v>1000000</v>
      </c>
    </row>
    <row r="29" spans="1:7" ht="28.8" x14ac:dyDescent="0.55000000000000004">
      <c r="A29" s="12">
        <v>45943</v>
      </c>
      <c r="B29" s="13" t="s">
        <v>3214</v>
      </c>
      <c r="C29" s="10">
        <v>1</v>
      </c>
      <c r="D29" s="10">
        <v>150000</v>
      </c>
      <c r="E29" s="7">
        <f>+$I$2+(SIDIMOHAMAD[[#This Row],[QUANTITE]]*SIDIMOHAMAD[[#This Row],[PRIX UNITAIRE]])</f>
        <v>150000</v>
      </c>
      <c r="F29" s="14"/>
      <c r="G29" s="6">
        <f>+SUM(E$9:$E29)-SUM(F$9:$F29)</f>
        <v>1150000</v>
      </c>
    </row>
    <row r="30" spans="1:7" ht="28.8" x14ac:dyDescent="0.55000000000000004">
      <c r="A30" s="12">
        <v>45953</v>
      </c>
      <c r="B30" s="13" t="s">
        <v>3215</v>
      </c>
      <c r="C30" s="10">
        <v>1</v>
      </c>
      <c r="D30" s="10">
        <v>125000</v>
      </c>
      <c r="E30" s="7">
        <f>+$I$2+(SIDIMOHAMAD[[#This Row],[QUANTITE]]*SIDIMOHAMAD[[#This Row],[PRIX UNITAIRE]])</f>
        <v>125000</v>
      </c>
      <c r="F30" s="14"/>
      <c r="G30" s="6">
        <f>+SUM(E$9:$E30)-SUM(F$9:$F30)</f>
        <v>1275000</v>
      </c>
    </row>
    <row r="31" spans="1:7" ht="28.8" x14ac:dyDescent="0.55000000000000004">
      <c r="A31" s="12">
        <v>46058</v>
      </c>
      <c r="B31" s="13" t="s">
        <v>3411</v>
      </c>
      <c r="C31" s="10">
        <v>1</v>
      </c>
      <c r="D31" s="10">
        <v>170000</v>
      </c>
      <c r="E31" s="7">
        <f>+$I$2+(SIDIMOHAMAD[[#This Row],[QUANTITE]]*SIDIMOHAMAD[[#This Row],[PRIX UNITAIRE]])</f>
        <v>170000</v>
      </c>
      <c r="F31" s="14"/>
      <c r="G31" s="6">
        <f>+SUM(E$9:$E31)-SUM(F$9:$F31)</f>
        <v>1445000</v>
      </c>
    </row>
    <row r="32" spans="1:7" ht="28.8" x14ac:dyDescent="0.55000000000000004">
      <c r="A32" s="12">
        <v>46066</v>
      </c>
      <c r="B32" s="13" t="s">
        <v>397</v>
      </c>
      <c r="C32" s="10">
        <v>1</v>
      </c>
      <c r="D32" s="10">
        <v>125000</v>
      </c>
      <c r="E32" s="7">
        <f>+$I$2+(SIDIMOHAMAD[[#This Row],[QUANTITE]]*SIDIMOHAMAD[[#This Row],[PRIX UNITAIRE]])</f>
        <v>125000</v>
      </c>
      <c r="F32" s="14"/>
      <c r="G32" s="6">
        <f>+SUM(E$9:$E32)-SUM(F$9:$F32)</f>
        <v>1570000</v>
      </c>
    </row>
    <row r="33" spans="1:7" ht="28.8" x14ac:dyDescent="0.55000000000000004">
      <c r="A33" s="12">
        <v>46066</v>
      </c>
      <c r="B33" s="13" t="s">
        <v>2709</v>
      </c>
      <c r="C33" s="10">
        <v>3</v>
      </c>
      <c r="D33" s="10">
        <v>150000</v>
      </c>
      <c r="E33" s="7">
        <f>+$I$2+(SIDIMOHAMAD[[#This Row],[QUANTITE]]*SIDIMOHAMAD[[#This Row],[PRIX UNITAIRE]])</f>
        <v>450000</v>
      </c>
      <c r="F33" s="14"/>
      <c r="G33" s="6">
        <f>+SUM(E$9:$E33)-SUM(F$9:$F33)</f>
        <v>2020000</v>
      </c>
    </row>
    <row r="34" spans="1:7" ht="28.8" x14ac:dyDescent="0.55000000000000004">
      <c r="A34" s="12">
        <v>46066</v>
      </c>
      <c r="B34" s="13" t="s">
        <v>475</v>
      </c>
      <c r="C34" s="10">
        <v>1</v>
      </c>
      <c r="D34" s="10">
        <v>60000</v>
      </c>
      <c r="E34" s="7">
        <f>+$I$2+(SIDIMOHAMAD[[#This Row],[QUANTITE]]*SIDIMOHAMAD[[#This Row],[PRIX UNITAIRE]])</f>
        <v>60000</v>
      </c>
      <c r="F34" s="14"/>
      <c r="G34" s="6">
        <f>+SUM(E$9:$E34)-SUM(F$9:$F34)</f>
        <v>2080000</v>
      </c>
    </row>
    <row r="35" spans="1:7" ht="28.8" x14ac:dyDescent="0.55000000000000004">
      <c r="A35" s="12">
        <v>46090</v>
      </c>
      <c r="B35" s="13" t="s">
        <v>3501</v>
      </c>
      <c r="C35" s="10">
        <v>1</v>
      </c>
      <c r="D35" s="10">
        <v>150000</v>
      </c>
      <c r="E35" s="7">
        <f>+$I$2+(SIDIMOHAMAD[[#This Row],[QUANTITE]]*SIDIMOHAMAD[[#This Row],[PRIX UNITAIRE]])</f>
        <v>150000</v>
      </c>
      <c r="F35" s="14"/>
      <c r="G35" s="6">
        <f>+SUM(E$9:$E35)-SUM(F$9:$F35)</f>
        <v>2230000</v>
      </c>
    </row>
    <row r="36" spans="1:7" ht="28.8" x14ac:dyDescent="0.55000000000000004">
      <c r="A36" s="12">
        <v>46100</v>
      </c>
      <c r="B36" s="13" t="s">
        <v>3541</v>
      </c>
      <c r="C36" s="10">
        <v>2</v>
      </c>
      <c r="D36" s="10">
        <v>150000</v>
      </c>
      <c r="E36" s="7">
        <f>+$I$2+(SIDIMOHAMAD[[#This Row],[QUANTITE]]*SIDIMOHAMAD[[#This Row],[PRIX UNITAIRE]])</f>
        <v>300000</v>
      </c>
      <c r="F36" s="14">
        <v>300000</v>
      </c>
      <c r="G36" s="6">
        <f>+SUM(E$9:$E36)-SUM(F$9:$F36)</f>
        <v>2230000</v>
      </c>
    </row>
    <row r="37" spans="1:7" ht="28.8" x14ac:dyDescent="0.55000000000000004">
      <c r="A37" s="12"/>
      <c r="B37" s="13"/>
      <c r="C37" s="10"/>
      <c r="D37" s="10"/>
      <c r="E37" s="7">
        <f>+$I$2+(SIDIMOHAMAD[[#This Row],[QUANTITE]]*SIDIMOHAMAD[[#This Row],[PRIX UNITAIRE]])</f>
        <v>0</v>
      </c>
      <c r="F37" s="14"/>
      <c r="G37" s="6">
        <f>+SUM(E$9:$E37)-SUM(F$9:$F37)</f>
        <v>2230000</v>
      </c>
    </row>
    <row r="38" spans="1:7" ht="28.8" x14ac:dyDescent="0.55000000000000004">
      <c r="A38" s="12"/>
      <c r="B38" s="13"/>
      <c r="C38" s="10"/>
      <c r="D38" s="10"/>
      <c r="E38" s="7">
        <f>+$I$2+(SIDIMOHAMAD[[#This Row],[QUANTITE]]*SIDIMOHAMAD[[#This Row],[PRIX UNITAIRE]])</f>
        <v>0</v>
      </c>
      <c r="F38" s="14"/>
      <c r="G38" s="6">
        <f>+SUM(E$9:$E38)-SUM(F$9:$F38)</f>
        <v>2230000</v>
      </c>
    </row>
    <row r="39" spans="1:7" ht="28.8" x14ac:dyDescent="0.55000000000000004">
      <c r="A39" s="12"/>
      <c r="B39" s="13"/>
      <c r="C39" s="10"/>
      <c r="D39" s="10"/>
      <c r="E39" s="7">
        <f>+$I$2+(SIDIMOHAMAD[[#This Row],[QUANTITE]]*SIDIMOHAMAD[[#This Row],[PRIX UNITAIRE]])</f>
        <v>0</v>
      </c>
      <c r="F39" s="14"/>
      <c r="G39" s="6">
        <f>+SUM(E$9:$E39)-SUM(F$9:$F39)</f>
        <v>2230000</v>
      </c>
    </row>
    <row r="40" spans="1:7" ht="28.8" x14ac:dyDescent="0.55000000000000004">
      <c r="A40" s="12"/>
      <c r="B40" s="13"/>
      <c r="C40" s="10"/>
      <c r="D40" s="10"/>
      <c r="E40" s="7">
        <f>+$I$2+(SIDIMOHAMAD[[#This Row],[QUANTITE]]*SIDIMOHAMAD[[#This Row],[PRIX UNITAIRE]])</f>
        <v>0</v>
      </c>
      <c r="F40" s="14"/>
      <c r="G40" s="6">
        <f>+SUM(E$9:$E40)-SUM(F$9:$F40)</f>
        <v>2230000</v>
      </c>
    </row>
    <row r="41" spans="1:7" ht="28.8" x14ac:dyDescent="0.55000000000000004">
      <c r="A41" s="12"/>
      <c r="B41" s="13"/>
      <c r="C41" s="10"/>
      <c r="D41" s="10"/>
      <c r="E41" s="7">
        <f>+$I$2+(SIDIMOHAMAD[[#This Row],[QUANTITE]]*SIDIMOHAMAD[[#This Row],[PRIX UNITAIRE]])</f>
        <v>0</v>
      </c>
      <c r="F41" s="14"/>
      <c r="G41" s="6">
        <f>+SUM(E$9:$E41)-SUM(F$9:$F41)</f>
        <v>2230000</v>
      </c>
    </row>
    <row r="42" spans="1:7" ht="28.8" x14ac:dyDescent="0.55000000000000004">
      <c r="A42" s="12"/>
      <c r="B42" s="13"/>
      <c r="C42" s="10"/>
      <c r="D42" s="10"/>
      <c r="E42" s="7">
        <f>+$I$2+(SIDIMOHAMAD[[#This Row],[QUANTITE]]*SIDIMOHAMAD[[#This Row],[PRIX UNITAIRE]])</f>
        <v>0</v>
      </c>
      <c r="F42" s="14"/>
      <c r="G42" s="6">
        <f>+SUM(E$9:$E42)-SUM(F$9:$F42)</f>
        <v>2230000</v>
      </c>
    </row>
    <row r="43" spans="1:7" ht="28.8" x14ac:dyDescent="0.55000000000000004">
      <c r="A43" s="12"/>
      <c r="B43" s="13"/>
      <c r="C43" s="10"/>
      <c r="D43" s="10"/>
      <c r="E43" s="7">
        <f>+$I$2+(SIDIMOHAMAD[[#This Row],[QUANTITE]]*SIDIMOHAMAD[[#This Row],[PRIX UNITAIRE]])</f>
        <v>0</v>
      </c>
      <c r="F43" s="14"/>
      <c r="G43" s="6">
        <f>+SUM(E$9:$E43)-SUM(F$9:$F43)</f>
        <v>2230000</v>
      </c>
    </row>
    <row r="44" spans="1:7" ht="28.8" x14ac:dyDescent="0.55000000000000004">
      <c r="A44" s="12"/>
      <c r="B44" s="13"/>
      <c r="C44" s="10"/>
      <c r="D44" s="10"/>
      <c r="E44" s="7">
        <f>+$I$2+(SIDIMOHAMAD[[#This Row],[QUANTITE]]*SIDIMOHAMAD[[#This Row],[PRIX UNITAIRE]])</f>
        <v>0</v>
      </c>
      <c r="F44" s="14"/>
      <c r="G44" s="6">
        <f>+SUM(E$9:$E44)-SUM(F$9:$F44)</f>
        <v>2230000</v>
      </c>
    </row>
    <row r="45" spans="1:7" ht="28.8" x14ac:dyDescent="0.55000000000000004">
      <c r="A45" s="12"/>
      <c r="B45" s="13"/>
      <c r="C45" s="10"/>
      <c r="D45" s="10"/>
      <c r="E45" s="7">
        <f>+$I$2+(SIDIMOHAMAD[[#This Row],[QUANTITE]]*SIDIMOHAMAD[[#This Row],[PRIX UNITAIRE]])</f>
        <v>0</v>
      </c>
      <c r="F45" s="14"/>
      <c r="G45" s="6">
        <f>+SUM(E$9:$E45)-SUM(F$9:$F45)</f>
        <v>2230000</v>
      </c>
    </row>
    <row r="46" spans="1:7" ht="28.8" x14ac:dyDescent="0.55000000000000004">
      <c r="A46" s="12"/>
      <c r="B46" s="13"/>
      <c r="C46" s="10"/>
      <c r="D46" s="10"/>
      <c r="E46" s="7">
        <f>+$I$2+(SIDIMOHAMAD[[#This Row],[QUANTITE]]*SIDIMOHAMAD[[#This Row],[PRIX UNITAIRE]])</f>
        <v>0</v>
      </c>
      <c r="F46" s="14"/>
      <c r="G46" s="6">
        <f>+SUM(E$9:$E46)-SUM(F$9:$F46)</f>
        <v>2230000</v>
      </c>
    </row>
    <row r="47" spans="1:7" ht="28.8" x14ac:dyDescent="0.55000000000000004">
      <c r="A47" s="12"/>
      <c r="B47" s="13"/>
      <c r="C47" s="10"/>
      <c r="D47" s="10"/>
      <c r="E47" s="7">
        <f>+$I$2+(SIDIMOHAMAD[[#This Row],[QUANTITE]]*SIDIMOHAMAD[[#This Row],[PRIX UNITAIRE]])</f>
        <v>0</v>
      </c>
      <c r="F47" s="14"/>
      <c r="G47" s="6">
        <f>+SUM(E$9:$E47)-SUM(F$9:$F47)</f>
        <v>2230000</v>
      </c>
    </row>
    <row r="48" spans="1:7" ht="28.8" x14ac:dyDescent="0.55000000000000004">
      <c r="A48" s="12"/>
      <c r="B48" s="13"/>
      <c r="C48" s="10"/>
      <c r="D48" s="10"/>
      <c r="E48" s="7">
        <f>+$I$2+(SIDIMOHAMAD[[#This Row],[QUANTITE]]*SIDIMOHAMAD[[#This Row],[PRIX UNITAIRE]])</f>
        <v>0</v>
      </c>
      <c r="F48" s="14"/>
      <c r="G48" s="6">
        <f>+SUM(E$9:$E48)-SUM(F$9:$F48)</f>
        <v>2230000</v>
      </c>
    </row>
    <row r="49" spans="1:7" ht="28.8" x14ac:dyDescent="0.55000000000000004">
      <c r="A49" s="12"/>
      <c r="B49" s="13"/>
      <c r="C49" s="10"/>
      <c r="D49" s="10"/>
      <c r="E49" s="7">
        <f>+$I$2+(SIDIMOHAMAD[[#This Row],[QUANTITE]]*SIDIMOHAMAD[[#This Row],[PRIX UNITAIRE]])</f>
        <v>0</v>
      </c>
      <c r="F49" s="14"/>
      <c r="G49" s="6">
        <f>+SUM(E$9:$E49)-SUM(F$9:$F49)</f>
        <v>2230000</v>
      </c>
    </row>
    <row r="50" spans="1:7" ht="28.8" x14ac:dyDescent="0.55000000000000004">
      <c r="A50" s="12"/>
      <c r="B50" s="13"/>
      <c r="C50" s="10"/>
      <c r="D50" s="10"/>
      <c r="E50" s="7">
        <f>+$I$2+(SIDIMOHAMAD[[#This Row],[QUANTITE]]*SIDIMOHAMAD[[#This Row],[PRIX UNITAIRE]])</f>
        <v>0</v>
      </c>
      <c r="F50" s="14"/>
      <c r="G50" s="6">
        <f>+SUM(E$9:$E50)-SUM(F$9:$F50)</f>
        <v>2230000</v>
      </c>
    </row>
    <row r="51" spans="1:7" ht="28.8" x14ac:dyDescent="0.55000000000000004">
      <c r="A51" s="12"/>
      <c r="B51" s="13"/>
      <c r="C51" s="10"/>
      <c r="D51" s="10"/>
      <c r="E51" s="7">
        <f>+$I$2+(SIDIMOHAMAD[[#This Row],[QUANTITE]]*SIDIMOHAMAD[[#This Row],[PRIX UNITAIRE]])</f>
        <v>0</v>
      </c>
      <c r="F51" s="14"/>
      <c r="G51" s="6">
        <f>+SUM(E$9:$E51)-SUM(F$9:$F51)</f>
        <v>2230000</v>
      </c>
    </row>
    <row r="52" spans="1:7" ht="28.8" x14ac:dyDescent="0.55000000000000004">
      <c r="A52" s="12"/>
      <c r="B52" s="13"/>
      <c r="C52" s="10"/>
      <c r="D52" s="10"/>
      <c r="E52" s="7">
        <f>+$I$2+(SIDIMOHAMAD[[#This Row],[QUANTITE]]*SIDIMOHAMAD[[#This Row],[PRIX UNITAIRE]])</f>
        <v>0</v>
      </c>
      <c r="F52" s="14"/>
      <c r="G52" s="6">
        <f>+SUM(E$9:$E52)-SUM(F$9:$F52)</f>
        <v>2230000</v>
      </c>
    </row>
    <row r="53" spans="1:7" ht="28.8" x14ac:dyDescent="0.55000000000000004">
      <c r="A53" s="12"/>
      <c r="B53" s="13"/>
      <c r="C53" s="10"/>
      <c r="D53" s="10"/>
      <c r="E53" s="7">
        <f>+$I$2+(SIDIMOHAMAD[[#This Row],[QUANTITE]]*SIDIMOHAMAD[[#This Row],[PRIX UNITAIRE]])</f>
        <v>0</v>
      </c>
      <c r="F53" s="14"/>
      <c r="G53" s="6">
        <f>+SUM(E$9:$E53)-SUM(F$9:$F53)</f>
        <v>2230000</v>
      </c>
    </row>
    <row r="54" spans="1:7" ht="28.8" x14ac:dyDescent="0.55000000000000004">
      <c r="A54" s="12"/>
      <c r="B54" s="13"/>
      <c r="C54" s="10"/>
      <c r="D54" s="10"/>
      <c r="E54" s="7">
        <f>+$I$2+(SIDIMOHAMAD[[#This Row],[QUANTITE]]*SIDIMOHAMAD[[#This Row],[PRIX UNITAIRE]])</f>
        <v>0</v>
      </c>
      <c r="F54" s="14"/>
      <c r="G54" s="6">
        <f>+SUM(E$9:$E54)-SUM(F$9:$F54)</f>
        <v>2230000</v>
      </c>
    </row>
    <row r="55" spans="1:7" ht="28.8" x14ac:dyDescent="0.55000000000000004">
      <c r="A55" s="12"/>
      <c r="B55" s="13"/>
      <c r="C55" s="10"/>
      <c r="D55" s="10"/>
      <c r="E55" s="7">
        <f>+$I$2+(SIDIMOHAMAD[[#This Row],[QUANTITE]]*SIDIMOHAMAD[[#This Row],[PRIX UNITAIRE]])</f>
        <v>0</v>
      </c>
      <c r="F55" s="14"/>
      <c r="G55" s="6">
        <f>+SUM(E$9:$E55)-SUM(F$9:$F55)</f>
        <v>2230000</v>
      </c>
    </row>
    <row r="56" spans="1:7" ht="28.8" x14ac:dyDescent="0.55000000000000004">
      <c r="A56" s="12"/>
      <c r="B56" s="13"/>
      <c r="C56" s="10"/>
      <c r="D56" s="10"/>
      <c r="E56" s="7">
        <f>+$I$2+(SIDIMOHAMAD[[#This Row],[QUANTITE]]*SIDIMOHAMAD[[#This Row],[PRIX UNITAIRE]])</f>
        <v>0</v>
      </c>
      <c r="F56" s="14"/>
      <c r="G56" s="6">
        <f>+SUM(E$9:$E56)-SUM(F$9:$F56)</f>
        <v>2230000</v>
      </c>
    </row>
    <row r="57" spans="1:7" ht="28.8" x14ac:dyDescent="0.55000000000000004">
      <c r="A57" s="12"/>
      <c r="B57" s="13"/>
      <c r="C57" s="10"/>
      <c r="D57" s="10"/>
      <c r="E57" s="7">
        <f>+$I$2+(SIDIMOHAMAD[[#This Row],[QUANTITE]]*SIDIMOHAMAD[[#This Row],[PRIX UNITAIRE]])</f>
        <v>0</v>
      </c>
      <c r="F57" s="14"/>
      <c r="G57" s="6">
        <f>+SUM(E$9:$E57)-SUM(F$9:$F57)</f>
        <v>2230000</v>
      </c>
    </row>
    <row r="58" spans="1:7" ht="28.8" x14ac:dyDescent="0.55000000000000004">
      <c r="A58" s="12"/>
      <c r="B58" s="13"/>
      <c r="C58" s="10"/>
      <c r="D58" s="10"/>
      <c r="E58" s="7">
        <f>+$I$2+(SIDIMOHAMAD[[#This Row],[QUANTITE]]*SIDIMOHAMAD[[#This Row],[PRIX UNITAIRE]])</f>
        <v>0</v>
      </c>
      <c r="F58" s="14"/>
      <c r="G58" s="6">
        <f>+SUM(E$9:$E58)-SUM(F$9:$F58)</f>
        <v>2230000</v>
      </c>
    </row>
    <row r="59" spans="1:7" ht="28.8" x14ac:dyDescent="0.55000000000000004">
      <c r="A59" s="12"/>
      <c r="B59" s="13"/>
      <c r="C59" s="10"/>
      <c r="D59" s="10"/>
      <c r="E59" s="7">
        <f>+$I$2+(SIDIMOHAMAD[[#This Row],[QUANTITE]]*SIDIMOHAMAD[[#This Row],[PRIX UNITAIRE]])</f>
        <v>0</v>
      </c>
      <c r="F59" s="14"/>
      <c r="G59" s="6">
        <f>+SUM(E$9:$E59)-SUM(F$9:$F59)</f>
        <v>2230000</v>
      </c>
    </row>
    <row r="60" spans="1:7" ht="28.8" x14ac:dyDescent="0.55000000000000004">
      <c r="A60" s="12"/>
      <c r="B60" s="13"/>
      <c r="C60" s="10"/>
      <c r="D60" s="10"/>
      <c r="E60" s="7">
        <f>+$I$2+(SIDIMOHAMAD[[#This Row],[QUANTITE]]*SIDIMOHAMAD[[#This Row],[PRIX UNITAIRE]])</f>
        <v>0</v>
      </c>
      <c r="F60" s="14"/>
      <c r="G60" s="6">
        <f>+SUM(E$9:$E60)-SUM(F$9:$F60)</f>
        <v>2230000</v>
      </c>
    </row>
    <row r="61" spans="1:7" ht="28.8" x14ac:dyDescent="0.55000000000000004">
      <c r="A61" s="12"/>
      <c r="B61" s="13"/>
      <c r="C61" s="10"/>
      <c r="D61" s="10"/>
      <c r="E61" s="7">
        <f>+$I$2+(SIDIMOHAMAD[[#This Row],[QUANTITE]]*SIDIMOHAMAD[[#This Row],[PRIX UNITAIRE]])</f>
        <v>0</v>
      </c>
      <c r="F61" s="14"/>
      <c r="G61" s="6">
        <f>+SUM(E$9:$E61)-SUM(F$9:$F61)</f>
        <v>2230000</v>
      </c>
    </row>
    <row r="62" spans="1:7" ht="28.8" x14ac:dyDescent="0.55000000000000004">
      <c r="A62" s="12"/>
      <c r="B62" s="13"/>
      <c r="C62" s="10"/>
      <c r="D62" s="10"/>
      <c r="E62" s="7">
        <f>+$I$2+(SIDIMOHAMAD[[#This Row],[QUANTITE]]*SIDIMOHAMAD[[#This Row],[PRIX UNITAIRE]])</f>
        <v>0</v>
      </c>
      <c r="F62" s="14"/>
      <c r="G62" s="6">
        <f>+SUM(E$9:$E62)-SUM(F$9:$F62)</f>
        <v>2230000</v>
      </c>
    </row>
    <row r="63" spans="1:7" ht="28.8" x14ac:dyDescent="0.55000000000000004">
      <c r="A63" s="12"/>
      <c r="B63" s="13"/>
      <c r="C63" s="10"/>
      <c r="D63" s="10"/>
      <c r="E63" s="7">
        <f>+$I$2+(SIDIMOHAMAD[[#This Row],[QUANTITE]]*SIDIMOHAMAD[[#This Row],[PRIX UNITAIRE]])</f>
        <v>0</v>
      </c>
      <c r="F63" s="14"/>
      <c r="G63" s="6">
        <f>+SUM(E$9:$E63)-SUM(F$9:$F63)</f>
        <v>2230000</v>
      </c>
    </row>
    <row r="64" spans="1:7" ht="28.8" x14ac:dyDescent="0.55000000000000004">
      <c r="A64" s="12"/>
      <c r="B64" s="13"/>
      <c r="C64" s="10"/>
      <c r="D64" s="10"/>
      <c r="E64" s="7">
        <f>+$I$2+(SIDIMOHAMAD[[#This Row],[QUANTITE]]*SIDIMOHAMAD[[#This Row],[PRIX UNITAIRE]])</f>
        <v>0</v>
      </c>
      <c r="F64" s="14"/>
      <c r="G64" s="6">
        <f>+SUM(E$9:$E64)-SUM(F$9:$F64)</f>
        <v>2230000</v>
      </c>
    </row>
    <row r="65" spans="1:7" ht="28.8" x14ac:dyDescent="0.55000000000000004">
      <c r="A65" s="12"/>
      <c r="B65" s="13"/>
      <c r="C65" s="10"/>
      <c r="D65" s="10"/>
      <c r="E65" s="7">
        <f>+$I$2+(SIDIMOHAMAD[[#This Row],[QUANTITE]]*SIDIMOHAMAD[[#This Row],[PRIX UNITAIRE]])</f>
        <v>0</v>
      </c>
      <c r="F65" s="14"/>
      <c r="G65" s="6">
        <f>+SUM(E$9:$E65)-SUM(F$9:$F65)</f>
        <v>2230000</v>
      </c>
    </row>
    <row r="66" spans="1:7" ht="28.8" x14ac:dyDescent="0.55000000000000004">
      <c r="A66" s="12"/>
      <c r="B66" s="13"/>
      <c r="C66" s="10"/>
      <c r="D66" s="10"/>
      <c r="E66" s="7">
        <f>+$I$2+(SIDIMOHAMAD[[#This Row],[QUANTITE]]*SIDIMOHAMAD[[#This Row],[PRIX UNITAIRE]])</f>
        <v>0</v>
      </c>
      <c r="F66" s="14"/>
      <c r="G66" s="6">
        <f>+SUM(E$9:$E66)-SUM(F$9:$F66)</f>
        <v>2230000</v>
      </c>
    </row>
    <row r="67" spans="1:7" ht="28.8" x14ac:dyDescent="0.55000000000000004">
      <c r="A67" s="12"/>
      <c r="B67" s="13"/>
      <c r="C67" s="10"/>
      <c r="D67" s="10"/>
      <c r="E67" s="7">
        <f>+$I$2+(SIDIMOHAMAD[[#This Row],[QUANTITE]]*SIDIMOHAMAD[[#This Row],[PRIX UNITAIRE]])</f>
        <v>0</v>
      </c>
      <c r="F67" s="14"/>
      <c r="G67" s="6">
        <f>+SUM(E$9:$E67)-SUM(F$9:$F67)</f>
        <v>2230000</v>
      </c>
    </row>
    <row r="68" spans="1:7" ht="28.8" x14ac:dyDescent="0.55000000000000004">
      <c r="A68" s="12"/>
      <c r="B68" s="13"/>
      <c r="C68" s="10"/>
      <c r="D68" s="10"/>
      <c r="E68" s="7">
        <f>+$I$2+(SIDIMOHAMAD[[#This Row],[QUANTITE]]*SIDIMOHAMAD[[#This Row],[PRIX UNITAIRE]])</f>
        <v>0</v>
      </c>
      <c r="F68" s="14"/>
      <c r="G68" s="6">
        <f>+SUM(E$9:$E68)-SUM(F$9:$F68)</f>
        <v>2230000</v>
      </c>
    </row>
    <row r="69" spans="1:7" ht="28.8" x14ac:dyDescent="0.55000000000000004">
      <c r="A69" s="12"/>
      <c r="B69" s="13"/>
      <c r="C69" s="10"/>
      <c r="D69" s="10"/>
      <c r="E69" s="7">
        <f>+$I$2+(SIDIMOHAMAD[[#This Row],[QUANTITE]]*SIDIMOHAMAD[[#This Row],[PRIX UNITAIRE]])</f>
        <v>0</v>
      </c>
      <c r="F69" s="14"/>
      <c r="G69" s="6">
        <f>+SUM(E$9:$E69)-SUM(F$9:$F69)</f>
        <v>2230000</v>
      </c>
    </row>
  </sheetData>
  <sheetProtection selectLockedCells="1" autoFilter="0"/>
  <mergeCells count="1">
    <mergeCell ref="B6:C6"/>
  </mergeCells>
  <conditionalFormatting sqref="B9:B69">
    <cfRule type="expression" dxfId="675" priority="5">
      <formula>$F9</formula>
    </cfRule>
  </conditionalFormatting>
  <conditionalFormatting sqref="G4">
    <cfRule type="cellIs" dxfId="674" priority="2" operator="lessThan">
      <formula>0</formula>
    </cfRule>
    <cfRule type="cellIs" dxfId="673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69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I69"/>
  <sheetViews>
    <sheetView showGridLines="0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6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+SUM(SAMAKEKEBE[TOTAL MONTANT])</f>
        <v>300000</v>
      </c>
      <c r="F4" s="41">
        <f>+SUM(SAMAKEKEBE[VERSEMENT])</f>
        <v>300000</v>
      </c>
      <c r="G4" s="130">
        <f>+E4-F4</f>
        <v>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441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45730</v>
      </c>
      <c r="B9" s="13" t="s">
        <v>435</v>
      </c>
      <c r="C9" s="10">
        <v>2</v>
      </c>
      <c r="D9" s="10">
        <v>150000</v>
      </c>
      <c r="E9" s="7">
        <f>+$I$2+(SAMAKEKEBE[[#This Row],[QUANTITE]]*SAMAKEKEBE[[#This Row],[PRIX UNITAIRE]])</f>
        <v>300000</v>
      </c>
      <c r="F9" s="20"/>
      <c r="G9" s="6">
        <f>+SUM(E$9:$E9)-SUM(F$9:$F9)</f>
        <v>300000</v>
      </c>
    </row>
    <row r="10" spans="1:9" ht="28.8" x14ac:dyDescent="0.55000000000000004">
      <c r="A10" s="12"/>
      <c r="B10" s="13"/>
      <c r="C10" s="10"/>
      <c r="D10" s="10"/>
      <c r="E10" s="7">
        <f>+$I$2+(SAMAKEKEBE[[#This Row],[QUANTITE]]*SAMAKEKEBE[[#This Row],[PRIX UNITAIRE]])</f>
        <v>0</v>
      </c>
      <c r="F10" s="21">
        <v>300000</v>
      </c>
      <c r="G10" s="6">
        <f>+SUM(E$9:$E10)-SUM(F$9:$F10)</f>
        <v>0</v>
      </c>
    </row>
    <row r="11" spans="1:9" ht="28.8" x14ac:dyDescent="0.55000000000000004">
      <c r="A11" s="12"/>
      <c r="B11" s="13"/>
      <c r="C11" s="10"/>
      <c r="D11" s="10"/>
      <c r="E11" s="7">
        <f>+$I$2+(SAMAKEKEBE[[#This Row],[QUANTITE]]*SAMAKEKEBE[[#This Row],[PRIX UNITAIRE]])</f>
        <v>0</v>
      </c>
      <c r="F11" s="14"/>
      <c r="G11" s="6">
        <f>+SUM(E$9:$E11)-SUM(F$9:$F11)</f>
        <v>0</v>
      </c>
    </row>
    <row r="12" spans="1:9" ht="28.8" x14ac:dyDescent="0.55000000000000004">
      <c r="A12" s="12"/>
      <c r="B12" s="13"/>
      <c r="C12" s="10"/>
      <c r="D12" s="10"/>
      <c r="E12" s="7">
        <f>+$I$2+(SAMAKEKEBE[[#This Row],[QUANTITE]]*SAMAKEKEBE[[#This Row],[PRIX UNITAIRE]])</f>
        <v>0</v>
      </c>
      <c r="F12" s="14"/>
      <c r="G12" s="6">
        <f>+SUM(E$9:$E12)-SUM(F$9:$F12)</f>
        <v>0</v>
      </c>
    </row>
    <row r="13" spans="1:9" ht="28.8" x14ac:dyDescent="0.55000000000000004">
      <c r="A13" s="12"/>
      <c r="B13" s="13"/>
      <c r="C13" s="10"/>
      <c r="D13" s="10"/>
      <c r="E13" s="7">
        <f>+$I$2+(SAMAKEKEBE[[#This Row],[QUANTITE]]*SAMAKEKEBE[[#This Row],[PRIX UNITAIRE]])</f>
        <v>0</v>
      </c>
      <c r="F13" s="14"/>
      <c r="G13" s="6">
        <f>+SUM(E$9:$E13)-SUM(F$9:$F13)</f>
        <v>0</v>
      </c>
    </row>
    <row r="14" spans="1:9" ht="28.8" x14ac:dyDescent="0.55000000000000004">
      <c r="A14" s="12"/>
      <c r="B14" s="13"/>
      <c r="C14" s="10"/>
      <c r="D14" s="10"/>
      <c r="E14" s="7">
        <f>+$I$2+(SAMAKEKEBE[[#This Row],[QUANTITE]]*SAMAKEKEBE[[#This Row],[PRIX UNITAIRE]])</f>
        <v>0</v>
      </c>
      <c r="F14" s="14"/>
      <c r="G14" s="6">
        <f>+SUM(E$9:$E14)-SUM(F$9:$F14)</f>
        <v>0</v>
      </c>
    </row>
    <row r="15" spans="1:9" ht="28.8" x14ac:dyDescent="0.55000000000000004">
      <c r="A15" s="12"/>
      <c r="B15" s="13"/>
      <c r="C15" s="10"/>
      <c r="D15" s="10"/>
      <c r="E15" s="7">
        <f>+$I$2+(SAMAKEKEBE[[#This Row],[QUANTITE]]*SAMAKEKEBE[[#This Row],[PRIX UNITAIRE]])</f>
        <v>0</v>
      </c>
      <c r="F15" s="14"/>
      <c r="G15" s="6">
        <f>+SUM(E$9:$E15)-SUM(F$9:$F15)</f>
        <v>0</v>
      </c>
    </row>
    <row r="16" spans="1:9" ht="28.8" x14ac:dyDescent="0.55000000000000004">
      <c r="A16" s="12"/>
      <c r="B16" s="13"/>
      <c r="C16" s="10"/>
      <c r="D16" s="10"/>
      <c r="E16" s="7">
        <f>+$I$2+(SAMAKEKEBE[[#This Row],[QUANTITE]]*SAMAKEKEBE[[#This Row],[PRIX UNITAIRE]])</f>
        <v>0</v>
      </c>
      <c r="F16" s="14"/>
      <c r="G16" s="6">
        <f>+SUM(E$9:$E16)-SUM(F$9:$F16)</f>
        <v>0</v>
      </c>
    </row>
    <row r="17" spans="1:7" ht="28.8" x14ac:dyDescent="0.55000000000000004">
      <c r="A17" s="12"/>
      <c r="B17" s="13"/>
      <c r="C17" s="10"/>
      <c r="D17" s="10"/>
      <c r="E17" s="7">
        <f>+$I$2+(SAMAKEKEBE[[#This Row],[QUANTITE]]*SAMAKEKEBE[[#This Row],[PRIX UNITAIRE]])</f>
        <v>0</v>
      </c>
      <c r="F17" s="14"/>
      <c r="G17" s="6">
        <f>+SUM(E$9:$E17)-SUM(F$9:$F17)</f>
        <v>0</v>
      </c>
    </row>
    <row r="18" spans="1:7" ht="28.8" x14ac:dyDescent="0.55000000000000004">
      <c r="A18" s="12"/>
      <c r="B18" s="13"/>
      <c r="C18" s="10"/>
      <c r="D18" s="10"/>
      <c r="E18" s="7">
        <f>+$I$2+(SAMAKEKEBE[[#This Row],[QUANTITE]]*SAMAKEKEBE[[#This Row],[PRIX UNITAIRE]])</f>
        <v>0</v>
      </c>
      <c r="F18" s="14"/>
      <c r="G18" s="6">
        <f>+SUM(E$9:$E18)-SUM(F$9:$F18)</f>
        <v>0</v>
      </c>
    </row>
    <row r="19" spans="1:7" ht="28.8" x14ac:dyDescent="0.55000000000000004">
      <c r="A19" s="12"/>
      <c r="B19" s="13"/>
      <c r="C19" s="10"/>
      <c r="D19" s="10"/>
      <c r="E19" s="7">
        <f>+$I$2+(SAMAKEKEBE[[#This Row],[QUANTITE]]*SAMAKEKEBE[[#This Row],[PRIX UNITAIRE]])</f>
        <v>0</v>
      </c>
      <c r="F19" s="14"/>
      <c r="G19" s="6">
        <f>+SUM(E$9:$E19)-SUM(F$9:$F19)</f>
        <v>0</v>
      </c>
    </row>
    <row r="20" spans="1:7" ht="28.8" x14ac:dyDescent="0.55000000000000004">
      <c r="A20" s="12"/>
      <c r="B20" s="13"/>
      <c r="C20" s="10"/>
      <c r="D20" s="10"/>
      <c r="E20" s="7">
        <f>+$I$2+(SAMAKEKEBE[[#This Row],[QUANTITE]]*SAMAKEKEBE[[#This Row],[PRIX UNITAIRE]])</f>
        <v>0</v>
      </c>
      <c r="F20" s="14"/>
      <c r="G20" s="6">
        <f>+SUM(E$9:$E20)-SUM(F$9:$F20)</f>
        <v>0</v>
      </c>
    </row>
    <row r="21" spans="1:7" ht="28.8" x14ac:dyDescent="0.55000000000000004">
      <c r="A21" s="12"/>
      <c r="B21" s="13"/>
      <c r="C21" s="10"/>
      <c r="D21" s="10"/>
      <c r="E21" s="7">
        <f>+$I$2+(SAMAKEKEBE[[#This Row],[QUANTITE]]*SAMAKEKEBE[[#This Row],[PRIX UNITAIRE]])</f>
        <v>0</v>
      </c>
      <c r="F21" s="14"/>
      <c r="G21" s="6">
        <f>+SUM(E$9:$E21)-SUM(F$9:$F21)</f>
        <v>0</v>
      </c>
    </row>
    <row r="22" spans="1:7" ht="28.8" x14ac:dyDescent="0.55000000000000004">
      <c r="A22" s="12"/>
      <c r="B22" s="13"/>
      <c r="C22" s="10"/>
      <c r="D22" s="10"/>
      <c r="E22" s="7">
        <f>+$I$2+(SAMAKEKEBE[[#This Row],[QUANTITE]]*SAMAKEKEBE[[#This Row],[PRIX UNITAIRE]])</f>
        <v>0</v>
      </c>
      <c r="F22" s="14"/>
      <c r="G22" s="6">
        <f>+SUM(E$9:$E22)-SUM(F$9:$F22)</f>
        <v>0</v>
      </c>
    </row>
    <row r="23" spans="1:7" ht="28.8" x14ac:dyDescent="0.55000000000000004">
      <c r="A23" s="12"/>
      <c r="B23" s="13"/>
      <c r="C23" s="10"/>
      <c r="D23" s="10"/>
      <c r="E23" s="7">
        <f>+$I$2+(SAMAKEKEBE[[#This Row],[QUANTITE]]*SAMAKEKEBE[[#This Row],[PRIX UNITAIRE]])</f>
        <v>0</v>
      </c>
      <c r="F23" s="14"/>
      <c r="G23" s="6">
        <f>+SUM(E$9:$E23)-SUM(F$9:$F23)</f>
        <v>0</v>
      </c>
    </row>
    <row r="24" spans="1:7" ht="28.8" x14ac:dyDescent="0.55000000000000004">
      <c r="A24" s="12"/>
      <c r="B24" s="13"/>
      <c r="C24" s="10"/>
      <c r="D24" s="10"/>
      <c r="E24" s="7">
        <f>+$I$2+(SAMAKEKEBE[[#This Row],[QUANTITE]]*SAMAKEKEBE[[#This Row],[PRIX UNITAIRE]])</f>
        <v>0</v>
      </c>
      <c r="F24" s="14"/>
      <c r="G24" s="6">
        <f>+SUM(E$9:$E24)-SUM(F$9:$F24)</f>
        <v>0</v>
      </c>
    </row>
    <row r="25" spans="1:7" ht="28.8" x14ac:dyDescent="0.55000000000000004">
      <c r="A25" s="12"/>
      <c r="B25" s="13"/>
      <c r="C25" s="10"/>
      <c r="D25" s="10"/>
      <c r="E25" s="7">
        <f>+$I$2+(SAMAKEKEBE[[#This Row],[QUANTITE]]*SAMAKEKEBE[[#This Row],[PRIX UNITAIRE]])</f>
        <v>0</v>
      </c>
      <c r="F25" s="14"/>
      <c r="G25" s="6">
        <f>+SUM(E$9:$E25)-SUM(F$9:$F25)</f>
        <v>0</v>
      </c>
    </row>
    <row r="26" spans="1:7" ht="28.8" x14ac:dyDescent="0.55000000000000004">
      <c r="A26" s="12"/>
      <c r="B26" s="13"/>
      <c r="C26" s="10"/>
      <c r="D26" s="10"/>
      <c r="E26" s="7">
        <f>+$I$2+(SAMAKEKEBE[[#This Row],[QUANTITE]]*SAMAKEKEBE[[#This Row],[PRIX UNITAIRE]])</f>
        <v>0</v>
      </c>
      <c r="F26" s="14"/>
      <c r="G26" s="6">
        <f>+SUM(E$9:$E26)-SUM(F$9:$F26)</f>
        <v>0</v>
      </c>
    </row>
    <row r="27" spans="1:7" ht="28.8" x14ac:dyDescent="0.55000000000000004">
      <c r="A27" s="12"/>
      <c r="B27" s="13"/>
      <c r="C27" s="10"/>
      <c r="D27" s="10"/>
      <c r="E27" s="7">
        <f>+$I$2+(SAMAKEKEBE[[#This Row],[QUANTITE]]*SAMAKEKEBE[[#This Row],[PRIX UNITAIRE]])</f>
        <v>0</v>
      </c>
      <c r="F27" s="14"/>
      <c r="G27" s="6">
        <f>+SUM(E$9:$E27)-SUM(F$9:$F27)</f>
        <v>0</v>
      </c>
    </row>
    <row r="28" spans="1:7" ht="28.8" x14ac:dyDescent="0.55000000000000004">
      <c r="A28" s="12"/>
      <c r="B28" s="13"/>
      <c r="C28" s="10"/>
      <c r="D28" s="10"/>
      <c r="E28" s="7">
        <f>+$I$2+(SAMAKEKEBE[[#This Row],[QUANTITE]]*SAMAKEKEBE[[#This Row],[PRIX UNITAIRE]])</f>
        <v>0</v>
      </c>
      <c r="F28" s="14"/>
      <c r="G28" s="6">
        <f>+SUM(E$9:$E28)-SUM(F$9:$F28)</f>
        <v>0</v>
      </c>
    </row>
    <row r="29" spans="1:7" ht="28.8" x14ac:dyDescent="0.55000000000000004">
      <c r="A29" s="12"/>
      <c r="B29" s="13"/>
      <c r="C29" s="10"/>
      <c r="D29" s="10"/>
      <c r="E29" s="7">
        <f>+$I$2+(SAMAKEKEBE[[#This Row],[QUANTITE]]*SAMAKEKEBE[[#This Row],[PRIX UNITAIRE]])</f>
        <v>0</v>
      </c>
      <c r="F29" s="14"/>
      <c r="G29" s="6">
        <f>+SUM(E$9:$E29)-SUM(F$9:$F29)</f>
        <v>0</v>
      </c>
    </row>
    <row r="30" spans="1:7" ht="28.8" x14ac:dyDescent="0.55000000000000004">
      <c r="A30" s="12"/>
      <c r="B30" s="13"/>
      <c r="C30" s="10"/>
      <c r="D30" s="10"/>
      <c r="E30" s="7">
        <f>+$I$2+(SAMAKEKEBE[[#This Row],[QUANTITE]]*SAMAKEKEBE[[#This Row],[PRIX UNITAIRE]])</f>
        <v>0</v>
      </c>
      <c r="F30" s="14"/>
      <c r="G30" s="6">
        <f>+SUM(E$9:$E30)-SUM(F$9:$F30)</f>
        <v>0</v>
      </c>
    </row>
    <row r="31" spans="1:7" ht="28.8" x14ac:dyDescent="0.55000000000000004">
      <c r="A31" s="12"/>
      <c r="B31" s="13"/>
      <c r="C31" s="10"/>
      <c r="D31" s="10"/>
      <c r="E31" s="7">
        <f>+$I$2+(SAMAKEKEBE[[#This Row],[QUANTITE]]*SAMAKEKEBE[[#This Row],[PRIX UNITAIRE]])</f>
        <v>0</v>
      </c>
      <c r="F31" s="14"/>
      <c r="G31" s="6">
        <f>+SUM(E$9:$E31)-SUM(F$9:$F31)</f>
        <v>0</v>
      </c>
    </row>
    <row r="32" spans="1:7" ht="28.8" x14ac:dyDescent="0.55000000000000004">
      <c r="A32" s="12"/>
      <c r="B32" s="13"/>
      <c r="C32" s="10"/>
      <c r="D32" s="10"/>
      <c r="E32" s="7">
        <f>+$I$2+(SAMAKEKEBE[[#This Row],[QUANTITE]]*SAMAKEKEBE[[#This Row],[PRIX UNITAIRE]])</f>
        <v>0</v>
      </c>
      <c r="F32" s="14"/>
      <c r="G32" s="6">
        <f>+SUM(E$9:$E32)-SUM(F$9:$F32)</f>
        <v>0</v>
      </c>
    </row>
    <row r="33" spans="1:7" ht="28.8" x14ac:dyDescent="0.55000000000000004">
      <c r="A33" s="12"/>
      <c r="B33" s="13"/>
      <c r="C33" s="10"/>
      <c r="D33" s="10"/>
      <c r="E33" s="7">
        <f>+$I$2+(SAMAKEKEBE[[#This Row],[QUANTITE]]*SAMAKEKEBE[[#This Row],[PRIX UNITAIRE]])</f>
        <v>0</v>
      </c>
      <c r="F33" s="14"/>
      <c r="G33" s="6">
        <f>+SUM(E$9:$E33)-SUM(F$9:$F33)</f>
        <v>0</v>
      </c>
    </row>
    <row r="34" spans="1:7" ht="28.8" x14ac:dyDescent="0.55000000000000004">
      <c r="A34" s="12"/>
      <c r="B34" s="13"/>
      <c r="C34" s="10"/>
      <c r="D34" s="10"/>
      <c r="E34" s="7">
        <f>+$I$2+(SAMAKEKEBE[[#This Row],[QUANTITE]]*SAMAKEKEBE[[#This Row],[PRIX UNITAIRE]])</f>
        <v>0</v>
      </c>
      <c r="F34" s="14"/>
      <c r="G34" s="6">
        <f>+SUM(E$9:$E34)-SUM(F$9:$F34)</f>
        <v>0</v>
      </c>
    </row>
    <row r="35" spans="1:7" ht="28.8" x14ac:dyDescent="0.55000000000000004">
      <c r="A35" s="12"/>
      <c r="B35" s="13"/>
      <c r="C35" s="10"/>
      <c r="D35" s="10"/>
      <c r="E35" s="7">
        <f>+$I$2+(SAMAKEKEBE[[#This Row],[QUANTITE]]*SAMAKEKEBE[[#This Row],[PRIX UNITAIRE]])</f>
        <v>0</v>
      </c>
      <c r="F35" s="14"/>
      <c r="G35" s="6">
        <f>+SUM(E$9:$E35)-SUM(F$9:$F35)</f>
        <v>0</v>
      </c>
    </row>
    <row r="36" spans="1:7" ht="28.8" x14ac:dyDescent="0.55000000000000004">
      <c r="A36" s="12"/>
      <c r="B36" s="13"/>
      <c r="C36" s="10"/>
      <c r="D36" s="10"/>
      <c r="E36" s="7">
        <f>+$I$2+(SAMAKEKEBE[[#This Row],[QUANTITE]]*SAMAKEKEBE[[#This Row],[PRIX UNITAIRE]])</f>
        <v>0</v>
      </c>
      <c r="F36" s="14"/>
      <c r="G36" s="6">
        <f>+SUM(E$9:$E36)-SUM(F$9:$F36)</f>
        <v>0</v>
      </c>
    </row>
    <row r="37" spans="1:7" ht="28.8" x14ac:dyDescent="0.55000000000000004">
      <c r="A37" s="12"/>
      <c r="B37" s="13"/>
      <c r="C37" s="10"/>
      <c r="D37" s="10"/>
      <c r="E37" s="7">
        <f>+$I$2+(SAMAKEKEBE[[#This Row],[QUANTITE]]*SAMAKEKEBE[[#This Row],[PRIX UNITAIRE]])</f>
        <v>0</v>
      </c>
      <c r="F37" s="14"/>
      <c r="G37" s="6">
        <f>+SUM(E$9:$E37)-SUM(F$9:$F37)</f>
        <v>0</v>
      </c>
    </row>
    <row r="38" spans="1:7" ht="28.8" x14ac:dyDescent="0.55000000000000004">
      <c r="A38" s="12"/>
      <c r="B38" s="13"/>
      <c r="C38" s="10"/>
      <c r="D38" s="10"/>
      <c r="E38" s="7">
        <f>+$I$2+(SAMAKEKEBE[[#This Row],[QUANTITE]]*SAMAKEKEBE[[#This Row],[PRIX UNITAIRE]])</f>
        <v>0</v>
      </c>
      <c r="F38" s="14"/>
      <c r="G38" s="6">
        <f>+SUM(E$9:$E38)-SUM(F$9:$F38)</f>
        <v>0</v>
      </c>
    </row>
    <row r="39" spans="1:7" ht="28.8" x14ac:dyDescent="0.55000000000000004">
      <c r="A39" s="12"/>
      <c r="B39" s="13"/>
      <c r="C39" s="10"/>
      <c r="D39" s="10"/>
      <c r="E39" s="7">
        <f>+$I$2+(SAMAKEKEBE[[#This Row],[QUANTITE]]*SAMAKEKEBE[[#This Row],[PRIX UNITAIRE]])</f>
        <v>0</v>
      </c>
      <c r="F39" s="14"/>
      <c r="G39" s="6">
        <f>+SUM(E$9:$E39)-SUM(F$9:$F39)</f>
        <v>0</v>
      </c>
    </row>
    <row r="40" spans="1:7" ht="28.8" x14ac:dyDescent="0.55000000000000004">
      <c r="A40" s="12"/>
      <c r="B40" s="13"/>
      <c r="C40" s="10"/>
      <c r="D40" s="10"/>
      <c r="E40" s="7">
        <f>+$I$2+(SAMAKEKEBE[[#This Row],[QUANTITE]]*SAMAKEKEBE[[#This Row],[PRIX UNITAIRE]])</f>
        <v>0</v>
      </c>
      <c r="F40" s="14"/>
      <c r="G40" s="6">
        <f>+SUM(E$9:$E40)-SUM(F$9:$F40)</f>
        <v>0</v>
      </c>
    </row>
    <row r="41" spans="1:7" ht="28.8" x14ac:dyDescent="0.55000000000000004">
      <c r="A41" s="12"/>
      <c r="B41" s="13"/>
      <c r="C41" s="10"/>
      <c r="D41" s="10"/>
      <c r="E41" s="7">
        <f>+$I$2+(SAMAKEKEBE[[#This Row],[QUANTITE]]*SAMAKEKEBE[[#This Row],[PRIX UNITAIRE]])</f>
        <v>0</v>
      </c>
      <c r="F41" s="14"/>
      <c r="G41" s="6">
        <f>+SUM(E$9:$E41)-SUM(F$9:$F41)</f>
        <v>0</v>
      </c>
    </row>
    <row r="42" spans="1:7" ht="28.8" x14ac:dyDescent="0.55000000000000004">
      <c r="A42" s="12"/>
      <c r="B42" s="13"/>
      <c r="C42" s="10"/>
      <c r="D42" s="10"/>
      <c r="E42" s="7">
        <f>+$I$2+(SAMAKEKEBE[[#This Row],[QUANTITE]]*SAMAKEKEBE[[#This Row],[PRIX UNITAIRE]])</f>
        <v>0</v>
      </c>
      <c r="F42" s="14"/>
      <c r="G42" s="6">
        <f>+SUM(E$9:$E42)-SUM(F$9:$F42)</f>
        <v>0</v>
      </c>
    </row>
    <row r="43" spans="1:7" ht="28.8" x14ac:dyDescent="0.55000000000000004">
      <c r="A43" s="12"/>
      <c r="B43" s="13"/>
      <c r="C43" s="10"/>
      <c r="D43" s="10"/>
      <c r="E43" s="7">
        <f>+$I$2+(SAMAKEKEBE[[#This Row],[QUANTITE]]*SAMAKEKEBE[[#This Row],[PRIX UNITAIRE]])</f>
        <v>0</v>
      </c>
      <c r="F43" s="14"/>
      <c r="G43" s="6">
        <f>+SUM(E$9:$E43)-SUM(F$9:$F43)</f>
        <v>0</v>
      </c>
    </row>
    <row r="44" spans="1:7" ht="28.8" x14ac:dyDescent="0.55000000000000004">
      <c r="A44" s="12"/>
      <c r="B44" s="13"/>
      <c r="C44" s="10"/>
      <c r="D44" s="10"/>
      <c r="E44" s="7">
        <f>+$I$2+(SAMAKEKEBE[[#This Row],[QUANTITE]]*SAMAKEKEBE[[#This Row],[PRIX UNITAIRE]])</f>
        <v>0</v>
      </c>
      <c r="F44" s="14"/>
      <c r="G44" s="6">
        <f>+SUM(E$9:$E44)-SUM(F$9:$F44)</f>
        <v>0</v>
      </c>
    </row>
    <row r="45" spans="1:7" ht="28.8" x14ac:dyDescent="0.55000000000000004">
      <c r="A45" s="12"/>
      <c r="B45" s="13"/>
      <c r="C45" s="10"/>
      <c r="D45" s="10"/>
      <c r="E45" s="7">
        <f>+$I$2+(SAMAKEKEBE[[#This Row],[QUANTITE]]*SAMAKEKEBE[[#This Row],[PRIX UNITAIRE]])</f>
        <v>0</v>
      </c>
      <c r="F45" s="14"/>
      <c r="G45" s="6">
        <f>+SUM(E$9:$E45)-SUM(F$9:$F45)</f>
        <v>0</v>
      </c>
    </row>
    <row r="46" spans="1:7" ht="28.8" x14ac:dyDescent="0.55000000000000004">
      <c r="A46" s="12"/>
      <c r="B46" s="13"/>
      <c r="C46" s="10"/>
      <c r="D46" s="10"/>
      <c r="E46" s="7">
        <f>+$I$2+(SAMAKEKEBE[[#This Row],[QUANTITE]]*SAMAKEKEBE[[#This Row],[PRIX UNITAIRE]])</f>
        <v>0</v>
      </c>
      <c r="F46" s="14"/>
      <c r="G46" s="6">
        <f>+SUM(E$9:$E46)-SUM(F$9:$F46)</f>
        <v>0</v>
      </c>
    </row>
    <row r="47" spans="1:7" ht="28.8" x14ac:dyDescent="0.55000000000000004">
      <c r="A47" s="12"/>
      <c r="B47" s="13"/>
      <c r="C47" s="10"/>
      <c r="D47" s="10"/>
      <c r="E47" s="7">
        <f>+$I$2+(SAMAKEKEBE[[#This Row],[QUANTITE]]*SAMAKEKEBE[[#This Row],[PRIX UNITAIRE]])</f>
        <v>0</v>
      </c>
      <c r="F47" s="14"/>
      <c r="G47" s="6">
        <f>+SUM(E$9:$E47)-SUM(F$9:$F47)</f>
        <v>0</v>
      </c>
    </row>
    <row r="48" spans="1:7" ht="28.8" x14ac:dyDescent="0.55000000000000004">
      <c r="A48" s="12"/>
      <c r="B48" s="13"/>
      <c r="C48" s="10"/>
      <c r="D48" s="10"/>
      <c r="E48" s="7">
        <f>+$I$2+(SAMAKEKEBE[[#This Row],[QUANTITE]]*SAMAKEKEBE[[#This Row],[PRIX UNITAIRE]])</f>
        <v>0</v>
      </c>
      <c r="F48" s="14"/>
      <c r="G48" s="6">
        <f>+SUM(E$9:$E48)-SUM(F$9:$F48)</f>
        <v>0</v>
      </c>
    </row>
    <row r="49" spans="1:7" ht="28.8" x14ac:dyDescent="0.55000000000000004">
      <c r="A49" s="12"/>
      <c r="B49" s="13"/>
      <c r="C49" s="10"/>
      <c r="D49" s="10"/>
      <c r="E49" s="7">
        <f>+$I$2+(SAMAKEKEBE[[#This Row],[QUANTITE]]*SAMAKEKEBE[[#This Row],[PRIX UNITAIRE]])</f>
        <v>0</v>
      </c>
      <c r="F49" s="14"/>
      <c r="G49" s="6">
        <f>+SUM(E$9:$E49)-SUM(F$9:$F49)</f>
        <v>0</v>
      </c>
    </row>
    <row r="50" spans="1:7" ht="28.8" x14ac:dyDescent="0.55000000000000004">
      <c r="A50" s="12"/>
      <c r="B50" s="13"/>
      <c r="C50" s="10"/>
      <c r="D50" s="10"/>
      <c r="E50" s="7">
        <f>+$I$2+(SAMAKEKEBE[[#This Row],[QUANTITE]]*SAMAKEKEBE[[#This Row],[PRIX UNITAIRE]])</f>
        <v>0</v>
      </c>
      <c r="F50" s="14"/>
      <c r="G50" s="6">
        <f>+SUM(E$9:$E50)-SUM(F$9:$F50)</f>
        <v>0</v>
      </c>
    </row>
    <row r="51" spans="1:7" ht="28.8" x14ac:dyDescent="0.55000000000000004">
      <c r="A51" s="12"/>
      <c r="B51" s="13"/>
      <c r="C51" s="10"/>
      <c r="D51" s="10"/>
      <c r="E51" s="7">
        <f>+$I$2+(SAMAKEKEBE[[#This Row],[QUANTITE]]*SAMAKEKEBE[[#This Row],[PRIX UNITAIRE]])</f>
        <v>0</v>
      </c>
      <c r="F51" s="14"/>
      <c r="G51" s="6">
        <f>+SUM(E$9:$E51)-SUM(F$9:$F51)</f>
        <v>0</v>
      </c>
    </row>
    <row r="52" spans="1:7" ht="28.8" x14ac:dyDescent="0.55000000000000004">
      <c r="A52" s="12"/>
      <c r="B52" s="13"/>
      <c r="C52" s="10"/>
      <c r="D52" s="10"/>
      <c r="E52" s="7">
        <f>+$I$2+(SAMAKEKEBE[[#This Row],[QUANTITE]]*SAMAKEKEBE[[#This Row],[PRIX UNITAIRE]])</f>
        <v>0</v>
      </c>
      <c r="F52" s="14"/>
      <c r="G52" s="6">
        <f>+SUM(E$9:$E52)-SUM(F$9:$F52)</f>
        <v>0</v>
      </c>
    </row>
    <row r="53" spans="1:7" ht="28.8" x14ac:dyDescent="0.55000000000000004">
      <c r="A53" s="12"/>
      <c r="B53" s="13"/>
      <c r="C53" s="10"/>
      <c r="D53" s="10"/>
      <c r="E53" s="7">
        <f>+$I$2+(SAMAKEKEBE[[#This Row],[QUANTITE]]*SAMAKEKEBE[[#This Row],[PRIX UNITAIRE]])</f>
        <v>0</v>
      </c>
      <c r="F53" s="14"/>
      <c r="G53" s="6">
        <f>+SUM(E$9:$E53)-SUM(F$9:$F53)</f>
        <v>0</v>
      </c>
    </row>
    <row r="54" spans="1:7" ht="28.8" x14ac:dyDescent="0.55000000000000004">
      <c r="A54" s="12"/>
      <c r="B54" s="13"/>
      <c r="C54" s="10"/>
      <c r="D54" s="10"/>
      <c r="E54" s="7">
        <f>+$I$2+(SAMAKEKEBE[[#This Row],[QUANTITE]]*SAMAKEKEBE[[#This Row],[PRIX UNITAIRE]])</f>
        <v>0</v>
      </c>
      <c r="F54" s="14"/>
      <c r="G54" s="6">
        <f>+SUM(E$9:$E54)-SUM(F$9:$F54)</f>
        <v>0</v>
      </c>
    </row>
    <row r="55" spans="1:7" ht="28.8" x14ac:dyDescent="0.55000000000000004">
      <c r="A55" s="12"/>
      <c r="B55" s="13"/>
      <c r="C55" s="10"/>
      <c r="D55" s="10"/>
      <c r="E55" s="7">
        <f>+$I$2+(SAMAKEKEBE[[#This Row],[QUANTITE]]*SAMAKEKEBE[[#This Row],[PRIX UNITAIRE]])</f>
        <v>0</v>
      </c>
      <c r="F55" s="14"/>
      <c r="G55" s="6">
        <f>+SUM(E$9:$E55)-SUM(F$9:$F55)</f>
        <v>0</v>
      </c>
    </row>
    <row r="56" spans="1:7" ht="28.8" x14ac:dyDescent="0.55000000000000004">
      <c r="A56" s="12"/>
      <c r="B56" s="13"/>
      <c r="C56" s="10"/>
      <c r="D56" s="10"/>
      <c r="E56" s="7">
        <f>+$I$2+(SAMAKEKEBE[[#This Row],[QUANTITE]]*SAMAKEKEBE[[#This Row],[PRIX UNITAIRE]])</f>
        <v>0</v>
      </c>
      <c r="F56" s="14"/>
      <c r="G56" s="6">
        <f>+SUM(E$9:$E56)-SUM(F$9:$F56)</f>
        <v>0</v>
      </c>
    </row>
    <row r="57" spans="1:7" ht="28.8" x14ac:dyDescent="0.55000000000000004">
      <c r="A57" s="12"/>
      <c r="B57" s="13"/>
      <c r="C57" s="10"/>
      <c r="D57" s="10"/>
      <c r="E57" s="7">
        <f>+$I$2+(SAMAKEKEBE[[#This Row],[QUANTITE]]*SAMAKEKEBE[[#This Row],[PRIX UNITAIRE]])</f>
        <v>0</v>
      </c>
      <c r="F57" s="14"/>
      <c r="G57" s="6">
        <f>+SUM(E$9:$E57)-SUM(F$9:$F57)</f>
        <v>0</v>
      </c>
    </row>
    <row r="58" spans="1:7" ht="28.8" x14ac:dyDescent="0.55000000000000004">
      <c r="A58" s="12"/>
      <c r="B58" s="13"/>
      <c r="C58" s="10"/>
      <c r="D58" s="10"/>
      <c r="E58" s="7">
        <f>+$I$2+(SAMAKEKEBE[[#This Row],[QUANTITE]]*SAMAKEKEBE[[#This Row],[PRIX UNITAIRE]])</f>
        <v>0</v>
      </c>
      <c r="F58" s="14"/>
      <c r="G58" s="6">
        <f>+SUM(E$9:$E58)-SUM(F$9:$F58)</f>
        <v>0</v>
      </c>
    </row>
    <row r="59" spans="1:7" ht="28.8" x14ac:dyDescent="0.55000000000000004">
      <c r="A59" s="12"/>
      <c r="B59" s="13"/>
      <c r="C59" s="10"/>
      <c r="D59" s="10"/>
      <c r="E59" s="7">
        <f>+$I$2+(SAMAKEKEBE[[#This Row],[QUANTITE]]*SAMAKEKEBE[[#This Row],[PRIX UNITAIRE]])</f>
        <v>0</v>
      </c>
      <c r="F59" s="14"/>
      <c r="G59" s="6">
        <f>+SUM(E$9:$E59)-SUM(F$9:$F59)</f>
        <v>0</v>
      </c>
    </row>
    <row r="60" spans="1:7" ht="28.8" x14ac:dyDescent="0.55000000000000004">
      <c r="A60" s="12"/>
      <c r="B60" s="13"/>
      <c r="C60" s="10"/>
      <c r="D60" s="10"/>
      <c r="E60" s="7">
        <f>+$I$2+(SAMAKEKEBE[[#This Row],[QUANTITE]]*SAMAKEKEBE[[#This Row],[PRIX UNITAIRE]])</f>
        <v>0</v>
      </c>
      <c r="F60" s="14"/>
      <c r="G60" s="6">
        <f>+SUM(E$9:$E60)-SUM(F$9:$F60)</f>
        <v>0</v>
      </c>
    </row>
    <row r="61" spans="1:7" ht="28.8" x14ac:dyDescent="0.55000000000000004">
      <c r="A61" s="12"/>
      <c r="B61" s="13"/>
      <c r="C61" s="10"/>
      <c r="D61" s="10"/>
      <c r="E61" s="7">
        <f>+$I$2+(SAMAKEKEBE[[#This Row],[QUANTITE]]*SAMAKEKEBE[[#This Row],[PRIX UNITAIRE]])</f>
        <v>0</v>
      </c>
      <c r="F61" s="14"/>
      <c r="G61" s="6">
        <f>+SUM(E$9:$E61)-SUM(F$9:$F61)</f>
        <v>0</v>
      </c>
    </row>
    <row r="62" spans="1:7" ht="28.8" x14ac:dyDescent="0.55000000000000004">
      <c r="A62" s="12"/>
      <c r="B62" s="13"/>
      <c r="C62" s="10"/>
      <c r="D62" s="10"/>
      <c r="E62" s="7">
        <f>+$I$2+(SAMAKEKEBE[[#This Row],[QUANTITE]]*SAMAKEKEBE[[#This Row],[PRIX UNITAIRE]])</f>
        <v>0</v>
      </c>
      <c r="F62" s="14"/>
      <c r="G62" s="6">
        <f>+SUM(E$9:$E62)-SUM(F$9:$F62)</f>
        <v>0</v>
      </c>
    </row>
    <row r="63" spans="1:7" ht="28.8" x14ac:dyDescent="0.55000000000000004">
      <c r="A63" s="12"/>
      <c r="B63" s="13"/>
      <c r="C63" s="10"/>
      <c r="D63" s="10"/>
      <c r="E63" s="7">
        <f>+$I$2+(SAMAKEKEBE[[#This Row],[QUANTITE]]*SAMAKEKEBE[[#This Row],[PRIX UNITAIRE]])</f>
        <v>0</v>
      </c>
      <c r="F63" s="14"/>
      <c r="G63" s="6">
        <f>+SUM(E$9:$E63)-SUM(F$9:$F63)</f>
        <v>0</v>
      </c>
    </row>
    <row r="64" spans="1:7" ht="28.8" x14ac:dyDescent="0.55000000000000004">
      <c r="A64" s="12"/>
      <c r="B64" s="13"/>
      <c r="C64" s="10"/>
      <c r="D64" s="10"/>
      <c r="E64" s="7">
        <f>+$I$2+(SAMAKEKEBE[[#This Row],[QUANTITE]]*SAMAKEKEBE[[#This Row],[PRIX UNITAIRE]])</f>
        <v>0</v>
      </c>
      <c r="F64" s="14"/>
      <c r="G64" s="6">
        <f>+SUM(E$9:$E64)-SUM(F$9:$F64)</f>
        <v>0</v>
      </c>
    </row>
    <row r="65" spans="1:7" ht="28.8" x14ac:dyDescent="0.55000000000000004">
      <c r="A65" s="12"/>
      <c r="B65" s="13"/>
      <c r="C65" s="10"/>
      <c r="D65" s="10"/>
      <c r="E65" s="7">
        <f>+$I$2+(SAMAKEKEBE[[#This Row],[QUANTITE]]*SAMAKEKEBE[[#This Row],[PRIX UNITAIRE]])</f>
        <v>0</v>
      </c>
      <c r="F65" s="14"/>
      <c r="G65" s="6">
        <f>+SUM(E$9:$E65)-SUM(F$9:$F65)</f>
        <v>0</v>
      </c>
    </row>
    <row r="66" spans="1:7" ht="28.8" x14ac:dyDescent="0.55000000000000004">
      <c r="A66" s="12"/>
      <c r="B66" s="13"/>
      <c r="C66" s="10"/>
      <c r="D66" s="10"/>
      <c r="E66" s="7">
        <f>+$I$2+(SAMAKEKEBE[[#This Row],[QUANTITE]]*SAMAKEKEBE[[#This Row],[PRIX UNITAIRE]])</f>
        <v>0</v>
      </c>
      <c r="F66" s="14"/>
      <c r="G66" s="6">
        <f>+SUM(E$9:$E66)-SUM(F$9:$F66)</f>
        <v>0</v>
      </c>
    </row>
    <row r="67" spans="1:7" ht="28.8" x14ac:dyDescent="0.55000000000000004">
      <c r="A67" s="12"/>
      <c r="B67" s="13"/>
      <c r="C67" s="10"/>
      <c r="D67" s="10"/>
      <c r="E67" s="7">
        <f>+$I$2+(SAMAKEKEBE[[#This Row],[QUANTITE]]*SAMAKEKEBE[[#This Row],[PRIX UNITAIRE]])</f>
        <v>0</v>
      </c>
      <c r="F67" s="14"/>
      <c r="G67" s="6">
        <f>+SUM(E$9:$E67)-SUM(F$9:$F67)</f>
        <v>0</v>
      </c>
    </row>
    <row r="68" spans="1:7" ht="28.8" x14ac:dyDescent="0.55000000000000004">
      <c r="A68" s="12"/>
      <c r="B68" s="13"/>
      <c r="C68" s="10"/>
      <c r="D68" s="10"/>
      <c r="E68" s="7">
        <f>+$I$2+(SAMAKEKEBE[[#This Row],[QUANTITE]]*SAMAKEKEBE[[#This Row],[PRIX UNITAIRE]])</f>
        <v>0</v>
      </c>
      <c r="F68" s="14"/>
      <c r="G68" s="6">
        <f>+SUM(E$9:$E68)-SUM(F$9:$F68)</f>
        <v>0</v>
      </c>
    </row>
    <row r="69" spans="1:7" ht="28.8" x14ac:dyDescent="0.55000000000000004">
      <c r="A69" s="12"/>
      <c r="B69" s="13"/>
      <c r="C69" s="10"/>
      <c r="D69" s="10"/>
      <c r="E69" s="7">
        <f>+$I$2+(SAMAKEKEBE[[#This Row],[QUANTITE]]*SAMAKEKEBE[[#This Row],[PRIX UNITAIRE]])</f>
        <v>0</v>
      </c>
      <c r="F69" s="14"/>
      <c r="G69" s="6">
        <f>+SUM(E$9:$E69)-SUM(F$9:$F69)</f>
        <v>0</v>
      </c>
    </row>
  </sheetData>
  <sheetProtection selectLockedCells="1" autoFilter="0"/>
  <mergeCells count="1">
    <mergeCell ref="B6:C6"/>
  </mergeCells>
  <conditionalFormatting sqref="B9:B69">
    <cfRule type="expression" dxfId="656" priority="5">
      <formula>$F9</formula>
    </cfRule>
  </conditionalFormatting>
  <conditionalFormatting sqref="G4">
    <cfRule type="cellIs" dxfId="655" priority="2" operator="lessThan">
      <formula>0</formula>
    </cfRule>
    <cfRule type="cellIs" dxfId="654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69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I77"/>
  <sheetViews>
    <sheetView showGridLines="0" zoomScale="60" zoomScaleNormal="60" workbookViewId="0">
      <pane ySplit="8" topLeftCell="A53" activePane="bottomLeft" state="frozen"/>
      <selection activeCell="L10" sqref="L10"/>
      <selection pane="bottomLeft" activeCell="A63" sqref="A63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6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+SUM(ADAMAFRIQUE[TOTAL MONTANT])</f>
        <v>15240100</v>
      </c>
      <c r="F4" s="41">
        <f>+SUM(ADAMAFRIQUE[VERSEMENT])</f>
        <v>8402000</v>
      </c>
      <c r="G4" s="130">
        <f>+E4-F4</f>
        <v>6838100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442</v>
      </c>
      <c r="C6" s="169"/>
      <c r="D6" s="6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45643</v>
      </c>
      <c r="B9" s="13" t="s">
        <v>399</v>
      </c>
      <c r="C9" s="10">
        <v>1</v>
      </c>
      <c r="D9" s="10">
        <v>5171100</v>
      </c>
      <c r="E9" s="7">
        <f>$I$2+(ADAMAFRIQUE[[#This Row],[QUANTITE]]*ADAMAFRIQUE[[#This Row],[PRIX UNITAIRE]])</f>
        <v>5171100</v>
      </c>
      <c r="F9" s="20"/>
      <c r="G9" s="6">
        <f>+SUM(E$9:$E9)-SUM(F$9:$F9)</f>
        <v>5171100</v>
      </c>
    </row>
    <row r="10" spans="1:9" ht="28.8" x14ac:dyDescent="0.55000000000000004">
      <c r="A10" s="12">
        <v>45659</v>
      </c>
      <c r="B10" s="13" t="s">
        <v>271</v>
      </c>
      <c r="C10" s="10">
        <v>2</v>
      </c>
      <c r="D10" s="10">
        <v>155000</v>
      </c>
      <c r="E10" s="7">
        <f>$I$2+(ADAMAFRIQUE[[#This Row],[QUANTITE]]*ADAMAFRIQUE[[#This Row],[PRIX UNITAIRE]])</f>
        <v>310000</v>
      </c>
      <c r="F10" s="21"/>
      <c r="G10" s="6">
        <f>+SUM(E$9:$E10)-SUM(F$9:$F10)</f>
        <v>5481100</v>
      </c>
    </row>
    <row r="11" spans="1:9" ht="28.8" x14ac:dyDescent="0.55000000000000004">
      <c r="A11" s="12">
        <v>45643</v>
      </c>
      <c r="B11" s="13" t="s">
        <v>443</v>
      </c>
      <c r="C11" s="10">
        <v>1</v>
      </c>
      <c r="D11" s="10">
        <v>0</v>
      </c>
      <c r="E11" s="7">
        <f>$I$2+(ADAMAFRIQUE[[#This Row],[QUANTITE]]*ADAMAFRIQUE[[#This Row],[PRIX UNITAIRE]])</f>
        <v>0</v>
      </c>
      <c r="F11" s="14">
        <v>612500</v>
      </c>
      <c r="G11" s="6">
        <f>+SUM(E$9:$E11)-SUM(F$9:$F11)</f>
        <v>4868600</v>
      </c>
    </row>
    <row r="12" spans="1:9" ht="28.8" x14ac:dyDescent="0.55000000000000004">
      <c r="A12" s="12">
        <v>46008</v>
      </c>
      <c r="B12" s="13" t="s">
        <v>444</v>
      </c>
      <c r="C12" s="10">
        <v>1</v>
      </c>
      <c r="D12" s="10">
        <v>0</v>
      </c>
      <c r="E12" s="7">
        <f>$I$2+(ADAMAFRIQUE[[#This Row],[QUANTITE]]*ADAMAFRIQUE[[#This Row],[PRIX UNITAIRE]])</f>
        <v>0</v>
      </c>
      <c r="F12" s="14">
        <v>607000</v>
      </c>
      <c r="G12" s="6">
        <f>+SUM(E$9:$E12)-SUM(F$9:$F12)</f>
        <v>4261600</v>
      </c>
    </row>
    <row r="13" spans="1:9" ht="28.8" x14ac:dyDescent="0.55000000000000004">
      <c r="A13" s="12">
        <v>45660</v>
      </c>
      <c r="B13" s="13" t="s">
        <v>271</v>
      </c>
      <c r="C13" s="10">
        <v>1</v>
      </c>
      <c r="D13" s="10">
        <v>155000</v>
      </c>
      <c r="E13" s="7">
        <f>$I$2+(ADAMAFRIQUE[[#This Row],[QUANTITE]]*ADAMAFRIQUE[[#This Row],[PRIX UNITAIRE]])</f>
        <v>155000</v>
      </c>
      <c r="F13" s="14"/>
      <c r="G13" s="6">
        <f>+SUM(E$9:$E13)-SUM(F$9:$F13)</f>
        <v>4416600</v>
      </c>
    </row>
    <row r="14" spans="1:9" ht="28.8" x14ac:dyDescent="0.55000000000000004">
      <c r="A14" s="12">
        <v>45663</v>
      </c>
      <c r="B14" s="13" t="s">
        <v>445</v>
      </c>
      <c r="C14" s="10">
        <v>4</v>
      </c>
      <c r="D14" s="10">
        <v>35000</v>
      </c>
      <c r="E14" s="7">
        <f>$I$2+(ADAMAFRIQUE[[#This Row],[QUANTITE]]*ADAMAFRIQUE[[#This Row],[PRIX UNITAIRE]])</f>
        <v>140000</v>
      </c>
      <c r="F14" s="14"/>
      <c r="G14" s="6">
        <f>+SUM(E$9:$E14)-SUM(F$9:$F14)</f>
        <v>4556600</v>
      </c>
    </row>
    <row r="15" spans="1:9" ht="28.8" x14ac:dyDescent="0.55000000000000004">
      <c r="A15" s="12">
        <v>45684</v>
      </c>
      <c r="B15" s="13" t="s">
        <v>446</v>
      </c>
      <c r="C15" s="10">
        <v>2</v>
      </c>
      <c r="D15" s="10">
        <v>165000</v>
      </c>
      <c r="E15" s="7">
        <f>$I$2+(ADAMAFRIQUE[[#This Row],[QUANTITE]]*ADAMAFRIQUE[[#This Row],[PRIX UNITAIRE]])</f>
        <v>330000</v>
      </c>
      <c r="F15" s="14"/>
      <c r="G15" s="6">
        <f>+SUM(E$9:$E15)-SUM(F$9:$F15)</f>
        <v>4886600</v>
      </c>
    </row>
    <row r="16" spans="1:9" ht="28.8" x14ac:dyDescent="0.55000000000000004">
      <c r="A16" s="12">
        <v>45695</v>
      </c>
      <c r="B16" s="13" t="s">
        <v>447</v>
      </c>
      <c r="C16" s="10">
        <v>3</v>
      </c>
      <c r="D16" s="10">
        <v>90000</v>
      </c>
      <c r="E16" s="7">
        <f>$I$2+(ADAMAFRIQUE[[#This Row],[QUANTITE]]*ADAMAFRIQUE[[#This Row],[PRIX UNITAIRE]])</f>
        <v>270000</v>
      </c>
      <c r="F16" s="14"/>
      <c r="G16" s="6">
        <f>+SUM(E$9:$E16)-SUM(F$9:$F16)</f>
        <v>5156600</v>
      </c>
    </row>
    <row r="17" spans="1:7" ht="28.8" x14ac:dyDescent="0.55000000000000004">
      <c r="A17" s="12">
        <v>45695</v>
      </c>
      <c r="B17" s="13" t="s">
        <v>448</v>
      </c>
      <c r="C17" s="10">
        <v>2</v>
      </c>
      <c r="D17" s="10">
        <v>55000</v>
      </c>
      <c r="E17" s="7">
        <f>$I$2+(ADAMAFRIQUE[[#This Row],[QUANTITE]]*ADAMAFRIQUE[[#This Row],[PRIX UNITAIRE]])</f>
        <v>110000</v>
      </c>
      <c r="F17" s="14"/>
      <c r="G17" s="6">
        <f>+SUM(E$9:$E17)-SUM(F$9:$F17)</f>
        <v>5266600</v>
      </c>
    </row>
    <row r="18" spans="1:7" ht="28.8" x14ac:dyDescent="0.55000000000000004">
      <c r="A18" s="12">
        <v>45705</v>
      </c>
      <c r="B18" s="13" t="s">
        <v>449</v>
      </c>
      <c r="C18" s="10">
        <v>1</v>
      </c>
      <c r="D18" s="10">
        <v>155000</v>
      </c>
      <c r="E18" s="7">
        <f>$I$2+(ADAMAFRIQUE[[#This Row],[QUANTITE]]*ADAMAFRIQUE[[#This Row],[PRIX UNITAIRE]])</f>
        <v>155000</v>
      </c>
      <c r="F18" s="14"/>
      <c r="G18" s="6">
        <f>+SUM(E$9:$E18)-SUM(F$9:$F18)</f>
        <v>5421600</v>
      </c>
    </row>
    <row r="19" spans="1:7" ht="28.8" x14ac:dyDescent="0.55000000000000004">
      <c r="A19" s="12">
        <v>45715</v>
      </c>
      <c r="B19" s="13" t="s">
        <v>271</v>
      </c>
      <c r="C19" s="10">
        <v>2</v>
      </c>
      <c r="D19" s="10">
        <v>155000</v>
      </c>
      <c r="E19" s="7">
        <f>$I$2+(ADAMAFRIQUE[[#This Row],[QUANTITE]]*ADAMAFRIQUE[[#This Row],[PRIX UNITAIRE]])</f>
        <v>310000</v>
      </c>
      <c r="F19" s="14"/>
      <c r="G19" s="6">
        <f>+SUM(E$9:$E19)-SUM(F$9:$F19)</f>
        <v>5731600</v>
      </c>
    </row>
    <row r="20" spans="1:7" ht="28.8" x14ac:dyDescent="0.55000000000000004">
      <c r="A20" s="12">
        <v>45721</v>
      </c>
      <c r="B20" s="13" t="s">
        <v>450</v>
      </c>
      <c r="C20" s="10">
        <v>2</v>
      </c>
      <c r="D20" s="10">
        <v>155000</v>
      </c>
      <c r="E20" s="7">
        <f>$I$2+(ADAMAFRIQUE[[#This Row],[QUANTITE]]*ADAMAFRIQUE[[#This Row],[PRIX UNITAIRE]])</f>
        <v>310000</v>
      </c>
      <c r="F20" s="14"/>
      <c r="G20" s="6">
        <f>+SUM(E$9:$E20)-SUM(F$9:$F20)</f>
        <v>6041600</v>
      </c>
    </row>
    <row r="21" spans="1:7" ht="28.8" x14ac:dyDescent="0.55000000000000004">
      <c r="A21" s="12">
        <v>45721</v>
      </c>
      <c r="B21" s="13" t="s">
        <v>451</v>
      </c>
      <c r="C21" s="10"/>
      <c r="D21" s="10"/>
      <c r="E21" s="7">
        <f>$I$2+(ADAMAFRIQUE[[#This Row],[QUANTITE]]*ADAMAFRIQUE[[#This Row],[PRIX UNITAIRE]])</f>
        <v>0</v>
      </c>
      <c r="F21" s="14">
        <v>764400</v>
      </c>
      <c r="G21" s="6">
        <f>+SUM(E$9:$E21)-SUM(F$9:$F21)</f>
        <v>5277200</v>
      </c>
    </row>
    <row r="22" spans="1:7" ht="28.8" x14ac:dyDescent="0.55000000000000004">
      <c r="A22" s="12"/>
      <c r="B22" s="13"/>
      <c r="C22" s="10"/>
      <c r="D22" s="10"/>
      <c r="E22" s="7">
        <f>$I$2+(ADAMAFRIQUE[[#This Row],[QUANTITE]]*ADAMAFRIQUE[[#This Row],[PRIX UNITAIRE]])</f>
        <v>0</v>
      </c>
      <c r="F22" s="14"/>
      <c r="G22" s="6">
        <f>+SUM(E$9:$E22)-SUM(F$9:$F22)</f>
        <v>5277200</v>
      </c>
    </row>
    <row r="23" spans="1:7" ht="28.8" x14ac:dyDescent="0.55000000000000004">
      <c r="A23" s="12">
        <v>45762</v>
      </c>
      <c r="B23" s="13" t="s">
        <v>452</v>
      </c>
      <c r="C23" s="10">
        <v>2</v>
      </c>
      <c r="D23" s="10">
        <v>155000</v>
      </c>
      <c r="E23" s="7">
        <f>$I$2+(ADAMAFRIQUE[[#This Row],[QUANTITE]]*ADAMAFRIQUE[[#This Row],[PRIX UNITAIRE]])</f>
        <v>310000</v>
      </c>
      <c r="F23" s="14"/>
      <c r="G23" s="6">
        <f>+SUM(E$9:$E23)-SUM(F$9:$F23)</f>
        <v>5587200</v>
      </c>
    </row>
    <row r="24" spans="1:7" ht="28.8" x14ac:dyDescent="0.55000000000000004">
      <c r="A24" s="12">
        <v>45764</v>
      </c>
      <c r="B24" s="13" t="s">
        <v>450</v>
      </c>
      <c r="C24" s="10">
        <v>2</v>
      </c>
      <c r="D24" s="10">
        <v>165000</v>
      </c>
      <c r="E24" s="7">
        <f>$I$2+(ADAMAFRIQUE[[#This Row],[QUANTITE]]*ADAMAFRIQUE[[#This Row],[PRIX UNITAIRE]])</f>
        <v>330000</v>
      </c>
      <c r="F24" s="14"/>
      <c r="G24" s="6">
        <f>+SUM(E$9:$E24)-SUM(F$9:$F24)</f>
        <v>5917200</v>
      </c>
    </row>
    <row r="25" spans="1:7" ht="28.8" x14ac:dyDescent="0.55000000000000004">
      <c r="A25" s="12">
        <v>45764</v>
      </c>
      <c r="B25" s="13" t="s">
        <v>450</v>
      </c>
      <c r="C25" s="10">
        <v>1</v>
      </c>
      <c r="D25" s="10">
        <v>165000</v>
      </c>
      <c r="E25" s="7">
        <f>$I$2+(ADAMAFRIQUE[[#This Row],[QUANTITE]]*ADAMAFRIQUE[[#This Row],[PRIX UNITAIRE]])</f>
        <v>165000</v>
      </c>
      <c r="F25" s="14"/>
      <c r="G25" s="6">
        <f>+SUM(E$9:$E25)-SUM(F$9:$F25)</f>
        <v>6082200</v>
      </c>
    </row>
    <row r="26" spans="1:7" ht="28.8" x14ac:dyDescent="0.55000000000000004">
      <c r="A26" s="12">
        <v>45783</v>
      </c>
      <c r="B26" s="13" t="s">
        <v>453</v>
      </c>
      <c r="C26" s="10">
        <v>4</v>
      </c>
      <c r="D26" s="10">
        <v>155000</v>
      </c>
      <c r="E26" s="7">
        <f>$I$2+(ADAMAFRIQUE[[#This Row],[QUANTITE]]*ADAMAFRIQUE[[#This Row],[PRIX UNITAIRE]])</f>
        <v>620000</v>
      </c>
      <c r="F26" s="14"/>
      <c r="G26" s="6">
        <f>+SUM(E$9:$E26)-SUM(F$9:$F26)</f>
        <v>6702200</v>
      </c>
    </row>
    <row r="27" spans="1:7" ht="28.8" x14ac:dyDescent="0.55000000000000004">
      <c r="A27" s="12">
        <v>45783</v>
      </c>
      <c r="B27" s="13" t="s">
        <v>2734</v>
      </c>
      <c r="C27" s="10">
        <v>1</v>
      </c>
      <c r="D27" s="10">
        <v>35000</v>
      </c>
      <c r="E27" s="7">
        <f>$I$2+(ADAMAFRIQUE[[#This Row],[QUANTITE]]*ADAMAFRIQUE[[#This Row],[PRIX UNITAIRE]])</f>
        <v>35000</v>
      </c>
      <c r="F27" s="14"/>
      <c r="G27" s="6">
        <f>+SUM(E$9:$E27)-SUM(F$9:$F27)</f>
        <v>6737200</v>
      </c>
    </row>
    <row r="28" spans="1:7" ht="28.8" x14ac:dyDescent="0.55000000000000004">
      <c r="A28" s="12">
        <v>45792</v>
      </c>
      <c r="B28" s="13" t="s">
        <v>271</v>
      </c>
      <c r="C28" s="10">
        <v>1</v>
      </c>
      <c r="D28" s="10">
        <v>155000</v>
      </c>
      <c r="E28" s="7">
        <f>$I$2+(ADAMAFRIQUE[[#This Row],[QUANTITE]]*ADAMAFRIQUE[[#This Row],[PRIX UNITAIRE]])</f>
        <v>155000</v>
      </c>
      <c r="F28" s="14"/>
      <c r="G28" s="6">
        <f>+SUM(E$9:$E28)-SUM(F$9:$F28)</f>
        <v>6892200</v>
      </c>
    </row>
    <row r="29" spans="1:7" ht="28.8" x14ac:dyDescent="0.55000000000000004">
      <c r="A29" s="12">
        <v>45792</v>
      </c>
      <c r="B29" s="13" t="s">
        <v>2752</v>
      </c>
      <c r="C29" s="10">
        <v>1</v>
      </c>
      <c r="D29" s="10">
        <v>155000</v>
      </c>
      <c r="E29" s="7">
        <f>$I$2+(ADAMAFRIQUE[[#This Row],[QUANTITE]]*ADAMAFRIQUE[[#This Row],[PRIX UNITAIRE]])</f>
        <v>155000</v>
      </c>
      <c r="F29" s="14"/>
      <c r="G29" s="6">
        <f>+SUM(E$9:$E29)-SUM(F$9:$F29)</f>
        <v>7047200</v>
      </c>
    </row>
    <row r="30" spans="1:7" ht="28.8" x14ac:dyDescent="0.55000000000000004">
      <c r="A30" s="12">
        <v>45792</v>
      </c>
      <c r="B30" s="13" t="s">
        <v>451</v>
      </c>
      <c r="C30" s="10"/>
      <c r="D30" s="10"/>
      <c r="E30" s="7">
        <f>$I$2+(ADAMAFRIQUE[[#This Row],[QUANTITE]]*ADAMAFRIQUE[[#This Row],[PRIX UNITAIRE]])</f>
        <v>0</v>
      </c>
      <c r="F30" s="14">
        <v>788900</v>
      </c>
      <c r="G30" s="6">
        <f>+SUM(E$9:$E30)-SUM(F$9:$F30)</f>
        <v>6258300</v>
      </c>
    </row>
    <row r="31" spans="1:7" ht="28.8" x14ac:dyDescent="0.55000000000000004">
      <c r="A31" s="12">
        <v>45797</v>
      </c>
      <c r="B31" s="13" t="s">
        <v>2753</v>
      </c>
      <c r="C31" s="10">
        <v>1</v>
      </c>
      <c r="D31" s="10">
        <v>55000</v>
      </c>
      <c r="E31" s="7">
        <f>$I$2+(ADAMAFRIQUE[[#This Row],[QUANTITE]]*ADAMAFRIQUE[[#This Row],[PRIX UNITAIRE]])</f>
        <v>55000</v>
      </c>
      <c r="F31" s="14"/>
      <c r="G31" s="6">
        <f>+SUM(E$9:$E31)-SUM(F$9:$F31)</f>
        <v>6313300</v>
      </c>
    </row>
    <row r="32" spans="1:7" ht="28.8" x14ac:dyDescent="0.55000000000000004">
      <c r="A32" s="12">
        <v>45797</v>
      </c>
      <c r="B32" s="13" t="s">
        <v>2754</v>
      </c>
      <c r="C32" s="10">
        <v>2</v>
      </c>
      <c r="D32" s="10">
        <v>90000</v>
      </c>
      <c r="E32" s="7">
        <f>$I$2+(ADAMAFRIQUE[[#This Row],[QUANTITE]]*ADAMAFRIQUE[[#This Row],[PRIX UNITAIRE]])</f>
        <v>180000</v>
      </c>
      <c r="F32" s="14"/>
      <c r="G32" s="6">
        <f>+SUM(E$9:$E32)-SUM(F$9:$F32)</f>
        <v>6493300</v>
      </c>
    </row>
    <row r="33" spans="1:7" ht="28.8" x14ac:dyDescent="0.55000000000000004">
      <c r="A33" s="12">
        <v>45797</v>
      </c>
      <c r="B33" s="13" t="s">
        <v>2755</v>
      </c>
      <c r="C33" s="10">
        <v>4</v>
      </c>
      <c r="D33" s="10">
        <v>90000</v>
      </c>
      <c r="E33" s="7">
        <f>$I$2+(ADAMAFRIQUE[[#This Row],[QUANTITE]]*ADAMAFRIQUE[[#This Row],[PRIX UNITAIRE]])</f>
        <v>360000</v>
      </c>
      <c r="F33" s="14"/>
      <c r="G33" s="6">
        <f>+SUM(E$9:$E33)-SUM(F$9:$F33)</f>
        <v>6853300</v>
      </c>
    </row>
    <row r="34" spans="1:7" ht="28.8" x14ac:dyDescent="0.55000000000000004">
      <c r="A34" s="12">
        <v>45803</v>
      </c>
      <c r="B34" s="13" t="s">
        <v>2756</v>
      </c>
      <c r="C34" s="10">
        <v>2</v>
      </c>
      <c r="D34" s="10">
        <v>155000</v>
      </c>
      <c r="E34" s="7">
        <f>$I$2+(ADAMAFRIQUE[[#This Row],[QUANTITE]]*ADAMAFRIQUE[[#This Row],[PRIX UNITAIRE]])</f>
        <v>310000</v>
      </c>
      <c r="F34" s="14"/>
      <c r="G34" s="6">
        <f>+SUM(E$9:$E34)-SUM(F$9:$F34)</f>
        <v>7163300</v>
      </c>
    </row>
    <row r="35" spans="1:7" ht="28.8" x14ac:dyDescent="0.55000000000000004">
      <c r="A35" s="12">
        <v>45811</v>
      </c>
      <c r="B35" s="13" t="s">
        <v>261</v>
      </c>
      <c r="C35" s="10">
        <v>2</v>
      </c>
      <c r="D35" s="10">
        <v>145000</v>
      </c>
      <c r="E35" s="7">
        <f>$I$2+(ADAMAFRIQUE[[#This Row],[QUANTITE]]*ADAMAFRIQUE[[#This Row],[PRIX UNITAIRE]])</f>
        <v>290000</v>
      </c>
      <c r="F35" s="14"/>
      <c r="G35" s="6">
        <f>+SUM(E$9:$E35)-SUM(F$9:$F35)</f>
        <v>7453300</v>
      </c>
    </row>
    <row r="36" spans="1:7" ht="28.8" x14ac:dyDescent="0.55000000000000004">
      <c r="A36" s="12">
        <v>45820</v>
      </c>
      <c r="B36" s="13" t="s">
        <v>271</v>
      </c>
      <c r="C36" s="10">
        <v>2</v>
      </c>
      <c r="D36" s="10">
        <v>155000</v>
      </c>
      <c r="E36" s="7">
        <f>$I$2+(ADAMAFRIQUE[[#This Row],[QUANTITE]]*ADAMAFRIQUE[[#This Row],[PRIX UNITAIRE]])</f>
        <v>310000</v>
      </c>
      <c r="F36" s="14"/>
      <c r="G36" s="6">
        <f>+SUM(E$9:$E36)-SUM(F$9:$F36)</f>
        <v>7763300</v>
      </c>
    </row>
    <row r="37" spans="1:7" ht="28.8" x14ac:dyDescent="0.55000000000000004">
      <c r="A37" s="12">
        <v>45825</v>
      </c>
      <c r="B37" s="13" t="s">
        <v>451</v>
      </c>
      <c r="C37" s="10"/>
      <c r="D37" s="10"/>
      <c r="E37" s="7">
        <f>$I$2+(ADAMAFRIQUE[[#This Row],[QUANTITE]]*ADAMAFRIQUE[[#This Row],[PRIX UNITAIRE]])</f>
        <v>0</v>
      </c>
      <c r="F37" s="14">
        <v>1832600</v>
      </c>
      <c r="G37" s="6">
        <f>+SUM(E$9:$E37)-SUM(F$9:$F37)</f>
        <v>5930700</v>
      </c>
    </row>
    <row r="38" spans="1:7" ht="28.8" x14ac:dyDescent="0.55000000000000004">
      <c r="A38" s="12">
        <v>45859</v>
      </c>
      <c r="B38" s="13" t="s">
        <v>2755</v>
      </c>
      <c r="C38" s="10">
        <v>4</v>
      </c>
      <c r="D38" s="10">
        <v>90000</v>
      </c>
      <c r="E38" s="7">
        <f>$I$2+(ADAMAFRIQUE[[#This Row],[QUANTITE]]*ADAMAFRIQUE[[#This Row],[PRIX UNITAIRE]])</f>
        <v>360000</v>
      </c>
      <c r="F38" s="14"/>
      <c r="G38" s="6">
        <f>+SUM(E$9:$E38)-SUM(F$9:$F38)</f>
        <v>6290700</v>
      </c>
    </row>
    <row r="39" spans="1:7" ht="28.8" x14ac:dyDescent="0.55000000000000004">
      <c r="A39" s="12">
        <v>45874</v>
      </c>
      <c r="B39" s="13" t="s">
        <v>2754</v>
      </c>
      <c r="C39" s="10">
        <v>2</v>
      </c>
      <c r="D39" s="10">
        <v>90000</v>
      </c>
      <c r="E39" s="7">
        <f>$I$2+(ADAMAFRIQUE[[#This Row],[QUANTITE]]*ADAMAFRIQUE[[#This Row],[PRIX UNITAIRE]])</f>
        <v>180000</v>
      </c>
      <c r="F39" s="14"/>
      <c r="G39" s="6">
        <f>+SUM(E$9:$E39)-SUM(F$9:$F39)</f>
        <v>6470700</v>
      </c>
    </row>
    <row r="40" spans="1:7" ht="28.8" x14ac:dyDescent="0.55000000000000004">
      <c r="A40" s="12">
        <v>45877</v>
      </c>
      <c r="B40" s="13" t="s">
        <v>451</v>
      </c>
      <c r="C40" s="10"/>
      <c r="D40" s="10"/>
      <c r="E40" s="7">
        <f>$I$2+(ADAMAFRIQUE[[#This Row],[QUANTITE]]*ADAMAFRIQUE[[#This Row],[PRIX UNITAIRE]])</f>
        <v>0</v>
      </c>
      <c r="F40" s="14">
        <v>588000</v>
      </c>
      <c r="G40" s="6">
        <f>+SUM(E$9:$E40)-SUM(F$9:$F40)</f>
        <v>5882700</v>
      </c>
    </row>
    <row r="41" spans="1:7" ht="28.8" x14ac:dyDescent="0.55000000000000004">
      <c r="A41" s="12">
        <v>45877</v>
      </c>
      <c r="B41" s="13" t="s">
        <v>271</v>
      </c>
      <c r="C41" s="10">
        <v>2</v>
      </c>
      <c r="D41" s="10">
        <v>155000</v>
      </c>
      <c r="E41" s="7">
        <f>$I$2+(ADAMAFRIQUE[[#This Row],[QUANTITE]]*ADAMAFRIQUE[[#This Row],[PRIX UNITAIRE]])</f>
        <v>310000</v>
      </c>
      <c r="F41" s="14"/>
      <c r="G41" s="6">
        <f>+SUM(E$9:$E41)-SUM(F$9:$F41)</f>
        <v>6192700</v>
      </c>
    </row>
    <row r="42" spans="1:7" ht="28.8" x14ac:dyDescent="0.55000000000000004">
      <c r="A42" s="12">
        <v>45881</v>
      </c>
      <c r="B42" s="13" t="s">
        <v>2755</v>
      </c>
      <c r="C42" s="10">
        <v>2</v>
      </c>
      <c r="D42" s="10">
        <v>90000</v>
      </c>
      <c r="E42" s="7">
        <f>$I$2+(ADAMAFRIQUE[[#This Row],[QUANTITE]]*ADAMAFRIQUE[[#This Row],[PRIX UNITAIRE]])</f>
        <v>180000</v>
      </c>
      <c r="F42" s="14"/>
      <c r="G42" s="6">
        <f>+SUM(E$9:$E42)-SUM(F$9:$F42)</f>
        <v>6372700</v>
      </c>
    </row>
    <row r="43" spans="1:7" ht="28.8" x14ac:dyDescent="0.55000000000000004">
      <c r="A43" s="12">
        <v>45887</v>
      </c>
      <c r="B43" s="13" t="s">
        <v>1244</v>
      </c>
      <c r="C43" s="10"/>
      <c r="D43" s="10"/>
      <c r="E43" s="7">
        <f>$I$2+(ADAMAFRIQUE[[#This Row],[QUANTITE]]*ADAMAFRIQUE[[#This Row],[PRIX UNITAIRE]])</f>
        <v>0</v>
      </c>
      <c r="F43" s="14">
        <v>352800</v>
      </c>
      <c r="G43" s="6">
        <f>+SUM(E$9:$E43)-SUM(F$9:$F43)</f>
        <v>6019900</v>
      </c>
    </row>
    <row r="44" spans="1:7" ht="28.8" x14ac:dyDescent="0.55000000000000004">
      <c r="A44" s="12">
        <v>45897</v>
      </c>
      <c r="B44" s="13" t="s">
        <v>714</v>
      </c>
      <c r="C44" s="10">
        <v>3</v>
      </c>
      <c r="D44" s="10">
        <v>145000</v>
      </c>
      <c r="E44" s="7">
        <f>$I$2+(ADAMAFRIQUE[[#This Row],[QUANTITE]]*ADAMAFRIQUE[[#This Row],[PRIX UNITAIRE]])</f>
        <v>435000</v>
      </c>
      <c r="F44" s="14"/>
      <c r="G44" s="6">
        <f>+SUM(E$9:$E44)-SUM(F$9:$F44)</f>
        <v>6454900</v>
      </c>
    </row>
    <row r="45" spans="1:7" ht="28.8" x14ac:dyDescent="0.55000000000000004">
      <c r="A45" s="12">
        <v>45897</v>
      </c>
      <c r="B45" s="13" t="s">
        <v>2976</v>
      </c>
      <c r="C45" s="10">
        <v>1</v>
      </c>
      <c r="D45" s="10">
        <v>155000</v>
      </c>
      <c r="E45" s="7">
        <f>$I$2+(ADAMAFRIQUE[[#This Row],[QUANTITE]]*ADAMAFRIQUE[[#This Row],[PRIX UNITAIRE]])</f>
        <v>155000</v>
      </c>
      <c r="F45" s="14"/>
      <c r="G45" s="6">
        <f>+SUM(E$9:$E45)-SUM(F$9:$F45)</f>
        <v>6609900</v>
      </c>
    </row>
    <row r="46" spans="1:7" ht="28.8" x14ac:dyDescent="0.55000000000000004">
      <c r="A46" s="12">
        <v>45929</v>
      </c>
      <c r="B46" s="13" t="s">
        <v>3118</v>
      </c>
      <c r="C46" s="10">
        <v>1</v>
      </c>
      <c r="D46" s="10">
        <v>155000</v>
      </c>
      <c r="E46" s="7">
        <f>$I$2+(ADAMAFRIQUE[[#This Row],[QUANTITE]]*ADAMAFRIQUE[[#This Row],[PRIX UNITAIRE]])</f>
        <v>155000</v>
      </c>
      <c r="F46" s="14"/>
      <c r="G46" s="6">
        <f>+SUM(E$9:$E46)-SUM(F$9:$F46)</f>
        <v>6764900</v>
      </c>
    </row>
    <row r="47" spans="1:7" ht="28.8" x14ac:dyDescent="0.55000000000000004">
      <c r="A47" s="12">
        <v>45951</v>
      </c>
      <c r="B47" s="13" t="s">
        <v>451</v>
      </c>
      <c r="C47" s="10"/>
      <c r="D47" s="10"/>
      <c r="E47" s="7">
        <f>$I$2+(ADAMAFRIQUE[[#This Row],[QUANTITE]]*ADAMAFRIQUE[[#This Row],[PRIX UNITAIRE]])</f>
        <v>0</v>
      </c>
      <c r="F47" s="14">
        <v>1385800</v>
      </c>
      <c r="G47" s="6">
        <f>+SUM(E$9:$E47)-SUM(F$9:$F47)</f>
        <v>5379100</v>
      </c>
    </row>
    <row r="48" spans="1:7" ht="28.8" x14ac:dyDescent="0.55000000000000004">
      <c r="A48" s="12">
        <v>45995</v>
      </c>
      <c r="B48" s="13" t="s">
        <v>2913</v>
      </c>
      <c r="C48" s="10">
        <v>2</v>
      </c>
      <c r="D48" s="10">
        <v>65000</v>
      </c>
      <c r="E48" s="7">
        <f>$I$2+(ADAMAFRIQUE[[#This Row],[QUANTITE]]*ADAMAFRIQUE[[#This Row],[PRIX UNITAIRE]])</f>
        <v>130000</v>
      </c>
      <c r="F48" s="14"/>
      <c r="G48" s="6">
        <f>+SUM(E$9:$E48)-SUM(F$9:$F48)</f>
        <v>5509100</v>
      </c>
    </row>
    <row r="49" spans="1:7" ht="28.8" x14ac:dyDescent="0.55000000000000004">
      <c r="A49" s="12">
        <v>46036</v>
      </c>
      <c r="B49" s="13" t="s">
        <v>2913</v>
      </c>
      <c r="C49" s="10">
        <v>2</v>
      </c>
      <c r="D49" s="10">
        <v>27000</v>
      </c>
      <c r="E49" s="7">
        <f>$I$2+(ADAMAFRIQUE[[#This Row],[QUANTITE]]*ADAMAFRIQUE[[#This Row],[PRIX UNITAIRE]])</f>
        <v>54000</v>
      </c>
      <c r="F49" s="14"/>
      <c r="G49" s="6">
        <f>+SUM(E$9:$E49)-SUM(F$9:$F49)</f>
        <v>5563100</v>
      </c>
    </row>
    <row r="50" spans="1:7" ht="28.8" x14ac:dyDescent="0.55000000000000004">
      <c r="A50" s="12"/>
      <c r="B50" s="13"/>
      <c r="C50" s="10"/>
      <c r="D50" s="10">
        <v>0</v>
      </c>
      <c r="E50" s="7">
        <f>$I$2+(ADAMAFRIQUE[[#This Row],[QUANTITE]]*ADAMAFRIQUE[[#This Row],[PRIX UNITAIRE]])</f>
        <v>0</v>
      </c>
      <c r="F50" s="14"/>
      <c r="G50" s="6">
        <f>+SUM(E$9:$E50)-SUM(F$9:$F50)</f>
        <v>5563100</v>
      </c>
    </row>
    <row r="51" spans="1:7" ht="28.8" x14ac:dyDescent="0.55000000000000004">
      <c r="A51" s="12">
        <v>46041</v>
      </c>
      <c r="B51" s="13" t="s">
        <v>2976</v>
      </c>
      <c r="C51" s="10">
        <v>2</v>
      </c>
      <c r="D51" s="10">
        <v>155000</v>
      </c>
      <c r="E51" s="7">
        <f>$I$2+(ADAMAFRIQUE[[#This Row],[QUANTITE]]*ADAMAFRIQUE[[#This Row],[PRIX UNITAIRE]])</f>
        <v>310000</v>
      </c>
      <c r="F51" s="14"/>
      <c r="G51" s="6">
        <f>+SUM(E$9:$E51)-SUM(F$9:$F51)</f>
        <v>5873100</v>
      </c>
    </row>
    <row r="52" spans="1:7" ht="28.8" x14ac:dyDescent="0.55000000000000004">
      <c r="A52" s="12">
        <v>46044</v>
      </c>
      <c r="B52" s="13" t="s">
        <v>2976</v>
      </c>
      <c r="C52" s="10">
        <v>2</v>
      </c>
      <c r="D52" s="10">
        <v>155000</v>
      </c>
      <c r="E52" s="7">
        <f>$I$2+(ADAMAFRIQUE[[#This Row],[QUANTITE]]*ADAMAFRIQUE[[#This Row],[PRIX UNITAIRE]])</f>
        <v>310000</v>
      </c>
      <c r="F52" s="14"/>
      <c r="G52" s="6">
        <f>+SUM(E$9:$E52)-SUM(F$9:$F52)</f>
        <v>6183100</v>
      </c>
    </row>
    <row r="53" spans="1:7" ht="28.8" x14ac:dyDescent="0.55000000000000004">
      <c r="A53" s="12">
        <v>46050</v>
      </c>
      <c r="B53" s="13" t="s">
        <v>451</v>
      </c>
      <c r="C53" s="10"/>
      <c r="D53" s="10"/>
      <c r="E53" s="7">
        <f>$I$2+(ADAMAFRIQUE[[#This Row],[QUANTITE]]*ADAMAFRIQUE[[#This Row],[PRIX UNITAIRE]])</f>
        <v>0</v>
      </c>
      <c r="F53" s="14">
        <v>127400</v>
      </c>
      <c r="G53" s="6">
        <f>+SUM(E$9:$E53)-SUM(F$9:$F53)</f>
        <v>6055700</v>
      </c>
    </row>
    <row r="54" spans="1:7" ht="28.8" x14ac:dyDescent="0.55000000000000004">
      <c r="A54" s="12">
        <v>46064</v>
      </c>
      <c r="B54" s="13" t="s">
        <v>446</v>
      </c>
      <c r="C54" s="10">
        <v>1</v>
      </c>
      <c r="D54" s="10">
        <v>165000</v>
      </c>
      <c r="E54" s="7">
        <f>$I$2+(ADAMAFRIQUE[[#This Row],[QUANTITE]]*ADAMAFRIQUE[[#This Row],[PRIX UNITAIRE]])</f>
        <v>165000</v>
      </c>
      <c r="F54" s="14"/>
      <c r="G54" s="6">
        <f>+SUM(E$9:$E54)-SUM(F$9:$F54)</f>
        <v>6220700</v>
      </c>
    </row>
    <row r="55" spans="1:7" ht="28.8" x14ac:dyDescent="0.55000000000000004">
      <c r="A55" s="12">
        <v>46064</v>
      </c>
      <c r="B55" s="13" t="s">
        <v>2976</v>
      </c>
      <c r="C55" s="10">
        <v>4</v>
      </c>
      <c r="D55" s="10">
        <v>155000</v>
      </c>
      <c r="E55" s="7">
        <f>$I$2+(ADAMAFRIQUE[[#This Row],[QUANTITE]]*ADAMAFRIQUE[[#This Row],[PRIX UNITAIRE]])</f>
        <v>620000</v>
      </c>
      <c r="F55" s="14"/>
      <c r="G55" s="6">
        <f>+SUM(E$9:$E55)-SUM(F$9:$F55)</f>
        <v>6840700</v>
      </c>
    </row>
    <row r="56" spans="1:7" ht="28.8" x14ac:dyDescent="0.55000000000000004">
      <c r="A56" s="12">
        <v>46077</v>
      </c>
      <c r="B56" s="13" t="s">
        <v>3332</v>
      </c>
      <c r="C56" s="10">
        <v>1</v>
      </c>
      <c r="D56" s="10">
        <v>165000</v>
      </c>
      <c r="E56" s="7">
        <f>$I$2+(ADAMAFRIQUE[[#This Row],[QUANTITE]]*ADAMAFRIQUE[[#This Row],[PRIX UNITAIRE]])</f>
        <v>165000</v>
      </c>
      <c r="F56" s="14"/>
      <c r="G56" s="6">
        <f>+SUM(E$9:$E56)-SUM(F$9:$F56)</f>
        <v>7005700</v>
      </c>
    </row>
    <row r="57" spans="1:7" ht="28.8" x14ac:dyDescent="0.55000000000000004">
      <c r="A57" s="12">
        <v>46077</v>
      </c>
      <c r="B57" s="13" t="s">
        <v>453</v>
      </c>
      <c r="C57" s="10">
        <v>1</v>
      </c>
      <c r="D57" s="10">
        <v>155000</v>
      </c>
      <c r="E57" s="7">
        <f>$I$2+(ADAMAFRIQUE[[#This Row],[QUANTITE]]*ADAMAFRIQUE[[#This Row],[PRIX UNITAIRE]])</f>
        <v>155000</v>
      </c>
      <c r="F57" s="14"/>
      <c r="G57" s="6">
        <f>+SUM(E$9:$E57)-SUM(F$9:$F57)</f>
        <v>7160700</v>
      </c>
    </row>
    <row r="58" spans="1:7" ht="28.8" x14ac:dyDescent="0.55000000000000004">
      <c r="A58" s="12">
        <v>46078</v>
      </c>
      <c r="B58" s="13" t="s">
        <v>1244</v>
      </c>
      <c r="C58" s="10"/>
      <c r="D58" s="10"/>
      <c r="E58" s="7">
        <f>$I$2+(ADAMAFRIQUE[[#This Row],[QUANTITE]]*ADAMAFRIQUE[[#This Row],[PRIX UNITAIRE]])</f>
        <v>0</v>
      </c>
      <c r="F58" s="14">
        <v>1342600</v>
      </c>
      <c r="G58" s="6">
        <f>+SUM(E$9:$E58)-SUM(F$9:$F58)</f>
        <v>5818100</v>
      </c>
    </row>
    <row r="59" spans="1:7" ht="28.8" x14ac:dyDescent="0.55000000000000004">
      <c r="A59" s="12">
        <v>46080</v>
      </c>
      <c r="B59" s="13" t="s">
        <v>3487</v>
      </c>
      <c r="C59" s="10">
        <v>2</v>
      </c>
      <c r="D59" s="10">
        <v>65000</v>
      </c>
      <c r="E59" s="7">
        <f>$I$2+(ADAMAFRIQUE[[#This Row],[QUANTITE]]*ADAMAFRIQUE[[#This Row],[PRIX UNITAIRE]])</f>
        <v>130000</v>
      </c>
      <c r="F59" s="14"/>
      <c r="G59" s="6">
        <f>+SUM(E$9:$E59)-SUM(F$9:$F59)</f>
        <v>5948100</v>
      </c>
    </row>
    <row r="60" spans="1:7" ht="28.8" x14ac:dyDescent="0.55000000000000004">
      <c r="A60" s="12">
        <v>46080</v>
      </c>
      <c r="B60" s="13" t="s">
        <v>3488</v>
      </c>
      <c r="C60" s="10">
        <v>1</v>
      </c>
      <c r="D60" s="10">
        <v>155000</v>
      </c>
      <c r="E60" s="7">
        <f>$I$2+(ADAMAFRIQUE[[#This Row],[QUANTITE]]*ADAMAFRIQUE[[#This Row],[PRIX UNITAIRE]])</f>
        <v>155000</v>
      </c>
      <c r="F60" s="14"/>
      <c r="G60" s="6">
        <f>+SUM(E$9:$E60)-SUM(F$9:$F60)</f>
        <v>6103100</v>
      </c>
    </row>
    <row r="61" spans="1:7" ht="28.8" x14ac:dyDescent="0.55000000000000004">
      <c r="A61" s="12">
        <v>46092</v>
      </c>
      <c r="B61" s="13" t="s">
        <v>3511</v>
      </c>
      <c r="C61" s="10">
        <v>4</v>
      </c>
      <c r="D61" s="10">
        <v>145000</v>
      </c>
      <c r="E61" s="7">
        <f>$I$2+(ADAMAFRIQUE[[#This Row],[QUANTITE]]*ADAMAFRIQUE[[#This Row],[PRIX UNITAIRE]])</f>
        <v>580000</v>
      </c>
      <c r="F61" s="14"/>
      <c r="G61" s="6">
        <f>+SUM(E$9:$E61)-SUM(F$9:$F61)</f>
        <v>6683100</v>
      </c>
    </row>
    <row r="62" spans="1:7" ht="28.8" x14ac:dyDescent="0.55000000000000004">
      <c r="A62" s="12">
        <v>46091</v>
      </c>
      <c r="B62" s="13" t="s">
        <v>3532</v>
      </c>
      <c r="C62" s="10">
        <v>1</v>
      </c>
      <c r="D62" s="10">
        <v>155000</v>
      </c>
      <c r="E62" s="7">
        <f>$I$2+(ADAMAFRIQUE[[#This Row],[QUANTITE]]*ADAMAFRIQUE[[#This Row],[PRIX UNITAIRE]])</f>
        <v>155000</v>
      </c>
      <c r="F62" s="14"/>
      <c r="G62" s="6">
        <f>+SUM(E$9:$E62)-SUM(F$9:$F62)</f>
        <v>6838100</v>
      </c>
    </row>
    <row r="63" spans="1:7" ht="28.8" x14ac:dyDescent="0.55000000000000004">
      <c r="A63" s="12"/>
      <c r="B63" s="13"/>
      <c r="C63" s="10"/>
      <c r="D63" s="10"/>
      <c r="E63" s="7">
        <f>$I$2+(ADAMAFRIQUE[[#This Row],[QUANTITE]]*ADAMAFRIQUE[[#This Row],[PRIX UNITAIRE]])</f>
        <v>0</v>
      </c>
      <c r="F63" s="14"/>
      <c r="G63" s="6">
        <f>+SUM(E$9:$E63)-SUM(F$9:$F63)</f>
        <v>6838100</v>
      </c>
    </row>
    <row r="64" spans="1:7" ht="28.8" x14ac:dyDescent="0.55000000000000004">
      <c r="A64" s="12"/>
      <c r="B64" s="13"/>
      <c r="C64" s="10"/>
      <c r="D64" s="10"/>
      <c r="E64" s="7">
        <f>$I$2+(ADAMAFRIQUE[[#This Row],[QUANTITE]]*ADAMAFRIQUE[[#This Row],[PRIX UNITAIRE]])</f>
        <v>0</v>
      </c>
      <c r="F64" s="14"/>
      <c r="G64" s="6">
        <f>+SUM(E$9:$E64)-SUM(F$9:$F64)</f>
        <v>6838100</v>
      </c>
    </row>
    <row r="65" spans="1:7" ht="28.8" x14ac:dyDescent="0.55000000000000004">
      <c r="A65" s="12"/>
      <c r="B65" s="13"/>
      <c r="C65" s="10"/>
      <c r="D65" s="10"/>
      <c r="E65" s="7">
        <f>$I$2+(ADAMAFRIQUE[[#This Row],[QUANTITE]]*ADAMAFRIQUE[[#This Row],[PRIX UNITAIRE]])</f>
        <v>0</v>
      </c>
      <c r="F65" s="14"/>
      <c r="G65" s="6">
        <f>+SUM(E$9:$E65)-SUM(F$9:$F65)</f>
        <v>6838100</v>
      </c>
    </row>
    <row r="66" spans="1:7" ht="28.8" x14ac:dyDescent="0.55000000000000004">
      <c r="A66" s="12"/>
      <c r="B66" s="13"/>
      <c r="C66" s="10"/>
      <c r="D66" s="10"/>
      <c r="E66" s="7">
        <f>$I$2+(ADAMAFRIQUE[[#This Row],[QUANTITE]]*ADAMAFRIQUE[[#This Row],[PRIX UNITAIRE]])</f>
        <v>0</v>
      </c>
      <c r="F66" s="14"/>
      <c r="G66" s="6">
        <f>+SUM(E$9:$E66)-SUM(F$9:$F66)</f>
        <v>6838100</v>
      </c>
    </row>
    <row r="67" spans="1:7" ht="28.8" x14ac:dyDescent="0.55000000000000004">
      <c r="A67" s="12"/>
      <c r="B67" s="13"/>
      <c r="C67" s="10"/>
      <c r="D67" s="10"/>
      <c r="E67" s="7">
        <f>$I$2+(ADAMAFRIQUE[[#This Row],[QUANTITE]]*ADAMAFRIQUE[[#This Row],[PRIX UNITAIRE]])</f>
        <v>0</v>
      </c>
      <c r="F67" s="14"/>
      <c r="G67" s="6">
        <f>+SUM(E$9:$E67)-SUM(F$9:$F67)</f>
        <v>6838100</v>
      </c>
    </row>
    <row r="68" spans="1:7" ht="28.8" x14ac:dyDescent="0.55000000000000004">
      <c r="A68" s="12"/>
      <c r="B68" s="13"/>
      <c r="C68" s="10"/>
      <c r="D68" s="10"/>
      <c r="E68" s="7">
        <f>$I$2+(ADAMAFRIQUE[[#This Row],[QUANTITE]]*ADAMAFRIQUE[[#This Row],[PRIX UNITAIRE]])</f>
        <v>0</v>
      </c>
      <c r="F68" s="14"/>
      <c r="G68" s="6">
        <f>+SUM(E$9:$E68)-SUM(F$9:$F68)</f>
        <v>6838100</v>
      </c>
    </row>
    <row r="69" spans="1:7" ht="28.8" x14ac:dyDescent="0.55000000000000004">
      <c r="A69" s="12"/>
      <c r="B69" s="13"/>
      <c r="C69" s="10"/>
      <c r="D69" s="10"/>
      <c r="E69" s="7">
        <f>$I$2+(ADAMAFRIQUE[[#This Row],[QUANTITE]]*ADAMAFRIQUE[[#This Row],[PRIX UNITAIRE]])</f>
        <v>0</v>
      </c>
      <c r="F69" s="14"/>
      <c r="G69" s="6">
        <f>+SUM(E$9:$E69)-SUM(F$9:$F69)</f>
        <v>6838100</v>
      </c>
    </row>
    <row r="70" spans="1:7" ht="28.8" x14ac:dyDescent="0.55000000000000004">
      <c r="A70" s="12"/>
      <c r="B70" s="13"/>
      <c r="C70" s="10"/>
      <c r="D70" s="10"/>
      <c r="E70" s="7">
        <f>$I$2+(ADAMAFRIQUE[[#This Row],[QUANTITE]]*ADAMAFRIQUE[[#This Row],[PRIX UNITAIRE]])</f>
        <v>0</v>
      </c>
      <c r="F70" s="14"/>
      <c r="G70" s="6">
        <f>+SUM(E$9:$E70)-SUM(F$9:$F70)</f>
        <v>6838100</v>
      </c>
    </row>
    <row r="71" spans="1:7" ht="28.8" x14ac:dyDescent="0.55000000000000004">
      <c r="A71" s="12"/>
      <c r="B71" s="13"/>
      <c r="C71" s="10"/>
      <c r="D71" s="10"/>
      <c r="E71" s="7">
        <f>$I$2+(ADAMAFRIQUE[[#This Row],[QUANTITE]]*ADAMAFRIQUE[[#This Row],[PRIX UNITAIRE]])</f>
        <v>0</v>
      </c>
      <c r="F71" s="14"/>
      <c r="G71" s="6">
        <f>+SUM(E$9:$E71)-SUM(F$9:$F71)</f>
        <v>6838100</v>
      </c>
    </row>
    <row r="72" spans="1:7" ht="28.8" x14ac:dyDescent="0.55000000000000004">
      <c r="A72" s="12"/>
      <c r="B72" s="13"/>
      <c r="C72" s="10"/>
      <c r="D72" s="10"/>
      <c r="E72" s="7">
        <f>$I$2+(ADAMAFRIQUE[[#This Row],[QUANTITE]]*ADAMAFRIQUE[[#This Row],[PRIX UNITAIRE]])</f>
        <v>0</v>
      </c>
      <c r="F72" s="14"/>
      <c r="G72" s="6">
        <f>+SUM(E$9:$E72)-SUM(F$9:$F72)</f>
        <v>6838100</v>
      </c>
    </row>
    <row r="73" spans="1:7" ht="28.8" x14ac:dyDescent="0.55000000000000004">
      <c r="A73" s="12"/>
      <c r="B73" s="13"/>
      <c r="C73" s="10"/>
      <c r="D73" s="10"/>
      <c r="E73" s="7">
        <f>$I$2+(ADAMAFRIQUE[[#This Row],[QUANTITE]]*ADAMAFRIQUE[[#This Row],[PRIX UNITAIRE]])</f>
        <v>0</v>
      </c>
      <c r="F73" s="14"/>
      <c r="G73" s="6">
        <f>+SUM(E$9:$E73)-SUM(F$9:$F73)</f>
        <v>6838100</v>
      </c>
    </row>
    <row r="74" spans="1:7" ht="28.8" x14ac:dyDescent="0.55000000000000004">
      <c r="A74" s="12"/>
      <c r="B74" s="13"/>
      <c r="C74" s="10"/>
      <c r="D74" s="10"/>
      <c r="E74" s="7">
        <f>$I$2+(ADAMAFRIQUE[[#This Row],[QUANTITE]]*ADAMAFRIQUE[[#This Row],[PRIX UNITAIRE]])</f>
        <v>0</v>
      </c>
      <c r="F74" s="14"/>
      <c r="G74" s="6">
        <f>+SUM(E$9:$E74)-SUM(F$9:$F74)</f>
        <v>6838100</v>
      </c>
    </row>
    <row r="75" spans="1:7" ht="28.8" x14ac:dyDescent="0.55000000000000004">
      <c r="A75" s="12"/>
      <c r="B75" s="13"/>
      <c r="C75" s="10"/>
      <c r="D75" s="10"/>
      <c r="E75" s="7">
        <f>$I$2+(ADAMAFRIQUE[[#This Row],[QUANTITE]]*ADAMAFRIQUE[[#This Row],[PRIX UNITAIRE]])</f>
        <v>0</v>
      </c>
      <c r="F75" s="14"/>
      <c r="G75" s="6">
        <f>+SUM(E$9:$E75)-SUM(F$9:$F75)</f>
        <v>6838100</v>
      </c>
    </row>
    <row r="76" spans="1:7" ht="28.8" x14ac:dyDescent="0.55000000000000004">
      <c r="A76" s="12"/>
      <c r="B76" s="13"/>
      <c r="C76" s="10"/>
      <c r="D76" s="10"/>
      <c r="E76" s="7">
        <f>$I$2+(ADAMAFRIQUE[[#This Row],[QUANTITE]]*ADAMAFRIQUE[[#This Row],[PRIX UNITAIRE]])</f>
        <v>0</v>
      </c>
      <c r="F76" s="14"/>
      <c r="G76" s="6">
        <f>+SUM(E$9:$E76)-SUM(F$9:$F76)</f>
        <v>6838100</v>
      </c>
    </row>
    <row r="77" spans="1:7" ht="28.8" x14ac:dyDescent="0.55000000000000004">
      <c r="A77" s="12"/>
      <c r="B77" s="13"/>
      <c r="C77" s="10"/>
      <c r="D77" s="10"/>
      <c r="E77" s="7">
        <f>$I$2+(ADAMAFRIQUE[[#This Row],[QUANTITE]]*ADAMAFRIQUE[[#This Row],[PRIX UNITAIRE]])</f>
        <v>0</v>
      </c>
      <c r="F77" s="14"/>
      <c r="G77" s="6">
        <f>+SUM(E$9:$E77)-SUM(F$9:$F77)</f>
        <v>6838100</v>
      </c>
    </row>
  </sheetData>
  <sheetProtection selectLockedCells="1" autoFilter="0"/>
  <mergeCells count="1">
    <mergeCell ref="B6:C6"/>
  </mergeCells>
  <conditionalFormatting sqref="B9:B77">
    <cfRule type="expression" dxfId="637" priority="6">
      <formula>$F9</formula>
    </cfRule>
  </conditionalFormatting>
  <conditionalFormatting sqref="G4">
    <cfRule type="cellIs" dxfId="636" priority="3" operator="lessThan">
      <formula>0</formula>
    </cfRule>
    <cfRule type="cellIs" dxfId="635" priority="4" operator="greaterThan">
      <formula>0</formula>
    </cfRule>
  </conditionalFormatting>
  <conditionalFormatting sqref="D6">
    <cfRule type="expression" dxfId="634" priority="1">
      <formula>$F6</formula>
    </cfRule>
  </conditionalFormatting>
  <dataValidations count="1">
    <dataValidation type="date" operator="greaterThan" allowBlank="1" showInputMessage="1" showErrorMessage="1" error="VEILLEZ ENTRER UNE DATE VALIDE" sqref="A9:A77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I70"/>
  <sheetViews>
    <sheetView showGridLines="0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4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+SUM(BILABIGMAT[TOTAL MONTANT])</f>
        <v>700000</v>
      </c>
      <c r="F4" s="41">
        <f>+SUM(BILABIGMAT[VERSEMENT])</f>
        <v>422000</v>
      </c>
      <c r="G4" s="130">
        <f>+E4-F4</f>
        <v>278000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454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/>
      <c r="B9" s="13" t="s">
        <v>455</v>
      </c>
      <c r="C9" s="10">
        <v>1</v>
      </c>
      <c r="D9" s="10">
        <v>700000</v>
      </c>
      <c r="E9" s="7">
        <f>+$I$2+(BILABIGMAT[[#This Row],[QUANTITE]]*BILABIGMAT[[#This Row],[PRIX UNITAIRE]])</f>
        <v>700000</v>
      </c>
      <c r="F9" s="14"/>
      <c r="G9" s="6">
        <f>+SUM(E$9:$E9)-SUM(F$9:$F9)</f>
        <v>700000</v>
      </c>
    </row>
    <row r="10" spans="1:9" ht="28.8" x14ac:dyDescent="0.55000000000000004">
      <c r="A10" s="12">
        <v>45715</v>
      </c>
      <c r="B10" s="13" t="s">
        <v>259</v>
      </c>
      <c r="C10" s="10"/>
      <c r="D10" s="10"/>
      <c r="E10" s="7">
        <f>+$I$2+(BILABIGMAT[[#This Row],[QUANTITE]]*BILABIGMAT[[#This Row],[PRIX UNITAIRE]])</f>
        <v>0</v>
      </c>
      <c r="F10" s="14">
        <v>150000</v>
      </c>
      <c r="G10" s="6">
        <f>+SUM(E$9:$E10)-SUM(F$9:$F10)</f>
        <v>550000</v>
      </c>
    </row>
    <row r="11" spans="1:9" ht="28.8" x14ac:dyDescent="0.55000000000000004">
      <c r="A11" s="12">
        <v>45951</v>
      </c>
      <c r="B11" s="13"/>
      <c r="C11" s="10"/>
      <c r="D11" s="10"/>
      <c r="E11" s="7">
        <f>+$I$2+(BILABIGMAT[[#This Row],[QUANTITE]]*BILABIGMAT[[#This Row],[PRIX UNITAIRE]])</f>
        <v>0</v>
      </c>
      <c r="F11" s="14">
        <v>52000</v>
      </c>
      <c r="G11" s="6">
        <f>+SUM(E$9:$E11)-SUM(F$9:$F11)</f>
        <v>498000</v>
      </c>
    </row>
    <row r="12" spans="1:9" ht="28.8" x14ac:dyDescent="0.55000000000000004">
      <c r="A12" s="12"/>
      <c r="B12" s="13"/>
      <c r="C12" s="10"/>
      <c r="D12" s="10"/>
      <c r="E12" s="7">
        <f>+$I$2+(BILABIGMAT[[#This Row],[QUANTITE]]*BILABIGMAT[[#This Row],[PRIX UNITAIRE]])</f>
        <v>0</v>
      </c>
      <c r="F12" s="14">
        <v>150000</v>
      </c>
      <c r="G12" s="6">
        <f>+SUM(E$9:$E12)-SUM(F$9:$F12)</f>
        <v>348000</v>
      </c>
    </row>
    <row r="13" spans="1:9" ht="28.8" x14ac:dyDescent="0.55000000000000004">
      <c r="A13" s="12">
        <v>46044</v>
      </c>
      <c r="B13" s="13"/>
      <c r="C13" s="10"/>
      <c r="D13" s="10"/>
      <c r="E13" s="7">
        <f>+$I$2+(BILABIGMAT[[#This Row],[QUANTITE]]*BILABIGMAT[[#This Row],[PRIX UNITAIRE]])</f>
        <v>0</v>
      </c>
      <c r="F13" s="14">
        <v>50000</v>
      </c>
      <c r="G13" s="6">
        <f>+SUM(E$9:$E13)-SUM(F$9:$F13)</f>
        <v>298000</v>
      </c>
    </row>
    <row r="14" spans="1:9" ht="28.8" x14ac:dyDescent="0.55000000000000004">
      <c r="A14" s="12">
        <v>46074</v>
      </c>
      <c r="B14" s="13" t="s">
        <v>259</v>
      </c>
      <c r="C14" s="10"/>
      <c r="D14" s="10"/>
      <c r="E14" s="7">
        <f>+$I$2+(BILABIGMAT[[#This Row],[QUANTITE]]*BILABIGMAT[[#This Row],[PRIX UNITAIRE]])</f>
        <v>0</v>
      </c>
      <c r="F14" s="14">
        <v>20000</v>
      </c>
      <c r="G14" s="6">
        <f>+SUM(E$9:$E14)-SUM(F$9:$F14)</f>
        <v>278000</v>
      </c>
    </row>
    <row r="15" spans="1:9" ht="28.8" x14ac:dyDescent="0.55000000000000004">
      <c r="A15" s="12"/>
      <c r="B15" s="13"/>
      <c r="C15" s="10"/>
      <c r="D15" s="10"/>
      <c r="E15" s="7">
        <f>+$I$2+(BILABIGMAT[[#This Row],[QUANTITE]]*BILABIGMAT[[#This Row],[PRIX UNITAIRE]])</f>
        <v>0</v>
      </c>
      <c r="F15" s="14"/>
      <c r="G15" s="6">
        <f>+SUM(E$9:$E15)-SUM(F$9:$F15)</f>
        <v>278000</v>
      </c>
    </row>
    <row r="16" spans="1:9" ht="28.8" x14ac:dyDescent="0.55000000000000004">
      <c r="A16" s="12"/>
      <c r="B16" s="13"/>
      <c r="C16" s="10"/>
      <c r="D16" s="10"/>
      <c r="E16" s="7">
        <f>+$I$2+(BILABIGMAT[[#This Row],[QUANTITE]]*BILABIGMAT[[#This Row],[PRIX UNITAIRE]])</f>
        <v>0</v>
      </c>
      <c r="F16" s="14"/>
      <c r="G16" s="6">
        <f>+SUM(E$9:$E16)-SUM(F$9:$F16)</f>
        <v>278000</v>
      </c>
    </row>
    <row r="17" spans="1:7" ht="28.8" x14ac:dyDescent="0.55000000000000004">
      <c r="A17" s="12"/>
      <c r="B17" s="13"/>
      <c r="C17" s="10"/>
      <c r="D17" s="10"/>
      <c r="E17" s="7">
        <f>+$I$2+(BILABIGMAT[[#This Row],[QUANTITE]]*BILABIGMAT[[#This Row],[PRIX UNITAIRE]])</f>
        <v>0</v>
      </c>
      <c r="F17" s="14"/>
      <c r="G17" s="6">
        <f>+SUM(E$9:$E17)-SUM(F$9:$F17)</f>
        <v>278000</v>
      </c>
    </row>
    <row r="18" spans="1:7" ht="28.8" x14ac:dyDescent="0.55000000000000004">
      <c r="A18" s="12"/>
      <c r="B18" s="13"/>
      <c r="C18" s="10"/>
      <c r="D18" s="10"/>
      <c r="E18" s="7">
        <f>+$I$2+(BILABIGMAT[[#This Row],[QUANTITE]]*BILABIGMAT[[#This Row],[PRIX UNITAIRE]])</f>
        <v>0</v>
      </c>
      <c r="F18" s="14"/>
      <c r="G18" s="6">
        <f>+SUM(E$9:$E18)-SUM(F$9:$F18)</f>
        <v>278000</v>
      </c>
    </row>
    <row r="19" spans="1:7" ht="28.8" x14ac:dyDescent="0.55000000000000004">
      <c r="A19" s="12"/>
      <c r="B19" s="13"/>
      <c r="C19" s="10"/>
      <c r="D19" s="10"/>
      <c r="E19" s="7">
        <f>+$I$2+(BILABIGMAT[[#This Row],[QUANTITE]]*BILABIGMAT[[#This Row],[PRIX UNITAIRE]])</f>
        <v>0</v>
      </c>
      <c r="F19" s="14"/>
      <c r="G19" s="6">
        <f>+SUM(E$9:$E19)-SUM(F$9:$F19)</f>
        <v>278000</v>
      </c>
    </row>
    <row r="20" spans="1:7" ht="28.8" x14ac:dyDescent="0.55000000000000004">
      <c r="A20" s="12"/>
      <c r="B20" s="13"/>
      <c r="C20" s="10"/>
      <c r="D20" s="10"/>
      <c r="E20" s="7">
        <f>+$I$2+(BILABIGMAT[[#This Row],[QUANTITE]]*BILABIGMAT[[#This Row],[PRIX UNITAIRE]])</f>
        <v>0</v>
      </c>
      <c r="F20" s="14"/>
      <c r="G20" s="6">
        <f>+SUM(E$9:$E20)-SUM(F$9:$F20)</f>
        <v>278000</v>
      </c>
    </row>
    <row r="21" spans="1:7" ht="28.8" x14ac:dyDescent="0.55000000000000004">
      <c r="A21" s="12"/>
      <c r="B21" s="13"/>
      <c r="C21" s="10"/>
      <c r="D21" s="10"/>
      <c r="E21" s="7">
        <f>+$I$2+(BILABIGMAT[[#This Row],[QUANTITE]]*BILABIGMAT[[#This Row],[PRIX UNITAIRE]])</f>
        <v>0</v>
      </c>
      <c r="F21" s="14"/>
      <c r="G21" s="6">
        <f>+SUM(E$9:$E21)-SUM(F$9:$F21)</f>
        <v>278000</v>
      </c>
    </row>
    <row r="22" spans="1:7" ht="28.8" x14ac:dyDescent="0.55000000000000004">
      <c r="A22" s="12"/>
      <c r="B22" s="13"/>
      <c r="C22" s="10"/>
      <c r="D22" s="10"/>
      <c r="E22" s="7">
        <f>+$I$2+(BILABIGMAT[[#This Row],[QUANTITE]]*BILABIGMAT[[#This Row],[PRIX UNITAIRE]])</f>
        <v>0</v>
      </c>
      <c r="F22" s="14"/>
      <c r="G22" s="6">
        <f>+SUM(E$9:$E22)-SUM(F$9:$F22)</f>
        <v>278000</v>
      </c>
    </row>
    <row r="23" spans="1:7" ht="28.8" x14ac:dyDescent="0.55000000000000004">
      <c r="A23" s="12"/>
      <c r="B23" s="13"/>
      <c r="C23" s="10"/>
      <c r="D23" s="10"/>
      <c r="E23" s="7">
        <f>+$I$2+(BILABIGMAT[[#This Row],[QUANTITE]]*BILABIGMAT[[#This Row],[PRIX UNITAIRE]])</f>
        <v>0</v>
      </c>
      <c r="F23" s="14"/>
      <c r="G23" s="6">
        <f>+SUM(E$9:$E23)-SUM(F$9:$F23)</f>
        <v>278000</v>
      </c>
    </row>
    <row r="24" spans="1:7" ht="28.8" x14ac:dyDescent="0.55000000000000004">
      <c r="A24" s="12"/>
      <c r="B24" s="13"/>
      <c r="C24" s="10"/>
      <c r="D24" s="10"/>
      <c r="E24" s="7">
        <f>+$I$2+(BILABIGMAT[[#This Row],[QUANTITE]]*BILABIGMAT[[#This Row],[PRIX UNITAIRE]])</f>
        <v>0</v>
      </c>
      <c r="F24" s="14"/>
      <c r="G24" s="6">
        <f>+SUM(E$9:$E24)-SUM(F$9:$F24)</f>
        <v>278000</v>
      </c>
    </row>
    <row r="25" spans="1:7" ht="28.8" x14ac:dyDescent="0.55000000000000004">
      <c r="A25" s="12"/>
      <c r="B25" s="13"/>
      <c r="C25" s="10"/>
      <c r="D25" s="10"/>
      <c r="E25" s="7">
        <f>+$I$2+(BILABIGMAT[[#This Row],[QUANTITE]]*BILABIGMAT[[#This Row],[PRIX UNITAIRE]])</f>
        <v>0</v>
      </c>
      <c r="F25" s="14"/>
      <c r="G25" s="6">
        <f>+SUM(E$9:$E25)-SUM(F$9:$F25)</f>
        <v>278000</v>
      </c>
    </row>
    <row r="26" spans="1:7" ht="28.8" x14ac:dyDescent="0.55000000000000004">
      <c r="A26" s="12"/>
      <c r="B26" s="13"/>
      <c r="C26" s="10"/>
      <c r="D26" s="10"/>
      <c r="E26" s="7">
        <f>+$I$2+(BILABIGMAT[[#This Row],[QUANTITE]]*BILABIGMAT[[#This Row],[PRIX UNITAIRE]])</f>
        <v>0</v>
      </c>
      <c r="F26" s="14"/>
      <c r="G26" s="6">
        <f>+SUM(E$9:$E26)-SUM(F$9:$F26)</f>
        <v>278000</v>
      </c>
    </row>
    <row r="27" spans="1:7" ht="28.8" x14ac:dyDescent="0.55000000000000004">
      <c r="A27" s="12"/>
      <c r="B27" s="13"/>
      <c r="C27" s="10"/>
      <c r="D27" s="10"/>
      <c r="E27" s="7">
        <f>+$I$2+(BILABIGMAT[[#This Row],[QUANTITE]]*BILABIGMAT[[#This Row],[PRIX UNITAIRE]])</f>
        <v>0</v>
      </c>
      <c r="F27" s="14"/>
      <c r="G27" s="6">
        <f>+SUM(E$9:$E27)-SUM(F$9:$F27)</f>
        <v>278000</v>
      </c>
    </row>
    <row r="28" spans="1:7" ht="28.8" x14ac:dyDescent="0.55000000000000004">
      <c r="A28" s="12"/>
      <c r="B28" s="13"/>
      <c r="C28" s="10"/>
      <c r="D28" s="10"/>
      <c r="E28" s="7">
        <f>+$I$2+(BILABIGMAT[[#This Row],[QUANTITE]]*BILABIGMAT[[#This Row],[PRIX UNITAIRE]])</f>
        <v>0</v>
      </c>
      <c r="F28" s="14"/>
      <c r="G28" s="6">
        <f>+SUM(E$9:$E28)-SUM(F$9:$F28)</f>
        <v>278000</v>
      </c>
    </row>
    <row r="29" spans="1:7" ht="28.8" x14ac:dyDescent="0.55000000000000004">
      <c r="A29" s="12"/>
      <c r="B29" s="13"/>
      <c r="C29" s="10"/>
      <c r="D29" s="10"/>
      <c r="E29" s="7">
        <f>+$I$2+(BILABIGMAT[[#This Row],[QUANTITE]]*BILABIGMAT[[#This Row],[PRIX UNITAIRE]])</f>
        <v>0</v>
      </c>
      <c r="F29" s="14"/>
      <c r="G29" s="6">
        <f>+SUM(E$9:$E29)-SUM(F$9:$F29)</f>
        <v>278000</v>
      </c>
    </row>
    <row r="30" spans="1:7" ht="28.8" x14ac:dyDescent="0.55000000000000004">
      <c r="A30" s="12"/>
      <c r="B30" s="13"/>
      <c r="C30" s="10"/>
      <c r="D30" s="10"/>
      <c r="E30" s="7">
        <f>+$I$2+(BILABIGMAT[[#This Row],[QUANTITE]]*BILABIGMAT[[#This Row],[PRIX UNITAIRE]])</f>
        <v>0</v>
      </c>
      <c r="F30" s="14"/>
      <c r="G30" s="6">
        <f>+SUM(E$9:$E30)-SUM(F$9:$F30)</f>
        <v>278000</v>
      </c>
    </row>
    <row r="31" spans="1:7" ht="28.8" x14ac:dyDescent="0.55000000000000004">
      <c r="A31" s="12"/>
      <c r="B31" s="13"/>
      <c r="C31" s="10"/>
      <c r="D31" s="10"/>
      <c r="E31" s="7">
        <f>+$I$2+(BILABIGMAT[[#This Row],[QUANTITE]]*BILABIGMAT[[#This Row],[PRIX UNITAIRE]])</f>
        <v>0</v>
      </c>
      <c r="F31" s="14"/>
      <c r="G31" s="6">
        <f>+SUM(E$9:$E31)-SUM(F$9:$F31)</f>
        <v>278000</v>
      </c>
    </row>
    <row r="32" spans="1:7" ht="28.8" x14ac:dyDescent="0.55000000000000004">
      <c r="A32" s="12"/>
      <c r="B32" s="13"/>
      <c r="C32" s="10"/>
      <c r="D32" s="10"/>
      <c r="E32" s="7">
        <f>+$I$2+(BILABIGMAT[[#This Row],[QUANTITE]]*BILABIGMAT[[#This Row],[PRIX UNITAIRE]])</f>
        <v>0</v>
      </c>
      <c r="F32" s="14"/>
      <c r="G32" s="6">
        <f>+SUM(E$9:$E32)-SUM(F$9:$F32)</f>
        <v>278000</v>
      </c>
    </row>
    <row r="33" spans="1:7" ht="28.8" x14ac:dyDescent="0.55000000000000004">
      <c r="A33" s="12"/>
      <c r="B33" s="13"/>
      <c r="C33" s="10"/>
      <c r="D33" s="10"/>
      <c r="E33" s="7">
        <f>+$I$2+(BILABIGMAT[[#This Row],[QUANTITE]]*BILABIGMAT[[#This Row],[PRIX UNITAIRE]])</f>
        <v>0</v>
      </c>
      <c r="F33" s="14"/>
      <c r="G33" s="6">
        <f>+SUM(E$9:$E33)-SUM(F$9:$F33)</f>
        <v>278000</v>
      </c>
    </row>
    <row r="34" spans="1:7" ht="28.8" x14ac:dyDescent="0.55000000000000004">
      <c r="A34" s="12"/>
      <c r="B34" s="13"/>
      <c r="C34" s="10"/>
      <c r="D34" s="10"/>
      <c r="E34" s="7">
        <f>+$I$2+(BILABIGMAT[[#This Row],[QUANTITE]]*BILABIGMAT[[#This Row],[PRIX UNITAIRE]])</f>
        <v>0</v>
      </c>
      <c r="F34" s="14"/>
      <c r="G34" s="6">
        <f>+SUM(E$9:$E34)-SUM(F$9:$F34)</f>
        <v>278000</v>
      </c>
    </row>
    <row r="35" spans="1:7" ht="28.8" x14ac:dyDescent="0.55000000000000004">
      <c r="A35" s="12"/>
      <c r="B35" s="13"/>
      <c r="C35" s="10"/>
      <c r="D35" s="10"/>
      <c r="E35" s="7">
        <f>+$I$2+(BILABIGMAT[[#This Row],[QUANTITE]]*BILABIGMAT[[#This Row],[PRIX UNITAIRE]])</f>
        <v>0</v>
      </c>
      <c r="F35" s="14"/>
      <c r="G35" s="6">
        <f>+SUM(E$9:$E35)-SUM(F$9:$F35)</f>
        <v>278000</v>
      </c>
    </row>
    <row r="36" spans="1:7" ht="28.8" x14ac:dyDescent="0.55000000000000004">
      <c r="A36" s="12"/>
      <c r="B36" s="13"/>
      <c r="C36" s="10"/>
      <c r="D36" s="10"/>
      <c r="E36" s="7">
        <f>+$I$2+(BILABIGMAT[[#This Row],[QUANTITE]]*BILABIGMAT[[#This Row],[PRIX UNITAIRE]])</f>
        <v>0</v>
      </c>
      <c r="F36" s="14"/>
      <c r="G36" s="6">
        <f>+SUM(E$9:$E36)-SUM(F$9:$F36)</f>
        <v>278000</v>
      </c>
    </row>
    <row r="37" spans="1:7" ht="28.8" x14ac:dyDescent="0.55000000000000004">
      <c r="A37" s="12"/>
      <c r="B37" s="13"/>
      <c r="C37" s="10"/>
      <c r="D37" s="10"/>
      <c r="E37" s="7">
        <f>+$I$2+(BILABIGMAT[[#This Row],[QUANTITE]]*BILABIGMAT[[#This Row],[PRIX UNITAIRE]])</f>
        <v>0</v>
      </c>
      <c r="F37" s="14"/>
      <c r="G37" s="6">
        <f>+SUM(E$9:$E37)-SUM(F$9:$F37)</f>
        <v>278000</v>
      </c>
    </row>
    <row r="38" spans="1:7" ht="28.8" x14ac:dyDescent="0.55000000000000004">
      <c r="A38" s="12"/>
      <c r="B38" s="13"/>
      <c r="C38" s="10"/>
      <c r="D38" s="10"/>
      <c r="E38" s="7">
        <f>+$I$2+(BILABIGMAT[[#This Row],[QUANTITE]]*BILABIGMAT[[#This Row],[PRIX UNITAIRE]])</f>
        <v>0</v>
      </c>
      <c r="F38" s="14"/>
      <c r="G38" s="6">
        <f>+SUM(E$9:$E38)-SUM(F$9:$F38)</f>
        <v>278000</v>
      </c>
    </row>
    <row r="39" spans="1:7" ht="28.8" x14ac:dyDescent="0.55000000000000004">
      <c r="A39" s="12"/>
      <c r="B39" s="13"/>
      <c r="C39" s="10"/>
      <c r="D39" s="10"/>
      <c r="E39" s="7">
        <f>+$I$2+(BILABIGMAT[[#This Row],[QUANTITE]]*BILABIGMAT[[#This Row],[PRIX UNITAIRE]])</f>
        <v>0</v>
      </c>
      <c r="F39" s="14"/>
      <c r="G39" s="6">
        <f>+SUM(E$9:$E39)-SUM(F$9:$F39)</f>
        <v>278000</v>
      </c>
    </row>
    <row r="40" spans="1:7" ht="28.8" x14ac:dyDescent="0.55000000000000004">
      <c r="A40" s="12"/>
      <c r="B40" s="13"/>
      <c r="C40" s="10"/>
      <c r="D40" s="10"/>
      <c r="E40" s="7">
        <f>+$I$2+(BILABIGMAT[[#This Row],[QUANTITE]]*BILABIGMAT[[#This Row],[PRIX UNITAIRE]])</f>
        <v>0</v>
      </c>
      <c r="F40" s="14"/>
      <c r="G40" s="6">
        <f>+SUM(E$9:$E40)-SUM(F$9:$F40)</f>
        <v>278000</v>
      </c>
    </row>
    <row r="41" spans="1:7" ht="28.8" x14ac:dyDescent="0.55000000000000004">
      <c r="A41" s="12"/>
      <c r="B41" s="13"/>
      <c r="C41" s="10"/>
      <c r="D41" s="10"/>
      <c r="E41" s="7">
        <f>+$I$2+(BILABIGMAT[[#This Row],[QUANTITE]]*BILABIGMAT[[#This Row],[PRIX UNITAIRE]])</f>
        <v>0</v>
      </c>
      <c r="F41" s="14"/>
      <c r="G41" s="6">
        <f>+SUM(E$9:$E41)-SUM(F$9:$F41)</f>
        <v>278000</v>
      </c>
    </row>
    <row r="42" spans="1:7" ht="28.8" x14ac:dyDescent="0.55000000000000004">
      <c r="A42" s="12"/>
      <c r="B42" s="13"/>
      <c r="C42" s="10"/>
      <c r="D42" s="10"/>
      <c r="E42" s="7">
        <f>+$I$2+(BILABIGMAT[[#This Row],[QUANTITE]]*BILABIGMAT[[#This Row],[PRIX UNITAIRE]])</f>
        <v>0</v>
      </c>
      <c r="F42" s="14"/>
      <c r="G42" s="6">
        <f>+SUM(E$9:$E42)-SUM(F$9:$F42)</f>
        <v>278000</v>
      </c>
    </row>
    <row r="43" spans="1:7" ht="28.8" x14ac:dyDescent="0.55000000000000004">
      <c r="A43" s="12"/>
      <c r="B43" s="13"/>
      <c r="C43" s="10"/>
      <c r="D43" s="10"/>
      <c r="E43" s="7">
        <f>+$I$2+(BILABIGMAT[[#This Row],[QUANTITE]]*BILABIGMAT[[#This Row],[PRIX UNITAIRE]])</f>
        <v>0</v>
      </c>
      <c r="F43" s="14"/>
      <c r="G43" s="6">
        <f>+SUM(E$9:$E43)-SUM(F$9:$F43)</f>
        <v>278000</v>
      </c>
    </row>
    <row r="44" spans="1:7" ht="28.8" x14ac:dyDescent="0.55000000000000004">
      <c r="A44" s="12"/>
      <c r="B44" s="13"/>
      <c r="C44" s="10"/>
      <c r="D44" s="10"/>
      <c r="E44" s="7">
        <f>+$I$2+(BILABIGMAT[[#This Row],[QUANTITE]]*BILABIGMAT[[#This Row],[PRIX UNITAIRE]])</f>
        <v>0</v>
      </c>
      <c r="F44" s="14"/>
      <c r="G44" s="6">
        <f>+SUM(E$9:$E44)-SUM(F$9:$F44)</f>
        <v>278000</v>
      </c>
    </row>
    <row r="45" spans="1:7" ht="28.8" x14ac:dyDescent="0.55000000000000004">
      <c r="A45" s="12"/>
      <c r="B45" s="13"/>
      <c r="C45" s="10"/>
      <c r="D45" s="10"/>
      <c r="E45" s="7">
        <f>+$I$2+(BILABIGMAT[[#This Row],[QUANTITE]]*BILABIGMAT[[#This Row],[PRIX UNITAIRE]])</f>
        <v>0</v>
      </c>
      <c r="F45" s="14"/>
      <c r="G45" s="6">
        <f>+SUM(E$9:$E45)-SUM(F$9:$F45)</f>
        <v>278000</v>
      </c>
    </row>
    <row r="46" spans="1:7" ht="28.8" x14ac:dyDescent="0.55000000000000004">
      <c r="A46" s="12"/>
      <c r="B46" s="13"/>
      <c r="C46" s="10"/>
      <c r="D46" s="10"/>
      <c r="E46" s="7">
        <f>+$I$2+(BILABIGMAT[[#This Row],[QUANTITE]]*BILABIGMAT[[#This Row],[PRIX UNITAIRE]])</f>
        <v>0</v>
      </c>
      <c r="F46" s="14"/>
      <c r="G46" s="6">
        <f>+SUM(E$9:$E46)-SUM(F$9:$F46)</f>
        <v>278000</v>
      </c>
    </row>
    <row r="47" spans="1:7" ht="28.8" x14ac:dyDescent="0.55000000000000004">
      <c r="A47" s="12"/>
      <c r="B47" s="13"/>
      <c r="C47" s="10"/>
      <c r="D47" s="10"/>
      <c r="E47" s="7">
        <f>+$I$2+(BILABIGMAT[[#This Row],[QUANTITE]]*BILABIGMAT[[#This Row],[PRIX UNITAIRE]])</f>
        <v>0</v>
      </c>
      <c r="F47" s="14"/>
      <c r="G47" s="6">
        <f>+SUM(E$9:$E47)-SUM(F$9:$F47)</f>
        <v>278000</v>
      </c>
    </row>
    <row r="48" spans="1:7" ht="28.8" x14ac:dyDescent="0.55000000000000004">
      <c r="A48" s="12"/>
      <c r="B48" s="13"/>
      <c r="C48" s="10"/>
      <c r="D48" s="10"/>
      <c r="E48" s="7">
        <f>+$I$2+(BILABIGMAT[[#This Row],[QUANTITE]]*BILABIGMAT[[#This Row],[PRIX UNITAIRE]])</f>
        <v>0</v>
      </c>
      <c r="F48" s="14"/>
      <c r="G48" s="6">
        <f>+SUM(E$9:$E48)-SUM(F$9:$F48)</f>
        <v>278000</v>
      </c>
    </row>
    <row r="49" spans="1:7" ht="28.8" x14ac:dyDescent="0.55000000000000004">
      <c r="A49" s="12"/>
      <c r="B49" s="13"/>
      <c r="C49" s="10"/>
      <c r="D49" s="10"/>
      <c r="E49" s="7">
        <f>+$I$2+(BILABIGMAT[[#This Row],[QUANTITE]]*BILABIGMAT[[#This Row],[PRIX UNITAIRE]])</f>
        <v>0</v>
      </c>
      <c r="F49" s="14"/>
      <c r="G49" s="6">
        <f>+SUM(E$9:$E49)-SUM(F$9:$F49)</f>
        <v>278000</v>
      </c>
    </row>
    <row r="50" spans="1:7" ht="28.8" x14ac:dyDescent="0.55000000000000004">
      <c r="A50" s="12"/>
      <c r="B50" s="13"/>
      <c r="C50" s="10"/>
      <c r="D50" s="10"/>
      <c r="E50" s="7">
        <f>+$I$2+(BILABIGMAT[[#This Row],[QUANTITE]]*BILABIGMAT[[#This Row],[PRIX UNITAIRE]])</f>
        <v>0</v>
      </c>
      <c r="F50" s="14"/>
      <c r="G50" s="6">
        <f>+SUM(E$9:$E50)-SUM(F$9:$F50)</f>
        <v>278000</v>
      </c>
    </row>
    <row r="51" spans="1:7" ht="28.8" x14ac:dyDescent="0.55000000000000004">
      <c r="A51" s="12"/>
      <c r="B51" s="13"/>
      <c r="C51" s="10"/>
      <c r="D51" s="10"/>
      <c r="E51" s="7">
        <f>+$I$2+(BILABIGMAT[[#This Row],[QUANTITE]]*BILABIGMAT[[#This Row],[PRIX UNITAIRE]])</f>
        <v>0</v>
      </c>
      <c r="F51" s="14"/>
      <c r="G51" s="6">
        <f>+SUM(E$9:$E51)-SUM(F$9:$F51)</f>
        <v>278000</v>
      </c>
    </row>
    <row r="52" spans="1:7" ht="28.8" x14ac:dyDescent="0.55000000000000004">
      <c r="A52" s="12"/>
      <c r="B52" s="13"/>
      <c r="C52" s="10"/>
      <c r="D52" s="10"/>
      <c r="E52" s="7">
        <f>+$I$2+(BILABIGMAT[[#This Row],[QUANTITE]]*BILABIGMAT[[#This Row],[PRIX UNITAIRE]])</f>
        <v>0</v>
      </c>
      <c r="F52" s="14"/>
      <c r="G52" s="6">
        <f>+SUM(E$9:$E52)-SUM(F$9:$F52)</f>
        <v>278000</v>
      </c>
    </row>
    <row r="53" spans="1:7" ht="28.8" x14ac:dyDescent="0.55000000000000004">
      <c r="A53" s="12"/>
      <c r="B53" s="13"/>
      <c r="C53" s="10"/>
      <c r="D53" s="10"/>
      <c r="E53" s="7">
        <f>+$I$2+(BILABIGMAT[[#This Row],[QUANTITE]]*BILABIGMAT[[#This Row],[PRIX UNITAIRE]])</f>
        <v>0</v>
      </c>
      <c r="F53" s="14"/>
      <c r="G53" s="6">
        <f>+SUM(E$9:$E53)-SUM(F$9:$F53)</f>
        <v>278000</v>
      </c>
    </row>
    <row r="54" spans="1:7" ht="28.8" x14ac:dyDescent="0.55000000000000004">
      <c r="A54" s="12"/>
      <c r="B54" s="13"/>
      <c r="C54" s="10"/>
      <c r="D54" s="10"/>
      <c r="E54" s="7">
        <f>+$I$2+(BILABIGMAT[[#This Row],[QUANTITE]]*BILABIGMAT[[#This Row],[PRIX UNITAIRE]])</f>
        <v>0</v>
      </c>
      <c r="F54" s="14"/>
      <c r="G54" s="6">
        <f>+SUM(E$9:$E54)-SUM(F$9:$F54)</f>
        <v>278000</v>
      </c>
    </row>
    <row r="55" spans="1:7" ht="28.8" x14ac:dyDescent="0.55000000000000004">
      <c r="A55" s="12"/>
      <c r="B55" s="13"/>
      <c r="C55" s="10"/>
      <c r="D55" s="10"/>
      <c r="E55" s="7">
        <f>+$I$2+(BILABIGMAT[[#This Row],[QUANTITE]]*BILABIGMAT[[#This Row],[PRIX UNITAIRE]])</f>
        <v>0</v>
      </c>
      <c r="F55" s="14"/>
      <c r="G55" s="6">
        <f>+SUM(E$9:$E55)-SUM(F$9:$F55)</f>
        <v>278000</v>
      </c>
    </row>
    <row r="56" spans="1:7" ht="28.8" x14ac:dyDescent="0.55000000000000004">
      <c r="A56" s="12"/>
      <c r="B56" s="13"/>
      <c r="C56" s="10"/>
      <c r="D56" s="10"/>
      <c r="E56" s="7">
        <f>+$I$2+(BILABIGMAT[[#This Row],[QUANTITE]]*BILABIGMAT[[#This Row],[PRIX UNITAIRE]])</f>
        <v>0</v>
      </c>
      <c r="F56" s="14"/>
      <c r="G56" s="6">
        <f>+SUM(E$9:$E56)-SUM(F$9:$F56)</f>
        <v>278000</v>
      </c>
    </row>
    <row r="57" spans="1:7" ht="28.8" x14ac:dyDescent="0.55000000000000004">
      <c r="A57" s="12"/>
      <c r="B57" s="13"/>
      <c r="C57" s="10"/>
      <c r="D57" s="10"/>
      <c r="E57" s="7">
        <f>+$I$2+(BILABIGMAT[[#This Row],[QUANTITE]]*BILABIGMAT[[#This Row],[PRIX UNITAIRE]])</f>
        <v>0</v>
      </c>
      <c r="F57" s="14"/>
      <c r="G57" s="6">
        <f>+SUM(E$9:$E57)-SUM(F$9:$F57)</f>
        <v>278000</v>
      </c>
    </row>
    <row r="58" spans="1:7" ht="28.8" x14ac:dyDescent="0.55000000000000004">
      <c r="A58" s="12"/>
      <c r="B58" s="13"/>
      <c r="C58" s="10"/>
      <c r="D58" s="10"/>
      <c r="E58" s="7">
        <f>+$I$2+(BILABIGMAT[[#This Row],[QUANTITE]]*BILABIGMAT[[#This Row],[PRIX UNITAIRE]])</f>
        <v>0</v>
      </c>
      <c r="F58" s="14"/>
      <c r="G58" s="6">
        <f>+SUM(E$9:$E58)-SUM(F$9:$F58)</f>
        <v>278000</v>
      </c>
    </row>
    <row r="59" spans="1:7" ht="28.8" x14ac:dyDescent="0.55000000000000004">
      <c r="A59" s="12"/>
      <c r="B59" s="13"/>
      <c r="C59" s="10"/>
      <c r="D59" s="10"/>
      <c r="E59" s="7">
        <f>+$I$2+(BILABIGMAT[[#This Row],[QUANTITE]]*BILABIGMAT[[#This Row],[PRIX UNITAIRE]])</f>
        <v>0</v>
      </c>
      <c r="F59" s="14"/>
      <c r="G59" s="6">
        <f>+SUM(E$9:$E59)-SUM(F$9:$F59)</f>
        <v>278000</v>
      </c>
    </row>
    <row r="60" spans="1:7" ht="28.8" x14ac:dyDescent="0.55000000000000004">
      <c r="A60" s="12"/>
      <c r="B60" s="13"/>
      <c r="C60" s="10"/>
      <c r="D60" s="10"/>
      <c r="E60" s="7">
        <f>+$I$2+(BILABIGMAT[[#This Row],[QUANTITE]]*BILABIGMAT[[#This Row],[PRIX UNITAIRE]])</f>
        <v>0</v>
      </c>
      <c r="F60" s="14"/>
      <c r="G60" s="6">
        <f>+SUM(E$9:$E60)-SUM(F$9:$F60)</f>
        <v>278000</v>
      </c>
    </row>
    <row r="61" spans="1:7" ht="28.8" x14ac:dyDescent="0.55000000000000004">
      <c r="A61" s="12"/>
      <c r="B61" s="13"/>
      <c r="C61" s="10"/>
      <c r="D61" s="10"/>
      <c r="E61" s="7">
        <f>+$I$2+(BILABIGMAT[[#This Row],[QUANTITE]]*BILABIGMAT[[#This Row],[PRIX UNITAIRE]])</f>
        <v>0</v>
      </c>
      <c r="F61" s="14"/>
      <c r="G61" s="6">
        <f>+SUM(E$9:$E61)-SUM(F$9:$F61)</f>
        <v>278000</v>
      </c>
    </row>
    <row r="62" spans="1:7" ht="28.8" x14ac:dyDescent="0.55000000000000004">
      <c r="A62" s="12"/>
      <c r="B62" s="13"/>
      <c r="C62" s="10"/>
      <c r="D62" s="10"/>
      <c r="E62" s="7">
        <f>+$I$2+(BILABIGMAT[[#This Row],[QUANTITE]]*BILABIGMAT[[#This Row],[PRIX UNITAIRE]])</f>
        <v>0</v>
      </c>
      <c r="F62" s="14"/>
      <c r="G62" s="6">
        <f>+SUM(E$9:$E62)-SUM(F$9:$F62)</f>
        <v>278000</v>
      </c>
    </row>
    <row r="63" spans="1:7" ht="28.8" x14ac:dyDescent="0.55000000000000004">
      <c r="A63" s="12"/>
      <c r="B63" s="13"/>
      <c r="C63" s="10"/>
      <c r="D63" s="10"/>
      <c r="E63" s="7">
        <f>+$I$2+(BILABIGMAT[[#This Row],[QUANTITE]]*BILABIGMAT[[#This Row],[PRIX UNITAIRE]])</f>
        <v>0</v>
      </c>
      <c r="F63" s="14"/>
      <c r="G63" s="6">
        <f>+SUM(E$9:$E63)-SUM(F$9:$F63)</f>
        <v>278000</v>
      </c>
    </row>
    <row r="64" spans="1:7" ht="28.8" x14ac:dyDescent="0.55000000000000004">
      <c r="A64" s="12"/>
      <c r="B64" s="13"/>
      <c r="C64" s="10"/>
      <c r="D64" s="10"/>
      <c r="E64" s="7">
        <f>+$I$2+(BILABIGMAT[[#This Row],[QUANTITE]]*BILABIGMAT[[#This Row],[PRIX UNITAIRE]])</f>
        <v>0</v>
      </c>
      <c r="F64" s="14"/>
      <c r="G64" s="6">
        <f>+SUM(E$9:$E64)-SUM(F$9:$F64)</f>
        <v>278000</v>
      </c>
    </row>
    <row r="65" spans="1:7" ht="28.8" x14ac:dyDescent="0.55000000000000004">
      <c r="A65" s="12"/>
      <c r="B65" s="13"/>
      <c r="C65" s="10"/>
      <c r="D65" s="10"/>
      <c r="E65" s="7">
        <f>+$I$2+(BILABIGMAT[[#This Row],[QUANTITE]]*BILABIGMAT[[#This Row],[PRIX UNITAIRE]])</f>
        <v>0</v>
      </c>
      <c r="F65" s="14"/>
      <c r="G65" s="6">
        <f>+SUM(E$9:$E65)-SUM(F$9:$F65)</f>
        <v>278000</v>
      </c>
    </row>
    <row r="66" spans="1:7" ht="28.8" x14ac:dyDescent="0.55000000000000004">
      <c r="A66" s="12"/>
      <c r="B66" s="13"/>
      <c r="C66" s="10"/>
      <c r="D66" s="10"/>
      <c r="E66" s="7">
        <f>+$I$2+(BILABIGMAT[[#This Row],[QUANTITE]]*BILABIGMAT[[#This Row],[PRIX UNITAIRE]])</f>
        <v>0</v>
      </c>
      <c r="F66" s="14"/>
      <c r="G66" s="6">
        <f>+SUM(E$9:$E66)-SUM(F$9:$F66)</f>
        <v>278000</v>
      </c>
    </row>
    <row r="67" spans="1:7" ht="28.8" x14ac:dyDescent="0.55000000000000004">
      <c r="A67" s="12"/>
      <c r="B67" s="13"/>
      <c r="C67" s="10"/>
      <c r="D67" s="10"/>
      <c r="E67" s="7">
        <f>+$I$2+(BILABIGMAT[[#This Row],[QUANTITE]]*BILABIGMAT[[#This Row],[PRIX UNITAIRE]])</f>
        <v>0</v>
      </c>
      <c r="F67" s="14"/>
      <c r="G67" s="6">
        <f>+SUM(E$9:$E67)-SUM(F$9:$F67)</f>
        <v>278000</v>
      </c>
    </row>
    <row r="68" spans="1:7" ht="28.8" x14ac:dyDescent="0.55000000000000004">
      <c r="A68" s="12"/>
      <c r="B68" s="13"/>
      <c r="C68" s="10"/>
      <c r="D68" s="10"/>
      <c r="E68" s="7">
        <f>+$I$2+(BILABIGMAT[[#This Row],[QUANTITE]]*BILABIGMAT[[#This Row],[PRIX UNITAIRE]])</f>
        <v>0</v>
      </c>
      <c r="F68" s="14"/>
      <c r="G68" s="6">
        <f>+SUM(E$9:$E68)-SUM(F$9:$F68)</f>
        <v>278000</v>
      </c>
    </row>
    <row r="69" spans="1:7" ht="28.8" x14ac:dyDescent="0.55000000000000004">
      <c r="A69" s="12"/>
      <c r="B69" s="13"/>
      <c r="C69" s="10"/>
      <c r="D69" s="10"/>
      <c r="E69" s="7">
        <f>+$I$2+(BILABIGMAT[[#This Row],[QUANTITE]]*BILABIGMAT[[#This Row],[PRIX UNITAIRE]])</f>
        <v>0</v>
      </c>
      <c r="F69" s="14"/>
      <c r="G69" s="6">
        <f>+SUM(E$9:$E69)-SUM(F$9:$F69)</f>
        <v>278000</v>
      </c>
    </row>
    <row r="70" spans="1:7" ht="28.8" x14ac:dyDescent="0.55000000000000004">
      <c r="A70" s="12"/>
      <c r="B70" s="13"/>
      <c r="C70" s="10"/>
      <c r="D70" s="10"/>
      <c r="E70" s="7">
        <f>+$I$2+(BILABIGMAT[[#This Row],[QUANTITE]]*BILABIGMAT[[#This Row],[PRIX UNITAIRE]])</f>
        <v>0</v>
      </c>
      <c r="F70" s="14"/>
      <c r="G70" s="6">
        <f>+SUM(E$9:$E70)-SUM(F$9:$F70)</f>
        <v>278000</v>
      </c>
    </row>
  </sheetData>
  <sheetProtection selectLockedCells="1" autoFilter="0"/>
  <mergeCells count="1">
    <mergeCell ref="B6:C6"/>
  </mergeCells>
  <conditionalFormatting sqref="B9:B70">
    <cfRule type="expression" dxfId="617" priority="5">
      <formula>$F9</formula>
    </cfRule>
  </conditionalFormatting>
  <conditionalFormatting sqref="G4">
    <cfRule type="cellIs" dxfId="616" priority="2" operator="lessThan">
      <formula>0</formula>
    </cfRule>
    <cfRule type="cellIs" dxfId="615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70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I69"/>
  <sheetViews>
    <sheetView showGridLines="0" zoomScale="60" zoomScaleNormal="60" workbookViewId="0">
      <pane ySplit="8" topLeftCell="A9" activePane="bottomLeft" state="frozen"/>
      <selection activeCell="L10" sqref="L10"/>
      <selection pane="bottomLeft" activeCell="A5" sqref="A5"/>
    </sheetView>
  </sheetViews>
  <sheetFormatPr baseColWidth="10" defaultColWidth="11.5546875" defaultRowHeight="14.4" x14ac:dyDescent="0.3"/>
  <cols>
    <col min="1" max="1" width="19.21875" style="1" bestFit="1" customWidth="1"/>
    <col min="2" max="2" width="63.5546875" style="1" bestFit="1" customWidth="1"/>
    <col min="3" max="3" width="19.77734375" style="1" bestFit="1" customWidth="1"/>
    <col min="4" max="4" width="44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+SUM(ATL[TOTAL MONTANT])</f>
        <v>1125000</v>
      </c>
      <c r="F4" s="41">
        <f>+SUM(ATL[VERSEMENT])</f>
        <v>0</v>
      </c>
      <c r="G4" s="130">
        <f>+E4-F4</f>
        <v>1125000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456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45775</v>
      </c>
      <c r="B9" s="13" t="s">
        <v>457</v>
      </c>
      <c r="C9" s="10">
        <v>6</v>
      </c>
      <c r="D9" s="10">
        <v>150000</v>
      </c>
      <c r="E9" s="7">
        <f>+$I$2+(ATL[[#This Row],[QUANTITE]]*ATL[[#This Row],[PRIX UNITAIRE]])</f>
        <v>900000</v>
      </c>
      <c r="F9" s="20"/>
      <c r="G9" s="6">
        <f>+SUM(E$9:$E9)-SUM(F$9:$F9)</f>
        <v>900000</v>
      </c>
    </row>
    <row r="10" spans="1:9" ht="28.8" x14ac:dyDescent="0.55000000000000004">
      <c r="A10" s="12">
        <v>45775</v>
      </c>
      <c r="B10" s="13" t="s">
        <v>458</v>
      </c>
      <c r="C10" s="10">
        <v>5</v>
      </c>
      <c r="D10" s="10">
        <v>45000</v>
      </c>
      <c r="E10" s="7">
        <f>+$I$2+(ATL[[#This Row],[QUANTITE]]*ATL[[#This Row],[PRIX UNITAIRE]])</f>
        <v>225000</v>
      </c>
      <c r="F10" s="20"/>
      <c r="G10" s="6">
        <f>+SUM(E$9:$E10)-SUM(F$9:$F10)</f>
        <v>1125000</v>
      </c>
    </row>
    <row r="11" spans="1:9" ht="28.8" x14ac:dyDescent="0.55000000000000004">
      <c r="A11" s="12"/>
      <c r="B11" s="13"/>
      <c r="C11" s="10"/>
      <c r="D11" s="10"/>
      <c r="E11" s="7">
        <f>+$I$2+(ATL[[#This Row],[QUANTITE]]*ATL[[#This Row],[PRIX UNITAIRE]])</f>
        <v>0</v>
      </c>
      <c r="F11" s="20"/>
      <c r="G11" s="6">
        <f>+SUM(E$9:$E11)-SUM(F$9:$F11)</f>
        <v>1125000</v>
      </c>
    </row>
    <row r="12" spans="1:9" ht="28.8" x14ac:dyDescent="0.55000000000000004">
      <c r="A12" s="12"/>
      <c r="B12" s="13"/>
      <c r="C12" s="10"/>
      <c r="D12" s="10"/>
      <c r="E12" s="7">
        <f>+$I$2+(ATL[[#This Row],[QUANTITE]]*ATL[[#This Row],[PRIX UNITAIRE]])</f>
        <v>0</v>
      </c>
      <c r="F12" s="20"/>
      <c r="G12" s="6">
        <f>+SUM(E$9:$E12)-SUM(F$9:$F12)</f>
        <v>1125000</v>
      </c>
    </row>
    <row r="13" spans="1:9" ht="28.8" x14ac:dyDescent="0.55000000000000004">
      <c r="A13" s="12"/>
      <c r="B13" s="13"/>
      <c r="C13" s="10"/>
      <c r="D13" s="10"/>
      <c r="E13" s="7">
        <f>+$I$2+(ATL[[#This Row],[QUANTITE]]*ATL[[#This Row],[PRIX UNITAIRE]])</f>
        <v>0</v>
      </c>
      <c r="F13" s="20"/>
      <c r="G13" s="6">
        <f>+SUM(E$9:$E13)-SUM(F$9:$F13)</f>
        <v>1125000</v>
      </c>
    </row>
    <row r="14" spans="1:9" ht="28.8" x14ac:dyDescent="0.55000000000000004">
      <c r="A14" s="12"/>
      <c r="B14" s="13"/>
      <c r="C14" s="10"/>
      <c r="D14" s="10"/>
      <c r="E14" s="7">
        <f>+$I$2+(ATL[[#This Row],[QUANTITE]]*ATL[[#This Row],[PRIX UNITAIRE]])</f>
        <v>0</v>
      </c>
      <c r="F14" s="20"/>
      <c r="G14" s="6">
        <f>+SUM(E$9:$E14)-SUM(F$9:$F14)</f>
        <v>1125000</v>
      </c>
    </row>
    <row r="15" spans="1:9" ht="28.8" x14ac:dyDescent="0.55000000000000004">
      <c r="A15" s="12"/>
      <c r="B15" s="13"/>
      <c r="C15" s="10"/>
      <c r="D15" s="10"/>
      <c r="E15" s="7">
        <f>+$I$2+(ATL[[#This Row],[QUANTITE]]*ATL[[#This Row],[PRIX UNITAIRE]])</f>
        <v>0</v>
      </c>
      <c r="F15" s="20"/>
      <c r="G15" s="6">
        <f>+SUM(E$9:$E15)-SUM(F$9:$F15)</f>
        <v>1125000</v>
      </c>
    </row>
    <row r="16" spans="1:9" ht="28.8" x14ac:dyDescent="0.55000000000000004">
      <c r="A16" s="12"/>
      <c r="B16" s="13"/>
      <c r="C16" s="10"/>
      <c r="D16" s="10"/>
      <c r="E16" s="7">
        <f>+$I$2+(ATL[[#This Row],[QUANTITE]]*ATL[[#This Row],[PRIX UNITAIRE]])</f>
        <v>0</v>
      </c>
      <c r="F16" s="20"/>
      <c r="G16" s="6">
        <f>+SUM(E$9:$E16)-SUM(F$9:$F16)</f>
        <v>1125000</v>
      </c>
    </row>
    <row r="17" spans="1:7" ht="28.8" x14ac:dyDescent="0.55000000000000004">
      <c r="A17" s="12"/>
      <c r="B17" s="13"/>
      <c r="C17" s="10"/>
      <c r="D17" s="10"/>
      <c r="E17" s="7">
        <f>+$I$2+(ATL[[#This Row],[QUANTITE]]*ATL[[#This Row],[PRIX UNITAIRE]])</f>
        <v>0</v>
      </c>
      <c r="F17" s="20"/>
      <c r="G17" s="6">
        <f>+SUM(E$9:$E17)-SUM(F$9:$F17)</f>
        <v>1125000</v>
      </c>
    </row>
    <row r="18" spans="1:7" ht="28.8" x14ac:dyDescent="0.55000000000000004">
      <c r="A18" s="12"/>
      <c r="B18" s="13"/>
      <c r="C18" s="10"/>
      <c r="D18" s="10"/>
      <c r="E18" s="7">
        <f>+$I$2+(ATL[[#This Row],[QUANTITE]]*ATL[[#This Row],[PRIX UNITAIRE]])</f>
        <v>0</v>
      </c>
      <c r="F18" s="20"/>
      <c r="G18" s="6">
        <f>+SUM(E$9:$E18)-SUM(F$9:$F18)</f>
        <v>1125000</v>
      </c>
    </row>
    <row r="19" spans="1:7" ht="28.8" x14ac:dyDescent="0.55000000000000004">
      <c r="A19" s="12"/>
      <c r="B19" s="13"/>
      <c r="C19" s="10"/>
      <c r="D19" s="10"/>
      <c r="E19" s="7">
        <f>+$I$2+(ATL[[#This Row],[QUANTITE]]*ATL[[#This Row],[PRIX UNITAIRE]])</f>
        <v>0</v>
      </c>
      <c r="F19" s="20"/>
      <c r="G19" s="6">
        <f>+SUM(E$9:$E19)-SUM(F$9:$F19)</f>
        <v>1125000</v>
      </c>
    </row>
    <row r="20" spans="1:7" ht="28.8" x14ac:dyDescent="0.55000000000000004">
      <c r="A20" s="12"/>
      <c r="B20" s="13"/>
      <c r="C20" s="10"/>
      <c r="D20" s="10"/>
      <c r="E20" s="7">
        <f>+$I$2+(ATL[[#This Row],[QUANTITE]]*ATL[[#This Row],[PRIX UNITAIRE]])</f>
        <v>0</v>
      </c>
      <c r="F20" s="20"/>
      <c r="G20" s="6">
        <f>+SUM(E$9:$E20)-SUM(F$9:$F20)</f>
        <v>1125000</v>
      </c>
    </row>
    <row r="21" spans="1:7" ht="28.8" x14ac:dyDescent="0.55000000000000004">
      <c r="A21" s="12"/>
      <c r="B21" s="13"/>
      <c r="C21" s="10"/>
      <c r="D21" s="10"/>
      <c r="E21" s="7">
        <f>+$I$2+(ATL[[#This Row],[QUANTITE]]*ATL[[#This Row],[PRIX UNITAIRE]])</f>
        <v>0</v>
      </c>
      <c r="F21" s="20"/>
      <c r="G21" s="6">
        <f>+SUM(E$9:$E21)-SUM(F$9:$F21)</f>
        <v>1125000</v>
      </c>
    </row>
    <row r="22" spans="1:7" ht="28.8" x14ac:dyDescent="0.55000000000000004">
      <c r="A22" s="12"/>
      <c r="B22" s="13"/>
      <c r="C22" s="10"/>
      <c r="D22" s="10"/>
      <c r="E22" s="7">
        <f>+$I$2+(ATL[[#This Row],[QUANTITE]]*ATL[[#This Row],[PRIX UNITAIRE]])</f>
        <v>0</v>
      </c>
      <c r="F22" s="20"/>
      <c r="G22" s="6">
        <f>+SUM(E$9:$E22)-SUM(F$9:$F22)</f>
        <v>1125000</v>
      </c>
    </row>
    <row r="23" spans="1:7" ht="28.8" x14ac:dyDescent="0.55000000000000004">
      <c r="A23" s="12"/>
      <c r="B23" s="13"/>
      <c r="C23" s="10"/>
      <c r="D23" s="10"/>
      <c r="E23" s="7">
        <f>+$I$2+(ATL[[#This Row],[QUANTITE]]*ATL[[#This Row],[PRIX UNITAIRE]])</f>
        <v>0</v>
      </c>
      <c r="F23" s="20"/>
      <c r="G23" s="6">
        <f>+SUM(E$9:$E23)-SUM(F$9:$F23)</f>
        <v>1125000</v>
      </c>
    </row>
    <row r="24" spans="1:7" ht="28.8" x14ac:dyDescent="0.55000000000000004">
      <c r="A24" s="12"/>
      <c r="B24" s="13"/>
      <c r="C24" s="10"/>
      <c r="D24" s="10"/>
      <c r="E24" s="7">
        <f>+$I$2+(ATL[[#This Row],[QUANTITE]]*ATL[[#This Row],[PRIX UNITAIRE]])</f>
        <v>0</v>
      </c>
      <c r="F24" s="20"/>
      <c r="G24" s="6">
        <f>+SUM(E$9:$E24)-SUM(F$9:$F24)</f>
        <v>1125000</v>
      </c>
    </row>
    <row r="25" spans="1:7" ht="28.8" x14ac:dyDescent="0.55000000000000004">
      <c r="A25" s="12"/>
      <c r="B25" s="13"/>
      <c r="C25" s="10"/>
      <c r="D25" s="10"/>
      <c r="E25" s="7">
        <f>+$I$2+(ATL[[#This Row],[QUANTITE]]*ATL[[#This Row],[PRIX UNITAIRE]])</f>
        <v>0</v>
      </c>
      <c r="F25" s="20"/>
      <c r="G25" s="6">
        <f>+SUM(E$9:$E25)-SUM(F$9:$F25)</f>
        <v>1125000</v>
      </c>
    </row>
    <row r="26" spans="1:7" ht="28.8" x14ac:dyDescent="0.55000000000000004">
      <c r="A26" s="12"/>
      <c r="B26" s="13"/>
      <c r="C26" s="10"/>
      <c r="D26" s="10"/>
      <c r="E26" s="7">
        <f>+$I$2+(ATL[[#This Row],[QUANTITE]]*ATL[[#This Row],[PRIX UNITAIRE]])</f>
        <v>0</v>
      </c>
      <c r="F26" s="20"/>
      <c r="G26" s="6">
        <f>+SUM(E$9:$E26)-SUM(F$9:$F26)</f>
        <v>1125000</v>
      </c>
    </row>
    <row r="27" spans="1:7" ht="28.8" x14ac:dyDescent="0.55000000000000004">
      <c r="A27" s="12"/>
      <c r="B27" s="13"/>
      <c r="C27" s="10"/>
      <c r="D27" s="10"/>
      <c r="E27" s="7">
        <f>+$I$2+(ATL[[#This Row],[QUANTITE]]*ATL[[#This Row],[PRIX UNITAIRE]])</f>
        <v>0</v>
      </c>
      <c r="F27" s="20"/>
      <c r="G27" s="6">
        <f>+SUM(E$9:$E27)-SUM(F$9:$F27)</f>
        <v>1125000</v>
      </c>
    </row>
    <row r="28" spans="1:7" ht="28.8" x14ac:dyDescent="0.55000000000000004">
      <c r="A28" s="12"/>
      <c r="B28" s="13"/>
      <c r="C28" s="10"/>
      <c r="D28" s="10"/>
      <c r="E28" s="7">
        <f>+$I$2+(ATL[[#This Row],[QUANTITE]]*ATL[[#This Row],[PRIX UNITAIRE]])</f>
        <v>0</v>
      </c>
      <c r="F28" s="20"/>
      <c r="G28" s="6">
        <f>+SUM(E$9:$E28)-SUM(F$9:$F28)</f>
        <v>1125000</v>
      </c>
    </row>
    <row r="29" spans="1:7" ht="28.8" x14ac:dyDescent="0.55000000000000004">
      <c r="A29" s="12"/>
      <c r="B29" s="13"/>
      <c r="C29" s="10"/>
      <c r="D29" s="10"/>
      <c r="E29" s="7">
        <f>+$I$2+(ATL[[#This Row],[QUANTITE]]*ATL[[#This Row],[PRIX UNITAIRE]])</f>
        <v>0</v>
      </c>
      <c r="F29" s="20"/>
      <c r="G29" s="6">
        <f>+SUM(E$9:$E29)-SUM(F$9:$F29)</f>
        <v>1125000</v>
      </c>
    </row>
    <row r="30" spans="1:7" ht="28.8" x14ac:dyDescent="0.55000000000000004">
      <c r="A30" s="12"/>
      <c r="B30" s="13"/>
      <c r="C30" s="10"/>
      <c r="D30" s="10"/>
      <c r="E30" s="7">
        <f>+$I$2+(ATL[[#This Row],[QUANTITE]]*ATL[[#This Row],[PRIX UNITAIRE]])</f>
        <v>0</v>
      </c>
      <c r="F30" s="20"/>
      <c r="G30" s="6">
        <f>+SUM(E$9:$E30)-SUM(F$9:$F30)</f>
        <v>1125000</v>
      </c>
    </row>
    <row r="31" spans="1:7" ht="28.8" x14ac:dyDescent="0.55000000000000004">
      <c r="A31" s="12"/>
      <c r="B31" s="13"/>
      <c r="C31" s="10"/>
      <c r="D31" s="10"/>
      <c r="E31" s="7">
        <f>+$I$2+(ATL[[#This Row],[QUANTITE]]*ATL[[#This Row],[PRIX UNITAIRE]])</f>
        <v>0</v>
      </c>
      <c r="F31" s="20"/>
      <c r="G31" s="6">
        <f>+SUM(E$9:$E31)-SUM(F$9:$F31)</f>
        <v>1125000</v>
      </c>
    </row>
    <row r="32" spans="1:7" ht="28.8" x14ac:dyDescent="0.55000000000000004">
      <c r="A32" s="12"/>
      <c r="B32" s="13"/>
      <c r="C32" s="10"/>
      <c r="D32" s="10"/>
      <c r="E32" s="7">
        <f>+$I$2+(ATL[[#This Row],[QUANTITE]]*ATL[[#This Row],[PRIX UNITAIRE]])</f>
        <v>0</v>
      </c>
      <c r="F32" s="20"/>
      <c r="G32" s="6">
        <f>+SUM(E$9:$E32)-SUM(F$9:$F32)</f>
        <v>1125000</v>
      </c>
    </row>
    <row r="33" spans="1:7" ht="28.8" x14ac:dyDescent="0.55000000000000004">
      <c r="A33" s="12"/>
      <c r="B33" s="13"/>
      <c r="C33" s="10"/>
      <c r="D33" s="10"/>
      <c r="E33" s="7">
        <f>+$I$2+(ATL[[#This Row],[QUANTITE]]*ATL[[#This Row],[PRIX UNITAIRE]])</f>
        <v>0</v>
      </c>
      <c r="F33" s="20"/>
      <c r="G33" s="6">
        <f>+SUM(E$9:$E33)-SUM(F$9:$F33)</f>
        <v>1125000</v>
      </c>
    </row>
    <row r="34" spans="1:7" ht="28.8" x14ac:dyDescent="0.55000000000000004">
      <c r="A34" s="12"/>
      <c r="B34" s="13"/>
      <c r="C34" s="10"/>
      <c r="D34" s="10"/>
      <c r="E34" s="7">
        <f>+$I$2+(ATL[[#This Row],[QUANTITE]]*ATL[[#This Row],[PRIX UNITAIRE]])</f>
        <v>0</v>
      </c>
      <c r="F34" s="20"/>
      <c r="G34" s="6">
        <f>+SUM(E$9:$E34)-SUM(F$9:$F34)</f>
        <v>1125000</v>
      </c>
    </row>
    <row r="35" spans="1:7" ht="28.8" x14ac:dyDescent="0.55000000000000004">
      <c r="A35" s="12"/>
      <c r="B35" s="13"/>
      <c r="C35" s="10"/>
      <c r="D35" s="10"/>
      <c r="E35" s="7">
        <f>+$I$2+(ATL[[#This Row],[QUANTITE]]*ATL[[#This Row],[PRIX UNITAIRE]])</f>
        <v>0</v>
      </c>
      <c r="F35" s="20"/>
      <c r="G35" s="6">
        <f>+SUM(E$9:$E35)-SUM(F$9:$F35)</f>
        <v>1125000</v>
      </c>
    </row>
    <row r="36" spans="1:7" ht="28.8" x14ac:dyDescent="0.55000000000000004">
      <c r="A36" s="12"/>
      <c r="B36" s="13"/>
      <c r="C36" s="10"/>
      <c r="D36" s="10"/>
      <c r="E36" s="7">
        <f>+$I$2+(ATL[[#This Row],[QUANTITE]]*ATL[[#This Row],[PRIX UNITAIRE]])</f>
        <v>0</v>
      </c>
      <c r="F36" s="20"/>
      <c r="G36" s="6">
        <f>+SUM(E$9:$E36)-SUM(F$9:$F36)</f>
        <v>1125000</v>
      </c>
    </row>
    <row r="37" spans="1:7" ht="28.8" x14ac:dyDescent="0.55000000000000004">
      <c r="A37" s="12"/>
      <c r="B37" s="13"/>
      <c r="C37" s="10"/>
      <c r="D37" s="10"/>
      <c r="E37" s="7">
        <f>+$I$2+(ATL[[#This Row],[QUANTITE]]*ATL[[#This Row],[PRIX UNITAIRE]])</f>
        <v>0</v>
      </c>
      <c r="F37" s="20"/>
      <c r="G37" s="6">
        <f>+SUM(E$9:$E37)-SUM(F$9:$F37)</f>
        <v>1125000</v>
      </c>
    </row>
    <row r="38" spans="1:7" ht="28.8" x14ac:dyDescent="0.55000000000000004">
      <c r="A38" s="12"/>
      <c r="B38" s="13"/>
      <c r="C38" s="10"/>
      <c r="D38" s="10"/>
      <c r="E38" s="7">
        <f>+$I$2+(ATL[[#This Row],[QUANTITE]]*ATL[[#This Row],[PRIX UNITAIRE]])</f>
        <v>0</v>
      </c>
      <c r="F38" s="20"/>
      <c r="G38" s="6">
        <f>+SUM(E$9:$E38)-SUM(F$9:$F38)</f>
        <v>1125000</v>
      </c>
    </row>
    <row r="39" spans="1:7" ht="28.8" x14ac:dyDescent="0.55000000000000004">
      <c r="A39" s="12"/>
      <c r="B39" s="13"/>
      <c r="C39" s="10"/>
      <c r="D39" s="10"/>
      <c r="E39" s="7">
        <f>+$I$2+(ATL[[#This Row],[QUANTITE]]*ATL[[#This Row],[PRIX UNITAIRE]])</f>
        <v>0</v>
      </c>
      <c r="F39" s="20"/>
      <c r="G39" s="6">
        <f>+SUM(E$9:$E39)-SUM(F$9:$F39)</f>
        <v>1125000</v>
      </c>
    </row>
    <row r="40" spans="1:7" ht="28.8" x14ac:dyDescent="0.55000000000000004">
      <c r="A40" s="12"/>
      <c r="B40" s="13"/>
      <c r="C40" s="10"/>
      <c r="D40" s="10"/>
      <c r="E40" s="7">
        <f>+$I$2+(ATL[[#This Row],[QUANTITE]]*ATL[[#This Row],[PRIX UNITAIRE]])</f>
        <v>0</v>
      </c>
      <c r="F40" s="20"/>
      <c r="G40" s="6">
        <f>+SUM(E$9:$E40)-SUM(F$9:$F40)</f>
        <v>1125000</v>
      </c>
    </row>
    <row r="41" spans="1:7" ht="28.8" x14ac:dyDescent="0.55000000000000004">
      <c r="A41" s="12"/>
      <c r="B41" s="13"/>
      <c r="C41" s="10"/>
      <c r="D41" s="10"/>
      <c r="E41" s="7">
        <f>+$I$2+(ATL[[#This Row],[QUANTITE]]*ATL[[#This Row],[PRIX UNITAIRE]])</f>
        <v>0</v>
      </c>
      <c r="F41" s="20"/>
      <c r="G41" s="6">
        <f>+SUM(E$9:$E41)-SUM(F$9:$F41)</f>
        <v>1125000</v>
      </c>
    </row>
    <row r="42" spans="1:7" ht="28.8" x14ac:dyDescent="0.55000000000000004">
      <c r="A42" s="12"/>
      <c r="B42" s="13"/>
      <c r="C42" s="10"/>
      <c r="D42" s="10"/>
      <c r="E42" s="7">
        <f>+$I$2+(ATL[[#This Row],[QUANTITE]]*ATL[[#This Row],[PRIX UNITAIRE]])</f>
        <v>0</v>
      </c>
      <c r="F42" s="20"/>
      <c r="G42" s="6">
        <f>+SUM(E$9:$E42)-SUM(F$9:$F42)</f>
        <v>1125000</v>
      </c>
    </row>
    <row r="43" spans="1:7" ht="28.8" x14ac:dyDescent="0.55000000000000004">
      <c r="A43" s="12"/>
      <c r="B43" s="13"/>
      <c r="C43" s="10"/>
      <c r="D43" s="10"/>
      <c r="E43" s="7">
        <f>+$I$2+(ATL[[#This Row],[QUANTITE]]*ATL[[#This Row],[PRIX UNITAIRE]])</f>
        <v>0</v>
      </c>
      <c r="F43" s="20"/>
      <c r="G43" s="6">
        <f>+SUM(E$9:$E43)-SUM(F$9:$F43)</f>
        <v>1125000</v>
      </c>
    </row>
    <row r="44" spans="1:7" ht="28.8" x14ac:dyDescent="0.55000000000000004">
      <c r="A44" s="12"/>
      <c r="B44" s="13"/>
      <c r="C44" s="10"/>
      <c r="D44" s="10"/>
      <c r="E44" s="7">
        <f>+$I$2+(ATL[[#This Row],[QUANTITE]]*ATL[[#This Row],[PRIX UNITAIRE]])</f>
        <v>0</v>
      </c>
      <c r="F44" s="20"/>
      <c r="G44" s="6">
        <f>+SUM(E$9:$E44)-SUM(F$9:$F44)</f>
        <v>1125000</v>
      </c>
    </row>
    <row r="45" spans="1:7" ht="28.8" x14ac:dyDescent="0.55000000000000004">
      <c r="A45" s="12"/>
      <c r="B45" s="13"/>
      <c r="C45" s="10"/>
      <c r="D45" s="10"/>
      <c r="E45" s="7">
        <f>+$I$2+(ATL[[#This Row],[QUANTITE]]*ATL[[#This Row],[PRIX UNITAIRE]])</f>
        <v>0</v>
      </c>
      <c r="F45" s="20"/>
      <c r="G45" s="6">
        <f>+SUM(E$9:$E45)-SUM(F$9:$F45)</f>
        <v>1125000</v>
      </c>
    </row>
    <row r="46" spans="1:7" ht="28.8" x14ac:dyDescent="0.55000000000000004">
      <c r="A46" s="12"/>
      <c r="B46" s="13"/>
      <c r="C46" s="10"/>
      <c r="D46" s="10"/>
      <c r="E46" s="7">
        <f>+$I$2+(ATL[[#This Row],[QUANTITE]]*ATL[[#This Row],[PRIX UNITAIRE]])</f>
        <v>0</v>
      </c>
      <c r="F46" s="20"/>
      <c r="G46" s="6">
        <f>+SUM(E$9:$E46)-SUM(F$9:$F46)</f>
        <v>1125000</v>
      </c>
    </row>
    <row r="47" spans="1:7" ht="28.8" x14ac:dyDescent="0.55000000000000004">
      <c r="A47" s="12"/>
      <c r="B47" s="13"/>
      <c r="C47" s="10"/>
      <c r="D47" s="10"/>
      <c r="E47" s="7">
        <f>+$I$2+(ATL[[#This Row],[QUANTITE]]*ATL[[#This Row],[PRIX UNITAIRE]])</f>
        <v>0</v>
      </c>
      <c r="F47" s="20"/>
      <c r="G47" s="6">
        <f>+SUM(E$9:$E47)-SUM(F$9:$F47)</f>
        <v>1125000</v>
      </c>
    </row>
    <row r="48" spans="1:7" ht="28.8" x14ac:dyDescent="0.55000000000000004">
      <c r="A48" s="12"/>
      <c r="B48" s="13"/>
      <c r="C48" s="10"/>
      <c r="D48" s="10"/>
      <c r="E48" s="7">
        <f>+$I$2+(ATL[[#This Row],[QUANTITE]]*ATL[[#This Row],[PRIX UNITAIRE]])</f>
        <v>0</v>
      </c>
      <c r="F48" s="20"/>
      <c r="G48" s="6">
        <f>+SUM(E$9:$E48)-SUM(F$9:$F48)</f>
        <v>1125000</v>
      </c>
    </row>
    <row r="49" spans="1:7" ht="28.8" x14ac:dyDescent="0.55000000000000004">
      <c r="A49" s="12"/>
      <c r="B49" s="13"/>
      <c r="C49" s="10"/>
      <c r="D49" s="10"/>
      <c r="E49" s="7">
        <f>+$I$2+(ATL[[#This Row],[QUANTITE]]*ATL[[#This Row],[PRIX UNITAIRE]])</f>
        <v>0</v>
      </c>
      <c r="F49" s="20"/>
      <c r="G49" s="6">
        <f>+SUM(E$9:$E49)-SUM(F$9:$F49)</f>
        <v>1125000</v>
      </c>
    </row>
    <row r="50" spans="1:7" ht="28.8" x14ac:dyDescent="0.55000000000000004">
      <c r="A50" s="12"/>
      <c r="B50" s="13"/>
      <c r="C50" s="10"/>
      <c r="D50" s="10"/>
      <c r="E50" s="7">
        <f>+$I$2+(ATL[[#This Row],[QUANTITE]]*ATL[[#This Row],[PRIX UNITAIRE]])</f>
        <v>0</v>
      </c>
      <c r="F50" s="20"/>
      <c r="G50" s="6">
        <f>+SUM(E$9:$E50)-SUM(F$9:$F50)</f>
        <v>1125000</v>
      </c>
    </row>
    <row r="51" spans="1:7" ht="28.8" x14ac:dyDescent="0.55000000000000004">
      <c r="A51" s="12"/>
      <c r="B51" s="13"/>
      <c r="C51" s="10"/>
      <c r="D51" s="10"/>
      <c r="E51" s="7">
        <f>+$I$2+(ATL[[#This Row],[QUANTITE]]*ATL[[#This Row],[PRIX UNITAIRE]])</f>
        <v>0</v>
      </c>
      <c r="F51" s="20"/>
      <c r="G51" s="6">
        <f>+SUM(E$9:$E51)-SUM(F$9:$F51)</f>
        <v>1125000</v>
      </c>
    </row>
    <row r="52" spans="1:7" ht="28.8" x14ac:dyDescent="0.55000000000000004">
      <c r="A52" s="12"/>
      <c r="B52" s="13"/>
      <c r="C52" s="10"/>
      <c r="D52" s="10"/>
      <c r="E52" s="7">
        <f>+$I$2+(ATL[[#This Row],[QUANTITE]]*ATL[[#This Row],[PRIX UNITAIRE]])</f>
        <v>0</v>
      </c>
      <c r="F52" s="20"/>
      <c r="G52" s="6">
        <f>+SUM(E$9:$E52)-SUM(F$9:$F52)</f>
        <v>1125000</v>
      </c>
    </row>
    <row r="53" spans="1:7" ht="28.8" x14ac:dyDescent="0.55000000000000004">
      <c r="A53" s="12"/>
      <c r="B53" s="13"/>
      <c r="C53" s="10"/>
      <c r="D53" s="10"/>
      <c r="E53" s="7">
        <f>+$I$2+(ATL[[#This Row],[QUANTITE]]*ATL[[#This Row],[PRIX UNITAIRE]])</f>
        <v>0</v>
      </c>
      <c r="F53" s="20"/>
      <c r="G53" s="6">
        <f>+SUM(E$9:$E53)-SUM(F$9:$F53)</f>
        <v>1125000</v>
      </c>
    </row>
    <row r="54" spans="1:7" ht="28.8" x14ac:dyDescent="0.55000000000000004">
      <c r="A54" s="12"/>
      <c r="B54" s="13"/>
      <c r="C54" s="10"/>
      <c r="D54" s="10"/>
      <c r="E54" s="7">
        <f>+$I$2+(ATL[[#This Row],[QUANTITE]]*ATL[[#This Row],[PRIX UNITAIRE]])</f>
        <v>0</v>
      </c>
      <c r="F54" s="20"/>
      <c r="G54" s="6">
        <f>+SUM(E$9:$E54)-SUM(F$9:$F54)</f>
        <v>1125000</v>
      </c>
    </row>
    <row r="55" spans="1:7" ht="28.8" x14ac:dyDescent="0.55000000000000004">
      <c r="A55" s="12"/>
      <c r="B55" s="13"/>
      <c r="C55" s="10"/>
      <c r="D55" s="10"/>
      <c r="E55" s="7">
        <f>+$I$2+(ATL[[#This Row],[QUANTITE]]*ATL[[#This Row],[PRIX UNITAIRE]])</f>
        <v>0</v>
      </c>
      <c r="F55" s="20"/>
      <c r="G55" s="6">
        <f>+SUM(E$9:$E55)-SUM(F$9:$F55)</f>
        <v>1125000</v>
      </c>
    </row>
    <row r="56" spans="1:7" ht="28.8" x14ac:dyDescent="0.55000000000000004">
      <c r="A56" s="12"/>
      <c r="B56" s="13"/>
      <c r="C56" s="10"/>
      <c r="D56" s="10"/>
      <c r="E56" s="7">
        <f>+$I$2+(ATL[[#This Row],[QUANTITE]]*ATL[[#This Row],[PRIX UNITAIRE]])</f>
        <v>0</v>
      </c>
      <c r="F56" s="20"/>
      <c r="G56" s="6">
        <f>+SUM(E$9:$E56)-SUM(F$9:$F56)</f>
        <v>1125000</v>
      </c>
    </row>
    <row r="57" spans="1:7" ht="28.8" x14ac:dyDescent="0.55000000000000004">
      <c r="A57" s="12"/>
      <c r="B57" s="13"/>
      <c r="C57" s="10"/>
      <c r="D57" s="10"/>
      <c r="E57" s="7">
        <f>+$I$2+(ATL[[#This Row],[QUANTITE]]*ATL[[#This Row],[PRIX UNITAIRE]])</f>
        <v>0</v>
      </c>
      <c r="F57" s="20"/>
      <c r="G57" s="6">
        <f>+SUM(E$9:$E57)-SUM(F$9:$F57)</f>
        <v>1125000</v>
      </c>
    </row>
    <row r="58" spans="1:7" ht="28.8" x14ac:dyDescent="0.55000000000000004">
      <c r="A58" s="12"/>
      <c r="B58" s="13"/>
      <c r="C58" s="10"/>
      <c r="D58" s="10"/>
      <c r="E58" s="7">
        <f>+$I$2+(ATL[[#This Row],[QUANTITE]]*ATL[[#This Row],[PRIX UNITAIRE]])</f>
        <v>0</v>
      </c>
      <c r="F58" s="20"/>
      <c r="G58" s="6">
        <f>+SUM(E$9:$E58)-SUM(F$9:$F58)</f>
        <v>1125000</v>
      </c>
    </row>
    <row r="59" spans="1:7" ht="28.8" x14ac:dyDescent="0.55000000000000004">
      <c r="A59" s="12"/>
      <c r="B59" s="13"/>
      <c r="C59" s="10"/>
      <c r="D59" s="10"/>
      <c r="E59" s="7">
        <f>+$I$2+(ATL[[#This Row],[QUANTITE]]*ATL[[#This Row],[PRIX UNITAIRE]])</f>
        <v>0</v>
      </c>
      <c r="F59" s="20"/>
      <c r="G59" s="6">
        <f>+SUM(E$9:$E59)-SUM(F$9:$F59)</f>
        <v>1125000</v>
      </c>
    </row>
    <row r="60" spans="1:7" ht="28.8" x14ac:dyDescent="0.55000000000000004">
      <c r="A60" s="12"/>
      <c r="B60" s="13"/>
      <c r="C60" s="10"/>
      <c r="D60" s="10"/>
      <c r="E60" s="7">
        <f>+$I$2+(ATL[[#This Row],[QUANTITE]]*ATL[[#This Row],[PRIX UNITAIRE]])</f>
        <v>0</v>
      </c>
      <c r="F60" s="20"/>
      <c r="G60" s="6">
        <f>+SUM(E$9:$E60)-SUM(F$9:$F60)</f>
        <v>1125000</v>
      </c>
    </row>
    <row r="61" spans="1:7" ht="28.8" x14ac:dyDescent="0.55000000000000004">
      <c r="A61" s="12"/>
      <c r="B61" s="13"/>
      <c r="C61" s="10"/>
      <c r="D61" s="10"/>
      <c r="E61" s="7">
        <f>+$I$2+(ATL[[#This Row],[QUANTITE]]*ATL[[#This Row],[PRIX UNITAIRE]])</f>
        <v>0</v>
      </c>
      <c r="F61" s="20"/>
      <c r="G61" s="6">
        <f>+SUM(E$9:$E61)-SUM(F$9:$F61)</f>
        <v>1125000</v>
      </c>
    </row>
    <row r="62" spans="1:7" ht="28.8" x14ac:dyDescent="0.55000000000000004">
      <c r="A62" s="12"/>
      <c r="B62" s="13"/>
      <c r="C62" s="10"/>
      <c r="D62" s="10"/>
      <c r="E62" s="7">
        <f>+$I$2+(ATL[[#This Row],[QUANTITE]]*ATL[[#This Row],[PRIX UNITAIRE]])</f>
        <v>0</v>
      </c>
      <c r="F62" s="20"/>
      <c r="G62" s="6">
        <f>+SUM(E$9:$E62)-SUM(F$9:$F62)</f>
        <v>1125000</v>
      </c>
    </row>
    <row r="63" spans="1:7" ht="28.8" x14ac:dyDescent="0.55000000000000004">
      <c r="A63" s="12"/>
      <c r="B63" s="13"/>
      <c r="C63" s="10"/>
      <c r="D63" s="10"/>
      <c r="E63" s="7">
        <f>+$I$2+(ATL[[#This Row],[QUANTITE]]*ATL[[#This Row],[PRIX UNITAIRE]])</f>
        <v>0</v>
      </c>
      <c r="F63" s="20"/>
      <c r="G63" s="6">
        <f>+SUM(E$9:$E63)-SUM(F$9:$F63)</f>
        <v>1125000</v>
      </c>
    </row>
    <row r="64" spans="1:7" ht="28.8" x14ac:dyDescent="0.55000000000000004">
      <c r="A64" s="12"/>
      <c r="B64" s="13"/>
      <c r="C64" s="10"/>
      <c r="D64" s="10"/>
      <c r="E64" s="7">
        <f>+$I$2+(ATL[[#This Row],[QUANTITE]]*ATL[[#This Row],[PRIX UNITAIRE]])</f>
        <v>0</v>
      </c>
      <c r="F64" s="20"/>
      <c r="G64" s="6">
        <f>+SUM(E$9:$E64)-SUM(F$9:$F64)</f>
        <v>1125000</v>
      </c>
    </row>
    <row r="65" spans="1:7" ht="28.8" x14ac:dyDescent="0.55000000000000004">
      <c r="A65" s="12"/>
      <c r="B65" s="13"/>
      <c r="C65" s="10"/>
      <c r="D65" s="10"/>
      <c r="E65" s="7">
        <f>+$I$2+(ATL[[#This Row],[QUANTITE]]*ATL[[#This Row],[PRIX UNITAIRE]])</f>
        <v>0</v>
      </c>
      <c r="F65" s="20"/>
      <c r="G65" s="6">
        <f>+SUM(E$9:$E65)-SUM(F$9:$F65)</f>
        <v>1125000</v>
      </c>
    </row>
    <row r="66" spans="1:7" ht="28.8" x14ac:dyDescent="0.55000000000000004">
      <c r="A66" s="12"/>
      <c r="B66" s="13"/>
      <c r="C66" s="10"/>
      <c r="D66" s="10"/>
      <c r="E66" s="7">
        <f>+$I$2+(ATL[[#This Row],[QUANTITE]]*ATL[[#This Row],[PRIX UNITAIRE]])</f>
        <v>0</v>
      </c>
      <c r="F66" s="20"/>
      <c r="G66" s="6">
        <f>+SUM(E$9:$E66)-SUM(F$9:$F66)</f>
        <v>1125000</v>
      </c>
    </row>
    <row r="67" spans="1:7" ht="28.8" x14ac:dyDescent="0.55000000000000004">
      <c r="A67" s="12"/>
      <c r="B67" s="13"/>
      <c r="C67" s="10"/>
      <c r="D67" s="10"/>
      <c r="E67" s="7">
        <f>+$I$2+(ATL[[#This Row],[QUANTITE]]*ATL[[#This Row],[PRIX UNITAIRE]])</f>
        <v>0</v>
      </c>
      <c r="F67" s="20"/>
      <c r="G67" s="6">
        <f>+SUM(E$9:$E67)-SUM(F$9:$F67)</f>
        <v>1125000</v>
      </c>
    </row>
    <row r="68" spans="1:7" ht="28.8" x14ac:dyDescent="0.55000000000000004">
      <c r="A68" s="12"/>
      <c r="B68" s="13"/>
      <c r="C68" s="10"/>
      <c r="D68" s="10"/>
      <c r="E68" s="7">
        <f>+$I$2+(ATL[[#This Row],[QUANTITE]]*ATL[[#This Row],[PRIX UNITAIRE]])</f>
        <v>0</v>
      </c>
      <c r="F68" s="20"/>
      <c r="G68" s="6">
        <f>+SUM(E$9:$E68)-SUM(F$9:$F68)</f>
        <v>1125000</v>
      </c>
    </row>
    <row r="69" spans="1:7" ht="28.8" x14ac:dyDescent="0.55000000000000004">
      <c r="A69" s="12"/>
      <c r="B69" s="13"/>
      <c r="C69" s="10"/>
      <c r="D69" s="10"/>
      <c r="E69" s="7">
        <f>+$I$2+(ATL[[#This Row],[QUANTITE]]*ATL[[#This Row],[PRIX UNITAIRE]])</f>
        <v>0</v>
      </c>
      <c r="F69" s="20"/>
      <c r="G69" s="6">
        <f>+SUM(E$9:$E69)-SUM(F$9:$F69)</f>
        <v>1125000</v>
      </c>
    </row>
  </sheetData>
  <sheetProtection selectLockedCells="1" autoFilter="0"/>
  <mergeCells count="1">
    <mergeCell ref="B6:C6"/>
  </mergeCells>
  <conditionalFormatting sqref="G4">
    <cfRule type="cellIs" dxfId="598" priority="2" operator="lessThan">
      <formula>0</formula>
    </cfRule>
    <cfRule type="cellIs" dxfId="597" priority="3" operator="greaterThan">
      <formula>0</formula>
    </cfRule>
  </conditionalFormatting>
  <conditionalFormatting sqref="B9:B69">
    <cfRule type="expression" dxfId="596" priority="5">
      <formula>$F9</formula>
    </cfRule>
  </conditionalFormatting>
  <dataValidations count="1">
    <dataValidation type="date" operator="greaterThan" allowBlank="1" showInputMessage="1" showErrorMessage="1" error="VEILLEZ ENTRER UNE DATE VALIDE" sqref="A9:A69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I122"/>
  <sheetViews>
    <sheetView showGridLines="0" zoomScale="60" zoomScaleNormal="60" workbookViewId="0">
      <pane ySplit="8" topLeftCell="A3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4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+SUM(SALIFKONE[TOTAL MONTANT])</f>
        <v>7300000</v>
      </c>
      <c r="F4" s="41">
        <f>+SUM(SALIFKONE[VERSEMENT])</f>
        <v>7050000</v>
      </c>
      <c r="G4" s="130">
        <f>+E4-F4</f>
        <v>250000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459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45664</v>
      </c>
      <c r="B9" s="13" t="s">
        <v>460</v>
      </c>
      <c r="C9" s="10">
        <v>2</v>
      </c>
      <c r="D9" s="10">
        <v>35000</v>
      </c>
      <c r="E9" s="7">
        <f>+$I$2+(SALIFKONE[[#This Row],[QUANTITE]]*SALIFKONE[[#This Row],[PRIX UNITAIRE]])</f>
        <v>70000</v>
      </c>
      <c r="F9" s="20"/>
      <c r="G9" s="6">
        <f>+SUM(E$9:$E9)-SUM(F$9:$F9)</f>
        <v>70000</v>
      </c>
    </row>
    <row r="10" spans="1:9" ht="28.8" x14ac:dyDescent="0.55000000000000004">
      <c r="A10" s="12">
        <v>45682</v>
      </c>
      <c r="B10" s="13" t="s">
        <v>461</v>
      </c>
      <c r="C10" s="10">
        <v>4</v>
      </c>
      <c r="D10" s="10">
        <v>135000</v>
      </c>
      <c r="E10" s="7">
        <f>+$I$2+(SALIFKONE[[#This Row],[QUANTITE]]*SALIFKONE[[#This Row],[PRIX UNITAIRE]])</f>
        <v>540000</v>
      </c>
      <c r="F10" s="21"/>
      <c r="G10" s="6">
        <f>+SUM(E$9:$E10)-SUM(F$9:$F10)</f>
        <v>610000</v>
      </c>
    </row>
    <row r="11" spans="1:9" ht="28.8" x14ac:dyDescent="0.55000000000000004">
      <c r="A11" s="12">
        <v>45682</v>
      </c>
      <c r="B11" s="13" t="s">
        <v>462</v>
      </c>
      <c r="C11" s="10">
        <v>2</v>
      </c>
      <c r="D11" s="10">
        <v>90000</v>
      </c>
      <c r="E11" s="7">
        <f>+$I$2+(SALIFKONE[[#This Row],[QUANTITE]]*SALIFKONE[[#This Row],[PRIX UNITAIRE]])</f>
        <v>180000</v>
      </c>
      <c r="F11" s="14"/>
      <c r="G11" s="6">
        <f>+SUM(E$9:$E11)-SUM(F$9:$F11)</f>
        <v>790000</v>
      </c>
    </row>
    <row r="12" spans="1:9" ht="28.8" x14ac:dyDescent="0.55000000000000004">
      <c r="A12" s="12">
        <v>45691</v>
      </c>
      <c r="B12" s="13" t="s">
        <v>259</v>
      </c>
      <c r="C12" s="10"/>
      <c r="D12" s="10"/>
      <c r="E12" s="7">
        <f>+$I$2+(SALIFKONE[[#This Row],[QUANTITE]]*SALIFKONE[[#This Row],[PRIX UNITAIRE]])</f>
        <v>0</v>
      </c>
      <c r="F12" s="14">
        <v>790000</v>
      </c>
      <c r="G12" s="6">
        <f>+SUM(E$9:$E12)-SUM(F$9:$F12)</f>
        <v>0</v>
      </c>
    </row>
    <row r="13" spans="1:9" ht="28.8" x14ac:dyDescent="0.55000000000000004">
      <c r="A13" s="12">
        <v>45696</v>
      </c>
      <c r="B13" s="13" t="s">
        <v>463</v>
      </c>
      <c r="C13" s="10">
        <v>2</v>
      </c>
      <c r="D13" s="10">
        <v>215000</v>
      </c>
      <c r="E13" s="7">
        <f>+$I$2+(SALIFKONE[[#This Row],[QUANTITE]]*SALIFKONE[[#This Row],[PRIX UNITAIRE]])</f>
        <v>430000</v>
      </c>
      <c r="F13" s="14"/>
      <c r="G13" s="6">
        <f>+SUM(E$9:$E13)-SUM(F$9:$F13)</f>
        <v>430000</v>
      </c>
    </row>
    <row r="14" spans="1:9" ht="28.8" x14ac:dyDescent="0.55000000000000004">
      <c r="A14" s="12">
        <v>45712</v>
      </c>
      <c r="B14" s="13" t="s">
        <v>461</v>
      </c>
      <c r="C14" s="10">
        <v>4</v>
      </c>
      <c r="D14" s="10">
        <v>130000</v>
      </c>
      <c r="E14" s="7">
        <f>+$I$2+(SALIFKONE[[#This Row],[QUANTITE]]*SALIFKONE[[#This Row],[PRIX UNITAIRE]])</f>
        <v>520000</v>
      </c>
      <c r="F14" s="14"/>
      <c r="G14" s="6">
        <f>+SUM(E$9:$E14)-SUM(F$9:$F14)</f>
        <v>950000</v>
      </c>
    </row>
    <row r="15" spans="1:9" ht="28.8" x14ac:dyDescent="0.55000000000000004">
      <c r="A15" s="12">
        <v>45712</v>
      </c>
      <c r="B15" s="13" t="s">
        <v>464</v>
      </c>
      <c r="C15" s="10">
        <v>1</v>
      </c>
      <c r="D15" s="10">
        <v>10000</v>
      </c>
      <c r="E15" s="7">
        <f>+$I$2+(SALIFKONE[[#This Row],[QUANTITE]]*SALIFKONE[[#This Row],[PRIX UNITAIRE]])</f>
        <v>10000</v>
      </c>
      <c r="F15" s="14"/>
      <c r="G15" s="6">
        <f>+SUM(E$9:$E15)-SUM(F$9:$F15)</f>
        <v>960000</v>
      </c>
    </row>
    <row r="16" spans="1:9" ht="28.8" x14ac:dyDescent="0.55000000000000004">
      <c r="A16" s="12">
        <v>49373</v>
      </c>
      <c r="B16" s="13" t="s">
        <v>433</v>
      </c>
      <c r="C16" s="10"/>
      <c r="D16" s="10"/>
      <c r="E16" s="7">
        <f>+$I$2+(SALIFKONE[[#This Row],[QUANTITE]]*SALIFKONE[[#This Row],[PRIX UNITAIRE]])</f>
        <v>0</v>
      </c>
      <c r="F16" s="14">
        <v>960000</v>
      </c>
      <c r="G16" s="6">
        <f>+SUM(E$9:$E16)-SUM(F$9:$F16)</f>
        <v>0</v>
      </c>
    </row>
    <row r="17" spans="1:7" ht="28.8" x14ac:dyDescent="0.55000000000000004">
      <c r="A17" s="12">
        <v>45761</v>
      </c>
      <c r="B17" s="13" t="s">
        <v>461</v>
      </c>
      <c r="C17" s="10">
        <v>4</v>
      </c>
      <c r="D17" s="10">
        <v>130000</v>
      </c>
      <c r="E17" s="7">
        <f>+$I$2+(SALIFKONE[[#This Row],[QUANTITE]]*SALIFKONE[[#This Row],[PRIX UNITAIRE]])</f>
        <v>520000</v>
      </c>
      <c r="F17" s="14"/>
      <c r="G17" s="6">
        <f>+SUM(E$9:$E17)-SUM(F$9:$F17)</f>
        <v>520000</v>
      </c>
    </row>
    <row r="18" spans="1:7" ht="28.8" x14ac:dyDescent="0.55000000000000004">
      <c r="A18" s="12">
        <v>45761</v>
      </c>
      <c r="B18" s="13" t="s">
        <v>465</v>
      </c>
      <c r="C18" s="10">
        <v>1</v>
      </c>
      <c r="D18" s="10">
        <v>35000</v>
      </c>
      <c r="E18" s="7">
        <f>+$I$2+(SALIFKONE[[#This Row],[QUANTITE]]*SALIFKONE[[#This Row],[PRIX UNITAIRE]])</f>
        <v>35000</v>
      </c>
      <c r="F18" s="14"/>
      <c r="G18" s="6">
        <f>+SUM(E$9:$E18)-SUM(F$9:$F18)</f>
        <v>555000</v>
      </c>
    </row>
    <row r="19" spans="1:7" ht="28.8" x14ac:dyDescent="0.55000000000000004">
      <c r="A19" s="12">
        <v>45761</v>
      </c>
      <c r="B19" s="13" t="s">
        <v>466</v>
      </c>
      <c r="C19" s="10">
        <v>1</v>
      </c>
      <c r="D19" s="10">
        <v>10000</v>
      </c>
      <c r="E19" s="7">
        <f>+$I$2+(SALIFKONE[[#This Row],[QUANTITE]]*SALIFKONE[[#This Row],[PRIX UNITAIRE]])</f>
        <v>10000</v>
      </c>
      <c r="F19" s="14"/>
      <c r="G19" s="6">
        <f>+SUM(E$9:$E19)-SUM(F$9:$F19)</f>
        <v>565000</v>
      </c>
    </row>
    <row r="20" spans="1:7" ht="28.8" x14ac:dyDescent="0.55000000000000004">
      <c r="A20" s="12">
        <v>45761</v>
      </c>
      <c r="B20" s="13" t="s">
        <v>467</v>
      </c>
      <c r="C20" s="10">
        <v>1</v>
      </c>
      <c r="D20" s="10">
        <v>15000</v>
      </c>
      <c r="E20" s="7">
        <f>+$I$2+(SALIFKONE[[#This Row],[QUANTITE]]*SALIFKONE[[#This Row],[PRIX UNITAIRE]])</f>
        <v>15000</v>
      </c>
      <c r="F20" s="14"/>
      <c r="G20" s="6">
        <f>+SUM(E$9:$E20)-SUM(F$9:$F20)</f>
        <v>580000</v>
      </c>
    </row>
    <row r="21" spans="1:7" ht="28.8" x14ac:dyDescent="0.55000000000000004">
      <c r="A21" s="12">
        <v>45761</v>
      </c>
      <c r="B21" s="13" t="s">
        <v>427</v>
      </c>
      <c r="C21" s="10">
        <v>1</v>
      </c>
      <c r="D21" s="10">
        <v>10000</v>
      </c>
      <c r="E21" s="7">
        <f>+$I$2+(SALIFKONE[[#This Row],[QUANTITE]]*SALIFKONE[[#This Row],[PRIX UNITAIRE]])</f>
        <v>10000</v>
      </c>
      <c r="F21" s="14"/>
      <c r="G21" s="6">
        <f>+SUM(E$9:$E21)-SUM(F$9:$F21)</f>
        <v>590000</v>
      </c>
    </row>
    <row r="22" spans="1:7" ht="28.8" x14ac:dyDescent="0.55000000000000004">
      <c r="A22" s="12">
        <v>45776</v>
      </c>
      <c r="B22" s="13" t="s">
        <v>259</v>
      </c>
      <c r="C22" s="10"/>
      <c r="D22" s="10"/>
      <c r="E22" s="7">
        <f>+$I$2+(SALIFKONE[[#This Row],[QUANTITE]]*SALIFKONE[[#This Row],[PRIX UNITAIRE]])</f>
        <v>0</v>
      </c>
      <c r="F22" s="14">
        <v>590000</v>
      </c>
      <c r="G22" s="6">
        <f>+SUM(E$9:$E22)-SUM(F$9:$F22)</f>
        <v>0</v>
      </c>
    </row>
    <row r="23" spans="1:7" ht="28.8" x14ac:dyDescent="0.55000000000000004">
      <c r="A23" s="12">
        <v>45838</v>
      </c>
      <c r="B23" s="13" t="s">
        <v>1235</v>
      </c>
      <c r="C23" s="10">
        <v>4</v>
      </c>
      <c r="D23" s="10">
        <v>125000</v>
      </c>
      <c r="E23" s="7">
        <f>+$I$2+(SALIFKONE[[#This Row],[QUANTITE]]*SALIFKONE[[#This Row],[PRIX UNITAIRE]])</f>
        <v>500000</v>
      </c>
      <c r="F23" s="14"/>
      <c r="G23" s="6">
        <f>+SUM(E$9:$E23)-SUM(F$9:$F23)</f>
        <v>500000</v>
      </c>
    </row>
    <row r="24" spans="1:7" ht="28.8" x14ac:dyDescent="0.55000000000000004">
      <c r="A24" s="12">
        <v>45842</v>
      </c>
      <c r="B24" s="13" t="s">
        <v>1264</v>
      </c>
      <c r="C24" s="10">
        <v>4</v>
      </c>
      <c r="D24" s="10">
        <v>65000</v>
      </c>
      <c r="E24" s="7">
        <f>+$I$2+(SALIFKONE[[#This Row],[QUANTITE]]*SALIFKONE[[#This Row],[PRIX UNITAIRE]])</f>
        <v>260000</v>
      </c>
      <c r="F24" s="14"/>
      <c r="G24" s="6">
        <f>+SUM(E$9:$E24)-SUM(F$9:$F24)</f>
        <v>760000</v>
      </c>
    </row>
    <row r="25" spans="1:7" ht="28.8" x14ac:dyDescent="0.55000000000000004">
      <c r="A25" s="12">
        <v>45842</v>
      </c>
      <c r="B25" s="13" t="s">
        <v>1265</v>
      </c>
      <c r="C25" s="10">
        <v>1</v>
      </c>
      <c r="D25" s="10">
        <v>420000</v>
      </c>
      <c r="E25" s="7">
        <f>+$I$2+(SALIFKONE[[#This Row],[QUANTITE]]*SALIFKONE[[#This Row],[PRIX UNITAIRE]])</f>
        <v>420000</v>
      </c>
      <c r="F25" s="14"/>
      <c r="G25" s="6">
        <f>+SUM(E$9:$E25)-SUM(F$9:$F25)</f>
        <v>1180000</v>
      </c>
    </row>
    <row r="26" spans="1:7" ht="28.8" x14ac:dyDescent="0.55000000000000004">
      <c r="A26" s="12">
        <v>45867</v>
      </c>
      <c r="B26" s="13" t="s">
        <v>2791</v>
      </c>
      <c r="C26" s="10">
        <v>1</v>
      </c>
      <c r="D26" s="10">
        <v>55000</v>
      </c>
      <c r="E26" s="7">
        <f>+$I$2+(SALIFKONE[[#This Row],[QUANTITE]]*SALIFKONE[[#This Row],[PRIX UNITAIRE]])</f>
        <v>55000</v>
      </c>
      <c r="F26" s="14"/>
      <c r="G26" s="6">
        <f>+SUM(E$9:$E26)-SUM(F$9:$F26)</f>
        <v>1235000</v>
      </c>
    </row>
    <row r="27" spans="1:7" ht="28.8" x14ac:dyDescent="0.55000000000000004">
      <c r="A27" s="12">
        <v>45869</v>
      </c>
      <c r="B27" s="13" t="s">
        <v>461</v>
      </c>
      <c r="C27" s="10">
        <v>4</v>
      </c>
      <c r="D27" s="10">
        <v>130000</v>
      </c>
      <c r="E27" s="7">
        <f>+$I$2+(SALIFKONE[[#This Row],[QUANTITE]]*SALIFKONE[[#This Row],[PRIX UNITAIRE]])</f>
        <v>520000</v>
      </c>
      <c r="F27" s="14"/>
      <c r="G27" s="6">
        <f>+SUM(E$9:$E27)-SUM(F$9:$F27)</f>
        <v>1755000</v>
      </c>
    </row>
    <row r="28" spans="1:7" ht="28.8" x14ac:dyDescent="0.55000000000000004">
      <c r="A28" s="12">
        <v>45869</v>
      </c>
      <c r="B28" s="13" t="s">
        <v>2795</v>
      </c>
      <c r="C28" s="10">
        <v>2</v>
      </c>
      <c r="D28" s="10">
        <v>320000</v>
      </c>
      <c r="E28" s="7">
        <f>+$I$2+(SALIFKONE[[#This Row],[QUANTITE]]*SALIFKONE[[#This Row],[PRIX UNITAIRE]])</f>
        <v>640000</v>
      </c>
      <c r="F28" s="14"/>
      <c r="G28" s="6">
        <f>+SUM(E$9:$E28)-SUM(F$9:$F28)</f>
        <v>2395000</v>
      </c>
    </row>
    <row r="29" spans="1:7" ht="28.8" x14ac:dyDescent="0.55000000000000004">
      <c r="A29" s="12">
        <v>45869</v>
      </c>
      <c r="B29" s="13" t="s">
        <v>540</v>
      </c>
      <c r="C29" s="10"/>
      <c r="D29" s="10"/>
      <c r="E29" s="7">
        <f>+$I$2+(SALIFKONE[[#This Row],[QUANTITE]]*SALIFKONE[[#This Row],[PRIX UNITAIRE]])</f>
        <v>0</v>
      </c>
      <c r="F29" s="14">
        <v>1395000</v>
      </c>
      <c r="G29" s="6">
        <f>+SUM(E$9:$E29)-SUM(F$9:$F29)</f>
        <v>1000000</v>
      </c>
    </row>
    <row r="30" spans="1:7" ht="28.8" x14ac:dyDescent="0.55000000000000004">
      <c r="A30" s="12">
        <v>45917</v>
      </c>
      <c r="B30" s="13" t="s">
        <v>259</v>
      </c>
      <c r="C30" s="10"/>
      <c r="D30" s="10"/>
      <c r="E30" s="7">
        <f>+$I$2+(SALIFKONE[[#This Row],[QUANTITE]]*SALIFKONE[[#This Row],[PRIX UNITAIRE]])</f>
        <v>0</v>
      </c>
      <c r="F30" s="14">
        <v>1000000</v>
      </c>
      <c r="G30" s="6">
        <f>+SUM(E$9:$E30)-SUM(F$9:$F30)</f>
        <v>0</v>
      </c>
    </row>
    <row r="31" spans="1:7" ht="28.8" x14ac:dyDescent="0.55000000000000004">
      <c r="A31" s="12">
        <v>45978</v>
      </c>
      <c r="B31" s="13" t="s">
        <v>783</v>
      </c>
      <c r="C31" s="10">
        <v>1</v>
      </c>
      <c r="D31" s="10">
        <v>40000</v>
      </c>
      <c r="E31" s="7">
        <f>+$I$2+(SALIFKONE[[#This Row],[QUANTITE]]*SALIFKONE[[#This Row],[PRIX UNITAIRE]])</f>
        <v>40000</v>
      </c>
      <c r="F31" s="14"/>
      <c r="G31" s="6">
        <f>+SUM(E$9:$E31)-SUM(F$9:$F31)</f>
        <v>40000</v>
      </c>
    </row>
    <row r="32" spans="1:7" ht="28.8" x14ac:dyDescent="0.55000000000000004">
      <c r="A32" s="12">
        <v>45978</v>
      </c>
      <c r="B32" s="13" t="s">
        <v>467</v>
      </c>
      <c r="C32" s="10">
        <v>1</v>
      </c>
      <c r="D32" s="10">
        <v>10000</v>
      </c>
      <c r="E32" s="7">
        <f>+$I$2+(SALIFKONE[[#This Row],[QUANTITE]]*SALIFKONE[[#This Row],[PRIX UNITAIRE]])</f>
        <v>10000</v>
      </c>
      <c r="F32" s="14"/>
      <c r="G32" s="6">
        <f>+SUM(E$9:$E32)-SUM(F$9:$F32)</f>
        <v>50000</v>
      </c>
    </row>
    <row r="33" spans="1:7" ht="28.8" x14ac:dyDescent="0.55000000000000004">
      <c r="A33" s="12">
        <v>45978</v>
      </c>
      <c r="B33" s="13" t="s">
        <v>3161</v>
      </c>
      <c r="C33" s="10">
        <v>1</v>
      </c>
      <c r="D33" s="10">
        <v>12000</v>
      </c>
      <c r="E33" s="7">
        <f>+$I$2+(SALIFKONE[[#This Row],[QUANTITE]]*SALIFKONE[[#This Row],[PRIX UNITAIRE]])</f>
        <v>12000</v>
      </c>
      <c r="F33" s="14"/>
      <c r="G33" s="6">
        <f>+SUM(E$9:$E33)-SUM(F$9:$F33)</f>
        <v>62000</v>
      </c>
    </row>
    <row r="34" spans="1:7" ht="28.8" x14ac:dyDescent="0.55000000000000004">
      <c r="A34" s="12">
        <v>45978</v>
      </c>
      <c r="B34" s="13" t="s">
        <v>673</v>
      </c>
      <c r="C34" s="10">
        <v>1</v>
      </c>
      <c r="D34" s="10">
        <v>13000</v>
      </c>
      <c r="E34" s="7">
        <f>+$I$2+(SALIFKONE[[#This Row],[QUANTITE]]*SALIFKONE[[#This Row],[PRIX UNITAIRE]])</f>
        <v>13000</v>
      </c>
      <c r="F34" s="14"/>
      <c r="G34" s="6">
        <f>+SUM(E$9:$E34)-SUM(F$9:$F34)</f>
        <v>75000</v>
      </c>
    </row>
    <row r="35" spans="1:7" ht="28.8" x14ac:dyDescent="0.55000000000000004">
      <c r="A35" s="12">
        <v>45978</v>
      </c>
      <c r="B35" s="13" t="s">
        <v>819</v>
      </c>
      <c r="C35" s="10">
        <v>1</v>
      </c>
      <c r="D35" s="10"/>
      <c r="E35" s="7">
        <f>+$I$2+(SALIFKONE[[#This Row],[QUANTITE]]*SALIFKONE[[#This Row],[PRIX UNITAIRE]])</f>
        <v>0</v>
      </c>
      <c r="F35" s="14"/>
      <c r="G35" s="6">
        <f>+SUM(E$9:$E35)-SUM(F$9:$F35)</f>
        <v>75000</v>
      </c>
    </row>
    <row r="36" spans="1:7" ht="28.8" x14ac:dyDescent="0.55000000000000004">
      <c r="A36" s="12">
        <v>45978</v>
      </c>
      <c r="B36" s="13" t="s">
        <v>2709</v>
      </c>
      <c r="C36" s="10">
        <v>2</v>
      </c>
      <c r="D36" s="10">
        <v>140000</v>
      </c>
      <c r="E36" s="7">
        <f>+$I$2+(SALIFKONE[[#This Row],[QUANTITE]]*SALIFKONE[[#This Row],[PRIX UNITAIRE]])</f>
        <v>280000</v>
      </c>
      <c r="F36" s="14"/>
      <c r="G36" s="6">
        <f>+SUM(E$9:$E36)-SUM(F$9:$F36)</f>
        <v>355000</v>
      </c>
    </row>
    <row r="37" spans="1:7" ht="28.8" x14ac:dyDescent="0.55000000000000004">
      <c r="A37" s="12">
        <v>45978</v>
      </c>
      <c r="B37" s="13" t="s">
        <v>396</v>
      </c>
      <c r="C37" s="10">
        <v>1</v>
      </c>
      <c r="D37" s="10">
        <v>70000</v>
      </c>
      <c r="E37" s="7">
        <f>+$I$2+(SALIFKONE[[#This Row],[QUANTITE]]*SALIFKONE[[#This Row],[PRIX UNITAIRE]])</f>
        <v>70000</v>
      </c>
      <c r="F37" s="14"/>
      <c r="G37" s="6">
        <f>+SUM(E$9:$E37)-SUM(F$9:$F37)</f>
        <v>425000</v>
      </c>
    </row>
    <row r="38" spans="1:7" ht="28.8" x14ac:dyDescent="0.55000000000000004">
      <c r="A38" s="12">
        <v>45983</v>
      </c>
      <c r="B38" s="13" t="s">
        <v>3051</v>
      </c>
      <c r="C38" s="10">
        <v>4</v>
      </c>
      <c r="D38" s="10">
        <v>140000</v>
      </c>
      <c r="E38" s="7">
        <f>+$I$2+(SALIFKONE[[#This Row],[QUANTITE]]*SALIFKONE[[#This Row],[PRIX UNITAIRE]])</f>
        <v>560000</v>
      </c>
      <c r="F38" s="14"/>
      <c r="G38" s="6">
        <f>+SUM(E$9:$E38)-SUM(F$9:$F38)</f>
        <v>985000</v>
      </c>
    </row>
    <row r="39" spans="1:7" ht="28.8" x14ac:dyDescent="0.55000000000000004">
      <c r="A39" s="12">
        <v>45983</v>
      </c>
      <c r="B39" s="13" t="s">
        <v>3244</v>
      </c>
      <c r="C39" s="10">
        <v>4</v>
      </c>
      <c r="D39" s="10">
        <v>120000</v>
      </c>
      <c r="E39" s="7">
        <f>+$I$2+(SALIFKONE[[#This Row],[QUANTITE]]*SALIFKONE[[#This Row],[PRIX UNITAIRE]])</f>
        <v>480000</v>
      </c>
      <c r="F39" s="14"/>
      <c r="G39" s="6">
        <f>+SUM(E$9:$E39)-SUM(F$9:$F39)</f>
        <v>1465000</v>
      </c>
    </row>
    <row r="40" spans="1:7" ht="28.8" x14ac:dyDescent="0.55000000000000004">
      <c r="A40" s="12">
        <v>45985</v>
      </c>
      <c r="B40" s="13" t="s">
        <v>3248</v>
      </c>
      <c r="C40" s="10">
        <v>1</v>
      </c>
      <c r="D40" s="10">
        <v>0</v>
      </c>
      <c r="E40" s="7">
        <f>+$I$2+(SALIFKONE[[#This Row],[QUANTITE]]*SALIFKONE[[#This Row],[PRIX UNITAIRE]])</f>
        <v>0</v>
      </c>
      <c r="F40" s="14">
        <v>1465000</v>
      </c>
      <c r="G40" s="6">
        <f>+SUM(E$9:$E40)-SUM(F$9:$F40)</f>
        <v>0</v>
      </c>
    </row>
    <row r="41" spans="1:7" ht="28.8" x14ac:dyDescent="0.55000000000000004">
      <c r="A41" s="12">
        <v>45992</v>
      </c>
      <c r="B41" s="13" t="s">
        <v>887</v>
      </c>
      <c r="C41" s="10">
        <v>2</v>
      </c>
      <c r="D41" s="10">
        <v>125000</v>
      </c>
      <c r="E41" s="7">
        <f>+$I$2+(SALIFKONE[[#This Row],[QUANTITE]]*SALIFKONE[[#This Row],[PRIX UNITAIRE]])</f>
        <v>250000</v>
      </c>
      <c r="F41" s="14"/>
      <c r="G41" s="6">
        <f>+SUM(E$9:$E41)-SUM(F$9:$F41)</f>
        <v>250000</v>
      </c>
    </row>
    <row r="42" spans="1:7" ht="28.8" x14ac:dyDescent="0.55000000000000004">
      <c r="A42" s="12">
        <v>45992</v>
      </c>
      <c r="B42" s="13" t="s">
        <v>435</v>
      </c>
      <c r="C42" s="10">
        <v>2</v>
      </c>
      <c r="D42" s="10">
        <v>140000</v>
      </c>
      <c r="E42" s="7">
        <f>+$I$2+(SALIFKONE[[#This Row],[QUANTITE]]*SALIFKONE[[#This Row],[PRIX UNITAIRE]])</f>
        <v>280000</v>
      </c>
      <c r="F42" s="14"/>
      <c r="G42" s="6">
        <f>+SUM(E$9:$E42)-SUM(F$9:$F42)</f>
        <v>530000</v>
      </c>
    </row>
    <row r="43" spans="1:7" ht="28.8" x14ac:dyDescent="0.55000000000000004">
      <c r="A43" s="12">
        <v>45994</v>
      </c>
      <c r="B43" s="13" t="s">
        <v>3276</v>
      </c>
      <c r="C43" s="10">
        <v>2</v>
      </c>
      <c r="D43" s="10">
        <v>125000</v>
      </c>
      <c r="E43" s="7">
        <f>+$I$2+(SALIFKONE[[#This Row],[QUANTITE]]*SALIFKONE[[#This Row],[PRIX UNITAIRE]])</f>
        <v>250000</v>
      </c>
      <c r="F43" s="14"/>
      <c r="G43" s="6">
        <f>+SUM(E$9:$E43)-SUM(F$9:$F43)</f>
        <v>780000</v>
      </c>
    </row>
    <row r="44" spans="1:7" ht="28.8" x14ac:dyDescent="0.55000000000000004">
      <c r="A44" s="12">
        <v>46020</v>
      </c>
      <c r="B44" s="13"/>
      <c r="C44" s="10">
        <v>1</v>
      </c>
      <c r="D44" s="10">
        <v>70000</v>
      </c>
      <c r="E44" s="7">
        <f>+$I$2+(SALIFKONE[[#This Row],[QUANTITE]]*SALIFKONE[[#This Row],[PRIX UNITAIRE]])</f>
        <v>70000</v>
      </c>
      <c r="F44" s="14"/>
      <c r="G44" s="6">
        <f>+SUM(E$9:$E44)-SUM(F$9:$F44)</f>
        <v>850000</v>
      </c>
    </row>
    <row r="45" spans="1:7" ht="28.8" x14ac:dyDescent="0.55000000000000004">
      <c r="A45" s="12">
        <v>46020</v>
      </c>
      <c r="B45" s="13" t="s">
        <v>3312</v>
      </c>
      <c r="C45" s="10">
        <v>1</v>
      </c>
      <c r="D45" s="10">
        <v>0</v>
      </c>
      <c r="E45" s="7">
        <f>+$I$2+(SALIFKONE[[#This Row],[QUANTITE]]*SALIFKONE[[#This Row],[PRIX UNITAIRE]])</f>
        <v>0</v>
      </c>
      <c r="F45" s="14">
        <v>850000</v>
      </c>
      <c r="G45" s="6">
        <f>+SUM(E$9:$E45)-SUM(F$9:$F45)</f>
        <v>0</v>
      </c>
    </row>
    <row r="46" spans="1:7" ht="28.8" x14ac:dyDescent="0.55000000000000004">
      <c r="A46" s="12">
        <v>46022</v>
      </c>
      <c r="B46" s="13" t="s">
        <v>891</v>
      </c>
      <c r="C46" s="10">
        <v>2</v>
      </c>
      <c r="D46" s="10">
        <v>125000</v>
      </c>
      <c r="E46" s="7">
        <f>+$I$2+(SALIFKONE[[#This Row],[QUANTITE]]*SALIFKONE[[#This Row],[PRIX UNITAIRE]])</f>
        <v>250000</v>
      </c>
      <c r="F46" s="14"/>
      <c r="G46" s="6">
        <f>+SUM(E$9:$E46)-SUM(F$9:$F46)</f>
        <v>250000</v>
      </c>
    </row>
    <row r="47" spans="1:7" ht="28.8" x14ac:dyDescent="0.55000000000000004">
      <c r="A47" s="12"/>
      <c r="B47" s="13"/>
      <c r="C47" s="10"/>
      <c r="D47" s="10"/>
      <c r="E47" s="7">
        <f>+$I$2+(SALIFKONE[[#This Row],[QUANTITE]]*SALIFKONE[[#This Row],[PRIX UNITAIRE]])</f>
        <v>0</v>
      </c>
      <c r="F47" s="14"/>
      <c r="G47" s="6">
        <f>+SUM(E$9:$E47)-SUM(F$9:$F47)</f>
        <v>250000</v>
      </c>
    </row>
    <row r="48" spans="1:7" ht="28.8" x14ac:dyDescent="0.55000000000000004">
      <c r="A48" s="12"/>
      <c r="B48" s="13"/>
      <c r="C48" s="10"/>
      <c r="D48" s="10"/>
      <c r="E48" s="7">
        <f>+$I$2+(SALIFKONE[[#This Row],[QUANTITE]]*SALIFKONE[[#This Row],[PRIX UNITAIRE]])</f>
        <v>0</v>
      </c>
      <c r="F48" s="14"/>
      <c r="G48" s="6">
        <f>+SUM(E$9:$E48)-SUM(F$9:$F48)</f>
        <v>250000</v>
      </c>
    </row>
    <row r="49" spans="1:7" ht="28.8" x14ac:dyDescent="0.55000000000000004">
      <c r="A49" s="12"/>
      <c r="B49" s="13"/>
      <c r="C49" s="10"/>
      <c r="D49" s="10"/>
      <c r="E49" s="7">
        <f>+$I$2+(SALIFKONE[[#This Row],[QUANTITE]]*SALIFKONE[[#This Row],[PRIX UNITAIRE]])</f>
        <v>0</v>
      </c>
      <c r="F49" s="14"/>
      <c r="G49" s="6">
        <f>+SUM(E$9:$E49)-SUM(F$9:$F49)</f>
        <v>250000</v>
      </c>
    </row>
    <row r="50" spans="1:7" ht="28.8" x14ac:dyDescent="0.55000000000000004">
      <c r="A50" s="12"/>
      <c r="B50" s="13"/>
      <c r="C50" s="10"/>
      <c r="D50" s="10"/>
      <c r="E50" s="7">
        <f>+$I$2+(SALIFKONE[[#This Row],[QUANTITE]]*SALIFKONE[[#This Row],[PRIX UNITAIRE]])</f>
        <v>0</v>
      </c>
      <c r="F50" s="14"/>
      <c r="G50" s="6">
        <f>+SUM(E$9:$E50)-SUM(F$9:$F50)</f>
        <v>250000</v>
      </c>
    </row>
    <row r="51" spans="1:7" ht="28.8" x14ac:dyDescent="0.55000000000000004">
      <c r="A51" s="12"/>
      <c r="B51" s="13"/>
      <c r="C51" s="10"/>
      <c r="D51" s="10"/>
      <c r="E51" s="7">
        <f>+$I$2+(SALIFKONE[[#This Row],[QUANTITE]]*SALIFKONE[[#This Row],[PRIX UNITAIRE]])</f>
        <v>0</v>
      </c>
      <c r="F51" s="14"/>
      <c r="G51" s="6">
        <f>+SUM(E$9:$E51)-SUM(F$9:$F51)</f>
        <v>250000</v>
      </c>
    </row>
    <row r="52" spans="1:7" ht="28.8" x14ac:dyDescent="0.55000000000000004">
      <c r="A52" s="12"/>
      <c r="B52" s="13"/>
      <c r="C52" s="10"/>
      <c r="D52" s="10"/>
      <c r="E52" s="7">
        <f>+$I$2+(SALIFKONE[[#This Row],[QUANTITE]]*SALIFKONE[[#This Row],[PRIX UNITAIRE]])</f>
        <v>0</v>
      </c>
      <c r="F52" s="14"/>
      <c r="G52" s="6">
        <f>+SUM(E$9:$E52)-SUM(F$9:$F52)</f>
        <v>250000</v>
      </c>
    </row>
    <row r="53" spans="1:7" ht="28.8" x14ac:dyDescent="0.55000000000000004">
      <c r="A53" s="12"/>
      <c r="B53" s="13"/>
      <c r="C53" s="10"/>
      <c r="D53" s="10"/>
      <c r="E53" s="7">
        <f>+$I$2+(SALIFKONE[[#This Row],[QUANTITE]]*SALIFKONE[[#This Row],[PRIX UNITAIRE]])</f>
        <v>0</v>
      </c>
      <c r="F53" s="14"/>
      <c r="G53" s="6">
        <f>+SUM(E$9:$E53)-SUM(F$9:$F53)</f>
        <v>250000</v>
      </c>
    </row>
    <row r="54" spans="1:7" ht="28.8" x14ac:dyDescent="0.55000000000000004">
      <c r="A54" s="12"/>
      <c r="B54" s="13"/>
      <c r="C54" s="10"/>
      <c r="D54" s="10"/>
      <c r="E54" s="7">
        <f>+$I$2+(SALIFKONE[[#This Row],[QUANTITE]]*SALIFKONE[[#This Row],[PRIX UNITAIRE]])</f>
        <v>0</v>
      </c>
      <c r="F54" s="14"/>
      <c r="G54" s="6">
        <f>+SUM(E$9:$E54)-SUM(F$9:$F54)</f>
        <v>250000</v>
      </c>
    </row>
    <row r="55" spans="1:7" ht="28.8" x14ac:dyDescent="0.55000000000000004">
      <c r="A55" s="12"/>
      <c r="B55" s="13"/>
      <c r="C55" s="10"/>
      <c r="D55" s="10"/>
      <c r="E55" s="7">
        <f>+$I$2+(SALIFKONE[[#This Row],[QUANTITE]]*SALIFKONE[[#This Row],[PRIX UNITAIRE]])</f>
        <v>0</v>
      </c>
      <c r="F55" s="14"/>
      <c r="G55" s="6">
        <f>+SUM(E$9:$E55)-SUM(F$9:$F55)</f>
        <v>250000</v>
      </c>
    </row>
    <row r="56" spans="1:7" ht="28.8" x14ac:dyDescent="0.55000000000000004">
      <c r="A56" s="12"/>
      <c r="B56" s="13"/>
      <c r="C56" s="10"/>
      <c r="D56" s="10"/>
      <c r="E56" s="7">
        <f>+$I$2+(SALIFKONE[[#This Row],[QUANTITE]]*SALIFKONE[[#This Row],[PRIX UNITAIRE]])</f>
        <v>0</v>
      </c>
      <c r="F56" s="14"/>
      <c r="G56" s="6">
        <f>+SUM(E$9:$E56)-SUM(F$9:$F56)</f>
        <v>250000</v>
      </c>
    </row>
    <row r="57" spans="1:7" ht="28.8" x14ac:dyDescent="0.55000000000000004">
      <c r="A57" s="12"/>
      <c r="B57" s="13"/>
      <c r="C57" s="10"/>
      <c r="D57" s="10"/>
      <c r="E57" s="7">
        <f>+$I$2+(SALIFKONE[[#This Row],[QUANTITE]]*SALIFKONE[[#This Row],[PRIX UNITAIRE]])</f>
        <v>0</v>
      </c>
      <c r="F57" s="14"/>
      <c r="G57" s="6">
        <f>+SUM(E$9:$E57)-SUM(F$9:$F57)</f>
        <v>250000</v>
      </c>
    </row>
    <row r="58" spans="1:7" ht="28.8" x14ac:dyDescent="0.55000000000000004">
      <c r="A58" s="12"/>
      <c r="B58" s="13"/>
      <c r="C58" s="10"/>
      <c r="D58" s="10"/>
      <c r="E58" s="7">
        <f>+$I$2+(SALIFKONE[[#This Row],[QUANTITE]]*SALIFKONE[[#This Row],[PRIX UNITAIRE]])</f>
        <v>0</v>
      </c>
      <c r="F58" s="14"/>
      <c r="G58" s="6">
        <f>+SUM(E$9:$E58)-SUM(F$9:$F58)</f>
        <v>250000</v>
      </c>
    </row>
    <row r="59" spans="1:7" ht="28.8" x14ac:dyDescent="0.55000000000000004">
      <c r="A59" s="12"/>
      <c r="B59" s="13"/>
      <c r="C59" s="10"/>
      <c r="D59" s="10"/>
      <c r="E59" s="7">
        <f>+$I$2+(SALIFKONE[[#This Row],[QUANTITE]]*SALIFKONE[[#This Row],[PRIX UNITAIRE]])</f>
        <v>0</v>
      </c>
      <c r="F59" s="14"/>
      <c r="G59" s="6">
        <f>+SUM(E$9:$E59)-SUM(F$9:$F59)</f>
        <v>250000</v>
      </c>
    </row>
    <row r="60" spans="1:7" ht="28.8" x14ac:dyDescent="0.55000000000000004">
      <c r="A60" s="12"/>
      <c r="B60" s="13"/>
      <c r="C60" s="10"/>
      <c r="D60" s="10"/>
      <c r="E60" s="7">
        <f>+$I$2+(SALIFKONE[[#This Row],[QUANTITE]]*SALIFKONE[[#This Row],[PRIX UNITAIRE]])</f>
        <v>0</v>
      </c>
      <c r="F60" s="14"/>
      <c r="G60" s="6">
        <f>+SUM(E$9:$E60)-SUM(F$9:$F60)</f>
        <v>250000</v>
      </c>
    </row>
    <row r="61" spans="1:7" ht="28.8" x14ac:dyDescent="0.55000000000000004">
      <c r="A61" s="12"/>
      <c r="B61" s="13"/>
      <c r="C61" s="10"/>
      <c r="D61" s="10"/>
      <c r="E61" s="7">
        <f>+$I$2+(SALIFKONE[[#This Row],[QUANTITE]]*SALIFKONE[[#This Row],[PRIX UNITAIRE]])</f>
        <v>0</v>
      </c>
      <c r="F61" s="14"/>
      <c r="G61" s="6">
        <f>+SUM(E$9:$E61)-SUM(F$9:$F61)</f>
        <v>250000</v>
      </c>
    </row>
    <row r="62" spans="1:7" ht="28.8" x14ac:dyDescent="0.55000000000000004">
      <c r="A62" s="12"/>
      <c r="B62" s="13"/>
      <c r="C62" s="10"/>
      <c r="D62" s="10"/>
      <c r="E62" s="7">
        <f>+$I$2+(SALIFKONE[[#This Row],[QUANTITE]]*SALIFKONE[[#This Row],[PRIX UNITAIRE]])</f>
        <v>0</v>
      </c>
      <c r="F62" s="14"/>
      <c r="G62" s="6">
        <f>+SUM(E$9:$E62)-SUM(F$9:$F62)</f>
        <v>250000</v>
      </c>
    </row>
    <row r="63" spans="1:7" ht="28.8" x14ac:dyDescent="0.55000000000000004">
      <c r="A63" s="12"/>
      <c r="B63" s="13"/>
      <c r="C63" s="10"/>
      <c r="D63" s="10"/>
      <c r="E63" s="7">
        <f>+$I$2+(SALIFKONE[[#This Row],[QUANTITE]]*SALIFKONE[[#This Row],[PRIX UNITAIRE]])</f>
        <v>0</v>
      </c>
      <c r="F63" s="14"/>
      <c r="G63" s="6">
        <f>+SUM(E$9:$E63)-SUM(F$9:$F63)</f>
        <v>250000</v>
      </c>
    </row>
    <row r="64" spans="1:7" ht="28.8" x14ac:dyDescent="0.55000000000000004">
      <c r="A64" s="12"/>
      <c r="B64" s="13"/>
      <c r="C64" s="10"/>
      <c r="D64" s="10"/>
      <c r="E64" s="7">
        <f>+$I$2+(SALIFKONE[[#This Row],[QUANTITE]]*SALIFKONE[[#This Row],[PRIX UNITAIRE]])</f>
        <v>0</v>
      </c>
      <c r="F64" s="14"/>
      <c r="G64" s="6">
        <f>+SUM(E$9:$E64)-SUM(F$9:$F64)</f>
        <v>250000</v>
      </c>
    </row>
    <row r="65" spans="1:7" ht="28.8" x14ac:dyDescent="0.55000000000000004">
      <c r="A65" s="12"/>
      <c r="B65" s="13"/>
      <c r="C65" s="10"/>
      <c r="D65" s="10"/>
      <c r="E65" s="7">
        <f>+$I$2+(SALIFKONE[[#This Row],[QUANTITE]]*SALIFKONE[[#This Row],[PRIX UNITAIRE]])</f>
        <v>0</v>
      </c>
      <c r="F65" s="14"/>
      <c r="G65" s="6">
        <f>+SUM(E$9:$E65)-SUM(F$9:$F65)</f>
        <v>250000</v>
      </c>
    </row>
    <row r="66" spans="1:7" ht="28.8" x14ac:dyDescent="0.55000000000000004">
      <c r="A66" s="12"/>
      <c r="B66" s="13"/>
      <c r="C66" s="10"/>
      <c r="D66" s="10"/>
      <c r="E66" s="7">
        <f>+$I$2+(SALIFKONE[[#This Row],[QUANTITE]]*SALIFKONE[[#This Row],[PRIX UNITAIRE]])</f>
        <v>0</v>
      </c>
      <c r="F66" s="14"/>
      <c r="G66" s="6">
        <f>+SUM(E$9:$E66)-SUM(F$9:$F66)</f>
        <v>250000</v>
      </c>
    </row>
    <row r="67" spans="1:7" ht="28.8" x14ac:dyDescent="0.55000000000000004">
      <c r="A67" s="12"/>
      <c r="B67" s="13"/>
      <c r="C67" s="10"/>
      <c r="D67" s="10"/>
      <c r="E67" s="7">
        <f>+$I$2+(SALIFKONE[[#This Row],[QUANTITE]]*SALIFKONE[[#This Row],[PRIX UNITAIRE]])</f>
        <v>0</v>
      </c>
      <c r="F67" s="14"/>
      <c r="G67" s="6">
        <f>+SUM(E$9:$E67)-SUM(F$9:$F67)</f>
        <v>250000</v>
      </c>
    </row>
    <row r="68" spans="1:7" ht="28.8" x14ac:dyDescent="0.55000000000000004">
      <c r="A68" s="12"/>
      <c r="B68" s="13"/>
      <c r="C68" s="10"/>
      <c r="D68" s="10"/>
      <c r="E68" s="7">
        <f>+$I$2+(SALIFKONE[[#This Row],[QUANTITE]]*SALIFKONE[[#This Row],[PRIX UNITAIRE]])</f>
        <v>0</v>
      </c>
      <c r="F68" s="14"/>
      <c r="G68" s="6">
        <f>+SUM(E$9:$E68)-SUM(F$9:$F68)</f>
        <v>250000</v>
      </c>
    </row>
    <row r="69" spans="1:7" ht="28.8" x14ac:dyDescent="0.55000000000000004">
      <c r="A69" s="12"/>
      <c r="B69" s="13"/>
      <c r="C69" s="10"/>
      <c r="D69" s="10"/>
      <c r="E69" s="7">
        <f>+$I$2+(SALIFKONE[[#This Row],[QUANTITE]]*SALIFKONE[[#This Row],[PRIX UNITAIRE]])</f>
        <v>0</v>
      </c>
      <c r="F69" s="14"/>
      <c r="G69" s="6">
        <f>+SUM(E$9:$E69)-SUM(F$9:$F69)</f>
        <v>250000</v>
      </c>
    </row>
    <row r="70" spans="1:7" ht="28.8" x14ac:dyDescent="0.55000000000000004">
      <c r="A70" s="12"/>
      <c r="B70" s="13"/>
      <c r="C70" s="10"/>
      <c r="D70" s="10"/>
      <c r="E70" s="7">
        <f>+$I$2+(SALIFKONE[[#This Row],[QUANTITE]]*SALIFKONE[[#This Row],[PRIX UNITAIRE]])</f>
        <v>0</v>
      </c>
      <c r="F70" s="14"/>
      <c r="G70" s="6">
        <f>+SUM(E$9:$E70)-SUM(F$9:$F70)</f>
        <v>250000</v>
      </c>
    </row>
    <row r="71" spans="1:7" ht="28.8" x14ac:dyDescent="0.55000000000000004">
      <c r="A71" s="12"/>
      <c r="B71" s="13"/>
      <c r="C71" s="10"/>
      <c r="D71" s="10"/>
      <c r="E71" s="7">
        <f>+$I$2+(SALIFKONE[[#This Row],[QUANTITE]]*SALIFKONE[[#This Row],[PRIX UNITAIRE]])</f>
        <v>0</v>
      </c>
      <c r="F71" s="14"/>
      <c r="G71" s="6">
        <f>+SUM(E$9:$E71)-SUM(F$9:$F71)</f>
        <v>250000</v>
      </c>
    </row>
    <row r="72" spans="1:7" ht="28.8" x14ac:dyDescent="0.55000000000000004">
      <c r="A72" s="12"/>
      <c r="B72" s="13"/>
      <c r="C72" s="10"/>
      <c r="D72" s="10"/>
      <c r="E72" s="7">
        <f>+$I$2+(SALIFKONE[[#This Row],[QUANTITE]]*SALIFKONE[[#This Row],[PRIX UNITAIRE]])</f>
        <v>0</v>
      </c>
      <c r="F72" s="14"/>
      <c r="G72" s="6">
        <f>+SUM(E$9:$E72)-SUM(F$9:$F72)</f>
        <v>250000</v>
      </c>
    </row>
    <row r="73" spans="1:7" ht="28.8" x14ac:dyDescent="0.55000000000000004">
      <c r="A73" s="12"/>
      <c r="B73" s="13"/>
      <c r="C73" s="10"/>
      <c r="D73" s="10"/>
      <c r="E73" s="7">
        <f>+$I$2+(SALIFKONE[[#This Row],[QUANTITE]]*SALIFKONE[[#This Row],[PRIX UNITAIRE]])</f>
        <v>0</v>
      </c>
      <c r="F73" s="14"/>
      <c r="G73" s="6">
        <f>+SUM(E$9:$E73)-SUM(F$9:$F73)</f>
        <v>250000</v>
      </c>
    </row>
    <row r="74" spans="1:7" ht="28.8" x14ac:dyDescent="0.55000000000000004">
      <c r="A74" s="12"/>
      <c r="B74" s="13"/>
      <c r="C74" s="10"/>
      <c r="D74" s="10"/>
      <c r="E74" s="7">
        <f>+$I$2+(SALIFKONE[[#This Row],[QUANTITE]]*SALIFKONE[[#This Row],[PRIX UNITAIRE]])</f>
        <v>0</v>
      </c>
      <c r="F74" s="14"/>
      <c r="G74" s="6">
        <f>+SUM(E$9:$E74)-SUM(F$9:$F74)</f>
        <v>250000</v>
      </c>
    </row>
    <row r="75" spans="1:7" ht="28.8" x14ac:dyDescent="0.55000000000000004">
      <c r="A75" s="12"/>
      <c r="B75" s="13"/>
      <c r="C75" s="10"/>
      <c r="D75" s="10"/>
      <c r="E75" s="7">
        <f>+$I$2+(SALIFKONE[[#This Row],[QUANTITE]]*SALIFKONE[[#This Row],[PRIX UNITAIRE]])</f>
        <v>0</v>
      </c>
      <c r="F75" s="14"/>
      <c r="G75" s="6">
        <f>+SUM(E$9:$E75)-SUM(F$9:$F75)</f>
        <v>250000</v>
      </c>
    </row>
    <row r="76" spans="1:7" ht="28.8" x14ac:dyDescent="0.55000000000000004">
      <c r="A76" s="12"/>
      <c r="B76" s="13"/>
      <c r="C76" s="10"/>
      <c r="D76" s="10"/>
      <c r="E76" s="7">
        <f>+$I$2+(SALIFKONE[[#This Row],[QUANTITE]]*SALIFKONE[[#This Row],[PRIX UNITAIRE]])</f>
        <v>0</v>
      </c>
      <c r="F76" s="14"/>
      <c r="G76" s="6">
        <f>+SUM(E$9:$E76)-SUM(F$9:$F76)</f>
        <v>250000</v>
      </c>
    </row>
    <row r="77" spans="1:7" ht="28.8" x14ac:dyDescent="0.55000000000000004">
      <c r="A77" s="12"/>
      <c r="B77" s="13"/>
      <c r="C77" s="10"/>
      <c r="D77" s="10"/>
      <c r="E77" s="7">
        <f>+$I$2+(SALIFKONE[[#This Row],[QUANTITE]]*SALIFKONE[[#This Row],[PRIX UNITAIRE]])</f>
        <v>0</v>
      </c>
      <c r="F77" s="14"/>
      <c r="G77" s="6">
        <f>+SUM(E$9:$E77)-SUM(F$9:$F77)</f>
        <v>250000</v>
      </c>
    </row>
    <row r="78" spans="1:7" ht="28.8" x14ac:dyDescent="0.55000000000000004">
      <c r="A78" s="12"/>
      <c r="B78" s="13"/>
      <c r="C78" s="10"/>
      <c r="D78" s="10"/>
      <c r="E78" s="7">
        <f>+$I$2+(SALIFKONE[[#This Row],[QUANTITE]]*SALIFKONE[[#This Row],[PRIX UNITAIRE]])</f>
        <v>0</v>
      </c>
      <c r="F78" s="14"/>
      <c r="G78" s="6">
        <f>+SUM(E$9:$E78)-SUM(F$9:$F78)</f>
        <v>250000</v>
      </c>
    </row>
    <row r="79" spans="1:7" ht="28.8" x14ac:dyDescent="0.55000000000000004">
      <c r="A79" s="12"/>
      <c r="B79" s="13"/>
      <c r="C79" s="10"/>
      <c r="D79" s="10"/>
      <c r="E79" s="7">
        <f>+$I$2+(SALIFKONE[[#This Row],[QUANTITE]]*SALIFKONE[[#This Row],[PRIX UNITAIRE]])</f>
        <v>0</v>
      </c>
      <c r="F79" s="14"/>
      <c r="G79" s="6">
        <f>+SUM(E$9:$E79)-SUM(F$9:$F79)</f>
        <v>250000</v>
      </c>
    </row>
    <row r="80" spans="1:7" ht="28.8" x14ac:dyDescent="0.55000000000000004">
      <c r="A80" s="12"/>
      <c r="B80" s="13"/>
      <c r="C80" s="10"/>
      <c r="D80" s="10"/>
      <c r="E80" s="7">
        <f>+$I$2+(SALIFKONE[[#This Row],[QUANTITE]]*SALIFKONE[[#This Row],[PRIX UNITAIRE]])</f>
        <v>0</v>
      </c>
      <c r="F80" s="14"/>
      <c r="G80" s="6">
        <f>+SUM(E$9:$E80)-SUM(F$9:$F80)</f>
        <v>250000</v>
      </c>
    </row>
    <row r="81" spans="1:7" ht="28.8" x14ac:dyDescent="0.55000000000000004">
      <c r="A81" s="12"/>
      <c r="B81" s="13"/>
      <c r="C81" s="10"/>
      <c r="D81" s="10"/>
      <c r="E81" s="7">
        <f>+$I$2+(SALIFKONE[[#This Row],[QUANTITE]]*SALIFKONE[[#This Row],[PRIX UNITAIRE]])</f>
        <v>0</v>
      </c>
      <c r="F81" s="14"/>
      <c r="G81" s="6">
        <f>+SUM(E$9:$E81)-SUM(F$9:$F81)</f>
        <v>250000</v>
      </c>
    </row>
    <row r="82" spans="1:7" ht="28.8" x14ac:dyDescent="0.55000000000000004">
      <c r="A82" s="12"/>
      <c r="B82" s="13"/>
      <c r="C82" s="10"/>
      <c r="D82" s="10"/>
      <c r="E82" s="7">
        <f>+$I$2+(SALIFKONE[[#This Row],[QUANTITE]]*SALIFKONE[[#This Row],[PRIX UNITAIRE]])</f>
        <v>0</v>
      </c>
      <c r="F82" s="14"/>
      <c r="G82" s="6">
        <f>+SUM(E$9:$E82)-SUM(F$9:$F82)</f>
        <v>250000</v>
      </c>
    </row>
    <row r="83" spans="1:7" ht="28.8" x14ac:dyDescent="0.55000000000000004">
      <c r="A83" s="12"/>
      <c r="B83" s="13"/>
      <c r="C83" s="10"/>
      <c r="D83" s="10"/>
      <c r="E83" s="7">
        <f>+$I$2+(SALIFKONE[[#This Row],[QUANTITE]]*SALIFKONE[[#This Row],[PRIX UNITAIRE]])</f>
        <v>0</v>
      </c>
      <c r="F83" s="14"/>
      <c r="G83" s="6">
        <f>+SUM(E$9:$E83)-SUM(F$9:$F83)</f>
        <v>250000</v>
      </c>
    </row>
    <row r="84" spans="1:7" ht="28.8" x14ac:dyDescent="0.55000000000000004">
      <c r="A84" s="12"/>
      <c r="B84" s="13"/>
      <c r="C84" s="10"/>
      <c r="D84" s="10"/>
      <c r="E84" s="7">
        <f>+$I$2+(SALIFKONE[[#This Row],[QUANTITE]]*SALIFKONE[[#This Row],[PRIX UNITAIRE]])</f>
        <v>0</v>
      </c>
      <c r="F84" s="14"/>
      <c r="G84" s="6">
        <f>+SUM(E$9:$E84)-SUM(F$9:$F84)</f>
        <v>250000</v>
      </c>
    </row>
    <row r="85" spans="1:7" ht="28.8" x14ac:dyDescent="0.55000000000000004">
      <c r="A85" s="12"/>
      <c r="B85" s="13"/>
      <c r="C85" s="10"/>
      <c r="D85" s="10"/>
      <c r="E85" s="7">
        <f>+$I$2+(SALIFKONE[[#This Row],[QUANTITE]]*SALIFKONE[[#This Row],[PRIX UNITAIRE]])</f>
        <v>0</v>
      </c>
      <c r="F85" s="14"/>
      <c r="G85" s="6">
        <f>+SUM(E$9:$E85)-SUM(F$9:$F85)</f>
        <v>250000</v>
      </c>
    </row>
    <row r="86" spans="1:7" ht="28.8" x14ac:dyDescent="0.55000000000000004">
      <c r="A86" s="12"/>
      <c r="B86" s="13"/>
      <c r="C86" s="10"/>
      <c r="D86" s="10"/>
      <c r="E86" s="7">
        <f>+$I$2+(SALIFKONE[[#This Row],[QUANTITE]]*SALIFKONE[[#This Row],[PRIX UNITAIRE]])</f>
        <v>0</v>
      </c>
      <c r="F86" s="14"/>
      <c r="G86" s="6">
        <f>+SUM(E$9:$E86)-SUM(F$9:$F86)</f>
        <v>250000</v>
      </c>
    </row>
    <row r="87" spans="1:7" ht="28.8" x14ac:dyDescent="0.55000000000000004">
      <c r="A87" s="12"/>
      <c r="B87" s="13"/>
      <c r="C87" s="10"/>
      <c r="D87" s="10"/>
      <c r="E87" s="7">
        <f>+$I$2+(SALIFKONE[[#This Row],[QUANTITE]]*SALIFKONE[[#This Row],[PRIX UNITAIRE]])</f>
        <v>0</v>
      </c>
      <c r="F87" s="14"/>
      <c r="G87" s="6">
        <f>+SUM(E$9:$E87)-SUM(F$9:$F87)</f>
        <v>250000</v>
      </c>
    </row>
    <row r="88" spans="1:7" ht="28.8" x14ac:dyDescent="0.55000000000000004">
      <c r="A88" s="12"/>
      <c r="B88" s="13"/>
      <c r="C88" s="10"/>
      <c r="D88" s="10"/>
      <c r="E88" s="7">
        <f>+$I$2+(SALIFKONE[[#This Row],[QUANTITE]]*SALIFKONE[[#This Row],[PRIX UNITAIRE]])</f>
        <v>0</v>
      </c>
      <c r="F88" s="14"/>
      <c r="G88" s="6">
        <f>+SUM(E$9:$E88)-SUM(F$9:$F88)</f>
        <v>250000</v>
      </c>
    </row>
    <row r="89" spans="1:7" ht="28.8" x14ac:dyDescent="0.55000000000000004">
      <c r="A89" s="12"/>
      <c r="B89" s="13"/>
      <c r="C89" s="10"/>
      <c r="D89" s="10"/>
      <c r="E89" s="7">
        <f>+$I$2+(SALIFKONE[[#This Row],[QUANTITE]]*SALIFKONE[[#This Row],[PRIX UNITAIRE]])</f>
        <v>0</v>
      </c>
      <c r="F89" s="14"/>
      <c r="G89" s="6">
        <f>+SUM(E$9:$E89)-SUM(F$9:$F89)</f>
        <v>250000</v>
      </c>
    </row>
    <row r="90" spans="1:7" ht="28.8" x14ac:dyDescent="0.55000000000000004">
      <c r="A90" s="12"/>
      <c r="B90" s="13"/>
      <c r="C90" s="10"/>
      <c r="D90" s="10"/>
      <c r="E90" s="7">
        <f>+$I$2+(SALIFKONE[[#This Row],[QUANTITE]]*SALIFKONE[[#This Row],[PRIX UNITAIRE]])</f>
        <v>0</v>
      </c>
      <c r="F90" s="14"/>
      <c r="G90" s="6">
        <f>+SUM(E$9:$E90)-SUM(F$9:$F90)</f>
        <v>250000</v>
      </c>
    </row>
    <row r="91" spans="1:7" ht="28.8" x14ac:dyDescent="0.55000000000000004">
      <c r="A91" s="12"/>
      <c r="B91" s="13"/>
      <c r="C91" s="10"/>
      <c r="D91" s="10"/>
      <c r="E91" s="7">
        <f>+$I$2+(SALIFKONE[[#This Row],[QUANTITE]]*SALIFKONE[[#This Row],[PRIX UNITAIRE]])</f>
        <v>0</v>
      </c>
      <c r="F91" s="14"/>
      <c r="G91" s="6">
        <f>+SUM(E$9:$E91)-SUM(F$9:$F91)</f>
        <v>250000</v>
      </c>
    </row>
    <row r="92" spans="1:7" ht="28.8" x14ac:dyDescent="0.55000000000000004">
      <c r="A92" s="12"/>
      <c r="B92" s="13"/>
      <c r="C92" s="10"/>
      <c r="D92" s="10"/>
      <c r="E92" s="7">
        <f>+$I$2+(SALIFKONE[[#This Row],[QUANTITE]]*SALIFKONE[[#This Row],[PRIX UNITAIRE]])</f>
        <v>0</v>
      </c>
      <c r="F92" s="14"/>
      <c r="G92" s="6">
        <f>+SUM(E$9:$E92)-SUM(F$9:$F92)</f>
        <v>250000</v>
      </c>
    </row>
    <row r="93" spans="1:7" ht="28.8" x14ac:dyDescent="0.55000000000000004">
      <c r="A93" s="12"/>
      <c r="B93" s="13"/>
      <c r="C93" s="10"/>
      <c r="D93" s="10"/>
      <c r="E93" s="7">
        <f>+$I$2+(SALIFKONE[[#This Row],[QUANTITE]]*SALIFKONE[[#This Row],[PRIX UNITAIRE]])</f>
        <v>0</v>
      </c>
      <c r="F93" s="14"/>
      <c r="G93" s="6">
        <f>+SUM(E$9:$E93)-SUM(F$9:$F93)</f>
        <v>250000</v>
      </c>
    </row>
    <row r="94" spans="1:7" ht="28.8" x14ac:dyDescent="0.55000000000000004">
      <c r="A94" s="12"/>
      <c r="B94" s="13"/>
      <c r="C94" s="10"/>
      <c r="D94" s="10"/>
      <c r="E94" s="7">
        <f>+$I$2+(SALIFKONE[[#This Row],[QUANTITE]]*SALIFKONE[[#This Row],[PRIX UNITAIRE]])</f>
        <v>0</v>
      </c>
      <c r="F94" s="14"/>
      <c r="G94" s="6">
        <f>+SUM(E$9:$E94)-SUM(F$9:$F94)</f>
        <v>250000</v>
      </c>
    </row>
    <row r="95" spans="1:7" ht="28.8" x14ac:dyDescent="0.55000000000000004">
      <c r="A95" s="12"/>
      <c r="B95" s="13"/>
      <c r="C95" s="10"/>
      <c r="D95" s="10"/>
      <c r="E95" s="7">
        <f>+$I$2+(SALIFKONE[[#This Row],[QUANTITE]]*SALIFKONE[[#This Row],[PRIX UNITAIRE]])</f>
        <v>0</v>
      </c>
      <c r="F95" s="14"/>
      <c r="G95" s="6">
        <f>+SUM(E$9:$E95)-SUM(F$9:$F95)</f>
        <v>250000</v>
      </c>
    </row>
    <row r="96" spans="1:7" ht="28.8" x14ac:dyDescent="0.55000000000000004">
      <c r="A96" s="12"/>
      <c r="B96" s="13"/>
      <c r="C96" s="10"/>
      <c r="D96" s="10"/>
      <c r="E96" s="7">
        <f>+$I$2+(SALIFKONE[[#This Row],[QUANTITE]]*SALIFKONE[[#This Row],[PRIX UNITAIRE]])</f>
        <v>0</v>
      </c>
      <c r="F96" s="14"/>
      <c r="G96" s="6">
        <f>+SUM(E$9:$E96)-SUM(F$9:$F96)</f>
        <v>250000</v>
      </c>
    </row>
    <row r="97" spans="1:7" ht="28.8" x14ac:dyDescent="0.55000000000000004">
      <c r="A97" s="12"/>
      <c r="B97" s="13"/>
      <c r="C97" s="10"/>
      <c r="D97" s="10"/>
      <c r="E97" s="7">
        <f>+$I$2+(SALIFKONE[[#This Row],[QUANTITE]]*SALIFKONE[[#This Row],[PRIX UNITAIRE]])</f>
        <v>0</v>
      </c>
      <c r="F97" s="14"/>
      <c r="G97" s="6">
        <f>+SUM(E$9:$E97)-SUM(F$9:$F97)</f>
        <v>250000</v>
      </c>
    </row>
    <row r="98" spans="1:7" ht="28.8" x14ac:dyDescent="0.55000000000000004">
      <c r="A98" s="12"/>
      <c r="B98" s="13"/>
      <c r="C98" s="10"/>
      <c r="D98" s="10"/>
      <c r="E98" s="7">
        <f>+$I$2+(SALIFKONE[[#This Row],[QUANTITE]]*SALIFKONE[[#This Row],[PRIX UNITAIRE]])</f>
        <v>0</v>
      </c>
      <c r="F98" s="14"/>
      <c r="G98" s="6">
        <f>+SUM(E$9:$E98)-SUM(F$9:$F98)</f>
        <v>250000</v>
      </c>
    </row>
    <row r="99" spans="1:7" ht="28.8" x14ac:dyDescent="0.55000000000000004">
      <c r="A99" s="12"/>
      <c r="B99" s="13"/>
      <c r="C99" s="10"/>
      <c r="D99" s="10"/>
      <c r="E99" s="7">
        <f>+$I$2+(SALIFKONE[[#This Row],[QUANTITE]]*SALIFKONE[[#This Row],[PRIX UNITAIRE]])</f>
        <v>0</v>
      </c>
      <c r="F99" s="14"/>
      <c r="G99" s="6">
        <f>+SUM(E$9:$E99)-SUM(F$9:$F99)</f>
        <v>250000</v>
      </c>
    </row>
    <row r="100" spans="1:7" ht="28.8" x14ac:dyDescent="0.55000000000000004">
      <c r="A100" s="12"/>
      <c r="B100" s="13"/>
      <c r="C100" s="10"/>
      <c r="D100" s="10"/>
      <c r="E100" s="7">
        <f>+$I$2+(SALIFKONE[[#This Row],[QUANTITE]]*SALIFKONE[[#This Row],[PRIX UNITAIRE]])</f>
        <v>0</v>
      </c>
      <c r="F100" s="14"/>
      <c r="G100" s="6">
        <f>+SUM(E$9:$E100)-SUM(F$9:$F100)</f>
        <v>250000</v>
      </c>
    </row>
    <row r="101" spans="1:7" ht="28.8" x14ac:dyDescent="0.55000000000000004">
      <c r="A101" s="12"/>
      <c r="B101" s="13"/>
      <c r="C101" s="10"/>
      <c r="D101" s="10"/>
      <c r="E101" s="7">
        <f>+$I$2+(SALIFKONE[[#This Row],[QUANTITE]]*SALIFKONE[[#This Row],[PRIX UNITAIRE]])</f>
        <v>0</v>
      </c>
      <c r="F101" s="14"/>
      <c r="G101" s="6">
        <f>+SUM(E$9:$E101)-SUM(F$9:$F101)</f>
        <v>250000</v>
      </c>
    </row>
    <row r="102" spans="1:7" ht="28.8" x14ac:dyDescent="0.55000000000000004">
      <c r="A102" s="12"/>
      <c r="B102" s="13"/>
      <c r="C102" s="10"/>
      <c r="D102" s="10"/>
      <c r="E102" s="7">
        <f>+$I$2+(SALIFKONE[[#This Row],[QUANTITE]]*SALIFKONE[[#This Row],[PRIX UNITAIRE]])</f>
        <v>0</v>
      </c>
      <c r="F102" s="14"/>
      <c r="G102" s="6">
        <f>+SUM(E$9:$E102)-SUM(F$9:$F102)</f>
        <v>250000</v>
      </c>
    </row>
    <row r="103" spans="1:7" ht="28.8" x14ac:dyDescent="0.55000000000000004">
      <c r="A103" s="12"/>
      <c r="B103" s="13"/>
      <c r="C103" s="10"/>
      <c r="D103" s="10"/>
      <c r="E103" s="7">
        <f>+$I$2+(SALIFKONE[[#This Row],[QUANTITE]]*SALIFKONE[[#This Row],[PRIX UNITAIRE]])</f>
        <v>0</v>
      </c>
      <c r="F103" s="14"/>
      <c r="G103" s="6">
        <f>+SUM(E$9:$E103)-SUM(F$9:$F103)</f>
        <v>250000</v>
      </c>
    </row>
    <row r="104" spans="1:7" ht="28.8" x14ac:dyDescent="0.55000000000000004">
      <c r="A104" s="12"/>
      <c r="B104" s="13"/>
      <c r="C104" s="10"/>
      <c r="D104" s="10"/>
      <c r="E104" s="7">
        <f>+$I$2+(SALIFKONE[[#This Row],[QUANTITE]]*SALIFKONE[[#This Row],[PRIX UNITAIRE]])</f>
        <v>0</v>
      </c>
      <c r="F104" s="14"/>
      <c r="G104" s="6">
        <f>+SUM(E$9:$E104)-SUM(F$9:$F104)</f>
        <v>250000</v>
      </c>
    </row>
    <row r="105" spans="1:7" ht="28.8" x14ac:dyDescent="0.55000000000000004">
      <c r="A105" s="12"/>
      <c r="B105" s="13"/>
      <c r="C105" s="10"/>
      <c r="D105" s="10"/>
      <c r="E105" s="7">
        <f>+$I$2+(SALIFKONE[[#This Row],[QUANTITE]]*SALIFKONE[[#This Row],[PRIX UNITAIRE]])</f>
        <v>0</v>
      </c>
      <c r="F105" s="14"/>
      <c r="G105" s="6">
        <f>+SUM(E$9:$E105)-SUM(F$9:$F105)</f>
        <v>250000</v>
      </c>
    </row>
    <row r="106" spans="1:7" ht="28.8" x14ac:dyDescent="0.55000000000000004">
      <c r="A106" s="12"/>
      <c r="B106" s="13"/>
      <c r="C106" s="10"/>
      <c r="D106" s="10"/>
      <c r="E106" s="7">
        <f>+$I$2+(SALIFKONE[[#This Row],[QUANTITE]]*SALIFKONE[[#This Row],[PRIX UNITAIRE]])</f>
        <v>0</v>
      </c>
      <c r="F106" s="14"/>
      <c r="G106" s="6">
        <f>+SUM(E$9:$E106)-SUM(F$9:$F106)</f>
        <v>250000</v>
      </c>
    </row>
    <row r="107" spans="1:7" ht="28.8" x14ac:dyDescent="0.55000000000000004">
      <c r="A107" s="12"/>
      <c r="B107" s="13"/>
      <c r="C107" s="10"/>
      <c r="D107" s="10"/>
      <c r="E107" s="7">
        <f>+$I$2+(SALIFKONE[[#This Row],[QUANTITE]]*SALIFKONE[[#This Row],[PRIX UNITAIRE]])</f>
        <v>0</v>
      </c>
      <c r="F107" s="14"/>
      <c r="G107" s="6">
        <f>+SUM(E$9:$E107)-SUM(F$9:$F107)</f>
        <v>250000</v>
      </c>
    </row>
    <row r="108" spans="1:7" ht="28.8" x14ac:dyDescent="0.55000000000000004">
      <c r="A108" s="12"/>
      <c r="B108" s="13"/>
      <c r="C108" s="10"/>
      <c r="D108" s="10"/>
      <c r="E108" s="7">
        <f>+$I$2+(SALIFKONE[[#This Row],[QUANTITE]]*SALIFKONE[[#This Row],[PRIX UNITAIRE]])</f>
        <v>0</v>
      </c>
      <c r="F108" s="14"/>
      <c r="G108" s="6">
        <f>+SUM(E$9:$E108)-SUM(F$9:$F108)</f>
        <v>250000</v>
      </c>
    </row>
    <row r="109" spans="1:7" ht="28.8" x14ac:dyDescent="0.55000000000000004">
      <c r="A109" s="12"/>
      <c r="B109" s="13"/>
      <c r="C109" s="10"/>
      <c r="D109" s="10"/>
      <c r="E109" s="7">
        <f>+$I$2+(SALIFKONE[[#This Row],[QUANTITE]]*SALIFKONE[[#This Row],[PRIX UNITAIRE]])</f>
        <v>0</v>
      </c>
      <c r="F109" s="14"/>
      <c r="G109" s="6">
        <f>+SUM(E$9:$E109)-SUM(F$9:$F109)</f>
        <v>250000</v>
      </c>
    </row>
    <row r="110" spans="1:7" ht="28.8" x14ac:dyDescent="0.55000000000000004">
      <c r="A110" s="12"/>
      <c r="B110" s="13"/>
      <c r="C110" s="10"/>
      <c r="D110" s="10"/>
      <c r="E110" s="7">
        <f>+$I$2+(SALIFKONE[[#This Row],[QUANTITE]]*SALIFKONE[[#This Row],[PRIX UNITAIRE]])</f>
        <v>0</v>
      </c>
      <c r="F110" s="14"/>
      <c r="G110" s="6">
        <f>+SUM(E$9:$E110)-SUM(F$9:$F110)</f>
        <v>250000</v>
      </c>
    </row>
    <row r="111" spans="1:7" ht="28.8" x14ac:dyDescent="0.55000000000000004">
      <c r="A111" s="12"/>
      <c r="B111" s="13"/>
      <c r="C111" s="10"/>
      <c r="D111" s="10"/>
      <c r="E111" s="7">
        <f>+$I$2+(SALIFKONE[[#This Row],[QUANTITE]]*SALIFKONE[[#This Row],[PRIX UNITAIRE]])</f>
        <v>0</v>
      </c>
      <c r="F111" s="14"/>
      <c r="G111" s="6">
        <f>+SUM(E$9:$E111)-SUM(F$9:$F111)</f>
        <v>250000</v>
      </c>
    </row>
    <row r="112" spans="1:7" ht="28.8" x14ac:dyDescent="0.55000000000000004">
      <c r="A112" s="12"/>
      <c r="B112" s="13"/>
      <c r="C112" s="10"/>
      <c r="D112" s="10"/>
      <c r="E112" s="7">
        <f>+$I$2+(SALIFKONE[[#This Row],[QUANTITE]]*SALIFKONE[[#This Row],[PRIX UNITAIRE]])</f>
        <v>0</v>
      </c>
      <c r="F112" s="14"/>
      <c r="G112" s="6">
        <f>+SUM(E$9:$E112)-SUM(F$9:$F112)</f>
        <v>250000</v>
      </c>
    </row>
    <row r="113" spans="1:7" ht="28.8" x14ac:dyDescent="0.55000000000000004">
      <c r="A113" s="12"/>
      <c r="B113" s="13"/>
      <c r="C113" s="10"/>
      <c r="D113" s="10"/>
      <c r="E113" s="7">
        <f>+$I$2+(SALIFKONE[[#This Row],[QUANTITE]]*SALIFKONE[[#This Row],[PRIX UNITAIRE]])</f>
        <v>0</v>
      </c>
      <c r="F113" s="14"/>
      <c r="G113" s="6">
        <f>+SUM(E$9:$E113)-SUM(F$9:$F113)</f>
        <v>250000</v>
      </c>
    </row>
    <row r="114" spans="1:7" ht="28.8" x14ac:dyDescent="0.55000000000000004">
      <c r="A114" s="12"/>
      <c r="B114" s="13"/>
      <c r="C114" s="10"/>
      <c r="D114" s="10"/>
      <c r="E114" s="7">
        <f>+$I$2+(SALIFKONE[[#This Row],[QUANTITE]]*SALIFKONE[[#This Row],[PRIX UNITAIRE]])</f>
        <v>0</v>
      </c>
      <c r="F114" s="14"/>
      <c r="G114" s="6">
        <f>+SUM(E$9:$E114)-SUM(F$9:$F114)</f>
        <v>250000</v>
      </c>
    </row>
    <row r="115" spans="1:7" ht="28.8" x14ac:dyDescent="0.55000000000000004">
      <c r="A115" s="12"/>
      <c r="B115" s="13"/>
      <c r="C115" s="10"/>
      <c r="D115" s="10"/>
      <c r="E115" s="7">
        <f>+$I$2+(SALIFKONE[[#This Row],[QUANTITE]]*SALIFKONE[[#This Row],[PRIX UNITAIRE]])</f>
        <v>0</v>
      </c>
      <c r="F115" s="14"/>
      <c r="G115" s="6">
        <f>+SUM(E$9:$E115)-SUM(F$9:$F115)</f>
        <v>250000</v>
      </c>
    </row>
    <row r="116" spans="1:7" ht="28.8" x14ac:dyDescent="0.55000000000000004">
      <c r="A116" s="12"/>
      <c r="B116" s="13"/>
      <c r="C116" s="10"/>
      <c r="D116" s="10"/>
      <c r="E116" s="7">
        <f>+$I$2+(SALIFKONE[[#This Row],[QUANTITE]]*SALIFKONE[[#This Row],[PRIX UNITAIRE]])</f>
        <v>0</v>
      </c>
      <c r="F116" s="14"/>
      <c r="G116" s="6">
        <f>+SUM(E$9:$E116)-SUM(F$9:$F116)</f>
        <v>250000</v>
      </c>
    </row>
    <row r="117" spans="1:7" ht="28.8" x14ac:dyDescent="0.55000000000000004">
      <c r="A117" s="12"/>
      <c r="B117" s="13"/>
      <c r="C117" s="10"/>
      <c r="D117" s="10"/>
      <c r="E117" s="7">
        <f>+$I$2+(SALIFKONE[[#This Row],[QUANTITE]]*SALIFKONE[[#This Row],[PRIX UNITAIRE]])</f>
        <v>0</v>
      </c>
      <c r="F117" s="14"/>
      <c r="G117" s="6">
        <f>+SUM(E$9:$E117)-SUM(F$9:$F117)</f>
        <v>250000</v>
      </c>
    </row>
    <row r="118" spans="1:7" ht="28.8" x14ac:dyDescent="0.55000000000000004">
      <c r="A118" s="12"/>
      <c r="B118" s="13"/>
      <c r="C118" s="10"/>
      <c r="D118" s="10"/>
      <c r="E118" s="7">
        <f>+$I$2+(SALIFKONE[[#This Row],[QUANTITE]]*SALIFKONE[[#This Row],[PRIX UNITAIRE]])</f>
        <v>0</v>
      </c>
      <c r="F118" s="14"/>
      <c r="G118" s="6">
        <f>+SUM(E$9:$E118)-SUM(F$9:$F118)</f>
        <v>250000</v>
      </c>
    </row>
    <row r="119" spans="1:7" ht="28.8" x14ac:dyDescent="0.55000000000000004">
      <c r="A119" s="12"/>
      <c r="B119" s="13"/>
      <c r="C119" s="10"/>
      <c r="D119" s="10"/>
      <c r="E119" s="7">
        <f>+$I$2+(SALIFKONE[[#This Row],[QUANTITE]]*SALIFKONE[[#This Row],[PRIX UNITAIRE]])</f>
        <v>0</v>
      </c>
      <c r="F119" s="14"/>
      <c r="G119" s="6">
        <f>+SUM(E$9:$E119)-SUM(F$9:$F119)</f>
        <v>250000</v>
      </c>
    </row>
    <row r="120" spans="1:7" ht="28.8" x14ac:dyDescent="0.55000000000000004">
      <c r="A120" s="12"/>
      <c r="B120" s="13"/>
      <c r="C120" s="10"/>
      <c r="D120" s="10"/>
      <c r="E120" s="7">
        <f>+$I$2+(SALIFKONE[[#This Row],[QUANTITE]]*SALIFKONE[[#This Row],[PRIX UNITAIRE]])</f>
        <v>0</v>
      </c>
      <c r="F120" s="14"/>
      <c r="G120" s="6">
        <f>+SUM(E$9:$E120)-SUM(F$9:$F120)</f>
        <v>250000</v>
      </c>
    </row>
    <row r="121" spans="1:7" ht="28.8" x14ac:dyDescent="0.55000000000000004">
      <c r="A121" s="12"/>
      <c r="B121" s="13"/>
      <c r="C121" s="10"/>
      <c r="D121" s="10"/>
      <c r="E121" s="7">
        <f>+$I$2+(SALIFKONE[[#This Row],[QUANTITE]]*SALIFKONE[[#This Row],[PRIX UNITAIRE]])</f>
        <v>0</v>
      </c>
      <c r="F121" s="14"/>
      <c r="G121" s="6">
        <f>+SUM(E$9:$E121)-SUM(F$9:$F121)</f>
        <v>250000</v>
      </c>
    </row>
    <row r="122" spans="1:7" ht="28.8" x14ac:dyDescent="0.55000000000000004">
      <c r="A122" s="12"/>
      <c r="B122" s="13"/>
      <c r="C122" s="10"/>
      <c r="D122" s="10"/>
      <c r="E122" s="7">
        <f>+$I$2+(SALIFKONE[[#This Row],[QUANTITE]]*SALIFKONE[[#This Row],[PRIX UNITAIRE]])</f>
        <v>0</v>
      </c>
      <c r="F122" s="14"/>
      <c r="G122" s="6">
        <f>+SUM(E$9:$E122)-SUM(F$9:$F122)</f>
        <v>250000</v>
      </c>
    </row>
  </sheetData>
  <sheetProtection selectLockedCells="1" autoFilter="0"/>
  <mergeCells count="1">
    <mergeCell ref="B6:C6"/>
  </mergeCells>
  <conditionalFormatting sqref="G4">
    <cfRule type="cellIs" dxfId="579" priority="2" operator="lessThan">
      <formula>0</formula>
    </cfRule>
    <cfRule type="cellIs" dxfId="578" priority="3" operator="greaterThan">
      <formula>0</formula>
    </cfRule>
  </conditionalFormatting>
  <conditionalFormatting sqref="B9:B30 B33:B122">
    <cfRule type="expression" dxfId="577" priority="5">
      <formula>$F9</formula>
    </cfRule>
  </conditionalFormatting>
  <conditionalFormatting sqref="B31">
    <cfRule type="expression" dxfId="576" priority="120">
      <formula>$F32</formula>
    </cfRule>
  </conditionalFormatting>
  <dataValidations count="1">
    <dataValidation type="date" operator="greaterThan" allowBlank="1" showInputMessage="1" showErrorMessage="1" error="VEILLEZ ENTRER UNE DATE VALIDE" sqref="A9:A12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I122"/>
  <sheetViews>
    <sheetView showGridLines="0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4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+SUM(ABBASZALZALE[TOTAL MONTANT])</f>
        <v>375000</v>
      </c>
      <c r="F4" s="41">
        <f>+SUM(ABBASZALZALE[VERSEMENT])</f>
        <v>300000</v>
      </c>
      <c r="G4" s="130">
        <f>+E4-F4</f>
        <v>75000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468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45706</v>
      </c>
      <c r="B9" s="13" t="s">
        <v>469</v>
      </c>
      <c r="C9" s="10">
        <v>4</v>
      </c>
      <c r="D9" s="10">
        <v>75000</v>
      </c>
      <c r="E9" s="7">
        <f>+$I$2+(ABBASZALZALE[[#This Row],[QUANTITE]]*ABBASZALZALE[[#This Row],[PRIX UNITAIRE]])</f>
        <v>300000</v>
      </c>
      <c r="F9" s="20"/>
      <c r="G9" s="6">
        <f>+SUM(E$9:$E9)-SUM(F$9:$F9)</f>
        <v>300000</v>
      </c>
    </row>
    <row r="10" spans="1:9" ht="28.8" x14ac:dyDescent="0.55000000000000004">
      <c r="A10" s="12">
        <v>45846</v>
      </c>
      <c r="B10" s="13" t="s">
        <v>1263</v>
      </c>
      <c r="C10" s="10"/>
      <c r="D10" s="10"/>
      <c r="E10" s="7">
        <f>+$I$2+(ABBASZALZALE[[#This Row],[QUANTITE]]*ABBASZALZALE[[#This Row],[PRIX UNITAIRE]])</f>
        <v>0</v>
      </c>
      <c r="F10" s="159">
        <v>300000</v>
      </c>
      <c r="G10" s="6">
        <f>+SUM(E$9:$E10)-SUM(F$9:$F10)</f>
        <v>0</v>
      </c>
    </row>
    <row r="11" spans="1:9" ht="28.8" x14ac:dyDescent="0.55000000000000004">
      <c r="A11" s="12">
        <v>45903</v>
      </c>
      <c r="B11" s="13" t="s">
        <v>410</v>
      </c>
      <c r="C11" s="10">
        <v>1</v>
      </c>
      <c r="D11" s="10">
        <v>50000</v>
      </c>
      <c r="E11" s="7">
        <f>+$I$2+(ABBASZALZALE[[#This Row],[QUANTITE]]*ABBASZALZALE[[#This Row],[PRIX UNITAIRE]])</f>
        <v>50000</v>
      </c>
      <c r="F11" s="14"/>
      <c r="G11" s="6">
        <f>+SUM(E$9:$E11)-SUM(F$9:$F11)</f>
        <v>50000</v>
      </c>
    </row>
    <row r="12" spans="1:9" ht="28.8" x14ac:dyDescent="0.55000000000000004">
      <c r="A12" s="12">
        <v>45903</v>
      </c>
      <c r="B12" s="13" t="s">
        <v>2973</v>
      </c>
      <c r="C12" s="10">
        <v>1</v>
      </c>
      <c r="D12" s="10">
        <v>25000</v>
      </c>
      <c r="E12" s="7">
        <f>+$I$2+(ABBASZALZALE[[#This Row],[QUANTITE]]*ABBASZALZALE[[#This Row],[PRIX UNITAIRE]])</f>
        <v>25000</v>
      </c>
      <c r="F12" s="14"/>
      <c r="G12" s="6">
        <f>+SUM(E$9:$E12)-SUM(F$9:$F12)</f>
        <v>75000</v>
      </c>
    </row>
    <row r="13" spans="1:9" ht="28.8" x14ac:dyDescent="0.55000000000000004">
      <c r="A13" s="12">
        <v>46079</v>
      </c>
      <c r="B13" s="13" t="s">
        <v>3482</v>
      </c>
      <c r="C13" s="10">
        <v>1</v>
      </c>
      <c r="D13" s="10"/>
      <c r="E13" s="7">
        <f>+$I$2+(ABBASZALZALE[[#This Row],[QUANTITE]]*ABBASZALZALE[[#This Row],[PRIX UNITAIRE]])</f>
        <v>0</v>
      </c>
      <c r="F13" s="14"/>
      <c r="G13" s="6">
        <f>+SUM(E$9:$E13)-SUM(F$9:$F13)</f>
        <v>75000</v>
      </c>
    </row>
    <row r="14" spans="1:9" ht="28.8" x14ac:dyDescent="0.55000000000000004">
      <c r="A14" s="12"/>
      <c r="B14" s="13"/>
      <c r="C14" s="10"/>
      <c r="D14" s="10"/>
      <c r="E14" s="7">
        <f>+$I$2+(ABBASZALZALE[[#This Row],[QUANTITE]]*ABBASZALZALE[[#This Row],[PRIX UNITAIRE]])</f>
        <v>0</v>
      </c>
      <c r="F14" s="14"/>
      <c r="G14" s="6">
        <f>+SUM(E$9:$E14)-SUM(F$9:$F14)</f>
        <v>75000</v>
      </c>
    </row>
    <row r="15" spans="1:9" ht="28.8" x14ac:dyDescent="0.55000000000000004">
      <c r="A15" s="12"/>
      <c r="B15" s="13"/>
      <c r="C15" s="10"/>
      <c r="D15" s="10"/>
      <c r="E15" s="7">
        <f>+$I$2+(ABBASZALZALE[[#This Row],[QUANTITE]]*ABBASZALZALE[[#This Row],[PRIX UNITAIRE]])</f>
        <v>0</v>
      </c>
      <c r="F15" s="14"/>
      <c r="G15" s="6">
        <f>+SUM(E$9:$E15)-SUM(F$9:$F15)</f>
        <v>75000</v>
      </c>
    </row>
    <row r="16" spans="1:9" ht="28.8" x14ac:dyDescent="0.55000000000000004">
      <c r="A16" s="12"/>
      <c r="B16" s="13"/>
      <c r="C16" s="10"/>
      <c r="D16" s="10"/>
      <c r="E16" s="7">
        <f>+$I$2+(ABBASZALZALE[[#This Row],[QUANTITE]]*ABBASZALZALE[[#This Row],[PRIX UNITAIRE]])</f>
        <v>0</v>
      </c>
      <c r="F16" s="14"/>
      <c r="G16" s="6">
        <f>+SUM(E$9:$E16)-SUM(F$9:$F16)</f>
        <v>75000</v>
      </c>
    </row>
    <row r="17" spans="1:7" ht="28.8" x14ac:dyDescent="0.55000000000000004">
      <c r="A17" s="12"/>
      <c r="B17" s="13"/>
      <c r="C17" s="10"/>
      <c r="D17" s="10"/>
      <c r="E17" s="7">
        <f>+$I$2+(ABBASZALZALE[[#This Row],[QUANTITE]]*ABBASZALZALE[[#This Row],[PRIX UNITAIRE]])</f>
        <v>0</v>
      </c>
      <c r="F17" s="14"/>
      <c r="G17" s="6">
        <f>+SUM(E$9:$E17)-SUM(F$9:$F17)</f>
        <v>75000</v>
      </c>
    </row>
    <row r="18" spans="1:7" ht="28.8" x14ac:dyDescent="0.55000000000000004">
      <c r="A18" s="12"/>
      <c r="B18" s="13"/>
      <c r="C18" s="10"/>
      <c r="D18" s="10"/>
      <c r="E18" s="7">
        <f>+$I$2+(ABBASZALZALE[[#This Row],[QUANTITE]]*ABBASZALZALE[[#This Row],[PRIX UNITAIRE]])</f>
        <v>0</v>
      </c>
      <c r="F18" s="14"/>
      <c r="G18" s="6">
        <f>+SUM(E$9:$E18)-SUM(F$9:$F18)</f>
        <v>75000</v>
      </c>
    </row>
    <row r="19" spans="1:7" ht="28.8" x14ac:dyDescent="0.55000000000000004">
      <c r="A19" s="12"/>
      <c r="B19" s="13"/>
      <c r="C19" s="10"/>
      <c r="D19" s="10"/>
      <c r="E19" s="7">
        <f>+$I$2+(ABBASZALZALE[[#This Row],[QUANTITE]]*ABBASZALZALE[[#This Row],[PRIX UNITAIRE]])</f>
        <v>0</v>
      </c>
      <c r="F19" s="14"/>
      <c r="G19" s="6">
        <f>+SUM(E$9:$E19)-SUM(F$9:$F19)</f>
        <v>75000</v>
      </c>
    </row>
    <row r="20" spans="1:7" ht="28.8" x14ac:dyDescent="0.55000000000000004">
      <c r="A20" s="12"/>
      <c r="B20" s="13"/>
      <c r="C20" s="10"/>
      <c r="D20" s="10"/>
      <c r="E20" s="7">
        <f>+$I$2+(ABBASZALZALE[[#This Row],[QUANTITE]]*ABBASZALZALE[[#This Row],[PRIX UNITAIRE]])</f>
        <v>0</v>
      </c>
      <c r="F20" s="14"/>
      <c r="G20" s="6">
        <f>+SUM(E$9:$E20)-SUM(F$9:$F20)</f>
        <v>75000</v>
      </c>
    </row>
    <row r="21" spans="1:7" ht="28.8" x14ac:dyDescent="0.55000000000000004">
      <c r="A21" s="12"/>
      <c r="B21" s="13"/>
      <c r="C21" s="10"/>
      <c r="D21" s="10"/>
      <c r="E21" s="7">
        <f>+$I$2+(ABBASZALZALE[[#This Row],[QUANTITE]]*ABBASZALZALE[[#This Row],[PRIX UNITAIRE]])</f>
        <v>0</v>
      </c>
      <c r="F21" s="14"/>
      <c r="G21" s="6">
        <f>+SUM(E$9:$E21)-SUM(F$9:$F21)</f>
        <v>75000</v>
      </c>
    </row>
    <row r="22" spans="1:7" ht="28.8" x14ac:dyDescent="0.55000000000000004">
      <c r="A22" s="12"/>
      <c r="B22" s="13"/>
      <c r="C22" s="10"/>
      <c r="D22" s="10"/>
      <c r="E22" s="7">
        <f>+$I$2+(ABBASZALZALE[[#This Row],[QUANTITE]]*ABBASZALZALE[[#This Row],[PRIX UNITAIRE]])</f>
        <v>0</v>
      </c>
      <c r="F22" s="14"/>
      <c r="G22" s="6">
        <f>+SUM(E$9:$E22)-SUM(F$9:$F22)</f>
        <v>75000</v>
      </c>
    </row>
    <row r="23" spans="1:7" ht="28.8" x14ac:dyDescent="0.55000000000000004">
      <c r="A23" s="12"/>
      <c r="B23" s="13"/>
      <c r="C23" s="10"/>
      <c r="D23" s="10"/>
      <c r="E23" s="7">
        <f>+$I$2+(ABBASZALZALE[[#This Row],[QUANTITE]]*ABBASZALZALE[[#This Row],[PRIX UNITAIRE]])</f>
        <v>0</v>
      </c>
      <c r="F23" s="14"/>
      <c r="G23" s="6">
        <f>+SUM(E$9:$E23)-SUM(F$9:$F23)</f>
        <v>75000</v>
      </c>
    </row>
    <row r="24" spans="1:7" ht="28.8" x14ac:dyDescent="0.55000000000000004">
      <c r="A24" s="12"/>
      <c r="B24" s="13"/>
      <c r="C24" s="10"/>
      <c r="D24" s="10"/>
      <c r="E24" s="7">
        <f>+$I$2+(ABBASZALZALE[[#This Row],[QUANTITE]]*ABBASZALZALE[[#This Row],[PRIX UNITAIRE]])</f>
        <v>0</v>
      </c>
      <c r="F24" s="14"/>
      <c r="G24" s="6">
        <f>+SUM(E$9:$E24)-SUM(F$9:$F24)</f>
        <v>75000</v>
      </c>
    </row>
    <row r="25" spans="1:7" ht="28.8" x14ac:dyDescent="0.55000000000000004">
      <c r="A25" s="12"/>
      <c r="B25" s="13"/>
      <c r="C25" s="10"/>
      <c r="D25" s="10"/>
      <c r="E25" s="7">
        <f>+$I$2+(ABBASZALZALE[[#This Row],[QUANTITE]]*ABBASZALZALE[[#This Row],[PRIX UNITAIRE]])</f>
        <v>0</v>
      </c>
      <c r="F25" s="14"/>
      <c r="G25" s="6">
        <f>+SUM(E$9:$E25)-SUM(F$9:$F25)</f>
        <v>75000</v>
      </c>
    </row>
    <row r="26" spans="1:7" ht="28.8" x14ac:dyDescent="0.55000000000000004">
      <c r="A26" s="12"/>
      <c r="B26" s="13"/>
      <c r="C26" s="10"/>
      <c r="D26" s="10"/>
      <c r="E26" s="7">
        <f>+$I$2+(ABBASZALZALE[[#This Row],[QUANTITE]]*ABBASZALZALE[[#This Row],[PRIX UNITAIRE]])</f>
        <v>0</v>
      </c>
      <c r="F26" s="14"/>
      <c r="G26" s="6">
        <f>+SUM(E$9:$E26)-SUM(F$9:$F26)</f>
        <v>75000</v>
      </c>
    </row>
    <row r="27" spans="1:7" ht="28.8" x14ac:dyDescent="0.55000000000000004">
      <c r="A27" s="12"/>
      <c r="B27" s="13"/>
      <c r="C27" s="10"/>
      <c r="D27" s="10"/>
      <c r="E27" s="7">
        <f>+$I$2+(ABBASZALZALE[[#This Row],[QUANTITE]]*ABBASZALZALE[[#This Row],[PRIX UNITAIRE]])</f>
        <v>0</v>
      </c>
      <c r="F27" s="14"/>
      <c r="G27" s="6">
        <f>+SUM(E$9:$E27)-SUM(F$9:$F27)</f>
        <v>75000</v>
      </c>
    </row>
    <row r="28" spans="1:7" ht="28.8" x14ac:dyDescent="0.55000000000000004">
      <c r="A28" s="12"/>
      <c r="B28" s="13"/>
      <c r="C28" s="10"/>
      <c r="D28" s="10"/>
      <c r="E28" s="7">
        <f>+$I$2+(ABBASZALZALE[[#This Row],[QUANTITE]]*ABBASZALZALE[[#This Row],[PRIX UNITAIRE]])</f>
        <v>0</v>
      </c>
      <c r="F28" s="14"/>
      <c r="G28" s="6">
        <f>+SUM(E$9:$E28)-SUM(F$9:$F28)</f>
        <v>75000</v>
      </c>
    </row>
    <row r="29" spans="1:7" ht="28.8" x14ac:dyDescent="0.55000000000000004">
      <c r="A29" s="12"/>
      <c r="B29" s="13"/>
      <c r="C29" s="10"/>
      <c r="D29" s="10"/>
      <c r="E29" s="7">
        <f>+$I$2+(ABBASZALZALE[[#This Row],[QUANTITE]]*ABBASZALZALE[[#This Row],[PRIX UNITAIRE]])</f>
        <v>0</v>
      </c>
      <c r="F29" s="14"/>
      <c r="G29" s="6">
        <f>+SUM(E$9:$E29)-SUM(F$9:$F29)</f>
        <v>75000</v>
      </c>
    </row>
    <row r="30" spans="1:7" ht="28.8" x14ac:dyDescent="0.55000000000000004">
      <c r="A30" s="12"/>
      <c r="B30" s="13"/>
      <c r="C30" s="10"/>
      <c r="D30" s="10"/>
      <c r="E30" s="7">
        <f>+$I$2+(ABBASZALZALE[[#This Row],[QUANTITE]]*ABBASZALZALE[[#This Row],[PRIX UNITAIRE]])</f>
        <v>0</v>
      </c>
      <c r="F30" s="14"/>
      <c r="G30" s="6">
        <f>+SUM(E$9:$E30)-SUM(F$9:$F30)</f>
        <v>75000</v>
      </c>
    </row>
    <row r="31" spans="1:7" ht="28.8" x14ac:dyDescent="0.55000000000000004">
      <c r="A31" s="12"/>
      <c r="B31" s="13"/>
      <c r="C31" s="10"/>
      <c r="D31" s="10"/>
      <c r="E31" s="7">
        <f>+$I$2+(ABBASZALZALE[[#This Row],[QUANTITE]]*ABBASZALZALE[[#This Row],[PRIX UNITAIRE]])</f>
        <v>0</v>
      </c>
      <c r="F31" s="14"/>
      <c r="G31" s="6">
        <f>+SUM(E$9:$E31)-SUM(F$9:$F31)</f>
        <v>75000</v>
      </c>
    </row>
    <row r="32" spans="1:7" ht="28.8" x14ac:dyDescent="0.55000000000000004">
      <c r="A32" s="12"/>
      <c r="B32" s="13"/>
      <c r="C32" s="10"/>
      <c r="D32" s="10"/>
      <c r="E32" s="7">
        <f>+$I$2+(ABBASZALZALE[[#This Row],[QUANTITE]]*ABBASZALZALE[[#This Row],[PRIX UNITAIRE]])</f>
        <v>0</v>
      </c>
      <c r="F32" s="14"/>
      <c r="G32" s="6">
        <f>+SUM(E$9:$E32)-SUM(F$9:$F32)</f>
        <v>75000</v>
      </c>
    </row>
    <row r="33" spans="1:7" ht="28.8" x14ac:dyDescent="0.55000000000000004">
      <c r="A33" s="12"/>
      <c r="B33" s="13"/>
      <c r="C33" s="10"/>
      <c r="D33" s="10"/>
      <c r="E33" s="7">
        <f>+$I$2+(ABBASZALZALE[[#This Row],[QUANTITE]]*ABBASZALZALE[[#This Row],[PRIX UNITAIRE]])</f>
        <v>0</v>
      </c>
      <c r="F33" s="14"/>
      <c r="G33" s="6">
        <f>+SUM(E$9:$E33)-SUM(F$9:$F33)</f>
        <v>75000</v>
      </c>
    </row>
    <row r="34" spans="1:7" ht="28.8" x14ac:dyDescent="0.55000000000000004">
      <c r="A34" s="12"/>
      <c r="B34" s="13"/>
      <c r="C34" s="10"/>
      <c r="D34" s="10"/>
      <c r="E34" s="7">
        <f>+$I$2+(ABBASZALZALE[[#This Row],[QUANTITE]]*ABBASZALZALE[[#This Row],[PRIX UNITAIRE]])</f>
        <v>0</v>
      </c>
      <c r="F34" s="14"/>
      <c r="G34" s="6">
        <f>+SUM(E$9:$E34)-SUM(F$9:$F34)</f>
        <v>75000</v>
      </c>
    </row>
    <row r="35" spans="1:7" ht="28.8" x14ac:dyDescent="0.55000000000000004">
      <c r="A35" s="12"/>
      <c r="B35" s="13"/>
      <c r="C35" s="10"/>
      <c r="D35" s="10"/>
      <c r="E35" s="7">
        <f>+$I$2+(ABBASZALZALE[[#This Row],[QUANTITE]]*ABBASZALZALE[[#This Row],[PRIX UNITAIRE]])</f>
        <v>0</v>
      </c>
      <c r="F35" s="14"/>
      <c r="G35" s="6">
        <f>+SUM(E$9:$E35)-SUM(F$9:$F35)</f>
        <v>75000</v>
      </c>
    </row>
    <row r="36" spans="1:7" ht="28.8" x14ac:dyDescent="0.55000000000000004">
      <c r="A36" s="12"/>
      <c r="B36" s="13"/>
      <c r="C36" s="10"/>
      <c r="D36" s="10"/>
      <c r="E36" s="7">
        <f>+$I$2+(ABBASZALZALE[[#This Row],[QUANTITE]]*ABBASZALZALE[[#This Row],[PRIX UNITAIRE]])</f>
        <v>0</v>
      </c>
      <c r="F36" s="14"/>
      <c r="G36" s="6">
        <f>+SUM(E$9:$E36)-SUM(F$9:$F36)</f>
        <v>75000</v>
      </c>
    </row>
    <row r="37" spans="1:7" ht="28.8" x14ac:dyDescent="0.55000000000000004">
      <c r="A37" s="12"/>
      <c r="B37" s="13"/>
      <c r="C37" s="10"/>
      <c r="D37" s="10"/>
      <c r="E37" s="7">
        <f>+$I$2+(ABBASZALZALE[[#This Row],[QUANTITE]]*ABBASZALZALE[[#This Row],[PRIX UNITAIRE]])</f>
        <v>0</v>
      </c>
      <c r="F37" s="14"/>
      <c r="G37" s="6">
        <f>+SUM(E$9:$E37)-SUM(F$9:$F37)</f>
        <v>75000</v>
      </c>
    </row>
    <row r="38" spans="1:7" ht="28.8" x14ac:dyDescent="0.55000000000000004">
      <c r="A38" s="12"/>
      <c r="B38" s="13"/>
      <c r="C38" s="10"/>
      <c r="D38" s="10"/>
      <c r="E38" s="7">
        <f>+$I$2+(ABBASZALZALE[[#This Row],[QUANTITE]]*ABBASZALZALE[[#This Row],[PRIX UNITAIRE]])</f>
        <v>0</v>
      </c>
      <c r="F38" s="14"/>
      <c r="G38" s="6">
        <f>+SUM(E$9:$E38)-SUM(F$9:$F38)</f>
        <v>75000</v>
      </c>
    </row>
    <row r="39" spans="1:7" ht="28.8" x14ac:dyDescent="0.55000000000000004">
      <c r="A39" s="12"/>
      <c r="B39" s="13"/>
      <c r="C39" s="10"/>
      <c r="D39" s="10"/>
      <c r="E39" s="7">
        <f>+$I$2+(ABBASZALZALE[[#This Row],[QUANTITE]]*ABBASZALZALE[[#This Row],[PRIX UNITAIRE]])</f>
        <v>0</v>
      </c>
      <c r="F39" s="14"/>
      <c r="G39" s="6">
        <f>+SUM(E$9:$E39)-SUM(F$9:$F39)</f>
        <v>75000</v>
      </c>
    </row>
    <row r="40" spans="1:7" ht="28.8" x14ac:dyDescent="0.55000000000000004">
      <c r="A40" s="12"/>
      <c r="B40" s="13"/>
      <c r="C40" s="10"/>
      <c r="D40" s="10"/>
      <c r="E40" s="7">
        <f>+$I$2+(ABBASZALZALE[[#This Row],[QUANTITE]]*ABBASZALZALE[[#This Row],[PRIX UNITAIRE]])</f>
        <v>0</v>
      </c>
      <c r="F40" s="14"/>
      <c r="G40" s="6">
        <f>+SUM(E$9:$E40)-SUM(F$9:$F40)</f>
        <v>75000</v>
      </c>
    </row>
    <row r="41" spans="1:7" ht="28.8" x14ac:dyDescent="0.55000000000000004">
      <c r="A41" s="12"/>
      <c r="B41" s="13"/>
      <c r="C41" s="10"/>
      <c r="D41" s="10"/>
      <c r="E41" s="7">
        <f>+$I$2+(ABBASZALZALE[[#This Row],[QUANTITE]]*ABBASZALZALE[[#This Row],[PRIX UNITAIRE]])</f>
        <v>0</v>
      </c>
      <c r="F41" s="14"/>
      <c r="G41" s="6">
        <f>+SUM(E$9:$E41)-SUM(F$9:$F41)</f>
        <v>75000</v>
      </c>
    </row>
    <row r="42" spans="1:7" ht="28.8" x14ac:dyDescent="0.55000000000000004">
      <c r="A42" s="12"/>
      <c r="B42" s="13"/>
      <c r="C42" s="10"/>
      <c r="D42" s="10"/>
      <c r="E42" s="7">
        <f>+$I$2+(ABBASZALZALE[[#This Row],[QUANTITE]]*ABBASZALZALE[[#This Row],[PRIX UNITAIRE]])</f>
        <v>0</v>
      </c>
      <c r="F42" s="14"/>
      <c r="G42" s="6">
        <f>+SUM(E$9:$E42)-SUM(F$9:$F42)</f>
        <v>75000</v>
      </c>
    </row>
    <row r="43" spans="1:7" ht="28.8" x14ac:dyDescent="0.55000000000000004">
      <c r="A43" s="12"/>
      <c r="B43" s="13"/>
      <c r="C43" s="10"/>
      <c r="D43" s="10"/>
      <c r="E43" s="7">
        <f>+$I$2+(ABBASZALZALE[[#This Row],[QUANTITE]]*ABBASZALZALE[[#This Row],[PRIX UNITAIRE]])</f>
        <v>0</v>
      </c>
      <c r="F43" s="14"/>
      <c r="G43" s="6">
        <f>+SUM(E$9:$E43)-SUM(F$9:$F43)</f>
        <v>75000</v>
      </c>
    </row>
    <row r="44" spans="1:7" ht="28.8" x14ac:dyDescent="0.55000000000000004">
      <c r="A44" s="12"/>
      <c r="B44" s="13"/>
      <c r="C44" s="10"/>
      <c r="D44" s="10"/>
      <c r="E44" s="7">
        <f>+$I$2+(ABBASZALZALE[[#This Row],[QUANTITE]]*ABBASZALZALE[[#This Row],[PRIX UNITAIRE]])</f>
        <v>0</v>
      </c>
      <c r="F44" s="14"/>
      <c r="G44" s="6">
        <f>+SUM(E$9:$E44)-SUM(F$9:$F44)</f>
        <v>75000</v>
      </c>
    </row>
    <row r="45" spans="1:7" ht="28.8" x14ac:dyDescent="0.55000000000000004">
      <c r="A45" s="12"/>
      <c r="B45" s="13"/>
      <c r="C45" s="10"/>
      <c r="D45" s="10"/>
      <c r="E45" s="7">
        <f>+$I$2+(ABBASZALZALE[[#This Row],[QUANTITE]]*ABBASZALZALE[[#This Row],[PRIX UNITAIRE]])</f>
        <v>0</v>
      </c>
      <c r="F45" s="14"/>
      <c r="G45" s="6">
        <f>+SUM(E$9:$E45)-SUM(F$9:$F45)</f>
        <v>75000</v>
      </c>
    </row>
    <row r="46" spans="1:7" ht="28.8" x14ac:dyDescent="0.55000000000000004">
      <c r="A46" s="12"/>
      <c r="B46" s="13"/>
      <c r="C46" s="10"/>
      <c r="D46" s="10"/>
      <c r="E46" s="7">
        <f>+$I$2+(ABBASZALZALE[[#This Row],[QUANTITE]]*ABBASZALZALE[[#This Row],[PRIX UNITAIRE]])</f>
        <v>0</v>
      </c>
      <c r="F46" s="14"/>
      <c r="G46" s="6">
        <f>+SUM(E$9:$E46)-SUM(F$9:$F46)</f>
        <v>75000</v>
      </c>
    </row>
    <row r="47" spans="1:7" ht="28.8" x14ac:dyDescent="0.55000000000000004">
      <c r="A47" s="12"/>
      <c r="B47" s="13"/>
      <c r="C47" s="10"/>
      <c r="D47" s="10"/>
      <c r="E47" s="7">
        <f>+$I$2+(ABBASZALZALE[[#This Row],[QUANTITE]]*ABBASZALZALE[[#This Row],[PRIX UNITAIRE]])</f>
        <v>0</v>
      </c>
      <c r="F47" s="14"/>
      <c r="G47" s="6">
        <f>+SUM(E$9:$E47)-SUM(F$9:$F47)</f>
        <v>75000</v>
      </c>
    </row>
    <row r="48" spans="1:7" ht="28.8" x14ac:dyDescent="0.55000000000000004">
      <c r="A48" s="12"/>
      <c r="B48" s="13"/>
      <c r="C48" s="10"/>
      <c r="D48" s="10"/>
      <c r="E48" s="7">
        <f>+$I$2+(ABBASZALZALE[[#This Row],[QUANTITE]]*ABBASZALZALE[[#This Row],[PRIX UNITAIRE]])</f>
        <v>0</v>
      </c>
      <c r="F48" s="14"/>
      <c r="G48" s="6">
        <f>+SUM(E$9:$E48)-SUM(F$9:$F48)</f>
        <v>75000</v>
      </c>
    </row>
    <row r="49" spans="1:7" ht="28.8" x14ac:dyDescent="0.55000000000000004">
      <c r="A49" s="12"/>
      <c r="B49" s="13"/>
      <c r="C49" s="10"/>
      <c r="D49" s="10"/>
      <c r="E49" s="7">
        <f>+$I$2+(ABBASZALZALE[[#This Row],[QUANTITE]]*ABBASZALZALE[[#This Row],[PRIX UNITAIRE]])</f>
        <v>0</v>
      </c>
      <c r="F49" s="14"/>
      <c r="G49" s="6">
        <f>+SUM(E$9:$E49)-SUM(F$9:$F49)</f>
        <v>75000</v>
      </c>
    </row>
    <row r="50" spans="1:7" ht="28.8" x14ac:dyDescent="0.55000000000000004">
      <c r="A50" s="12"/>
      <c r="B50" s="13"/>
      <c r="C50" s="10"/>
      <c r="D50" s="10"/>
      <c r="E50" s="7">
        <f>+$I$2+(ABBASZALZALE[[#This Row],[QUANTITE]]*ABBASZALZALE[[#This Row],[PRIX UNITAIRE]])</f>
        <v>0</v>
      </c>
      <c r="F50" s="14"/>
      <c r="G50" s="6">
        <f>+SUM(E$9:$E50)-SUM(F$9:$F50)</f>
        <v>75000</v>
      </c>
    </row>
    <row r="51" spans="1:7" ht="28.8" x14ac:dyDescent="0.55000000000000004">
      <c r="A51" s="12"/>
      <c r="B51" s="13"/>
      <c r="C51" s="10"/>
      <c r="D51" s="10"/>
      <c r="E51" s="7">
        <f>+$I$2+(ABBASZALZALE[[#This Row],[QUANTITE]]*ABBASZALZALE[[#This Row],[PRIX UNITAIRE]])</f>
        <v>0</v>
      </c>
      <c r="F51" s="14"/>
      <c r="G51" s="6">
        <f>+SUM(E$9:$E51)-SUM(F$9:$F51)</f>
        <v>75000</v>
      </c>
    </row>
    <row r="52" spans="1:7" ht="28.8" x14ac:dyDescent="0.55000000000000004">
      <c r="A52" s="12"/>
      <c r="B52" s="13"/>
      <c r="C52" s="10"/>
      <c r="D52" s="10"/>
      <c r="E52" s="7">
        <f>+$I$2+(ABBASZALZALE[[#This Row],[QUANTITE]]*ABBASZALZALE[[#This Row],[PRIX UNITAIRE]])</f>
        <v>0</v>
      </c>
      <c r="F52" s="14"/>
      <c r="G52" s="6">
        <f>+SUM(E$9:$E52)-SUM(F$9:$F52)</f>
        <v>75000</v>
      </c>
    </row>
    <row r="53" spans="1:7" ht="28.8" x14ac:dyDescent="0.55000000000000004">
      <c r="A53" s="12"/>
      <c r="B53" s="13"/>
      <c r="C53" s="10"/>
      <c r="D53" s="10"/>
      <c r="E53" s="7">
        <f>+$I$2+(ABBASZALZALE[[#This Row],[QUANTITE]]*ABBASZALZALE[[#This Row],[PRIX UNITAIRE]])</f>
        <v>0</v>
      </c>
      <c r="F53" s="14"/>
      <c r="G53" s="6">
        <f>+SUM(E$9:$E53)-SUM(F$9:$F53)</f>
        <v>75000</v>
      </c>
    </row>
    <row r="54" spans="1:7" ht="28.8" x14ac:dyDescent="0.55000000000000004">
      <c r="A54" s="12"/>
      <c r="B54" s="13"/>
      <c r="C54" s="10"/>
      <c r="D54" s="10"/>
      <c r="E54" s="7">
        <f>+$I$2+(ABBASZALZALE[[#This Row],[QUANTITE]]*ABBASZALZALE[[#This Row],[PRIX UNITAIRE]])</f>
        <v>0</v>
      </c>
      <c r="F54" s="14"/>
      <c r="G54" s="6">
        <f>+SUM(E$9:$E54)-SUM(F$9:$F54)</f>
        <v>75000</v>
      </c>
    </row>
    <row r="55" spans="1:7" ht="28.8" x14ac:dyDescent="0.55000000000000004">
      <c r="A55" s="12"/>
      <c r="B55" s="13"/>
      <c r="C55" s="10"/>
      <c r="D55" s="10"/>
      <c r="E55" s="7">
        <f>+$I$2+(ABBASZALZALE[[#This Row],[QUANTITE]]*ABBASZALZALE[[#This Row],[PRIX UNITAIRE]])</f>
        <v>0</v>
      </c>
      <c r="F55" s="14"/>
      <c r="G55" s="6">
        <f>+SUM(E$9:$E55)-SUM(F$9:$F55)</f>
        <v>75000</v>
      </c>
    </row>
    <row r="56" spans="1:7" ht="28.8" x14ac:dyDescent="0.55000000000000004">
      <c r="A56" s="12"/>
      <c r="B56" s="13"/>
      <c r="C56" s="10"/>
      <c r="D56" s="10"/>
      <c r="E56" s="7">
        <f>+$I$2+(ABBASZALZALE[[#This Row],[QUANTITE]]*ABBASZALZALE[[#This Row],[PRIX UNITAIRE]])</f>
        <v>0</v>
      </c>
      <c r="F56" s="14"/>
      <c r="G56" s="6">
        <f>+SUM(E$9:$E56)-SUM(F$9:$F56)</f>
        <v>75000</v>
      </c>
    </row>
    <row r="57" spans="1:7" ht="28.8" x14ac:dyDescent="0.55000000000000004">
      <c r="A57" s="12"/>
      <c r="B57" s="13"/>
      <c r="C57" s="10"/>
      <c r="D57" s="10"/>
      <c r="E57" s="7">
        <f>+$I$2+(ABBASZALZALE[[#This Row],[QUANTITE]]*ABBASZALZALE[[#This Row],[PRIX UNITAIRE]])</f>
        <v>0</v>
      </c>
      <c r="F57" s="14"/>
      <c r="G57" s="6">
        <f>+SUM(E$9:$E57)-SUM(F$9:$F57)</f>
        <v>75000</v>
      </c>
    </row>
    <row r="58" spans="1:7" ht="28.8" x14ac:dyDescent="0.55000000000000004">
      <c r="A58" s="12"/>
      <c r="B58" s="13"/>
      <c r="C58" s="10"/>
      <c r="D58" s="10"/>
      <c r="E58" s="7">
        <f>+$I$2+(ABBASZALZALE[[#This Row],[QUANTITE]]*ABBASZALZALE[[#This Row],[PRIX UNITAIRE]])</f>
        <v>0</v>
      </c>
      <c r="F58" s="14"/>
      <c r="G58" s="6">
        <f>+SUM(E$9:$E58)-SUM(F$9:$F58)</f>
        <v>75000</v>
      </c>
    </row>
    <row r="59" spans="1:7" ht="28.8" x14ac:dyDescent="0.55000000000000004">
      <c r="A59" s="12"/>
      <c r="B59" s="13"/>
      <c r="C59" s="10"/>
      <c r="D59" s="10"/>
      <c r="E59" s="7">
        <f>+$I$2+(ABBASZALZALE[[#This Row],[QUANTITE]]*ABBASZALZALE[[#This Row],[PRIX UNITAIRE]])</f>
        <v>0</v>
      </c>
      <c r="F59" s="14"/>
      <c r="G59" s="6">
        <f>+SUM(E$9:$E59)-SUM(F$9:$F59)</f>
        <v>75000</v>
      </c>
    </row>
    <row r="60" spans="1:7" ht="28.8" x14ac:dyDescent="0.55000000000000004">
      <c r="A60" s="12"/>
      <c r="B60" s="13"/>
      <c r="C60" s="10"/>
      <c r="D60" s="10"/>
      <c r="E60" s="7">
        <f>+$I$2+(ABBASZALZALE[[#This Row],[QUANTITE]]*ABBASZALZALE[[#This Row],[PRIX UNITAIRE]])</f>
        <v>0</v>
      </c>
      <c r="F60" s="14"/>
      <c r="G60" s="6">
        <f>+SUM(E$9:$E60)-SUM(F$9:$F60)</f>
        <v>75000</v>
      </c>
    </row>
    <row r="61" spans="1:7" ht="28.8" x14ac:dyDescent="0.55000000000000004">
      <c r="A61" s="12"/>
      <c r="B61" s="13"/>
      <c r="C61" s="10"/>
      <c r="D61" s="10"/>
      <c r="E61" s="7">
        <f>+$I$2+(ABBASZALZALE[[#This Row],[QUANTITE]]*ABBASZALZALE[[#This Row],[PRIX UNITAIRE]])</f>
        <v>0</v>
      </c>
      <c r="F61" s="14"/>
      <c r="G61" s="6">
        <f>+SUM(E$9:$E61)-SUM(F$9:$F61)</f>
        <v>75000</v>
      </c>
    </row>
    <row r="62" spans="1:7" ht="28.8" x14ac:dyDescent="0.55000000000000004">
      <c r="A62" s="12"/>
      <c r="B62" s="13"/>
      <c r="C62" s="10"/>
      <c r="D62" s="10"/>
      <c r="E62" s="7">
        <f>+$I$2+(ABBASZALZALE[[#This Row],[QUANTITE]]*ABBASZALZALE[[#This Row],[PRIX UNITAIRE]])</f>
        <v>0</v>
      </c>
      <c r="F62" s="14"/>
      <c r="G62" s="6">
        <f>+SUM(E$9:$E62)-SUM(F$9:$F62)</f>
        <v>75000</v>
      </c>
    </row>
    <row r="63" spans="1:7" ht="28.8" x14ac:dyDescent="0.55000000000000004">
      <c r="A63" s="12"/>
      <c r="B63" s="13"/>
      <c r="C63" s="10"/>
      <c r="D63" s="10"/>
      <c r="E63" s="7">
        <f>+$I$2+(ABBASZALZALE[[#This Row],[QUANTITE]]*ABBASZALZALE[[#This Row],[PRIX UNITAIRE]])</f>
        <v>0</v>
      </c>
      <c r="F63" s="14"/>
      <c r="G63" s="6">
        <f>+SUM(E$9:$E63)-SUM(F$9:$F63)</f>
        <v>75000</v>
      </c>
    </row>
    <row r="64" spans="1:7" ht="28.8" x14ac:dyDescent="0.55000000000000004">
      <c r="A64" s="12"/>
      <c r="B64" s="13"/>
      <c r="C64" s="10"/>
      <c r="D64" s="10"/>
      <c r="E64" s="7">
        <f>+$I$2+(ABBASZALZALE[[#This Row],[QUANTITE]]*ABBASZALZALE[[#This Row],[PRIX UNITAIRE]])</f>
        <v>0</v>
      </c>
      <c r="F64" s="14"/>
      <c r="G64" s="6">
        <f>+SUM(E$9:$E64)-SUM(F$9:$F64)</f>
        <v>75000</v>
      </c>
    </row>
    <row r="65" spans="1:7" ht="28.8" x14ac:dyDescent="0.55000000000000004">
      <c r="A65" s="12"/>
      <c r="B65" s="13"/>
      <c r="C65" s="10"/>
      <c r="D65" s="10"/>
      <c r="E65" s="7">
        <f>+$I$2+(ABBASZALZALE[[#This Row],[QUANTITE]]*ABBASZALZALE[[#This Row],[PRIX UNITAIRE]])</f>
        <v>0</v>
      </c>
      <c r="F65" s="14"/>
      <c r="G65" s="6">
        <f>+SUM(E$9:$E65)-SUM(F$9:$F65)</f>
        <v>75000</v>
      </c>
    </row>
    <row r="66" spans="1:7" ht="28.8" x14ac:dyDescent="0.55000000000000004">
      <c r="A66" s="12"/>
      <c r="B66" s="13"/>
      <c r="C66" s="10"/>
      <c r="D66" s="10"/>
      <c r="E66" s="7">
        <f>+$I$2+(ABBASZALZALE[[#This Row],[QUANTITE]]*ABBASZALZALE[[#This Row],[PRIX UNITAIRE]])</f>
        <v>0</v>
      </c>
      <c r="F66" s="14"/>
      <c r="G66" s="6">
        <f>+SUM(E$9:$E66)-SUM(F$9:$F66)</f>
        <v>75000</v>
      </c>
    </row>
    <row r="67" spans="1:7" ht="28.8" x14ac:dyDescent="0.55000000000000004">
      <c r="A67" s="12"/>
      <c r="B67" s="13"/>
      <c r="C67" s="10"/>
      <c r="D67" s="10"/>
      <c r="E67" s="7">
        <f>+$I$2+(ABBASZALZALE[[#This Row],[QUANTITE]]*ABBASZALZALE[[#This Row],[PRIX UNITAIRE]])</f>
        <v>0</v>
      </c>
      <c r="F67" s="14"/>
      <c r="G67" s="6">
        <f>+SUM(E$9:$E67)-SUM(F$9:$F67)</f>
        <v>75000</v>
      </c>
    </row>
    <row r="68" spans="1:7" ht="28.8" x14ac:dyDescent="0.55000000000000004">
      <c r="A68" s="12"/>
      <c r="B68" s="13"/>
      <c r="C68" s="10"/>
      <c r="D68" s="10"/>
      <c r="E68" s="7">
        <f>+$I$2+(ABBASZALZALE[[#This Row],[QUANTITE]]*ABBASZALZALE[[#This Row],[PRIX UNITAIRE]])</f>
        <v>0</v>
      </c>
      <c r="F68" s="14"/>
      <c r="G68" s="6">
        <f>+SUM(E$9:$E68)-SUM(F$9:$F68)</f>
        <v>75000</v>
      </c>
    </row>
    <row r="69" spans="1:7" ht="28.8" x14ac:dyDescent="0.55000000000000004">
      <c r="A69" s="12"/>
      <c r="B69" s="13"/>
      <c r="C69" s="10"/>
      <c r="D69" s="10"/>
      <c r="E69" s="7">
        <f>+$I$2+(ABBASZALZALE[[#This Row],[QUANTITE]]*ABBASZALZALE[[#This Row],[PRIX UNITAIRE]])</f>
        <v>0</v>
      </c>
      <c r="F69" s="14"/>
      <c r="G69" s="6">
        <f>+SUM(E$9:$E69)-SUM(F$9:$F69)</f>
        <v>75000</v>
      </c>
    </row>
    <row r="70" spans="1:7" ht="28.8" x14ac:dyDescent="0.55000000000000004">
      <c r="A70" s="12"/>
      <c r="B70" s="13"/>
      <c r="C70" s="10"/>
      <c r="D70" s="10"/>
      <c r="E70" s="7">
        <f>+$I$2+(ABBASZALZALE[[#This Row],[QUANTITE]]*ABBASZALZALE[[#This Row],[PRIX UNITAIRE]])</f>
        <v>0</v>
      </c>
      <c r="F70" s="14"/>
      <c r="G70" s="6">
        <f>+SUM(E$9:$E70)-SUM(F$9:$F70)</f>
        <v>75000</v>
      </c>
    </row>
    <row r="71" spans="1:7" ht="28.8" x14ac:dyDescent="0.55000000000000004">
      <c r="A71" s="12"/>
      <c r="B71" s="13"/>
      <c r="C71" s="10"/>
      <c r="D71" s="10"/>
      <c r="E71" s="7">
        <f>+$I$2+(ABBASZALZALE[[#This Row],[QUANTITE]]*ABBASZALZALE[[#This Row],[PRIX UNITAIRE]])</f>
        <v>0</v>
      </c>
      <c r="F71" s="14"/>
      <c r="G71" s="6">
        <f>+SUM(E$9:$E71)-SUM(F$9:$F71)</f>
        <v>75000</v>
      </c>
    </row>
    <row r="72" spans="1:7" ht="28.8" x14ac:dyDescent="0.55000000000000004">
      <c r="A72" s="12"/>
      <c r="B72" s="13"/>
      <c r="C72" s="10"/>
      <c r="D72" s="10"/>
      <c r="E72" s="7">
        <f>+$I$2+(ABBASZALZALE[[#This Row],[QUANTITE]]*ABBASZALZALE[[#This Row],[PRIX UNITAIRE]])</f>
        <v>0</v>
      </c>
      <c r="F72" s="14"/>
      <c r="G72" s="6">
        <f>+SUM(E$9:$E72)-SUM(F$9:$F72)</f>
        <v>75000</v>
      </c>
    </row>
    <row r="73" spans="1:7" ht="28.8" x14ac:dyDescent="0.55000000000000004">
      <c r="A73" s="12"/>
      <c r="B73" s="13"/>
      <c r="C73" s="10"/>
      <c r="D73" s="10"/>
      <c r="E73" s="7">
        <f>+$I$2+(ABBASZALZALE[[#This Row],[QUANTITE]]*ABBASZALZALE[[#This Row],[PRIX UNITAIRE]])</f>
        <v>0</v>
      </c>
      <c r="F73" s="14"/>
      <c r="G73" s="6">
        <f>+SUM(E$9:$E73)-SUM(F$9:$F73)</f>
        <v>75000</v>
      </c>
    </row>
    <row r="74" spans="1:7" ht="28.8" x14ac:dyDescent="0.55000000000000004">
      <c r="A74" s="12"/>
      <c r="B74" s="13"/>
      <c r="C74" s="10"/>
      <c r="D74" s="10"/>
      <c r="E74" s="7">
        <f>+$I$2+(ABBASZALZALE[[#This Row],[QUANTITE]]*ABBASZALZALE[[#This Row],[PRIX UNITAIRE]])</f>
        <v>0</v>
      </c>
      <c r="F74" s="14"/>
      <c r="G74" s="6">
        <f>+SUM(E$9:$E74)-SUM(F$9:$F74)</f>
        <v>75000</v>
      </c>
    </row>
    <row r="75" spans="1:7" ht="28.8" x14ac:dyDescent="0.55000000000000004">
      <c r="A75" s="12"/>
      <c r="B75" s="13"/>
      <c r="C75" s="10"/>
      <c r="D75" s="10"/>
      <c r="E75" s="7">
        <f>+$I$2+(ABBASZALZALE[[#This Row],[QUANTITE]]*ABBASZALZALE[[#This Row],[PRIX UNITAIRE]])</f>
        <v>0</v>
      </c>
      <c r="F75" s="14"/>
      <c r="G75" s="6">
        <f>+SUM(E$9:$E75)-SUM(F$9:$F75)</f>
        <v>75000</v>
      </c>
    </row>
    <row r="76" spans="1:7" ht="28.8" x14ac:dyDescent="0.55000000000000004">
      <c r="A76" s="12"/>
      <c r="B76" s="13"/>
      <c r="C76" s="10"/>
      <c r="D76" s="10"/>
      <c r="E76" s="7">
        <f>+$I$2+(ABBASZALZALE[[#This Row],[QUANTITE]]*ABBASZALZALE[[#This Row],[PRIX UNITAIRE]])</f>
        <v>0</v>
      </c>
      <c r="F76" s="14"/>
      <c r="G76" s="6">
        <f>+SUM(E$9:$E76)-SUM(F$9:$F76)</f>
        <v>75000</v>
      </c>
    </row>
    <row r="77" spans="1:7" ht="28.8" x14ac:dyDescent="0.55000000000000004">
      <c r="A77" s="12"/>
      <c r="B77" s="13"/>
      <c r="C77" s="10"/>
      <c r="D77" s="10"/>
      <c r="E77" s="7">
        <f>+$I$2+(ABBASZALZALE[[#This Row],[QUANTITE]]*ABBASZALZALE[[#This Row],[PRIX UNITAIRE]])</f>
        <v>0</v>
      </c>
      <c r="F77" s="14"/>
      <c r="G77" s="6">
        <f>+SUM(E$9:$E77)-SUM(F$9:$F77)</f>
        <v>75000</v>
      </c>
    </row>
    <row r="78" spans="1:7" ht="28.8" x14ac:dyDescent="0.55000000000000004">
      <c r="A78" s="12"/>
      <c r="B78" s="13"/>
      <c r="C78" s="10"/>
      <c r="D78" s="10"/>
      <c r="E78" s="7">
        <f>+$I$2+(ABBASZALZALE[[#This Row],[QUANTITE]]*ABBASZALZALE[[#This Row],[PRIX UNITAIRE]])</f>
        <v>0</v>
      </c>
      <c r="F78" s="14"/>
      <c r="G78" s="6">
        <f>+SUM(E$9:$E78)-SUM(F$9:$F78)</f>
        <v>75000</v>
      </c>
    </row>
    <row r="79" spans="1:7" ht="28.8" x14ac:dyDescent="0.55000000000000004">
      <c r="A79" s="12"/>
      <c r="B79" s="13"/>
      <c r="C79" s="10"/>
      <c r="D79" s="10"/>
      <c r="E79" s="7">
        <f>+$I$2+(ABBASZALZALE[[#This Row],[QUANTITE]]*ABBASZALZALE[[#This Row],[PRIX UNITAIRE]])</f>
        <v>0</v>
      </c>
      <c r="F79" s="14"/>
      <c r="G79" s="6">
        <f>+SUM(E$9:$E79)-SUM(F$9:$F79)</f>
        <v>75000</v>
      </c>
    </row>
    <row r="80" spans="1:7" ht="28.8" x14ac:dyDescent="0.55000000000000004">
      <c r="A80" s="12"/>
      <c r="B80" s="13"/>
      <c r="C80" s="10"/>
      <c r="D80" s="10"/>
      <c r="E80" s="7">
        <f>+$I$2+(ABBASZALZALE[[#This Row],[QUANTITE]]*ABBASZALZALE[[#This Row],[PRIX UNITAIRE]])</f>
        <v>0</v>
      </c>
      <c r="F80" s="14"/>
      <c r="G80" s="6">
        <f>+SUM(E$9:$E80)-SUM(F$9:$F80)</f>
        <v>75000</v>
      </c>
    </row>
    <row r="81" spans="1:7" ht="28.8" x14ac:dyDescent="0.55000000000000004">
      <c r="A81" s="12"/>
      <c r="B81" s="13"/>
      <c r="C81" s="10"/>
      <c r="D81" s="10"/>
      <c r="E81" s="7">
        <f>+$I$2+(ABBASZALZALE[[#This Row],[QUANTITE]]*ABBASZALZALE[[#This Row],[PRIX UNITAIRE]])</f>
        <v>0</v>
      </c>
      <c r="F81" s="14"/>
      <c r="G81" s="6">
        <f>+SUM(E$9:$E81)-SUM(F$9:$F81)</f>
        <v>75000</v>
      </c>
    </row>
    <row r="82" spans="1:7" ht="28.8" x14ac:dyDescent="0.55000000000000004">
      <c r="A82" s="12"/>
      <c r="B82" s="13"/>
      <c r="C82" s="10"/>
      <c r="D82" s="10"/>
      <c r="E82" s="7">
        <f>+$I$2+(ABBASZALZALE[[#This Row],[QUANTITE]]*ABBASZALZALE[[#This Row],[PRIX UNITAIRE]])</f>
        <v>0</v>
      </c>
      <c r="F82" s="14"/>
      <c r="G82" s="6">
        <f>+SUM(E$9:$E82)-SUM(F$9:$F82)</f>
        <v>75000</v>
      </c>
    </row>
    <row r="83" spans="1:7" ht="28.8" x14ac:dyDescent="0.55000000000000004">
      <c r="A83" s="12"/>
      <c r="B83" s="13"/>
      <c r="C83" s="10"/>
      <c r="D83" s="10"/>
      <c r="E83" s="7">
        <f>+$I$2+(ABBASZALZALE[[#This Row],[QUANTITE]]*ABBASZALZALE[[#This Row],[PRIX UNITAIRE]])</f>
        <v>0</v>
      </c>
      <c r="F83" s="14"/>
      <c r="G83" s="6">
        <f>+SUM(E$9:$E83)-SUM(F$9:$F83)</f>
        <v>75000</v>
      </c>
    </row>
    <row r="84" spans="1:7" ht="28.8" x14ac:dyDescent="0.55000000000000004">
      <c r="A84" s="12"/>
      <c r="B84" s="13"/>
      <c r="C84" s="10"/>
      <c r="D84" s="10"/>
      <c r="E84" s="7">
        <f>+$I$2+(ABBASZALZALE[[#This Row],[QUANTITE]]*ABBASZALZALE[[#This Row],[PRIX UNITAIRE]])</f>
        <v>0</v>
      </c>
      <c r="F84" s="14"/>
      <c r="G84" s="6">
        <f>+SUM(E$9:$E84)-SUM(F$9:$F84)</f>
        <v>75000</v>
      </c>
    </row>
    <row r="85" spans="1:7" ht="28.8" x14ac:dyDescent="0.55000000000000004">
      <c r="A85" s="12"/>
      <c r="B85" s="13"/>
      <c r="C85" s="10"/>
      <c r="D85" s="10"/>
      <c r="E85" s="7">
        <f>+$I$2+(ABBASZALZALE[[#This Row],[QUANTITE]]*ABBASZALZALE[[#This Row],[PRIX UNITAIRE]])</f>
        <v>0</v>
      </c>
      <c r="F85" s="14"/>
      <c r="G85" s="6">
        <f>+SUM(E$9:$E85)-SUM(F$9:$F85)</f>
        <v>75000</v>
      </c>
    </row>
    <row r="86" spans="1:7" ht="28.8" x14ac:dyDescent="0.55000000000000004">
      <c r="A86" s="12"/>
      <c r="B86" s="13"/>
      <c r="C86" s="10"/>
      <c r="D86" s="10"/>
      <c r="E86" s="7">
        <f>+$I$2+(ABBASZALZALE[[#This Row],[QUANTITE]]*ABBASZALZALE[[#This Row],[PRIX UNITAIRE]])</f>
        <v>0</v>
      </c>
      <c r="F86" s="14"/>
      <c r="G86" s="6">
        <f>+SUM(E$9:$E86)-SUM(F$9:$F86)</f>
        <v>75000</v>
      </c>
    </row>
    <row r="87" spans="1:7" ht="28.8" x14ac:dyDescent="0.55000000000000004">
      <c r="A87" s="12"/>
      <c r="B87" s="13"/>
      <c r="C87" s="10"/>
      <c r="D87" s="10"/>
      <c r="E87" s="7">
        <f>+$I$2+(ABBASZALZALE[[#This Row],[QUANTITE]]*ABBASZALZALE[[#This Row],[PRIX UNITAIRE]])</f>
        <v>0</v>
      </c>
      <c r="F87" s="14"/>
      <c r="G87" s="6">
        <f>+SUM(E$9:$E87)-SUM(F$9:$F87)</f>
        <v>75000</v>
      </c>
    </row>
    <row r="88" spans="1:7" ht="28.8" x14ac:dyDescent="0.55000000000000004">
      <c r="A88" s="12"/>
      <c r="B88" s="13"/>
      <c r="C88" s="10"/>
      <c r="D88" s="10"/>
      <c r="E88" s="7">
        <f>+$I$2+(ABBASZALZALE[[#This Row],[QUANTITE]]*ABBASZALZALE[[#This Row],[PRIX UNITAIRE]])</f>
        <v>0</v>
      </c>
      <c r="F88" s="14"/>
      <c r="G88" s="6">
        <f>+SUM(E$9:$E88)-SUM(F$9:$F88)</f>
        <v>75000</v>
      </c>
    </row>
    <row r="89" spans="1:7" ht="28.8" x14ac:dyDescent="0.55000000000000004">
      <c r="A89" s="12"/>
      <c r="B89" s="13"/>
      <c r="C89" s="10"/>
      <c r="D89" s="10"/>
      <c r="E89" s="7">
        <f>+$I$2+(ABBASZALZALE[[#This Row],[QUANTITE]]*ABBASZALZALE[[#This Row],[PRIX UNITAIRE]])</f>
        <v>0</v>
      </c>
      <c r="F89" s="14"/>
      <c r="G89" s="6">
        <f>+SUM(E$9:$E89)-SUM(F$9:$F89)</f>
        <v>75000</v>
      </c>
    </row>
    <row r="90" spans="1:7" ht="28.8" x14ac:dyDescent="0.55000000000000004">
      <c r="A90" s="12"/>
      <c r="B90" s="13"/>
      <c r="C90" s="10"/>
      <c r="D90" s="10"/>
      <c r="E90" s="7">
        <f>+$I$2+(ABBASZALZALE[[#This Row],[QUANTITE]]*ABBASZALZALE[[#This Row],[PRIX UNITAIRE]])</f>
        <v>0</v>
      </c>
      <c r="F90" s="14"/>
      <c r="G90" s="6">
        <f>+SUM(E$9:$E90)-SUM(F$9:$F90)</f>
        <v>75000</v>
      </c>
    </row>
    <row r="91" spans="1:7" ht="28.8" x14ac:dyDescent="0.55000000000000004">
      <c r="A91" s="12"/>
      <c r="B91" s="13"/>
      <c r="C91" s="10"/>
      <c r="D91" s="10"/>
      <c r="E91" s="7">
        <f>+$I$2+(ABBASZALZALE[[#This Row],[QUANTITE]]*ABBASZALZALE[[#This Row],[PRIX UNITAIRE]])</f>
        <v>0</v>
      </c>
      <c r="F91" s="14"/>
      <c r="G91" s="6">
        <f>+SUM(E$9:$E91)-SUM(F$9:$F91)</f>
        <v>75000</v>
      </c>
    </row>
    <row r="92" spans="1:7" ht="28.8" x14ac:dyDescent="0.55000000000000004">
      <c r="A92" s="12"/>
      <c r="B92" s="13"/>
      <c r="C92" s="10"/>
      <c r="D92" s="10"/>
      <c r="E92" s="7">
        <f>+$I$2+(ABBASZALZALE[[#This Row],[QUANTITE]]*ABBASZALZALE[[#This Row],[PRIX UNITAIRE]])</f>
        <v>0</v>
      </c>
      <c r="F92" s="14"/>
      <c r="G92" s="6">
        <f>+SUM(E$9:$E92)-SUM(F$9:$F92)</f>
        <v>75000</v>
      </c>
    </row>
    <row r="93" spans="1:7" ht="28.8" x14ac:dyDescent="0.55000000000000004">
      <c r="A93" s="12"/>
      <c r="B93" s="13"/>
      <c r="C93" s="10"/>
      <c r="D93" s="10"/>
      <c r="E93" s="7">
        <f>+$I$2+(ABBASZALZALE[[#This Row],[QUANTITE]]*ABBASZALZALE[[#This Row],[PRIX UNITAIRE]])</f>
        <v>0</v>
      </c>
      <c r="F93" s="14"/>
      <c r="G93" s="6">
        <f>+SUM(E$9:$E93)-SUM(F$9:$F93)</f>
        <v>75000</v>
      </c>
    </row>
    <row r="94" spans="1:7" ht="28.8" x14ac:dyDescent="0.55000000000000004">
      <c r="A94" s="12"/>
      <c r="B94" s="13"/>
      <c r="C94" s="10"/>
      <c r="D94" s="10"/>
      <c r="E94" s="7">
        <f>+$I$2+(ABBASZALZALE[[#This Row],[QUANTITE]]*ABBASZALZALE[[#This Row],[PRIX UNITAIRE]])</f>
        <v>0</v>
      </c>
      <c r="F94" s="14"/>
      <c r="G94" s="6">
        <f>+SUM(E$9:$E94)-SUM(F$9:$F94)</f>
        <v>75000</v>
      </c>
    </row>
    <row r="95" spans="1:7" ht="28.8" x14ac:dyDescent="0.55000000000000004">
      <c r="A95" s="12"/>
      <c r="B95" s="13"/>
      <c r="C95" s="10"/>
      <c r="D95" s="10"/>
      <c r="E95" s="7">
        <f>+$I$2+(ABBASZALZALE[[#This Row],[QUANTITE]]*ABBASZALZALE[[#This Row],[PRIX UNITAIRE]])</f>
        <v>0</v>
      </c>
      <c r="F95" s="14"/>
      <c r="G95" s="6">
        <f>+SUM(E$9:$E95)-SUM(F$9:$F95)</f>
        <v>75000</v>
      </c>
    </row>
    <row r="96" spans="1:7" ht="28.8" x14ac:dyDescent="0.55000000000000004">
      <c r="A96" s="12"/>
      <c r="B96" s="13"/>
      <c r="C96" s="10"/>
      <c r="D96" s="10"/>
      <c r="E96" s="7">
        <f>+$I$2+(ABBASZALZALE[[#This Row],[QUANTITE]]*ABBASZALZALE[[#This Row],[PRIX UNITAIRE]])</f>
        <v>0</v>
      </c>
      <c r="F96" s="14"/>
      <c r="G96" s="6">
        <f>+SUM(E$9:$E96)-SUM(F$9:$F96)</f>
        <v>75000</v>
      </c>
    </row>
    <row r="97" spans="1:7" ht="28.8" x14ac:dyDescent="0.55000000000000004">
      <c r="A97" s="12"/>
      <c r="B97" s="13"/>
      <c r="C97" s="10"/>
      <c r="D97" s="10"/>
      <c r="E97" s="7">
        <f>+$I$2+(ABBASZALZALE[[#This Row],[QUANTITE]]*ABBASZALZALE[[#This Row],[PRIX UNITAIRE]])</f>
        <v>0</v>
      </c>
      <c r="F97" s="14"/>
      <c r="G97" s="6">
        <f>+SUM(E$9:$E97)-SUM(F$9:$F97)</f>
        <v>75000</v>
      </c>
    </row>
    <row r="98" spans="1:7" ht="28.8" x14ac:dyDescent="0.55000000000000004">
      <c r="A98" s="12"/>
      <c r="B98" s="13"/>
      <c r="C98" s="10"/>
      <c r="D98" s="10"/>
      <c r="E98" s="7">
        <f>+$I$2+(ABBASZALZALE[[#This Row],[QUANTITE]]*ABBASZALZALE[[#This Row],[PRIX UNITAIRE]])</f>
        <v>0</v>
      </c>
      <c r="F98" s="14"/>
      <c r="G98" s="6">
        <f>+SUM(E$9:$E98)-SUM(F$9:$F98)</f>
        <v>75000</v>
      </c>
    </row>
    <row r="99" spans="1:7" ht="28.8" x14ac:dyDescent="0.55000000000000004">
      <c r="A99" s="12"/>
      <c r="B99" s="13"/>
      <c r="C99" s="10"/>
      <c r="D99" s="10"/>
      <c r="E99" s="7">
        <f>+$I$2+(ABBASZALZALE[[#This Row],[QUANTITE]]*ABBASZALZALE[[#This Row],[PRIX UNITAIRE]])</f>
        <v>0</v>
      </c>
      <c r="F99" s="14"/>
      <c r="G99" s="6">
        <f>+SUM(E$9:$E99)-SUM(F$9:$F99)</f>
        <v>75000</v>
      </c>
    </row>
    <row r="100" spans="1:7" ht="28.8" x14ac:dyDescent="0.55000000000000004">
      <c r="A100" s="12"/>
      <c r="B100" s="13"/>
      <c r="C100" s="10"/>
      <c r="D100" s="10"/>
      <c r="E100" s="7">
        <f>+$I$2+(ABBASZALZALE[[#This Row],[QUANTITE]]*ABBASZALZALE[[#This Row],[PRIX UNITAIRE]])</f>
        <v>0</v>
      </c>
      <c r="F100" s="14"/>
      <c r="G100" s="6">
        <f>+SUM(E$9:$E100)-SUM(F$9:$F100)</f>
        <v>75000</v>
      </c>
    </row>
    <row r="101" spans="1:7" ht="28.8" x14ac:dyDescent="0.55000000000000004">
      <c r="A101" s="12"/>
      <c r="B101" s="13"/>
      <c r="C101" s="10"/>
      <c r="D101" s="10"/>
      <c r="E101" s="7">
        <f>+$I$2+(ABBASZALZALE[[#This Row],[QUANTITE]]*ABBASZALZALE[[#This Row],[PRIX UNITAIRE]])</f>
        <v>0</v>
      </c>
      <c r="F101" s="14"/>
      <c r="G101" s="6">
        <f>+SUM(E$9:$E101)-SUM(F$9:$F101)</f>
        <v>75000</v>
      </c>
    </row>
    <row r="102" spans="1:7" ht="28.8" x14ac:dyDescent="0.55000000000000004">
      <c r="A102" s="12"/>
      <c r="B102" s="13"/>
      <c r="C102" s="10"/>
      <c r="D102" s="10"/>
      <c r="E102" s="7">
        <f>+$I$2+(ABBASZALZALE[[#This Row],[QUANTITE]]*ABBASZALZALE[[#This Row],[PRIX UNITAIRE]])</f>
        <v>0</v>
      </c>
      <c r="F102" s="14"/>
      <c r="G102" s="6">
        <f>+SUM(E$9:$E102)-SUM(F$9:$F102)</f>
        <v>75000</v>
      </c>
    </row>
    <row r="103" spans="1:7" ht="28.8" x14ac:dyDescent="0.55000000000000004">
      <c r="A103" s="12"/>
      <c r="B103" s="13"/>
      <c r="C103" s="10"/>
      <c r="D103" s="10"/>
      <c r="E103" s="7">
        <f>+$I$2+(ABBASZALZALE[[#This Row],[QUANTITE]]*ABBASZALZALE[[#This Row],[PRIX UNITAIRE]])</f>
        <v>0</v>
      </c>
      <c r="F103" s="14"/>
      <c r="G103" s="6">
        <f>+SUM(E$9:$E103)-SUM(F$9:$F103)</f>
        <v>75000</v>
      </c>
    </row>
    <row r="104" spans="1:7" ht="28.8" x14ac:dyDescent="0.55000000000000004">
      <c r="A104" s="12"/>
      <c r="B104" s="13"/>
      <c r="C104" s="10"/>
      <c r="D104" s="10"/>
      <c r="E104" s="7">
        <f>+$I$2+(ABBASZALZALE[[#This Row],[QUANTITE]]*ABBASZALZALE[[#This Row],[PRIX UNITAIRE]])</f>
        <v>0</v>
      </c>
      <c r="F104" s="14"/>
      <c r="G104" s="6">
        <f>+SUM(E$9:$E104)-SUM(F$9:$F104)</f>
        <v>75000</v>
      </c>
    </row>
    <row r="105" spans="1:7" ht="28.8" x14ac:dyDescent="0.55000000000000004">
      <c r="A105" s="12"/>
      <c r="B105" s="13"/>
      <c r="C105" s="10"/>
      <c r="D105" s="10"/>
      <c r="E105" s="7">
        <f>+$I$2+(ABBASZALZALE[[#This Row],[QUANTITE]]*ABBASZALZALE[[#This Row],[PRIX UNITAIRE]])</f>
        <v>0</v>
      </c>
      <c r="F105" s="14"/>
      <c r="G105" s="6">
        <f>+SUM(E$9:$E105)-SUM(F$9:$F105)</f>
        <v>75000</v>
      </c>
    </row>
    <row r="106" spans="1:7" ht="28.8" x14ac:dyDescent="0.55000000000000004">
      <c r="A106" s="12"/>
      <c r="B106" s="13"/>
      <c r="C106" s="10"/>
      <c r="D106" s="10"/>
      <c r="E106" s="7">
        <f>+$I$2+(ABBASZALZALE[[#This Row],[QUANTITE]]*ABBASZALZALE[[#This Row],[PRIX UNITAIRE]])</f>
        <v>0</v>
      </c>
      <c r="F106" s="14"/>
      <c r="G106" s="6">
        <f>+SUM(E$9:$E106)-SUM(F$9:$F106)</f>
        <v>75000</v>
      </c>
    </row>
    <row r="107" spans="1:7" ht="28.8" x14ac:dyDescent="0.55000000000000004">
      <c r="A107" s="12"/>
      <c r="B107" s="13"/>
      <c r="C107" s="10"/>
      <c r="D107" s="10"/>
      <c r="E107" s="7">
        <f>+$I$2+(ABBASZALZALE[[#This Row],[QUANTITE]]*ABBASZALZALE[[#This Row],[PRIX UNITAIRE]])</f>
        <v>0</v>
      </c>
      <c r="F107" s="14"/>
      <c r="G107" s="6">
        <f>+SUM(E$9:$E107)-SUM(F$9:$F107)</f>
        <v>75000</v>
      </c>
    </row>
    <row r="108" spans="1:7" ht="28.8" x14ac:dyDescent="0.55000000000000004">
      <c r="A108" s="12"/>
      <c r="B108" s="13"/>
      <c r="C108" s="10"/>
      <c r="D108" s="10"/>
      <c r="E108" s="7">
        <f>+$I$2+(ABBASZALZALE[[#This Row],[QUANTITE]]*ABBASZALZALE[[#This Row],[PRIX UNITAIRE]])</f>
        <v>0</v>
      </c>
      <c r="F108" s="14"/>
      <c r="G108" s="6">
        <f>+SUM(E$9:$E108)-SUM(F$9:$F108)</f>
        <v>75000</v>
      </c>
    </row>
    <row r="109" spans="1:7" ht="28.8" x14ac:dyDescent="0.55000000000000004">
      <c r="A109" s="12"/>
      <c r="B109" s="13"/>
      <c r="C109" s="10"/>
      <c r="D109" s="10"/>
      <c r="E109" s="7">
        <f>+$I$2+(ABBASZALZALE[[#This Row],[QUANTITE]]*ABBASZALZALE[[#This Row],[PRIX UNITAIRE]])</f>
        <v>0</v>
      </c>
      <c r="F109" s="14"/>
      <c r="G109" s="6">
        <f>+SUM(E$9:$E109)-SUM(F$9:$F109)</f>
        <v>75000</v>
      </c>
    </row>
    <row r="110" spans="1:7" ht="28.8" x14ac:dyDescent="0.55000000000000004">
      <c r="A110" s="12"/>
      <c r="B110" s="13"/>
      <c r="C110" s="10"/>
      <c r="D110" s="10"/>
      <c r="E110" s="7">
        <f>+$I$2+(ABBASZALZALE[[#This Row],[QUANTITE]]*ABBASZALZALE[[#This Row],[PRIX UNITAIRE]])</f>
        <v>0</v>
      </c>
      <c r="F110" s="14"/>
      <c r="G110" s="6">
        <f>+SUM(E$9:$E110)-SUM(F$9:$F110)</f>
        <v>75000</v>
      </c>
    </row>
    <row r="111" spans="1:7" ht="28.8" x14ac:dyDescent="0.55000000000000004">
      <c r="A111" s="12"/>
      <c r="B111" s="13"/>
      <c r="C111" s="10"/>
      <c r="D111" s="10"/>
      <c r="E111" s="7">
        <f>+$I$2+(ABBASZALZALE[[#This Row],[QUANTITE]]*ABBASZALZALE[[#This Row],[PRIX UNITAIRE]])</f>
        <v>0</v>
      </c>
      <c r="F111" s="14"/>
      <c r="G111" s="6">
        <f>+SUM(E$9:$E111)-SUM(F$9:$F111)</f>
        <v>75000</v>
      </c>
    </row>
    <row r="112" spans="1:7" ht="28.8" x14ac:dyDescent="0.55000000000000004">
      <c r="A112" s="12"/>
      <c r="B112" s="13"/>
      <c r="C112" s="10"/>
      <c r="D112" s="10"/>
      <c r="E112" s="7">
        <f>+$I$2+(ABBASZALZALE[[#This Row],[QUANTITE]]*ABBASZALZALE[[#This Row],[PRIX UNITAIRE]])</f>
        <v>0</v>
      </c>
      <c r="F112" s="14"/>
      <c r="G112" s="6">
        <f>+SUM(E$9:$E112)-SUM(F$9:$F112)</f>
        <v>75000</v>
      </c>
    </row>
    <row r="113" spans="1:7" ht="28.8" x14ac:dyDescent="0.55000000000000004">
      <c r="A113" s="12"/>
      <c r="B113" s="13"/>
      <c r="C113" s="10"/>
      <c r="D113" s="10"/>
      <c r="E113" s="7">
        <f>+$I$2+(ABBASZALZALE[[#This Row],[QUANTITE]]*ABBASZALZALE[[#This Row],[PRIX UNITAIRE]])</f>
        <v>0</v>
      </c>
      <c r="F113" s="14"/>
      <c r="G113" s="6">
        <f>+SUM(E$9:$E113)-SUM(F$9:$F113)</f>
        <v>75000</v>
      </c>
    </row>
    <row r="114" spans="1:7" ht="28.8" x14ac:dyDescent="0.55000000000000004">
      <c r="A114" s="12"/>
      <c r="B114" s="13"/>
      <c r="C114" s="10"/>
      <c r="D114" s="10"/>
      <c r="E114" s="7">
        <f>+$I$2+(ABBASZALZALE[[#This Row],[QUANTITE]]*ABBASZALZALE[[#This Row],[PRIX UNITAIRE]])</f>
        <v>0</v>
      </c>
      <c r="F114" s="14"/>
      <c r="G114" s="6">
        <f>+SUM(E$9:$E114)-SUM(F$9:$F114)</f>
        <v>75000</v>
      </c>
    </row>
    <row r="115" spans="1:7" ht="28.8" x14ac:dyDescent="0.55000000000000004">
      <c r="A115" s="12"/>
      <c r="B115" s="13"/>
      <c r="C115" s="10"/>
      <c r="D115" s="10"/>
      <c r="E115" s="7">
        <f>+$I$2+(ABBASZALZALE[[#This Row],[QUANTITE]]*ABBASZALZALE[[#This Row],[PRIX UNITAIRE]])</f>
        <v>0</v>
      </c>
      <c r="F115" s="14"/>
      <c r="G115" s="6">
        <f>+SUM(E$9:$E115)-SUM(F$9:$F115)</f>
        <v>75000</v>
      </c>
    </row>
    <row r="116" spans="1:7" ht="28.8" x14ac:dyDescent="0.55000000000000004">
      <c r="A116" s="12"/>
      <c r="B116" s="13"/>
      <c r="C116" s="10"/>
      <c r="D116" s="10"/>
      <c r="E116" s="7">
        <f>+$I$2+(ABBASZALZALE[[#This Row],[QUANTITE]]*ABBASZALZALE[[#This Row],[PRIX UNITAIRE]])</f>
        <v>0</v>
      </c>
      <c r="F116" s="14"/>
      <c r="G116" s="6">
        <f>+SUM(E$9:$E116)-SUM(F$9:$F116)</f>
        <v>75000</v>
      </c>
    </row>
    <row r="117" spans="1:7" ht="28.8" x14ac:dyDescent="0.55000000000000004">
      <c r="A117" s="12"/>
      <c r="B117" s="13"/>
      <c r="C117" s="10"/>
      <c r="D117" s="10"/>
      <c r="E117" s="7">
        <f>+$I$2+(ABBASZALZALE[[#This Row],[QUANTITE]]*ABBASZALZALE[[#This Row],[PRIX UNITAIRE]])</f>
        <v>0</v>
      </c>
      <c r="F117" s="14"/>
      <c r="G117" s="6">
        <f>+SUM(E$9:$E117)-SUM(F$9:$F117)</f>
        <v>75000</v>
      </c>
    </row>
    <row r="118" spans="1:7" ht="28.8" x14ac:dyDescent="0.55000000000000004">
      <c r="A118" s="12"/>
      <c r="B118" s="13"/>
      <c r="C118" s="10"/>
      <c r="D118" s="10"/>
      <c r="E118" s="7">
        <f>+$I$2+(ABBASZALZALE[[#This Row],[QUANTITE]]*ABBASZALZALE[[#This Row],[PRIX UNITAIRE]])</f>
        <v>0</v>
      </c>
      <c r="F118" s="14"/>
      <c r="G118" s="6">
        <f>+SUM(E$9:$E118)-SUM(F$9:$F118)</f>
        <v>75000</v>
      </c>
    </row>
    <row r="119" spans="1:7" ht="28.8" x14ac:dyDescent="0.55000000000000004">
      <c r="A119" s="12"/>
      <c r="B119" s="13"/>
      <c r="C119" s="10"/>
      <c r="D119" s="10"/>
      <c r="E119" s="7">
        <f>+$I$2+(ABBASZALZALE[[#This Row],[QUANTITE]]*ABBASZALZALE[[#This Row],[PRIX UNITAIRE]])</f>
        <v>0</v>
      </c>
      <c r="F119" s="14"/>
      <c r="G119" s="6">
        <f>+SUM(E$9:$E119)-SUM(F$9:$F119)</f>
        <v>75000</v>
      </c>
    </row>
    <row r="120" spans="1:7" ht="28.8" x14ac:dyDescent="0.55000000000000004">
      <c r="A120" s="12"/>
      <c r="B120" s="13"/>
      <c r="C120" s="10"/>
      <c r="D120" s="10"/>
      <c r="E120" s="7">
        <f>+$I$2+(ABBASZALZALE[[#This Row],[QUANTITE]]*ABBASZALZALE[[#This Row],[PRIX UNITAIRE]])</f>
        <v>0</v>
      </c>
      <c r="F120" s="14"/>
      <c r="G120" s="6">
        <f>+SUM(E$9:$E120)-SUM(F$9:$F120)</f>
        <v>75000</v>
      </c>
    </row>
    <row r="121" spans="1:7" ht="28.8" x14ac:dyDescent="0.55000000000000004">
      <c r="A121" s="12"/>
      <c r="B121" s="13"/>
      <c r="C121" s="10"/>
      <c r="D121" s="10"/>
      <c r="E121" s="7">
        <f>+$I$2+(ABBASZALZALE[[#This Row],[QUANTITE]]*ABBASZALZALE[[#This Row],[PRIX UNITAIRE]])</f>
        <v>0</v>
      </c>
      <c r="F121" s="14"/>
      <c r="G121" s="6">
        <f>+SUM(E$9:$E121)-SUM(F$9:$F121)</f>
        <v>75000</v>
      </c>
    </row>
    <row r="122" spans="1:7" ht="28.8" x14ac:dyDescent="0.55000000000000004">
      <c r="A122" s="12"/>
      <c r="B122" s="13"/>
      <c r="C122" s="10"/>
      <c r="D122" s="10"/>
      <c r="E122" s="7">
        <f>+$I$2+(ABBASZALZALE[[#This Row],[QUANTITE]]*ABBASZALZALE[[#This Row],[PRIX UNITAIRE]])</f>
        <v>0</v>
      </c>
      <c r="F122" s="14"/>
      <c r="G122" s="6">
        <f>+SUM(E$9:$E122)-SUM(F$9:$F122)</f>
        <v>75000</v>
      </c>
    </row>
  </sheetData>
  <sheetProtection selectLockedCells="1" autoFilter="0"/>
  <mergeCells count="1">
    <mergeCell ref="B6:C6"/>
  </mergeCells>
  <conditionalFormatting sqref="G4">
    <cfRule type="cellIs" dxfId="559" priority="3" operator="lessThan">
      <formula>0</formula>
    </cfRule>
    <cfRule type="cellIs" dxfId="558" priority="4" operator="greaterThan">
      <formula>0</formula>
    </cfRule>
  </conditionalFormatting>
  <conditionalFormatting sqref="B9 B11:B122">
    <cfRule type="expression" dxfId="557" priority="6">
      <formula>$F9</formula>
    </cfRule>
  </conditionalFormatting>
  <conditionalFormatting sqref="B10">
    <cfRule type="expression" dxfId="556" priority="1">
      <formula>$F10</formula>
    </cfRule>
  </conditionalFormatting>
  <dataValidations count="1">
    <dataValidation type="date" operator="greaterThan" allowBlank="1" showInputMessage="1" showErrorMessage="1" error="VEILLEZ ENTRER UNE DATE VALIDE" sqref="A9:A12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/>
  <dimension ref="A1:I172"/>
  <sheetViews>
    <sheetView showGridLines="0" zoomScale="60" zoomScaleNormal="60" workbookViewId="0">
      <pane ySplit="8" topLeftCell="A18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4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+SUM(GMSKAKOU[TOTAL MONTANT])</f>
        <v>5320000</v>
      </c>
      <c r="F4" s="41">
        <f>+SUM(GMSKAKOU[VERSEMENT])</f>
        <v>5320000</v>
      </c>
      <c r="G4" s="130">
        <f>+E4-F4</f>
        <v>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470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45681</v>
      </c>
      <c r="B9" s="13" t="s">
        <v>471</v>
      </c>
      <c r="C9" s="10">
        <v>6</v>
      </c>
      <c r="D9" s="10">
        <v>125000</v>
      </c>
      <c r="E9" s="7">
        <f>+$I$2+(GMSKAKOU[[#This Row],[QUANTITE]]*GMSKAKOU[[#This Row],[PRIX UNITAIRE]])</f>
        <v>750000</v>
      </c>
      <c r="F9" s="20"/>
      <c r="G9" s="6">
        <f>+SUM(E$9:$E9)-SUM(F$9:$F9)</f>
        <v>750000</v>
      </c>
    </row>
    <row r="10" spans="1:9" ht="28.8" x14ac:dyDescent="0.55000000000000004">
      <c r="A10" s="12" t="s">
        <v>472</v>
      </c>
      <c r="B10" s="13" t="s">
        <v>473</v>
      </c>
      <c r="C10" s="10">
        <v>2</v>
      </c>
      <c r="D10" s="10">
        <v>160000</v>
      </c>
      <c r="E10" s="7">
        <f>+$I$2+(GMSKAKOU[[#This Row],[QUANTITE]]*GMSKAKOU[[#This Row],[PRIX UNITAIRE]])</f>
        <v>320000</v>
      </c>
      <c r="F10" s="21"/>
      <c r="G10" s="6">
        <f>+SUM(E$9:$E10)-SUM(F$9:$F10)</f>
        <v>1070000</v>
      </c>
    </row>
    <row r="11" spans="1:9" ht="28.8" x14ac:dyDescent="0.55000000000000004">
      <c r="A11" s="12">
        <v>45681</v>
      </c>
      <c r="B11" s="13" t="s">
        <v>433</v>
      </c>
      <c r="C11" s="10"/>
      <c r="D11" s="10"/>
      <c r="E11" s="7">
        <f>+$I$2+(GMSKAKOU[[#This Row],[QUANTITE]]*GMSKAKOU[[#This Row],[PRIX UNITAIRE]])</f>
        <v>0</v>
      </c>
      <c r="F11" s="14">
        <v>1070000</v>
      </c>
      <c r="G11" s="6">
        <f>+SUM(E$9:$E11)-SUM(F$9:$F11)</f>
        <v>0</v>
      </c>
    </row>
    <row r="12" spans="1:9" ht="28.8" x14ac:dyDescent="0.55000000000000004">
      <c r="A12" s="12">
        <v>45686</v>
      </c>
      <c r="B12" s="13" t="s">
        <v>474</v>
      </c>
      <c r="C12" s="10">
        <v>4</v>
      </c>
      <c r="D12" s="10">
        <v>47500</v>
      </c>
      <c r="E12" s="7">
        <f>+$I$2+(GMSKAKOU[[#This Row],[QUANTITE]]*GMSKAKOU[[#This Row],[PRIX UNITAIRE]])</f>
        <v>190000</v>
      </c>
      <c r="F12" s="14"/>
      <c r="G12" s="6">
        <f>+SUM(E$9:$E12)-SUM(F$9:$F12)</f>
        <v>190000</v>
      </c>
    </row>
    <row r="13" spans="1:9" ht="28.8" x14ac:dyDescent="0.55000000000000004">
      <c r="A13" s="12">
        <v>45686</v>
      </c>
      <c r="B13" s="13" t="s">
        <v>433</v>
      </c>
      <c r="C13" s="10"/>
      <c r="D13" s="10"/>
      <c r="E13" s="7">
        <f>+$I$2+(GMSKAKOU[[#This Row],[QUANTITE]]*GMSKAKOU[[#This Row],[PRIX UNITAIRE]])</f>
        <v>0</v>
      </c>
      <c r="F13" s="14">
        <v>190000</v>
      </c>
      <c r="G13" s="6">
        <f>+SUM(E$9:$E13)-SUM(F$9:$F13)</f>
        <v>0</v>
      </c>
    </row>
    <row r="14" spans="1:9" ht="28.8" x14ac:dyDescent="0.55000000000000004">
      <c r="A14" s="12">
        <v>45773</v>
      </c>
      <c r="B14" s="13" t="s">
        <v>400</v>
      </c>
      <c r="C14" s="10">
        <v>4</v>
      </c>
      <c r="D14" s="10">
        <v>120000</v>
      </c>
      <c r="E14" s="7">
        <f>+$I$2+(GMSKAKOU[[#This Row],[QUANTITE]]*GMSKAKOU[[#This Row],[PRIX UNITAIRE]])</f>
        <v>480000</v>
      </c>
      <c r="F14" s="14"/>
      <c r="G14" s="6">
        <f>+SUM(E$9:$E14)-SUM(F$9:$F14)</f>
        <v>480000</v>
      </c>
    </row>
    <row r="15" spans="1:9" ht="28.8" x14ac:dyDescent="0.55000000000000004">
      <c r="A15" s="12">
        <v>45773</v>
      </c>
      <c r="B15" s="13" t="s">
        <v>475</v>
      </c>
      <c r="C15" s="10">
        <v>4</v>
      </c>
      <c r="D15" s="10">
        <v>35000</v>
      </c>
      <c r="E15" s="7">
        <f>+$I$2+(GMSKAKOU[[#This Row],[QUANTITE]]*GMSKAKOU[[#This Row],[PRIX UNITAIRE]])</f>
        <v>140000</v>
      </c>
      <c r="F15" s="14"/>
      <c r="G15" s="6">
        <f>+SUM(E$9:$E15)-SUM(F$9:$F15)</f>
        <v>620000</v>
      </c>
    </row>
    <row r="16" spans="1:9" ht="28.8" x14ac:dyDescent="0.55000000000000004">
      <c r="A16" s="12">
        <v>45777</v>
      </c>
      <c r="B16" s="13" t="s">
        <v>400</v>
      </c>
      <c r="C16" s="10">
        <v>6</v>
      </c>
      <c r="D16" s="10">
        <v>120000</v>
      </c>
      <c r="E16" s="7">
        <f>+$I$2+(GMSKAKOU[[#This Row],[QUANTITE]]*GMSKAKOU[[#This Row],[PRIX UNITAIRE]])</f>
        <v>720000</v>
      </c>
      <c r="F16" s="14"/>
      <c r="G16" s="6">
        <f>+SUM(E$9:$E16)-SUM(F$9:$F16)</f>
        <v>1340000</v>
      </c>
    </row>
    <row r="17" spans="1:7" ht="28.8" x14ac:dyDescent="0.55000000000000004">
      <c r="A17" s="12">
        <v>45790</v>
      </c>
      <c r="B17" s="13" t="s">
        <v>433</v>
      </c>
      <c r="C17" s="10"/>
      <c r="D17" s="10"/>
      <c r="E17" s="7">
        <f>+$I$2+(GMSKAKOU[[#This Row],[QUANTITE]]*GMSKAKOU[[#This Row],[PRIX UNITAIRE]])</f>
        <v>0</v>
      </c>
      <c r="F17" s="14">
        <v>1340000</v>
      </c>
      <c r="G17" s="6">
        <f>+SUM(E$9:$E17)-SUM(F$9:$F17)</f>
        <v>0</v>
      </c>
    </row>
    <row r="18" spans="1:7" ht="28.8" x14ac:dyDescent="0.55000000000000004">
      <c r="A18" s="12">
        <v>45802</v>
      </c>
      <c r="B18" s="13" t="s">
        <v>261</v>
      </c>
      <c r="C18" s="10">
        <v>2</v>
      </c>
      <c r="D18" s="10">
        <v>120000</v>
      </c>
      <c r="E18" s="7">
        <f>+$I$2+(GMSKAKOU[[#This Row],[QUANTITE]]*GMSKAKOU[[#This Row],[PRIX UNITAIRE]])</f>
        <v>240000</v>
      </c>
      <c r="F18" s="14"/>
      <c r="G18" s="6">
        <f>+SUM(E$9:$E18)-SUM(F$9:$F18)</f>
        <v>240000</v>
      </c>
    </row>
    <row r="19" spans="1:7" ht="28.8" x14ac:dyDescent="0.55000000000000004">
      <c r="A19" s="12">
        <v>45821</v>
      </c>
      <c r="B19" s="13" t="s">
        <v>397</v>
      </c>
      <c r="C19" s="10">
        <v>2</v>
      </c>
      <c r="D19" s="10">
        <v>120000</v>
      </c>
      <c r="E19" s="7">
        <f>+$I$2+(GMSKAKOU[[#This Row],[QUANTITE]]*GMSKAKOU[[#This Row],[PRIX UNITAIRE]])</f>
        <v>240000</v>
      </c>
      <c r="F19" s="14"/>
      <c r="G19" s="6">
        <f>+SUM(E$9:$E19)-SUM(F$9:$F19)</f>
        <v>480000</v>
      </c>
    </row>
    <row r="20" spans="1:7" ht="28.8" x14ac:dyDescent="0.55000000000000004">
      <c r="A20" s="12"/>
      <c r="B20" s="13" t="s">
        <v>261</v>
      </c>
      <c r="C20" s="10">
        <v>10</v>
      </c>
      <c r="D20" s="10">
        <v>120000</v>
      </c>
      <c r="E20" s="7">
        <f>+$I$2+(GMSKAKOU[[#This Row],[QUANTITE]]*GMSKAKOU[[#This Row],[PRIX UNITAIRE]])</f>
        <v>1200000</v>
      </c>
      <c r="F20" s="14"/>
      <c r="G20" s="6">
        <f>+SUM(E$9:$E20)-SUM(F$9:$F20)</f>
        <v>1680000</v>
      </c>
    </row>
    <row r="21" spans="1:7" ht="28.8" x14ac:dyDescent="0.55000000000000004">
      <c r="A21" s="12">
        <v>45841</v>
      </c>
      <c r="B21" s="13" t="s">
        <v>1248</v>
      </c>
      <c r="C21" s="10">
        <v>1</v>
      </c>
      <c r="D21" s="10">
        <v>0</v>
      </c>
      <c r="E21" s="7">
        <f>+$I$2+(GMSKAKOU[[#This Row],[QUANTITE]]*GMSKAKOU[[#This Row],[PRIX UNITAIRE]])</f>
        <v>0</v>
      </c>
      <c r="F21" s="14">
        <v>1680000</v>
      </c>
      <c r="G21" s="6">
        <f>+SUM(E$9:$E21)-SUM(F$9:$F21)</f>
        <v>0</v>
      </c>
    </row>
    <row r="22" spans="1:7" ht="28.8" x14ac:dyDescent="0.55000000000000004">
      <c r="A22" s="12">
        <v>45880</v>
      </c>
      <c r="B22" s="13" t="s">
        <v>249</v>
      </c>
      <c r="C22" s="10">
        <v>2</v>
      </c>
      <c r="D22" s="10">
        <v>120000</v>
      </c>
      <c r="E22" s="7">
        <f>+$I$2+(GMSKAKOU[[#This Row],[QUANTITE]]*GMSKAKOU[[#This Row],[PRIX UNITAIRE]])</f>
        <v>240000</v>
      </c>
      <c r="F22" s="14"/>
      <c r="G22" s="6">
        <f>+SUM(E$9:$E22)-SUM(F$9:$F22)</f>
        <v>240000</v>
      </c>
    </row>
    <row r="23" spans="1:7" ht="28.8" x14ac:dyDescent="0.55000000000000004">
      <c r="A23" s="12">
        <v>45881</v>
      </c>
      <c r="B23" s="13" t="s">
        <v>2955</v>
      </c>
      <c r="C23" s="10">
        <v>2</v>
      </c>
      <c r="D23" s="10">
        <v>135000</v>
      </c>
      <c r="E23" s="7">
        <f>+$I$2+(GMSKAKOU[[#This Row],[QUANTITE]]*GMSKAKOU[[#This Row],[PRIX UNITAIRE]])</f>
        <v>270000</v>
      </c>
      <c r="F23" s="14"/>
      <c r="G23" s="6">
        <f>+SUM(E$9:$E23)-SUM(F$9:$F23)</f>
        <v>510000</v>
      </c>
    </row>
    <row r="24" spans="1:7" ht="28.8" x14ac:dyDescent="0.55000000000000004">
      <c r="A24" s="12">
        <v>45882</v>
      </c>
      <c r="B24" s="13" t="s">
        <v>258</v>
      </c>
      <c r="C24" s="10">
        <v>1</v>
      </c>
      <c r="D24" s="10">
        <v>80000</v>
      </c>
      <c r="E24" s="7">
        <f>+$I$2+(GMSKAKOU[[#This Row],[QUANTITE]]*GMSKAKOU[[#This Row],[PRIX UNITAIRE]])</f>
        <v>80000</v>
      </c>
      <c r="F24" s="14"/>
      <c r="G24" s="6">
        <f>+SUM(E$9:$E24)-SUM(F$9:$F24)</f>
        <v>590000</v>
      </c>
    </row>
    <row r="25" spans="1:7" ht="28.8" x14ac:dyDescent="0.55000000000000004">
      <c r="A25" s="12">
        <v>45902</v>
      </c>
      <c r="B25" s="13" t="s">
        <v>2972</v>
      </c>
      <c r="C25" s="10">
        <v>2</v>
      </c>
      <c r="D25" s="10">
        <v>125000</v>
      </c>
      <c r="E25" s="7">
        <f>+$I$2+(GMSKAKOU[[#This Row],[QUANTITE]]*GMSKAKOU[[#This Row],[PRIX UNITAIRE]])</f>
        <v>250000</v>
      </c>
      <c r="F25" s="14"/>
      <c r="G25" s="6">
        <f>+SUM(E$9:$E25)-SUM(F$9:$F25)</f>
        <v>840000</v>
      </c>
    </row>
    <row r="26" spans="1:7" ht="28.8" x14ac:dyDescent="0.55000000000000004">
      <c r="A26" s="12">
        <v>46046</v>
      </c>
      <c r="B26" s="13" t="s">
        <v>229</v>
      </c>
      <c r="C26" s="10">
        <v>2</v>
      </c>
      <c r="D26" s="10">
        <v>100000</v>
      </c>
      <c r="E26" s="7">
        <f>+$I$2+(GMSKAKOU[[#This Row],[QUANTITE]]*GMSKAKOU[[#This Row],[PRIX UNITAIRE]])</f>
        <v>200000</v>
      </c>
      <c r="F26" s="14"/>
      <c r="G26" s="6">
        <f>+SUM(E$9:$E26)-SUM(F$9:$F26)</f>
        <v>1040000</v>
      </c>
    </row>
    <row r="27" spans="1:7" ht="28.8" x14ac:dyDescent="0.55000000000000004">
      <c r="A27" s="12">
        <v>46058</v>
      </c>
      <c r="B27" s="13" t="s">
        <v>3414</v>
      </c>
      <c r="C27" s="10">
        <v>1</v>
      </c>
      <c r="D27" s="10">
        <v>0</v>
      </c>
      <c r="E27" s="7">
        <f>+$I$2+(GMSKAKOU[[#This Row],[QUANTITE]]*GMSKAKOU[[#This Row],[PRIX UNITAIRE]])</f>
        <v>0</v>
      </c>
      <c r="F27" s="14">
        <v>1040000</v>
      </c>
      <c r="G27" s="6">
        <f>+SUM(E$9:$E27)-SUM(F$9:$F27)</f>
        <v>0</v>
      </c>
    </row>
    <row r="28" spans="1:7" ht="28.8" x14ac:dyDescent="0.55000000000000004">
      <c r="A28" s="12"/>
      <c r="B28" s="13"/>
      <c r="C28" s="10"/>
      <c r="D28" s="10"/>
      <c r="E28" s="7">
        <f>+$I$2+(GMSKAKOU[[#This Row],[QUANTITE]]*GMSKAKOU[[#This Row],[PRIX UNITAIRE]])</f>
        <v>0</v>
      </c>
      <c r="F28" s="14"/>
      <c r="G28" s="6">
        <f>+SUM(E$9:$E28)-SUM(F$9:$F28)</f>
        <v>0</v>
      </c>
    </row>
    <row r="29" spans="1:7" ht="28.8" x14ac:dyDescent="0.55000000000000004">
      <c r="A29" s="12"/>
      <c r="B29" s="13"/>
      <c r="C29" s="10"/>
      <c r="D29" s="10"/>
      <c r="E29" s="7">
        <f>+$I$2+(GMSKAKOU[[#This Row],[QUANTITE]]*GMSKAKOU[[#This Row],[PRIX UNITAIRE]])</f>
        <v>0</v>
      </c>
      <c r="F29" s="14"/>
      <c r="G29" s="6">
        <f>+SUM(E$9:$E29)-SUM(F$9:$F29)</f>
        <v>0</v>
      </c>
    </row>
    <row r="30" spans="1:7" ht="28.8" x14ac:dyDescent="0.55000000000000004">
      <c r="A30" s="12"/>
      <c r="B30" s="13"/>
      <c r="C30" s="10"/>
      <c r="D30" s="10"/>
      <c r="E30" s="7">
        <f>+$I$2+(GMSKAKOU[[#This Row],[QUANTITE]]*GMSKAKOU[[#This Row],[PRIX UNITAIRE]])</f>
        <v>0</v>
      </c>
      <c r="F30" s="14"/>
      <c r="G30" s="6">
        <f>+SUM(E$9:$E30)-SUM(F$9:$F30)</f>
        <v>0</v>
      </c>
    </row>
    <row r="31" spans="1:7" ht="28.8" x14ac:dyDescent="0.55000000000000004">
      <c r="A31" s="12"/>
      <c r="B31" s="13"/>
      <c r="C31" s="10"/>
      <c r="D31" s="10"/>
      <c r="E31" s="7">
        <f>+$I$2+(GMSKAKOU[[#This Row],[QUANTITE]]*GMSKAKOU[[#This Row],[PRIX UNITAIRE]])</f>
        <v>0</v>
      </c>
      <c r="F31" s="14"/>
      <c r="G31" s="6">
        <f>+SUM(E$9:$E31)-SUM(F$9:$F31)</f>
        <v>0</v>
      </c>
    </row>
    <row r="32" spans="1:7" ht="28.8" x14ac:dyDescent="0.55000000000000004">
      <c r="A32" s="12"/>
      <c r="B32" s="13"/>
      <c r="C32" s="10"/>
      <c r="D32" s="10"/>
      <c r="E32" s="7">
        <f>+$I$2+(GMSKAKOU[[#This Row],[QUANTITE]]*GMSKAKOU[[#This Row],[PRIX UNITAIRE]])</f>
        <v>0</v>
      </c>
      <c r="F32" s="14"/>
      <c r="G32" s="6">
        <f>+SUM(E$9:$E32)-SUM(F$9:$F32)</f>
        <v>0</v>
      </c>
    </row>
    <row r="33" spans="1:7" ht="28.8" x14ac:dyDescent="0.55000000000000004">
      <c r="A33" s="12"/>
      <c r="B33" s="13"/>
      <c r="C33" s="10"/>
      <c r="D33" s="10"/>
      <c r="E33" s="7">
        <f>+$I$2+(GMSKAKOU[[#This Row],[QUANTITE]]*GMSKAKOU[[#This Row],[PRIX UNITAIRE]])</f>
        <v>0</v>
      </c>
      <c r="F33" s="14"/>
      <c r="G33" s="6">
        <f>+SUM(E$9:$E33)-SUM(F$9:$F33)</f>
        <v>0</v>
      </c>
    </row>
    <row r="34" spans="1:7" ht="28.8" x14ac:dyDescent="0.55000000000000004">
      <c r="A34" s="12"/>
      <c r="B34" s="13"/>
      <c r="C34" s="10"/>
      <c r="D34" s="10"/>
      <c r="E34" s="7">
        <f>+$I$2+(GMSKAKOU[[#This Row],[QUANTITE]]*GMSKAKOU[[#This Row],[PRIX UNITAIRE]])</f>
        <v>0</v>
      </c>
      <c r="F34" s="14"/>
      <c r="G34" s="6">
        <f>+SUM(E$9:$E34)-SUM(F$9:$F34)</f>
        <v>0</v>
      </c>
    </row>
    <row r="35" spans="1:7" ht="28.8" x14ac:dyDescent="0.55000000000000004">
      <c r="A35" s="12"/>
      <c r="B35" s="13"/>
      <c r="C35" s="10"/>
      <c r="D35" s="10"/>
      <c r="E35" s="7">
        <f>+$I$2+(GMSKAKOU[[#This Row],[QUANTITE]]*GMSKAKOU[[#This Row],[PRIX UNITAIRE]])</f>
        <v>0</v>
      </c>
      <c r="F35" s="14"/>
      <c r="G35" s="6">
        <f>+SUM(E$9:$E35)-SUM(F$9:$F35)</f>
        <v>0</v>
      </c>
    </row>
    <row r="36" spans="1:7" ht="28.8" x14ac:dyDescent="0.55000000000000004">
      <c r="A36" s="12"/>
      <c r="B36" s="13"/>
      <c r="C36" s="10"/>
      <c r="D36" s="10"/>
      <c r="E36" s="7">
        <f>+$I$2+(GMSKAKOU[[#This Row],[QUANTITE]]*GMSKAKOU[[#This Row],[PRIX UNITAIRE]])</f>
        <v>0</v>
      </c>
      <c r="F36" s="14"/>
      <c r="G36" s="6">
        <f>+SUM(E$9:$E36)-SUM(F$9:$F36)</f>
        <v>0</v>
      </c>
    </row>
    <row r="37" spans="1:7" ht="28.8" x14ac:dyDescent="0.55000000000000004">
      <c r="A37" s="12"/>
      <c r="B37" s="13"/>
      <c r="C37" s="10"/>
      <c r="D37" s="10"/>
      <c r="E37" s="7">
        <f>+$I$2+(GMSKAKOU[[#This Row],[QUANTITE]]*GMSKAKOU[[#This Row],[PRIX UNITAIRE]])</f>
        <v>0</v>
      </c>
      <c r="F37" s="14"/>
      <c r="G37" s="6">
        <f>+SUM(E$9:$E37)-SUM(F$9:$F37)</f>
        <v>0</v>
      </c>
    </row>
    <row r="38" spans="1:7" ht="28.8" x14ac:dyDescent="0.55000000000000004">
      <c r="A38" s="12"/>
      <c r="B38" s="13"/>
      <c r="C38" s="10"/>
      <c r="D38" s="10"/>
      <c r="E38" s="7">
        <f>+$I$2+(GMSKAKOU[[#This Row],[QUANTITE]]*GMSKAKOU[[#This Row],[PRIX UNITAIRE]])</f>
        <v>0</v>
      </c>
      <c r="F38" s="14"/>
      <c r="G38" s="6">
        <f>+SUM(E$9:$E38)-SUM(F$9:$F38)</f>
        <v>0</v>
      </c>
    </row>
    <row r="39" spans="1:7" ht="28.8" x14ac:dyDescent="0.55000000000000004">
      <c r="A39" s="12"/>
      <c r="B39" s="13"/>
      <c r="C39" s="10"/>
      <c r="D39" s="10"/>
      <c r="E39" s="7">
        <f>+$I$2+(GMSKAKOU[[#This Row],[QUANTITE]]*GMSKAKOU[[#This Row],[PRIX UNITAIRE]])</f>
        <v>0</v>
      </c>
      <c r="F39" s="14"/>
      <c r="G39" s="6">
        <f>+SUM(E$9:$E39)-SUM(F$9:$F39)</f>
        <v>0</v>
      </c>
    </row>
    <row r="40" spans="1:7" ht="28.8" x14ac:dyDescent="0.55000000000000004">
      <c r="A40" s="12"/>
      <c r="B40" s="13"/>
      <c r="C40" s="10"/>
      <c r="D40" s="10"/>
      <c r="E40" s="7">
        <f>+$I$2+(GMSKAKOU[[#This Row],[QUANTITE]]*GMSKAKOU[[#This Row],[PRIX UNITAIRE]])</f>
        <v>0</v>
      </c>
      <c r="F40" s="14"/>
      <c r="G40" s="6">
        <f>+SUM(E$9:$E40)-SUM(F$9:$F40)</f>
        <v>0</v>
      </c>
    </row>
    <row r="41" spans="1:7" ht="28.8" x14ac:dyDescent="0.55000000000000004">
      <c r="A41" s="12"/>
      <c r="B41" s="13"/>
      <c r="C41" s="10"/>
      <c r="D41" s="10"/>
      <c r="E41" s="7">
        <f>+$I$2+(GMSKAKOU[[#This Row],[QUANTITE]]*GMSKAKOU[[#This Row],[PRIX UNITAIRE]])</f>
        <v>0</v>
      </c>
      <c r="F41" s="14"/>
      <c r="G41" s="6">
        <f>+SUM(E$9:$E41)-SUM(F$9:$F41)</f>
        <v>0</v>
      </c>
    </row>
    <row r="42" spans="1:7" ht="28.8" x14ac:dyDescent="0.55000000000000004">
      <c r="A42" s="12"/>
      <c r="B42" s="13"/>
      <c r="C42" s="10"/>
      <c r="D42" s="10"/>
      <c r="E42" s="7">
        <f>+$I$2+(GMSKAKOU[[#This Row],[QUANTITE]]*GMSKAKOU[[#This Row],[PRIX UNITAIRE]])</f>
        <v>0</v>
      </c>
      <c r="F42" s="14"/>
      <c r="G42" s="6">
        <f>+SUM(E$9:$E42)-SUM(F$9:$F42)</f>
        <v>0</v>
      </c>
    </row>
    <row r="43" spans="1:7" ht="28.8" x14ac:dyDescent="0.55000000000000004">
      <c r="A43" s="12"/>
      <c r="B43" s="13"/>
      <c r="C43" s="10"/>
      <c r="D43" s="10"/>
      <c r="E43" s="7">
        <f>+$I$2+(GMSKAKOU[[#This Row],[QUANTITE]]*GMSKAKOU[[#This Row],[PRIX UNITAIRE]])</f>
        <v>0</v>
      </c>
      <c r="F43" s="14"/>
      <c r="G43" s="6">
        <f>+SUM(E$9:$E43)-SUM(F$9:$F43)</f>
        <v>0</v>
      </c>
    </row>
    <row r="44" spans="1:7" ht="28.8" x14ac:dyDescent="0.55000000000000004">
      <c r="A44" s="12"/>
      <c r="B44" s="13"/>
      <c r="C44" s="10"/>
      <c r="D44" s="10"/>
      <c r="E44" s="7">
        <f>+$I$2+(GMSKAKOU[[#This Row],[QUANTITE]]*GMSKAKOU[[#This Row],[PRIX UNITAIRE]])</f>
        <v>0</v>
      </c>
      <c r="F44" s="14"/>
      <c r="G44" s="6">
        <f>+SUM(E$9:$E44)-SUM(F$9:$F44)</f>
        <v>0</v>
      </c>
    </row>
    <row r="45" spans="1:7" ht="28.8" x14ac:dyDescent="0.55000000000000004">
      <c r="A45" s="12"/>
      <c r="B45" s="13"/>
      <c r="C45" s="10"/>
      <c r="D45" s="10"/>
      <c r="E45" s="7">
        <f>+$I$2+(GMSKAKOU[[#This Row],[QUANTITE]]*GMSKAKOU[[#This Row],[PRIX UNITAIRE]])</f>
        <v>0</v>
      </c>
      <c r="F45" s="14"/>
      <c r="G45" s="6">
        <f>+SUM(E$9:$E45)-SUM(F$9:$F45)</f>
        <v>0</v>
      </c>
    </row>
    <row r="46" spans="1:7" ht="28.8" x14ac:dyDescent="0.55000000000000004">
      <c r="A46" s="12"/>
      <c r="B46" s="13"/>
      <c r="C46" s="10"/>
      <c r="D46" s="10"/>
      <c r="E46" s="7">
        <f>+$I$2+(GMSKAKOU[[#This Row],[QUANTITE]]*GMSKAKOU[[#This Row],[PRIX UNITAIRE]])</f>
        <v>0</v>
      </c>
      <c r="F46" s="14"/>
      <c r="G46" s="6">
        <f>+SUM(E$9:$E46)-SUM(F$9:$F46)</f>
        <v>0</v>
      </c>
    </row>
    <row r="47" spans="1:7" ht="28.8" x14ac:dyDescent="0.55000000000000004">
      <c r="A47" s="12"/>
      <c r="B47" s="13"/>
      <c r="C47" s="10"/>
      <c r="D47" s="10"/>
      <c r="E47" s="7">
        <f>+$I$2+(GMSKAKOU[[#This Row],[QUANTITE]]*GMSKAKOU[[#This Row],[PRIX UNITAIRE]])</f>
        <v>0</v>
      </c>
      <c r="F47" s="14"/>
      <c r="G47" s="6">
        <f>+SUM(E$9:$E47)-SUM(F$9:$F47)</f>
        <v>0</v>
      </c>
    </row>
    <row r="48" spans="1:7" ht="28.8" x14ac:dyDescent="0.55000000000000004">
      <c r="A48" s="12"/>
      <c r="B48" s="13"/>
      <c r="C48" s="10"/>
      <c r="D48" s="10"/>
      <c r="E48" s="7">
        <f>+$I$2+(GMSKAKOU[[#This Row],[QUANTITE]]*GMSKAKOU[[#This Row],[PRIX UNITAIRE]])</f>
        <v>0</v>
      </c>
      <c r="F48" s="14"/>
      <c r="G48" s="6">
        <f>+SUM(E$9:$E48)-SUM(F$9:$F48)</f>
        <v>0</v>
      </c>
    </row>
    <row r="49" spans="1:7" ht="28.8" x14ac:dyDescent="0.55000000000000004">
      <c r="A49" s="12"/>
      <c r="B49" s="13"/>
      <c r="C49" s="10"/>
      <c r="D49" s="10"/>
      <c r="E49" s="7">
        <f>+$I$2+(GMSKAKOU[[#This Row],[QUANTITE]]*GMSKAKOU[[#This Row],[PRIX UNITAIRE]])</f>
        <v>0</v>
      </c>
      <c r="F49" s="14"/>
      <c r="G49" s="6">
        <f>+SUM(E$9:$E49)-SUM(F$9:$F49)</f>
        <v>0</v>
      </c>
    </row>
    <row r="50" spans="1:7" ht="28.8" x14ac:dyDescent="0.55000000000000004">
      <c r="A50" s="12"/>
      <c r="B50" s="13"/>
      <c r="C50" s="10"/>
      <c r="D50" s="10"/>
      <c r="E50" s="7">
        <f>+$I$2+(GMSKAKOU[[#This Row],[QUANTITE]]*GMSKAKOU[[#This Row],[PRIX UNITAIRE]])</f>
        <v>0</v>
      </c>
      <c r="F50" s="14"/>
      <c r="G50" s="6">
        <f>+SUM(E$9:$E50)-SUM(F$9:$F50)</f>
        <v>0</v>
      </c>
    </row>
    <row r="51" spans="1:7" ht="28.8" x14ac:dyDescent="0.55000000000000004">
      <c r="A51" s="12"/>
      <c r="B51" s="13"/>
      <c r="C51" s="10"/>
      <c r="D51" s="10"/>
      <c r="E51" s="7">
        <f>+$I$2+(GMSKAKOU[[#This Row],[QUANTITE]]*GMSKAKOU[[#This Row],[PRIX UNITAIRE]])</f>
        <v>0</v>
      </c>
      <c r="F51" s="14"/>
      <c r="G51" s="6">
        <f>+SUM(E$9:$E51)-SUM(F$9:$F51)</f>
        <v>0</v>
      </c>
    </row>
    <row r="52" spans="1:7" ht="28.8" x14ac:dyDescent="0.55000000000000004">
      <c r="A52" s="12"/>
      <c r="B52" s="13"/>
      <c r="C52" s="10"/>
      <c r="D52" s="10"/>
      <c r="E52" s="7">
        <f>+$I$2+(GMSKAKOU[[#This Row],[QUANTITE]]*GMSKAKOU[[#This Row],[PRIX UNITAIRE]])</f>
        <v>0</v>
      </c>
      <c r="F52" s="14"/>
      <c r="G52" s="6">
        <f>+SUM(E$9:$E52)-SUM(F$9:$F52)</f>
        <v>0</v>
      </c>
    </row>
    <row r="53" spans="1:7" ht="28.8" x14ac:dyDescent="0.55000000000000004">
      <c r="A53" s="12"/>
      <c r="B53" s="13"/>
      <c r="C53" s="10"/>
      <c r="D53" s="10"/>
      <c r="E53" s="7">
        <f>+$I$2+(GMSKAKOU[[#This Row],[QUANTITE]]*GMSKAKOU[[#This Row],[PRIX UNITAIRE]])</f>
        <v>0</v>
      </c>
      <c r="F53" s="14"/>
      <c r="G53" s="6">
        <f>+SUM(E$9:$E53)-SUM(F$9:$F53)</f>
        <v>0</v>
      </c>
    </row>
    <row r="54" spans="1:7" ht="28.8" x14ac:dyDescent="0.55000000000000004">
      <c r="A54" s="12"/>
      <c r="B54" s="13"/>
      <c r="C54" s="10"/>
      <c r="D54" s="10"/>
      <c r="E54" s="7">
        <f>+$I$2+(GMSKAKOU[[#This Row],[QUANTITE]]*GMSKAKOU[[#This Row],[PRIX UNITAIRE]])</f>
        <v>0</v>
      </c>
      <c r="F54" s="14"/>
      <c r="G54" s="6">
        <f>+SUM(E$9:$E54)-SUM(F$9:$F54)</f>
        <v>0</v>
      </c>
    </row>
    <row r="55" spans="1:7" ht="28.8" x14ac:dyDescent="0.55000000000000004">
      <c r="A55" s="12"/>
      <c r="B55" s="13"/>
      <c r="C55" s="10"/>
      <c r="D55" s="10"/>
      <c r="E55" s="7">
        <f>+$I$2+(GMSKAKOU[[#This Row],[QUANTITE]]*GMSKAKOU[[#This Row],[PRIX UNITAIRE]])</f>
        <v>0</v>
      </c>
      <c r="F55" s="14"/>
      <c r="G55" s="6">
        <f>+SUM(E$9:$E55)-SUM(F$9:$F55)</f>
        <v>0</v>
      </c>
    </row>
    <row r="56" spans="1:7" ht="28.8" x14ac:dyDescent="0.55000000000000004">
      <c r="A56" s="12"/>
      <c r="B56" s="13"/>
      <c r="C56" s="10"/>
      <c r="D56" s="10"/>
      <c r="E56" s="7">
        <f>+$I$2+(GMSKAKOU[[#This Row],[QUANTITE]]*GMSKAKOU[[#This Row],[PRIX UNITAIRE]])</f>
        <v>0</v>
      </c>
      <c r="F56" s="14"/>
      <c r="G56" s="6">
        <f>+SUM(E$9:$E56)-SUM(F$9:$F56)</f>
        <v>0</v>
      </c>
    </row>
    <row r="57" spans="1:7" ht="28.8" x14ac:dyDescent="0.55000000000000004">
      <c r="A57" s="12"/>
      <c r="B57" s="13"/>
      <c r="C57" s="10"/>
      <c r="D57" s="10"/>
      <c r="E57" s="7">
        <f>+$I$2+(GMSKAKOU[[#This Row],[QUANTITE]]*GMSKAKOU[[#This Row],[PRIX UNITAIRE]])</f>
        <v>0</v>
      </c>
      <c r="F57" s="14"/>
      <c r="G57" s="6">
        <f>+SUM(E$9:$E57)-SUM(F$9:$F57)</f>
        <v>0</v>
      </c>
    </row>
    <row r="58" spans="1:7" ht="28.8" x14ac:dyDescent="0.55000000000000004">
      <c r="A58" s="12"/>
      <c r="B58" s="13"/>
      <c r="C58" s="10"/>
      <c r="D58" s="10"/>
      <c r="E58" s="7">
        <f>+$I$2+(GMSKAKOU[[#This Row],[QUANTITE]]*GMSKAKOU[[#This Row],[PRIX UNITAIRE]])</f>
        <v>0</v>
      </c>
      <c r="F58" s="14"/>
      <c r="G58" s="6">
        <f>+SUM(E$9:$E58)-SUM(F$9:$F58)</f>
        <v>0</v>
      </c>
    </row>
    <row r="59" spans="1:7" ht="28.8" x14ac:dyDescent="0.55000000000000004">
      <c r="A59" s="12"/>
      <c r="B59" s="13"/>
      <c r="C59" s="10"/>
      <c r="D59" s="10"/>
      <c r="E59" s="7">
        <f>+$I$2+(GMSKAKOU[[#This Row],[QUANTITE]]*GMSKAKOU[[#This Row],[PRIX UNITAIRE]])</f>
        <v>0</v>
      </c>
      <c r="F59" s="14"/>
      <c r="G59" s="6">
        <f>+SUM(E$9:$E59)-SUM(F$9:$F59)</f>
        <v>0</v>
      </c>
    </row>
    <row r="60" spans="1:7" ht="28.8" x14ac:dyDescent="0.55000000000000004">
      <c r="A60" s="12"/>
      <c r="B60" s="13"/>
      <c r="C60" s="10"/>
      <c r="D60" s="10"/>
      <c r="E60" s="7">
        <f>+$I$2+(GMSKAKOU[[#This Row],[QUANTITE]]*GMSKAKOU[[#This Row],[PRIX UNITAIRE]])</f>
        <v>0</v>
      </c>
      <c r="F60" s="14"/>
      <c r="G60" s="6">
        <f>+SUM(E$9:$E60)-SUM(F$9:$F60)</f>
        <v>0</v>
      </c>
    </row>
    <row r="61" spans="1:7" ht="28.8" x14ac:dyDescent="0.55000000000000004">
      <c r="A61" s="12"/>
      <c r="B61" s="13"/>
      <c r="C61" s="10"/>
      <c r="D61" s="10"/>
      <c r="E61" s="7">
        <f>+$I$2+(GMSKAKOU[[#This Row],[QUANTITE]]*GMSKAKOU[[#This Row],[PRIX UNITAIRE]])</f>
        <v>0</v>
      </c>
      <c r="F61" s="14"/>
      <c r="G61" s="6">
        <f>+SUM(E$9:$E61)-SUM(F$9:$F61)</f>
        <v>0</v>
      </c>
    </row>
    <row r="62" spans="1:7" ht="28.8" x14ac:dyDescent="0.55000000000000004">
      <c r="A62" s="12"/>
      <c r="B62" s="13"/>
      <c r="C62" s="10"/>
      <c r="D62" s="10"/>
      <c r="E62" s="7">
        <f>+$I$2+(GMSKAKOU[[#This Row],[QUANTITE]]*GMSKAKOU[[#This Row],[PRIX UNITAIRE]])</f>
        <v>0</v>
      </c>
      <c r="F62" s="14"/>
      <c r="G62" s="6">
        <f>+SUM(E$9:$E62)-SUM(F$9:$F62)</f>
        <v>0</v>
      </c>
    </row>
    <row r="63" spans="1:7" ht="28.8" x14ac:dyDescent="0.55000000000000004">
      <c r="A63" s="12"/>
      <c r="B63" s="13"/>
      <c r="C63" s="10"/>
      <c r="D63" s="10"/>
      <c r="E63" s="7">
        <f>+$I$2+(GMSKAKOU[[#This Row],[QUANTITE]]*GMSKAKOU[[#This Row],[PRIX UNITAIRE]])</f>
        <v>0</v>
      </c>
      <c r="F63" s="14"/>
      <c r="G63" s="6">
        <f>+SUM(E$9:$E63)-SUM(F$9:$F63)</f>
        <v>0</v>
      </c>
    </row>
    <row r="64" spans="1:7" ht="28.8" x14ac:dyDescent="0.55000000000000004">
      <c r="A64" s="12"/>
      <c r="B64" s="13"/>
      <c r="C64" s="10"/>
      <c r="D64" s="10"/>
      <c r="E64" s="7">
        <f>+$I$2+(GMSKAKOU[[#This Row],[QUANTITE]]*GMSKAKOU[[#This Row],[PRIX UNITAIRE]])</f>
        <v>0</v>
      </c>
      <c r="F64" s="14"/>
      <c r="G64" s="6">
        <f>+SUM(E$9:$E64)-SUM(F$9:$F64)</f>
        <v>0</v>
      </c>
    </row>
    <row r="65" spans="1:7" ht="28.8" x14ac:dyDescent="0.55000000000000004">
      <c r="A65" s="12"/>
      <c r="B65" s="13"/>
      <c r="C65" s="10"/>
      <c r="D65" s="10"/>
      <c r="E65" s="7">
        <f>+$I$2+(GMSKAKOU[[#This Row],[QUANTITE]]*GMSKAKOU[[#This Row],[PRIX UNITAIRE]])</f>
        <v>0</v>
      </c>
      <c r="F65" s="14"/>
      <c r="G65" s="6">
        <f>+SUM(E$9:$E65)-SUM(F$9:$F65)</f>
        <v>0</v>
      </c>
    </row>
    <row r="66" spans="1:7" ht="28.8" x14ac:dyDescent="0.55000000000000004">
      <c r="A66" s="12"/>
      <c r="B66" s="13"/>
      <c r="C66" s="10"/>
      <c r="D66" s="10"/>
      <c r="E66" s="7">
        <f>+$I$2+(GMSKAKOU[[#This Row],[QUANTITE]]*GMSKAKOU[[#This Row],[PRIX UNITAIRE]])</f>
        <v>0</v>
      </c>
      <c r="F66" s="14"/>
      <c r="G66" s="6">
        <f>+SUM(E$9:$E66)-SUM(F$9:$F66)</f>
        <v>0</v>
      </c>
    </row>
    <row r="67" spans="1:7" ht="28.8" x14ac:dyDescent="0.55000000000000004">
      <c r="A67" s="12"/>
      <c r="B67" s="13"/>
      <c r="C67" s="10"/>
      <c r="D67" s="10"/>
      <c r="E67" s="7">
        <f>+$I$2+(GMSKAKOU[[#This Row],[QUANTITE]]*GMSKAKOU[[#This Row],[PRIX UNITAIRE]])</f>
        <v>0</v>
      </c>
      <c r="F67" s="14"/>
      <c r="G67" s="6">
        <f>+SUM(E$9:$E67)-SUM(F$9:$F67)</f>
        <v>0</v>
      </c>
    </row>
    <row r="68" spans="1:7" ht="28.8" x14ac:dyDescent="0.55000000000000004">
      <c r="A68" s="12"/>
      <c r="B68" s="13"/>
      <c r="C68" s="10"/>
      <c r="D68" s="10"/>
      <c r="E68" s="7">
        <f>+$I$2+(GMSKAKOU[[#This Row],[QUANTITE]]*GMSKAKOU[[#This Row],[PRIX UNITAIRE]])</f>
        <v>0</v>
      </c>
      <c r="F68" s="14"/>
      <c r="G68" s="6">
        <f>+SUM(E$9:$E68)-SUM(F$9:$F68)</f>
        <v>0</v>
      </c>
    </row>
    <row r="69" spans="1:7" ht="28.8" x14ac:dyDescent="0.55000000000000004">
      <c r="A69" s="12"/>
      <c r="B69" s="13"/>
      <c r="C69" s="10"/>
      <c r="D69" s="10"/>
      <c r="E69" s="7">
        <f>+$I$2+(GMSKAKOU[[#This Row],[QUANTITE]]*GMSKAKOU[[#This Row],[PRIX UNITAIRE]])</f>
        <v>0</v>
      </c>
      <c r="F69" s="14"/>
      <c r="G69" s="6">
        <f>+SUM(E$9:$E69)-SUM(F$9:$F69)</f>
        <v>0</v>
      </c>
    </row>
    <row r="70" spans="1:7" ht="28.8" x14ac:dyDescent="0.55000000000000004">
      <c r="A70" s="12"/>
      <c r="B70" s="13"/>
      <c r="C70" s="10"/>
      <c r="D70" s="10"/>
      <c r="E70" s="7">
        <f>+$I$2+(GMSKAKOU[[#This Row],[QUANTITE]]*GMSKAKOU[[#This Row],[PRIX UNITAIRE]])</f>
        <v>0</v>
      </c>
      <c r="F70" s="14"/>
      <c r="G70" s="6">
        <f>+SUM(E$9:$E70)-SUM(F$9:$F70)</f>
        <v>0</v>
      </c>
    </row>
    <row r="71" spans="1:7" ht="28.8" x14ac:dyDescent="0.55000000000000004">
      <c r="A71" s="12"/>
      <c r="B71" s="13"/>
      <c r="C71" s="10"/>
      <c r="D71" s="10"/>
      <c r="E71" s="7">
        <f>+$I$2+(GMSKAKOU[[#This Row],[QUANTITE]]*GMSKAKOU[[#This Row],[PRIX UNITAIRE]])</f>
        <v>0</v>
      </c>
      <c r="F71" s="14"/>
      <c r="G71" s="6">
        <f>+SUM(E$9:$E71)-SUM(F$9:$F71)</f>
        <v>0</v>
      </c>
    </row>
    <row r="72" spans="1:7" ht="28.8" x14ac:dyDescent="0.55000000000000004">
      <c r="A72" s="12"/>
      <c r="B72" s="13"/>
      <c r="C72" s="10"/>
      <c r="D72" s="10"/>
      <c r="E72" s="7">
        <f>+$I$2+(GMSKAKOU[[#This Row],[QUANTITE]]*GMSKAKOU[[#This Row],[PRIX UNITAIRE]])</f>
        <v>0</v>
      </c>
      <c r="F72" s="14"/>
      <c r="G72" s="6">
        <f>+SUM(E$9:$E72)-SUM(F$9:$F72)</f>
        <v>0</v>
      </c>
    </row>
    <row r="73" spans="1:7" ht="28.8" x14ac:dyDescent="0.55000000000000004">
      <c r="A73" s="12"/>
      <c r="B73" s="13"/>
      <c r="C73" s="10"/>
      <c r="D73" s="10"/>
      <c r="E73" s="7">
        <f>+$I$2+(GMSKAKOU[[#This Row],[QUANTITE]]*GMSKAKOU[[#This Row],[PRIX UNITAIRE]])</f>
        <v>0</v>
      </c>
      <c r="F73" s="14"/>
      <c r="G73" s="6">
        <f>+SUM(E$9:$E73)-SUM(F$9:$F73)</f>
        <v>0</v>
      </c>
    </row>
    <row r="74" spans="1:7" ht="28.8" x14ac:dyDescent="0.55000000000000004">
      <c r="A74" s="12"/>
      <c r="B74" s="13"/>
      <c r="C74" s="10"/>
      <c r="D74" s="10"/>
      <c r="E74" s="7">
        <f>+$I$2+(GMSKAKOU[[#This Row],[QUANTITE]]*GMSKAKOU[[#This Row],[PRIX UNITAIRE]])</f>
        <v>0</v>
      </c>
      <c r="F74" s="14"/>
      <c r="G74" s="6">
        <f>+SUM(E$9:$E74)-SUM(F$9:$F74)</f>
        <v>0</v>
      </c>
    </row>
    <row r="75" spans="1:7" ht="28.8" x14ac:dyDescent="0.55000000000000004">
      <c r="A75" s="12"/>
      <c r="B75" s="13"/>
      <c r="C75" s="10"/>
      <c r="D75" s="10"/>
      <c r="E75" s="7">
        <f>+$I$2+(GMSKAKOU[[#This Row],[QUANTITE]]*GMSKAKOU[[#This Row],[PRIX UNITAIRE]])</f>
        <v>0</v>
      </c>
      <c r="F75" s="14"/>
      <c r="G75" s="6">
        <f>+SUM(E$9:$E75)-SUM(F$9:$F75)</f>
        <v>0</v>
      </c>
    </row>
    <row r="76" spans="1:7" ht="28.8" x14ac:dyDescent="0.55000000000000004">
      <c r="A76" s="12"/>
      <c r="B76" s="13"/>
      <c r="C76" s="10"/>
      <c r="D76" s="10"/>
      <c r="E76" s="7">
        <f>+$I$2+(GMSKAKOU[[#This Row],[QUANTITE]]*GMSKAKOU[[#This Row],[PRIX UNITAIRE]])</f>
        <v>0</v>
      </c>
      <c r="F76" s="14"/>
      <c r="G76" s="6">
        <f>+SUM(E$9:$E76)-SUM(F$9:$F76)</f>
        <v>0</v>
      </c>
    </row>
    <row r="77" spans="1:7" ht="28.8" x14ac:dyDescent="0.55000000000000004">
      <c r="A77" s="12"/>
      <c r="B77" s="13"/>
      <c r="C77" s="10"/>
      <c r="D77" s="10"/>
      <c r="E77" s="7">
        <f>+$I$2+(GMSKAKOU[[#This Row],[QUANTITE]]*GMSKAKOU[[#This Row],[PRIX UNITAIRE]])</f>
        <v>0</v>
      </c>
      <c r="F77" s="14"/>
      <c r="G77" s="6">
        <f>+SUM(E$9:$E77)-SUM(F$9:$F77)</f>
        <v>0</v>
      </c>
    </row>
    <row r="78" spans="1:7" ht="28.8" x14ac:dyDescent="0.55000000000000004">
      <c r="A78" s="12"/>
      <c r="B78" s="13"/>
      <c r="C78" s="10"/>
      <c r="D78" s="10"/>
      <c r="E78" s="7">
        <f>+$I$2+(GMSKAKOU[[#This Row],[QUANTITE]]*GMSKAKOU[[#This Row],[PRIX UNITAIRE]])</f>
        <v>0</v>
      </c>
      <c r="F78" s="14"/>
      <c r="G78" s="6">
        <f>+SUM(E$9:$E78)-SUM(F$9:$F78)</f>
        <v>0</v>
      </c>
    </row>
    <row r="79" spans="1:7" ht="28.8" x14ac:dyDescent="0.55000000000000004">
      <c r="A79" s="12"/>
      <c r="B79" s="13"/>
      <c r="C79" s="10"/>
      <c r="D79" s="10"/>
      <c r="E79" s="7">
        <f>+$I$2+(GMSKAKOU[[#This Row],[QUANTITE]]*GMSKAKOU[[#This Row],[PRIX UNITAIRE]])</f>
        <v>0</v>
      </c>
      <c r="F79" s="14"/>
      <c r="G79" s="6">
        <f>+SUM(E$9:$E79)-SUM(F$9:$F79)</f>
        <v>0</v>
      </c>
    </row>
    <row r="80" spans="1:7" ht="28.8" x14ac:dyDescent="0.55000000000000004">
      <c r="A80" s="12"/>
      <c r="B80" s="13"/>
      <c r="C80" s="10"/>
      <c r="D80" s="10"/>
      <c r="E80" s="7">
        <f>+$I$2+(GMSKAKOU[[#This Row],[QUANTITE]]*GMSKAKOU[[#This Row],[PRIX UNITAIRE]])</f>
        <v>0</v>
      </c>
      <c r="F80" s="14"/>
      <c r="G80" s="6">
        <f>+SUM(E$9:$E80)-SUM(F$9:$F80)</f>
        <v>0</v>
      </c>
    </row>
    <row r="81" spans="1:7" ht="28.8" x14ac:dyDescent="0.55000000000000004">
      <c r="A81" s="12"/>
      <c r="B81" s="13"/>
      <c r="C81" s="10"/>
      <c r="D81" s="10"/>
      <c r="E81" s="7">
        <f>+$I$2+(GMSKAKOU[[#This Row],[QUANTITE]]*GMSKAKOU[[#This Row],[PRIX UNITAIRE]])</f>
        <v>0</v>
      </c>
      <c r="F81" s="14"/>
      <c r="G81" s="6">
        <f>+SUM(E$9:$E81)-SUM(F$9:$F81)</f>
        <v>0</v>
      </c>
    </row>
    <row r="82" spans="1:7" ht="28.8" x14ac:dyDescent="0.55000000000000004">
      <c r="A82" s="12"/>
      <c r="B82" s="13"/>
      <c r="C82" s="10"/>
      <c r="D82" s="10"/>
      <c r="E82" s="7">
        <f>+$I$2+(GMSKAKOU[[#This Row],[QUANTITE]]*GMSKAKOU[[#This Row],[PRIX UNITAIRE]])</f>
        <v>0</v>
      </c>
      <c r="F82" s="14"/>
      <c r="G82" s="6">
        <f>+SUM(E$9:$E82)-SUM(F$9:$F82)</f>
        <v>0</v>
      </c>
    </row>
    <row r="83" spans="1:7" ht="28.8" x14ac:dyDescent="0.55000000000000004">
      <c r="A83" s="12"/>
      <c r="B83" s="13"/>
      <c r="C83" s="10"/>
      <c r="D83" s="10"/>
      <c r="E83" s="7">
        <f>+$I$2+(GMSKAKOU[[#This Row],[QUANTITE]]*GMSKAKOU[[#This Row],[PRIX UNITAIRE]])</f>
        <v>0</v>
      </c>
      <c r="F83" s="14"/>
      <c r="G83" s="6">
        <f>+SUM(E$9:$E83)-SUM(F$9:$F83)</f>
        <v>0</v>
      </c>
    </row>
    <row r="84" spans="1:7" ht="28.8" x14ac:dyDescent="0.55000000000000004">
      <c r="A84" s="12"/>
      <c r="B84" s="13"/>
      <c r="C84" s="10"/>
      <c r="D84" s="10"/>
      <c r="E84" s="7">
        <f>+$I$2+(GMSKAKOU[[#This Row],[QUANTITE]]*GMSKAKOU[[#This Row],[PRIX UNITAIRE]])</f>
        <v>0</v>
      </c>
      <c r="F84" s="14"/>
      <c r="G84" s="6">
        <f>+SUM(E$9:$E84)-SUM(F$9:$F84)</f>
        <v>0</v>
      </c>
    </row>
    <row r="85" spans="1:7" ht="28.8" x14ac:dyDescent="0.55000000000000004">
      <c r="A85" s="12"/>
      <c r="B85" s="13"/>
      <c r="C85" s="10"/>
      <c r="D85" s="10"/>
      <c r="E85" s="7">
        <f>+$I$2+(GMSKAKOU[[#This Row],[QUANTITE]]*GMSKAKOU[[#This Row],[PRIX UNITAIRE]])</f>
        <v>0</v>
      </c>
      <c r="F85" s="14"/>
      <c r="G85" s="6">
        <f>+SUM(E$9:$E85)-SUM(F$9:$F85)</f>
        <v>0</v>
      </c>
    </row>
    <row r="86" spans="1:7" ht="28.8" x14ac:dyDescent="0.55000000000000004">
      <c r="A86" s="12"/>
      <c r="B86" s="13"/>
      <c r="C86" s="10"/>
      <c r="D86" s="10"/>
      <c r="E86" s="7">
        <f>+$I$2+(GMSKAKOU[[#This Row],[QUANTITE]]*GMSKAKOU[[#This Row],[PRIX UNITAIRE]])</f>
        <v>0</v>
      </c>
      <c r="F86" s="14"/>
      <c r="G86" s="6">
        <f>+SUM(E$9:$E86)-SUM(F$9:$F86)</f>
        <v>0</v>
      </c>
    </row>
    <row r="87" spans="1:7" ht="28.8" x14ac:dyDescent="0.55000000000000004">
      <c r="A87" s="12"/>
      <c r="B87" s="13"/>
      <c r="C87" s="10"/>
      <c r="D87" s="10"/>
      <c r="E87" s="7">
        <f>+$I$2+(GMSKAKOU[[#This Row],[QUANTITE]]*GMSKAKOU[[#This Row],[PRIX UNITAIRE]])</f>
        <v>0</v>
      </c>
      <c r="F87" s="14"/>
      <c r="G87" s="6">
        <f>+SUM(E$9:$E87)-SUM(F$9:$F87)</f>
        <v>0</v>
      </c>
    </row>
    <row r="88" spans="1:7" ht="28.8" x14ac:dyDescent="0.55000000000000004">
      <c r="A88" s="12"/>
      <c r="B88" s="13"/>
      <c r="C88" s="10"/>
      <c r="D88" s="10"/>
      <c r="E88" s="7">
        <f>+$I$2+(GMSKAKOU[[#This Row],[QUANTITE]]*GMSKAKOU[[#This Row],[PRIX UNITAIRE]])</f>
        <v>0</v>
      </c>
      <c r="F88" s="14"/>
      <c r="G88" s="6">
        <f>+SUM(E$9:$E88)-SUM(F$9:$F88)</f>
        <v>0</v>
      </c>
    </row>
    <row r="89" spans="1:7" ht="28.8" x14ac:dyDescent="0.55000000000000004">
      <c r="A89" s="12"/>
      <c r="B89" s="13"/>
      <c r="C89" s="10"/>
      <c r="D89" s="10"/>
      <c r="E89" s="7">
        <f>+$I$2+(GMSKAKOU[[#This Row],[QUANTITE]]*GMSKAKOU[[#This Row],[PRIX UNITAIRE]])</f>
        <v>0</v>
      </c>
      <c r="F89" s="14"/>
      <c r="G89" s="6">
        <f>+SUM(E$9:$E89)-SUM(F$9:$F89)</f>
        <v>0</v>
      </c>
    </row>
    <row r="90" spans="1:7" ht="28.8" x14ac:dyDescent="0.55000000000000004">
      <c r="A90" s="12"/>
      <c r="B90" s="13"/>
      <c r="C90" s="10"/>
      <c r="D90" s="10"/>
      <c r="E90" s="7">
        <f>+$I$2+(GMSKAKOU[[#This Row],[QUANTITE]]*GMSKAKOU[[#This Row],[PRIX UNITAIRE]])</f>
        <v>0</v>
      </c>
      <c r="F90" s="14"/>
      <c r="G90" s="6">
        <f>+SUM(E$9:$E90)-SUM(F$9:$F90)</f>
        <v>0</v>
      </c>
    </row>
    <row r="91" spans="1:7" ht="28.8" x14ac:dyDescent="0.55000000000000004">
      <c r="A91" s="12"/>
      <c r="B91" s="13"/>
      <c r="C91" s="10"/>
      <c r="D91" s="10"/>
      <c r="E91" s="7">
        <f>+$I$2+(GMSKAKOU[[#This Row],[QUANTITE]]*GMSKAKOU[[#This Row],[PRIX UNITAIRE]])</f>
        <v>0</v>
      </c>
      <c r="F91" s="14"/>
      <c r="G91" s="6">
        <f>+SUM(E$9:$E91)-SUM(F$9:$F91)</f>
        <v>0</v>
      </c>
    </row>
    <row r="92" spans="1:7" ht="28.8" x14ac:dyDescent="0.55000000000000004">
      <c r="A92" s="12"/>
      <c r="B92" s="13"/>
      <c r="C92" s="10"/>
      <c r="D92" s="10"/>
      <c r="E92" s="7">
        <f>+$I$2+(GMSKAKOU[[#This Row],[QUANTITE]]*GMSKAKOU[[#This Row],[PRIX UNITAIRE]])</f>
        <v>0</v>
      </c>
      <c r="F92" s="14"/>
      <c r="G92" s="6">
        <f>+SUM(E$9:$E92)-SUM(F$9:$F92)</f>
        <v>0</v>
      </c>
    </row>
    <row r="93" spans="1:7" ht="28.8" x14ac:dyDescent="0.55000000000000004">
      <c r="A93" s="12"/>
      <c r="B93" s="13"/>
      <c r="C93" s="10"/>
      <c r="D93" s="10"/>
      <c r="E93" s="7">
        <f>+$I$2+(GMSKAKOU[[#This Row],[QUANTITE]]*GMSKAKOU[[#This Row],[PRIX UNITAIRE]])</f>
        <v>0</v>
      </c>
      <c r="F93" s="14"/>
      <c r="G93" s="6">
        <f>+SUM(E$9:$E93)-SUM(F$9:$F93)</f>
        <v>0</v>
      </c>
    </row>
    <row r="94" spans="1:7" ht="28.8" x14ac:dyDescent="0.55000000000000004">
      <c r="A94" s="12"/>
      <c r="B94" s="13"/>
      <c r="C94" s="10"/>
      <c r="D94" s="10"/>
      <c r="E94" s="7">
        <f>+$I$2+(GMSKAKOU[[#This Row],[QUANTITE]]*GMSKAKOU[[#This Row],[PRIX UNITAIRE]])</f>
        <v>0</v>
      </c>
      <c r="F94" s="14"/>
      <c r="G94" s="6">
        <f>+SUM(E$9:$E94)-SUM(F$9:$F94)</f>
        <v>0</v>
      </c>
    </row>
    <row r="95" spans="1:7" ht="28.8" x14ac:dyDescent="0.55000000000000004">
      <c r="A95" s="12"/>
      <c r="B95" s="13"/>
      <c r="C95" s="10"/>
      <c r="D95" s="10"/>
      <c r="E95" s="7">
        <f>+$I$2+(GMSKAKOU[[#This Row],[QUANTITE]]*GMSKAKOU[[#This Row],[PRIX UNITAIRE]])</f>
        <v>0</v>
      </c>
      <c r="F95" s="14"/>
      <c r="G95" s="6">
        <f>+SUM(E$9:$E95)-SUM(F$9:$F95)</f>
        <v>0</v>
      </c>
    </row>
    <row r="96" spans="1:7" ht="28.8" x14ac:dyDescent="0.55000000000000004">
      <c r="A96" s="12"/>
      <c r="B96" s="13"/>
      <c r="C96" s="10"/>
      <c r="D96" s="10"/>
      <c r="E96" s="7">
        <f>+$I$2+(GMSKAKOU[[#This Row],[QUANTITE]]*GMSKAKOU[[#This Row],[PRIX UNITAIRE]])</f>
        <v>0</v>
      </c>
      <c r="F96" s="14"/>
      <c r="G96" s="6">
        <f>+SUM(E$9:$E96)-SUM(F$9:$F96)</f>
        <v>0</v>
      </c>
    </row>
    <row r="97" spans="1:7" ht="28.8" x14ac:dyDescent="0.55000000000000004">
      <c r="A97" s="12"/>
      <c r="B97" s="13"/>
      <c r="C97" s="10"/>
      <c r="D97" s="10"/>
      <c r="E97" s="7">
        <f>+$I$2+(GMSKAKOU[[#This Row],[QUANTITE]]*GMSKAKOU[[#This Row],[PRIX UNITAIRE]])</f>
        <v>0</v>
      </c>
      <c r="F97" s="14"/>
      <c r="G97" s="6">
        <f>+SUM(E$9:$E97)-SUM(F$9:$F97)</f>
        <v>0</v>
      </c>
    </row>
    <row r="98" spans="1:7" ht="28.8" x14ac:dyDescent="0.55000000000000004">
      <c r="A98" s="12"/>
      <c r="B98" s="13"/>
      <c r="C98" s="10"/>
      <c r="D98" s="10"/>
      <c r="E98" s="7">
        <f>+$I$2+(GMSKAKOU[[#This Row],[QUANTITE]]*GMSKAKOU[[#This Row],[PRIX UNITAIRE]])</f>
        <v>0</v>
      </c>
      <c r="F98" s="14"/>
      <c r="G98" s="6">
        <f>+SUM(E$9:$E98)-SUM(F$9:$F98)</f>
        <v>0</v>
      </c>
    </row>
    <row r="99" spans="1:7" ht="28.8" x14ac:dyDescent="0.55000000000000004">
      <c r="A99" s="12"/>
      <c r="B99" s="13"/>
      <c r="C99" s="10"/>
      <c r="D99" s="10"/>
      <c r="E99" s="7">
        <f>+$I$2+(GMSKAKOU[[#This Row],[QUANTITE]]*GMSKAKOU[[#This Row],[PRIX UNITAIRE]])</f>
        <v>0</v>
      </c>
      <c r="F99" s="14"/>
      <c r="G99" s="6">
        <f>+SUM(E$9:$E99)-SUM(F$9:$F99)</f>
        <v>0</v>
      </c>
    </row>
    <row r="100" spans="1:7" ht="28.8" x14ac:dyDescent="0.55000000000000004">
      <c r="A100" s="12"/>
      <c r="B100" s="13"/>
      <c r="C100" s="10"/>
      <c r="D100" s="10"/>
      <c r="E100" s="7">
        <f>+$I$2+(GMSKAKOU[[#This Row],[QUANTITE]]*GMSKAKOU[[#This Row],[PRIX UNITAIRE]])</f>
        <v>0</v>
      </c>
      <c r="F100" s="14"/>
      <c r="G100" s="6">
        <f>+SUM(E$9:$E100)-SUM(F$9:$F100)</f>
        <v>0</v>
      </c>
    </row>
    <row r="101" spans="1:7" ht="28.8" x14ac:dyDescent="0.55000000000000004">
      <c r="A101" s="12"/>
      <c r="B101" s="13"/>
      <c r="C101" s="10"/>
      <c r="D101" s="10"/>
      <c r="E101" s="7">
        <f>+$I$2+(GMSKAKOU[[#This Row],[QUANTITE]]*GMSKAKOU[[#This Row],[PRIX UNITAIRE]])</f>
        <v>0</v>
      </c>
      <c r="F101" s="14"/>
      <c r="G101" s="6">
        <f>+SUM(E$9:$E101)-SUM(F$9:$F101)</f>
        <v>0</v>
      </c>
    </row>
    <row r="102" spans="1:7" ht="28.8" x14ac:dyDescent="0.55000000000000004">
      <c r="A102" s="12"/>
      <c r="B102" s="13"/>
      <c r="C102" s="10"/>
      <c r="D102" s="10"/>
      <c r="E102" s="7">
        <f>+$I$2+(GMSKAKOU[[#This Row],[QUANTITE]]*GMSKAKOU[[#This Row],[PRIX UNITAIRE]])</f>
        <v>0</v>
      </c>
      <c r="F102" s="14"/>
      <c r="G102" s="6">
        <f>+SUM(E$9:$E102)-SUM(F$9:$F102)</f>
        <v>0</v>
      </c>
    </row>
    <row r="103" spans="1:7" ht="28.8" x14ac:dyDescent="0.55000000000000004">
      <c r="A103" s="12"/>
      <c r="B103" s="13"/>
      <c r="C103" s="10"/>
      <c r="D103" s="10"/>
      <c r="E103" s="7">
        <f>+$I$2+(GMSKAKOU[[#This Row],[QUANTITE]]*GMSKAKOU[[#This Row],[PRIX UNITAIRE]])</f>
        <v>0</v>
      </c>
      <c r="F103" s="14"/>
      <c r="G103" s="6">
        <f>+SUM(E$9:$E103)-SUM(F$9:$F103)</f>
        <v>0</v>
      </c>
    </row>
    <row r="104" spans="1:7" ht="28.8" x14ac:dyDescent="0.55000000000000004">
      <c r="A104" s="12"/>
      <c r="B104" s="13"/>
      <c r="C104" s="10"/>
      <c r="D104" s="10"/>
      <c r="E104" s="7">
        <f>+$I$2+(GMSKAKOU[[#This Row],[QUANTITE]]*GMSKAKOU[[#This Row],[PRIX UNITAIRE]])</f>
        <v>0</v>
      </c>
      <c r="F104" s="14"/>
      <c r="G104" s="6">
        <f>+SUM(E$9:$E104)-SUM(F$9:$F104)</f>
        <v>0</v>
      </c>
    </row>
    <row r="105" spans="1:7" ht="28.8" x14ac:dyDescent="0.55000000000000004">
      <c r="A105" s="12"/>
      <c r="B105" s="13"/>
      <c r="C105" s="10"/>
      <c r="D105" s="10"/>
      <c r="E105" s="7">
        <f>+$I$2+(GMSKAKOU[[#This Row],[QUANTITE]]*GMSKAKOU[[#This Row],[PRIX UNITAIRE]])</f>
        <v>0</v>
      </c>
      <c r="F105" s="14"/>
      <c r="G105" s="6">
        <f>+SUM(E$9:$E105)-SUM(F$9:$F105)</f>
        <v>0</v>
      </c>
    </row>
    <row r="106" spans="1:7" ht="28.8" x14ac:dyDescent="0.55000000000000004">
      <c r="A106" s="12"/>
      <c r="B106" s="13"/>
      <c r="C106" s="10"/>
      <c r="D106" s="10"/>
      <c r="E106" s="7">
        <f>+$I$2+(GMSKAKOU[[#This Row],[QUANTITE]]*GMSKAKOU[[#This Row],[PRIX UNITAIRE]])</f>
        <v>0</v>
      </c>
      <c r="F106" s="14"/>
      <c r="G106" s="6">
        <f>+SUM(E$9:$E106)-SUM(F$9:$F106)</f>
        <v>0</v>
      </c>
    </row>
    <row r="107" spans="1:7" ht="28.8" x14ac:dyDescent="0.55000000000000004">
      <c r="A107" s="12"/>
      <c r="B107" s="13"/>
      <c r="C107" s="10"/>
      <c r="D107" s="10"/>
      <c r="E107" s="7">
        <f>+$I$2+(GMSKAKOU[[#This Row],[QUANTITE]]*GMSKAKOU[[#This Row],[PRIX UNITAIRE]])</f>
        <v>0</v>
      </c>
      <c r="F107" s="14"/>
      <c r="G107" s="6">
        <f>+SUM(E$9:$E107)-SUM(F$9:$F107)</f>
        <v>0</v>
      </c>
    </row>
    <row r="108" spans="1:7" ht="28.8" x14ac:dyDescent="0.55000000000000004">
      <c r="A108" s="12"/>
      <c r="B108" s="13"/>
      <c r="C108" s="10"/>
      <c r="D108" s="10"/>
      <c r="E108" s="7">
        <f>+$I$2+(GMSKAKOU[[#This Row],[QUANTITE]]*GMSKAKOU[[#This Row],[PRIX UNITAIRE]])</f>
        <v>0</v>
      </c>
      <c r="F108" s="14"/>
      <c r="G108" s="6">
        <f>+SUM(E$9:$E108)-SUM(F$9:$F108)</f>
        <v>0</v>
      </c>
    </row>
    <row r="109" spans="1:7" ht="28.8" x14ac:dyDescent="0.55000000000000004">
      <c r="A109" s="12"/>
      <c r="B109" s="13"/>
      <c r="C109" s="10"/>
      <c r="D109" s="10"/>
      <c r="E109" s="7">
        <f>+$I$2+(GMSKAKOU[[#This Row],[QUANTITE]]*GMSKAKOU[[#This Row],[PRIX UNITAIRE]])</f>
        <v>0</v>
      </c>
      <c r="F109" s="14"/>
      <c r="G109" s="6">
        <f>+SUM(E$9:$E109)-SUM(F$9:$F109)</f>
        <v>0</v>
      </c>
    </row>
    <row r="110" spans="1:7" ht="28.8" x14ac:dyDescent="0.55000000000000004">
      <c r="A110" s="12"/>
      <c r="B110" s="13"/>
      <c r="C110" s="10"/>
      <c r="D110" s="10"/>
      <c r="E110" s="7">
        <f>+$I$2+(GMSKAKOU[[#This Row],[QUANTITE]]*GMSKAKOU[[#This Row],[PRIX UNITAIRE]])</f>
        <v>0</v>
      </c>
      <c r="F110" s="14"/>
      <c r="G110" s="6">
        <f>+SUM(E$9:$E110)-SUM(F$9:$F110)</f>
        <v>0</v>
      </c>
    </row>
    <row r="111" spans="1:7" ht="28.8" x14ac:dyDescent="0.55000000000000004">
      <c r="A111" s="12"/>
      <c r="B111" s="13"/>
      <c r="C111" s="10"/>
      <c r="D111" s="10"/>
      <c r="E111" s="7">
        <f>+$I$2+(GMSKAKOU[[#This Row],[QUANTITE]]*GMSKAKOU[[#This Row],[PRIX UNITAIRE]])</f>
        <v>0</v>
      </c>
      <c r="F111" s="14"/>
      <c r="G111" s="6">
        <f>+SUM(E$9:$E111)-SUM(F$9:$F111)</f>
        <v>0</v>
      </c>
    </row>
    <row r="112" spans="1:7" ht="28.8" x14ac:dyDescent="0.55000000000000004">
      <c r="A112" s="12"/>
      <c r="B112" s="13"/>
      <c r="C112" s="10"/>
      <c r="D112" s="10"/>
      <c r="E112" s="7">
        <f>+$I$2+(GMSKAKOU[[#This Row],[QUANTITE]]*GMSKAKOU[[#This Row],[PRIX UNITAIRE]])</f>
        <v>0</v>
      </c>
      <c r="F112" s="14"/>
      <c r="G112" s="6">
        <f>+SUM(E$9:$E112)-SUM(F$9:$F112)</f>
        <v>0</v>
      </c>
    </row>
    <row r="113" spans="1:7" ht="28.8" x14ac:dyDescent="0.55000000000000004">
      <c r="A113" s="12"/>
      <c r="B113" s="13"/>
      <c r="C113" s="10"/>
      <c r="D113" s="10"/>
      <c r="E113" s="7">
        <f>+$I$2+(GMSKAKOU[[#This Row],[QUANTITE]]*GMSKAKOU[[#This Row],[PRIX UNITAIRE]])</f>
        <v>0</v>
      </c>
      <c r="F113" s="14"/>
      <c r="G113" s="6">
        <f>+SUM(E$9:$E113)-SUM(F$9:$F113)</f>
        <v>0</v>
      </c>
    </row>
    <row r="114" spans="1:7" ht="28.8" x14ac:dyDescent="0.55000000000000004">
      <c r="A114" s="12"/>
      <c r="B114" s="13"/>
      <c r="C114" s="10"/>
      <c r="D114" s="10"/>
      <c r="E114" s="7">
        <f>+$I$2+(GMSKAKOU[[#This Row],[QUANTITE]]*GMSKAKOU[[#This Row],[PRIX UNITAIRE]])</f>
        <v>0</v>
      </c>
      <c r="F114" s="14"/>
      <c r="G114" s="6">
        <f>+SUM(E$9:$E114)-SUM(F$9:$F114)</f>
        <v>0</v>
      </c>
    </row>
    <row r="115" spans="1:7" ht="28.8" x14ac:dyDescent="0.55000000000000004">
      <c r="A115" s="12"/>
      <c r="B115" s="13"/>
      <c r="C115" s="10"/>
      <c r="D115" s="10"/>
      <c r="E115" s="7">
        <f>+$I$2+(GMSKAKOU[[#This Row],[QUANTITE]]*GMSKAKOU[[#This Row],[PRIX UNITAIRE]])</f>
        <v>0</v>
      </c>
      <c r="F115" s="14"/>
      <c r="G115" s="6">
        <f>+SUM(E$9:$E115)-SUM(F$9:$F115)</f>
        <v>0</v>
      </c>
    </row>
    <row r="116" spans="1:7" ht="28.8" x14ac:dyDescent="0.55000000000000004">
      <c r="A116" s="12"/>
      <c r="B116" s="13"/>
      <c r="C116" s="10"/>
      <c r="D116" s="10"/>
      <c r="E116" s="7">
        <f>+$I$2+(GMSKAKOU[[#This Row],[QUANTITE]]*GMSKAKOU[[#This Row],[PRIX UNITAIRE]])</f>
        <v>0</v>
      </c>
      <c r="F116" s="14"/>
      <c r="G116" s="6">
        <f>+SUM(E$9:$E116)-SUM(F$9:$F116)</f>
        <v>0</v>
      </c>
    </row>
    <row r="117" spans="1:7" ht="28.8" x14ac:dyDescent="0.55000000000000004">
      <c r="A117" s="12"/>
      <c r="B117" s="13"/>
      <c r="C117" s="10"/>
      <c r="D117" s="10"/>
      <c r="E117" s="7">
        <f>+$I$2+(GMSKAKOU[[#This Row],[QUANTITE]]*GMSKAKOU[[#This Row],[PRIX UNITAIRE]])</f>
        <v>0</v>
      </c>
      <c r="F117" s="14"/>
      <c r="G117" s="6">
        <f>+SUM(E$9:$E117)-SUM(F$9:$F117)</f>
        <v>0</v>
      </c>
    </row>
    <row r="118" spans="1:7" ht="28.8" x14ac:dyDescent="0.55000000000000004">
      <c r="A118" s="12"/>
      <c r="B118" s="13"/>
      <c r="C118" s="10"/>
      <c r="D118" s="10"/>
      <c r="E118" s="7">
        <f>+$I$2+(GMSKAKOU[[#This Row],[QUANTITE]]*GMSKAKOU[[#This Row],[PRIX UNITAIRE]])</f>
        <v>0</v>
      </c>
      <c r="F118" s="14"/>
      <c r="G118" s="6">
        <f>+SUM(E$9:$E118)-SUM(F$9:$F118)</f>
        <v>0</v>
      </c>
    </row>
    <row r="119" spans="1:7" ht="28.8" x14ac:dyDescent="0.55000000000000004">
      <c r="A119" s="12"/>
      <c r="B119" s="13"/>
      <c r="C119" s="10"/>
      <c r="D119" s="10"/>
      <c r="E119" s="7">
        <f>+$I$2+(GMSKAKOU[[#This Row],[QUANTITE]]*GMSKAKOU[[#This Row],[PRIX UNITAIRE]])</f>
        <v>0</v>
      </c>
      <c r="F119" s="14"/>
      <c r="G119" s="6">
        <f>+SUM(E$9:$E119)-SUM(F$9:$F119)</f>
        <v>0</v>
      </c>
    </row>
    <row r="120" spans="1:7" ht="28.8" x14ac:dyDescent="0.55000000000000004">
      <c r="A120" s="12"/>
      <c r="B120" s="13"/>
      <c r="C120" s="10"/>
      <c r="D120" s="10"/>
      <c r="E120" s="7">
        <f>+$I$2+(GMSKAKOU[[#This Row],[QUANTITE]]*GMSKAKOU[[#This Row],[PRIX UNITAIRE]])</f>
        <v>0</v>
      </c>
      <c r="F120" s="14"/>
      <c r="G120" s="6">
        <f>+SUM(E$9:$E120)-SUM(F$9:$F120)</f>
        <v>0</v>
      </c>
    </row>
    <row r="121" spans="1:7" ht="28.8" x14ac:dyDescent="0.55000000000000004">
      <c r="A121" s="12"/>
      <c r="B121" s="13"/>
      <c r="C121" s="10"/>
      <c r="D121" s="10"/>
      <c r="E121" s="7">
        <f>+$I$2+(GMSKAKOU[[#This Row],[QUANTITE]]*GMSKAKOU[[#This Row],[PRIX UNITAIRE]])</f>
        <v>0</v>
      </c>
      <c r="F121" s="14"/>
      <c r="G121" s="6">
        <f>+SUM(E$9:$E121)-SUM(F$9:$F121)</f>
        <v>0</v>
      </c>
    </row>
    <row r="122" spans="1:7" ht="28.8" x14ac:dyDescent="0.55000000000000004">
      <c r="A122" s="12"/>
      <c r="B122" s="13"/>
      <c r="C122" s="10"/>
      <c r="D122" s="10"/>
      <c r="E122" s="7">
        <f>+$I$2+(GMSKAKOU[[#This Row],[QUANTITE]]*GMSKAKOU[[#This Row],[PRIX UNITAIRE]])</f>
        <v>0</v>
      </c>
      <c r="F122" s="14"/>
      <c r="G122" s="6">
        <f>+SUM(E$9:$E122)-SUM(F$9:$F122)</f>
        <v>0</v>
      </c>
    </row>
    <row r="123" spans="1:7" ht="28.8" x14ac:dyDescent="0.55000000000000004">
      <c r="A123" s="116"/>
      <c r="B123" s="13">
        <v>0</v>
      </c>
      <c r="C123" s="118">
        <v>0</v>
      </c>
      <c r="D123" s="118">
        <v>0</v>
      </c>
      <c r="E123" s="119">
        <f>+$I$2+(GMSKAKOU[[#This Row],[QUANTITE]]*GMSKAKOU[[#This Row],[PRIX UNITAIRE]])</f>
        <v>0</v>
      </c>
      <c r="F123" s="120"/>
      <c r="G123" s="121">
        <f>+SUM(E$9:$E123)-SUM(F$9:$F123)</f>
        <v>0</v>
      </c>
    </row>
    <row r="124" spans="1:7" ht="28.8" x14ac:dyDescent="0.55000000000000004">
      <c r="A124" s="116"/>
      <c r="B124" s="117"/>
      <c r="C124" s="118"/>
      <c r="D124" s="118"/>
      <c r="E124" s="119">
        <f>+$I$2+(GMSKAKOU[[#This Row],[QUANTITE]]*GMSKAKOU[[#This Row],[PRIX UNITAIRE]])</f>
        <v>0</v>
      </c>
      <c r="F124" s="120"/>
      <c r="G124" s="121">
        <f>+SUM(E$9:$E124)-SUM(F$9:$F124)</f>
        <v>0</v>
      </c>
    </row>
    <row r="125" spans="1:7" ht="28.8" x14ac:dyDescent="0.55000000000000004">
      <c r="A125" s="116"/>
      <c r="B125" s="117"/>
      <c r="C125" s="118"/>
      <c r="D125" s="118"/>
      <c r="E125" s="119">
        <f>+$I$2+(GMSKAKOU[[#This Row],[QUANTITE]]*GMSKAKOU[[#This Row],[PRIX UNITAIRE]])</f>
        <v>0</v>
      </c>
      <c r="F125" s="120"/>
      <c r="G125" s="121">
        <f>+SUM(E$9:$E125)-SUM(F$9:$F125)</f>
        <v>0</v>
      </c>
    </row>
    <row r="126" spans="1:7" ht="28.8" x14ac:dyDescent="0.55000000000000004">
      <c r="A126" s="116"/>
      <c r="B126" s="117"/>
      <c r="C126" s="118"/>
      <c r="D126" s="118"/>
      <c r="E126" s="119">
        <f>+$I$2+(GMSKAKOU[[#This Row],[QUANTITE]]*GMSKAKOU[[#This Row],[PRIX UNITAIRE]])</f>
        <v>0</v>
      </c>
      <c r="F126" s="120"/>
      <c r="G126" s="121">
        <f>+SUM(E$9:$E126)-SUM(F$9:$F126)</f>
        <v>0</v>
      </c>
    </row>
    <row r="127" spans="1:7" ht="28.8" x14ac:dyDescent="0.55000000000000004">
      <c r="A127" s="116"/>
      <c r="B127" s="117"/>
      <c r="C127" s="118"/>
      <c r="D127" s="118"/>
      <c r="E127" s="119">
        <f>+$I$2+(GMSKAKOU[[#This Row],[QUANTITE]]*GMSKAKOU[[#This Row],[PRIX UNITAIRE]])</f>
        <v>0</v>
      </c>
      <c r="F127" s="120"/>
      <c r="G127" s="121">
        <f>+SUM(E$9:$E127)-SUM(F$9:$F127)</f>
        <v>0</v>
      </c>
    </row>
    <row r="128" spans="1:7" ht="28.8" x14ac:dyDescent="0.55000000000000004">
      <c r="A128" s="116"/>
      <c r="B128" s="117"/>
      <c r="C128" s="118"/>
      <c r="D128" s="118"/>
      <c r="E128" s="119">
        <f>+$I$2+(GMSKAKOU[[#This Row],[QUANTITE]]*GMSKAKOU[[#This Row],[PRIX UNITAIRE]])</f>
        <v>0</v>
      </c>
      <c r="F128" s="120"/>
      <c r="G128" s="121">
        <f>+SUM(E$9:$E128)-SUM(F$9:$F128)</f>
        <v>0</v>
      </c>
    </row>
    <row r="129" spans="1:7" ht="28.8" x14ac:dyDescent="0.55000000000000004">
      <c r="A129" s="116"/>
      <c r="B129" s="117"/>
      <c r="C129" s="118"/>
      <c r="D129" s="118"/>
      <c r="E129" s="119">
        <f>+$I$2+(GMSKAKOU[[#This Row],[QUANTITE]]*GMSKAKOU[[#This Row],[PRIX UNITAIRE]])</f>
        <v>0</v>
      </c>
      <c r="F129" s="120"/>
      <c r="G129" s="121">
        <f>+SUM(E$9:$E129)-SUM(F$9:$F129)</f>
        <v>0</v>
      </c>
    </row>
    <row r="130" spans="1:7" ht="28.8" x14ac:dyDescent="0.55000000000000004">
      <c r="A130" s="116"/>
      <c r="B130" s="117"/>
      <c r="C130" s="118"/>
      <c r="D130" s="118"/>
      <c r="E130" s="119">
        <f>+$I$2+(GMSKAKOU[[#This Row],[QUANTITE]]*GMSKAKOU[[#This Row],[PRIX UNITAIRE]])</f>
        <v>0</v>
      </c>
      <c r="F130" s="120"/>
      <c r="G130" s="121">
        <f>+SUM(E$9:$E130)-SUM(F$9:$F130)</f>
        <v>0</v>
      </c>
    </row>
    <row r="131" spans="1:7" ht="28.8" x14ac:dyDescent="0.55000000000000004">
      <c r="A131" s="116"/>
      <c r="B131" s="117"/>
      <c r="C131" s="118"/>
      <c r="D131" s="118"/>
      <c r="E131" s="119">
        <f>+$I$2+(GMSKAKOU[[#This Row],[QUANTITE]]*GMSKAKOU[[#This Row],[PRIX UNITAIRE]])</f>
        <v>0</v>
      </c>
      <c r="F131" s="120"/>
      <c r="G131" s="121">
        <f>+SUM(E$9:$E131)-SUM(F$9:$F131)</f>
        <v>0</v>
      </c>
    </row>
    <row r="132" spans="1:7" ht="28.8" x14ac:dyDescent="0.55000000000000004">
      <c r="A132" s="116"/>
      <c r="B132" s="117"/>
      <c r="C132" s="118"/>
      <c r="D132" s="118"/>
      <c r="E132" s="119">
        <f>+$I$2+(GMSKAKOU[[#This Row],[QUANTITE]]*GMSKAKOU[[#This Row],[PRIX UNITAIRE]])</f>
        <v>0</v>
      </c>
      <c r="F132" s="120"/>
      <c r="G132" s="121">
        <f>+SUM(E$9:$E132)-SUM(F$9:$F132)</f>
        <v>0</v>
      </c>
    </row>
    <row r="133" spans="1:7" ht="28.8" x14ac:dyDescent="0.55000000000000004">
      <c r="A133" s="116"/>
      <c r="B133" s="117"/>
      <c r="C133" s="118"/>
      <c r="D133" s="118"/>
      <c r="E133" s="119">
        <f>+$I$2+(GMSKAKOU[[#This Row],[QUANTITE]]*GMSKAKOU[[#This Row],[PRIX UNITAIRE]])</f>
        <v>0</v>
      </c>
      <c r="F133" s="120"/>
      <c r="G133" s="121">
        <f>+SUM(E$9:$E133)-SUM(F$9:$F133)</f>
        <v>0</v>
      </c>
    </row>
    <row r="134" spans="1:7" ht="28.8" x14ac:dyDescent="0.55000000000000004">
      <c r="A134" s="116"/>
      <c r="B134" s="117"/>
      <c r="C134" s="118"/>
      <c r="D134" s="118"/>
      <c r="E134" s="119">
        <f>+$I$2+(GMSKAKOU[[#This Row],[QUANTITE]]*GMSKAKOU[[#This Row],[PRIX UNITAIRE]])</f>
        <v>0</v>
      </c>
      <c r="F134" s="120"/>
      <c r="G134" s="121">
        <f>+SUM(E$9:$E134)-SUM(F$9:$F134)</f>
        <v>0</v>
      </c>
    </row>
    <row r="135" spans="1:7" ht="28.8" x14ac:dyDescent="0.55000000000000004">
      <c r="A135" s="116"/>
      <c r="B135" s="117"/>
      <c r="C135" s="118"/>
      <c r="D135" s="118"/>
      <c r="E135" s="119">
        <f>+$I$2+(GMSKAKOU[[#This Row],[QUANTITE]]*GMSKAKOU[[#This Row],[PRIX UNITAIRE]])</f>
        <v>0</v>
      </c>
      <c r="F135" s="120"/>
      <c r="G135" s="121">
        <f>+SUM(E$9:$E135)-SUM(F$9:$F135)</f>
        <v>0</v>
      </c>
    </row>
    <row r="136" spans="1:7" ht="28.8" x14ac:dyDescent="0.55000000000000004">
      <c r="A136" s="116"/>
      <c r="B136" s="117"/>
      <c r="C136" s="118"/>
      <c r="D136" s="118"/>
      <c r="E136" s="119">
        <f>+$I$2+(GMSKAKOU[[#This Row],[QUANTITE]]*GMSKAKOU[[#This Row],[PRIX UNITAIRE]])</f>
        <v>0</v>
      </c>
      <c r="F136" s="120"/>
      <c r="G136" s="121">
        <f>+SUM(E$9:$E136)-SUM(F$9:$F136)</f>
        <v>0</v>
      </c>
    </row>
    <row r="137" spans="1:7" ht="28.8" x14ac:dyDescent="0.55000000000000004">
      <c r="A137" s="116"/>
      <c r="B137" s="117"/>
      <c r="C137" s="118"/>
      <c r="D137" s="118"/>
      <c r="E137" s="119">
        <f>+$I$2+(GMSKAKOU[[#This Row],[QUANTITE]]*GMSKAKOU[[#This Row],[PRIX UNITAIRE]])</f>
        <v>0</v>
      </c>
      <c r="F137" s="120"/>
      <c r="G137" s="121">
        <f>+SUM(E$9:$E137)-SUM(F$9:$F137)</f>
        <v>0</v>
      </c>
    </row>
    <row r="138" spans="1:7" ht="28.8" x14ac:dyDescent="0.55000000000000004">
      <c r="A138" s="116"/>
      <c r="B138" s="117"/>
      <c r="C138" s="118"/>
      <c r="D138" s="118"/>
      <c r="E138" s="119">
        <f>+$I$2+(GMSKAKOU[[#This Row],[QUANTITE]]*GMSKAKOU[[#This Row],[PRIX UNITAIRE]])</f>
        <v>0</v>
      </c>
      <c r="F138" s="120"/>
      <c r="G138" s="121">
        <f>+SUM(E$9:$E138)-SUM(F$9:$F138)</f>
        <v>0</v>
      </c>
    </row>
    <row r="139" spans="1:7" ht="28.8" x14ac:dyDescent="0.55000000000000004">
      <c r="A139" s="116"/>
      <c r="B139" s="117"/>
      <c r="C139" s="118"/>
      <c r="D139" s="118"/>
      <c r="E139" s="119">
        <f>+$I$2+(GMSKAKOU[[#This Row],[QUANTITE]]*GMSKAKOU[[#This Row],[PRIX UNITAIRE]])</f>
        <v>0</v>
      </c>
      <c r="F139" s="120"/>
      <c r="G139" s="121">
        <f>+SUM(E$9:$E139)-SUM(F$9:$F139)</f>
        <v>0</v>
      </c>
    </row>
    <row r="140" spans="1:7" ht="28.8" x14ac:dyDescent="0.55000000000000004">
      <c r="A140" s="116"/>
      <c r="B140" s="117"/>
      <c r="C140" s="118"/>
      <c r="D140" s="118"/>
      <c r="E140" s="119">
        <f>+$I$2+(GMSKAKOU[[#This Row],[QUANTITE]]*GMSKAKOU[[#This Row],[PRIX UNITAIRE]])</f>
        <v>0</v>
      </c>
      <c r="F140" s="120"/>
      <c r="G140" s="121">
        <f>+SUM(E$9:$E140)-SUM(F$9:$F140)</f>
        <v>0</v>
      </c>
    </row>
    <row r="141" spans="1:7" ht="28.8" x14ac:dyDescent="0.55000000000000004">
      <c r="A141" s="116"/>
      <c r="B141" s="117"/>
      <c r="C141" s="118"/>
      <c r="D141" s="118"/>
      <c r="E141" s="119">
        <f>+$I$2+(GMSKAKOU[[#This Row],[QUANTITE]]*GMSKAKOU[[#This Row],[PRIX UNITAIRE]])</f>
        <v>0</v>
      </c>
      <c r="F141" s="120"/>
      <c r="G141" s="121">
        <f>+SUM(E$9:$E141)-SUM(F$9:$F141)</f>
        <v>0</v>
      </c>
    </row>
    <row r="142" spans="1:7" ht="28.8" x14ac:dyDescent="0.55000000000000004">
      <c r="A142" s="116"/>
      <c r="B142" s="117"/>
      <c r="C142" s="118"/>
      <c r="D142" s="118"/>
      <c r="E142" s="119">
        <f>+$I$2+(GMSKAKOU[[#This Row],[QUANTITE]]*GMSKAKOU[[#This Row],[PRIX UNITAIRE]])</f>
        <v>0</v>
      </c>
      <c r="F142" s="120"/>
      <c r="G142" s="121">
        <f>+SUM(E$9:$E142)-SUM(F$9:$F142)</f>
        <v>0</v>
      </c>
    </row>
    <row r="143" spans="1:7" ht="28.8" x14ac:dyDescent="0.55000000000000004">
      <c r="A143" s="116"/>
      <c r="B143" s="117"/>
      <c r="C143" s="118"/>
      <c r="D143" s="118"/>
      <c r="E143" s="119">
        <f>+$I$2+(GMSKAKOU[[#This Row],[QUANTITE]]*GMSKAKOU[[#This Row],[PRIX UNITAIRE]])</f>
        <v>0</v>
      </c>
      <c r="F143" s="120"/>
      <c r="G143" s="121">
        <f>+SUM(E$9:$E143)-SUM(F$9:$F143)</f>
        <v>0</v>
      </c>
    </row>
    <row r="144" spans="1:7" ht="28.8" x14ac:dyDescent="0.55000000000000004">
      <c r="A144" s="116"/>
      <c r="B144" s="117"/>
      <c r="C144" s="118"/>
      <c r="D144" s="118"/>
      <c r="E144" s="119">
        <f>+$I$2+(GMSKAKOU[[#This Row],[QUANTITE]]*GMSKAKOU[[#This Row],[PRIX UNITAIRE]])</f>
        <v>0</v>
      </c>
      <c r="F144" s="120"/>
      <c r="G144" s="121">
        <f>+SUM(E$9:$E144)-SUM(F$9:$F144)</f>
        <v>0</v>
      </c>
    </row>
    <row r="145" spans="1:7" ht="28.8" x14ac:dyDescent="0.55000000000000004">
      <c r="A145" s="116"/>
      <c r="B145" s="117"/>
      <c r="C145" s="118"/>
      <c r="D145" s="118"/>
      <c r="E145" s="119">
        <f>+$I$2+(GMSKAKOU[[#This Row],[QUANTITE]]*GMSKAKOU[[#This Row],[PRIX UNITAIRE]])</f>
        <v>0</v>
      </c>
      <c r="F145" s="120"/>
      <c r="G145" s="121">
        <f>+SUM(E$9:$E145)-SUM(F$9:$F145)</f>
        <v>0</v>
      </c>
    </row>
    <row r="146" spans="1:7" ht="28.8" x14ac:dyDescent="0.55000000000000004">
      <c r="A146" s="116"/>
      <c r="B146" s="117"/>
      <c r="C146" s="118"/>
      <c r="D146" s="118"/>
      <c r="E146" s="119">
        <f>+$I$2+(GMSKAKOU[[#This Row],[QUANTITE]]*GMSKAKOU[[#This Row],[PRIX UNITAIRE]])</f>
        <v>0</v>
      </c>
      <c r="F146" s="120"/>
      <c r="G146" s="121">
        <f>+SUM(E$9:$E146)-SUM(F$9:$F146)</f>
        <v>0</v>
      </c>
    </row>
    <row r="147" spans="1:7" ht="28.8" x14ac:dyDescent="0.55000000000000004">
      <c r="A147" s="116"/>
      <c r="B147" s="117"/>
      <c r="C147" s="118"/>
      <c r="D147" s="118"/>
      <c r="E147" s="119">
        <f>+$I$2+(GMSKAKOU[[#This Row],[QUANTITE]]*GMSKAKOU[[#This Row],[PRIX UNITAIRE]])</f>
        <v>0</v>
      </c>
      <c r="F147" s="120"/>
      <c r="G147" s="121">
        <f>+SUM(E$9:$E147)-SUM(F$9:$F147)</f>
        <v>0</v>
      </c>
    </row>
    <row r="148" spans="1:7" ht="28.8" x14ac:dyDescent="0.55000000000000004">
      <c r="A148" s="116"/>
      <c r="B148" s="117"/>
      <c r="C148" s="118"/>
      <c r="D148" s="118"/>
      <c r="E148" s="119">
        <f>+$I$2+(GMSKAKOU[[#This Row],[QUANTITE]]*GMSKAKOU[[#This Row],[PRIX UNITAIRE]])</f>
        <v>0</v>
      </c>
      <c r="F148" s="120"/>
      <c r="G148" s="121">
        <f>+SUM(E$9:$E148)-SUM(F$9:$F148)</f>
        <v>0</v>
      </c>
    </row>
    <row r="149" spans="1:7" ht="28.8" x14ac:dyDescent="0.55000000000000004">
      <c r="A149" s="116"/>
      <c r="B149" s="117"/>
      <c r="C149" s="118"/>
      <c r="D149" s="118"/>
      <c r="E149" s="119">
        <f>+$I$2+(GMSKAKOU[[#This Row],[QUANTITE]]*GMSKAKOU[[#This Row],[PRIX UNITAIRE]])</f>
        <v>0</v>
      </c>
      <c r="F149" s="120"/>
      <c r="G149" s="121">
        <f>+SUM(E$9:$E149)-SUM(F$9:$F149)</f>
        <v>0</v>
      </c>
    </row>
    <row r="150" spans="1:7" ht="28.8" x14ac:dyDescent="0.55000000000000004">
      <c r="A150" s="116"/>
      <c r="B150" s="117"/>
      <c r="C150" s="118"/>
      <c r="D150" s="118"/>
      <c r="E150" s="119">
        <f>+$I$2+(GMSKAKOU[[#This Row],[QUANTITE]]*GMSKAKOU[[#This Row],[PRIX UNITAIRE]])</f>
        <v>0</v>
      </c>
      <c r="F150" s="120"/>
      <c r="G150" s="121">
        <f>+SUM(E$9:$E150)-SUM(F$9:$F150)</f>
        <v>0</v>
      </c>
    </row>
    <row r="151" spans="1:7" ht="28.8" x14ac:dyDescent="0.55000000000000004">
      <c r="A151" s="116"/>
      <c r="B151" s="117"/>
      <c r="C151" s="118"/>
      <c r="D151" s="118"/>
      <c r="E151" s="119">
        <f>+$I$2+(GMSKAKOU[[#This Row],[QUANTITE]]*GMSKAKOU[[#This Row],[PRIX UNITAIRE]])</f>
        <v>0</v>
      </c>
      <c r="F151" s="120"/>
      <c r="G151" s="121">
        <f>+SUM(E$9:$E151)-SUM(F$9:$F151)</f>
        <v>0</v>
      </c>
    </row>
    <row r="152" spans="1:7" ht="28.8" x14ac:dyDescent="0.55000000000000004">
      <c r="A152" s="116"/>
      <c r="B152" s="117"/>
      <c r="C152" s="118"/>
      <c r="D152" s="118"/>
      <c r="E152" s="119">
        <f>+$I$2+(GMSKAKOU[[#This Row],[QUANTITE]]*GMSKAKOU[[#This Row],[PRIX UNITAIRE]])</f>
        <v>0</v>
      </c>
      <c r="F152" s="120"/>
      <c r="G152" s="121">
        <f>+SUM(E$9:$E152)-SUM(F$9:$F152)</f>
        <v>0</v>
      </c>
    </row>
    <row r="153" spans="1:7" ht="28.8" x14ac:dyDescent="0.55000000000000004">
      <c r="A153" s="116"/>
      <c r="B153" s="117"/>
      <c r="C153" s="118"/>
      <c r="D153" s="118"/>
      <c r="E153" s="119">
        <f>+$I$2+(GMSKAKOU[[#This Row],[QUANTITE]]*GMSKAKOU[[#This Row],[PRIX UNITAIRE]])</f>
        <v>0</v>
      </c>
      <c r="F153" s="120"/>
      <c r="G153" s="121">
        <f>+SUM(E$9:$E153)-SUM(F$9:$F153)</f>
        <v>0</v>
      </c>
    </row>
    <row r="154" spans="1:7" ht="28.8" x14ac:dyDescent="0.55000000000000004">
      <c r="A154" s="116"/>
      <c r="B154" s="117"/>
      <c r="C154" s="118"/>
      <c r="D154" s="118"/>
      <c r="E154" s="119">
        <f>+$I$2+(GMSKAKOU[[#This Row],[QUANTITE]]*GMSKAKOU[[#This Row],[PRIX UNITAIRE]])</f>
        <v>0</v>
      </c>
      <c r="F154" s="120"/>
      <c r="G154" s="121">
        <f>+SUM(E$9:$E154)-SUM(F$9:$F154)</f>
        <v>0</v>
      </c>
    </row>
    <row r="155" spans="1:7" ht="28.8" x14ac:dyDescent="0.55000000000000004">
      <c r="A155" s="116"/>
      <c r="B155" s="117"/>
      <c r="C155" s="118"/>
      <c r="D155" s="118"/>
      <c r="E155" s="119">
        <f>+$I$2+(GMSKAKOU[[#This Row],[QUANTITE]]*GMSKAKOU[[#This Row],[PRIX UNITAIRE]])</f>
        <v>0</v>
      </c>
      <c r="F155" s="120"/>
      <c r="G155" s="121">
        <f>+SUM(E$9:$E155)-SUM(F$9:$F155)</f>
        <v>0</v>
      </c>
    </row>
    <row r="156" spans="1:7" ht="28.8" x14ac:dyDescent="0.55000000000000004">
      <c r="A156" s="116"/>
      <c r="B156" s="117"/>
      <c r="C156" s="118"/>
      <c r="D156" s="118"/>
      <c r="E156" s="119">
        <f>+$I$2+(GMSKAKOU[[#This Row],[QUANTITE]]*GMSKAKOU[[#This Row],[PRIX UNITAIRE]])</f>
        <v>0</v>
      </c>
      <c r="F156" s="120"/>
      <c r="G156" s="121">
        <f>+SUM(E$9:$E156)-SUM(F$9:$F156)</f>
        <v>0</v>
      </c>
    </row>
    <row r="157" spans="1:7" ht="28.8" x14ac:dyDescent="0.55000000000000004">
      <c r="A157" s="116"/>
      <c r="B157" s="117"/>
      <c r="C157" s="118"/>
      <c r="D157" s="118"/>
      <c r="E157" s="119">
        <f>+$I$2+(GMSKAKOU[[#This Row],[QUANTITE]]*GMSKAKOU[[#This Row],[PRIX UNITAIRE]])</f>
        <v>0</v>
      </c>
      <c r="F157" s="120"/>
      <c r="G157" s="121">
        <f>+SUM(E$9:$E157)-SUM(F$9:$F157)</f>
        <v>0</v>
      </c>
    </row>
    <row r="158" spans="1:7" ht="28.8" x14ac:dyDescent="0.55000000000000004">
      <c r="A158" s="116"/>
      <c r="B158" s="117"/>
      <c r="C158" s="118"/>
      <c r="D158" s="118"/>
      <c r="E158" s="119">
        <f>+$I$2+(GMSKAKOU[[#This Row],[QUANTITE]]*GMSKAKOU[[#This Row],[PRIX UNITAIRE]])</f>
        <v>0</v>
      </c>
      <c r="F158" s="120"/>
      <c r="G158" s="121">
        <f>+SUM(E$9:$E158)-SUM(F$9:$F158)</f>
        <v>0</v>
      </c>
    </row>
    <row r="159" spans="1:7" ht="28.8" x14ac:dyDescent="0.55000000000000004">
      <c r="A159" s="116"/>
      <c r="B159" s="117"/>
      <c r="C159" s="118"/>
      <c r="D159" s="118"/>
      <c r="E159" s="119">
        <f>+$I$2+(GMSKAKOU[[#This Row],[QUANTITE]]*GMSKAKOU[[#This Row],[PRIX UNITAIRE]])</f>
        <v>0</v>
      </c>
      <c r="F159" s="120"/>
      <c r="G159" s="121">
        <f>+SUM(E$9:$E159)-SUM(F$9:$F159)</f>
        <v>0</v>
      </c>
    </row>
    <row r="160" spans="1:7" ht="28.8" x14ac:dyDescent="0.55000000000000004">
      <c r="A160" s="116"/>
      <c r="B160" s="117"/>
      <c r="C160" s="118"/>
      <c r="D160" s="118"/>
      <c r="E160" s="119">
        <f>+$I$2+(GMSKAKOU[[#This Row],[QUANTITE]]*GMSKAKOU[[#This Row],[PRIX UNITAIRE]])</f>
        <v>0</v>
      </c>
      <c r="F160" s="120"/>
      <c r="G160" s="121">
        <f>+SUM(E$9:$E160)-SUM(F$9:$F160)</f>
        <v>0</v>
      </c>
    </row>
    <row r="161" spans="1:7" ht="28.8" x14ac:dyDescent="0.55000000000000004">
      <c r="A161" s="116"/>
      <c r="B161" s="117"/>
      <c r="C161" s="118"/>
      <c r="D161" s="118"/>
      <c r="E161" s="119">
        <f>+$I$2+(GMSKAKOU[[#This Row],[QUANTITE]]*GMSKAKOU[[#This Row],[PRIX UNITAIRE]])</f>
        <v>0</v>
      </c>
      <c r="F161" s="120"/>
      <c r="G161" s="121">
        <f>+SUM(E$9:$E161)-SUM(F$9:$F161)</f>
        <v>0</v>
      </c>
    </row>
    <row r="162" spans="1:7" ht="28.8" x14ac:dyDescent="0.55000000000000004">
      <c r="A162" s="116"/>
      <c r="B162" s="117"/>
      <c r="C162" s="118"/>
      <c r="D162" s="118"/>
      <c r="E162" s="119">
        <f>+$I$2+(GMSKAKOU[[#This Row],[QUANTITE]]*GMSKAKOU[[#This Row],[PRIX UNITAIRE]])</f>
        <v>0</v>
      </c>
      <c r="F162" s="120"/>
      <c r="G162" s="121">
        <f>+SUM(E$9:$E162)-SUM(F$9:$F162)</f>
        <v>0</v>
      </c>
    </row>
    <row r="163" spans="1:7" ht="28.8" x14ac:dyDescent="0.55000000000000004">
      <c r="A163" s="116"/>
      <c r="B163" s="117"/>
      <c r="C163" s="118"/>
      <c r="D163" s="118"/>
      <c r="E163" s="119">
        <f>+$I$2+(GMSKAKOU[[#This Row],[QUANTITE]]*GMSKAKOU[[#This Row],[PRIX UNITAIRE]])</f>
        <v>0</v>
      </c>
      <c r="F163" s="120"/>
      <c r="G163" s="121">
        <f>+SUM(E$9:$E163)-SUM(F$9:$F163)</f>
        <v>0</v>
      </c>
    </row>
    <row r="164" spans="1:7" ht="28.8" x14ac:dyDescent="0.55000000000000004">
      <c r="A164" s="116"/>
      <c r="B164" s="117"/>
      <c r="C164" s="118"/>
      <c r="D164" s="118"/>
      <c r="E164" s="119">
        <f>+$I$2+(GMSKAKOU[[#This Row],[QUANTITE]]*GMSKAKOU[[#This Row],[PRIX UNITAIRE]])</f>
        <v>0</v>
      </c>
      <c r="F164" s="120"/>
      <c r="G164" s="121">
        <f>+SUM(E$9:$E164)-SUM(F$9:$F164)</f>
        <v>0</v>
      </c>
    </row>
    <row r="165" spans="1:7" ht="28.8" x14ac:dyDescent="0.55000000000000004">
      <c r="A165" s="116"/>
      <c r="B165" s="117"/>
      <c r="C165" s="118"/>
      <c r="D165" s="118"/>
      <c r="E165" s="119">
        <f>+$I$2+(GMSKAKOU[[#This Row],[QUANTITE]]*GMSKAKOU[[#This Row],[PRIX UNITAIRE]])</f>
        <v>0</v>
      </c>
      <c r="F165" s="120"/>
      <c r="G165" s="121">
        <f>+SUM(E$9:$E165)-SUM(F$9:$F165)</f>
        <v>0</v>
      </c>
    </row>
    <row r="166" spans="1:7" ht="28.8" x14ac:dyDescent="0.55000000000000004">
      <c r="A166" s="116"/>
      <c r="B166" s="117"/>
      <c r="C166" s="118"/>
      <c r="D166" s="118"/>
      <c r="E166" s="119">
        <f>+$I$2+(GMSKAKOU[[#This Row],[QUANTITE]]*GMSKAKOU[[#This Row],[PRIX UNITAIRE]])</f>
        <v>0</v>
      </c>
      <c r="F166" s="120"/>
      <c r="G166" s="121">
        <f>+SUM(E$9:$E166)-SUM(F$9:$F166)</f>
        <v>0</v>
      </c>
    </row>
    <row r="167" spans="1:7" ht="28.8" x14ac:dyDescent="0.55000000000000004">
      <c r="A167" s="116"/>
      <c r="B167" s="117"/>
      <c r="C167" s="118"/>
      <c r="D167" s="118"/>
      <c r="E167" s="119">
        <f>+$I$2+(GMSKAKOU[[#This Row],[QUANTITE]]*GMSKAKOU[[#This Row],[PRIX UNITAIRE]])</f>
        <v>0</v>
      </c>
      <c r="F167" s="120"/>
      <c r="G167" s="121">
        <f>+SUM(E$9:$E167)-SUM(F$9:$F167)</f>
        <v>0</v>
      </c>
    </row>
    <row r="168" spans="1:7" ht="28.8" x14ac:dyDescent="0.55000000000000004">
      <c r="A168" s="116"/>
      <c r="B168" s="117"/>
      <c r="C168" s="118"/>
      <c r="D168" s="118"/>
      <c r="E168" s="119">
        <f>+$I$2+(GMSKAKOU[[#This Row],[QUANTITE]]*GMSKAKOU[[#This Row],[PRIX UNITAIRE]])</f>
        <v>0</v>
      </c>
      <c r="F168" s="120"/>
      <c r="G168" s="121">
        <f>+SUM(E$9:$E168)-SUM(F$9:$F168)</f>
        <v>0</v>
      </c>
    </row>
    <row r="169" spans="1:7" ht="28.8" x14ac:dyDescent="0.55000000000000004">
      <c r="A169" s="116"/>
      <c r="B169" s="117"/>
      <c r="C169" s="118"/>
      <c r="D169" s="118"/>
      <c r="E169" s="119">
        <f>+$I$2+(GMSKAKOU[[#This Row],[QUANTITE]]*GMSKAKOU[[#This Row],[PRIX UNITAIRE]])</f>
        <v>0</v>
      </c>
      <c r="F169" s="120"/>
      <c r="G169" s="121">
        <f>+SUM(E$9:$E169)-SUM(F$9:$F169)</f>
        <v>0</v>
      </c>
    </row>
    <row r="170" spans="1:7" ht="28.8" x14ac:dyDescent="0.55000000000000004">
      <c r="A170" s="116"/>
      <c r="B170" s="117"/>
      <c r="C170" s="118"/>
      <c r="D170" s="118"/>
      <c r="E170" s="119">
        <f>+$I$2+(GMSKAKOU[[#This Row],[QUANTITE]]*GMSKAKOU[[#This Row],[PRIX UNITAIRE]])</f>
        <v>0</v>
      </c>
      <c r="F170" s="120"/>
      <c r="G170" s="121">
        <f>+SUM(E$9:$E170)-SUM(F$9:$F170)</f>
        <v>0</v>
      </c>
    </row>
    <row r="171" spans="1:7" ht="28.8" x14ac:dyDescent="0.55000000000000004">
      <c r="A171" s="116"/>
      <c r="B171" s="117"/>
      <c r="C171" s="118"/>
      <c r="D171" s="118"/>
      <c r="E171" s="119">
        <f>+$I$2+(GMSKAKOU[[#This Row],[QUANTITE]]*GMSKAKOU[[#This Row],[PRIX UNITAIRE]])</f>
        <v>0</v>
      </c>
      <c r="F171" s="120"/>
      <c r="G171" s="121">
        <f>+SUM(E$9:$E171)-SUM(F$9:$F171)</f>
        <v>0</v>
      </c>
    </row>
    <row r="172" spans="1:7" ht="28.8" x14ac:dyDescent="0.55000000000000004">
      <c r="A172" s="116"/>
      <c r="B172" s="117"/>
      <c r="C172" s="118"/>
      <c r="D172" s="118"/>
      <c r="E172" s="119">
        <f>+$I$2+(GMSKAKOU[[#This Row],[QUANTITE]]*GMSKAKOU[[#This Row],[PRIX UNITAIRE]])</f>
        <v>0</v>
      </c>
      <c r="F172" s="120"/>
      <c r="G172" s="121">
        <f>+SUM(E$9:$E172)-SUM(F$9:$F172)</f>
        <v>0</v>
      </c>
    </row>
  </sheetData>
  <sheetProtection selectLockedCells="1" autoFilter="0"/>
  <mergeCells count="1">
    <mergeCell ref="B6:C6"/>
  </mergeCells>
  <conditionalFormatting sqref="G4">
    <cfRule type="cellIs" dxfId="539" priority="2" operator="lessThan">
      <formula>0</formula>
    </cfRule>
    <cfRule type="cellIs" dxfId="538" priority="3" operator="greaterThan">
      <formula>0</formula>
    </cfRule>
  </conditionalFormatting>
  <conditionalFormatting sqref="B9:B172">
    <cfRule type="expression" dxfId="537" priority="5">
      <formula>$F9</formula>
    </cfRule>
  </conditionalFormatting>
  <dataValidations count="1">
    <dataValidation type="date" operator="greaterThan" allowBlank="1" showInputMessage="1" showErrorMessage="1" error="VEILLEZ ENTRER UNE DATE VALIDE" sqref="A9:A17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/>
  <dimension ref="A1:I122"/>
  <sheetViews>
    <sheetView showGridLines="0" zoomScale="60" zoomScaleNormal="60" workbookViewId="0">
      <pane ySplit="8" topLeftCell="A34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4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+SUM(AEC[TOTAL MONTANT])</f>
        <v>4423000</v>
      </c>
      <c r="F4" s="41">
        <f>+SUM(AEC[VERSEMENT])</f>
        <v>3842000</v>
      </c>
      <c r="G4" s="130">
        <f>+E4-F4</f>
        <v>581000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476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45681</v>
      </c>
      <c r="B9" s="13" t="s">
        <v>477</v>
      </c>
      <c r="C9" s="10">
        <v>1</v>
      </c>
      <c r="D9" s="10">
        <v>5000</v>
      </c>
      <c r="E9" s="7">
        <f>+$I$2+(AEC[[#This Row],[QUANTITE]]*AEC[[#This Row],[PRIX UNITAIRE]])</f>
        <v>5000</v>
      </c>
      <c r="F9" s="20"/>
      <c r="G9" s="6">
        <f>+SUM(E$9:$E9)-SUM(F$9:$F9)</f>
        <v>5000</v>
      </c>
    </row>
    <row r="10" spans="1:9" ht="28.8" x14ac:dyDescent="0.55000000000000004">
      <c r="A10" s="12">
        <v>45681</v>
      </c>
      <c r="B10" s="13" t="s">
        <v>478</v>
      </c>
      <c r="C10" s="10">
        <v>1</v>
      </c>
      <c r="D10" s="10">
        <v>35000</v>
      </c>
      <c r="E10" s="7">
        <f>+$I$2+(AEC[[#This Row],[QUANTITE]]*AEC[[#This Row],[PRIX UNITAIRE]])</f>
        <v>35000</v>
      </c>
      <c r="F10" s="21"/>
      <c r="G10" s="6">
        <f>+SUM(E$9:$E10)-SUM(F$9:$F10)</f>
        <v>40000</v>
      </c>
    </row>
    <row r="11" spans="1:9" ht="28.8" x14ac:dyDescent="0.55000000000000004">
      <c r="A11" s="12">
        <v>45681</v>
      </c>
      <c r="B11" s="13" t="s">
        <v>479</v>
      </c>
      <c r="C11" s="10">
        <v>1</v>
      </c>
      <c r="D11" s="10">
        <v>5000</v>
      </c>
      <c r="E11" s="7">
        <f>+$I$2+(AEC[[#This Row],[QUANTITE]]*AEC[[#This Row],[PRIX UNITAIRE]])</f>
        <v>5000</v>
      </c>
      <c r="F11" s="14"/>
      <c r="G11" s="6">
        <f>+SUM(E$9:$E11)-SUM(F$9:$F11)</f>
        <v>45000</v>
      </c>
    </row>
    <row r="12" spans="1:9" ht="28.8" x14ac:dyDescent="0.55000000000000004">
      <c r="A12" s="12">
        <v>45681</v>
      </c>
      <c r="B12" s="13" t="s">
        <v>480</v>
      </c>
      <c r="C12" s="10">
        <v>1</v>
      </c>
      <c r="D12" s="10">
        <v>10000</v>
      </c>
      <c r="E12" s="7">
        <f>+$I$2+(AEC[[#This Row],[QUANTITE]]*AEC[[#This Row],[PRIX UNITAIRE]])</f>
        <v>10000</v>
      </c>
      <c r="F12" s="14"/>
      <c r="G12" s="6">
        <f>+SUM(E$9:$E12)-SUM(F$9:$F12)</f>
        <v>55000</v>
      </c>
    </row>
    <row r="13" spans="1:9" ht="28.8" x14ac:dyDescent="0.55000000000000004">
      <c r="A13" s="12">
        <v>45671</v>
      </c>
      <c r="B13" s="13" t="s">
        <v>451</v>
      </c>
      <c r="C13" s="10">
        <v>1</v>
      </c>
      <c r="D13" s="10"/>
      <c r="E13" s="7">
        <f>+$I$2+(AEC[[#This Row],[QUANTITE]]*AEC[[#This Row],[PRIX UNITAIRE]])</f>
        <v>0</v>
      </c>
      <c r="F13" s="14">
        <v>843000</v>
      </c>
      <c r="G13" s="6">
        <f>+SUM(E$9:$E13)-SUM(F$9:$F13)</f>
        <v>-788000</v>
      </c>
    </row>
    <row r="14" spans="1:9" ht="28.8" x14ac:dyDescent="0.55000000000000004">
      <c r="A14" s="12">
        <v>45845</v>
      </c>
      <c r="B14" s="13" t="s">
        <v>1249</v>
      </c>
      <c r="C14" s="10">
        <v>1</v>
      </c>
      <c r="D14" s="10">
        <v>843000</v>
      </c>
      <c r="E14" s="7">
        <f>+$I$2+(AEC[[#This Row],[QUANTITE]]*AEC[[#This Row],[PRIX UNITAIRE]])</f>
        <v>843000</v>
      </c>
      <c r="F14" s="14"/>
      <c r="G14" s="6">
        <f>+SUM(E$9:$E14)-SUM(F$9:$F14)</f>
        <v>55000</v>
      </c>
    </row>
    <row r="15" spans="1:9" ht="28.8" x14ac:dyDescent="0.55000000000000004">
      <c r="A15" s="12">
        <v>45845</v>
      </c>
      <c r="B15" s="13" t="s">
        <v>1250</v>
      </c>
      <c r="C15" s="10">
        <v>2</v>
      </c>
      <c r="D15" s="10">
        <v>135000</v>
      </c>
      <c r="E15" s="7">
        <f>+$I$2+(AEC[[#This Row],[QUANTITE]]*AEC[[#This Row],[PRIX UNITAIRE]])</f>
        <v>270000</v>
      </c>
      <c r="F15" s="14"/>
      <c r="G15" s="6">
        <f>+SUM(E$9:$E15)-SUM(F$9:$F15)</f>
        <v>325000</v>
      </c>
    </row>
    <row r="16" spans="1:9" ht="28.8" x14ac:dyDescent="0.55000000000000004">
      <c r="A16" s="12">
        <v>45845</v>
      </c>
      <c r="B16" s="13" t="s">
        <v>1251</v>
      </c>
      <c r="C16" s="10">
        <v>1</v>
      </c>
      <c r="D16" s="10">
        <v>45000</v>
      </c>
      <c r="E16" s="7">
        <f>+$I$2+(AEC[[#This Row],[QUANTITE]]*AEC[[#This Row],[PRIX UNITAIRE]])</f>
        <v>45000</v>
      </c>
      <c r="F16" s="14"/>
      <c r="G16" s="6">
        <f>+SUM(E$9:$E16)-SUM(F$9:$F16)</f>
        <v>370000</v>
      </c>
    </row>
    <row r="17" spans="1:7" ht="28.8" x14ac:dyDescent="0.55000000000000004">
      <c r="A17" s="12">
        <v>45852</v>
      </c>
      <c r="B17" s="13" t="s">
        <v>2748</v>
      </c>
      <c r="C17" s="10">
        <v>2</v>
      </c>
      <c r="D17" s="10">
        <v>115000</v>
      </c>
      <c r="E17" s="7">
        <f>+$I$2+(AEC[[#This Row],[QUANTITE]]*AEC[[#This Row],[PRIX UNITAIRE]])</f>
        <v>230000</v>
      </c>
      <c r="F17" s="14"/>
      <c r="G17" s="6">
        <f>+SUM(E$9:$E17)-SUM(F$9:$F17)</f>
        <v>600000</v>
      </c>
    </row>
    <row r="18" spans="1:7" ht="28.8" x14ac:dyDescent="0.55000000000000004">
      <c r="A18" s="12">
        <v>45852</v>
      </c>
      <c r="B18" s="13" t="s">
        <v>2749</v>
      </c>
      <c r="C18" s="10">
        <v>4</v>
      </c>
      <c r="D18" s="10">
        <v>135000</v>
      </c>
      <c r="E18" s="7">
        <f>+$I$2+(AEC[[#This Row],[QUANTITE]]*AEC[[#This Row],[PRIX UNITAIRE]])</f>
        <v>540000</v>
      </c>
      <c r="F18" s="14"/>
      <c r="G18" s="6">
        <f>+SUM(E$9:$E18)-SUM(F$9:$F18)</f>
        <v>1140000</v>
      </c>
    </row>
    <row r="19" spans="1:7" ht="28.8" x14ac:dyDescent="0.55000000000000004">
      <c r="A19" s="12">
        <v>45855</v>
      </c>
      <c r="B19" s="13" t="s">
        <v>2751</v>
      </c>
      <c r="C19" s="10">
        <v>2</v>
      </c>
      <c r="D19" s="10">
        <v>90000</v>
      </c>
      <c r="E19" s="7">
        <f>+$I$2+(AEC[[#This Row],[QUANTITE]]*AEC[[#This Row],[PRIX UNITAIRE]])</f>
        <v>180000</v>
      </c>
      <c r="F19" s="14"/>
      <c r="G19" s="6">
        <f>+SUM(E$9:$E19)-SUM(F$9:$F19)</f>
        <v>1320000</v>
      </c>
    </row>
    <row r="20" spans="1:7" ht="28.8" x14ac:dyDescent="0.55000000000000004">
      <c r="A20" s="12">
        <v>45855</v>
      </c>
      <c r="B20" s="13" t="s">
        <v>259</v>
      </c>
      <c r="C20" s="10"/>
      <c r="D20" s="10"/>
      <c r="E20" s="7">
        <f>+$I$2+(AEC[[#This Row],[QUANTITE]]*AEC[[#This Row],[PRIX UNITAIRE]])</f>
        <v>0</v>
      </c>
      <c r="F20" s="14">
        <v>180000</v>
      </c>
      <c r="G20" s="6">
        <f>+SUM(E$9:$E20)-SUM(F$9:$F20)</f>
        <v>1140000</v>
      </c>
    </row>
    <row r="21" spans="1:7" ht="28.8" x14ac:dyDescent="0.55000000000000004">
      <c r="A21" s="12">
        <v>45869</v>
      </c>
      <c r="B21" s="13" t="s">
        <v>2794</v>
      </c>
      <c r="C21" s="10"/>
      <c r="D21" s="10"/>
      <c r="E21" s="7">
        <f>+$I$2+(AEC[[#This Row],[QUANTITE]]*AEC[[#This Row],[PRIX UNITAIRE]])</f>
        <v>0</v>
      </c>
      <c r="F21" s="14">
        <v>580000</v>
      </c>
      <c r="G21" s="6">
        <f>+SUM(E$9:$E21)-SUM(F$9:$F21)</f>
        <v>560000</v>
      </c>
    </row>
    <row r="22" spans="1:7" ht="28.8" x14ac:dyDescent="0.55000000000000004">
      <c r="A22" s="12">
        <v>45885</v>
      </c>
      <c r="B22" s="13" t="s">
        <v>2953</v>
      </c>
      <c r="C22" s="10">
        <v>2</v>
      </c>
      <c r="D22" s="10">
        <v>115000</v>
      </c>
      <c r="E22" s="7">
        <f>+$I$2+(AEC[[#This Row],[QUANTITE]]*AEC[[#This Row],[PRIX UNITAIRE]])</f>
        <v>230000</v>
      </c>
      <c r="F22" s="14"/>
      <c r="G22" s="6">
        <f>+SUM(E$9:$E22)-SUM(F$9:$F22)</f>
        <v>790000</v>
      </c>
    </row>
    <row r="23" spans="1:7" ht="28.8" x14ac:dyDescent="0.55000000000000004">
      <c r="A23" s="12">
        <v>45885</v>
      </c>
      <c r="B23" s="13" t="s">
        <v>2962</v>
      </c>
      <c r="C23" s="10">
        <v>4</v>
      </c>
      <c r="D23" s="10">
        <v>95000</v>
      </c>
      <c r="E23" s="7">
        <f>+$I$2+(AEC[[#This Row],[QUANTITE]]*AEC[[#This Row],[PRIX UNITAIRE]])</f>
        <v>380000</v>
      </c>
      <c r="F23" s="14"/>
      <c r="G23" s="6">
        <f>+SUM(E$9:$E23)-SUM(F$9:$F23)</f>
        <v>1170000</v>
      </c>
    </row>
    <row r="24" spans="1:7" ht="28.8" x14ac:dyDescent="0.55000000000000004">
      <c r="A24" s="12">
        <v>45888</v>
      </c>
      <c r="B24" s="13" t="s">
        <v>2963</v>
      </c>
      <c r="C24" s="10"/>
      <c r="D24" s="10"/>
      <c r="E24" s="7">
        <f>+$I$2+(AEC[[#This Row],[QUANTITE]]*AEC[[#This Row],[PRIX UNITAIRE]])</f>
        <v>0</v>
      </c>
      <c r="F24" s="14">
        <v>585000</v>
      </c>
      <c r="G24" s="6">
        <f>+SUM(E$9:$E24)-SUM(F$9:$F24)</f>
        <v>585000</v>
      </c>
    </row>
    <row r="25" spans="1:7" ht="28.8" x14ac:dyDescent="0.55000000000000004">
      <c r="A25" s="12"/>
      <c r="B25" s="13" t="s">
        <v>2964</v>
      </c>
      <c r="C25" s="10"/>
      <c r="D25" s="10"/>
      <c r="E25" s="7">
        <f>+$I$2+(AEC[[#This Row],[QUANTITE]]*AEC[[#This Row],[PRIX UNITAIRE]])</f>
        <v>0</v>
      </c>
      <c r="F25" s="14"/>
      <c r="G25" s="6">
        <f>+SUM(E$9:$E25)-SUM(F$9:$F25)</f>
        <v>585000</v>
      </c>
    </row>
    <row r="26" spans="1:7" ht="28.8" x14ac:dyDescent="0.55000000000000004">
      <c r="A26" s="12">
        <v>45889</v>
      </c>
      <c r="B26" s="13" t="s">
        <v>2985</v>
      </c>
      <c r="C26" s="10">
        <v>1</v>
      </c>
      <c r="D26" s="10">
        <v>35000</v>
      </c>
      <c r="E26" s="7">
        <f>+$I$2+(AEC[[#This Row],[QUANTITE]]*AEC[[#This Row],[PRIX UNITAIRE]])</f>
        <v>35000</v>
      </c>
      <c r="F26" s="14"/>
      <c r="G26" s="6">
        <f>+SUM(E$9:$E26)-SUM(F$9:$F26)</f>
        <v>620000</v>
      </c>
    </row>
    <row r="27" spans="1:7" ht="28.8" x14ac:dyDescent="0.55000000000000004">
      <c r="A27" s="12">
        <v>45889</v>
      </c>
      <c r="B27" s="13" t="s">
        <v>2986</v>
      </c>
      <c r="C27" s="10">
        <v>1</v>
      </c>
      <c r="D27" s="10">
        <v>65000</v>
      </c>
      <c r="E27" s="7">
        <f>+$I$2+(AEC[[#This Row],[QUANTITE]]*AEC[[#This Row],[PRIX UNITAIRE]])</f>
        <v>65000</v>
      </c>
      <c r="F27" s="14"/>
      <c r="G27" s="6">
        <f>+SUM(E$9:$E27)-SUM(F$9:$F27)</f>
        <v>685000</v>
      </c>
    </row>
    <row r="28" spans="1:7" ht="28.8" x14ac:dyDescent="0.55000000000000004">
      <c r="A28" s="12">
        <v>45889</v>
      </c>
      <c r="B28" s="13" t="s">
        <v>2987</v>
      </c>
      <c r="C28" s="10">
        <v>1</v>
      </c>
      <c r="D28" s="10">
        <v>45000</v>
      </c>
      <c r="E28" s="7">
        <f>+$I$2+(AEC[[#This Row],[QUANTITE]]*AEC[[#This Row],[PRIX UNITAIRE]])</f>
        <v>45000</v>
      </c>
      <c r="F28" s="14"/>
      <c r="G28" s="6">
        <f>+SUM(E$9:$E28)-SUM(F$9:$F28)</f>
        <v>730000</v>
      </c>
    </row>
    <row r="29" spans="1:7" ht="28.8" x14ac:dyDescent="0.55000000000000004">
      <c r="A29" s="12">
        <v>45889</v>
      </c>
      <c r="B29" s="13" t="s">
        <v>2988</v>
      </c>
      <c r="C29" s="10">
        <v>1</v>
      </c>
      <c r="D29" s="10">
        <v>70000</v>
      </c>
      <c r="E29" s="7">
        <f>+$I$2+(AEC[[#This Row],[QUANTITE]]*AEC[[#This Row],[PRIX UNITAIRE]])</f>
        <v>70000</v>
      </c>
      <c r="F29" s="14"/>
      <c r="G29" s="6">
        <f>+SUM(E$9:$E29)-SUM(F$9:$F29)</f>
        <v>800000</v>
      </c>
    </row>
    <row r="30" spans="1:7" ht="28.8" x14ac:dyDescent="0.55000000000000004">
      <c r="A30" s="12">
        <v>45901</v>
      </c>
      <c r="B30" s="13" t="s">
        <v>2989</v>
      </c>
      <c r="C30" s="10">
        <v>2</v>
      </c>
      <c r="D30" s="10">
        <v>125000</v>
      </c>
      <c r="E30" s="7">
        <f>+$I$2+(AEC[[#This Row],[QUANTITE]]*AEC[[#This Row],[PRIX UNITAIRE]])</f>
        <v>250000</v>
      </c>
      <c r="F30" s="14"/>
      <c r="G30" s="6">
        <f>+SUM(E$9:$E30)-SUM(F$9:$F30)</f>
        <v>1050000</v>
      </c>
    </row>
    <row r="31" spans="1:7" ht="28.8" x14ac:dyDescent="0.55000000000000004">
      <c r="A31" s="12">
        <v>45908</v>
      </c>
      <c r="B31" s="13" t="s">
        <v>2991</v>
      </c>
      <c r="C31" s="10">
        <v>2</v>
      </c>
      <c r="D31" s="10">
        <v>135000</v>
      </c>
      <c r="E31" s="7">
        <f>+$I$2+(AEC[[#This Row],[QUANTITE]]*AEC[[#This Row],[PRIX UNITAIRE]])</f>
        <v>270000</v>
      </c>
      <c r="F31" s="14"/>
      <c r="G31" s="6">
        <f>+SUM(E$9:$E31)-SUM(F$9:$F31)</f>
        <v>1320000</v>
      </c>
    </row>
    <row r="32" spans="1:7" ht="28.8" x14ac:dyDescent="0.55000000000000004">
      <c r="A32" s="12">
        <v>45918</v>
      </c>
      <c r="B32" s="13" t="s">
        <v>2985</v>
      </c>
      <c r="C32" s="10">
        <v>1</v>
      </c>
      <c r="D32" s="10">
        <v>45000</v>
      </c>
      <c r="E32" s="7">
        <f>+$I$2+(AEC[[#This Row],[QUANTITE]]*AEC[[#This Row],[PRIX UNITAIRE]])</f>
        <v>45000</v>
      </c>
      <c r="F32" s="14"/>
      <c r="G32" s="6">
        <f>+SUM(E$9:$E32)-SUM(F$9:$F32)</f>
        <v>1365000</v>
      </c>
    </row>
    <row r="33" spans="1:7" ht="28.8" x14ac:dyDescent="0.55000000000000004">
      <c r="A33" s="12">
        <v>45918</v>
      </c>
      <c r="B33" s="13" t="s">
        <v>3049</v>
      </c>
      <c r="C33" s="10">
        <v>1</v>
      </c>
      <c r="D33" s="10">
        <v>65000</v>
      </c>
      <c r="E33" s="7">
        <f>+$I$2+(AEC[[#This Row],[QUANTITE]]*AEC[[#This Row],[PRIX UNITAIRE]])</f>
        <v>65000</v>
      </c>
      <c r="F33" s="14"/>
      <c r="G33" s="6">
        <f>+SUM(E$9:$E33)-SUM(F$9:$F33)</f>
        <v>1430000</v>
      </c>
    </row>
    <row r="34" spans="1:7" ht="28.8" x14ac:dyDescent="0.55000000000000004">
      <c r="A34" s="12">
        <v>45950</v>
      </c>
      <c r="B34" s="13" t="s">
        <v>451</v>
      </c>
      <c r="C34" s="10"/>
      <c r="D34" s="10"/>
      <c r="E34" s="7">
        <f>+$I$2+(AEC[[#This Row],[QUANTITE]]*AEC[[#This Row],[PRIX UNITAIRE]])</f>
        <v>0</v>
      </c>
      <c r="F34" s="14">
        <v>1119000</v>
      </c>
      <c r="G34" s="6">
        <f>+SUM(E$9:$E34)-SUM(F$9:$F34)</f>
        <v>311000</v>
      </c>
    </row>
    <row r="35" spans="1:7" ht="28.8" x14ac:dyDescent="0.55000000000000004">
      <c r="A35" s="12">
        <v>45989</v>
      </c>
      <c r="B35" s="13" t="s">
        <v>574</v>
      </c>
      <c r="C35" s="10">
        <v>2</v>
      </c>
      <c r="D35" s="10">
        <v>115000</v>
      </c>
      <c r="E35" s="7">
        <f>+$I$2+(AEC[[#This Row],[QUANTITE]]*AEC[[#This Row],[PRIX UNITAIRE]])</f>
        <v>230000</v>
      </c>
      <c r="F35" s="14"/>
      <c r="G35" s="6">
        <f>+SUM(E$9:$E35)-SUM(F$9:$F35)</f>
        <v>541000</v>
      </c>
    </row>
    <row r="36" spans="1:7" ht="28.8" x14ac:dyDescent="0.55000000000000004">
      <c r="A36" s="12">
        <v>46027</v>
      </c>
      <c r="B36" s="13" t="s">
        <v>3317</v>
      </c>
      <c r="C36" s="10">
        <v>2</v>
      </c>
      <c r="D36" s="10">
        <v>135000</v>
      </c>
      <c r="E36" s="7">
        <f>+$I$2+(AEC[[#This Row],[QUANTITE]]*AEC[[#This Row],[PRIX UNITAIRE]])</f>
        <v>270000</v>
      </c>
      <c r="F36" s="14"/>
      <c r="G36" s="6">
        <f>+SUM(E$9:$E36)-SUM(F$9:$F36)</f>
        <v>811000</v>
      </c>
    </row>
    <row r="37" spans="1:7" ht="28.8" x14ac:dyDescent="0.55000000000000004">
      <c r="A37" s="12">
        <v>46027</v>
      </c>
      <c r="B37" s="13" t="s">
        <v>742</v>
      </c>
      <c r="C37" s="10">
        <v>1</v>
      </c>
      <c r="D37" s="10">
        <v>65000</v>
      </c>
      <c r="E37" s="7">
        <f>+$I$2+(AEC[[#This Row],[QUANTITE]]*AEC[[#This Row],[PRIX UNITAIRE]])</f>
        <v>65000</v>
      </c>
      <c r="F37" s="14"/>
      <c r="G37" s="6">
        <f>+SUM(E$9:$E37)-SUM(F$9:$F37)</f>
        <v>876000</v>
      </c>
    </row>
    <row r="38" spans="1:7" ht="28.8" x14ac:dyDescent="0.55000000000000004">
      <c r="A38" s="12">
        <v>46031</v>
      </c>
      <c r="B38" s="13" t="s">
        <v>3368</v>
      </c>
      <c r="C38" s="10">
        <v>1</v>
      </c>
      <c r="D38" s="10">
        <v>35000</v>
      </c>
      <c r="E38" s="7">
        <f>+$I$2+(AEC[[#This Row],[QUANTITE]]*AEC[[#This Row],[PRIX UNITAIRE]])</f>
        <v>35000</v>
      </c>
      <c r="F38" s="14"/>
      <c r="G38" s="6">
        <f>+SUM(E$9:$E38)-SUM(F$9:$F38)</f>
        <v>911000</v>
      </c>
    </row>
    <row r="39" spans="1:7" ht="28.8" x14ac:dyDescent="0.55000000000000004">
      <c r="A39" s="12">
        <v>46031</v>
      </c>
      <c r="B39" s="13" t="s">
        <v>3369</v>
      </c>
      <c r="C39" s="10">
        <v>1</v>
      </c>
      <c r="D39" s="10">
        <v>45000</v>
      </c>
      <c r="E39" s="7">
        <f>+$I$2+(AEC[[#This Row],[QUANTITE]]*AEC[[#This Row],[PRIX UNITAIRE]])</f>
        <v>45000</v>
      </c>
      <c r="F39" s="14"/>
      <c r="G39" s="6">
        <f>+SUM(E$9:$E39)-SUM(F$9:$F39)</f>
        <v>956000</v>
      </c>
    </row>
    <row r="40" spans="1:7" ht="28.8" x14ac:dyDescent="0.55000000000000004">
      <c r="A40" s="12">
        <v>46031</v>
      </c>
      <c r="B40" s="13" t="s">
        <v>3370</v>
      </c>
      <c r="C40" s="10">
        <v>2</v>
      </c>
      <c r="D40" s="10">
        <v>15000</v>
      </c>
      <c r="E40" s="7">
        <f>+$I$2+(AEC[[#This Row],[QUANTITE]]*AEC[[#This Row],[PRIX UNITAIRE]])</f>
        <v>30000</v>
      </c>
      <c r="F40" s="14"/>
      <c r="G40" s="6">
        <f>+SUM(E$9:$E40)-SUM(F$9:$F40)</f>
        <v>986000</v>
      </c>
    </row>
    <row r="41" spans="1:7" ht="28.8" x14ac:dyDescent="0.55000000000000004">
      <c r="A41" s="12">
        <v>46076</v>
      </c>
      <c r="B41" s="13" t="s">
        <v>3464</v>
      </c>
      <c r="C41" s="10">
        <v>1</v>
      </c>
      <c r="D41" s="10">
        <v>65000</v>
      </c>
      <c r="E41" s="7">
        <f>+$I$2+(AEC[[#This Row],[QUANTITE]]*AEC[[#This Row],[PRIX UNITAIRE]])</f>
        <v>65000</v>
      </c>
      <c r="F41" s="14"/>
      <c r="G41" s="6">
        <f>+SUM(E$9:$E41)-SUM(F$9:$F41)</f>
        <v>1051000</v>
      </c>
    </row>
    <row r="42" spans="1:7" ht="28.8" x14ac:dyDescent="0.55000000000000004">
      <c r="A42" s="12">
        <v>46076</v>
      </c>
      <c r="B42" s="13" t="s">
        <v>451</v>
      </c>
      <c r="C42" s="10">
        <v>1</v>
      </c>
      <c r="D42" s="10"/>
      <c r="E42" s="7">
        <f>+$I$2+(AEC[[#This Row],[QUANTITE]]*AEC[[#This Row],[PRIX UNITAIRE]])</f>
        <v>0</v>
      </c>
      <c r="F42" s="14">
        <v>535000</v>
      </c>
      <c r="G42" s="6">
        <f>+SUM(E$9:$E42)-SUM(F$9:$F42)</f>
        <v>516000</v>
      </c>
    </row>
    <row r="43" spans="1:7" ht="28.8" x14ac:dyDescent="0.55000000000000004">
      <c r="A43" s="12">
        <v>46080</v>
      </c>
      <c r="B43" s="13" t="s">
        <v>3489</v>
      </c>
      <c r="C43" s="10">
        <v>1</v>
      </c>
      <c r="D43" s="10">
        <v>65000</v>
      </c>
      <c r="E43" s="7">
        <f>+$I$2+(AEC[[#This Row],[QUANTITE]]*AEC[[#This Row],[PRIX UNITAIRE]])</f>
        <v>65000</v>
      </c>
      <c r="F43" s="14"/>
      <c r="G43" s="6">
        <f>+SUM(E$9:$E43)-SUM(F$9:$F43)</f>
        <v>581000</v>
      </c>
    </row>
    <row r="44" spans="1:7" ht="28.8" x14ac:dyDescent="0.55000000000000004">
      <c r="A44" s="12"/>
      <c r="B44" s="13"/>
      <c r="C44" s="10"/>
      <c r="D44" s="10"/>
      <c r="E44" s="7">
        <f>+$I$2+(AEC[[#This Row],[QUANTITE]]*AEC[[#This Row],[PRIX UNITAIRE]])</f>
        <v>0</v>
      </c>
      <c r="F44" s="14"/>
      <c r="G44" s="6">
        <f>+SUM(E$9:$E44)-SUM(F$9:$F44)</f>
        <v>581000</v>
      </c>
    </row>
    <row r="45" spans="1:7" ht="28.8" x14ac:dyDescent="0.55000000000000004">
      <c r="A45" s="12"/>
      <c r="B45" s="13"/>
      <c r="C45" s="10"/>
      <c r="D45" s="10"/>
      <c r="E45" s="7">
        <f>+$I$2+(AEC[[#This Row],[QUANTITE]]*AEC[[#This Row],[PRIX UNITAIRE]])</f>
        <v>0</v>
      </c>
      <c r="F45" s="14"/>
      <c r="G45" s="6">
        <f>+SUM(E$9:$E45)-SUM(F$9:$F45)</f>
        <v>581000</v>
      </c>
    </row>
    <row r="46" spans="1:7" ht="28.8" x14ac:dyDescent="0.55000000000000004">
      <c r="A46" s="12"/>
      <c r="B46" s="13"/>
      <c r="C46" s="10"/>
      <c r="D46" s="10"/>
      <c r="E46" s="7">
        <f>+$I$2+(AEC[[#This Row],[QUANTITE]]*AEC[[#This Row],[PRIX UNITAIRE]])</f>
        <v>0</v>
      </c>
      <c r="F46" s="14"/>
      <c r="G46" s="6">
        <f>+SUM(E$9:$E46)-SUM(F$9:$F46)</f>
        <v>581000</v>
      </c>
    </row>
    <row r="47" spans="1:7" ht="28.8" x14ac:dyDescent="0.55000000000000004">
      <c r="A47" s="12"/>
      <c r="B47" s="13"/>
      <c r="C47" s="10"/>
      <c r="D47" s="10"/>
      <c r="E47" s="7">
        <f>+$I$2+(AEC[[#This Row],[QUANTITE]]*AEC[[#This Row],[PRIX UNITAIRE]])</f>
        <v>0</v>
      </c>
      <c r="F47" s="14"/>
      <c r="G47" s="6">
        <f>+SUM(E$9:$E47)-SUM(F$9:$F47)</f>
        <v>581000</v>
      </c>
    </row>
    <row r="48" spans="1:7" ht="28.8" x14ac:dyDescent="0.55000000000000004">
      <c r="A48" s="12"/>
      <c r="B48" s="13"/>
      <c r="C48" s="10"/>
      <c r="D48" s="10"/>
      <c r="E48" s="7">
        <f>+$I$2+(AEC[[#This Row],[QUANTITE]]*AEC[[#This Row],[PRIX UNITAIRE]])</f>
        <v>0</v>
      </c>
      <c r="F48" s="14"/>
      <c r="G48" s="6">
        <f>+SUM(E$9:$E48)-SUM(F$9:$F48)</f>
        <v>581000</v>
      </c>
    </row>
    <row r="49" spans="1:7" ht="28.8" x14ac:dyDescent="0.55000000000000004">
      <c r="A49" s="12"/>
      <c r="B49" s="13"/>
      <c r="C49" s="10"/>
      <c r="D49" s="10"/>
      <c r="E49" s="7">
        <f>+$I$2+(AEC[[#This Row],[QUANTITE]]*AEC[[#This Row],[PRIX UNITAIRE]])</f>
        <v>0</v>
      </c>
      <c r="F49" s="14"/>
      <c r="G49" s="6">
        <f>+SUM(E$9:$E49)-SUM(F$9:$F49)</f>
        <v>581000</v>
      </c>
    </row>
    <row r="50" spans="1:7" ht="28.8" x14ac:dyDescent="0.55000000000000004">
      <c r="A50" s="12"/>
      <c r="B50" s="13"/>
      <c r="C50" s="10"/>
      <c r="D50" s="10"/>
      <c r="E50" s="7">
        <f>+$I$2+(AEC[[#This Row],[QUANTITE]]*AEC[[#This Row],[PRIX UNITAIRE]])</f>
        <v>0</v>
      </c>
      <c r="F50" s="14"/>
      <c r="G50" s="6">
        <f>+SUM(E$9:$E50)-SUM(F$9:$F50)</f>
        <v>581000</v>
      </c>
    </row>
    <row r="51" spans="1:7" ht="28.8" x14ac:dyDescent="0.55000000000000004">
      <c r="A51" s="12"/>
      <c r="B51" s="13"/>
      <c r="C51" s="10"/>
      <c r="D51" s="10"/>
      <c r="E51" s="7">
        <f>+$I$2+(AEC[[#This Row],[QUANTITE]]*AEC[[#This Row],[PRIX UNITAIRE]])</f>
        <v>0</v>
      </c>
      <c r="F51" s="14"/>
      <c r="G51" s="6">
        <f>+SUM(E$9:$E51)-SUM(F$9:$F51)</f>
        <v>581000</v>
      </c>
    </row>
    <row r="52" spans="1:7" ht="28.8" x14ac:dyDescent="0.55000000000000004">
      <c r="A52" s="12"/>
      <c r="B52" s="13"/>
      <c r="C52" s="10"/>
      <c r="D52" s="10"/>
      <c r="E52" s="7">
        <f>+$I$2+(AEC[[#This Row],[QUANTITE]]*AEC[[#This Row],[PRIX UNITAIRE]])</f>
        <v>0</v>
      </c>
      <c r="F52" s="14"/>
      <c r="G52" s="6">
        <f>+SUM(E$9:$E52)-SUM(F$9:$F52)</f>
        <v>581000</v>
      </c>
    </row>
    <row r="53" spans="1:7" ht="28.8" x14ac:dyDescent="0.55000000000000004">
      <c r="A53" s="12"/>
      <c r="B53" s="13"/>
      <c r="C53" s="10"/>
      <c r="D53" s="10"/>
      <c r="E53" s="7">
        <f>+$I$2+(AEC[[#This Row],[QUANTITE]]*AEC[[#This Row],[PRIX UNITAIRE]])</f>
        <v>0</v>
      </c>
      <c r="F53" s="14"/>
      <c r="G53" s="6">
        <f>+SUM(E$9:$E53)-SUM(F$9:$F53)</f>
        <v>581000</v>
      </c>
    </row>
    <row r="54" spans="1:7" ht="28.8" x14ac:dyDescent="0.55000000000000004">
      <c r="A54" s="12"/>
      <c r="B54" s="13"/>
      <c r="C54" s="10"/>
      <c r="D54" s="10"/>
      <c r="E54" s="7">
        <f>+$I$2+(AEC[[#This Row],[QUANTITE]]*AEC[[#This Row],[PRIX UNITAIRE]])</f>
        <v>0</v>
      </c>
      <c r="F54" s="14"/>
      <c r="G54" s="6">
        <f>+SUM(E$9:$E54)-SUM(F$9:$F54)</f>
        <v>581000</v>
      </c>
    </row>
    <row r="55" spans="1:7" ht="28.8" x14ac:dyDescent="0.55000000000000004">
      <c r="A55" s="12"/>
      <c r="B55" s="13"/>
      <c r="C55" s="10"/>
      <c r="D55" s="10"/>
      <c r="E55" s="7">
        <f>+$I$2+(AEC[[#This Row],[QUANTITE]]*AEC[[#This Row],[PRIX UNITAIRE]])</f>
        <v>0</v>
      </c>
      <c r="F55" s="14"/>
      <c r="G55" s="6">
        <f>+SUM(E$9:$E55)-SUM(F$9:$F55)</f>
        <v>581000</v>
      </c>
    </row>
    <row r="56" spans="1:7" ht="28.8" x14ac:dyDescent="0.55000000000000004">
      <c r="A56" s="12"/>
      <c r="B56" s="13"/>
      <c r="C56" s="10"/>
      <c r="D56" s="10"/>
      <c r="E56" s="7">
        <f>+$I$2+(AEC[[#This Row],[QUANTITE]]*AEC[[#This Row],[PRIX UNITAIRE]])</f>
        <v>0</v>
      </c>
      <c r="F56" s="14"/>
      <c r="G56" s="6">
        <f>+SUM(E$9:$E56)-SUM(F$9:$F56)</f>
        <v>581000</v>
      </c>
    </row>
    <row r="57" spans="1:7" ht="28.8" x14ac:dyDescent="0.55000000000000004">
      <c r="A57" s="12"/>
      <c r="B57" s="13"/>
      <c r="C57" s="10"/>
      <c r="D57" s="10"/>
      <c r="E57" s="7">
        <f>+$I$2+(AEC[[#This Row],[QUANTITE]]*AEC[[#This Row],[PRIX UNITAIRE]])</f>
        <v>0</v>
      </c>
      <c r="F57" s="14"/>
      <c r="G57" s="6">
        <f>+SUM(E$9:$E57)-SUM(F$9:$F57)</f>
        <v>581000</v>
      </c>
    </row>
    <row r="58" spans="1:7" ht="28.8" x14ac:dyDescent="0.55000000000000004">
      <c r="A58" s="12"/>
      <c r="B58" s="13"/>
      <c r="C58" s="10"/>
      <c r="D58" s="10"/>
      <c r="E58" s="7">
        <f>+$I$2+(AEC[[#This Row],[QUANTITE]]*AEC[[#This Row],[PRIX UNITAIRE]])</f>
        <v>0</v>
      </c>
      <c r="F58" s="14"/>
      <c r="G58" s="6">
        <f>+SUM(E$9:$E58)-SUM(F$9:$F58)</f>
        <v>581000</v>
      </c>
    </row>
    <row r="59" spans="1:7" ht="28.8" x14ac:dyDescent="0.55000000000000004">
      <c r="A59" s="12"/>
      <c r="B59" s="13"/>
      <c r="C59" s="10"/>
      <c r="D59" s="10"/>
      <c r="E59" s="7">
        <f>+$I$2+(AEC[[#This Row],[QUANTITE]]*AEC[[#This Row],[PRIX UNITAIRE]])</f>
        <v>0</v>
      </c>
      <c r="F59" s="14"/>
      <c r="G59" s="6">
        <f>+SUM(E$9:$E59)-SUM(F$9:$F59)</f>
        <v>581000</v>
      </c>
    </row>
    <row r="60" spans="1:7" ht="28.8" x14ac:dyDescent="0.55000000000000004">
      <c r="A60" s="12"/>
      <c r="B60" s="13"/>
      <c r="C60" s="10"/>
      <c r="D60" s="10"/>
      <c r="E60" s="7">
        <f>+$I$2+(AEC[[#This Row],[QUANTITE]]*AEC[[#This Row],[PRIX UNITAIRE]])</f>
        <v>0</v>
      </c>
      <c r="F60" s="14"/>
      <c r="G60" s="6">
        <f>+SUM(E$9:$E60)-SUM(F$9:$F60)</f>
        <v>581000</v>
      </c>
    </row>
    <row r="61" spans="1:7" ht="28.8" x14ac:dyDescent="0.55000000000000004">
      <c r="A61" s="12"/>
      <c r="B61" s="13"/>
      <c r="C61" s="10"/>
      <c r="D61" s="10"/>
      <c r="E61" s="7">
        <f>+$I$2+(AEC[[#This Row],[QUANTITE]]*AEC[[#This Row],[PRIX UNITAIRE]])</f>
        <v>0</v>
      </c>
      <c r="F61" s="14"/>
      <c r="G61" s="6">
        <f>+SUM(E$9:$E61)-SUM(F$9:$F61)</f>
        <v>581000</v>
      </c>
    </row>
    <row r="62" spans="1:7" ht="28.8" x14ac:dyDescent="0.55000000000000004">
      <c r="A62" s="12"/>
      <c r="B62" s="13"/>
      <c r="C62" s="10"/>
      <c r="D62" s="10"/>
      <c r="E62" s="7">
        <f>+$I$2+(AEC[[#This Row],[QUANTITE]]*AEC[[#This Row],[PRIX UNITAIRE]])</f>
        <v>0</v>
      </c>
      <c r="F62" s="14"/>
      <c r="G62" s="6">
        <f>+SUM(E$9:$E62)-SUM(F$9:$F62)</f>
        <v>581000</v>
      </c>
    </row>
    <row r="63" spans="1:7" ht="28.8" x14ac:dyDescent="0.55000000000000004">
      <c r="A63" s="12"/>
      <c r="B63" s="13"/>
      <c r="C63" s="10"/>
      <c r="D63" s="10"/>
      <c r="E63" s="7">
        <f>+$I$2+(AEC[[#This Row],[QUANTITE]]*AEC[[#This Row],[PRIX UNITAIRE]])</f>
        <v>0</v>
      </c>
      <c r="F63" s="14"/>
      <c r="G63" s="6">
        <f>+SUM(E$9:$E63)-SUM(F$9:$F63)</f>
        <v>581000</v>
      </c>
    </row>
    <row r="64" spans="1:7" ht="28.8" x14ac:dyDescent="0.55000000000000004">
      <c r="A64" s="12"/>
      <c r="B64" s="13"/>
      <c r="C64" s="10"/>
      <c r="D64" s="10"/>
      <c r="E64" s="7">
        <f>+$I$2+(AEC[[#This Row],[QUANTITE]]*AEC[[#This Row],[PRIX UNITAIRE]])</f>
        <v>0</v>
      </c>
      <c r="F64" s="14"/>
      <c r="G64" s="6">
        <f>+SUM(E$9:$E64)-SUM(F$9:$F64)</f>
        <v>581000</v>
      </c>
    </row>
    <row r="65" spans="1:7" ht="28.8" x14ac:dyDescent="0.55000000000000004">
      <c r="A65" s="12"/>
      <c r="B65" s="13"/>
      <c r="C65" s="10"/>
      <c r="D65" s="10"/>
      <c r="E65" s="7">
        <f>+$I$2+(AEC[[#This Row],[QUANTITE]]*AEC[[#This Row],[PRIX UNITAIRE]])</f>
        <v>0</v>
      </c>
      <c r="F65" s="14"/>
      <c r="G65" s="6">
        <f>+SUM(E$9:$E65)-SUM(F$9:$F65)</f>
        <v>581000</v>
      </c>
    </row>
    <row r="66" spans="1:7" ht="28.8" x14ac:dyDescent="0.55000000000000004">
      <c r="A66" s="12"/>
      <c r="B66" s="13"/>
      <c r="C66" s="10"/>
      <c r="D66" s="10"/>
      <c r="E66" s="7">
        <f>+$I$2+(AEC[[#This Row],[QUANTITE]]*AEC[[#This Row],[PRIX UNITAIRE]])</f>
        <v>0</v>
      </c>
      <c r="F66" s="14"/>
      <c r="G66" s="6">
        <f>+SUM(E$9:$E66)-SUM(F$9:$F66)</f>
        <v>581000</v>
      </c>
    </row>
    <row r="67" spans="1:7" ht="28.8" x14ac:dyDescent="0.55000000000000004">
      <c r="A67" s="12"/>
      <c r="B67" s="13"/>
      <c r="C67" s="10"/>
      <c r="D67" s="10"/>
      <c r="E67" s="7">
        <f>+$I$2+(AEC[[#This Row],[QUANTITE]]*AEC[[#This Row],[PRIX UNITAIRE]])</f>
        <v>0</v>
      </c>
      <c r="F67" s="14"/>
      <c r="G67" s="6">
        <f>+SUM(E$9:$E67)-SUM(F$9:$F67)</f>
        <v>581000</v>
      </c>
    </row>
    <row r="68" spans="1:7" ht="28.8" x14ac:dyDescent="0.55000000000000004">
      <c r="A68" s="12"/>
      <c r="B68" s="13"/>
      <c r="C68" s="10"/>
      <c r="D68" s="10"/>
      <c r="E68" s="7">
        <f>+$I$2+(AEC[[#This Row],[QUANTITE]]*AEC[[#This Row],[PRIX UNITAIRE]])</f>
        <v>0</v>
      </c>
      <c r="F68" s="14"/>
      <c r="G68" s="6">
        <f>+SUM(E$9:$E68)-SUM(F$9:$F68)</f>
        <v>581000</v>
      </c>
    </row>
    <row r="69" spans="1:7" ht="28.8" x14ac:dyDescent="0.55000000000000004">
      <c r="A69" s="12"/>
      <c r="B69" s="13"/>
      <c r="C69" s="10"/>
      <c r="D69" s="10"/>
      <c r="E69" s="7">
        <f>+$I$2+(AEC[[#This Row],[QUANTITE]]*AEC[[#This Row],[PRIX UNITAIRE]])</f>
        <v>0</v>
      </c>
      <c r="F69" s="14"/>
      <c r="G69" s="6">
        <f>+SUM(E$9:$E69)-SUM(F$9:$F69)</f>
        <v>581000</v>
      </c>
    </row>
    <row r="70" spans="1:7" ht="28.8" x14ac:dyDescent="0.55000000000000004">
      <c r="A70" s="12"/>
      <c r="B70" s="13"/>
      <c r="C70" s="10"/>
      <c r="D70" s="10"/>
      <c r="E70" s="7">
        <f>+$I$2+(AEC[[#This Row],[QUANTITE]]*AEC[[#This Row],[PRIX UNITAIRE]])</f>
        <v>0</v>
      </c>
      <c r="F70" s="14"/>
      <c r="G70" s="6">
        <f>+SUM(E$9:$E70)-SUM(F$9:$F70)</f>
        <v>581000</v>
      </c>
    </row>
    <row r="71" spans="1:7" ht="28.8" x14ac:dyDescent="0.55000000000000004">
      <c r="A71" s="12"/>
      <c r="B71" s="13"/>
      <c r="C71" s="10"/>
      <c r="D71" s="10"/>
      <c r="E71" s="7">
        <f>+$I$2+(AEC[[#This Row],[QUANTITE]]*AEC[[#This Row],[PRIX UNITAIRE]])</f>
        <v>0</v>
      </c>
      <c r="F71" s="14"/>
      <c r="G71" s="6">
        <f>+SUM(E$9:$E71)-SUM(F$9:$F71)</f>
        <v>581000</v>
      </c>
    </row>
    <row r="72" spans="1:7" ht="28.8" x14ac:dyDescent="0.55000000000000004">
      <c r="A72" s="12"/>
      <c r="B72" s="13"/>
      <c r="C72" s="10"/>
      <c r="D72" s="10"/>
      <c r="E72" s="7">
        <f>+$I$2+(AEC[[#This Row],[QUANTITE]]*AEC[[#This Row],[PRIX UNITAIRE]])</f>
        <v>0</v>
      </c>
      <c r="F72" s="14"/>
      <c r="G72" s="6">
        <f>+SUM(E$9:$E72)-SUM(F$9:$F72)</f>
        <v>581000</v>
      </c>
    </row>
    <row r="73" spans="1:7" ht="28.8" x14ac:dyDescent="0.55000000000000004">
      <c r="A73" s="56"/>
      <c r="B73" s="57"/>
      <c r="C73" s="58"/>
      <c r="D73" s="58"/>
      <c r="E73" s="59">
        <f>+$I$2+(AEC[[#This Row],[QUANTITE]]*AEC[[#This Row],[PRIX UNITAIRE]])</f>
        <v>0</v>
      </c>
      <c r="F73" s="60"/>
      <c r="G73" s="61">
        <f>+SUM(E$9:$E73)-SUM(F$9:$F73)</f>
        <v>581000</v>
      </c>
    </row>
    <row r="74" spans="1:7" ht="28.8" x14ac:dyDescent="0.55000000000000004">
      <c r="A74" s="56"/>
      <c r="B74" s="57"/>
      <c r="C74" s="58"/>
      <c r="D74" s="58"/>
      <c r="E74" s="59">
        <f>+$I$2+(AEC[[#This Row],[QUANTITE]]*AEC[[#This Row],[PRIX UNITAIRE]])</f>
        <v>0</v>
      </c>
      <c r="F74" s="60"/>
      <c r="G74" s="61">
        <f>+SUM(E$9:$E74)-SUM(F$9:$F74)</f>
        <v>581000</v>
      </c>
    </row>
    <row r="75" spans="1:7" ht="28.8" x14ac:dyDescent="0.55000000000000004">
      <c r="A75" s="56"/>
      <c r="B75" s="57"/>
      <c r="C75" s="58"/>
      <c r="D75" s="58"/>
      <c r="E75" s="59">
        <f>+$I$2+(AEC[[#This Row],[QUANTITE]]*AEC[[#This Row],[PRIX UNITAIRE]])</f>
        <v>0</v>
      </c>
      <c r="F75" s="60"/>
      <c r="G75" s="61">
        <f>+SUM(E$9:$E75)-SUM(F$9:$F75)</f>
        <v>581000</v>
      </c>
    </row>
    <row r="76" spans="1:7" ht="28.8" x14ac:dyDescent="0.55000000000000004">
      <c r="A76" s="56"/>
      <c r="B76" s="57"/>
      <c r="C76" s="58"/>
      <c r="D76" s="58"/>
      <c r="E76" s="59">
        <f>+$I$2+(AEC[[#This Row],[QUANTITE]]*AEC[[#This Row],[PRIX UNITAIRE]])</f>
        <v>0</v>
      </c>
      <c r="F76" s="60"/>
      <c r="G76" s="61">
        <f>+SUM(E$9:$E76)-SUM(F$9:$F76)</f>
        <v>581000</v>
      </c>
    </row>
    <row r="77" spans="1:7" ht="28.8" x14ac:dyDescent="0.55000000000000004">
      <c r="A77" s="56"/>
      <c r="B77" s="57"/>
      <c r="C77" s="58"/>
      <c r="D77" s="58"/>
      <c r="E77" s="59">
        <f>+$I$2+(AEC[[#This Row],[QUANTITE]]*AEC[[#This Row],[PRIX UNITAIRE]])</f>
        <v>0</v>
      </c>
      <c r="F77" s="60"/>
      <c r="G77" s="61">
        <f>+SUM(E$9:$E77)-SUM(F$9:$F77)</f>
        <v>581000</v>
      </c>
    </row>
    <row r="78" spans="1:7" ht="28.8" x14ac:dyDescent="0.55000000000000004">
      <c r="A78" s="56"/>
      <c r="B78" s="57"/>
      <c r="C78" s="58"/>
      <c r="D78" s="58"/>
      <c r="E78" s="59">
        <f>+$I$2+(AEC[[#This Row],[QUANTITE]]*AEC[[#This Row],[PRIX UNITAIRE]])</f>
        <v>0</v>
      </c>
      <c r="F78" s="60"/>
      <c r="G78" s="61">
        <f>+SUM(E$9:$E78)-SUM(F$9:$F78)</f>
        <v>581000</v>
      </c>
    </row>
    <row r="79" spans="1:7" ht="28.8" x14ac:dyDescent="0.55000000000000004">
      <c r="A79" s="56"/>
      <c r="B79" s="57"/>
      <c r="C79" s="58"/>
      <c r="D79" s="58"/>
      <c r="E79" s="59">
        <f>+$I$2+(AEC[[#This Row],[QUANTITE]]*AEC[[#This Row],[PRIX UNITAIRE]])</f>
        <v>0</v>
      </c>
      <c r="F79" s="60"/>
      <c r="G79" s="61">
        <f>+SUM(E$9:$E79)-SUM(F$9:$F79)</f>
        <v>581000</v>
      </c>
    </row>
    <row r="80" spans="1:7" ht="28.8" x14ac:dyDescent="0.55000000000000004">
      <c r="A80" s="56"/>
      <c r="B80" s="57"/>
      <c r="C80" s="58"/>
      <c r="D80" s="58"/>
      <c r="E80" s="59">
        <f>+$I$2+(AEC[[#This Row],[QUANTITE]]*AEC[[#This Row],[PRIX UNITAIRE]])</f>
        <v>0</v>
      </c>
      <c r="F80" s="60"/>
      <c r="G80" s="61">
        <f>+SUM(E$9:$E80)-SUM(F$9:$F80)</f>
        <v>581000</v>
      </c>
    </row>
    <row r="81" spans="1:7" ht="28.8" x14ac:dyDescent="0.55000000000000004">
      <c r="A81" s="56"/>
      <c r="B81" s="57"/>
      <c r="C81" s="58"/>
      <c r="D81" s="58"/>
      <c r="E81" s="59">
        <f>+$I$2+(AEC[[#This Row],[QUANTITE]]*AEC[[#This Row],[PRIX UNITAIRE]])</f>
        <v>0</v>
      </c>
      <c r="F81" s="60"/>
      <c r="G81" s="61">
        <f>+SUM(E$9:$E81)-SUM(F$9:$F81)</f>
        <v>581000</v>
      </c>
    </row>
    <row r="82" spans="1:7" ht="28.8" x14ac:dyDescent="0.55000000000000004">
      <c r="A82" s="56"/>
      <c r="B82" s="57"/>
      <c r="C82" s="58"/>
      <c r="D82" s="58"/>
      <c r="E82" s="59">
        <f>+$I$2+(AEC[[#This Row],[QUANTITE]]*AEC[[#This Row],[PRIX UNITAIRE]])</f>
        <v>0</v>
      </c>
      <c r="F82" s="60"/>
      <c r="G82" s="61">
        <f>+SUM(E$9:$E82)-SUM(F$9:$F82)</f>
        <v>581000</v>
      </c>
    </row>
    <row r="83" spans="1:7" ht="28.8" x14ac:dyDescent="0.55000000000000004">
      <c r="A83" s="56"/>
      <c r="B83" s="57"/>
      <c r="C83" s="58"/>
      <c r="D83" s="58"/>
      <c r="E83" s="59">
        <f>+$I$2+(AEC[[#This Row],[QUANTITE]]*AEC[[#This Row],[PRIX UNITAIRE]])</f>
        <v>0</v>
      </c>
      <c r="F83" s="60"/>
      <c r="G83" s="61">
        <f>+SUM(E$9:$E83)-SUM(F$9:$F83)</f>
        <v>581000</v>
      </c>
    </row>
    <row r="84" spans="1:7" ht="28.8" x14ac:dyDescent="0.55000000000000004">
      <c r="A84" s="56"/>
      <c r="B84" s="57"/>
      <c r="C84" s="58"/>
      <c r="D84" s="58"/>
      <c r="E84" s="59">
        <f>+$I$2+(AEC[[#This Row],[QUANTITE]]*AEC[[#This Row],[PRIX UNITAIRE]])</f>
        <v>0</v>
      </c>
      <c r="F84" s="60"/>
      <c r="G84" s="61">
        <f>+SUM(E$9:$E84)-SUM(F$9:$F84)</f>
        <v>581000</v>
      </c>
    </row>
    <row r="85" spans="1:7" ht="28.8" x14ac:dyDescent="0.55000000000000004">
      <c r="A85" s="56"/>
      <c r="B85" s="57"/>
      <c r="C85" s="58"/>
      <c r="D85" s="58"/>
      <c r="E85" s="59">
        <f>+$I$2+(AEC[[#This Row],[QUANTITE]]*AEC[[#This Row],[PRIX UNITAIRE]])</f>
        <v>0</v>
      </c>
      <c r="F85" s="60"/>
      <c r="G85" s="61">
        <f>+SUM(E$9:$E85)-SUM(F$9:$F85)</f>
        <v>581000</v>
      </c>
    </row>
    <row r="86" spans="1:7" ht="28.8" x14ac:dyDescent="0.55000000000000004">
      <c r="A86" s="56"/>
      <c r="B86" s="57"/>
      <c r="C86" s="58"/>
      <c r="D86" s="58"/>
      <c r="E86" s="59">
        <f>+$I$2+(AEC[[#This Row],[QUANTITE]]*AEC[[#This Row],[PRIX UNITAIRE]])</f>
        <v>0</v>
      </c>
      <c r="F86" s="60"/>
      <c r="G86" s="61">
        <f>+SUM(E$9:$E86)-SUM(F$9:$F86)</f>
        <v>581000</v>
      </c>
    </row>
    <row r="87" spans="1:7" ht="28.8" x14ac:dyDescent="0.55000000000000004">
      <c r="A87" s="56"/>
      <c r="B87" s="57"/>
      <c r="C87" s="58"/>
      <c r="D87" s="58"/>
      <c r="E87" s="59">
        <f>+$I$2+(AEC[[#This Row],[QUANTITE]]*AEC[[#This Row],[PRIX UNITAIRE]])</f>
        <v>0</v>
      </c>
      <c r="F87" s="60"/>
      <c r="G87" s="61">
        <f>+SUM(E$9:$E87)-SUM(F$9:$F87)</f>
        <v>581000</v>
      </c>
    </row>
    <row r="88" spans="1:7" ht="28.8" x14ac:dyDescent="0.55000000000000004">
      <c r="A88" s="56"/>
      <c r="B88" s="57"/>
      <c r="C88" s="58"/>
      <c r="D88" s="58"/>
      <c r="E88" s="59">
        <f>+$I$2+(AEC[[#This Row],[QUANTITE]]*AEC[[#This Row],[PRIX UNITAIRE]])</f>
        <v>0</v>
      </c>
      <c r="F88" s="60"/>
      <c r="G88" s="61">
        <f>+SUM(E$9:$E88)-SUM(F$9:$F88)</f>
        <v>581000</v>
      </c>
    </row>
    <row r="89" spans="1:7" ht="28.8" x14ac:dyDescent="0.55000000000000004">
      <c r="A89" s="56"/>
      <c r="B89" s="57"/>
      <c r="C89" s="58"/>
      <c r="D89" s="58"/>
      <c r="E89" s="59">
        <f>+$I$2+(AEC[[#This Row],[QUANTITE]]*AEC[[#This Row],[PRIX UNITAIRE]])</f>
        <v>0</v>
      </c>
      <c r="F89" s="60"/>
      <c r="G89" s="61">
        <f>+SUM(E$9:$E89)-SUM(F$9:$F89)</f>
        <v>581000</v>
      </c>
    </row>
    <row r="90" spans="1:7" ht="28.8" x14ac:dyDescent="0.55000000000000004">
      <c r="A90" s="56"/>
      <c r="B90" s="57"/>
      <c r="C90" s="58"/>
      <c r="D90" s="58"/>
      <c r="E90" s="59">
        <f>+$I$2+(AEC[[#This Row],[QUANTITE]]*AEC[[#This Row],[PRIX UNITAIRE]])</f>
        <v>0</v>
      </c>
      <c r="F90" s="60"/>
      <c r="G90" s="61">
        <f>+SUM(E$9:$E90)-SUM(F$9:$F90)</f>
        <v>581000</v>
      </c>
    </row>
    <row r="91" spans="1:7" ht="28.8" x14ac:dyDescent="0.55000000000000004">
      <c r="A91" s="56"/>
      <c r="B91" s="57"/>
      <c r="C91" s="58"/>
      <c r="D91" s="58"/>
      <c r="E91" s="59">
        <f>+$I$2+(AEC[[#This Row],[QUANTITE]]*AEC[[#This Row],[PRIX UNITAIRE]])</f>
        <v>0</v>
      </c>
      <c r="F91" s="60"/>
      <c r="G91" s="61">
        <f>+SUM(E$9:$E91)-SUM(F$9:$F91)</f>
        <v>581000</v>
      </c>
    </row>
    <row r="92" spans="1:7" ht="28.8" x14ac:dyDescent="0.55000000000000004">
      <c r="A92" s="56"/>
      <c r="B92" s="57"/>
      <c r="C92" s="58"/>
      <c r="D92" s="58"/>
      <c r="E92" s="59">
        <f>+$I$2+(AEC[[#This Row],[QUANTITE]]*AEC[[#This Row],[PRIX UNITAIRE]])</f>
        <v>0</v>
      </c>
      <c r="F92" s="60"/>
      <c r="G92" s="61">
        <f>+SUM(E$9:$E92)-SUM(F$9:$F92)</f>
        <v>581000</v>
      </c>
    </row>
    <row r="93" spans="1:7" ht="28.8" x14ac:dyDescent="0.55000000000000004">
      <c r="A93" s="56"/>
      <c r="B93" s="57"/>
      <c r="C93" s="58"/>
      <c r="D93" s="58"/>
      <c r="E93" s="59">
        <f>+$I$2+(AEC[[#This Row],[QUANTITE]]*AEC[[#This Row],[PRIX UNITAIRE]])</f>
        <v>0</v>
      </c>
      <c r="F93" s="60"/>
      <c r="G93" s="61">
        <f>+SUM(E$9:$E93)-SUM(F$9:$F93)</f>
        <v>581000</v>
      </c>
    </row>
    <row r="94" spans="1:7" ht="28.8" x14ac:dyDescent="0.55000000000000004">
      <c r="A94" s="56"/>
      <c r="B94" s="57"/>
      <c r="C94" s="58"/>
      <c r="D94" s="58"/>
      <c r="E94" s="59">
        <f>+$I$2+(AEC[[#This Row],[QUANTITE]]*AEC[[#This Row],[PRIX UNITAIRE]])</f>
        <v>0</v>
      </c>
      <c r="F94" s="60"/>
      <c r="G94" s="61">
        <f>+SUM(E$9:$E94)-SUM(F$9:$F94)</f>
        <v>581000</v>
      </c>
    </row>
    <row r="95" spans="1:7" ht="28.8" x14ac:dyDescent="0.55000000000000004">
      <c r="A95" s="56"/>
      <c r="B95" s="57"/>
      <c r="C95" s="58"/>
      <c r="D95" s="58"/>
      <c r="E95" s="59">
        <f>+$I$2+(AEC[[#This Row],[QUANTITE]]*AEC[[#This Row],[PRIX UNITAIRE]])</f>
        <v>0</v>
      </c>
      <c r="F95" s="60"/>
      <c r="G95" s="61">
        <f>+SUM(E$9:$E95)-SUM(F$9:$F95)</f>
        <v>581000</v>
      </c>
    </row>
    <row r="96" spans="1:7" ht="28.8" x14ac:dyDescent="0.55000000000000004">
      <c r="A96" s="56"/>
      <c r="B96" s="57"/>
      <c r="C96" s="58"/>
      <c r="D96" s="58"/>
      <c r="E96" s="59">
        <f>+$I$2+(AEC[[#This Row],[QUANTITE]]*AEC[[#This Row],[PRIX UNITAIRE]])</f>
        <v>0</v>
      </c>
      <c r="F96" s="60"/>
      <c r="G96" s="61">
        <f>+SUM(E$9:$E96)-SUM(F$9:$F96)</f>
        <v>581000</v>
      </c>
    </row>
    <row r="97" spans="1:7" ht="28.8" x14ac:dyDescent="0.55000000000000004">
      <c r="A97" s="56"/>
      <c r="B97" s="57"/>
      <c r="C97" s="58"/>
      <c r="D97" s="58"/>
      <c r="E97" s="59">
        <f>+$I$2+(AEC[[#This Row],[QUANTITE]]*AEC[[#This Row],[PRIX UNITAIRE]])</f>
        <v>0</v>
      </c>
      <c r="F97" s="60"/>
      <c r="G97" s="61">
        <f>+SUM(E$9:$E97)-SUM(F$9:$F97)</f>
        <v>581000</v>
      </c>
    </row>
    <row r="98" spans="1:7" ht="28.8" x14ac:dyDescent="0.55000000000000004">
      <c r="A98" s="56"/>
      <c r="B98" s="57"/>
      <c r="C98" s="58"/>
      <c r="D98" s="58"/>
      <c r="E98" s="59">
        <f>+$I$2+(AEC[[#This Row],[QUANTITE]]*AEC[[#This Row],[PRIX UNITAIRE]])</f>
        <v>0</v>
      </c>
      <c r="F98" s="60"/>
      <c r="G98" s="61">
        <f>+SUM(E$9:$E98)-SUM(F$9:$F98)</f>
        <v>581000</v>
      </c>
    </row>
    <row r="99" spans="1:7" ht="28.8" x14ac:dyDescent="0.55000000000000004">
      <c r="A99" s="56"/>
      <c r="B99" s="57"/>
      <c r="C99" s="58"/>
      <c r="D99" s="58"/>
      <c r="E99" s="59">
        <f>+$I$2+(AEC[[#This Row],[QUANTITE]]*AEC[[#This Row],[PRIX UNITAIRE]])</f>
        <v>0</v>
      </c>
      <c r="F99" s="60"/>
      <c r="G99" s="61">
        <f>+SUM(E$9:$E99)-SUM(F$9:$F99)</f>
        <v>581000</v>
      </c>
    </row>
    <row r="100" spans="1:7" ht="28.8" x14ac:dyDescent="0.55000000000000004">
      <c r="A100" s="56"/>
      <c r="B100" s="57"/>
      <c r="C100" s="58"/>
      <c r="D100" s="58"/>
      <c r="E100" s="59">
        <f>+$I$2+(AEC[[#This Row],[QUANTITE]]*AEC[[#This Row],[PRIX UNITAIRE]])</f>
        <v>0</v>
      </c>
      <c r="F100" s="60"/>
      <c r="G100" s="61">
        <f>+SUM(E$9:$E100)-SUM(F$9:$F100)</f>
        <v>581000</v>
      </c>
    </row>
    <row r="101" spans="1:7" ht="28.8" x14ac:dyDescent="0.55000000000000004">
      <c r="A101" s="56"/>
      <c r="B101" s="57"/>
      <c r="C101" s="58"/>
      <c r="D101" s="58"/>
      <c r="E101" s="59">
        <f>+$I$2+(AEC[[#This Row],[QUANTITE]]*AEC[[#This Row],[PRIX UNITAIRE]])</f>
        <v>0</v>
      </c>
      <c r="F101" s="60"/>
      <c r="G101" s="61">
        <f>+SUM(E$9:$E101)-SUM(F$9:$F101)</f>
        <v>581000</v>
      </c>
    </row>
    <row r="102" spans="1:7" ht="28.8" x14ac:dyDescent="0.55000000000000004">
      <c r="A102" s="56"/>
      <c r="B102" s="57"/>
      <c r="C102" s="58"/>
      <c r="D102" s="58"/>
      <c r="E102" s="59">
        <f>+$I$2+(AEC[[#This Row],[QUANTITE]]*AEC[[#This Row],[PRIX UNITAIRE]])</f>
        <v>0</v>
      </c>
      <c r="F102" s="60"/>
      <c r="G102" s="61">
        <f>+SUM(E$9:$E102)-SUM(F$9:$F102)</f>
        <v>581000</v>
      </c>
    </row>
    <row r="103" spans="1:7" ht="28.8" x14ac:dyDescent="0.55000000000000004">
      <c r="A103" s="56"/>
      <c r="B103" s="57"/>
      <c r="C103" s="58"/>
      <c r="D103" s="58"/>
      <c r="E103" s="59">
        <f>+$I$2+(AEC[[#This Row],[QUANTITE]]*AEC[[#This Row],[PRIX UNITAIRE]])</f>
        <v>0</v>
      </c>
      <c r="F103" s="60"/>
      <c r="G103" s="61">
        <f>+SUM(E$9:$E103)-SUM(F$9:$F103)</f>
        <v>581000</v>
      </c>
    </row>
    <row r="104" spans="1:7" ht="28.8" x14ac:dyDescent="0.55000000000000004">
      <c r="A104" s="56"/>
      <c r="B104" s="57"/>
      <c r="C104" s="58"/>
      <c r="D104" s="58"/>
      <c r="E104" s="59">
        <f>+$I$2+(AEC[[#This Row],[QUANTITE]]*AEC[[#This Row],[PRIX UNITAIRE]])</f>
        <v>0</v>
      </c>
      <c r="F104" s="60"/>
      <c r="G104" s="61">
        <f>+SUM(E$9:$E104)-SUM(F$9:$F104)</f>
        <v>581000</v>
      </c>
    </row>
    <row r="105" spans="1:7" ht="28.8" x14ac:dyDescent="0.55000000000000004">
      <c r="A105" s="56"/>
      <c r="B105" s="57"/>
      <c r="C105" s="58"/>
      <c r="D105" s="58"/>
      <c r="E105" s="59">
        <f>+$I$2+(AEC[[#This Row],[QUANTITE]]*AEC[[#This Row],[PRIX UNITAIRE]])</f>
        <v>0</v>
      </c>
      <c r="F105" s="60"/>
      <c r="G105" s="61">
        <f>+SUM(E$9:$E105)-SUM(F$9:$F105)</f>
        <v>581000</v>
      </c>
    </row>
    <row r="106" spans="1:7" ht="28.8" x14ac:dyDescent="0.55000000000000004">
      <c r="A106" s="56"/>
      <c r="B106" s="57"/>
      <c r="C106" s="58"/>
      <c r="D106" s="58"/>
      <c r="E106" s="59">
        <f>+$I$2+(AEC[[#This Row],[QUANTITE]]*AEC[[#This Row],[PRIX UNITAIRE]])</f>
        <v>0</v>
      </c>
      <c r="F106" s="60"/>
      <c r="G106" s="61">
        <f>+SUM(E$9:$E106)-SUM(F$9:$F106)</f>
        <v>581000</v>
      </c>
    </row>
    <row r="107" spans="1:7" ht="28.8" x14ac:dyDescent="0.55000000000000004">
      <c r="A107" s="56"/>
      <c r="B107" s="57"/>
      <c r="C107" s="58"/>
      <c r="D107" s="58"/>
      <c r="E107" s="59">
        <f>+$I$2+(AEC[[#This Row],[QUANTITE]]*AEC[[#This Row],[PRIX UNITAIRE]])</f>
        <v>0</v>
      </c>
      <c r="F107" s="60"/>
      <c r="G107" s="61">
        <f>+SUM(E$9:$E107)-SUM(F$9:$F107)</f>
        <v>581000</v>
      </c>
    </row>
    <row r="108" spans="1:7" ht="28.8" x14ac:dyDescent="0.55000000000000004">
      <c r="A108" s="56"/>
      <c r="B108" s="57"/>
      <c r="C108" s="58"/>
      <c r="D108" s="58"/>
      <c r="E108" s="59">
        <f>+$I$2+(AEC[[#This Row],[QUANTITE]]*AEC[[#This Row],[PRIX UNITAIRE]])</f>
        <v>0</v>
      </c>
      <c r="F108" s="60"/>
      <c r="G108" s="61">
        <f>+SUM(E$9:$E108)-SUM(F$9:$F108)</f>
        <v>581000</v>
      </c>
    </row>
    <row r="109" spans="1:7" ht="28.8" x14ac:dyDescent="0.55000000000000004">
      <c r="A109" s="56"/>
      <c r="B109" s="57"/>
      <c r="C109" s="58"/>
      <c r="D109" s="58"/>
      <c r="E109" s="59">
        <f>+$I$2+(AEC[[#This Row],[QUANTITE]]*AEC[[#This Row],[PRIX UNITAIRE]])</f>
        <v>0</v>
      </c>
      <c r="F109" s="60"/>
      <c r="G109" s="61">
        <f>+SUM(E$9:$E109)-SUM(F$9:$F109)</f>
        <v>581000</v>
      </c>
    </row>
    <row r="110" spans="1:7" ht="28.8" x14ac:dyDescent="0.55000000000000004">
      <c r="A110" s="56"/>
      <c r="B110" s="57"/>
      <c r="C110" s="58"/>
      <c r="D110" s="58"/>
      <c r="E110" s="59">
        <f>+$I$2+(AEC[[#This Row],[QUANTITE]]*AEC[[#This Row],[PRIX UNITAIRE]])</f>
        <v>0</v>
      </c>
      <c r="F110" s="60"/>
      <c r="G110" s="61">
        <f>+SUM(E$9:$E110)-SUM(F$9:$F110)</f>
        <v>581000</v>
      </c>
    </row>
    <row r="111" spans="1:7" ht="28.8" x14ac:dyDescent="0.55000000000000004">
      <c r="A111" s="56"/>
      <c r="B111" s="57"/>
      <c r="C111" s="58"/>
      <c r="D111" s="58"/>
      <c r="E111" s="59">
        <f>+$I$2+(AEC[[#This Row],[QUANTITE]]*AEC[[#This Row],[PRIX UNITAIRE]])</f>
        <v>0</v>
      </c>
      <c r="F111" s="60"/>
      <c r="G111" s="61">
        <f>+SUM(E$9:$E111)-SUM(F$9:$F111)</f>
        <v>581000</v>
      </c>
    </row>
    <row r="112" spans="1:7" ht="28.8" x14ac:dyDescent="0.55000000000000004">
      <c r="A112" s="56"/>
      <c r="B112" s="57"/>
      <c r="C112" s="58"/>
      <c r="D112" s="58"/>
      <c r="E112" s="59">
        <f>+$I$2+(AEC[[#This Row],[QUANTITE]]*AEC[[#This Row],[PRIX UNITAIRE]])</f>
        <v>0</v>
      </c>
      <c r="F112" s="60"/>
      <c r="G112" s="61">
        <f>+SUM(E$9:$E112)-SUM(F$9:$F112)</f>
        <v>581000</v>
      </c>
    </row>
    <row r="113" spans="1:7" ht="28.8" x14ac:dyDescent="0.55000000000000004">
      <c r="A113" s="56"/>
      <c r="B113" s="57"/>
      <c r="C113" s="58"/>
      <c r="D113" s="58"/>
      <c r="E113" s="59">
        <f>+$I$2+(AEC[[#This Row],[QUANTITE]]*AEC[[#This Row],[PRIX UNITAIRE]])</f>
        <v>0</v>
      </c>
      <c r="F113" s="60"/>
      <c r="G113" s="61">
        <f>+SUM(E$9:$E113)-SUM(F$9:$F113)</f>
        <v>581000</v>
      </c>
    </row>
    <row r="114" spans="1:7" ht="28.8" x14ac:dyDescent="0.55000000000000004">
      <c r="A114" s="56"/>
      <c r="B114" s="57"/>
      <c r="C114" s="58"/>
      <c r="D114" s="58"/>
      <c r="E114" s="59">
        <f>+$I$2+(AEC[[#This Row],[QUANTITE]]*AEC[[#This Row],[PRIX UNITAIRE]])</f>
        <v>0</v>
      </c>
      <c r="F114" s="60"/>
      <c r="G114" s="61">
        <f>+SUM(E$9:$E114)-SUM(F$9:$F114)</f>
        <v>581000</v>
      </c>
    </row>
    <row r="115" spans="1:7" ht="28.8" x14ac:dyDescent="0.55000000000000004">
      <c r="A115" s="56"/>
      <c r="B115" s="57"/>
      <c r="C115" s="58"/>
      <c r="D115" s="58"/>
      <c r="E115" s="59">
        <f>+$I$2+(AEC[[#This Row],[QUANTITE]]*AEC[[#This Row],[PRIX UNITAIRE]])</f>
        <v>0</v>
      </c>
      <c r="F115" s="60"/>
      <c r="G115" s="61">
        <f>+SUM(E$9:$E115)-SUM(F$9:$F115)</f>
        <v>581000</v>
      </c>
    </row>
    <row r="116" spans="1:7" ht="28.8" x14ac:dyDescent="0.55000000000000004">
      <c r="A116" s="56"/>
      <c r="B116" s="57"/>
      <c r="C116" s="58"/>
      <c r="D116" s="58"/>
      <c r="E116" s="59">
        <f>+$I$2+(AEC[[#This Row],[QUANTITE]]*AEC[[#This Row],[PRIX UNITAIRE]])</f>
        <v>0</v>
      </c>
      <c r="F116" s="60"/>
      <c r="G116" s="61">
        <f>+SUM(E$9:$E116)-SUM(F$9:$F116)</f>
        <v>581000</v>
      </c>
    </row>
    <row r="117" spans="1:7" ht="28.8" x14ac:dyDescent="0.55000000000000004">
      <c r="A117" s="56"/>
      <c r="B117" s="57"/>
      <c r="C117" s="58"/>
      <c r="D117" s="58"/>
      <c r="E117" s="59">
        <f>+$I$2+(AEC[[#This Row],[QUANTITE]]*AEC[[#This Row],[PRIX UNITAIRE]])</f>
        <v>0</v>
      </c>
      <c r="F117" s="60"/>
      <c r="G117" s="61">
        <f>+SUM(E$9:$E117)-SUM(F$9:$F117)</f>
        <v>581000</v>
      </c>
    </row>
    <row r="118" spans="1:7" ht="28.8" x14ac:dyDescent="0.55000000000000004">
      <c r="A118" s="56"/>
      <c r="B118" s="57"/>
      <c r="C118" s="58"/>
      <c r="D118" s="58"/>
      <c r="E118" s="59">
        <f>+$I$2+(AEC[[#This Row],[QUANTITE]]*AEC[[#This Row],[PRIX UNITAIRE]])</f>
        <v>0</v>
      </c>
      <c r="F118" s="60"/>
      <c r="G118" s="61">
        <f>+SUM(E$9:$E118)-SUM(F$9:$F118)</f>
        <v>581000</v>
      </c>
    </row>
    <row r="119" spans="1:7" ht="28.8" x14ac:dyDescent="0.55000000000000004">
      <c r="A119" s="56"/>
      <c r="B119" s="57"/>
      <c r="C119" s="58"/>
      <c r="D119" s="58"/>
      <c r="E119" s="59">
        <f>+$I$2+(AEC[[#This Row],[QUANTITE]]*AEC[[#This Row],[PRIX UNITAIRE]])</f>
        <v>0</v>
      </c>
      <c r="F119" s="60"/>
      <c r="G119" s="61">
        <f>+SUM(E$9:$E119)-SUM(F$9:$F119)</f>
        <v>581000</v>
      </c>
    </row>
    <row r="120" spans="1:7" ht="28.8" x14ac:dyDescent="0.55000000000000004">
      <c r="A120" s="56"/>
      <c r="B120" s="57"/>
      <c r="C120" s="58"/>
      <c r="D120" s="58"/>
      <c r="E120" s="59">
        <f>+$I$2+(AEC[[#This Row],[QUANTITE]]*AEC[[#This Row],[PRIX UNITAIRE]])</f>
        <v>0</v>
      </c>
      <c r="F120" s="60"/>
      <c r="G120" s="61">
        <f>+SUM(E$9:$E120)-SUM(F$9:$F120)</f>
        <v>581000</v>
      </c>
    </row>
    <row r="121" spans="1:7" ht="28.8" x14ac:dyDescent="0.55000000000000004">
      <c r="A121" s="56"/>
      <c r="B121" s="57"/>
      <c r="C121" s="58"/>
      <c r="D121" s="58"/>
      <c r="E121" s="59">
        <f>+$I$2+(AEC[[#This Row],[QUANTITE]]*AEC[[#This Row],[PRIX UNITAIRE]])</f>
        <v>0</v>
      </c>
      <c r="F121" s="60"/>
      <c r="G121" s="61">
        <f>+SUM(E$9:$E121)-SUM(F$9:$F121)</f>
        <v>581000</v>
      </c>
    </row>
    <row r="122" spans="1:7" ht="28.8" x14ac:dyDescent="0.55000000000000004">
      <c r="A122" s="56"/>
      <c r="B122" s="57"/>
      <c r="C122" s="58"/>
      <c r="D122" s="58"/>
      <c r="E122" s="59">
        <f>+$I$2+(AEC[[#This Row],[QUANTITE]]*AEC[[#This Row],[PRIX UNITAIRE]])</f>
        <v>0</v>
      </c>
      <c r="F122" s="60"/>
      <c r="G122" s="61">
        <f>+SUM(E$9:$E122)-SUM(F$9:$F122)</f>
        <v>581000</v>
      </c>
    </row>
  </sheetData>
  <sheetProtection selectLockedCells="1" autoFilter="0"/>
  <mergeCells count="1">
    <mergeCell ref="B6:C6"/>
  </mergeCells>
  <conditionalFormatting sqref="G4">
    <cfRule type="cellIs" dxfId="520" priority="2" operator="lessThan">
      <formula>0</formula>
    </cfRule>
    <cfRule type="cellIs" dxfId="519" priority="3" operator="greaterThan">
      <formula>0</formula>
    </cfRule>
  </conditionalFormatting>
  <conditionalFormatting sqref="B9:B122">
    <cfRule type="expression" dxfId="518" priority="5">
      <formula>$F9</formula>
    </cfRule>
  </conditionalFormatting>
  <dataValidations count="1">
    <dataValidation type="date" operator="greaterThan" allowBlank="1" showInputMessage="1" showErrorMessage="1" error="VEILLEZ ENTRER UNE DATE VALIDE" sqref="A9:A12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/>
  <dimension ref="A1:I72"/>
  <sheetViews>
    <sheetView showGridLines="0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9.21875" style="1" bestFit="1" customWidth="1"/>
    <col min="2" max="2" width="63.5546875" style="1" bestFit="1" customWidth="1"/>
    <col min="3" max="3" width="19.77734375" style="1" bestFit="1" customWidth="1"/>
    <col min="4" max="4" width="43.777343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+SUM(AYOKI[TOTAL MONTANT])</f>
        <v>550000</v>
      </c>
      <c r="F4" s="41">
        <f>+SUM(AYOKI[VERSEMENT])</f>
        <v>0</v>
      </c>
      <c r="G4" s="130">
        <f>+E4-F4</f>
        <v>550000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483</v>
      </c>
      <c r="C6" s="169"/>
      <c r="D6" s="132"/>
      <c r="E6" s="135" t="b">
        <v>1</v>
      </c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45663</v>
      </c>
      <c r="B9" s="13" t="s">
        <v>481</v>
      </c>
      <c r="C9" s="10">
        <v>1</v>
      </c>
      <c r="D9" s="10">
        <v>370000</v>
      </c>
      <c r="E9" s="7">
        <f>+$I$2+(AYOKI[[#This Row],[QUANTITE]]*AYOKI[[#This Row],[PRIX UNITAIRE]])</f>
        <v>370000</v>
      </c>
      <c r="F9" s="20"/>
      <c r="G9" s="6">
        <f>+SUM(E$9:$E9)-SUM(F$9:$F9)</f>
        <v>370000</v>
      </c>
    </row>
    <row r="10" spans="1:9" ht="28.8" x14ac:dyDescent="0.55000000000000004">
      <c r="A10" s="12">
        <v>45679</v>
      </c>
      <c r="B10" s="13" t="s">
        <v>482</v>
      </c>
      <c r="C10" s="10">
        <v>2</v>
      </c>
      <c r="D10" s="10">
        <v>90000</v>
      </c>
      <c r="E10" s="7">
        <f>+$I$2+(AYOKI[[#This Row],[QUANTITE]]*AYOKI[[#This Row],[PRIX UNITAIRE]])</f>
        <v>180000</v>
      </c>
      <c r="F10" s="21"/>
      <c r="G10" s="6">
        <f>+SUM(E$9:$E10)-SUM(F$9:$F10)</f>
        <v>550000</v>
      </c>
    </row>
    <row r="11" spans="1:9" ht="28.8" x14ac:dyDescent="0.55000000000000004">
      <c r="A11" s="12"/>
      <c r="B11" s="13"/>
      <c r="C11" s="10"/>
      <c r="D11" s="10"/>
      <c r="E11" s="7">
        <f>+$I$2+(AYOKI[[#This Row],[QUANTITE]]*AYOKI[[#This Row],[PRIX UNITAIRE]])</f>
        <v>0</v>
      </c>
      <c r="F11" s="14"/>
      <c r="G11" s="6">
        <f>+SUM(E$9:$E11)-SUM(F$9:$F11)</f>
        <v>550000</v>
      </c>
    </row>
    <row r="12" spans="1:9" ht="28.8" x14ac:dyDescent="0.55000000000000004">
      <c r="A12" s="12"/>
      <c r="B12" s="13"/>
      <c r="C12" s="10"/>
      <c r="D12" s="10"/>
      <c r="E12" s="7">
        <f>+$I$2+(AYOKI[[#This Row],[QUANTITE]]*AYOKI[[#This Row],[PRIX UNITAIRE]])</f>
        <v>0</v>
      </c>
      <c r="F12" s="14"/>
      <c r="G12" s="6">
        <f>+SUM(E$9:$E12)-SUM(F$9:$F12)</f>
        <v>550000</v>
      </c>
    </row>
    <row r="13" spans="1:9" ht="28.8" x14ac:dyDescent="0.55000000000000004">
      <c r="A13" s="12"/>
      <c r="B13" s="13"/>
      <c r="C13" s="10"/>
      <c r="D13" s="10"/>
      <c r="E13" s="7">
        <f>+$I$2+(AYOKI[[#This Row],[QUANTITE]]*AYOKI[[#This Row],[PRIX UNITAIRE]])</f>
        <v>0</v>
      </c>
      <c r="F13" s="14"/>
      <c r="G13" s="6">
        <f>+SUM(E$9:$E13)-SUM(F$9:$F13)</f>
        <v>550000</v>
      </c>
    </row>
    <row r="14" spans="1:9" ht="28.8" x14ac:dyDescent="0.55000000000000004">
      <c r="A14" s="12"/>
      <c r="B14" s="13"/>
      <c r="C14" s="10"/>
      <c r="D14" s="10"/>
      <c r="E14" s="7">
        <f>+$I$2+(AYOKI[[#This Row],[QUANTITE]]*AYOKI[[#This Row],[PRIX UNITAIRE]])</f>
        <v>0</v>
      </c>
      <c r="F14" s="14"/>
      <c r="G14" s="6">
        <f>+SUM(E$9:$E14)-SUM(F$9:$F14)</f>
        <v>550000</v>
      </c>
    </row>
    <row r="15" spans="1:9" ht="28.8" x14ac:dyDescent="0.55000000000000004">
      <c r="A15" s="12"/>
      <c r="B15" s="13"/>
      <c r="C15" s="10"/>
      <c r="D15" s="10"/>
      <c r="E15" s="7">
        <f>+$I$2+(AYOKI[[#This Row],[QUANTITE]]*AYOKI[[#This Row],[PRIX UNITAIRE]])</f>
        <v>0</v>
      </c>
      <c r="F15" s="14"/>
      <c r="G15" s="6">
        <f>+SUM(E$9:$E15)-SUM(F$9:$F15)</f>
        <v>550000</v>
      </c>
    </row>
    <row r="16" spans="1:9" ht="28.8" x14ac:dyDescent="0.55000000000000004">
      <c r="A16" s="12"/>
      <c r="B16" s="13"/>
      <c r="C16" s="10"/>
      <c r="D16" s="10"/>
      <c r="E16" s="7">
        <f>+$I$2+(AYOKI[[#This Row],[QUANTITE]]*AYOKI[[#This Row],[PRIX UNITAIRE]])</f>
        <v>0</v>
      </c>
      <c r="F16" s="14"/>
      <c r="G16" s="6">
        <f>+SUM(E$9:$E16)-SUM(F$9:$F16)</f>
        <v>550000</v>
      </c>
    </row>
    <row r="17" spans="1:7" ht="28.8" x14ac:dyDescent="0.55000000000000004">
      <c r="A17" s="12"/>
      <c r="B17" s="13"/>
      <c r="C17" s="10"/>
      <c r="D17" s="10"/>
      <c r="E17" s="7">
        <f>+$I$2+(AYOKI[[#This Row],[QUANTITE]]*AYOKI[[#This Row],[PRIX UNITAIRE]])</f>
        <v>0</v>
      </c>
      <c r="F17" s="14"/>
      <c r="G17" s="6">
        <f>+SUM(E$9:$E17)-SUM(F$9:$F17)</f>
        <v>550000</v>
      </c>
    </row>
    <row r="18" spans="1:7" ht="28.8" x14ac:dyDescent="0.55000000000000004">
      <c r="A18" s="12"/>
      <c r="B18" s="13"/>
      <c r="C18" s="10"/>
      <c r="D18" s="10"/>
      <c r="E18" s="7">
        <f>+$I$2+(AYOKI[[#This Row],[QUANTITE]]*AYOKI[[#This Row],[PRIX UNITAIRE]])</f>
        <v>0</v>
      </c>
      <c r="F18" s="14"/>
      <c r="G18" s="6">
        <f>+SUM(E$9:$E18)-SUM(F$9:$F18)</f>
        <v>550000</v>
      </c>
    </row>
    <row r="19" spans="1:7" ht="28.8" x14ac:dyDescent="0.55000000000000004">
      <c r="A19" s="12"/>
      <c r="B19" s="13"/>
      <c r="C19" s="10"/>
      <c r="D19" s="10"/>
      <c r="E19" s="7">
        <f>+$I$2+(AYOKI[[#This Row],[QUANTITE]]*AYOKI[[#This Row],[PRIX UNITAIRE]])</f>
        <v>0</v>
      </c>
      <c r="F19" s="14"/>
      <c r="G19" s="6">
        <f>+SUM(E$9:$E19)-SUM(F$9:$F19)</f>
        <v>550000</v>
      </c>
    </row>
    <row r="20" spans="1:7" ht="28.8" x14ac:dyDescent="0.55000000000000004">
      <c r="A20" s="12"/>
      <c r="B20" s="13"/>
      <c r="C20" s="10"/>
      <c r="D20" s="10"/>
      <c r="E20" s="7">
        <f>+$I$2+(AYOKI[[#This Row],[QUANTITE]]*AYOKI[[#This Row],[PRIX UNITAIRE]])</f>
        <v>0</v>
      </c>
      <c r="F20" s="14"/>
      <c r="G20" s="6">
        <f>+SUM(E$9:$E20)-SUM(F$9:$F20)</f>
        <v>550000</v>
      </c>
    </row>
    <row r="21" spans="1:7" ht="28.8" x14ac:dyDescent="0.55000000000000004">
      <c r="A21" s="12"/>
      <c r="B21" s="13"/>
      <c r="C21" s="10"/>
      <c r="D21" s="10"/>
      <c r="E21" s="7">
        <f>+$I$2+(AYOKI[[#This Row],[QUANTITE]]*AYOKI[[#This Row],[PRIX UNITAIRE]])</f>
        <v>0</v>
      </c>
      <c r="F21" s="14"/>
      <c r="G21" s="6">
        <f>+SUM(E$9:$E21)-SUM(F$9:$F21)</f>
        <v>550000</v>
      </c>
    </row>
    <row r="22" spans="1:7" ht="28.8" x14ac:dyDescent="0.55000000000000004">
      <c r="A22" s="12"/>
      <c r="B22" s="13"/>
      <c r="C22" s="10"/>
      <c r="D22" s="10"/>
      <c r="E22" s="7">
        <f>+$I$2+(AYOKI[[#This Row],[QUANTITE]]*AYOKI[[#This Row],[PRIX UNITAIRE]])</f>
        <v>0</v>
      </c>
      <c r="F22" s="14"/>
      <c r="G22" s="6">
        <f>+SUM(E$9:$E22)-SUM(F$9:$F22)</f>
        <v>550000</v>
      </c>
    </row>
    <row r="23" spans="1:7" ht="28.8" x14ac:dyDescent="0.55000000000000004">
      <c r="A23" s="12"/>
      <c r="B23" s="13"/>
      <c r="C23" s="10"/>
      <c r="D23" s="10"/>
      <c r="E23" s="7">
        <f>+$I$2+(AYOKI[[#This Row],[QUANTITE]]*AYOKI[[#This Row],[PRIX UNITAIRE]])</f>
        <v>0</v>
      </c>
      <c r="F23" s="14"/>
      <c r="G23" s="6">
        <f>+SUM(E$9:$E23)-SUM(F$9:$F23)</f>
        <v>550000</v>
      </c>
    </row>
    <row r="24" spans="1:7" ht="28.8" x14ac:dyDescent="0.55000000000000004">
      <c r="A24" s="12"/>
      <c r="B24" s="13"/>
      <c r="C24" s="10"/>
      <c r="D24" s="10"/>
      <c r="E24" s="7">
        <f>+$I$2+(AYOKI[[#This Row],[QUANTITE]]*AYOKI[[#This Row],[PRIX UNITAIRE]])</f>
        <v>0</v>
      </c>
      <c r="F24" s="14"/>
      <c r="G24" s="6">
        <f>+SUM(E$9:$E24)-SUM(F$9:$F24)</f>
        <v>550000</v>
      </c>
    </row>
    <row r="25" spans="1:7" ht="28.8" x14ac:dyDescent="0.55000000000000004">
      <c r="A25" s="12"/>
      <c r="B25" s="13"/>
      <c r="C25" s="10"/>
      <c r="D25" s="10"/>
      <c r="E25" s="7">
        <f>+$I$2+(AYOKI[[#This Row],[QUANTITE]]*AYOKI[[#This Row],[PRIX UNITAIRE]])</f>
        <v>0</v>
      </c>
      <c r="F25" s="14"/>
      <c r="G25" s="6">
        <f>+SUM(E$9:$E25)-SUM(F$9:$F25)</f>
        <v>550000</v>
      </c>
    </row>
    <row r="26" spans="1:7" ht="28.8" x14ac:dyDescent="0.55000000000000004">
      <c r="A26" s="12"/>
      <c r="B26" s="13"/>
      <c r="C26" s="10"/>
      <c r="D26" s="10"/>
      <c r="E26" s="7">
        <f>+$I$2+(AYOKI[[#This Row],[QUANTITE]]*AYOKI[[#This Row],[PRIX UNITAIRE]])</f>
        <v>0</v>
      </c>
      <c r="F26" s="14"/>
      <c r="G26" s="6">
        <f>+SUM(E$9:$E26)-SUM(F$9:$F26)</f>
        <v>550000</v>
      </c>
    </row>
    <row r="27" spans="1:7" ht="28.8" x14ac:dyDescent="0.55000000000000004">
      <c r="A27" s="12"/>
      <c r="B27" s="13"/>
      <c r="C27" s="10"/>
      <c r="D27" s="10"/>
      <c r="E27" s="7">
        <f>+$I$2+(AYOKI[[#This Row],[QUANTITE]]*AYOKI[[#This Row],[PRIX UNITAIRE]])</f>
        <v>0</v>
      </c>
      <c r="F27" s="14"/>
      <c r="G27" s="6">
        <f>+SUM(E$9:$E27)-SUM(F$9:$F27)</f>
        <v>550000</v>
      </c>
    </row>
    <row r="28" spans="1:7" ht="28.8" x14ac:dyDescent="0.55000000000000004">
      <c r="A28" s="12"/>
      <c r="B28" s="13"/>
      <c r="C28" s="10"/>
      <c r="D28" s="10"/>
      <c r="E28" s="7">
        <f>+$I$2+(AYOKI[[#This Row],[QUANTITE]]*AYOKI[[#This Row],[PRIX UNITAIRE]])</f>
        <v>0</v>
      </c>
      <c r="F28" s="14"/>
      <c r="G28" s="6">
        <f>+SUM(E$9:$E28)-SUM(F$9:$F28)</f>
        <v>550000</v>
      </c>
    </row>
    <row r="29" spans="1:7" ht="28.8" x14ac:dyDescent="0.55000000000000004">
      <c r="A29" s="12"/>
      <c r="B29" s="13"/>
      <c r="C29" s="10"/>
      <c r="D29" s="10"/>
      <c r="E29" s="7">
        <f>+$I$2+(AYOKI[[#This Row],[QUANTITE]]*AYOKI[[#This Row],[PRIX UNITAIRE]])</f>
        <v>0</v>
      </c>
      <c r="F29" s="14"/>
      <c r="G29" s="6">
        <f>+SUM(E$9:$E29)-SUM(F$9:$F29)</f>
        <v>550000</v>
      </c>
    </row>
    <row r="30" spans="1:7" ht="28.8" x14ac:dyDescent="0.55000000000000004">
      <c r="A30" s="12"/>
      <c r="B30" s="13"/>
      <c r="C30" s="10"/>
      <c r="D30" s="10"/>
      <c r="E30" s="7">
        <f>+$I$2+(AYOKI[[#This Row],[QUANTITE]]*AYOKI[[#This Row],[PRIX UNITAIRE]])</f>
        <v>0</v>
      </c>
      <c r="F30" s="14"/>
      <c r="G30" s="6">
        <f>+SUM(E$9:$E30)-SUM(F$9:$F30)</f>
        <v>550000</v>
      </c>
    </row>
    <row r="31" spans="1:7" ht="28.8" x14ac:dyDescent="0.55000000000000004">
      <c r="A31" s="12"/>
      <c r="B31" s="13"/>
      <c r="C31" s="10"/>
      <c r="D31" s="10"/>
      <c r="E31" s="7">
        <f>+$I$2+(AYOKI[[#This Row],[QUANTITE]]*AYOKI[[#This Row],[PRIX UNITAIRE]])</f>
        <v>0</v>
      </c>
      <c r="F31" s="14"/>
      <c r="G31" s="6">
        <f>+SUM(E$9:$E31)-SUM(F$9:$F31)</f>
        <v>550000</v>
      </c>
    </row>
    <row r="32" spans="1:7" ht="28.8" x14ac:dyDescent="0.55000000000000004">
      <c r="A32" s="12"/>
      <c r="B32" s="13"/>
      <c r="C32" s="10"/>
      <c r="D32" s="10"/>
      <c r="E32" s="7">
        <f>+$I$2+(AYOKI[[#This Row],[QUANTITE]]*AYOKI[[#This Row],[PRIX UNITAIRE]])</f>
        <v>0</v>
      </c>
      <c r="F32" s="14"/>
      <c r="G32" s="6">
        <f>+SUM(E$9:$E32)-SUM(F$9:$F32)</f>
        <v>550000</v>
      </c>
    </row>
    <row r="33" spans="1:7" ht="28.8" x14ac:dyDescent="0.55000000000000004">
      <c r="A33" s="12"/>
      <c r="B33" s="13"/>
      <c r="C33" s="10"/>
      <c r="D33" s="10"/>
      <c r="E33" s="7">
        <f>+$I$2+(AYOKI[[#This Row],[QUANTITE]]*AYOKI[[#This Row],[PRIX UNITAIRE]])</f>
        <v>0</v>
      </c>
      <c r="F33" s="14"/>
      <c r="G33" s="6">
        <f>+SUM(E$9:$E33)-SUM(F$9:$F33)</f>
        <v>550000</v>
      </c>
    </row>
    <row r="34" spans="1:7" ht="28.8" x14ac:dyDescent="0.55000000000000004">
      <c r="A34" s="12"/>
      <c r="B34" s="13"/>
      <c r="C34" s="10"/>
      <c r="D34" s="10"/>
      <c r="E34" s="7">
        <f>+$I$2+(AYOKI[[#This Row],[QUANTITE]]*AYOKI[[#This Row],[PRIX UNITAIRE]])</f>
        <v>0</v>
      </c>
      <c r="F34" s="14"/>
      <c r="G34" s="6">
        <f>+SUM(E$9:$E34)-SUM(F$9:$F34)</f>
        <v>550000</v>
      </c>
    </row>
    <row r="35" spans="1:7" ht="28.8" x14ac:dyDescent="0.55000000000000004">
      <c r="A35" s="12"/>
      <c r="B35" s="13"/>
      <c r="C35" s="10"/>
      <c r="D35" s="10"/>
      <c r="E35" s="7">
        <f>+$I$2+(AYOKI[[#This Row],[QUANTITE]]*AYOKI[[#This Row],[PRIX UNITAIRE]])</f>
        <v>0</v>
      </c>
      <c r="F35" s="14"/>
      <c r="G35" s="6">
        <f>+SUM(E$9:$E35)-SUM(F$9:$F35)</f>
        <v>550000</v>
      </c>
    </row>
    <row r="36" spans="1:7" ht="28.8" x14ac:dyDescent="0.55000000000000004">
      <c r="A36" s="12"/>
      <c r="B36" s="13"/>
      <c r="C36" s="10"/>
      <c r="D36" s="10"/>
      <c r="E36" s="7">
        <f>+$I$2+(AYOKI[[#This Row],[QUANTITE]]*AYOKI[[#This Row],[PRIX UNITAIRE]])</f>
        <v>0</v>
      </c>
      <c r="F36" s="14"/>
      <c r="G36" s="6">
        <f>+SUM(E$9:$E36)-SUM(F$9:$F36)</f>
        <v>550000</v>
      </c>
    </row>
    <row r="37" spans="1:7" ht="28.8" x14ac:dyDescent="0.55000000000000004">
      <c r="A37" s="12"/>
      <c r="B37" s="13"/>
      <c r="C37" s="10"/>
      <c r="D37" s="10"/>
      <c r="E37" s="7">
        <f>+$I$2+(AYOKI[[#This Row],[QUANTITE]]*AYOKI[[#This Row],[PRIX UNITAIRE]])</f>
        <v>0</v>
      </c>
      <c r="F37" s="14"/>
      <c r="G37" s="6">
        <f>+SUM(E$9:$E37)-SUM(F$9:$F37)</f>
        <v>550000</v>
      </c>
    </row>
    <row r="38" spans="1:7" ht="28.8" x14ac:dyDescent="0.55000000000000004">
      <c r="A38" s="12"/>
      <c r="B38" s="13"/>
      <c r="C38" s="10"/>
      <c r="D38" s="10"/>
      <c r="E38" s="7">
        <f>+$I$2+(AYOKI[[#This Row],[QUANTITE]]*AYOKI[[#This Row],[PRIX UNITAIRE]])</f>
        <v>0</v>
      </c>
      <c r="F38" s="14"/>
      <c r="G38" s="6">
        <f>+SUM(E$9:$E38)-SUM(F$9:$F38)</f>
        <v>550000</v>
      </c>
    </row>
    <row r="39" spans="1:7" ht="28.8" x14ac:dyDescent="0.55000000000000004">
      <c r="A39" s="12"/>
      <c r="B39" s="13"/>
      <c r="C39" s="10"/>
      <c r="D39" s="10"/>
      <c r="E39" s="7">
        <f>+$I$2+(AYOKI[[#This Row],[QUANTITE]]*AYOKI[[#This Row],[PRIX UNITAIRE]])</f>
        <v>0</v>
      </c>
      <c r="F39" s="14"/>
      <c r="G39" s="6">
        <f>+SUM(E$9:$E39)-SUM(F$9:$F39)</f>
        <v>550000</v>
      </c>
    </row>
    <row r="40" spans="1:7" ht="28.8" x14ac:dyDescent="0.55000000000000004">
      <c r="A40" s="12"/>
      <c r="B40" s="13"/>
      <c r="C40" s="10"/>
      <c r="D40" s="10"/>
      <c r="E40" s="7">
        <f>+$I$2+(AYOKI[[#This Row],[QUANTITE]]*AYOKI[[#This Row],[PRIX UNITAIRE]])</f>
        <v>0</v>
      </c>
      <c r="F40" s="14"/>
      <c r="G40" s="6">
        <f>+SUM(E$9:$E40)-SUM(F$9:$F40)</f>
        <v>550000</v>
      </c>
    </row>
    <row r="41" spans="1:7" ht="28.8" x14ac:dyDescent="0.55000000000000004">
      <c r="A41" s="12"/>
      <c r="B41" s="13"/>
      <c r="C41" s="10"/>
      <c r="D41" s="10"/>
      <c r="E41" s="7">
        <f>+$I$2+(AYOKI[[#This Row],[QUANTITE]]*AYOKI[[#This Row],[PRIX UNITAIRE]])</f>
        <v>0</v>
      </c>
      <c r="F41" s="14"/>
      <c r="G41" s="6">
        <f>+SUM(E$9:$E41)-SUM(F$9:$F41)</f>
        <v>550000</v>
      </c>
    </row>
    <row r="42" spans="1:7" ht="28.8" x14ac:dyDescent="0.55000000000000004">
      <c r="A42" s="12"/>
      <c r="B42" s="13"/>
      <c r="C42" s="10"/>
      <c r="D42" s="10"/>
      <c r="E42" s="7">
        <f>+$I$2+(AYOKI[[#This Row],[QUANTITE]]*AYOKI[[#This Row],[PRIX UNITAIRE]])</f>
        <v>0</v>
      </c>
      <c r="F42" s="14"/>
      <c r="G42" s="6">
        <f>+SUM(E$9:$E42)-SUM(F$9:$F42)</f>
        <v>550000</v>
      </c>
    </row>
    <row r="43" spans="1:7" ht="28.8" x14ac:dyDescent="0.55000000000000004">
      <c r="A43" s="12"/>
      <c r="B43" s="13"/>
      <c r="C43" s="10"/>
      <c r="D43" s="10"/>
      <c r="E43" s="7">
        <f>+$I$2+(AYOKI[[#This Row],[QUANTITE]]*AYOKI[[#This Row],[PRIX UNITAIRE]])</f>
        <v>0</v>
      </c>
      <c r="F43" s="14"/>
      <c r="G43" s="6">
        <f>+SUM(E$9:$E43)-SUM(F$9:$F43)</f>
        <v>550000</v>
      </c>
    </row>
    <row r="44" spans="1:7" ht="28.8" x14ac:dyDescent="0.55000000000000004">
      <c r="A44" s="12"/>
      <c r="B44" s="13"/>
      <c r="C44" s="10"/>
      <c r="D44" s="10"/>
      <c r="E44" s="7">
        <f>+$I$2+(AYOKI[[#This Row],[QUANTITE]]*AYOKI[[#This Row],[PRIX UNITAIRE]])</f>
        <v>0</v>
      </c>
      <c r="F44" s="14"/>
      <c r="G44" s="6">
        <f>+SUM(E$9:$E44)-SUM(F$9:$F44)</f>
        <v>550000</v>
      </c>
    </row>
    <row r="45" spans="1:7" ht="28.8" x14ac:dyDescent="0.55000000000000004">
      <c r="A45" s="12"/>
      <c r="B45" s="13"/>
      <c r="C45" s="10"/>
      <c r="D45" s="10"/>
      <c r="E45" s="7">
        <f>+$I$2+(AYOKI[[#This Row],[QUANTITE]]*AYOKI[[#This Row],[PRIX UNITAIRE]])</f>
        <v>0</v>
      </c>
      <c r="F45" s="14"/>
      <c r="G45" s="6">
        <f>+SUM(E$9:$E45)-SUM(F$9:$F45)</f>
        <v>550000</v>
      </c>
    </row>
    <row r="46" spans="1:7" ht="28.8" x14ac:dyDescent="0.55000000000000004">
      <c r="A46" s="12"/>
      <c r="B46" s="13"/>
      <c r="C46" s="10"/>
      <c r="D46" s="10"/>
      <c r="E46" s="7">
        <f>+$I$2+(AYOKI[[#This Row],[QUANTITE]]*AYOKI[[#This Row],[PRIX UNITAIRE]])</f>
        <v>0</v>
      </c>
      <c r="F46" s="14"/>
      <c r="G46" s="6">
        <f>+SUM(E$9:$E46)-SUM(F$9:$F46)</f>
        <v>550000</v>
      </c>
    </row>
    <row r="47" spans="1:7" ht="28.8" x14ac:dyDescent="0.55000000000000004">
      <c r="A47" s="12"/>
      <c r="B47" s="13"/>
      <c r="C47" s="10"/>
      <c r="D47" s="10"/>
      <c r="E47" s="7">
        <f>+$I$2+(AYOKI[[#This Row],[QUANTITE]]*AYOKI[[#This Row],[PRIX UNITAIRE]])</f>
        <v>0</v>
      </c>
      <c r="F47" s="14"/>
      <c r="G47" s="6">
        <f>+SUM(E$9:$E47)-SUM(F$9:$F47)</f>
        <v>550000</v>
      </c>
    </row>
    <row r="48" spans="1:7" ht="28.8" x14ac:dyDescent="0.55000000000000004">
      <c r="A48" s="12"/>
      <c r="B48" s="13"/>
      <c r="C48" s="10"/>
      <c r="D48" s="10"/>
      <c r="E48" s="7">
        <f>+$I$2+(AYOKI[[#This Row],[QUANTITE]]*AYOKI[[#This Row],[PRIX UNITAIRE]])</f>
        <v>0</v>
      </c>
      <c r="F48" s="14"/>
      <c r="G48" s="6">
        <f>+SUM(E$9:$E48)-SUM(F$9:$F48)</f>
        <v>550000</v>
      </c>
    </row>
    <row r="49" spans="1:7" ht="28.8" x14ac:dyDescent="0.55000000000000004">
      <c r="A49" s="12"/>
      <c r="B49" s="13"/>
      <c r="C49" s="10"/>
      <c r="D49" s="10"/>
      <c r="E49" s="7">
        <f>+$I$2+(AYOKI[[#This Row],[QUANTITE]]*AYOKI[[#This Row],[PRIX UNITAIRE]])</f>
        <v>0</v>
      </c>
      <c r="F49" s="14"/>
      <c r="G49" s="6">
        <f>+SUM(E$9:$E49)-SUM(F$9:$F49)</f>
        <v>550000</v>
      </c>
    </row>
    <row r="50" spans="1:7" ht="28.8" x14ac:dyDescent="0.55000000000000004">
      <c r="A50" s="12"/>
      <c r="B50" s="13"/>
      <c r="C50" s="10"/>
      <c r="D50" s="10"/>
      <c r="E50" s="7">
        <f>+$I$2+(AYOKI[[#This Row],[QUANTITE]]*AYOKI[[#This Row],[PRIX UNITAIRE]])</f>
        <v>0</v>
      </c>
      <c r="F50" s="14"/>
      <c r="G50" s="6">
        <f>+SUM(E$9:$E50)-SUM(F$9:$F50)</f>
        <v>550000</v>
      </c>
    </row>
    <row r="51" spans="1:7" ht="28.8" x14ac:dyDescent="0.55000000000000004">
      <c r="A51" s="12"/>
      <c r="B51" s="13"/>
      <c r="C51" s="10"/>
      <c r="D51" s="10"/>
      <c r="E51" s="7">
        <f>+$I$2+(AYOKI[[#This Row],[QUANTITE]]*AYOKI[[#This Row],[PRIX UNITAIRE]])</f>
        <v>0</v>
      </c>
      <c r="F51" s="14"/>
      <c r="G51" s="6">
        <f>+SUM(E$9:$E51)-SUM(F$9:$F51)</f>
        <v>550000</v>
      </c>
    </row>
    <row r="52" spans="1:7" ht="28.8" x14ac:dyDescent="0.55000000000000004">
      <c r="A52" s="12"/>
      <c r="B52" s="13"/>
      <c r="C52" s="10"/>
      <c r="D52" s="10"/>
      <c r="E52" s="7">
        <f>+$I$2+(AYOKI[[#This Row],[QUANTITE]]*AYOKI[[#This Row],[PRIX UNITAIRE]])</f>
        <v>0</v>
      </c>
      <c r="F52" s="14"/>
      <c r="G52" s="6">
        <f>+SUM(E$9:$E52)-SUM(F$9:$F52)</f>
        <v>550000</v>
      </c>
    </row>
    <row r="53" spans="1:7" ht="28.8" x14ac:dyDescent="0.55000000000000004">
      <c r="A53" s="12"/>
      <c r="B53" s="13"/>
      <c r="C53" s="10"/>
      <c r="D53" s="10"/>
      <c r="E53" s="7">
        <f>+$I$2+(AYOKI[[#This Row],[QUANTITE]]*AYOKI[[#This Row],[PRIX UNITAIRE]])</f>
        <v>0</v>
      </c>
      <c r="F53" s="14"/>
      <c r="G53" s="6">
        <f>+SUM(E$9:$E53)-SUM(F$9:$F53)</f>
        <v>550000</v>
      </c>
    </row>
    <row r="54" spans="1:7" ht="28.8" x14ac:dyDescent="0.55000000000000004">
      <c r="A54" s="12"/>
      <c r="B54" s="13"/>
      <c r="C54" s="10"/>
      <c r="D54" s="10"/>
      <c r="E54" s="7">
        <f>+$I$2+(AYOKI[[#This Row],[QUANTITE]]*AYOKI[[#This Row],[PRIX UNITAIRE]])</f>
        <v>0</v>
      </c>
      <c r="F54" s="14"/>
      <c r="G54" s="6">
        <f>+SUM(E$9:$E54)-SUM(F$9:$F54)</f>
        <v>550000</v>
      </c>
    </row>
    <row r="55" spans="1:7" ht="28.8" x14ac:dyDescent="0.55000000000000004">
      <c r="A55" s="12"/>
      <c r="B55" s="13"/>
      <c r="C55" s="10"/>
      <c r="D55" s="10"/>
      <c r="E55" s="7">
        <f>+$I$2+(AYOKI[[#This Row],[QUANTITE]]*AYOKI[[#This Row],[PRIX UNITAIRE]])</f>
        <v>0</v>
      </c>
      <c r="F55" s="14"/>
      <c r="G55" s="6">
        <f>+SUM(E$9:$E55)-SUM(F$9:$F55)</f>
        <v>550000</v>
      </c>
    </row>
    <row r="56" spans="1:7" ht="28.8" x14ac:dyDescent="0.55000000000000004">
      <c r="A56" s="12"/>
      <c r="B56" s="13"/>
      <c r="C56" s="10"/>
      <c r="D56" s="10"/>
      <c r="E56" s="7">
        <f>+$I$2+(AYOKI[[#This Row],[QUANTITE]]*AYOKI[[#This Row],[PRIX UNITAIRE]])</f>
        <v>0</v>
      </c>
      <c r="F56" s="14"/>
      <c r="G56" s="6">
        <f>+SUM(E$9:$E56)-SUM(F$9:$F56)</f>
        <v>550000</v>
      </c>
    </row>
    <row r="57" spans="1:7" ht="28.8" x14ac:dyDescent="0.55000000000000004">
      <c r="A57" s="12"/>
      <c r="B57" s="13"/>
      <c r="C57" s="10"/>
      <c r="D57" s="10"/>
      <c r="E57" s="7">
        <f>+$I$2+(AYOKI[[#This Row],[QUANTITE]]*AYOKI[[#This Row],[PRIX UNITAIRE]])</f>
        <v>0</v>
      </c>
      <c r="F57" s="14"/>
      <c r="G57" s="6">
        <f>+SUM(E$9:$E57)-SUM(F$9:$F57)</f>
        <v>550000</v>
      </c>
    </row>
    <row r="58" spans="1:7" ht="28.8" x14ac:dyDescent="0.55000000000000004">
      <c r="A58" s="12"/>
      <c r="B58" s="13"/>
      <c r="C58" s="10"/>
      <c r="D58" s="10"/>
      <c r="E58" s="7">
        <f>+$I$2+(AYOKI[[#This Row],[QUANTITE]]*AYOKI[[#This Row],[PRIX UNITAIRE]])</f>
        <v>0</v>
      </c>
      <c r="F58" s="14"/>
      <c r="G58" s="6">
        <f>+SUM(E$9:$E58)-SUM(F$9:$F58)</f>
        <v>550000</v>
      </c>
    </row>
    <row r="59" spans="1:7" ht="28.8" x14ac:dyDescent="0.55000000000000004">
      <c r="A59" s="12"/>
      <c r="B59" s="13"/>
      <c r="C59" s="10"/>
      <c r="D59" s="10"/>
      <c r="E59" s="7">
        <f>+$I$2+(AYOKI[[#This Row],[QUANTITE]]*AYOKI[[#This Row],[PRIX UNITAIRE]])</f>
        <v>0</v>
      </c>
      <c r="F59" s="14"/>
      <c r="G59" s="6">
        <f>+SUM(E$9:$E59)-SUM(F$9:$F59)</f>
        <v>550000</v>
      </c>
    </row>
    <row r="60" spans="1:7" ht="28.8" x14ac:dyDescent="0.55000000000000004">
      <c r="A60" s="12"/>
      <c r="B60" s="13"/>
      <c r="C60" s="10"/>
      <c r="D60" s="10"/>
      <c r="E60" s="7">
        <f>+$I$2+(AYOKI[[#This Row],[QUANTITE]]*AYOKI[[#This Row],[PRIX UNITAIRE]])</f>
        <v>0</v>
      </c>
      <c r="F60" s="14"/>
      <c r="G60" s="6">
        <f>+SUM(E$9:$E60)-SUM(F$9:$F60)</f>
        <v>550000</v>
      </c>
    </row>
    <row r="61" spans="1:7" ht="28.8" x14ac:dyDescent="0.55000000000000004">
      <c r="A61" s="12"/>
      <c r="B61" s="13"/>
      <c r="C61" s="10"/>
      <c r="D61" s="10"/>
      <c r="E61" s="7">
        <f>+$I$2+(AYOKI[[#This Row],[QUANTITE]]*AYOKI[[#This Row],[PRIX UNITAIRE]])</f>
        <v>0</v>
      </c>
      <c r="F61" s="14"/>
      <c r="G61" s="6">
        <f>+SUM(E$9:$E61)-SUM(F$9:$F61)</f>
        <v>550000</v>
      </c>
    </row>
    <row r="62" spans="1:7" ht="28.8" x14ac:dyDescent="0.55000000000000004">
      <c r="A62" s="12"/>
      <c r="B62" s="13"/>
      <c r="C62" s="10"/>
      <c r="D62" s="10"/>
      <c r="E62" s="7">
        <f>+$I$2+(AYOKI[[#This Row],[QUANTITE]]*AYOKI[[#This Row],[PRIX UNITAIRE]])</f>
        <v>0</v>
      </c>
      <c r="F62" s="14"/>
      <c r="G62" s="6">
        <f>+SUM(E$9:$E62)-SUM(F$9:$F62)</f>
        <v>550000</v>
      </c>
    </row>
    <row r="63" spans="1:7" ht="28.8" x14ac:dyDescent="0.55000000000000004">
      <c r="A63" s="12"/>
      <c r="B63" s="13"/>
      <c r="C63" s="10"/>
      <c r="D63" s="10"/>
      <c r="E63" s="7">
        <f>+$I$2+(AYOKI[[#This Row],[QUANTITE]]*AYOKI[[#This Row],[PRIX UNITAIRE]])</f>
        <v>0</v>
      </c>
      <c r="F63" s="14"/>
      <c r="G63" s="6">
        <f>+SUM(E$9:$E63)-SUM(F$9:$F63)</f>
        <v>550000</v>
      </c>
    </row>
    <row r="64" spans="1:7" ht="28.8" x14ac:dyDescent="0.55000000000000004">
      <c r="A64" s="12"/>
      <c r="B64" s="13"/>
      <c r="C64" s="10"/>
      <c r="D64" s="10"/>
      <c r="E64" s="7">
        <f>+$I$2+(AYOKI[[#This Row],[QUANTITE]]*AYOKI[[#This Row],[PRIX UNITAIRE]])</f>
        <v>0</v>
      </c>
      <c r="F64" s="14"/>
      <c r="G64" s="6">
        <f>+SUM(E$9:$E64)-SUM(F$9:$F64)</f>
        <v>550000</v>
      </c>
    </row>
    <row r="65" spans="1:7" ht="28.8" x14ac:dyDescent="0.55000000000000004">
      <c r="A65" s="12"/>
      <c r="B65" s="13"/>
      <c r="C65" s="10"/>
      <c r="D65" s="10"/>
      <c r="E65" s="7">
        <f>+$I$2+(AYOKI[[#This Row],[QUANTITE]]*AYOKI[[#This Row],[PRIX UNITAIRE]])</f>
        <v>0</v>
      </c>
      <c r="F65" s="14"/>
      <c r="G65" s="6">
        <f>+SUM(E$9:$E65)-SUM(F$9:$F65)</f>
        <v>550000</v>
      </c>
    </row>
    <row r="66" spans="1:7" ht="28.8" x14ac:dyDescent="0.55000000000000004">
      <c r="A66" s="12"/>
      <c r="B66" s="13"/>
      <c r="C66" s="10"/>
      <c r="D66" s="10"/>
      <c r="E66" s="7">
        <f>+$I$2+(AYOKI[[#This Row],[QUANTITE]]*AYOKI[[#This Row],[PRIX UNITAIRE]])</f>
        <v>0</v>
      </c>
      <c r="F66" s="14"/>
      <c r="G66" s="6">
        <f>+SUM(E$9:$E66)-SUM(F$9:$F66)</f>
        <v>550000</v>
      </c>
    </row>
    <row r="67" spans="1:7" ht="28.8" x14ac:dyDescent="0.55000000000000004">
      <c r="A67" s="12"/>
      <c r="B67" s="13"/>
      <c r="C67" s="10"/>
      <c r="D67" s="10"/>
      <c r="E67" s="7">
        <f>+$I$2+(AYOKI[[#This Row],[QUANTITE]]*AYOKI[[#This Row],[PRIX UNITAIRE]])</f>
        <v>0</v>
      </c>
      <c r="F67" s="14"/>
      <c r="G67" s="6">
        <f>+SUM(E$9:$E67)-SUM(F$9:$F67)</f>
        <v>550000</v>
      </c>
    </row>
    <row r="68" spans="1:7" ht="28.8" x14ac:dyDescent="0.55000000000000004">
      <c r="A68" s="12"/>
      <c r="B68" s="13"/>
      <c r="C68" s="10"/>
      <c r="D68" s="10"/>
      <c r="E68" s="7">
        <f>+$I$2+(AYOKI[[#This Row],[QUANTITE]]*AYOKI[[#This Row],[PRIX UNITAIRE]])</f>
        <v>0</v>
      </c>
      <c r="F68" s="14"/>
      <c r="G68" s="6">
        <f>+SUM(E$9:$E68)-SUM(F$9:$F68)</f>
        <v>550000</v>
      </c>
    </row>
    <row r="69" spans="1:7" ht="28.8" x14ac:dyDescent="0.55000000000000004">
      <c r="A69" s="12"/>
      <c r="B69" s="13"/>
      <c r="C69" s="10"/>
      <c r="D69" s="10"/>
      <c r="E69" s="7">
        <f>+$I$2+(AYOKI[[#This Row],[QUANTITE]]*AYOKI[[#This Row],[PRIX UNITAIRE]])</f>
        <v>0</v>
      </c>
      <c r="F69" s="14"/>
      <c r="G69" s="6">
        <f>+SUM(E$9:$E69)-SUM(F$9:$F69)</f>
        <v>550000</v>
      </c>
    </row>
    <row r="70" spans="1:7" ht="28.8" x14ac:dyDescent="0.55000000000000004">
      <c r="A70" s="12"/>
      <c r="B70" s="13"/>
      <c r="C70" s="10"/>
      <c r="D70" s="10"/>
      <c r="E70" s="7">
        <f>+$I$2+(AYOKI[[#This Row],[QUANTITE]]*AYOKI[[#This Row],[PRIX UNITAIRE]])</f>
        <v>0</v>
      </c>
      <c r="F70" s="14"/>
      <c r="G70" s="6">
        <f>+SUM(E$9:$E70)-SUM(F$9:$F70)</f>
        <v>550000</v>
      </c>
    </row>
    <row r="71" spans="1:7" ht="28.8" x14ac:dyDescent="0.55000000000000004">
      <c r="A71" s="12"/>
      <c r="B71" s="13"/>
      <c r="C71" s="10"/>
      <c r="D71" s="10"/>
      <c r="E71" s="7">
        <f>+$I$2+(AYOKI[[#This Row],[QUANTITE]]*AYOKI[[#This Row],[PRIX UNITAIRE]])</f>
        <v>0</v>
      </c>
      <c r="F71" s="14"/>
      <c r="G71" s="6">
        <f>+SUM(E$9:$E71)-SUM(F$9:$F71)</f>
        <v>550000</v>
      </c>
    </row>
    <row r="72" spans="1:7" ht="28.8" x14ac:dyDescent="0.55000000000000004">
      <c r="A72" s="12"/>
      <c r="B72" s="13"/>
      <c r="C72" s="10"/>
      <c r="D72" s="10"/>
      <c r="E72" s="7">
        <f>+$I$2+(AYOKI[[#This Row],[QUANTITE]]*AYOKI[[#This Row],[PRIX UNITAIRE]])</f>
        <v>0</v>
      </c>
      <c r="F72" s="14"/>
      <c r="G72" s="6">
        <f>+SUM(E$9:$E72)-SUM(F$9:$F72)</f>
        <v>550000</v>
      </c>
    </row>
  </sheetData>
  <sheetProtection selectLockedCells="1" autoFilter="0"/>
  <mergeCells count="1">
    <mergeCell ref="B6:C6"/>
  </mergeCells>
  <conditionalFormatting sqref="G4">
    <cfRule type="cellIs" dxfId="501" priority="2" operator="lessThan">
      <formula>0</formula>
    </cfRule>
    <cfRule type="cellIs" dxfId="500" priority="3" operator="greaterThan">
      <formula>0</formula>
    </cfRule>
  </conditionalFormatting>
  <conditionalFormatting sqref="B9:B72">
    <cfRule type="expression" dxfId="499" priority="5">
      <formula>$F9</formula>
    </cfRule>
  </conditionalFormatting>
  <conditionalFormatting sqref="A1:C1 A2:G4">
    <cfRule type="expression" dxfId="498" priority="1">
      <formula>$E$6=FALSE</formula>
    </cfRule>
  </conditionalFormatting>
  <dataValidations count="1">
    <dataValidation type="date" operator="greaterThan" allowBlank="1" showInputMessage="1" showErrorMessage="1" error="VEILLEZ ENTRER UNE DATE VALIDE" sqref="A9:A7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/>
  <dimension ref="A1:I250"/>
  <sheetViews>
    <sheetView showGridLines="0" zoomScale="60" zoomScaleNormal="60" workbookViewId="0">
      <pane ySplit="8" topLeftCell="A81" activePane="bottomLeft" state="frozen"/>
      <selection activeCell="L10" sqref="L10"/>
      <selection pane="bottomLeft" activeCell="A94" sqref="A94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4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+SUM(AGSAFRIQUE[TOTAL MONTANT])</f>
        <v>490980</v>
      </c>
      <c r="F4" s="41">
        <f>+SUM(AGSAFRIQUE[VERSEMENT])</f>
        <v>448880</v>
      </c>
      <c r="G4" s="130">
        <f>+E4-F4</f>
        <v>42100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484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45656</v>
      </c>
      <c r="B9" s="13" t="s">
        <v>1106</v>
      </c>
      <c r="C9" s="10">
        <v>1</v>
      </c>
      <c r="D9" s="10">
        <v>4900</v>
      </c>
      <c r="E9" s="7">
        <f>+$I$2+(AGSAFRIQUE[[#This Row],[QUANTITE]]*AGSAFRIQUE[[#This Row],[PRIX UNITAIRE]])</f>
        <v>4900</v>
      </c>
      <c r="F9" s="53"/>
      <c r="G9" s="6">
        <f>+SUM(E$9:$E9)-SUM(F$9:$F9)</f>
        <v>4900</v>
      </c>
    </row>
    <row r="10" spans="1:9" ht="28.8" x14ac:dyDescent="0.55000000000000004">
      <c r="A10" s="12">
        <v>45659</v>
      </c>
      <c r="B10" s="13" t="s">
        <v>1107</v>
      </c>
      <c r="C10" s="10">
        <v>1</v>
      </c>
      <c r="D10" s="10">
        <v>6860</v>
      </c>
      <c r="E10" s="7">
        <f>+$I$2+(AGSAFRIQUE[[#This Row],[QUANTITE]]*AGSAFRIQUE[[#This Row],[PRIX UNITAIRE]])</f>
        <v>6860</v>
      </c>
      <c r="F10" s="54"/>
      <c r="G10" s="6">
        <f>+SUM(E$9:$E10)-SUM(F$9:$F10)</f>
        <v>11760</v>
      </c>
    </row>
    <row r="11" spans="1:9" ht="28.8" x14ac:dyDescent="0.55000000000000004">
      <c r="A11" s="12">
        <v>45293</v>
      </c>
      <c r="B11" s="13" t="s">
        <v>1108</v>
      </c>
      <c r="C11" s="10">
        <v>1</v>
      </c>
      <c r="D11" s="10">
        <v>6860</v>
      </c>
      <c r="E11" s="7">
        <f>+$I$2+(AGSAFRIQUE[[#This Row],[QUANTITE]]*AGSAFRIQUE[[#This Row],[PRIX UNITAIRE]])</f>
        <v>6860</v>
      </c>
      <c r="F11" s="14"/>
      <c r="G11" s="6">
        <f>+SUM(E$9:$E11)-SUM(F$9:$F11)</f>
        <v>18620</v>
      </c>
    </row>
    <row r="12" spans="1:9" ht="28.8" x14ac:dyDescent="0.55000000000000004">
      <c r="A12" s="12">
        <v>45660</v>
      </c>
      <c r="B12" s="13" t="s">
        <v>1109</v>
      </c>
      <c r="C12" s="10">
        <v>1</v>
      </c>
      <c r="D12" s="10">
        <v>4900</v>
      </c>
      <c r="E12" s="7">
        <f>+$I$2+(AGSAFRIQUE[[#This Row],[QUANTITE]]*AGSAFRIQUE[[#This Row],[PRIX UNITAIRE]])</f>
        <v>4900</v>
      </c>
      <c r="F12" s="14"/>
      <c r="G12" s="6">
        <f>+SUM(E$9:$E12)-SUM(F$9:$F12)</f>
        <v>23520</v>
      </c>
    </row>
    <row r="13" spans="1:9" ht="28.8" x14ac:dyDescent="0.55000000000000004">
      <c r="A13" s="12">
        <v>45665</v>
      </c>
      <c r="B13" s="13" t="s">
        <v>485</v>
      </c>
      <c r="C13" s="10">
        <v>1</v>
      </c>
      <c r="D13" s="10">
        <v>4900</v>
      </c>
      <c r="E13" s="7">
        <f>+$I$2+(AGSAFRIQUE[[#This Row],[QUANTITE]]*AGSAFRIQUE[[#This Row],[PRIX UNITAIRE]])</f>
        <v>4900</v>
      </c>
      <c r="F13" s="14"/>
      <c r="G13" s="6">
        <f>+SUM(E$9:$E13)-SUM(F$9:$F13)</f>
        <v>28420</v>
      </c>
    </row>
    <row r="14" spans="1:9" ht="28.8" x14ac:dyDescent="0.55000000000000004">
      <c r="A14" s="12">
        <v>45666</v>
      </c>
      <c r="B14" s="13" t="s">
        <v>1110</v>
      </c>
      <c r="C14" s="10">
        <v>1</v>
      </c>
      <c r="D14" s="10">
        <v>58800</v>
      </c>
      <c r="E14" s="7">
        <f>+$I$2+(AGSAFRIQUE[[#This Row],[QUANTITE]]*AGSAFRIQUE[[#This Row],[PRIX UNITAIRE]])</f>
        <v>58800</v>
      </c>
      <c r="F14" s="14"/>
      <c r="G14" s="6">
        <f>+SUM(E$9:$E14)-SUM(F$9:$F14)</f>
        <v>87220</v>
      </c>
    </row>
    <row r="15" spans="1:9" ht="28.8" x14ac:dyDescent="0.55000000000000004">
      <c r="A15" s="12">
        <v>45678</v>
      </c>
      <c r="B15" s="13" t="s">
        <v>1111</v>
      </c>
      <c r="C15" s="10">
        <v>2</v>
      </c>
      <c r="D15" s="10">
        <v>4900</v>
      </c>
      <c r="E15" s="7">
        <f>+$I$2+(AGSAFRIQUE[[#This Row],[QUANTITE]]*AGSAFRIQUE[[#This Row],[PRIX UNITAIRE]])</f>
        <v>9800</v>
      </c>
      <c r="F15" s="14"/>
      <c r="G15" s="6">
        <f>+SUM(E$9:$E15)-SUM(F$9:$F15)</f>
        <v>97020</v>
      </c>
    </row>
    <row r="16" spans="1:9" ht="28.8" x14ac:dyDescent="0.55000000000000004">
      <c r="A16" s="12">
        <v>45686</v>
      </c>
      <c r="B16" s="13" t="s">
        <v>1112</v>
      </c>
      <c r="C16" s="10">
        <v>1</v>
      </c>
      <c r="D16" s="10">
        <v>6860</v>
      </c>
      <c r="E16" s="7">
        <f>+$I$2+(AGSAFRIQUE[[#This Row],[QUANTITE]]*AGSAFRIQUE[[#This Row],[PRIX UNITAIRE]])</f>
        <v>6860</v>
      </c>
      <c r="F16" s="14"/>
      <c r="G16" s="6">
        <f>+SUM(E$9:$E16)-SUM(F$9:$F16)</f>
        <v>103880</v>
      </c>
    </row>
    <row r="17" spans="1:7" ht="28.8" x14ac:dyDescent="0.55000000000000004">
      <c r="A17" s="12">
        <v>45688</v>
      </c>
      <c r="B17" s="13" t="s">
        <v>1113</v>
      </c>
      <c r="C17" s="10">
        <v>1</v>
      </c>
      <c r="D17" s="10">
        <v>6860</v>
      </c>
      <c r="E17" s="7">
        <f>+$I$2+(AGSAFRIQUE[[#This Row],[QUANTITE]]*AGSAFRIQUE[[#This Row],[PRIX UNITAIRE]])</f>
        <v>6860</v>
      </c>
      <c r="F17" s="14"/>
      <c r="G17" s="6">
        <f>+SUM(E$9:$E17)-SUM(F$9:$F17)</f>
        <v>110740</v>
      </c>
    </row>
    <row r="18" spans="1:7" ht="28.8" x14ac:dyDescent="0.55000000000000004">
      <c r="A18" s="12">
        <v>45688</v>
      </c>
      <c r="B18" s="13" t="s">
        <v>1114</v>
      </c>
      <c r="C18" s="10">
        <v>1</v>
      </c>
      <c r="D18" s="10">
        <v>6860</v>
      </c>
      <c r="E18" s="7">
        <f>+$I$2+(AGSAFRIQUE[[#This Row],[QUANTITE]]*AGSAFRIQUE[[#This Row],[PRIX UNITAIRE]])</f>
        <v>6860</v>
      </c>
      <c r="F18" s="14"/>
      <c r="G18" s="6">
        <f>+SUM(E$9:$E18)-SUM(F$9:$F18)</f>
        <v>117600</v>
      </c>
    </row>
    <row r="19" spans="1:7" ht="28.8" x14ac:dyDescent="0.55000000000000004">
      <c r="A19" s="12">
        <v>45692</v>
      </c>
      <c r="B19" s="13" t="s">
        <v>1115</v>
      </c>
      <c r="C19" s="10">
        <v>1</v>
      </c>
      <c r="D19" s="10">
        <v>6860</v>
      </c>
      <c r="E19" s="7">
        <f>+$I$2+(AGSAFRIQUE[[#This Row],[QUANTITE]]*AGSAFRIQUE[[#This Row],[PRIX UNITAIRE]])</f>
        <v>6860</v>
      </c>
      <c r="F19" s="14"/>
      <c r="G19" s="6">
        <f>+SUM(E$9:$E19)-SUM(F$9:$F19)</f>
        <v>124460</v>
      </c>
    </row>
    <row r="20" spans="1:7" ht="28.8" x14ac:dyDescent="0.55000000000000004">
      <c r="A20" s="12">
        <v>45693</v>
      </c>
      <c r="B20" s="13" t="s">
        <v>1116</v>
      </c>
      <c r="C20" s="10">
        <v>1</v>
      </c>
      <c r="D20" s="10">
        <v>6860</v>
      </c>
      <c r="E20" s="7">
        <f>+$I$2+(AGSAFRIQUE[[#This Row],[QUANTITE]]*AGSAFRIQUE[[#This Row],[PRIX UNITAIRE]])</f>
        <v>6860</v>
      </c>
      <c r="F20" s="14"/>
      <c r="G20" s="6">
        <f>+SUM(E$9:$E20)-SUM(F$9:$F20)</f>
        <v>131320</v>
      </c>
    </row>
    <row r="21" spans="1:7" ht="28.8" x14ac:dyDescent="0.55000000000000004">
      <c r="A21" s="12">
        <v>45696</v>
      </c>
      <c r="B21" s="13" t="s">
        <v>1117</v>
      </c>
      <c r="C21" s="10">
        <v>1</v>
      </c>
      <c r="D21" s="10">
        <v>6860</v>
      </c>
      <c r="E21" s="7">
        <f>+$I$2+(AGSAFRIQUE[[#This Row],[QUANTITE]]*AGSAFRIQUE[[#This Row],[PRIX UNITAIRE]])</f>
        <v>6860</v>
      </c>
      <c r="F21" s="14"/>
      <c r="G21" s="6">
        <f>+SUM(E$9:$E21)-SUM(F$9:$F21)</f>
        <v>138180</v>
      </c>
    </row>
    <row r="22" spans="1:7" ht="28.8" x14ac:dyDescent="0.55000000000000004">
      <c r="A22" s="12">
        <v>45744</v>
      </c>
      <c r="B22" s="13" t="s">
        <v>1118</v>
      </c>
      <c r="C22" s="10">
        <v>1</v>
      </c>
      <c r="D22" s="10">
        <v>6860</v>
      </c>
      <c r="E22" s="7">
        <f>+$I$2+(AGSAFRIQUE[[#This Row],[QUANTITE]]*AGSAFRIQUE[[#This Row],[PRIX UNITAIRE]])</f>
        <v>6860</v>
      </c>
      <c r="F22" s="14"/>
      <c r="G22" s="6">
        <f>+SUM(E$9:$E22)-SUM(F$9:$F22)</f>
        <v>145040</v>
      </c>
    </row>
    <row r="23" spans="1:7" ht="28.8" x14ac:dyDescent="0.55000000000000004">
      <c r="A23" s="12">
        <v>45750</v>
      </c>
      <c r="B23" s="13" t="s">
        <v>1119</v>
      </c>
      <c r="C23" s="10">
        <v>1</v>
      </c>
      <c r="D23" s="10">
        <v>6860</v>
      </c>
      <c r="E23" s="7">
        <f>+$I$2+(AGSAFRIQUE[[#This Row],[QUANTITE]]*AGSAFRIQUE[[#This Row],[PRIX UNITAIRE]])</f>
        <v>6860</v>
      </c>
      <c r="F23" s="14"/>
      <c r="G23" s="6">
        <f>+SUM(E$9:$E23)-SUM(F$9:$F23)</f>
        <v>151900</v>
      </c>
    </row>
    <row r="24" spans="1:7" ht="28.8" x14ac:dyDescent="0.55000000000000004">
      <c r="A24" s="12">
        <v>45752</v>
      </c>
      <c r="B24" s="13" t="s">
        <v>1120</v>
      </c>
      <c r="C24" s="10">
        <v>1</v>
      </c>
      <c r="D24" s="10">
        <v>6860</v>
      </c>
      <c r="E24" s="7">
        <f>+$I$2+(AGSAFRIQUE[[#This Row],[QUANTITE]]*AGSAFRIQUE[[#This Row],[PRIX UNITAIRE]])</f>
        <v>6860</v>
      </c>
      <c r="F24" s="14"/>
      <c r="G24" s="6">
        <f>+SUM(E$9:$E24)-SUM(F$9:$F24)</f>
        <v>158760</v>
      </c>
    </row>
    <row r="25" spans="1:7" ht="28.8" x14ac:dyDescent="0.55000000000000004">
      <c r="A25" s="12">
        <v>45756</v>
      </c>
      <c r="B25" s="13" t="s">
        <v>1121</v>
      </c>
      <c r="C25" s="10">
        <v>1</v>
      </c>
      <c r="D25" s="10">
        <v>6860</v>
      </c>
      <c r="E25" s="7">
        <f>+$I$2+(AGSAFRIQUE[[#This Row],[QUANTITE]]*AGSAFRIQUE[[#This Row],[PRIX UNITAIRE]])</f>
        <v>6860</v>
      </c>
      <c r="F25" s="14"/>
      <c r="G25" s="6">
        <f>+SUM(E$9:$E25)-SUM(F$9:$F25)</f>
        <v>165620</v>
      </c>
    </row>
    <row r="26" spans="1:7" ht="28.8" x14ac:dyDescent="0.55000000000000004">
      <c r="A26" s="12">
        <v>45757</v>
      </c>
      <c r="B26" s="13" t="s">
        <v>1122</v>
      </c>
      <c r="C26" s="10">
        <v>1</v>
      </c>
      <c r="D26" s="10">
        <v>6860</v>
      </c>
      <c r="E26" s="7">
        <f>+$I$2+(AGSAFRIQUE[[#This Row],[QUANTITE]]*AGSAFRIQUE[[#This Row],[PRIX UNITAIRE]])</f>
        <v>6860</v>
      </c>
      <c r="F26" s="14"/>
      <c r="G26" s="6">
        <f>+SUM(E$9:$E26)-SUM(F$9:$F26)</f>
        <v>172480</v>
      </c>
    </row>
    <row r="27" spans="1:7" ht="28.8" x14ac:dyDescent="0.55000000000000004">
      <c r="A27" s="12">
        <v>45758</v>
      </c>
      <c r="B27" s="13" t="s">
        <v>1123</v>
      </c>
      <c r="C27" s="10">
        <v>1</v>
      </c>
      <c r="D27" s="10">
        <v>6860</v>
      </c>
      <c r="E27" s="7">
        <f>+$I$2+(AGSAFRIQUE[[#This Row],[QUANTITE]]*AGSAFRIQUE[[#This Row],[PRIX UNITAIRE]])</f>
        <v>6860</v>
      </c>
      <c r="F27" s="14"/>
      <c r="G27" s="6">
        <f>+SUM(E$9:$E27)-SUM(F$9:$F27)</f>
        <v>179340</v>
      </c>
    </row>
    <row r="28" spans="1:7" ht="28.8" x14ac:dyDescent="0.55000000000000004">
      <c r="A28" s="12">
        <v>45758</v>
      </c>
      <c r="B28" s="13" t="s">
        <v>1124</v>
      </c>
      <c r="C28" s="10">
        <v>1</v>
      </c>
      <c r="D28" s="10">
        <v>6860</v>
      </c>
      <c r="E28" s="7">
        <f>+$I$2+(AGSAFRIQUE[[#This Row],[QUANTITE]]*AGSAFRIQUE[[#This Row],[PRIX UNITAIRE]])</f>
        <v>6860</v>
      </c>
      <c r="F28" s="14"/>
      <c r="G28" s="6">
        <f>+SUM(E$9:$E28)-SUM(F$9:$F28)</f>
        <v>186200</v>
      </c>
    </row>
    <row r="29" spans="1:7" ht="28.8" x14ac:dyDescent="0.55000000000000004">
      <c r="A29" s="12" t="s">
        <v>1125</v>
      </c>
      <c r="B29" s="13" t="s">
        <v>1126</v>
      </c>
      <c r="C29" s="10">
        <v>1</v>
      </c>
      <c r="D29" s="10">
        <v>4900</v>
      </c>
      <c r="E29" s="7">
        <f>+$I$2+(AGSAFRIQUE[[#This Row],[QUANTITE]]*AGSAFRIQUE[[#This Row],[PRIX UNITAIRE]])</f>
        <v>4900</v>
      </c>
      <c r="F29" s="14"/>
      <c r="G29" s="6">
        <f>+SUM(E$9:$E29)-SUM(F$9:$F29)</f>
        <v>191100</v>
      </c>
    </row>
    <row r="30" spans="1:7" ht="28.8" x14ac:dyDescent="0.55000000000000004">
      <c r="A30" s="12">
        <v>45763</v>
      </c>
      <c r="B30" s="13" t="s">
        <v>1127</v>
      </c>
      <c r="C30" s="10">
        <v>1</v>
      </c>
      <c r="D30" s="10">
        <v>6860</v>
      </c>
      <c r="E30" s="7">
        <f>+$I$2+(AGSAFRIQUE[[#This Row],[QUANTITE]]*AGSAFRIQUE[[#This Row],[PRIX UNITAIRE]])</f>
        <v>6860</v>
      </c>
      <c r="F30" s="14"/>
      <c r="G30" s="6">
        <f>+SUM(E$9:$E30)-SUM(F$9:$F30)</f>
        <v>197960</v>
      </c>
    </row>
    <row r="31" spans="1:7" ht="28.8" x14ac:dyDescent="0.55000000000000004">
      <c r="A31" s="12">
        <v>45764</v>
      </c>
      <c r="B31" s="13" t="s">
        <v>1128</v>
      </c>
      <c r="C31" s="10">
        <v>1</v>
      </c>
      <c r="D31" s="10">
        <v>6860</v>
      </c>
      <c r="E31" s="7">
        <f>+$I$2+(AGSAFRIQUE[[#This Row],[QUANTITE]]*AGSAFRIQUE[[#This Row],[PRIX UNITAIRE]])</f>
        <v>6860</v>
      </c>
      <c r="F31" s="14"/>
      <c r="G31" s="6">
        <f>+SUM(E$9:$E31)-SUM(F$9:$F31)</f>
        <v>204820</v>
      </c>
    </row>
    <row r="32" spans="1:7" ht="28.8" x14ac:dyDescent="0.55000000000000004">
      <c r="A32" s="12">
        <v>45779</v>
      </c>
      <c r="B32" s="13" t="s">
        <v>1129</v>
      </c>
      <c r="C32" s="10">
        <v>1</v>
      </c>
      <c r="D32" s="10">
        <v>6860</v>
      </c>
      <c r="E32" s="7">
        <f>+$I$2+(AGSAFRIQUE[[#This Row],[QUANTITE]]*AGSAFRIQUE[[#This Row],[PRIX UNITAIRE]])</f>
        <v>6860</v>
      </c>
      <c r="F32" s="14"/>
      <c r="G32" s="6">
        <f>+SUM(E$9:$E32)-SUM(F$9:$F32)</f>
        <v>211680</v>
      </c>
    </row>
    <row r="33" spans="1:7" ht="28.8" x14ac:dyDescent="0.55000000000000004">
      <c r="A33" s="12">
        <v>45789</v>
      </c>
      <c r="B33" s="13" t="s">
        <v>1130</v>
      </c>
      <c r="C33" s="10">
        <v>1</v>
      </c>
      <c r="D33" s="10">
        <v>0</v>
      </c>
      <c r="E33" s="7">
        <f>+$I$2+(AGSAFRIQUE[[#This Row],[QUANTITE]]*AGSAFRIQUE[[#This Row],[PRIX UNITAIRE]])</f>
        <v>0</v>
      </c>
      <c r="F33" s="14">
        <v>137200</v>
      </c>
      <c r="G33" s="6">
        <f>+SUM(E$9:$E33)-SUM(F$9:$F33)</f>
        <v>74480</v>
      </c>
    </row>
    <row r="34" spans="1:7" ht="28.8" x14ac:dyDescent="0.55000000000000004">
      <c r="A34" s="12">
        <v>45807</v>
      </c>
      <c r="B34" s="13" t="s">
        <v>1131</v>
      </c>
      <c r="C34" s="10">
        <v>1</v>
      </c>
      <c r="D34" s="10">
        <v>4900</v>
      </c>
      <c r="E34" s="7">
        <f>+$I$2+(AGSAFRIQUE[[#This Row],[QUANTITE]]*AGSAFRIQUE[[#This Row],[PRIX UNITAIRE]])</f>
        <v>4900</v>
      </c>
      <c r="F34" s="14"/>
      <c r="G34" s="6">
        <f>+SUM(E$9:$E34)-SUM(F$9:$F34)</f>
        <v>79380</v>
      </c>
    </row>
    <row r="35" spans="1:7" ht="28.8" x14ac:dyDescent="0.55000000000000004">
      <c r="A35" s="12">
        <v>45832</v>
      </c>
      <c r="B35" s="13" t="s">
        <v>2722</v>
      </c>
      <c r="C35" s="10">
        <v>1</v>
      </c>
      <c r="D35" s="10">
        <v>4900</v>
      </c>
      <c r="E35" s="7">
        <f>+$I$2+(AGSAFRIQUE[[#This Row],[QUANTITE]]*AGSAFRIQUE[[#This Row],[PRIX UNITAIRE]])</f>
        <v>4900</v>
      </c>
      <c r="F35" s="14"/>
      <c r="G35" s="6">
        <f>+SUM(E$9:$E35)-SUM(F$9:$F35)</f>
        <v>84280</v>
      </c>
    </row>
    <row r="36" spans="1:7" ht="28.8" x14ac:dyDescent="0.55000000000000004">
      <c r="A36" s="12">
        <v>45847</v>
      </c>
      <c r="B36" s="13" t="s">
        <v>480</v>
      </c>
      <c r="C36" s="10">
        <v>1</v>
      </c>
      <c r="D36" s="10">
        <v>4900</v>
      </c>
      <c r="E36" s="7">
        <f>+$I$2+(AGSAFRIQUE[[#This Row],[QUANTITE]]*AGSAFRIQUE[[#This Row],[PRIX UNITAIRE]])</f>
        <v>4900</v>
      </c>
      <c r="F36" s="14"/>
      <c r="G36" s="6">
        <f>+SUM(E$9:$E36)-SUM(F$9:$F36)</f>
        <v>89180</v>
      </c>
    </row>
    <row r="37" spans="1:7" ht="28.8" x14ac:dyDescent="0.55000000000000004">
      <c r="A37" s="12">
        <v>45849</v>
      </c>
      <c r="B37" s="13" t="s">
        <v>480</v>
      </c>
      <c r="C37" s="10">
        <v>1</v>
      </c>
      <c r="D37" s="10">
        <v>4900</v>
      </c>
      <c r="E37" s="7">
        <f>+$I$2+(AGSAFRIQUE[[#This Row],[QUANTITE]]*AGSAFRIQUE[[#This Row],[PRIX UNITAIRE]])</f>
        <v>4900</v>
      </c>
      <c r="F37" s="14"/>
      <c r="G37" s="6">
        <f>+SUM(E$9:$E37)-SUM(F$9:$F37)</f>
        <v>94080</v>
      </c>
    </row>
    <row r="38" spans="1:7" ht="28.8" x14ac:dyDescent="0.55000000000000004">
      <c r="A38" s="12">
        <v>45869</v>
      </c>
      <c r="B38" s="13" t="s">
        <v>451</v>
      </c>
      <c r="C38" s="10"/>
      <c r="D38" s="10"/>
      <c r="E38" s="7">
        <f>+$I$2+(AGSAFRIQUE[[#This Row],[QUANTITE]]*AGSAFRIQUE[[#This Row],[PRIX UNITAIRE]])</f>
        <v>0</v>
      </c>
      <c r="F38" s="14">
        <v>139280</v>
      </c>
      <c r="G38" s="6">
        <f>+SUM(E$9:$E38)-SUM(F$9:$F38)</f>
        <v>-45200</v>
      </c>
    </row>
    <row r="39" spans="1:7" ht="28.8" x14ac:dyDescent="0.55000000000000004">
      <c r="A39" s="12">
        <v>45869</v>
      </c>
      <c r="B39" s="13" t="s">
        <v>480</v>
      </c>
      <c r="C39" s="10">
        <v>1</v>
      </c>
      <c r="D39" s="10">
        <v>4900</v>
      </c>
      <c r="E39" s="7">
        <f>+$I$2+(AGSAFRIQUE[[#This Row],[QUANTITE]]*AGSAFRIQUE[[#This Row],[PRIX UNITAIRE]])</f>
        <v>4900</v>
      </c>
      <c r="F39" s="14"/>
      <c r="G39" s="6">
        <f>+SUM(E$9:$E39)-SUM(F$9:$F39)</f>
        <v>-40300</v>
      </c>
    </row>
    <row r="40" spans="1:7" ht="28.8" x14ac:dyDescent="0.55000000000000004">
      <c r="A40" s="12">
        <v>45870</v>
      </c>
      <c r="B40" s="13" t="s">
        <v>480</v>
      </c>
      <c r="C40" s="10">
        <v>1</v>
      </c>
      <c r="D40" s="10">
        <v>4900</v>
      </c>
      <c r="E40" s="7">
        <f>+$I$2+(AGSAFRIQUE[[#This Row],[QUANTITE]]*AGSAFRIQUE[[#This Row],[PRIX UNITAIRE]])</f>
        <v>4900</v>
      </c>
      <c r="F40" s="14"/>
      <c r="G40" s="6">
        <f>+SUM(E$9:$E40)-SUM(F$9:$F40)</f>
        <v>-35400</v>
      </c>
    </row>
    <row r="41" spans="1:7" ht="28.8" x14ac:dyDescent="0.55000000000000004">
      <c r="A41" s="12">
        <v>45870</v>
      </c>
      <c r="B41" s="13" t="s">
        <v>480</v>
      </c>
      <c r="C41" s="10">
        <v>1</v>
      </c>
      <c r="D41" s="10">
        <v>4900</v>
      </c>
      <c r="E41" s="7">
        <f>+$I$2+(AGSAFRIQUE[[#This Row],[QUANTITE]]*AGSAFRIQUE[[#This Row],[PRIX UNITAIRE]])</f>
        <v>4900</v>
      </c>
      <c r="F41" s="14"/>
      <c r="G41" s="6">
        <f>+SUM(E$9:$E41)-SUM(F$9:$F41)</f>
        <v>-30500</v>
      </c>
    </row>
    <row r="42" spans="1:7" ht="28.8" x14ac:dyDescent="0.55000000000000004">
      <c r="A42" s="12">
        <v>45849</v>
      </c>
      <c r="B42" s="13" t="s">
        <v>2954</v>
      </c>
      <c r="C42" s="10">
        <v>1</v>
      </c>
      <c r="D42" s="10">
        <v>4900</v>
      </c>
      <c r="E42" s="7">
        <f>+$I$2+(AGSAFRIQUE[[#This Row],[QUANTITE]]*AGSAFRIQUE[[#This Row],[PRIX UNITAIRE]])</f>
        <v>4900</v>
      </c>
      <c r="F42" s="14"/>
      <c r="G42" s="6">
        <f>+SUM(E$9:$E42)-SUM(F$9:$F42)</f>
        <v>-25600</v>
      </c>
    </row>
    <row r="43" spans="1:7" ht="28.8" x14ac:dyDescent="0.55000000000000004">
      <c r="A43" s="12">
        <v>45889</v>
      </c>
      <c r="B43" s="13" t="s">
        <v>486</v>
      </c>
      <c r="C43" s="10">
        <v>1</v>
      </c>
      <c r="D43" s="10">
        <v>4900</v>
      </c>
      <c r="E43" s="7">
        <f>+$I$2+(AGSAFRIQUE[[#This Row],[QUANTITE]]*AGSAFRIQUE[[#This Row],[PRIX UNITAIRE]])</f>
        <v>4900</v>
      </c>
      <c r="F43" s="14">
        <v>1000</v>
      </c>
      <c r="G43" s="6">
        <f>+SUM(E$9:$E43)-SUM(F$9:$F43)</f>
        <v>-21700</v>
      </c>
    </row>
    <row r="44" spans="1:7" ht="28.8" x14ac:dyDescent="0.55000000000000004">
      <c r="A44" s="12">
        <v>45889</v>
      </c>
      <c r="B44" s="13" t="s">
        <v>480</v>
      </c>
      <c r="C44" s="10">
        <v>1</v>
      </c>
      <c r="D44" s="10">
        <v>4900</v>
      </c>
      <c r="E44" s="7">
        <f>+$I$2+(AGSAFRIQUE[[#This Row],[QUANTITE]]*AGSAFRIQUE[[#This Row],[PRIX UNITAIRE]])</f>
        <v>4900</v>
      </c>
      <c r="F44" s="14"/>
      <c r="G44" s="6">
        <f>+SUM(E$9:$E44)-SUM(F$9:$F44)</f>
        <v>-16800</v>
      </c>
    </row>
    <row r="45" spans="1:7" ht="28.8" x14ac:dyDescent="0.55000000000000004">
      <c r="A45" s="12">
        <v>45911</v>
      </c>
      <c r="B45" s="13" t="s">
        <v>3117</v>
      </c>
      <c r="C45" s="10">
        <v>1</v>
      </c>
      <c r="D45" s="10">
        <v>4900</v>
      </c>
      <c r="E45" s="7">
        <f>+$I$2+(AGSAFRIQUE[[#This Row],[QUANTITE]]*AGSAFRIQUE[[#This Row],[PRIX UNITAIRE]])</f>
        <v>4900</v>
      </c>
      <c r="F45" s="14"/>
      <c r="G45" s="6">
        <f>+SUM(E$9:$E45)-SUM(F$9:$F45)</f>
        <v>-11900</v>
      </c>
    </row>
    <row r="46" spans="1:7" ht="28.8" x14ac:dyDescent="0.55000000000000004">
      <c r="A46" s="12">
        <v>45933</v>
      </c>
      <c r="B46" s="13" t="s">
        <v>486</v>
      </c>
      <c r="C46" s="10">
        <v>1</v>
      </c>
      <c r="D46" s="10">
        <v>4900</v>
      </c>
      <c r="E46" s="7">
        <f>+$I$2+(AGSAFRIQUE[[#This Row],[QUANTITE]]*AGSAFRIQUE[[#This Row],[PRIX UNITAIRE]])</f>
        <v>4900</v>
      </c>
      <c r="F46" s="14"/>
      <c r="G46" s="6">
        <f>+SUM(E$9:$E46)-SUM(F$9:$F46)</f>
        <v>-7000</v>
      </c>
    </row>
    <row r="47" spans="1:7" ht="28.8" x14ac:dyDescent="0.55000000000000004">
      <c r="A47" s="12">
        <v>45936</v>
      </c>
      <c r="B47" s="13" t="s">
        <v>480</v>
      </c>
      <c r="C47" s="10">
        <v>1</v>
      </c>
      <c r="D47" s="10">
        <v>4900</v>
      </c>
      <c r="E47" s="7">
        <f>+$I$2+(AGSAFRIQUE[[#This Row],[QUANTITE]]*AGSAFRIQUE[[#This Row],[PRIX UNITAIRE]])</f>
        <v>4900</v>
      </c>
      <c r="F47" s="14"/>
      <c r="G47" s="6">
        <f>+SUM(E$9:$E47)-SUM(F$9:$F47)</f>
        <v>-2100</v>
      </c>
    </row>
    <row r="48" spans="1:7" ht="28.8" x14ac:dyDescent="0.55000000000000004">
      <c r="A48" s="12">
        <v>45937</v>
      </c>
      <c r="B48" s="13" t="s">
        <v>3159</v>
      </c>
      <c r="C48" s="10">
        <v>1</v>
      </c>
      <c r="D48" s="10">
        <v>4900</v>
      </c>
      <c r="E48" s="7">
        <f>+$I$2+(AGSAFRIQUE[[#This Row],[QUANTITE]]*AGSAFRIQUE[[#This Row],[PRIX UNITAIRE]])</f>
        <v>4900</v>
      </c>
      <c r="F48" s="14"/>
      <c r="G48" s="6">
        <f>+SUM(E$9:$E48)-SUM(F$9:$F48)</f>
        <v>2800</v>
      </c>
    </row>
    <row r="49" spans="1:7" ht="28.8" x14ac:dyDescent="0.55000000000000004">
      <c r="A49" s="12">
        <v>45937</v>
      </c>
      <c r="B49" s="13" t="s">
        <v>486</v>
      </c>
      <c r="C49" s="10">
        <v>1</v>
      </c>
      <c r="D49" s="10">
        <v>4900</v>
      </c>
      <c r="E49" s="7">
        <f>+$I$2+(AGSAFRIQUE[[#This Row],[QUANTITE]]*AGSAFRIQUE[[#This Row],[PRIX UNITAIRE]])</f>
        <v>4900</v>
      </c>
      <c r="F49" s="14"/>
      <c r="G49" s="6">
        <f>+SUM(E$9:$E49)-SUM(F$9:$F49)</f>
        <v>7700</v>
      </c>
    </row>
    <row r="50" spans="1:7" ht="28.8" x14ac:dyDescent="0.55000000000000004">
      <c r="A50" s="12">
        <v>45937</v>
      </c>
      <c r="B50" s="13" t="s">
        <v>486</v>
      </c>
      <c r="C50" s="10">
        <v>1</v>
      </c>
      <c r="D50" s="10">
        <v>4900</v>
      </c>
      <c r="E50" s="7">
        <f>+$I$2+(AGSAFRIQUE[[#This Row],[QUANTITE]]*AGSAFRIQUE[[#This Row],[PRIX UNITAIRE]])</f>
        <v>4900</v>
      </c>
      <c r="F50" s="14"/>
      <c r="G50" s="6">
        <f>+SUM(E$9:$E50)-SUM(F$9:$F50)</f>
        <v>12600</v>
      </c>
    </row>
    <row r="51" spans="1:7" ht="28.8" x14ac:dyDescent="0.55000000000000004">
      <c r="A51" s="12">
        <v>45938</v>
      </c>
      <c r="B51" s="13" t="s">
        <v>486</v>
      </c>
      <c r="C51" s="10">
        <v>1</v>
      </c>
      <c r="D51" s="10">
        <v>4900</v>
      </c>
      <c r="E51" s="7">
        <f>+$I$2+(AGSAFRIQUE[[#This Row],[QUANTITE]]*AGSAFRIQUE[[#This Row],[PRIX UNITAIRE]])</f>
        <v>4900</v>
      </c>
      <c r="F51" s="14"/>
      <c r="G51" s="6">
        <f>+SUM(E$9:$E51)-SUM(F$9:$F51)</f>
        <v>17500</v>
      </c>
    </row>
    <row r="52" spans="1:7" ht="28.8" x14ac:dyDescent="0.55000000000000004">
      <c r="A52" s="12">
        <v>45951</v>
      </c>
      <c r="B52" s="13" t="s">
        <v>451</v>
      </c>
      <c r="C52" s="10"/>
      <c r="D52" s="10"/>
      <c r="E52" s="7">
        <f>+$I$2+(AGSAFRIQUE[[#This Row],[QUANTITE]]*AGSAFRIQUE[[#This Row],[PRIX UNITAIRE]])</f>
        <v>0</v>
      </c>
      <c r="F52" s="14">
        <v>44000</v>
      </c>
      <c r="G52" s="6">
        <f>+SUM(E$9:$E52)-SUM(F$9:$F52)</f>
        <v>-26500</v>
      </c>
    </row>
    <row r="53" spans="1:7" ht="28.8" x14ac:dyDescent="0.55000000000000004">
      <c r="A53" s="12">
        <v>45954</v>
      </c>
      <c r="B53" s="13" t="s">
        <v>3159</v>
      </c>
      <c r="C53" s="10">
        <v>1</v>
      </c>
      <c r="D53" s="10">
        <v>4900</v>
      </c>
      <c r="E53" s="7">
        <f>+$I$2+(AGSAFRIQUE[[#This Row],[QUANTITE]]*AGSAFRIQUE[[#This Row],[PRIX UNITAIRE]])</f>
        <v>4900</v>
      </c>
      <c r="F53" s="14"/>
      <c r="G53" s="6">
        <f>+SUM(E$9:$E53)-SUM(F$9:$F53)</f>
        <v>-21600</v>
      </c>
    </row>
    <row r="54" spans="1:7" ht="28.8" x14ac:dyDescent="0.55000000000000004">
      <c r="A54" s="12">
        <v>45959</v>
      </c>
      <c r="B54" s="13" t="s">
        <v>486</v>
      </c>
      <c r="C54" s="10">
        <v>1</v>
      </c>
      <c r="D54" s="10">
        <v>4900</v>
      </c>
      <c r="E54" s="7">
        <f>+$I$2+(AGSAFRIQUE[[#This Row],[QUANTITE]]*AGSAFRIQUE[[#This Row],[PRIX UNITAIRE]])</f>
        <v>4900</v>
      </c>
      <c r="F54" s="14"/>
      <c r="G54" s="6">
        <f>+SUM(E$9:$E54)-SUM(F$9:$F54)</f>
        <v>-16700</v>
      </c>
    </row>
    <row r="55" spans="1:7" ht="28.8" x14ac:dyDescent="0.55000000000000004">
      <c r="A55" s="12">
        <v>45959</v>
      </c>
      <c r="B55" s="13" t="s">
        <v>3192</v>
      </c>
      <c r="C55" s="10">
        <v>1</v>
      </c>
      <c r="D55" s="10">
        <v>4900</v>
      </c>
      <c r="E55" s="7">
        <f>+$I$2+(AGSAFRIQUE[[#This Row],[QUANTITE]]*AGSAFRIQUE[[#This Row],[PRIX UNITAIRE]])</f>
        <v>4900</v>
      </c>
      <c r="F55" s="14"/>
      <c r="G55" s="6">
        <f>+SUM(E$9:$E55)-SUM(F$9:$F55)</f>
        <v>-11800</v>
      </c>
    </row>
    <row r="56" spans="1:7" ht="28.8" x14ac:dyDescent="0.55000000000000004">
      <c r="A56" s="12">
        <v>45961</v>
      </c>
      <c r="B56" s="13" t="s">
        <v>486</v>
      </c>
      <c r="C56" s="10">
        <v>1</v>
      </c>
      <c r="D56" s="10">
        <v>4900</v>
      </c>
      <c r="E56" s="7">
        <f>+$I$2+(AGSAFRIQUE[[#This Row],[QUANTITE]]*AGSAFRIQUE[[#This Row],[PRIX UNITAIRE]])</f>
        <v>4900</v>
      </c>
      <c r="F56" s="14"/>
      <c r="G56" s="6">
        <f>+SUM(E$9:$E56)-SUM(F$9:$F56)</f>
        <v>-6900</v>
      </c>
    </row>
    <row r="57" spans="1:7" ht="28.8" x14ac:dyDescent="0.55000000000000004">
      <c r="A57" s="12">
        <v>45961</v>
      </c>
      <c r="B57" s="13" t="s">
        <v>486</v>
      </c>
      <c r="C57" s="10">
        <v>1</v>
      </c>
      <c r="D57" s="10">
        <v>4900</v>
      </c>
      <c r="E57" s="7">
        <f>+$I$2+(AGSAFRIQUE[[#This Row],[QUANTITE]]*AGSAFRIQUE[[#This Row],[PRIX UNITAIRE]])</f>
        <v>4900</v>
      </c>
      <c r="F57" s="14"/>
      <c r="G57" s="6">
        <f>+SUM(E$9:$E57)-SUM(F$9:$F57)</f>
        <v>-2000</v>
      </c>
    </row>
    <row r="58" spans="1:7" ht="28.8" x14ac:dyDescent="0.55000000000000004">
      <c r="A58" s="12">
        <v>45961</v>
      </c>
      <c r="B58" s="13" t="s">
        <v>480</v>
      </c>
      <c r="C58" s="10">
        <v>1</v>
      </c>
      <c r="D58" s="10">
        <v>4900</v>
      </c>
      <c r="E58" s="7">
        <f>+$I$2+(AGSAFRIQUE[[#This Row],[QUANTITE]]*AGSAFRIQUE[[#This Row],[PRIX UNITAIRE]])</f>
        <v>4900</v>
      </c>
      <c r="F58" s="14"/>
      <c r="G58" s="6">
        <f>+SUM(E$9:$E58)-SUM(F$9:$F58)</f>
        <v>2900</v>
      </c>
    </row>
    <row r="59" spans="1:7" ht="28.8" x14ac:dyDescent="0.55000000000000004">
      <c r="A59" s="12">
        <v>45966</v>
      </c>
      <c r="B59" s="13" t="s">
        <v>3199</v>
      </c>
      <c r="C59" s="10">
        <v>1</v>
      </c>
      <c r="D59" s="10">
        <v>4900</v>
      </c>
      <c r="E59" s="7">
        <f>+$I$2+(AGSAFRIQUE[[#This Row],[QUANTITE]]*AGSAFRIQUE[[#This Row],[PRIX UNITAIRE]])</f>
        <v>4900</v>
      </c>
      <c r="F59" s="14"/>
      <c r="G59" s="6">
        <f>+SUM(E$9:$E59)-SUM(F$9:$F59)</f>
        <v>7800</v>
      </c>
    </row>
    <row r="60" spans="1:7" ht="28.8" x14ac:dyDescent="0.55000000000000004">
      <c r="A60" s="12">
        <v>45968</v>
      </c>
      <c r="B60" s="13" t="s">
        <v>3205</v>
      </c>
      <c r="C60" s="10">
        <v>1</v>
      </c>
      <c r="D60" s="10">
        <v>4900</v>
      </c>
      <c r="E60" s="7">
        <f>+$I$2+(AGSAFRIQUE[[#This Row],[QUANTITE]]*AGSAFRIQUE[[#This Row],[PRIX UNITAIRE]])</f>
        <v>4900</v>
      </c>
      <c r="F60" s="14"/>
      <c r="G60" s="6">
        <f>+SUM(E$9:$E60)-SUM(F$9:$F60)</f>
        <v>12700</v>
      </c>
    </row>
    <row r="61" spans="1:7" ht="28.8" x14ac:dyDescent="0.55000000000000004">
      <c r="A61" s="12">
        <v>45968</v>
      </c>
      <c r="B61" s="13" t="s">
        <v>3206</v>
      </c>
      <c r="C61" s="10">
        <v>1</v>
      </c>
      <c r="D61" s="10">
        <v>4900</v>
      </c>
      <c r="E61" s="7">
        <f>+$I$2+(AGSAFRIQUE[[#This Row],[QUANTITE]]*AGSAFRIQUE[[#This Row],[PRIX UNITAIRE]])</f>
        <v>4900</v>
      </c>
      <c r="F61" s="14"/>
      <c r="G61" s="6">
        <f>+SUM(E$9:$E61)-SUM(F$9:$F61)</f>
        <v>17600</v>
      </c>
    </row>
    <row r="62" spans="1:7" ht="28.8" x14ac:dyDescent="0.55000000000000004">
      <c r="A62" s="12">
        <v>45967</v>
      </c>
      <c r="B62" s="13" t="s">
        <v>3220</v>
      </c>
      <c r="C62" s="10">
        <v>1</v>
      </c>
      <c r="D62" s="10">
        <v>4900</v>
      </c>
      <c r="E62" s="7">
        <f>+$I$2+(AGSAFRIQUE[[#This Row],[QUANTITE]]*AGSAFRIQUE[[#This Row],[PRIX UNITAIRE]])</f>
        <v>4900</v>
      </c>
      <c r="F62" s="14"/>
      <c r="G62" s="6">
        <f>+SUM(E$9:$E62)-SUM(F$9:$F62)</f>
        <v>22500</v>
      </c>
    </row>
    <row r="63" spans="1:7" ht="28.8" x14ac:dyDescent="0.55000000000000004">
      <c r="A63" s="12">
        <v>45974</v>
      </c>
      <c r="B63" s="13" t="s">
        <v>3229</v>
      </c>
      <c r="C63" s="10">
        <v>1</v>
      </c>
      <c r="D63" s="10">
        <v>4900</v>
      </c>
      <c r="E63" s="7">
        <f>+$I$2+(AGSAFRIQUE[[#This Row],[QUANTITE]]*AGSAFRIQUE[[#This Row],[PRIX UNITAIRE]])</f>
        <v>4900</v>
      </c>
      <c r="F63" s="14"/>
      <c r="G63" s="6">
        <f>+SUM(E$9:$E63)-SUM(F$9:$F63)</f>
        <v>27400</v>
      </c>
    </row>
    <row r="64" spans="1:7" ht="28.8" x14ac:dyDescent="0.55000000000000004">
      <c r="A64" s="12">
        <v>45992</v>
      </c>
      <c r="B64" s="13" t="s">
        <v>3261</v>
      </c>
      <c r="C64" s="10">
        <v>1</v>
      </c>
      <c r="D64" s="10">
        <v>4900</v>
      </c>
      <c r="E64" s="7">
        <f>+$I$2+(AGSAFRIQUE[[#This Row],[QUANTITE]]*AGSAFRIQUE[[#This Row],[PRIX UNITAIRE]])</f>
        <v>4900</v>
      </c>
      <c r="F64" s="14"/>
      <c r="G64" s="6">
        <f>+SUM(E$9:$E64)-SUM(F$9:$F64)</f>
        <v>32300</v>
      </c>
    </row>
    <row r="65" spans="1:7" ht="28.8" x14ac:dyDescent="0.55000000000000004">
      <c r="A65" s="12">
        <v>45994</v>
      </c>
      <c r="B65" s="13" t="s">
        <v>3277</v>
      </c>
      <c r="C65" s="10">
        <v>1</v>
      </c>
      <c r="D65" s="10">
        <v>4900</v>
      </c>
      <c r="E65" s="7">
        <f>+$I$2+(AGSAFRIQUE[[#This Row],[QUANTITE]]*AGSAFRIQUE[[#This Row],[PRIX UNITAIRE]])</f>
        <v>4900</v>
      </c>
      <c r="F65" s="14"/>
      <c r="G65" s="6">
        <f>+SUM(E$9:$E65)-SUM(F$9:$F65)</f>
        <v>37200</v>
      </c>
    </row>
    <row r="66" spans="1:7" ht="28.8" x14ac:dyDescent="0.55000000000000004">
      <c r="A66" s="12">
        <v>45994</v>
      </c>
      <c r="B66" s="13" t="s">
        <v>3278</v>
      </c>
      <c r="C66" s="10">
        <v>1</v>
      </c>
      <c r="D66" s="10">
        <v>4900</v>
      </c>
      <c r="E66" s="7">
        <f>+$I$2+(AGSAFRIQUE[[#This Row],[QUANTITE]]*AGSAFRIQUE[[#This Row],[PRIX UNITAIRE]])</f>
        <v>4900</v>
      </c>
      <c r="F66" s="14"/>
      <c r="G66" s="6">
        <f>+SUM(E$9:$E66)-SUM(F$9:$F66)</f>
        <v>42100</v>
      </c>
    </row>
    <row r="67" spans="1:7" ht="28.8" x14ac:dyDescent="0.55000000000000004">
      <c r="A67" s="12">
        <v>45997</v>
      </c>
      <c r="B67" s="13" t="s">
        <v>3284</v>
      </c>
      <c r="C67" s="10">
        <v>1</v>
      </c>
      <c r="D67" s="10">
        <v>4900</v>
      </c>
      <c r="E67" s="7">
        <f>+$I$2+(AGSAFRIQUE[[#This Row],[QUANTITE]]*AGSAFRIQUE[[#This Row],[PRIX UNITAIRE]])</f>
        <v>4900</v>
      </c>
      <c r="F67" s="14"/>
      <c r="G67" s="6">
        <f>+SUM(E$9:$E67)-SUM(F$9:$F67)</f>
        <v>47000</v>
      </c>
    </row>
    <row r="68" spans="1:7" ht="28.8" x14ac:dyDescent="0.55000000000000004">
      <c r="A68" s="12">
        <v>45996</v>
      </c>
      <c r="B68" s="13" t="s">
        <v>3285</v>
      </c>
      <c r="C68" s="10">
        <v>1</v>
      </c>
      <c r="D68" s="10">
        <v>4900</v>
      </c>
      <c r="E68" s="7">
        <f>+$I$2+(AGSAFRIQUE[[#This Row],[QUANTITE]]*AGSAFRIQUE[[#This Row],[PRIX UNITAIRE]])</f>
        <v>4900</v>
      </c>
      <c r="F68" s="14"/>
      <c r="G68" s="6">
        <f>+SUM(E$9:$E68)-SUM(F$9:$F68)</f>
        <v>51900</v>
      </c>
    </row>
    <row r="69" spans="1:7" ht="28.8" x14ac:dyDescent="0.55000000000000004">
      <c r="A69" s="12">
        <v>45999</v>
      </c>
      <c r="B69" s="13" t="s">
        <v>3288</v>
      </c>
      <c r="C69" s="10">
        <v>1</v>
      </c>
      <c r="D69" s="10">
        <v>4900</v>
      </c>
      <c r="E69" s="7">
        <f>+$I$2+(AGSAFRIQUE[[#This Row],[QUANTITE]]*AGSAFRIQUE[[#This Row],[PRIX UNITAIRE]])</f>
        <v>4900</v>
      </c>
      <c r="F69" s="14"/>
      <c r="G69" s="6">
        <f>+SUM(E$9:$E69)-SUM(F$9:$F69)</f>
        <v>56800</v>
      </c>
    </row>
    <row r="70" spans="1:7" ht="28.8" x14ac:dyDescent="0.55000000000000004">
      <c r="A70" s="12">
        <v>46002</v>
      </c>
      <c r="B70" s="13" t="s">
        <v>3291</v>
      </c>
      <c r="C70" s="10">
        <v>1</v>
      </c>
      <c r="D70" s="10">
        <v>4900</v>
      </c>
      <c r="E70" s="7">
        <f>+$I$2+(AGSAFRIQUE[[#This Row],[QUANTITE]]*AGSAFRIQUE[[#This Row],[PRIX UNITAIRE]])</f>
        <v>4900</v>
      </c>
      <c r="F70" s="14"/>
      <c r="G70" s="6">
        <f>+SUM(E$9:$E70)-SUM(F$9:$F70)</f>
        <v>61700</v>
      </c>
    </row>
    <row r="71" spans="1:7" ht="28.8" x14ac:dyDescent="0.55000000000000004">
      <c r="A71" s="12">
        <v>46003</v>
      </c>
      <c r="B71" s="13" t="s">
        <v>3292</v>
      </c>
      <c r="C71" s="10">
        <v>1</v>
      </c>
      <c r="D71" s="10">
        <v>4900</v>
      </c>
      <c r="E71" s="7">
        <f>+$I$2+(AGSAFRIQUE[[#This Row],[QUANTITE]]*AGSAFRIQUE[[#This Row],[PRIX UNITAIRE]])</f>
        <v>4900</v>
      </c>
      <c r="F71" s="14"/>
      <c r="G71" s="6">
        <f>+SUM(E$9:$E71)-SUM(F$9:$F71)</f>
        <v>66600</v>
      </c>
    </row>
    <row r="72" spans="1:7" ht="28.8" x14ac:dyDescent="0.55000000000000004">
      <c r="A72" s="12">
        <v>46006</v>
      </c>
      <c r="B72" s="13" t="s">
        <v>3294</v>
      </c>
      <c r="C72" s="10">
        <v>1</v>
      </c>
      <c r="D72" s="10">
        <v>4900</v>
      </c>
      <c r="E72" s="7">
        <f>+$I$2+(AGSAFRIQUE[[#This Row],[QUANTITE]]*AGSAFRIQUE[[#This Row],[PRIX UNITAIRE]])</f>
        <v>4900</v>
      </c>
      <c r="F72" s="14"/>
      <c r="G72" s="6">
        <f>+SUM(E$9:$E72)-SUM(F$9:$F72)</f>
        <v>71500</v>
      </c>
    </row>
    <row r="73" spans="1:7" ht="28.8" x14ac:dyDescent="0.55000000000000004">
      <c r="A73" s="12">
        <v>46014</v>
      </c>
      <c r="B73" s="13" t="s">
        <v>3306</v>
      </c>
      <c r="C73" s="10">
        <v>1</v>
      </c>
      <c r="D73" s="10">
        <v>4900</v>
      </c>
      <c r="E73" s="7">
        <f>+$I$2+(AGSAFRIQUE[[#This Row],[QUANTITE]]*AGSAFRIQUE[[#This Row],[PRIX UNITAIRE]])</f>
        <v>4900</v>
      </c>
      <c r="F73" s="14"/>
      <c r="G73" s="6">
        <f>+SUM(E$9:$E73)-SUM(F$9:$F73)</f>
        <v>76400</v>
      </c>
    </row>
    <row r="74" spans="1:7" ht="28.8" x14ac:dyDescent="0.55000000000000004">
      <c r="A74" s="12">
        <v>46017</v>
      </c>
      <c r="B74" s="13" t="s">
        <v>3309</v>
      </c>
      <c r="C74" s="10">
        <v>1</v>
      </c>
      <c r="D74" s="10">
        <v>4900</v>
      </c>
      <c r="E74" s="7">
        <f>+$I$2+(AGSAFRIQUE[[#This Row],[QUANTITE]]*AGSAFRIQUE[[#This Row],[PRIX UNITAIRE]])</f>
        <v>4900</v>
      </c>
      <c r="F74" s="14"/>
      <c r="G74" s="6">
        <f>+SUM(E$9:$E74)-SUM(F$9:$F74)</f>
        <v>81300</v>
      </c>
    </row>
    <row r="75" spans="1:7" ht="28.8" x14ac:dyDescent="0.55000000000000004">
      <c r="A75" s="12">
        <v>46017</v>
      </c>
      <c r="B75" s="13" t="s">
        <v>3310</v>
      </c>
      <c r="C75" s="10">
        <v>1</v>
      </c>
      <c r="D75" s="10">
        <v>4900</v>
      </c>
      <c r="E75" s="7">
        <f>+$I$2+(AGSAFRIQUE[[#This Row],[QUANTITE]]*AGSAFRIQUE[[#This Row],[PRIX UNITAIRE]])</f>
        <v>4900</v>
      </c>
      <c r="F75" s="14"/>
      <c r="G75" s="6">
        <f>+SUM(E$9:$E75)-SUM(F$9:$F75)</f>
        <v>86200</v>
      </c>
    </row>
    <row r="76" spans="1:7" ht="28.8" x14ac:dyDescent="0.55000000000000004">
      <c r="A76" s="12">
        <v>46029</v>
      </c>
      <c r="B76" s="13" t="s">
        <v>3371</v>
      </c>
      <c r="C76" s="10">
        <v>1</v>
      </c>
      <c r="D76" s="10">
        <v>4900</v>
      </c>
      <c r="E76" s="7">
        <f>+$I$2+(AGSAFRIQUE[[#This Row],[QUANTITE]]*AGSAFRIQUE[[#This Row],[PRIX UNITAIRE]])</f>
        <v>4900</v>
      </c>
      <c r="F76" s="14"/>
      <c r="G76" s="6">
        <f>+SUM(E$9:$E76)-SUM(F$9:$F76)</f>
        <v>91100</v>
      </c>
    </row>
    <row r="77" spans="1:7" ht="28.8" x14ac:dyDescent="0.55000000000000004">
      <c r="A77" s="12">
        <v>46031</v>
      </c>
      <c r="B77" s="13" t="s">
        <v>3372</v>
      </c>
      <c r="C77" s="10">
        <v>1</v>
      </c>
      <c r="D77" s="10">
        <v>4900</v>
      </c>
      <c r="E77" s="7">
        <f>+$I$2+(AGSAFRIQUE[[#This Row],[QUANTITE]]*AGSAFRIQUE[[#This Row],[PRIX UNITAIRE]])</f>
        <v>4900</v>
      </c>
      <c r="F77" s="14"/>
      <c r="G77" s="6">
        <f>+SUM(E$9:$E77)-SUM(F$9:$F77)</f>
        <v>96000</v>
      </c>
    </row>
    <row r="78" spans="1:7" ht="28.8" x14ac:dyDescent="0.55000000000000004">
      <c r="A78" s="12">
        <v>46048</v>
      </c>
      <c r="B78" s="13" t="s">
        <v>3387</v>
      </c>
      <c r="C78" s="10">
        <v>1</v>
      </c>
      <c r="D78" s="10">
        <v>4900</v>
      </c>
      <c r="E78" s="7">
        <f>+$I$2+(AGSAFRIQUE[[#This Row],[QUANTITE]]*AGSAFRIQUE[[#This Row],[PRIX UNITAIRE]])</f>
        <v>4900</v>
      </c>
      <c r="F78" s="14"/>
      <c r="G78" s="6">
        <f>+SUM(E$9:$E78)-SUM(F$9:$F78)</f>
        <v>100900</v>
      </c>
    </row>
    <row r="79" spans="1:7" ht="28.8" x14ac:dyDescent="0.55000000000000004">
      <c r="A79" s="12">
        <v>46042</v>
      </c>
      <c r="B79" s="13" t="s">
        <v>3388</v>
      </c>
      <c r="C79" s="10">
        <v>1</v>
      </c>
      <c r="D79" s="10">
        <v>4900</v>
      </c>
      <c r="E79" s="7">
        <f>+$I$2+(AGSAFRIQUE[[#This Row],[QUANTITE]]*AGSAFRIQUE[[#This Row],[PRIX UNITAIRE]])</f>
        <v>4900</v>
      </c>
      <c r="F79" s="14"/>
      <c r="G79" s="6">
        <f>+SUM(E$9:$E79)-SUM(F$9:$F79)</f>
        <v>105800</v>
      </c>
    </row>
    <row r="80" spans="1:7" ht="28.8" x14ac:dyDescent="0.55000000000000004">
      <c r="A80" s="12">
        <v>46055</v>
      </c>
      <c r="B80" s="13" t="s">
        <v>3398</v>
      </c>
      <c r="C80" s="10">
        <v>1</v>
      </c>
      <c r="D80" s="10">
        <v>4900</v>
      </c>
      <c r="E80" s="7">
        <f>+$I$2+(AGSAFRIQUE[[#This Row],[QUANTITE]]*AGSAFRIQUE[[#This Row],[PRIX UNITAIRE]])</f>
        <v>4900</v>
      </c>
      <c r="F80" s="14"/>
      <c r="G80" s="6">
        <f>+SUM(E$9:$E80)-SUM(F$9:$F80)</f>
        <v>110700</v>
      </c>
    </row>
    <row r="81" spans="1:7" ht="28.8" x14ac:dyDescent="0.55000000000000004">
      <c r="A81" s="12">
        <v>46061</v>
      </c>
      <c r="B81" s="13" t="s">
        <v>3417</v>
      </c>
      <c r="C81" s="10">
        <v>1</v>
      </c>
      <c r="D81" s="10">
        <v>4900</v>
      </c>
      <c r="E81" s="7">
        <f>+$I$2+(AGSAFRIQUE[[#This Row],[QUANTITE]]*AGSAFRIQUE[[#This Row],[PRIX UNITAIRE]])</f>
        <v>4900</v>
      </c>
      <c r="F81" s="14"/>
      <c r="G81" s="6">
        <f>+SUM(E$9:$E81)-SUM(F$9:$F81)</f>
        <v>115600</v>
      </c>
    </row>
    <row r="82" spans="1:7" ht="28.8" x14ac:dyDescent="0.55000000000000004">
      <c r="A82" s="12">
        <v>46062</v>
      </c>
      <c r="B82" s="13" t="s">
        <v>3422</v>
      </c>
      <c r="C82" s="10">
        <v>1</v>
      </c>
      <c r="D82" s="10">
        <v>4900</v>
      </c>
      <c r="E82" s="7">
        <f>+$I$2+(AGSAFRIQUE[[#This Row],[QUANTITE]]*AGSAFRIQUE[[#This Row],[PRIX UNITAIRE]])</f>
        <v>4900</v>
      </c>
      <c r="F82" s="14"/>
      <c r="G82" s="6">
        <f>+SUM(E$9:$E82)-SUM(F$9:$F82)</f>
        <v>120500</v>
      </c>
    </row>
    <row r="83" spans="1:7" ht="28.8" x14ac:dyDescent="0.55000000000000004">
      <c r="A83" s="12">
        <v>46063</v>
      </c>
      <c r="B83" s="13" t="s">
        <v>3424</v>
      </c>
      <c r="C83" s="10">
        <v>1</v>
      </c>
      <c r="D83" s="10">
        <v>4900</v>
      </c>
      <c r="E83" s="7">
        <f>+$I$2+(AGSAFRIQUE[[#This Row],[QUANTITE]]*AGSAFRIQUE[[#This Row],[PRIX UNITAIRE]])</f>
        <v>4900</v>
      </c>
      <c r="F83" s="14"/>
      <c r="G83" s="6">
        <f>+SUM(E$9:$E83)-SUM(F$9:$F83)</f>
        <v>125400</v>
      </c>
    </row>
    <row r="84" spans="1:7" ht="28.8" x14ac:dyDescent="0.55000000000000004">
      <c r="A84" s="12">
        <v>46065</v>
      </c>
      <c r="B84" s="13" t="s">
        <v>3429</v>
      </c>
      <c r="C84" s="10"/>
      <c r="D84" s="10"/>
      <c r="E84" s="7">
        <f>+$I$2+(AGSAFRIQUE[[#This Row],[QUANTITE]]*AGSAFRIQUE[[#This Row],[PRIX UNITAIRE]])</f>
        <v>0</v>
      </c>
      <c r="F84" s="14">
        <v>127400</v>
      </c>
      <c r="G84" s="6">
        <f>+SUM(E$9:$E84)-SUM(F$9:$F84)</f>
        <v>-2000</v>
      </c>
    </row>
    <row r="85" spans="1:7" ht="28.8" x14ac:dyDescent="0.55000000000000004">
      <c r="A85" s="12">
        <v>46065</v>
      </c>
      <c r="B85" s="13" t="s">
        <v>3430</v>
      </c>
      <c r="C85" s="10">
        <v>1</v>
      </c>
      <c r="D85" s="10">
        <v>4900</v>
      </c>
      <c r="E85" s="7">
        <f>+$I$2+(AGSAFRIQUE[[#This Row],[QUANTITE]]*AGSAFRIQUE[[#This Row],[PRIX UNITAIRE]])</f>
        <v>4900</v>
      </c>
      <c r="F85" s="14"/>
      <c r="G85" s="6">
        <f>+SUM(E$9:$E85)-SUM(F$9:$F85)</f>
        <v>2900</v>
      </c>
    </row>
    <row r="86" spans="1:7" ht="28.8" x14ac:dyDescent="0.55000000000000004">
      <c r="A86" s="12">
        <v>46085</v>
      </c>
      <c r="B86" s="13" t="s">
        <v>3497</v>
      </c>
      <c r="C86" s="10">
        <v>1</v>
      </c>
      <c r="D86" s="10">
        <v>4900</v>
      </c>
      <c r="E86" s="7">
        <f>+$I$2+(AGSAFRIQUE[[#This Row],[QUANTITE]]*AGSAFRIQUE[[#This Row],[PRIX UNITAIRE]])</f>
        <v>4900</v>
      </c>
      <c r="F86" s="14"/>
      <c r="G86" s="6">
        <f>+SUM(E$9:$E86)-SUM(F$9:$F86)</f>
        <v>7800</v>
      </c>
    </row>
    <row r="87" spans="1:7" ht="28.8" x14ac:dyDescent="0.55000000000000004">
      <c r="A87" s="12">
        <v>46090</v>
      </c>
      <c r="B87" s="13" t="s">
        <v>3502</v>
      </c>
      <c r="C87" s="10">
        <v>1</v>
      </c>
      <c r="D87" s="10">
        <v>4900</v>
      </c>
      <c r="E87" s="7">
        <f>+$I$2+(AGSAFRIQUE[[#This Row],[QUANTITE]]*AGSAFRIQUE[[#This Row],[PRIX UNITAIRE]])</f>
        <v>4900</v>
      </c>
      <c r="F87" s="14"/>
      <c r="G87" s="6">
        <f>+SUM(E$9:$E87)-SUM(F$9:$F87)</f>
        <v>12700</v>
      </c>
    </row>
    <row r="88" spans="1:7" ht="28.8" x14ac:dyDescent="0.55000000000000004">
      <c r="A88" s="12">
        <v>46091</v>
      </c>
      <c r="B88" s="13" t="s">
        <v>3509</v>
      </c>
      <c r="C88" s="10">
        <v>1</v>
      </c>
      <c r="D88" s="10">
        <v>4900</v>
      </c>
      <c r="E88" s="7">
        <f>+$I$2+(AGSAFRIQUE[[#This Row],[QUANTITE]]*AGSAFRIQUE[[#This Row],[PRIX UNITAIRE]])</f>
        <v>4900</v>
      </c>
      <c r="F88" s="14"/>
      <c r="G88" s="6">
        <f>+SUM(E$9:$E88)-SUM(F$9:$F88)</f>
        <v>17600</v>
      </c>
    </row>
    <row r="89" spans="1:7" ht="28.8" x14ac:dyDescent="0.55000000000000004">
      <c r="A89" s="12">
        <v>46093</v>
      </c>
      <c r="B89" s="13" t="s">
        <v>3512</v>
      </c>
      <c r="C89" s="10">
        <v>1</v>
      </c>
      <c r="D89" s="10">
        <v>4900</v>
      </c>
      <c r="E89" s="7">
        <f>+$I$2+(AGSAFRIQUE[[#This Row],[QUANTITE]]*AGSAFRIQUE[[#This Row],[PRIX UNITAIRE]])</f>
        <v>4900</v>
      </c>
      <c r="F89" s="14"/>
      <c r="G89" s="6">
        <f>+SUM(E$9:$E89)-SUM(F$9:$F89)</f>
        <v>22500</v>
      </c>
    </row>
    <row r="90" spans="1:7" ht="28.8" x14ac:dyDescent="0.55000000000000004">
      <c r="A90" s="12">
        <v>46098</v>
      </c>
      <c r="B90" s="13" t="s">
        <v>3523</v>
      </c>
      <c r="C90" s="10">
        <v>1</v>
      </c>
      <c r="D90" s="10">
        <v>4900</v>
      </c>
      <c r="E90" s="7">
        <f>+$I$2+(AGSAFRIQUE[[#This Row],[QUANTITE]]*AGSAFRIQUE[[#This Row],[PRIX UNITAIRE]])</f>
        <v>4900</v>
      </c>
      <c r="F90" s="14"/>
      <c r="G90" s="6">
        <f>+SUM(E$9:$E90)-SUM(F$9:$F90)</f>
        <v>27400</v>
      </c>
    </row>
    <row r="91" spans="1:7" ht="28.8" x14ac:dyDescent="0.55000000000000004">
      <c r="A91" s="12">
        <v>46099</v>
      </c>
      <c r="B91" s="13" t="s">
        <v>3526</v>
      </c>
      <c r="C91" s="10">
        <v>1</v>
      </c>
      <c r="D91" s="10">
        <v>4900</v>
      </c>
      <c r="E91" s="7">
        <f>+$I$2+(AGSAFRIQUE[[#This Row],[QUANTITE]]*AGSAFRIQUE[[#This Row],[PRIX UNITAIRE]])</f>
        <v>4900</v>
      </c>
      <c r="F91" s="14"/>
      <c r="G91" s="6">
        <f>+SUM(E$9:$E91)-SUM(F$9:$F91)</f>
        <v>32300</v>
      </c>
    </row>
    <row r="92" spans="1:7" ht="28.8" x14ac:dyDescent="0.55000000000000004">
      <c r="A92" s="12">
        <v>46099</v>
      </c>
      <c r="B92" s="13" t="s">
        <v>3534</v>
      </c>
      <c r="C92" s="10">
        <v>1</v>
      </c>
      <c r="D92" s="10">
        <v>4900</v>
      </c>
      <c r="E92" s="7">
        <f>+$I$2+(AGSAFRIQUE[[#This Row],[QUANTITE]]*AGSAFRIQUE[[#This Row],[PRIX UNITAIRE]])</f>
        <v>4900</v>
      </c>
      <c r="F92" s="14"/>
      <c r="G92" s="6">
        <f>+SUM(E$9:$E92)-SUM(F$9:$F92)</f>
        <v>37200</v>
      </c>
    </row>
    <row r="93" spans="1:7" ht="28.8" x14ac:dyDescent="0.55000000000000004">
      <c r="A93" s="12">
        <v>46099</v>
      </c>
      <c r="B93" s="13" t="s">
        <v>3536</v>
      </c>
      <c r="C93" s="10">
        <v>1</v>
      </c>
      <c r="D93" s="10">
        <v>4900</v>
      </c>
      <c r="E93" s="7">
        <f>+$I$2+(AGSAFRIQUE[[#This Row],[QUANTITE]]*AGSAFRIQUE[[#This Row],[PRIX UNITAIRE]])</f>
        <v>4900</v>
      </c>
      <c r="F93" s="14"/>
      <c r="G93" s="6">
        <f>+SUM(E$9:$E93)-SUM(F$9:$F93)</f>
        <v>42100</v>
      </c>
    </row>
    <row r="94" spans="1:7" ht="28.8" x14ac:dyDescent="0.55000000000000004">
      <c r="A94" s="12"/>
      <c r="B94" s="13"/>
      <c r="C94" s="10"/>
      <c r="D94" s="10"/>
      <c r="E94" s="7">
        <f>+$I$2+(AGSAFRIQUE[[#This Row],[QUANTITE]]*AGSAFRIQUE[[#This Row],[PRIX UNITAIRE]])</f>
        <v>0</v>
      </c>
      <c r="F94" s="14"/>
      <c r="G94" s="6">
        <f>+SUM(E$9:$E94)-SUM(F$9:$F94)</f>
        <v>42100</v>
      </c>
    </row>
    <row r="95" spans="1:7" ht="28.8" x14ac:dyDescent="0.55000000000000004">
      <c r="A95" s="12"/>
      <c r="B95" s="13"/>
      <c r="C95" s="10"/>
      <c r="D95" s="10"/>
      <c r="E95" s="7">
        <f>+$I$2+(AGSAFRIQUE[[#This Row],[QUANTITE]]*AGSAFRIQUE[[#This Row],[PRIX UNITAIRE]])</f>
        <v>0</v>
      </c>
      <c r="F95" s="14"/>
      <c r="G95" s="6">
        <f>+SUM(E$9:$E95)-SUM(F$9:$F95)</f>
        <v>42100</v>
      </c>
    </row>
    <row r="96" spans="1:7" ht="28.8" x14ac:dyDescent="0.55000000000000004">
      <c r="A96" s="12"/>
      <c r="B96" s="13"/>
      <c r="C96" s="10"/>
      <c r="D96" s="10"/>
      <c r="E96" s="7">
        <f>+$I$2+(AGSAFRIQUE[[#This Row],[QUANTITE]]*AGSAFRIQUE[[#This Row],[PRIX UNITAIRE]])</f>
        <v>0</v>
      </c>
      <c r="F96" s="14"/>
      <c r="G96" s="6">
        <f>+SUM(E$9:$E96)-SUM(F$9:$F96)</f>
        <v>42100</v>
      </c>
    </row>
    <row r="97" spans="1:7" ht="28.8" x14ac:dyDescent="0.55000000000000004">
      <c r="A97" s="12"/>
      <c r="B97" s="13"/>
      <c r="C97" s="10"/>
      <c r="D97" s="10"/>
      <c r="E97" s="7">
        <f>+$I$2+(AGSAFRIQUE[[#This Row],[QUANTITE]]*AGSAFRIQUE[[#This Row],[PRIX UNITAIRE]])</f>
        <v>0</v>
      </c>
      <c r="F97" s="14"/>
      <c r="G97" s="6">
        <f>+SUM(E$9:$E97)-SUM(F$9:$F97)</f>
        <v>42100</v>
      </c>
    </row>
    <row r="98" spans="1:7" ht="28.8" x14ac:dyDescent="0.55000000000000004">
      <c r="A98" s="12"/>
      <c r="B98" s="13"/>
      <c r="C98" s="10"/>
      <c r="D98" s="10"/>
      <c r="E98" s="7">
        <f>+$I$2+(AGSAFRIQUE[[#This Row],[QUANTITE]]*AGSAFRIQUE[[#This Row],[PRIX UNITAIRE]])</f>
        <v>0</v>
      </c>
      <c r="F98" s="14"/>
      <c r="G98" s="6">
        <f>+SUM(E$9:$E98)-SUM(F$9:$F98)</f>
        <v>42100</v>
      </c>
    </row>
    <row r="99" spans="1:7" ht="28.8" x14ac:dyDescent="0.55000000000000004">
      <c r="A99" s="12"/>
      <c r="B99" s="13"/>
      <c r="C99" s="10"/>
      <c r="D99" s="10"/>
      <c r="E99" s="7">
        <f>+$I$2+(AGSAFRIQUE[[#This Row],[QUANTITE]]*AGSAFRIQUE[[#This Row],[PRIX UNITAIRE]])</f>
        <v>0</v>
      </c>
      <c r="F99" s="14"/>
      <c r="G99" s="6">
        <f>+SUM(E$9:$E99)-SUM(F$9:$F99)</f>
        <v>42100</v>
      </c>
    </row>
    <row r="100" spans="1:7" ht="28.8" x14ac:dyDescent="0.55000000000000004">
      <c r="A100" s="12"/>
      <c r="B100" s="13"/>
      <c r="C100" s="10"/>
      <c r="D100" s="10"/>
      <c r="E100" s="7">
        <f>+$I$2+(AGSAFRIQUE[[#This Row],[QUANTITE]]*AGSAFRIQUE[[#This Row],[PRIX UNITAIRE]])</f>
        <v>0</v>
      </c>
      <c r="F100" s="14"/>
      <c r="G100" s="6">
        <f>+SUM(E$9:$E100)-SUM(F$9:$F100)</f>
        <v>42100</v>
      </c>
    </row>
    <row r="101" spans="1:7" ht="28.8" x14ac:dyDescent="0.55000000000000004">
      <c r="A101" s="12"/>
      <c r="B101" s="13"/>
      <c r="C101" s="10"/>
      <c r="D101" s="10"/>
      <c r="E101" s="7">
        <f>+$I$2+(AGSAFRIQUE[[#This Row],[QUANTITE]]*AGSAFRIQUE[[#This Row],[PRIX UNITAIRE]])</f>
        <v>0</v>
      </c>
      <c r="F101" s="14"/>
      <c r="G101" s="6">
        <f>+SUM(E$9:$E101)-SUM(F$9:$F101)</f>
        <v>42100</v>
      </c>
    </row>
    <row r="102" spans="1:7" ht="28.8" x14ac:dyDescent="0.55000000000000004">
      <c r="A102" s="12"/>
      <c r="B102" s="13"/>
      <c r="C102" s="10"/>
      <c r="D102" s="10"/>
      <c r="E102" s="7">
        <f>+$I$2+(AGSAFRIQUE[[#This Row],[QUANTITE]]*AGSAFRIQUE[[#This Row],[PRIX UNITAIRE]])</f>
        <v>0</v>
      </c>
      <c r="F102" s="14"/>
      <c r="G102" s="6">
        <f>+SUM(E$9:$E102)-SUM(F$9:$F102)</f>
        <v>42100</v>
      </c>
    </row>
    <row r="103" spans="1:7" ht="28.8" x14ac:dyDescent="0.55000000000000004">
      <c r="A103" s="12"/>
      <c r="B103" s="13"/>
      <c r="C103" s="10"/>
      <c r="D103" s="10"/>
      <c r="E103" s="7">
        <f>+$I$2+(AGSAFRIQUE[[#This Row],[QUANTITE]]*AGSAFRIQUE[[#This Row],[PRIX UNITAIRE]])</f>
        <v>0</v>
      </c>
      <c r="F103" s="14"/>
      <c r="G103" s="6">
        <f>+SUM(E$9:$E103)-SUM(F$9:$F103)</f>
        <v>42100</v>
      </c>
    </row>
    <row r="104" spans="1:7" ht="28.8" x14ac:dyDescent="0.55000000000000004">
      <c r="A104" s="12"/>
      <c r="B104" s="13"/>
      <c r="C104" s="10"/>
      <c r="D104" s="10"/>
      <c r="E104" s="7">
        <f>+$I$2+(AGSAFRIQUE[[#This Row],[QUANTITE]]*AGSAFRIQUE[[#This Row],[PRIX UNITAIRE]])</f>
        <v>0</v>
      </c>
      <c r="F104" s="14"/>
      <c r="G104" s="6">
        <f>+SUM(E$9:$E104)-SUM(F$9:$F104)</f>
        <v>42100</v>
      </c>
    </row>
    <row r="105" spans="1:7" ht="28.8" x14ac:dyDescent="0.55000000000000004">
      <c r="A105" s="12"/>
      <c r="B105" s="13"/>
      <c r="C105" s="10"/>
      <c r="D105" s="10"/>
      <c r="E105" s="7">
        <f>+$I$2+(AGSAFRIQUE[[#This Row],[QUANTITE]]*AGSAFRIQUE[[#This Row],[PRIX UNITAIRE]])</f>
        <v>0</v>
      </c>
      <c r="F105" s="14"/>
      <c r="G105" s="6">
        <f>+SUM(E$9:$E105)-SUM(F$9:$F105)</f>
        <v>42100</v>
      </c>
    </row>
    <row r="106" spans="1:7" ht="28.8" x14ac:dyDescent="0.55000000000000004">
      <c r="A106" s="12"/>
      <c r="B106" s="13"/>
      <c r="C106" s="10"/>
      <c r="D106" s="10"/>
      <c r="E106" s="7">
        <f>+$I$2+(AGSAFRIQUE[[#This Row],[QUANTITE]]*AGSAFRIQUE[[#This Row],[PRIX UNITAIRE]])</f>
        <v>0</v>
      </c>
      <c r="F106" s="14"/>
      <c r="G106" s="6">
        <f>+SUM(E$9:$E106)-SUM(F$9:$F106)</f>
        <v>42100</v>
      </c>
    </row>
    <row r="107" spans="1:7" ht="28.8" x14ac:dyDescent="0.55000000000000004">
      <c r="A107" s="12"/>
      <c r="B107" s="13"/>
      <c r="C107" s="10"/>
      <c r="D107" s="10"/>
      <c r="E107" s="7">
        <f>+$I$2+(AGSAFRIQUE[[#This Row],[QUANTITE]]*AGSAFRIQUE[[#This Row],[PRIX UNITAIRE]])</f>
        <v>0</v>
      </c>
      <c r="F107" s="14"/>
      <c r="G107" s="6">
        <f>+SUM(E$9:$E107)-SUM(F$9:$F107)</f>
        <v>42100</v>
      </c>
    </row>
    <row r="108" spans="1:7" ht="28.8" x14ac:dyDescent="0.55000000000000004">
      <c r="A108" s="12"/>
      <c r="B108" s="13"/>
      <c r="C108" s="10"/>
      <c r="D108" s="10"/>
      <c r="E108" s="7">
        <f>+$I$2+(AGSAFRIQUE[[#This Row],[QUANTITE]]*AGSAFRIQUE[[#This Row],[PRIX UNITAIRE]])</f>
        <v>0</v>
      </c>
      <c r="F108" s="14"/>
      <c r="G108" s="6">
        <f>+SUM(E$9:$E108)-SUM(F$9:$F108)</f>
        <v>42100</v>
      </c>
    </row>
    <row r="109" spans="1:7" ht="28.8" x14ac:dyDescent="0.55000000000000004">
      <c r="A109" s="12"/>
      <c r="B109" s="13"/>
      <c r="C109" s="10"/>
      <c r="D109" s="10"/>
      <c r="E109" s="7">
        <f>+$I$2+(AGSAFRIQUE[[#This Row],[QUANTITE]]*AGSAFRIQUE[[#This Row],[PRIX UNITAIRE]])</f>
        <v>0</v>
      </c>
      <c r="F109" s="14"/>
      <c r="G109" s="6">
        <f>+SUM(E$9:$E109)-SUM(F$9:$F109)</f>
        <v>42100</v>
      </c>
    </row>
    <row r="110" spans="1:7" ht="28.8" x14ac:dyDescent="0.55000000000000004">
      <c r="A110" s="12"/>
      <c r="B110" s="13"/>
      <c r="C110" s="10"/>
      <c r="D110" s="10"/>
      <c r="E110" s="7">
        <f>+$I$2+(AGSAFRIQUE[[#This Row],[QUANTITE]]*AGSAFRIQUE[[#This Row],[PRIX UNITAIRE]])</f>
        <v>0</v>
      </c>
      <c r="F110" s="14"/>
      <c r="G110" s="6">
        <f>+SUM(E$9:$E110)-SUM(F$9:$F110)</f>
        <v>42100</v>
      </c>
    </row>
    <row r="111" spans="1:7" ht="28.8" x14ac:dyDescent="0.55000000000000004">
      <c r="A111" s="12"/>
      <c r="B111" s="13"/>
      <c r="C111" s="10"/>
      <c r="D111" s="10"/>
      <c r="E111" s="7">
        <f>+$I$2+(AGSAFRIQUE[[#This Row],[QUANTITE]]*AGSAFRIQUE[[#This Row],[PRIX UNITAIRE]])</f>
        <v>0</v>
      </c>
      <c r="F111" s="14"/>
      <c r="G111" s="6">
        <f>+SUM(E$9:$E111)-SUM(F$9:$F111)</f>
        <v>42100</v>
      </c>
    </row>
    <row r="112" spans="1:7" ht="28.8" x14ac:dyDescent="0.55000000000000004">
      <c r="A112" s="12"/>
      <c r="B112" s="13"/>
      <c r="C112" s="10"/>
      <c r="D112" s="10"/>
      <c r="E112" s="7">
        <f>+$I$2+(AGSAFRIQUE[[#This Row],[QUANTITE]]*AGSAFRIQUE[[#This Row],[PRIX UNITAIRE]])</f>
        <v>0</v>
      </c>
      <c r="F112" s="14"/>
      <c r="G112" s="6">
        <f>+SUM(E$9:$E112)-SUM(F$9:$F112)</f>
        <v>42100</v>
      </c>
    </row>
    <row r="113" spans="1:7" ht="28.8" x14ac:dyDescent="0.55000000000000004">
      <c r="A113" s="12"/>
      <c r="B113" s="13"/>
      <c r="C113" s="10"/>
      <c r="D113" s="10"/>
      <c r="E113" s="7">
        <f>+$I$2+(AGSAFRIQUE[[#This Row],[QUANTITE]]*AGSAFRIQUE[[#This Row],[PRIX UNITAIRE]])</f>
        <v>0</v>
      </c>
      <c r="F113" s="14"/>
      <c r="G113" s="6">
        <f>+SUM(E$9:$E113)-SUM(F$9:$F113)</f>
        <v>42100</v>
      </c>
    </row>
    <row r="114" spans="1:7" ht="28.8" x14ac:dyDescent="0.55000000000000004">
      <c r="A114" s="12"/>
      <c r="B114" s="13"/>
      <c r="C114" s="10"/>
      <c r="D114" s="10"/>
      <c r="E114" s="7">
        <f>+$I$2+(AGSAFRIQUE[[#This Row],[QUANTITE]]*AGSAFRIQUE[[#This Row],[PRIX UNITAIRE]])</f>
        <v>0</v>
      </c>
      <c r="F114" s="14"/>
      <c r="G114" s="6">
        <f>+SUM(E$9:$E114)-SUM(F$9:$F114)</f>
        <v>42100</v>
      </c>
    </row>
    <row r="115" spans="1:7" ht="28.8" x14ac:dyDescent="0.55000000000000004">
      <c r="A115" s="12"/>
      <c r="B115" s="13"/>
      <c r="C115" s="10"/>
      <c r="D115" s="10"/>
      <c r="E115" s="7">
        <f>+$I$2+(AGSAFRIQUE[[#This Row],[QUANTITE]]*AGSAFRIQUE[[#This Row],[PRIX UNITAIRE]])</f>
        <v>0</v>
      </c>
      <c r="F115" s="14"/>
      <c r="G115" s="6">
        <f>+SUM(E$9:$E115)-SUM(F$9:$F115)</f>
        <v>42100</v>
      </c>
    </row>
    <row r="116" spans="1:7" ht="28.8" x14ac:dyDescent="0.55000000000000004">
      <c r="A116" s="12"/>
      <c r="B116" s="13"/>
      <c r="C116" s="10"/>
      <c r="D116" s="10"/>
      <c r="E116" s="7">
        <f>+$I$2+(AGSAFRIQUE[[#This Row],[QUANTITE]]*AGSAFRIQUE[[#This Row],[PRIX UNITAIRE]])</f>
        <v>0</v>
      </c>
      <c r="F116" s="14"/>
      <c r="G116" s="6">
        <f>+SUM(E$9:$E116)-SUM(F$9:$F116)</f>
        <v>42100</v>
      </c>
    </row>
    <row r="117" spans="1:7" ht="28.8" x14ac:dyDescent="0.55000000000000004">
      <c r="A117" s="12"/>
      <c r="B117" s="13"/>
      <c r="C117" s="10"/>
      <c r="D117" s="10"/>
      <c r="E117" s="7">
        <f>+$I$2+(AGSAFRIQUE[[#This Row],[QUANTITE]]*AGSAFRIQUE[[#This Row],[PRIX UNITAIRE]])</f>
        <v>0</v>
      </c>
      <c r="F117" s="14"/>
      <c r="G117" s="6">
        <f>+SUM(E$9:$E117)-SUM(F$9:$F117)</f>
        <v>42100</v>
      </c>
    </row>
    <row r="118" spans="1:7" ht="28.8" x14ac:dyDescent="0.55000000000000004">
      <c r="A118" s="12"/>
      <c r="B118" s="13"/>
      <c r="C118" s="10"/>
      <c r="D118" s="10"/>
      <c r="E118" s="7">
        <f>+$I$2+(AGSAFRIQUE[[#This Row],[QUANTITE]]*AGSAFRIQUE[[#This Row],[PRIX UNITAIRE]])</f>
        <v>0</v>
      </c>
      <c r="F118" s="14"/>
      <c r="G118" s="6">
        <f>+SUM(E$9:$E118)-SUM(F$9:$F118)</f>
        <v>42100</v>
      </c>
    </row>
    <row r="119" spans="1:7" ht="28.8" x14ac:dyDescent="0.55000000000000004">
      <c r="A119" s="12"/>
      <c r="B119" s="13"/>
      <c r="C119" s="10"/>
      <c r="D119" s="10"/>
      <c r="E119" s="7">
        <f>+$I$2+(AGSAFRIQUE[[#This Row],[QUANTITE]]*AGSAFRIQUE[[#This Row],[PRIX UNITAIRE]])</f>
        <v>0</v>
      </c>
      <c r="F119" s="14"/>
      <c r="G119" s="6">
        <f>+SUM(E$9:$E119)-SUM(F$9:$F119)</f>
        <v>42100</v>
      </c>
    </row>
    <row r="120" spans="1:7" ht="28.8" x14ac:dyDescent="0.55000000000000004">
      <c r="A120" s="12"/>
      <c r="B120" s="13"/>
      <c r="C120" s="10"/>
      <c r="D120" s="10"/>
      <c r="E120" s="7">
        <f>+$I$2+(AGSAFRIQUE[[#This Row],[QUANTITE]]*AGSAFRIQUE[[#This Row],[PRIX UNITAIRE]])</f>
        <v>0</v>
      </c>
      <c r="F120" s="14"/>
      <c r="G120" s="6">
        <f>+SUM(E$9:$E120)-SUM(F$9:$F120)</f>
        <v>42100</v>
      </c>
    </row>
    <row r="121" spans="1:7" ht="28.8" x14ac:dyDescent="0.55000000000000004">
      <c r="A121" s="12"/>
      <c r="B121" s="13"/>
      <c r="C121" s="10"/>
      <c r="D121" s="10"/>
      <c r="E121" s="7">
        <f>+$I$2+(AGSAFRIQUE[[#This Row],[QUANTITE]]*AGSAFRIQUE[[#This Row],[PRIX UNITAIRE]])</f>
        <v>0</v>
      </c>
      <c r="F121" s="14"/>
      <c r="G121" s="6">
        <f>+SUM(E$9:$E121)-SUM(F$9:$F121)</f>
        <v>42100</v>
      </c>
    </row>
    <row r="122" spans="1:7" ht="28.8" x14ac:dyDescent="0.55000000000000004">
      <c r="A122" s="12"/>
      <c r="B122" s="13"/>
      <c r="C122" s="10"/>
      <c r="D122" s="10"/>
      <c r="E122" s="7">
        <f>+$I$2+(AGSAFRIQUE[[#This Row],[QUANTITE]]*AGSAFRIQUE[[#This Row],[PRIX UNITAIRE]])</f>
        <v>0</v>
      </c>
      <c r="F122" s="14"/>
      <c r="G122" s="6">
        <f>+SUM(E$9:$E122)-SUM(F$9:$F122)</f>
        <v>42100</v>
      </c>
    </row>
    <row r="123" spans="1:7" ht="28.8" x14ac:dyDescent="0.55000000000000004">
      <c r="A123" s="12"/>
      <c r="B123" s="13"/>
      <c r="C123" s="10"/>
      <c r="D123" s="10"/>
      <c r="E123" s="7">
        <f>+$I$2+(AGSAFRIQUE[[#This Row],[QUANTITE]]*AGSAFRIQUE[[#This Row],[PRIX UNITAIRE]])</f>
        <v>0</v>
      </c>
      <c r="F123" s="14"/>
      <c r="G123" s="6">
        <f>+SUM(E$9:$E123)-SUM(F$9:$F123)</f>
        <v>42100</v>
      </c>
    </row>
    <row r="124" spans="1:7" ht="28.8" x14ac:dyDescent="0.55000000000000004">
      <c r="A124" s="12"/>
      <c r="B124" s="13"/>
      <c r="C124" s="10"/>
      <c r="D124" s="10"/>
      <c r="E124" s="7">
        <f>+$I$2+(AGSAFRIQUE[[#This Row],[QUANTITE]]*AGSAFRIQUE[[#This Row],[PRIX UNITAIRE]])</f>
        <v>0</v>
      </c>
      <c r="F124" s="14"/>
      <c r="G124" s="6">
        <f>+SUM(E$9:$E124)-SUM(F$9:$F124)</f>
        <v>42100</v>
      </c>
    </row>
    <row r="125" spans="1:7" ht="28.8" x14ac:dyDescent="0.55000000000000004">
      <c r="A125" s="12"/>
      <c r="B125" s="13"/>
      <c r="C125" s="10"/>
      <c r="D125" s="10"/>
      <c r="E125" s="7">
        <f>+$I$2+(AGSAFRIQUE[[#This Row],[QUANTITE]]*AGSAFRIQUE[[#This Row],[PRIX UNITAIRE]])</f>
        <v>0</v>
      </c>
      <c r="F125" s="14"/>
      <c r="G125" s="6">
        <f>+SUM(E$9:$E125)-SUM(F$9:$F125)</f>
        <v>42100</v>
      </c>
    </row>
    <row r="126" spans="1:7" ht="28.8" x14ac:dyDescent="0.55000000000000004">
      <c r="A126" s="12"/>
      <c r="B126" s="13"/>
      <c r="C126" s="10"/>
      <c r="D126" s="10"/>
      <c r="E126" s="7">
        <f>+$I$2+(AGSAFRIQUE[[#This Row],[QUANTITE]]*AGSAFRIQUE[[#This Row],[PRIX UNITAIRE]])</f>
        <v>0</v>
      </c>
      <c r="F126" s="14"/>
      <c r="G126" s="6">
        <f>+SUM(E$9:$E126)-SUM(F$9:$F126)</f>
        <v>42100</v>
      </c>
    </row>
    <row r="127" spans="1:7" ht="28.8" x14ac:dyDescent="0.55000000000000004">
      <c r="A127" s="12"/>
      <c r="B127" s="13"/>
      <c r="C127" s="10"/>
      <c r="D127" s="10"/>
      <c r="E127" s="7">
        <f>+$I$2+(AGSAFRIQUE[[#This Row],[QUANTITE]]*AGSAFRIQUE[[#This Row],[PRIX UNITAIRE]])</f>
        <v>0</v>
      </c>
      <c r="F127" s="14"/>
      <c r="G127" s="6">
        <f>+SUM(E$9:$E127)-SUM(F$9:$F127)</f>
        <v>42100</v>
      </c>
    </row>
    <row r="128" spans="1:7" ht="28.8" x14ac:dyDescent="0.55000000000000004">
      <c r="A128" s="12"/>
      <c r="B128" s="13"/>
      <c r="C128" s="10"/>
      <c r="D128" s="10"/>
      <c r="E128" s="7">
        <f>+$I$2+(AGSAFRIQUE[[#This Row],[QUANTITE]]*AGSAFRIQUE[[#This Row],[PRIX UNITAIRE]])</f>
        <v>0</v>
      </c>
      <c r="F128" s="14"/>
      <c r="G128" s="6">
        <f>+SUM(E$9:$E128)-SUM(F$9:$F128)</f>
        <v>42100</v>
      </c>
    </row>
    <row r="129" spans="1:7" ht="28.8" x14ac:dyDescent="0.55000000000000004">
      <c r="A129" s="12"/>
      <c r="B129" s="13"/>
      <c r="C129" s="10"/>
      <c r="D129" s="10"/>
      <c r="E129" s="7">
        <f>+$I$2+(AGSAFRIQUE[[#This Row],[QUANTITE]]*AGSAFRIQUE[[#This Row],[PRIX UNITAIRE]])</f>
        <v>0</v>
      </c>
      <c r="F129" s="14"/>
      <c r="G129" s="6">
        <f>+SUM(E$9:$E129)-SUM(F$9:$F129)</f>
        <v>42100</v>
      </c>
    </row>
    <row r="130" spans="1:7" ht="28.8" x14ac:dyDescent="0.55000000000000004">
      <c r="A130" s="12"/>
      <c r="B130" s="13"/>
      <c r="C130" s="10"/>
      <c r="D130" s="10"/>
      <c r="E130" s="7">
        <f>+$I$2+(AGSAFRIQUE[[#This Row],[QUANTITE]]*AGSAFRIQUE[[#This Row],[PRIX UNITAIRE]])</f>
        <v>0</v>
      </c>
      <c r="F130" s="14"/>
      <c r="G130" s="6">
        <f>+SUM(E$9:$E130)-SUM(F$9:$F130)</f>
        <v>42100</v>
      </c>
    </row>
    <row r="131" spans="1:7" ht="28.8" x14ac:dyDescent="0.55000000000000004">
      <c r="A131" s="12"/>
      <c r="B131" s="13"/>
      <c r="C131" s="10"/>
      <c r="D131" s="10"/>
      <c r="E131" s="7">
        <f>+$I$2+(AGSAFRIQUE[[#This Row],[QUANTITE]]*AGSAFRIQUE[[#This Row],[PRIX UNITAIRE]])</f>
        <v>0</v>
      </c>
      <c r="F131" s="14"/>
      <c r="G131" s="6">
        <f>+SUM(E$9:$E131)-SUM(F$9:$F131)</f>
        <v>42100</v>
      </c>
    </row>
    <row r="132" spans="1:7" ht="28.8" x14ac:dyDescent="0.55000000000000004">
      <c r="A132" s="12"/>
      <c r="B132" s="13"/>
      <c r="C132" s="10"/>
      <c r="D132" s="10"/>
      <c r="E132" s="7">
        <f>+$I$2+(AGSAFRIQUE[[#This Row],[QUANTITE]]*AGSAFRIQUE[[#This Row],[PRIX UNITAIRE]])</f>
        <v>0</v>
      </c>
      <c r="F132" s="14"/>
      <c r="G132" s="6">
        <f>+SUM(E$9:$E132)-SUM(F$9:$F132)</f>
        <v>42100</v>
      </c>
    </row>
    <row r="133" spans="1:7" ht="28.8" x14ac:dyDescent="0.55000000000000004">
      <c r="A133" s="12"/>
      <c r="B133" s="13"/>
      <c r="C133" s="10"/>
      <c r="D133" s="10"/>
      <c r="E133" s="7">
        <f>+$I$2+(AGSAFRIQUE[[#This Row],[QUANTITE]]*AGSAFRIQUE[[#This Row],[PRIX UNITAIRE]])</f>
        <v>0</v>
      </c>
      <c r="F133" s="14"/>
      <c r="G133" s="6">
        <f>+SUM(E$9:$E133)-SUM(F$9:$F133)</f>
        <v>42100</v>
      </c>
    </row>
    <row r="134" spans="1:7" ht="28.8" x14ac:dyDescent="0.55000000000000004">
      <c r="A134" s="12"/>
      <c r="B134" s="13"/>
      <c r="C134" s="10"/>
      <c r="D134" s="10"/>
      <c r="E134" s="7">
        <f>+$I$2+(AGSAFRIQUE[[#This Row],[QUANTITE]]*AGSAFRIQUE[[#This Row],[PRIX UNITAIRE]])</f>
        <v>0</v>
      </c>
      <c r="F134" s="14"/>
      <c r="G134" s="6">
        <f>+SUM(E$9:$E134)-SUM(F$9:$F134)</f>
        <v>42100</v>
      </c>
    </row>
    <row r="135" spans="1:7" ht="28.8" x14ac:dyDescent="0.55000000000000004">
      <c r="A135" s="12"/>
      <c r="B135" s="13"/>
      <c r="C135" s="10"/>
      <c r="D135" s="10"/>
      <c r="E135" s="7">
        <f>+$I$2+(AGSAFRIQUE[[#This Row],[QUANTITE]]*AGSAFRIQUE[[#This Row],[PRIX UNITAIRE]])</f>
        <v>0</v>
      </c>
      <c r="F135" s="14"/>
      <c r="G135" s="6">
        <f>+SUM(E$9:$E135)-SUM(F$9:$F135)</f>
        <v>42100</v>
      </c>
    </row>
    <row r="136" spans="1:7" ht="28.8" x14ac:dyDescent="0.55000000000000004">
      <c r="A136" s="12"/>
      <c r="B136" s="13"/>
      <c r="C136" s="10"/>
      <c r="D136" s="10"/>
      <c r="E136" s="7">
        <f>+$I$2+(AGSAFRIQUE[[#This Row],[QUANTITE]]*AGSAFRIQUE[[#This Row],[PRIX UNITAIRE]])</f>
        <v>0</v>
      </c>
      <c r="F136" s="14"/>
      <c r="G136" s="6">
        <f>+SUM(E$9:$E136)-SUM(F$9:$F136)</f>
        <v>42100</v>
      </c>
    </row>
    <row r="137" spans="1:7" ht="28.8" x14ac:dyDescent="0.55000000000000004">
      <c r="A137" s="12"/>
      <c r="B137" s="13"/>
      <c r="C137" s="10"/>
      <c r="D137" s="10"/>
      <c r="E137" s="7">
        <f>+$I$2+(AGSAFRIQUE[[#This Row],[QUANTITE]]*AGSAFRIQUE[[#This Row],[PRIX UNITAIRE]])</f>
        <v>0</v>
      </c>
      <c r="F137" s="14"/>
      <c r="G137" s="6">
        <f>+SUM(E$9:$E137)-SUM(F$9:$F137)</f>
        <v>42100</v>
      </c>
    </row>
    <row r="138" spans="1:7" ht="28.8" x14ac:dyDescent="0.55000000000000004">
      <c r="A138" s="12"/>
      <c r="B138" s="13"/>
      <c r="C138" s="10"/>
      <c r="D138" s="10"/>
      <c r="E138" s="7">
        <f>+$I$2+(AGSAFRIQUE[[#This Row],[QUANTITE]]*AGSAFRIQUE[[#This Row],[PRIX UNITAIRE]])</f>
        <v>0</v>
      </c>
      <c r="F138" s="14"/>
      <c r="G138" s="6">
        <f>+SUM(E$9:$E138)-SUM(F$9:$F138)</f>
        <v>42100</v>
      </c>
    </row>
    <row r="139" spans="1:7" ht="28.8" x14ac:dyDescent="0.55000000000000004">
      <c r="A139" s="12"/>
      <c r="B139" s="13"/>
      <c r="C139" s="10"/>
      <c r="D139" s="10"/>
      <c r="E139" s="7">
        <f>+$I$2+(AGSAFRIQUE[[#This Row],[QUANTITE]]*AGSAFRIQUE[[#This Row],[PRIX UNITAIRE]])</f>
        <v>0</v>
      </c>
      <c r="F139" s="14"/>
      <c r="G139" s="6">
        <f>+SUM(E$9:$E139)-SUM(F$9:$F139)</f>
        <v>42100</v>
      </c>
    </row>
    <row r="140" spans="1:7" ht="28.8" x14ac:dyDescent="0.55000000000000004">
      <c r="A140" s="12"/>
      <c r="B140" s="13"/>
      <c r="C140" s="10"/>
      <c r="D140" s="10"/>
      <c r="E140" s="7">
        <f>+$I$2+(AGSAFRIQUE[[#This Row],[QUANTITE]]*AGSAFRIQUE[[#This Row],[PRIX UNITAIRE]])</f>
        <v>0</v>
      </c>
      <c r="F140" s="14"/>
      <c r="G140" s="6">
        <f>+SUM(E$9:$E140)-SUM(F$9:$F140)</f>
        <v>42100</v>
      </c>
    </row>
    <row r="141" spans="1:7" ht="28.8" x14ac:dyDescent="0.55000000000000004">
      <c r="A141" s="12"/>
      <c r="B141" s="13"/>
      <c r="C141" s="10"/>
      <c r="D141" s="10"/>
      <c r="E141" s="7">
        <f>+$I$2+(AGSAFRIQUE[[#This Row],[QUANTITE]]*AGSAFRIQUE[[#This Row],[PRIX UNITAIRE]])</f>
        <v>0</v>
      </c>
      <c r="F141" s="14"/>
      <c r="G141" s="6">
        <f>+SUM(E$9:$E141)-SUM(F$9:$F141)</f>
        <v>42100</v>
      </c>
    </row>
    <row r="142" spans="1:7" ht="28.8" x14ac:dyDescent="0.55000000000000004">
      <c r="A142" s="12"/>
      <c r="B142" s="13"/>
      <c r="C142" s="10"/>
      <c r="D142" s="10"/>
      <c r="E142" s="7">
        <f>+$I$2+(AGSAFRIQUE[[#This Row],[QUANTITE]]*AGSAFRIQUE[[#This Row],[PRIX UNITAIRE]])</f>
        <v>0</v>
      </c>
      <c r="F142" s="14"/>
      <c r="G142" s="6">
        <f>+SUM(E$9:$E142)-SUM(F$9:$F142)</f>
        <v>42100</v>
      </c>
    </row>
    <row r="143" spans="1:7" ht="28.8" x14ac:dyDescent="0.55000000000000004">
      <c r="A143" s="12"/>
      <c r="B143" s="13"/>
      <c r="C143" s="10"/>
      <c r="D143" s="10"/>
      <c r="E143" s="7">
        <f>+$I$2+(AGSAFRIQUE[[#This Row],[QUANTITE]]*AGSAFRIQUE[[#This Row],[PRIX UNITAIRE]])</f>
        <v>0</v>
      </c>
      <c r="F143" s="14"/>
      <c r="G143" s="6">
        <f>+SUM(E$9:$E143)-SUM(F$9:$F143)</f>
        <v>42100</v>
      </c>
    </row>
    <row r="144" spans="1:7" ht="28.8" x14ac:dyDescent="0.55000000000000004">
      <c r="A144" s="12"/>
      <c r="B144" s="13"/>
      <c r="C144" s="10"/>
      <c r="D144" s="10"/>
      <c r="E144" s="7">
        <f>+$I$2+(AGSAFRIQUE[[#This Row],[QUANTITE]]*AGSAFRIQUE[[#This Row],[PRIX UNITAIRE]])</f>
        <v>0</v>
      </c>
      <c r="F144" s="14"/>
      <c r="G144" s="6">
        <f>+SUM(E$9:$E144)-SUM(F$9:$F144)</f>
        <v>42100</v>
      </c>
    </row>
    <row r="145" spans="1:7" ht="28.8" x14ac:dyDescent="0.55000000000000004">
      <c r="A145" s="12"/>
      <c r="B145" s="13"/>
      <c r="C145" s="10"/>
      <c r="D145" s="10"/>
      <c r="E145" s="7">
        <f>+$I$2+(AGSAFRIQUE[[#This Row],[QUANTITE]]*AGSAFRIQUE[[#This Row],[PRIX UNITAIRE]])</f>
        <v>0</v>
      </c>
      <c r="F145" s="14"/>
      <c r="G145" s="6">
        <f>+SUM(E$9:$E145)-SUM(F$9:$F145)</f>
        <v>42100</v>
      </c>
    </row>
    <row r="146" spans="1:7" ht="28.8" x14ac:dyDescent="0.55000000000000004">
      <c r="A146" s="12"/>
      <c r="B146" s="13"/>
      <c r="C146" s="10"/>
      <c r="D146" s="10"/>
      <c r="E146" s="7">
        <f>+$I$2+(AGSAFRIQUE[[#This Row],[QUANTITE]]*AGSAFRIQUE[[#This Row],[PRIX UNITAIRE]])</f>
        <v>0</v>
      </c>
      <c r="F146" s="14"/>
      <c r="G146" s="6">
        <f>+SUM(E$9:$E146)-SUM(F$9:$F146)</f>
        <v>42100</v>
      </c>
    </row>
    <row r="147" spans="1:7" ht="28.8" x14ac:dyDescent="0.55000000000000004">
      <c r="A147" s="12"/>
      <c r="B147" s="13"/>
      <c r="C147" s="10"/>
      <c r="D147" s="10"/>
      <c r="E147" s="7">
        <f>+$I$2+(AGSAFRIQUE[[#This Row],[QUANTITE]]*AGSAFRIQUE[[#This Row],[PRIX UNITAIRE]])</f>
        <v>0</v>
      </c>
      <c r="F147" s="14"/>
      <c r="G147" s="6">
        <f>+SUM(E$9:$E147)-SUM(F$9:$F147)</f>
        <v>42100</v>
      </c>
    </row>
    <row r="148" spans="1:7" ht="28.8" x14ac:dyDescent="0.55000000000000004">
      <c r="A148" s="12"/>
      <c r="B148" s="13"/>
      <c r="C148" s="10"/>
      <c r="D148" s="10"/>
      <c r="E148" s="7">
        <f>+$I$2+(AGSAFRIQUE[[#This Row],[QUANTITE]]*AGSAFRIQUE[[#This Row],[PRIX UNITAIRE]])</f>
        <v>0</v>
      </c>
      <c r="F148" s="14"/>
      <c r="G148" s="6">
        <f>+SUM(E$9:$E148)-SUM(F$9:$F148)</f>
        <v>42100</v>
      </c>
    </row>
    <row r="149" spans="1:7" ht="28.8" x14ac:dyDescent="0.55000000000000004">
      <c r="A149" s="12"/>
      <c r="B149" s="13"/>
      <c r="C149" s="10"/>
      <c r="D149" s="10"/>
      <c r="E149" s="7">
        <f>+$I$2+(AGSAFRIQUE[[#This Row],[QUANTITE]]*AGSAFRIQUE[[#This Row],[PRIX UNITAIRE]])</f>
        <v>0</v>
      </c>
      <c r="F149" s="55"/>
      <c r="G149" s="6">
        <f>+SUM(E$9:$E149)-SUM(F$9:$F149)</f>
        <v>42100</v>
      </c>
    </row>
    <row r="150" spans="1:7" ht="28.8" x14ac:dyDescent="0.55000000000000004">
      <c r="A150" s="12"/>
      <c r="B150" s="13"/>
      <c r="C150" s="10"/>
      <c r="D150" s="10"/>
      <c r="E150" s="7">
        <f>+$I$2+(AGSAFRIQUE[[#This Row],[QUANTITE]]*AGSAFRIQUE[[#This Row],[PRIX UNITAIRE]])</f>
        <v>0</v>
      </c>
      <c r="F150" s="55"/>
      <c r="G150" s="6">
        <f>+SUM(E$9:$E150)-SUM(F$9:$F150)</f>
        <v>42100</v>
      </c>
    </row>
    <row r="151" spans="1:7" ht="28.8" x14ac:dyDescent="0.55000000000000004">
      <c r="A151" s="12"/>
      <c r="B151" s="13"/>
      <c r="C151" s="10"/>
      <c r="D151" s="10"/>
      <c r="E151" s="7">
        <f>+$I$2+(AGSAFRIQUE[[#This Row],[QUANTITE]]*AGSAFRIQUE[[#This Row],[PRIX UNITAIRE]])</f>
        <v>0</v>
      </c>
      <c r="F151" s="14"/>
      <c r="G151" s="6">
        <f>+SUM(E$9:$E151)-SUM(F$9:$F151)</f>
        <v>42100</v>
      </c>
    </row>
    <row r="152" spans="1:7" ht="28.8" x14ac:dyDescent="0.55000000000000004">
      <c r="A152" s="12"/>
      <c r="B152" s="13"/>
      <c r="C152" s="10"/>
      <c r="D152" s="10"/>
      <c r="E152" s="7">
        <f>+$I$2+(AGSAFRIQUE[[#This Row],[QUANTITE]]*AGSAFRIQUE[[#This Row],[PRIX UNITAIRE]])</f>
        <v>0</v>
      </c>
      <c r="F152" s="14"/>
      <c r="G152" s="6">
        <f>+SUM(E$9:$E152)-SUM(F$9:$F152)</f>
        <v>42100</v>
      </c>
    </row>
    <row r="153" spans="1:7" ht="28.8" x14ac:dyDescent="0.55000000000000004">
      <c r="A153" s="12"/>
      <c r="B153" s="13"/>
      <c r="C153" s="10"/>
      <c r="D153" s="10"/>
      <c r="E153" s="7">
        <f>+$I$2+(AGSAFRIQUE[[#This Row],[QUANTITE]]*AGSAFRIQUE[[#This Row],[PRIX UNITAIRE]])</f>
        <v>0</v>
      </c>
      <c r="F153" s="14"/>
      <c r="G153" s="6">
        <f>+SUM(E$9:$E153)-SUM(F$9:$F153)</f>
        <v>42100</v>
      </c>
    </row>
    <row r="154" spans="1:7" ht="28.8" x14ac:dyDescent="0.55000000000000004">
      <c r="A154" s="12"/>
      <c r="B154" s="13"/>
      <c r="C154" s="10"/>
      <c r="D154" s="10"/>
      <c r="E154" s="7">
        <f>+$I$2+(AGSAFRIQUE[[#This Row],[QUANTITE]]*AGSAFRIQUE[[#This Row],[PRIX UNITAIRE]])</f>
        <v>0</v>
      </c>
      <c r="F154" s="14"/>
      <c r="G154" s="6">
        <f>+SUM(E$9:$E154)-SUM(F$9:$F154)</f>
        <v>42100</v>
      </c>
    </row>
    <row r="155" spans="1:7" ht="28.8" x14ac:dyDescent="0.55000000000000004">
      <c r="A155" s="12"/>
      <c r="B155" s="13"/>
      <c r="C155" s="10"/>
      <c r="D155" s="10"/>
      <c r="E155" s="7">
        <f>+$I$2+(AGSAFRIQUE[[#This Row],[QUANTITE]]*AGSAFRIQUE[[#This Row],[PRIX UNITAIRE]])</f>
        <v>0</v>
      </c>
      <c r="F155" s="14"/>
      <c r="G155" s="6">
        <f>+SUM(E$9:$E155)-SUM(F$9:$F155)</f>
        <v>42100</v>
      </c>
    </row>
    <row r="156" spans="1:7" ht="28.8" x14ac:dyDescent="0.55000000000000004">
      <c r="A156" s="12"/>
      <c r="B156" s="13"/>
      <c r="C156" s="10"/>
      <c r="D156" s="10"/>
      <c r="E156" s="7">
        <f>+$I$2+(AGSAFRIQUE[[#This Row],[QUANTITE]]*AGSAFRIQUE[[#This Row],[PRIX UNITAIRE]])</f>
        <v>0</v>
      </c>
      <c r="F156" s="14"/>
      <c r="G156" s="6">
        <f>+SUM(E$9:$E156)-SUM(F$9:$F156)</f>
        <v>42100</v>
      </c>
    </row>
    <row r="157" spans="1:7" ht="28.8" x14ac:dyDescent="0.55000000000000004">
      <c r="A157" s="12"/>
      <c r="B157" s="13"/>
      <c r="C157" s="10"/>
      <c r="D157" s="10"/>
      <c r="E157" s="7">
        <f>+$I$2+(AGSAFRIQUE[[#This Row],[QUANTITE]]*AGSAFRIQUE[[#This Row],[PRIX UNITAIRE]])</f>
        <v>0</v>
      </c>
      <c r="F157" s="14"/>
      <c r="G157" s="6">
        <f>+SUM(E$9:$E157)-SUM(F$9:$F157)</f>
        <v>42100</v>
      </c>
    </row>
    <row r="158" spans="1:7" ht="28.8" x14ac:dyDescent="0.55000000000000004">
      <c r="A158" s="12"/>
      <c r="B158" s="13"/>
      <c r="C158" s="10"/>
      <c r="D158" s="10"/>
      <c r="E158" s="7">
        <f>+$I$2+(AGSAFRIQUE[[#This Row],[QUANTITE]]*AGSAFRIQUE[[#This Row],[PRIX UNITAIRE]])</f>
        <v>0</v>
      </c>
      <c r="F158" s="14"/>
      <c r="G158" s="6">
        <f>+SUM(E$9:$E158)-SUM(F$9:$F158)</f>
        <v>42100</v>
      </c>
    </row>
    <row r="159" spans="1:7" ht="28.8" x14ac:dyDescent="0.55000000000000004">
      <c r="A159" s="12"/>
      <c r="B159" s="13"/>
      <c r="C159" s="10"/>
      <c r="D159" s="10"/>
      <c r="E159" s="7">
        <f>+$I$2+(AGSAFRIQUE[[#This Row],[QUANTITE]]*AGSAFRIQUE[[#This Row],[PRIX UNITAIRE]])</f>
        <v>0</v>
      </c>
      <c r="F159" s="14"/>
      <c r="G159" s="6">
        <f>+SUM(E$9:$E159)-SUM(F$9:$F159)</f>
        <v>42100</v>
      </c>
    </row>
    <row r="160" spans="1:7" ht="28.8" x14ac:dyDescent="0.55000000000000004">
      <c r="A160" s="12"/>
      <c r="B160" s="13"/>
      <c r="C160" s="10"/>
      <c r="D160" s="10"/>
      <c r="E160" s="7">
        <f>+$I$2+(AGSAFRIQUE[[#This Row],[QUANTITE]]*AGSAFRIQUE[[#This Row],[PRIX UNITAIRE]])</f>
        <v>0</v>
      </c>
      <c r="F160" s="14"/>
      <c r="G160" s="6">
        <f>+SUM(E$9:$E160)-SUM(F$9:$F160)</f>
        <v>42100</v>
      </c>
    </row>
    <row r="161" spans="1:7" ht="28.8" x14ac:dyDescent="0.55000000000000004">
      <c r="A161" s="12"/>
      <c r="B161" s="13"/>
      <c r="C161" s="10"/>
      <c r="D161" s="10"/>
      <c r="E161" s="7">
        <f>+$I$2+(AGSAFRIQUE[[#This Row],[QUANTITE]]*AGSAFRIQUE[[#This Row],[PRIX UNITAIRE]])</f>
        <v>0</v>
      </c>
      <c r="F161" s="14"/>
      <c r="G161" s="6">
        <f>+SUM(E$9:$E161)-SUM(F$9:$F161)</f>
        <v>42100</v>
      </c>
    </row>
    <row r="162" spans="1:7" ht="28.8" x14ac:dyDescent="0.55000000000000004">
      <c r="A162" s="12"/>
      <c r="B162" s="13"/>
      <c r="C162" s="10"/>
      <c r="D162" s="10"/>
      <c r="E162" s="7">
        <f>+$I$2+(AGSAFRIQUE[[#This Row],[QUANTITE]]*AGSAFRIQUE[[#This Row],[PRIX UNITAIRE]])</f>
        <v>0</v>
      </c>
      <c r="F162" s="14"/>
      <c r="G162" s="6">
        <f>+SUM(E$9:$E162)-SUM(F$9:$F162)</f>
        <v>42100</v>
      </c>
    </row>
    <row r="163" spans="1:7" ht="28.8" x14ac:dyDescent="0.55000000000000004">
      <c r="A163" s="12"/>
      <c r="B163" s="13"/>
      <c r="C163" s="10"/>
      <c r="D163" s="10"/>
      <c r="E163" s="7">
        <f>+$I$2+(AGSAFRIQUE[[#This Row],[QUANTITE]]*AGSAFRIQUE[[#This Row],[PRIX UNITAIRE]])</f>
        <v>0</v>
      </c>
      <c r="F163" s="14"/>
      <c r="G163" s="6">
        <f>+SUM(E$9:$E163)-SUM(F$9:$F163)</f>
        <v>42100</v>
      </c>
    </row>
    <row r="164" spans="1:7" ht="28.8" x14ac:dyDescent="0.55000000000000004">
      <c r="A164" s="12"/>
      <c r="B164" s="13"/>
      <c r="C164" s="10"/>
      <c r="D164" s="10"/>
      <c r="E164" s="7">
        <f>+$I$2+(AGSAFRIQUE[[#This Row],[QUANTITE]]*AGSAFRIQUE[[#This Row],[PRIX UNITAIRE]])</f>
        <v>0</v>
      </c>
      <c r="F164" s="14"/>
      <c r="G164" s="6">
        <f>+SUM(E$9:$E164)-SUM(F$9:$F164)</f>
        <v>42100</v>
      </c>
    </row>
    <row r="165" spans="1:7" ht="28.8" x14ac:dyDescent="0.55000000000000004">
      <c r="A165" s="12"/>
      <c r="B165" s="13"/>
      <c r="C165" s="10"/>
      <c r="D165" s="10"/>
      <c r="E165" s="7">
        <f>+$I$2+(AGSAFRIQUE[[#This Row],[QUANTITE]]*AGSAFRIQUE[[#This Row],[PRIX UNITAIRE]])</f>
        <v>0</v>
      </c>
      <c r="F165" s="14"/>
      <c r="G165" s="6">
        <f>+SUM(E$9:$E165)-SUM(F$9:$F165)</f>
        <v>42100</v>
      </c>
    </row>
    <row r="166" spans="1:7" ht="28.8" x14ac:dyDescent="0.55000000000000004">
      <c r="A166" s="12"/>
      <c r="B166" s="13"/>
      <c r="C166" s="10"/>
      <c r="D166" s="10"/>
      <c r="E166" s="7">
        <f>+$I$2+(AGSAFRIQUE[[#This Row],[QUANTITE]]*AGSAFRIQUE[[#This Row],[PRIX UNITAIRE]])</f>
        <v>0</v>
      </c>
      <c r="F166" s="14"/>
      <c r="G166" s="6">
        <f>+SUM(E$9:$E166)-SUM(F$9:$F166)</f>
        <v>42100</v>
      </c>
    </row>
    <row r="167" spans="1:7" ht="28.8" x14ac:dyDescent="0.55000000000000004">
      <c r="A167" s="12"/>
      <c r="B167" s="13"/>
      <c r="C167" s="10"/>
      <c r="D167" s="10"/>
      <c r="E167" s="7">
        <f>+$I$2+(AGSAFRIQUE[[#This Row],[QUANTITE]]*AGSAFRIQUE[[#This Row],[PRIX UNITAIRE]])</f>
        <v>0</v>
      </c>
      <c r="F167" s="14"/>
      <c r="G167" s="6">
        <f>+SUM(E$9:$E167)-SUM(F$9:$F167)</f>
        <v>42100</v>
      </c>
    </row>
    <row r="168" spans="1:7" ht="28.8" x14ac:dyDescent="0.55000000000000004">
      <c r="A168" s="12"/>
      <c r="B168" s="13"/>
      <c r="C168" s="10"/>
      <c r="D168" s="10"/>
      <c r="E168" s="7">
        <f>+$I$2+(AGSAFRIQUE[[#This Row],[QUANTITE]]*AGSAFRIQUE[[#This Row],[PRIX UNITAIRE]])</f>
        <v>0</v>
      </c>
      <c r="F168" s="14"/>
      <c r="G168" s="6">
        <f>+SUM(E$9:$E168)-SUM(F$9:$F168)</f>
        <v>42100</v>
      </c>
    </row>
    <row r="169" spans="1:7" ht="28.8" x14ac:dyDescent="0.55000000000000004">
      <c r="A169" s="12"/>
      <c r="B169" s="13"/>
      <c r="C169" s="10"/>
      <c r="D169" s="10"/>
      <c r="E169" s="7">
        <f>+$I$2+(AGSAFRIQUE[[#This Row],[QUANTITE]]*AGSAFRIQUE[[#This Row],[PRIX UNITAIRE]])</f>
        <v>0</v>
      </c>
      <c r="F169" s="14"/>
      <c r="G169" s="6">
        <f>+SUM(E$9:$E169)-SUM(F$9:$F169)</f>
        <v>42100</v>
      </c>
    </row>
    <row r="170" spans="1:7" ht="28.8" x14ac:dyDescent="0.55000000000000004">
      <c r="A170" s="12"/>
      <c r="B170" s="13"/>
      <c r="C170" s="10"/>
      <c r="D170" s="10"/>
      <c r="E170" s="7">
        <f>+$I$2+(AGSAFRIQUE[[#This Row],[QUANTITE]]*AGSAFRIQUE[[#This Row],[PRIX UNITAIRE]])</f>
        <v>0</v>
      </c>
      <c r="F170" s="14"/>
      <c r="G170" s="6">
        <f>+SUM(E$9:$E170)-SUM(F$9:$F170)</f>
        <v>42100</v>
      </c>
    </row>
    <row r="171" spans="1:7" ht="28.8" x14ac:dyDescent="0.55000000000000004">
      <c r="A171" s="12"/>
      <c r="B171" s="13"/>
      <c r="C171" s="10"/>
      <c r="D171" s="10"/>
      <c r="E171" s="7">
        <f>+$I$2+(AGSAFRIQUE[[#This Row],[QUANTITE]]*AGSAFRIQUE[[#This Row],[PRIX UNITAIRE]])</f>
        <v>0</v>
      </c>
      <c r="F171" s="14"/>
      <c r="G171" s="6">
        <f>+SUM(E$9:$E171)-SUM(F$9:$F171)</f>
        <v>42100</v>
      </c>
    </row>
    <row r="172" spans="1:7" ht="28.8" x14ac:dyDescent="0.55000000000000004">
      <c r="A172" s="12"/>
      <c r="B172" s="13"/>
      <c r="C172" s="10"/>
      <c r="D172" s="10"/>
      <c r="E172" s="7">
        <f>+$I$2+(AGSAFRIQUE[[#This Row],[QUANTITE]]*AGSAFRIQUE[[#This Row],[PRIX UNITAIRE]])</f>
        <v>0</v>
      </c>
      <c r="F172" s="14"/>
      <c r="G172" s="6">
        <f>+SUM(E$9:$E172)-SUM(F$9:$F172)</f>
        <v>42100</v>
      </c>
    </row>
    <row r="173" spans="1:7" ht="28.8" x14ac:dyDescent="0.55000000000000004">
      <c r="A173" s="12"/>
      <c r="B173" s="13"/>
      <c r="C173" s="10"/>
      <c r="D173" s="10"/>
      <c r="E173" s="7">
        <f>+$I$2+(AGSAFRIQUE[[#This Row],[QUANTITE]]*AGSAFRIQUE[[#This Row],[PRIX UNITAIRE]])</f>
        <v>0</v>
      </c>
      <c r="F173" s="14"/>
      <c r="G173" s="6">
        <f>+SUM(E$9:$E173)-SUM(F$9:$F173)</f>
        <v>42100</v>
      </c>
    </row>
    <row r="174" spans="1:7" ht="28.8" x14ac:dyDescent="0.55000000000000004">
      <c r="A174" s="12"/>
      <c r="B174" s="13"/>
      <c r="C174" s="10"/>
      <c r="D174" s="10"/>
      <c r="E174" s="7">
        <f>+$I$2+(AGSAFRIQUE[[#This Row],[QUANTITE]]*AGSAFRIQUE[[#This Row],[PRIX UNITAIRE]])</f>
        <v>0</v>
      </c>
      <c r="F174" s="14"/>
      <c r="G174" s="6">
        <f>+SUM(E$9:$E174)-SUM(F$9:$F174)</f>
        <v>42100</v>
      </c>
    </row>
    <row r="175" spans="1:7" ht="28.8" x14ac:dyDescent="0.55000000000000004">
      <c r="A175" s="12"/>
      <c r="B175" s="13"/>
      <c r="C175" s="10"/>
      <c r="D175" s="10"/>
      <c r="E175" s="7">
        <f>+$I$2+(AGSAFRIQUE[[#This Row],[QUANTITE]]*AGSAFRIQUE[[#This Row],[PRIX UNITAIRE]])</f>
        <v>0</v>
      </c>
      <c r="F175" s="14"/>
      <c r="G175" s="6">
        <f>+SUM(E$9:$E175)-SUM(F$9:$F175)</f>
        <v>42100</v>
      </c>
    </row>
    <row r="176" spans="1:7" ht="28.8" x14ac:dyDescent="0.55000000000000004">
      <c r="A176" s="12"/>
      <c r="B176" s="13"/>
      <c r="C176" s="10"/>
      <c r="D176" s="10"/>
      <c r="E176" s="7">
        <f>+$I$2+(AGSAFRIQUE[[#This Row],[QUANTITE]]*AGSAFRIQUE[[#This Row],[PRIX UNITAIRE]])</f>
        <v>0</v>
      </c>
      <c r="F176" s="14"/>
      <c r="G176" s="6">
        <f>+SUM(E$9:$E176)-SUM(F$9:$F176)</f>
        <v>42100</v>
      </c>
    </row>
    <row r="177" spans="1:7" ht="28.8" x14ac:dyDescent="0.55000000000000004">
      <c r="A177" s="12"/>
      <c r="B177" s="13"/>
      <c r="C177" s="10"/>
      <c r="D177" s="10"/>
      <c r="E177" s="7">
        <f>+$I$2+(AGSAFRIQUE[[#This Row],[QUANTITE]]*AGSAFRIQUE[[#This Row],[PRIX UNITAIRE]])</f>
        <v>0</v>
      </c>
      <c r="F177" s="14"/>
      <c r="G177" s="6">
        <f>+SUM(E$9:$E177)-SUM(F$9:$F177)</f>
        <v>42100</v>
      </c>
    </row>
    <row r="178" spans="1:7" ht="28.8" x14ac:dyDescent="0.55000000000000004">
      <c r="A178" s="12"/>
      <c r="B178" s="13"/>
      <c r="C178" s="10"/>
      <c r="D178" s="10"/>
      <c r="E178" s="7">
        <f>+$I$2+(AGSAFRIQUE[[#This Row],[QUANTITE]]*AGSAFRIQUE[[#This Row],[PRIX UNITAIRE]])</f>
        <v>0</v>
      </c>
      <c r="F178" s="14"/>
      <c r="G178" s="6">
        <f>+SUM(E$9:$E178)-SUM(F$9:$F178)</f>
        <v>42100</v>
      </c>
    </row>
    <row r="179" spans="1:7" ht="28.8" x14ac:dyDescent="0.55000000000000004">
      <c r="A179" s="12"/>
      <c r="B179" s="13"/>
      <c r="C179" s="10"/>
      <c r="D179" s="10"/>
      <c r="E179" s="7">
        <f>+$I$2+(AGSAFRIQUE[[#This Row],[QUANTITE]]*AGSAFRIQUE[[#This Row],[PRIX UNITAIRE]])</f>
        <v>0</v>
      </c>
      <c r="F179" s="14"/>
      <c r="G179" s="6">
        <f>+SUM(E$9:$E179)-SUM(F$9:$F179)</f>
        <v>42100</v>
      </c>
    </row>
    <row r="180" spans="1:7" ht="28.8" x14ac:dyDescent="0.55000000000000004">
      <c r="A180" s="12"/>
      <c r="B180" s="13"/>
      <c r="C180" s="10"/>
      <c r="D180" s="10"/>
      <c r="E180" s="7">
        <f>+$I$2+(AGSAFRIQUE[[#This Row],[QUANTITE]]*AGSAFRIQUE[[#This Row],[PRIX UNITAIRE]])</f>
        <v>0</v>
      </c>
      <c r="F180" s="14"/>
      <c r="G180" s="6">
        <f>+SUM(E$9:$E180)-SUM(F$9:$F180)</f>
        <v>42100</v>
      </c>
    </row>
    <row r="181" spans="1:7" ht="28.8" x14ac:dyDescent="0.55000000000000004">
      <c r="A181" s="12"/>
      <c r="B181" s="13"/>
      <c r="C181" s="10"/>
      <c r="D181" s="10"/>
      <c r="E181" s="7">
        <f>+$I$2+(AGSAFRIQUE[[#This Row],[QUANTITE]]*AGSAFRIQUE[[#This Row],[PRIX UNITAIRE]])</f>
        <v>0</v>
      </c>
      <c r="F181" s="14"/>
      <c r="G181" s="6">
        <f>+SUM(E$9:$E181)-SUM(F$9:$F181)</f>
        <v>42100</v>
      </c>
    </row>
    <row r="182" spans="1:7" ht="28.8" x14ac:dyDescent="0.55000000000000004">
      <c r="A182" s="12"/>
      <c r="B182" s="13"/>
      <c r="C182" s="10"/>
      <c r="D182" s="10"/>
      <c r="E182" s="7">
        <f>+$I$2+(AGSAFRIQUE[[#This Row],[QUANTITE]]*AGSAFRIQUE[[#This Row],[PRIX UNITAIRE]])</f>
        <v>0</v>
      </c>
      <c r="F182" s="14"/>
      <c r="G182" s="6">
        <f>+SUM(E$9:$E182)-SUM(F$9:$F182)</f>
        <v>42100</v>
      </c>
    </row>
    <row r="183" spans="1:7" ht="28.8" x14ac:dyDescent="0.55000000000000004">
      <c r="A183" s="12"/>
      <c r="B183" s="13"/>
      <c r="C183" s="10"/>
      <c r="D183" s="10"/>
      <c r="E183" s="7">
        <f>+$I$2+(AGSAFRIQUE[[#This Row],[QUANTITE]]*AGSAFRIQUE[[#This Row],[PRIX UNITAIRE]])</f>
        <v>0</v>
      </c>
      <c r="F183" s="14"/>
      <c r="G183" s="6">
        <f>+SUM(E$9:$E183)-SUM(F$9:$F183)</f>
        <v>42100</v>
      </c>
    </row>
    <row r="184" spans="1:7" ht="28.8" x14ac:dyDescent="0.55000000000000004">
      <c r="A184" s="12"/>
      <c r="B184" s="13"/>
      <c r="C184" s="10"/>
      <c r="D184" s="10"/>
      <c r="E184" s="7">
        <f>+$I$2+(AGSAFRIQUE[[#This Row],[QUANTITE]]*AGSAFRIQUE[[#This Row],[PRIX UNITAIRE]])</f>
        <v>0</v>
      </c>
      <c r="F184" s="14"/>
      <c r="G184" s="6">
        <f>+SUM(E$9:$E184)-SUM(F$9:$F184)</f>
        <v>42100</v>
      </c>
    </row>
    <row r="185" spans="1:7" ht="28.8" x14ac:dyDescent="0.55000000000000004">
      <c r="A185" s="12"/>
      <c r="B185" s="13"/>
      <c r="C185" s="10"/>
      <c r="D185" s="10"/>
      <c r="E185" s="7">
        <f>+$I$2+(AGSAFRIQUE[[#This Row],[QUANTITE]]*AGSAFRIQUE[[#This Row],[PRIX UNITAIRE]])</f>
        <v>0</v>
      </c>
      <c r="F185" s="14"/>
      <c r="G185" s="6">
        <f>+SUM(E$9:$E185)-SUM(F$9:$F185)</f>
        <v>42100</v>
      </c>
    </row>
    <row r="186" spans="1:7" ht="28.8" x14ac:dyDescent="0.55000000000000004">
      <c r="A186" s="12"/>
      <c r="B186" s="13"/>
      <c r="C186" s="10"/>
      <c r="D186" s="10"/>
      <c r="E186" s="7">
        <f>+$I$2+(AGSAFRIQUE[[#This Row],[QUANTITE]]*AGSAFRIQUE[[#This Row],[PRIX UNITAIRE]])</f>
        <v>0</v>
      </c>
      <c r="F186" s="14"/>
      <c r="G186" s="6">
        <f>+SUM(E$9:$E186)-SUM(F$9:$F186)</f>
        <v>42100</v>
      </c>
    </row>
    <row r="187" spans="1:7" ht="28.8" x14ac:dyDescent="0.55000000000000004">
      <c r="A187" s="12"/>
      <c r="B187" s="13"/>
      <c r="C187" s="10"/>
      <c r="D187" s="10"/>
      <c r="E187" s="7">
        <f>+$I$2+(AGSAFRIQUE[[#This Row],[QUANTITE]]*AGSAFRIQUE[[#This Row],[PRIX UNITAIRE]])</f>
        <v>0</v>
      </c>
      <c r="F187" s="14"/>
      <c r="G187" s="6">
        <f>+SUM(E$9:$E187)-SUM(F$9:$F187)</f>
        <v>42100</v>
      </c>
    </row>
    <row r="188" spans="1:7" ht="28.8" x14ac:dyDescent="0.55000000000000004">
      <c r="A188" s="12"/>
      <c r="B188" s="13"/>
      <c r="C188" s="10"/>
      <c r="D188" s="10"/>
      <c r="E188" s="7">
        <f>+$I$2+(AGSAFRIQUE[[#This Row],[QUANTITE]]*AGSAFRIQUE[[#This Row],[PRIX UNITAIRE]])</f>
        <v>0</v>
      </c>
      <c r="F188" s="14"/>
      <c r="G188" s="6">
        <f>+SUM(E$9:$E188)-SUM(F$9:$F188)</f>
        <v>42100</v>
      </c>
    </row>
    <row r="189" spans="1:7" ht="28.8" x14ac:dyDescent="0.55000000000000004">
      <c r="A189" s="12"/>
      <c r="B189" s="13"/>
      <c r="C189" s="10"/>
      <c r="D189" s="10"/>
      <c r="E189" s="7">
        <f>+$I$2+(AGSAFRIQUE[[#This Row],[QUANTITE]]*AGSAFRIQUE[[#This Row],[PRIX UNITAIRE]])</f>
        <v>0</v>
      </c>
      <c r="F189" s="14"/>
      <c r="G189" s="6">
        <f>+SUM(E$9:$E189)-SUM(F$9:$F189)</f>
        <v>42100</v>
      </c>
    </row>
    <row r="190" spans="1:7" ht="28.8" x14ac:dyDescent="0.55000000000000004">
      <c r="A190" s="12"/>
      <c r="B190" s="13"/>
      <c r="C190" s="10"/>
      <c r="D190" s="10"/>
      <c r="E190" s="7">
        <f>+$I$2+(AGSAFRIQUE[[#This Row],[QUANTITE]]*AGSAFRIQUE[[#This Row],[PRIX UNITAIRE]])</f>
        <v>0</v>
      </c>
      <c r="F190" s="14"/>
      <c r="G190" s="6">
        <f>+SUM(E$9:$E190)-SUM(F$9:$F190)</f>
        <v>42100</v>
      </c>
    </row>
    <row r="191" spans="1:7" ht="28.8" x14ac:dyDescent="0.55000000000000004">
      <c r="A191" s="12"/>
      <c r="B191" s="13"/>
      <c r="C191" s="10"/>
      <c r="D191" s="10"/>
      <c r="E191" s="7">
        <f>+$I$2+(AGSAFRIQUE[[#This Row],[QUANTITE]]*AGSAFRIQUE[[#This Row],[PRIX UNITAIRE]])</f>
        <v>0</v>
      </c>
      <c r="F191" s="14"/>
      <c r="G191" s="6">
        <f>+SUM(E$9:$E191)-SUM(F$9:$F191)</f>
        <v>42100</v>
      </c>
    </row>
    <row r="192" spans="1:7" ht="28.8" x14ac:dyDescent="0.55000000000000004">
      <c r="A192" s="12"/>
      <c r="B192" s="13"/>
      <c r="C192" s="10"/>
      <c r="D192" s="10"/>
      <c r="E192" s="7">
        <f>+$I$2+(AGSAFRIQUE[[#This Row],[QUANTITE]]*AGSAFRIQUE[[#This Row],[PRIX UNITAIRE]])</f>
        <v>0</v>
      </c>
      <c r="F192" s="14"/>
      <c r="G192" s="6">
        <f>+SUM(E$9:$E192)-SUM(F$9:$F192)</f>
        <v>42100</v>
      </c>
    </row>
    <row r="193" spans="1:7" ht="28.8" x14ac:dyDescent="0.55000000000000004">
      <c r="A193" s="12"/>
      <c r="B193" s="13"/>
      <c r="C193" s="10"/>
      <c r="D193" s="10"/>
      <c r="E193" s="7">
        <f>+$I$2+(AGSAFRIQUE[[#This Row],[QUANTITE]]*AGSAFRIQUE[[#This Row],[PRIX UNITAIRE]])</f>
        <v>0</v>
      </c>
      <c r="F193" s="14"/>
      <c r="G193" s="6">
        <f>+SUM(E$9:$E193)-SUM(F$9:$F193)</f>
        <v>42100</v>
      </c>
    </row>
    <row r="194" spans="1:7" ht="28.8" x14ac:dyDescent="0.55000000000000004">
      <c r="A194" s="12"/>
      <c r="B194" s="13"/>
      <c r="C194" s="10"/>
      <c r="D194" s="10"/>
      <c r="E194" s="7">
        <f>+$I$2+(AGSAFRIQUE[[#This Row],[QUANTITE]]*AGSAFRIQUE[[#This Row],[PRIX UNITAIRE]])</f>
        <v>0</v>
      </c>
      <c r="F194" s="14"/>
      <c r="G194" s="6">
        <f>+SUM(E$9:$E194)-SUM(F$9:$F194)</f>
        <v>42100</v>
      </c>
    </row>
    <row r="195" spans="1:7" ht="28.8" x14ac:dyDescent="0.55000000000000004">
      <c r="A195" s="12"/>
      <c r="B195" s="13"/>
      <c r="C195" s="10"/>
      <c r="D195" s="10"/>
      <c r="E195" s="7">
        <f>+$I$2+(AGSAFRIQUE[[#This Row],[QUANTITE]]*AGSAFRIQUE[[#This Row],[PRIX UNITAIRE]])</f>
        <v>0</v>
      </c>
      <c r="F195" s="14"/>
      <c r="G195" s="6">
        <f>+SUM(E$9:$E195)-SUM(F$9:$F195)</f>
        <v>42100</v>
      </c>
    </row>
    <row r="196" spans="1:7" ht="28.8" x14ac:dyDescent="0.55000000000000004">
      <c r="A196" s="12"/>
      <c r="B196" s="13"/>
      <c r="C196" s="10"/>
      <c r="D196" s="10"/>
      <c r="E196" s="7">
        <f>+$I$2+(AGSAFRIQUE[[#This Row],[QUANTITE]]*AGSAFRIQUE[[#This Row],[PRIX UNITAIRE]])</f>
        <v>0</v>
      </c>
      <c r="F196" s="14"/>
      <c r="G196" s="6">
        <f>+SUM(E$9:$E196)-SUM(F$9:$F196)</f>
        <v>42100</v>
      </c>
    </row>
    <row r="197" spans="1:7" ht="28.8" x14ac:dyDescent="0.55000000000000004">
      <c r="A197" s="12"/>
      <c r="B197" s="13"/>
      <c r="C197" s="10"/>
      <c r="D197" s="10"/>
      <c r="E197" s="7">
        <f>+$I$2+(AGSAFRIQUE[[#This Row],[QUANTITE]]*AGSAFRIQUE[[#This Row],[PRIX UNITAIRE]])</f>
        <v>0</v>
      </c>
      <c r="F197" s="14"/>
      <c r="G197" s="6">
        <f>+SUM(E$9:$E197)-SUM(F$9:$F197)</f>
        <v>42100</v>
      </c>
    </row>
    <row r="198" spans="1:7" ht="28.8" x14ac:dyDescent="0.55000000000000004">
      <c r="A198" s="12"/>
      <c r="B198" s="13"/>
      <c r="C198" s="10"/>
      <c r="D198" s="10"/>
      <c r="E198" s="7">
        <f>+$I$2+(AGSAFRIQUE[[#This Row],[QUANTITE]]*AGSAFRIQUE[[#This Row],[PRIX UNITAIRE]])</f>
        <v>0</v>
      </c>
      <c r="F198" s="14"/>
      <c r="G198" s="6">
        <f>+SUM(E$9:$E198)-SUM(F$9:$F198)</f>
        <v>42100</v>
      </c>
    </row>
    <row r="199" spans="1:7" ht="28.8" x14ac:dyDescent="0.55000000000000004">
      <c r="A199" s="12"/>
      <c r="B199" s="13"/>
      <c r="C199" s="10"/>
      <c r="D199" s="10"/>
      <c r="E199" s="7">
        <f>+$I$2+(AGSAFRIQUE[[#This Row],[QUANTITE]]*AGSAFRIQUE[[#This Row],[PRIX UNITAIRE]])</f>
        <v>0</v>
      </c>
      <c r="F199" s="14"/>
      <c r="G199" s="6">
        <f>+SUM(E$9:$E199)-SUM(F$9:$F199)</f>
        <v>42100</v>
      </c>
    </row>
    <row r="200" spans="1:7" ht="28.8" x14ac:dyDescent="0.55000000000000004">
      <c r="A200" s="12"/>
      <c r="B200" s="13"/>
      <c r="C200" s="10"/>
      <c r="D200" s="10"/>
      <c r="E200" s="7">
        <f>+$I$2+(AGSAFRIQUE[[#This Row],[QUANTITE]]*AGSAFRIQUE[[#This Row],[PRIX UNITAIRE]])</f>
        <v>0</v>
      </c>
      <c r="F200" s="14"/>
      <c r="G200" s="6">
        <f>+SUM(E$9:$E200)-SUM(F$9:$F200)</f>
        <v>42100</v>
      </c>
    </row>
    <row r="201" spans="1:7" ht="28.8" x14ac:dyDescent="0.55000000000000004">
      <c r="A201" s="12"/>
      <c r="B201" s="13"/>
      <c r="C201" s="10"/>
      <c r="D201" s="10"/>
      <c r="E201" s="7">
        <f>+$I$2+(AGSAFRIQUE[[#This Row],[QUANTITE]]*AGSAFRIQUE[[#This Row],[PRIX UNITAIRE]])</f>
        <v>0</v>
      </c>
      <c r="F201" s="14"/>
      <c r="G201" s="6">
        <f>+SUM(E$9:$E201)-SUM(F$9:$F201)</f>
        <v>42100</v>
      </c>
    </row>
    <row r="202" spans="1:7" ht="28.8" x14ac:dyDescent="0.55000000000000004">
      <c r="A202" s="12"/>
      <c r="B202" s="13"/>
      <c r="C202" s="10"/>
      <c r="D202" s="10"/>
      <c r="E202" s="7">
        <f>+$I$2+(AGSAFRIQUE[[#This Row],[QUANTITE]]*AGSAFRIQUE[[#This Row],[PRIX UNITAIRE]])</f>
        <v>0</v>
      </c>
      <c r="F202" s="14"/>
      <c r="G202" s="6">
        <f>+SUM(E$9:$E202)-SUM(F$9:$F202)</f>
        <v>42100</v>
      </c>
    </row>
    <row r="203" spans="1:7" ht="28.8" x14ac:dyDescent="0.55000000000000004">
      <c r="A203" s="12"/>
      <c r="B203" s="13"/>
      <c r="C203" s="10"/>
      <c r="D203" s="10"/>
      <c r="E203" s="7">
        <f>+$I$2+(AGSAFRIQUE[[#This Row],[QUANTITE]]*AGSAFRIQUE[[#This Row],[PRIX UNITAIRE]])</f>
        <v>0</v>
      </c>
      <c r="F203" s="14"/>
      <c r="G203" s="6">
        <f>+SUM(E$9:$E203)-SUM(F$9:$F203)</f>
        <v>42100</v>
      </c>
    </row>
    <row r="204" spans="1:7" ht="28.8" x14ac:dyDescent="0.55000000000000004">
      <c r="A204" s="12"/>
      <c r="B204" s="13"/>
      <c r="C204" s="10"/>
      <c r="D204" s="10"/>
      <c r="E204" s="7">
        <f>+$I$2+(AGSAFRIQUE[[#This Row],[QUANTITE]]*AGSAFRIQUE[[#This Row],[PRIX UNITAIRE]])</f>
        <v>0</v>
      </c>
      <c r="F204" s="14"/>
      <c r="G204" s="6">
        <f>+SUM(E$9:$E204)-SUM(F$9:$F204)</f>
        <v>42100</v>
      </c>
    </row>
    <row r="205" spans="1:7" ht="28.8" x14ac:dyDescent="0.55000000000000004">
      <c r="A205" s="12"/>
      <c r="B205" s="13"/>
      <c r="C205" s="10"/>
      <c r="D205" s="10"/>
      <c r="E205" s="7">
        <f>+$I$2+(AGSAFRIQUE[[#This Row],[QUANTITE]]*AGSAFRIQUE[[#This Row],[PRIX UNITAIRE]])</f>
        <v>0</v>
      </c>
      <c r="F205" s="14"/>
      <c r="G205" s="6">
        <f>+SUM(E$9:$E205)-SUM(F$9:$F205)</f>
        <v>42100</v>
      </c>
    </row>
    <row r="206" spans="1:7" ht="28.8" x14ac:dyDescent="0.55000000000000004">
      <c r="A206" s="12"/>
      <c r="B206" s="13"/>
      <c r="C206" s="10"/>
      <c r="D206" s="10"/>
      <c r="E206" s="7">
        <f>+$I$2+(AGSAFRIQUE[[#This Row],[QUANTITE]]*AGSAFRIQUE[[#This Row],[PRIX UNITAIRE]])</f>
        <v>0</v>
      </c>
      <c r="F206" s="14"/>
      <c r="G206" s="6">
        <f>+SUM(E$9:$E206)-SUM(F$9:$F206)</f>
        <v>42100</v>
      </c>
    </row>
    <row r="207" spans="1:7" ht="28.8" x14ac:dyDescent="0.55000000000000004">
      <c r="A207" s="12"/>
      <c r="B207" s="13"/>
      <c r="C207" s="10"/>
      <c r="D207" s="10"/>
      <c r="E207" s="7">
        <f>+$I$2+(AGSAFRIQUE[[#This Row],[QUANTITE]]*AGSAFRIQUE[[#This Row],[PRIX UNITAIRE]])</f>
        <v>0</v>
      </c>
      <c r="F207" s="14"/>
      <c r="G207" s="6">
        <f>+SUM(E$9:$E207)-SUM(F$9:$F207)</f>
        <v>42100</v>
      </c>
    </row>
    <row r="208" spans="1:7" ht="28.8" x14ac:dyDescent="0.55000000000000004">
      <c r="A208" s="12"/>
      <c r="B208" s="13"/>
      <c r="C208" s="10"/>
      <c r="D208" s="10"/>
      <c r="E208" s="7">
        <f>+$I$2+(AGSAFRIQUE[[#This Row],[QUANTITE]]*AGSAFRIQUE[[#This Row],[PRIX UNITAIRE]])</f>
        <v>0</v>
      </c>
      <c r="F208" s="14"/>
      <c r="G208" s="6">
        <f>+SUM(E$9:$E208)-SUM(F$9:$F208)</f>
        <v>42100</v>
      </c>
    </row>
    <row r="209" spans="1:7" ht="28.8" x14ac:dyDescent="0.55000000000000004">
      <c r="A209" s="12"/>
      <c r="B209" s="13"/>
      <c r="C209" s="10"/>
      <c r="D209" s="10"/>
      <c r="E209" s="7">
        <f>+$I$2+(AGSAFRIQUE[[#This Row],[QUANTITE]]*AGSAFRIQUE[[#This Row],[PRIX UNITAIRE]])</f>
        <v>0</v>
      </c>
      <c r="F209" s="14"/>
      <c r="G209" s="6">
        <f>+SUM(E$9:$E209)-SUM(F$9:$F209)</f>
        <v>42100</v>
      </c>
    </row>
    <row r="210" spans="1:7" ht="28.8" x14ac:dyDescent="0.55000000000000004">
      <c r="A210" s="12"/>
      <c r="B210" s="13"/>
      <c r="C210" s="10"/>
      <c r="D210" s="10"/>
      <c r="E210" s="7">
        <f>+$I$2+(AGSAFRIQUE[[#This Row],[QUANTITE]]*AGSAFRIQUE[[#This Row],[PRIX UNITAIRE]])</f>
        <v>0</v>
      </c>
      <c r="F210" s="14"/>
      <c r="G210" s="6">
        <f>+SUM(E$9:$E210)-SUM(F$9:$F210)</f>
        <v>42100</v>
      </c>
    </row>
    <row r="211" spans="1:7" ht="28.8" x14ac:dyDescent="0.55000000000000004">
      <c r="A211" s="12"/>
      <c r="B211" s="13"/>
      <c r="C211" s="10"/>
      <c r="D211" s="10"/>
      <c r="E211" s="7">
        <f>+$I$2+(AGSAFRIQUE[[#This Row],[QUANTITE]]*AGSAFRIQUE[[#This Row],[PRIX UNITAIRE]])</f>
        <v>0</v>
      </c>
      <c r="F211" s="14"/>
      <c r="G211" s="6">
        <f>+SUM(E$9:$E211)-SUM(F$9:$F211)</f>
        <v>42100</v>
      </c>
    </row>
    <row r="212" spans="1:7" ht="28.8" x14ac:dyDescent="0.55000000000000004">
      <c r="A212" s="12"/>
      <c r="B212" s="13"/>
      <c r="C212" s="10"/>
      <c r="D212" s="10"/>
      <c r="E212" s="7">
        <f>+$I$2+(AGSAFRIQUE[[#This Row],[QUANTITE]]*AGSAFRIQUE[[#This Row],[PRIX UNITAIRE]])</f>
        <v>0</v>
      </c>
      <c r="F212" s="14"/>
      <c r="G212" s="6">
        <f>+SUM(E$9:$E212)-SUM(F$9:$F212)</f>
        <v>42100</v>
      </c>
    </row>
    <row r="213" spans="1:7" ht="28.8" x14ac:dyDescent="0.55000000000000004">
      <c r="A213" s="12"/>
      <c r="B213" s="13"/>
      <c r="C213" s="10"/>
      <c r="D213" s="10"/>
      <c r="E213" s="7">
        <f>+$I$2+(AGSAFRIQUE[[#This Row],[QUANTITE]]*AGSAFRIQUE[[#This Row],[PRIX UNITAIRE]])</f>
        <v>0</v>
      </c>
      <c r="F213" s="14"/>
      <c r="G213" s="6">
        <f>+SUM(E$9:$E213)-SUM(F$9:$F213)</f>
        <v>42100</v>
      </c>
    </row>
    <row r="214" spans="1:7" ht="28.8" x14ac:dyDescent="0.55000000000000004">
      <c r="A214" s="12"/>
      <c r="B214" s="13"/>
      <c r="C214" s="10"/>
      <c r="D214" s="10"/>
      <c r="E214" s="7">
        <f>+$I$2+(AGSAFRIQUE[[#This Row],[QUANTITE]]*AGSAFRIQUE[[#This Row],[PRIX UNITAIRE]])</f>
        <v>0</v>
      </c>
      <c r="F214" s="14"/>
      <c r="G214" s="6">
        <f>+SUM(E$9:$E214)-SUM(F$9:$F214)</f>
        <v>42100</v>
      </c>
    </row>
    <row r="215" spans="1:7" ht="28.8" x14ac:dyDescent="0.55000000000000004">
      <c r="A215" s="12"/>
      <c r="B215" s="13"/>
      <c r="C215" s="10"/>
      <c r="D215" s="10"/>
      <c r="E215" s="7">
        <f>+$I$2+(AGSAFRIQUE[[#This Row],[QUANTITE]]*AGSAFRIQUE[[#This Row],[PRIX UNITAIRE]])</f>
        <v>0</v>
      </c>
      <c r="F215" s="14"/>
      <c r="G215" s="6">
        <f>+SUM(E$9:$E215)-SUM(F$9:$F215)</f>
        <v>42100</v>
      </c>
    </row>
    <row r="216" spans="1:7" ht="28.8" x14ac:dyDescent="0.55000000000000004">
      <c r="A216" s="12"/>
      <c r="B216" s="13"/>
      <c r="C216" s="10"/>
      <c r="D216" s="10"/>
      <c r="E216" s="7">
        <f>+$I$2+(AGSAFRIQUE[[#This Row],[QUANTITE]]*AGSAFRIQUE[[#This Row],[PRIX UNITAIRE]])</f>
        <v>0</v>
      </c>
      <c r="F216" s="14"/>
      <c r="G216" s="6">
        <f>+SUM(E$9:$E216)-SUM(F$9:$F216)</f>
        <v>42100</v>
      </c>
    </row>
    <row r="217" spans="1:7" ht="28.8" x14ac:dyDescent="0.55000000000000004">
      <c r="A217" s="12"/>
      <c r="B217" s="13"/>
      <c r="C217" s="10"/>
      <c r="D217" s="10"/>
      <c r="E217" s="7">
        <f>+$I$2+(AGSAFRIQUE[[#This Row],[QUANTITE]]*AGSAFRIQUE[[#This Row],[PRIX UNITAIRE]])</f>
        <v>0</v>
      </c>
      <c r="F217" s="14"/>
      <c r="G217" s="6">
        <f>+SUM(E$9:$E217)-SUM(F$9:$F217)</f>
        <v>42100</v>
      </c>
    </row>
    <row r="218" spans="1:7" ht="28.8" x14ac:dyDescent="0.55000000000000004">
      <c r="A218" s="12"/>
      <c r="B218" s="13"/>
      <c r="C218" s="10"/>
      <c r="D218" s="10"/>
      <c r="E218" s="7">
        <f>+$I$2+(AGSAFRIQUE[[#This Row],[QUANTITE]]*AGSAFRIQUE[[#This Row],[PRIX UNITAIRE]])</f>
        <v>0</v>
      </c>
      <c r="F218" s="14"/>
      <c r="G218" s="6">
        <f>+SUM(E$9:$E218)-SUM(F$9:$F218)</f>
        <v>42100</v>
      </c>
    </row>
    <row r="219" spans="1:7" ht="28.8" x14ac:dyDescent="0.55000000000000004">
      <c r="A219" s="12"/>
      <c r="B219" s="13"/>
      <c r="C219" s="10"/>
      <c r="D219" s="10"/>
      <c r="E219" s="7">
        <f>+$I$2+(AGSAFRIQUE[[#This Row],[QUANTITE]]*AGSAFRIQUE[[#This Row],[PRIX UNITAIRE]])</f>
        <v>0</v>
      </c>
      <c r="F219" s="14"/>
      <c r="G219" s="6">
        <f>+SUM(E$9:$E219)-SUM(F$9:$F219)</f>
        <v>42100</v>
      </c>
    </row>
    <row r="220" spans="1:7" ht="28.8" x14ac:dyDescent="0.55000000000000004">
      <c r="A220" s="12"/>
      <c r="B220" s="13"/>
      <c r="C220" s="10"/>
      <c r="D220" s="10"/>
      <c r="E220" s="7">
        <f>+$I$2+(AGSAFRIQUE[[#This Row],[QUANTITE]]*AGSAFRIQUE[[#This Row],[PRIX UNITAIRE]])</f>
        <v>0</v>
      </c>
      <c r="F220" s="14"/>
      <c r="G220" s="6">
        <f>+SUM(E$9:$E220)-SUM(F$9:$F220)</f>
        <v>42100</v>
      </c>
    </row>
    <row r="221" spans="1:7" ht="28.8" x14ac:dyDescent="0.55000000000000004">
      <c r="A221" s="12"/>
      <c r="B221" s="13"/>
      <c r="C221" s="10"/>
      <c r="D221" s="10"/>
      <c r="E221" s="7">
        <f>+$I$2+(AGSAFRIQUE[[#This Row],[QUANTITE]]*AGSAFRIQUE[[#This Row],[PRIX UNITAIRE]])</f>
        <v>0</v>
      </c>
      <c r="F221" s="14"/>
      <c r="G221" s="6">
        <f>+SUM(E$9:$E221)-SUM(F$9:$F221)</f>
        <v>42100</v>
      </c>
    </row>
    <row r="222" spans="1:7" ht="28.8" x14ac:dyDescent="0.55000000000000004">
      <c r="A222" s="12"/>
      <c r="B222" s="13"/>
      <c r="C222" s="10"/>
      <c r="D222" s="10"/>
      <c r="E222" s="7">
        <f>+$I$2+(AGSAFRIQUE[[#This Row],[QUANTITE]]*AGSAFRIQUE[[#This Row],[PRIX UNITAIRE]])</f>
        <v>0</v>
      </c>
      <c r="F222" s="14"/>
      <c r="G222" s="6">
        <f>+SUM(E$9:$E222)-SUM(F$9:$F222)</f>
        <v>42100</v>
      </c>
    </row>
    <row r="223" spans="1:7" ht="28.8" x14ac:dyDescent="0.55000000000000004">
      <c r="A223" s="12"/>
      <c r="B223" s="13"/>
      <c r="C223" s="10"/>
      <c r="D223" s="10"/>
      <c r="E223" s="7">
        <f>+$I$2+(AGSAFRIQUE[[#This Row],[QUANTITE]]*AGSAFRIQUE[[#This Row],[PRIX UNITAIRE]])</f>
        <v>0</v>
      </c>
      <c r="F223" s="14"/>
      <c r="G223" s="6">
        <f>+SUM(E$9:$E223)-SUM(F$9:$F223)</f>
        <v>42100</v>
      </c>
    </row>
    <row r="224" spans="1:7" ht="28.8" x14ac:dyDescent="0.55000000000000004">
      <c r="A224" s="12"/>
      <c r="B224" s="13"/>
      <c r="C224" s="10"/>
      <c r="D224" s="10"/>
      <c r="E224" s="7">
        <f>+$I$2+(AGSAFRIQUE[[#This Row],[QUANTITE]]*AGSAFRIQUE[[#This Row],[PRIX UNITAIRE]])</f>
        <v>0</v>
      </c>
      <c r="F224" s="14"/>
      <c r="G224" s="6">
        <f>+SUM(E$9:$E224)-SUM(F$9:$F224)</f>
        <v>42100</v>
      </c>
    </row>
    <row r="225" spans="1:7" ht="28.8" x14ac:dyDescent="0.55000000000000004">
      <c r="A225" s="12"/>
      <c r="B225" s="13"/>
      <c r="C225" s="10"/>
      <c r="D225" s="10"/>
      <c r="E225" s="7">
        <f>+$I$2+(AGSAFRIQUE[[#This Row],[QUANTITE]]*AGSAFRIQUE[[#This Row],[PRIX UNITAIRE]])</f>
        <v>0</v>
      </c>
      <c r="F225" s="14"/>
      <c r="G225" s="6">
        <f>+SUM(E$9:$E225)-SUM(F$9:$F225)</f>
        <v>42100</v>
      </c>
    </row>
    <row r="226" spans="1:7" ht="28.8" x14ac:dyDescent="0.55000000000000004">
      <c r="A226" s="12"/>
      <c r="B226" s="13"/>
      <c r="C226" s="10"/>
      <c r="D226" s="10"/>
      <c r="E226" s="7">
        <f>+$I$2+(AGSAFRIQUE[[#This Row],[QUANTITE]]*AGSAFRIQUE[[#This Row],[PRIX UNITAIRE]])</f>
        <v>0</v>
      </c>
      <c r="F226" s="14"/>
      <c r="G226" s="6">
        <f>+SUM(E$9:$E226)-SUM(F$9:$F226)</f>
        <v>42100</v>
      </c>
    </row>
    <row r="227" spans="1:7" ht="28.8" x14ac:dyDescent="0.55000000000000004">
      <c r="A227" s="12"/>
      <c r="B227" s="13"/>
      <c r="C227" s="10"/>
      <c r="D227" s="10"/>
      <c r="E227" s="7">
        <f>+$I$2+(AGSAFRIQUE[[#This Row],[QUANTITE]]*AGSAFRIQUE[[#This Row],[PRIX UNITAIRE]])</f>
        <v>0</v>
      </c>
      <c r="F227" s="14"/>
      <c r="G227" s="6">
        <f>+SUM(E$9:$E227)-SUM(F$9:$F227)</f>
        <v>42100</v>
      </c>
    </row>
    <row r="228" spans="1:7" ht="28.8" x14ac:dyDescent="0.55000000000000004">
      <c r="A228" s="12"/>
      <c r="B228" s="13"/>
      <c r="C228" s="10"/>
      <c r="D228" s="10"/>
      <c r="E228" s="7">
        <f>+$I$2+(AGSAFRIQUE[[#This Row],[QUANTITE]]*AGSAFRIQUE[[#This Row],[PRIX UNITAIRE]])</f>
        <v>0</v>
      </c>
      <c r="F228" s="14"/>
      <c r="G228" s="6">
        <f>+SUM(E$9:$E228)-SUM(F$9:$F228)</f>
        <v>42100</v>
      </c>
    </row>
    <row r="229" spans="1:7" ht="28.8" x14ac:dyDescent="0.55000000000000004">
      <c r="A229" s="12"/>
      <c r="B229" s="13"/>
      <c r="C229" s="10"/>
      <c r="D229" s="10"/>
      <c r="E229" s="7">
        <f>+$I$2+(AGSAFRIQUE[[#This Row],[QUANTITE]]*AGSAFRIQUE[[#This Row],[PRIX UNITAIRE]])</f>
        <v>0</v>
      </c>
      <c r="F229" s="14"/>
      <c r="G229" s="6">
        <f>+SUM(E$9:$E229)-SUM(F$9:$F229)</f>
        <v>42100</v>
      </c>
    </row>
    <row r="230" spans="1:7" ht="28.8" x14ac:dyDescent="0.55000000000000004">
      <c r="A230" s="12"/>
      <c r="B230" s="13"/>
      <c r="C230" s="10"/>
      <c r="D230" s="10"/>
      <c r="E230" s="7">
        <f>+$I$2+(AGSAFRIQUE[[#This Row],[QUANTITE]]*AGSAFRIQUE[[#This Row],[PRIX UNITAIRE]])</f>
        <v>0</v>
      </c>
      <c r="F230" s="14"/>
      <c r="G230" s="6">
        <f>+SUM(E$9:$E230)-SUM(F$9:$F230)</f>
        <v>42100</v>
      </c>
    </row>
    <row r="231" spans="1:7" ht="28.8" x14ac:dyDescent="0.55000000000000004">
      <c r="A231" s="12"/>
      <c r="B231" s="13"/>
      <c r="C231" s="10"/>
      <c r="D231" s="10"/>
      <c r="E231" s="7">
        <f>+$I$2+(AGSAFRIQUE[[#This Row],[QUANTITE]]*AGSAFRIQUE[[#This Row],[PRIX UNITAIRE]])</f>
        <v>0</v>
      </c>
      <c r="F231" s="14"/>
      <c r="G231" s="6">
        <f>+SUM(E$9:$E231)-SUM(F$9:$F231)</f>
        <v>42100</v>
      </c>
    </row>
    <row r="232" spans="1:7" ht="28.8" x14ac:dyDescent="0.55000000000000004">
      <c r="A232" s="12"/>
      <c r="B232" s="13"/>
      <c r="C232" s="10"/>
      <c r="D232" s="10"/>
      <c r="E232" s="7">
        <f>+$I$2+(AGSAFRIQUE[[#This Row],[QUANTITE]]*AGSAFRIQUE[[#This Row],[PRIX UNITAIRE]])</f>
        <v>0</v>
      </c>
      <c r="F232" s="14"/>
      <c r="G232" s="6">
        <f>+SUM(E$9:$E232)-SUM(F$9:$F232)</f>
        <v>42100</v>
      </c>
    </row>
    <row r="233" spans="1:7" ht="28.8" x14ac:dyDescent="0.55000000000000004">
      <c r="A233" s="12"/>
      <c r="B233" s="13"/>
      <c r="C233" s="10"/>
      <c r="D233" s="10"/>
      <c r="E233" s="7">
        <f>+$I$2+(AGSAFRIQUE[[#This Row],[QUANTITE]]*AGSAFRIQUE[[#This Row],[PRIX UNITAIRE]])</f>
        <v>0</v>
      </c>
      <c r="F233" s="14"/>
      <c r="G233" s="6">
        <f>+SUM(E$9:$E233)-SUM(F$9:$F233)</f>
        <v>42100</v>
      </c>
    </row>
    <row r="234" spans="1:7" ht="28.8" x14ac:dyDescent="0.55000000000000004">
      <c r="A234" s="12"/>
      <c r="B234" s="13"/>
      <c r="C234" s="10"/>
      <c r="D234" s="10"/>
      <c r="E234" s="7">
        <f>+$I$2+(AGSAFRIQUE[[#This Row],[QUANTITE]]*AGSAFRIQUE[[#This Row],[PRIX UNITAIRE]])</f>
        <v>0</v>
      </c>
      <c r="F234" s="14"/>
      <c r="G234" s="6">
        <f>+SUM(E$9:$E234)-SUM(F$9:$F234)</f>
        <v>42100</v>
      </c>
    </row>
    <row r="235" spans="1:7" ht="28.8" x14ac:dyDescent="0.55000000000000004">
      <c r="A235" s="12"/>
      <c r="B235" s="13"/>
      <c r="C235" s="10"/>
      <c r="D235" s="10"/>
      <c r="E235" s="7">
        <f>+$I$2+(AGSAFRIQUE[[#This Row],[QUANTITE]]*AGSAFRIQUE[[#This Row],[PRIX UNITAIRE]])</f>
        <v>0</v>
      </c>
      <c r="F235" s="14"/>
      <c r="G235" s="6">
        <f>+SUM(E$9:$E235)-SUM(F$9:$F235)</f>
        <v>42100</v>
      </c>
    </row>
    <row r="236" spans="1:7" ht="28.8" x14ac:dyDescent="0.55000000000000004">
      <c r="A236" s="12"/>
      <c r="B236" s="13"/>
      <c r="C236" s="10"/>
      <c r="D236" s="10"/>
      <c r="E236" s="7">
        <f>+$I$2+(AGSAFRIQUE[[#This Row],[QUANTITE]]*AGSAFRIQUE[[#This Row],[PRIX UNITAIRE]])</f>
        <v>0</v>
      </c>
      <c r="F236" s="14"/>
      <c r="G236" s="6">
        <f>+SUM(E$9:$E236)-SUM(F$9:$F236)</f>
        <v>42100</v>
      </c>
    </row>
    <row r="237" spans="1:7" ht="28.8" x14ac:dyDescent="0.55000000000000004">
      <c r="A237" s="12"/>
      <c r="B237" s="13"/>
      <c r="C237" s="10"/>
      <c r="D237" s="10"/>
      <c r="E237" s="7">
        <f>+$I$2+(AGSAFRIQUE[[#This Row],[QUANTITE]]*AGSAFRIQUE[[#This Row],[PRIX UNITAIRE]])</f>
        <v>0</v>
      </c>
      <c r="F237" s="14"/>
      <c r="G237" s="6">
        <f>+SUM(E$9:$E237)-SUM(F$9:$F237)</f>
        <v>42100</v>
      </c>
    </row>
    <row r="238" spans="1:7" ht="28.8" x14ac:dyDescent="0.55000000000000004">
      <c r="A238" s="12"/>
      <c r="B238" s="13"/>
      <c r="C238" s="10"/>
      <c r="D238" s="10"/>
      <c r="E238" s="7">
        <f>+$I$2+(AGSAFRIQUE[[#This Row],[QUANTITE]]*AGSAFRIQUE[[#This Row],[PRIX UNITAIRE]])</f>
        <v>0</v>
      </c>
      <c r="F238" s="14"/>
      <c r="G238" s="6">
        <f>+SUM(E$9:$E238)-SUM(F$9:$F238)</f>
        <v>42100</v>
      </c>
    </row>
    <row r="239" spans="1:7" ht="28.8" x14ac:dyDescent="0.55000000000000004">
      <c r="A239" s="12"/>
      <c r="B239" s="13"/>
      <c r="C239" s="10"/>
      <c r="D239" s="10"/>
      <c r="E239" s="7">
        <f>+$I$2+(AGSAFRIQUE[[#This Row],[QUANTITE]]*AGSAFRIQUE[[#This Row],[PRIX UNITAIRE]])</f>
        <v>0</v>
      </c>
      <c r="F239" s="14"/>
      <c r="G239" s="6">
        <f>+SUM(E$9:$E239)-SUM(F$9:$F239)</f>
        <v>42100</v>
      </c>
    </row>
    <row r="240" spans="1:7" ht="28.8" x14ac:dyDescent="0.55000000000000004">
      <c r="A240" s="12"/>
      <c r="B240" s="13"/>
      <c r="C240" s="10"/>
      <c r="D240" s="10"/>
      <c r="E240" s="7">
        <f>+$I$2+(AGSAFRIQUE[[#This Row],[QUANTITE]]*AGSAFRIQUE[[#This Row],[PRIX UNITAIRE]])</f>
        <v>0</v>
      </c>
      <c r="F240" s="14"/>
      <c r="G240" s="6">
        <f>+SUM(E$9:$E240)-SUM(F$9:$F240)</f>
        <v>42100</v>
      </c>
    </row>
    <row r="241" spans="1:7" ht="28.8" x14ac:dyDescent="0.55000000000000004">
      <c r="A241" s="12"/>
      <c r="B241" s="13"/>
      <c r="C241" s="10"/>
      <c r="D241" s="10"/>
      <c r="E241" s="7">
        <f>+$I$2+(AGSAFRIQUE[[#This Row],[QUANTITE]]*AGSAFRIQUE[[#This Row],[PRIX UNITAIRE]])</f>
        <v>0</v>
      </c>
      <c r="F241" s="14"/>
      <c r="G241" s="6">
        <f>+SUM(E$9:$E241)-SUM(F$9:$F241)</f>
        <v>42100</v>
      </c>
    </row>
    <row r="242" spans="1:7" ht="28.8" x14ac:dyDescent="0.55000000000000004">
      <c r="A242" s="12"/>
      <c r="B242" s="13"/>
      <c r="C242" s="10"/>
      <c r="D242" s="10"/>
      <c r="E242" s="7">
        <f>+$I$2+(AGSAFRIQUE[[#This Row],[QUANTITE]]*AGSAFRIQUE[[#This Row],[PRIX UNITAIRE]])</f>
        <v>0</v>
      </c>
      <c r="F242" s="14"/>
      <c r="G242" s="6">
        <f>+SUM(E$9:$E242)-SUM(F$9:$F242)</f>
        <v>42100</v>
      </c>
    </row>
    <row r="243" spans="1:7" ht="28.8" x14ac:dyDescent="0.55000000000000004">
      <c r="A243" s="12"/>
      <c r="B243" s="13"/>
      <c r="C243" s="10"/>
      <c r="D243" s="10"/>
      <c r="E243" s="7">
        <f>+$I$2+(AGSAFRIQUE[[#This Row],[QUANTITE]]*AGSAFRIQUE[[#This Row],[PRIX UNITAIRE]])</f>
        <v>0</v>
      </c>
      <c r="F243" s="14"/>
      <c r="G243" s="6">
        <f>+SUM(E$9:$E243)-SUM(F$9:$F243)</f>
        <v>42100</v>
      </c>
    </row>
    <row r="244" spans="1:7" ht="28.8" x14ac:dyDescent="0.55000000000000004">
      <c r="A244" s="12"/>
      <c r="B244" s="13"/>
      <c r="C244" s="10"/>
      <c r="D244" s="10"/>
      <c r="E244" s="7">
        <f>+$I$2+(AGSAFRIQUE[[#This Row],[QUANTITE]]*AGSAFRIQUE[[#This Row],[PRIX UNITAIRE]])</f>
        <v>0</v>
      </c>
      <c r="F244" s="14"/>
      <c r="G244" s="6">
        <f>+SUM(E$9:$E244)-SUM(F$9:$F244)</f>
        <v>42100</v>
      </c>
    </row>
    <row r="245" spans="1:7" ht="28.8" x14ac:dyDescent="0.55000000000000004">
      <c r="A245" s="12"/>
      <c r="B245" s="13"/>
      <c r="C245" s="10"/>
      <c r="D245" s="10"/>
      <c r="E245" s="7">
        <f>+$I$2+(AGSAFRIQUE[[#This Row],[QUANTITE]]*AGSAFRIQUE[[#This Row],[PRIX UNITAIRE]])</f>
        <v>0</v>
      </c>
      <c r="F245" s="14"/>
      <c r="G245" s="6">
        <f>+SUM(E$9:$E245)-SUM(F$9:$F245)</f>
        <v>42100</v>
      </c>
    </row>
    <row r="246" spans="1:7" ht="28.8" x14ac:dyDescent="0.55000000000000004">
      <c r="A246" s="12"/>
      <c r="B246" s="13"/>
      <c r="C246" s="10"/>
      <c r="D246" s="10"/>
      <c r="E246" s="7">
        <f>+$I$2+(AGSAFRIQUE[[#This Row],[QUANTITE]]*AGSAFRIQUE[[#This Row],[PRIX UNITAIRE]])</f>
        <v>0</v>
      </c>
      <c r="F246" s="14"/>
      <c r="G246" s="6">
        <f>+SUM(E$9:$E246)-SUM(F$9:$F246)</f>
        <v>42100</v>
      </c>
    </row>
    <row r="247" spans="1:7" ht="28.8" x14ac:dyDescent="0.55000000000000004">
      <c r="A247" s="12"/>
      <c r="B247" s="13"/>
      <c r="C247" s="10"/>
      <c r="D247" s="10"/>
      <c r="E247" s="7">
        <f>+$I$2+(AGSAFRIQUE[[#This Row],[QUANTITE]]*AGSAFRIQUE[[#This Row],[PRIX UNITAIRE]])</f>
        <v>0</v>
      </c>
      <c r="F247" s="14"/>
      <c r="G247" s="6">
        <f>+SUM(E$9:$E247)-SUM(F$9:$F247)</f>
        <v>42100</v>
      </c>
    </row>
    <row r="248" spans="1:7" ht="28.8" x14ac:dyDescent="0.55000000000000004">
      <c r="A248" s="12"/>
      <c r="B248" s="13"/>
      <c r="C248" s="10"/>
      <c r="D248" s="10"/>
      <c r="E248" s="7">
        <f>+$I$2+(AGSAFRIQUE[[#This Row],[QUANTITE]]*AGSAFRIQUE[[#This Row],[PRIX UNITAIRE]])</f>
        <v>0</v>
      </c>
      <c r="F248" s="14"/>
      <c r="G248" s="6">
        <f>+SUM(E$9:$E248)-SUM(F$9:$F248)</f>
        <v>42100</v>
      </c>
    </row>
    <row r="249" spans="1:7" ht="28.8" x14ac:dyDescent="0.55000000000000004">
      <c r="A249" s="12"/>
      <c r="B249" s="13"/>
      <c r="C249" s="10"/>
      <c r="D249" s="10"/>
      <c r="E249" s="7">
        <f>+$I$2+(AGSAFRIQUE[[#This Row],[QUANTITE]]*AGSAFRIQUE[[#This Row],[PRIX UNITAIRE]])</f>
        <v>0</v>
      </c>
      <c r="F249" s="14"/>
      <c r="G249" s="6">
        <f>+SUM(E$9:$E249)-SUM(F$9:$F249)</f>
        <v>42100</v>
      </c>
    </row>
    <row r="250" spans="1:7" ht="28.8" x14ac:dyDescent="0.55000000000000004">
      <c r="A250" s="12"/>
      <c r="B250" s="13"/>
      <c r="C250" s="10"/>
      <c r="D250" s="10"/>
      <c r="E250" s="7">
        <f>+$I$2+(AGSAFRIQUE[[#This Row],[QUANTITE]]*AGSAFRIQUE[[#This Row],[PRIX UNITAIRE]])</f>
        <v>0</v>
      </c>
      <c r="F250" s="14"/>
      <c r="G250" s="6">
        <f>+SUM(E$9:$E250)-SUM(F$9:$F250)</f>
        <v>42100</v>
      </c>
    </row>
  </sheetData>
  <sheetProtection selectLockedCells="1" autoFilter="0"/>
  <mergeCells count="1">
    <mergeCell ref="B6:C6"/>
  </mergeCells>
  <conditionalFormatting sqref="G4">
    <cfRule type="cellIs" dxfId="481" priority="2" operator="lessThan">
      <formula>0</formula>
    </cfRule>
    <cfRule type="cellIs" dxfId="480" priority="3" operator="greaterThan">
      <formula>0</formula>
    </cfRule>
  </conditionalFormatting>
  <conditionalFormatting sqref="B9:B148">
    <cfRule type="expression" dxfId="479" priority="5">
      <formula>$F9</formula>
    </cfRule>
  </conditionalFormatting>
  <conditionalFormatting sqref="B149:B250">
    <cfRule type="expression" dxfId="478" priority="15">
      <formula>#REF!</formula>
    </cfRule>
  </conditionalFormatting>
  <dataValidations count="1">
    <dataValidation type="date" operator="greaterThan" allowBlank="1" showInputMessage="1" showErrorMessage="1" error="VEILLEZ ENTRER UNE DATE VALIDE" sqref="A9:A250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/>
  <dimension ref="A1:I82"/>
  <sheetViews>
    <sheetView showGridLines="0" zoomScale="60" zoomScaleNormal="60" workbookViewId="0">
      <pane ySplit="8" topLeftCell="A26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9.21875" style="1" bestFit="1" customWidth="1"/>
    <col min="2" max="2" width="63.5546875" style="1" bestFit="1" customWidth="1"/>
    <col min="3" max="3" width="19.77734375" style="1" bestFit="1" customWidth="1"/>
    <col min="4" max="4" width="43.5546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+SUM(BERNARD[TOTAL MONTANT])</f>
        <v>16602000</v>
      </c>
      <c r="F4" s="41">
        <f>+SUM(BERNARD[VERSEMENT])</f>
        <v>16187000</v>
      </c>
      <c r="G4" s="130">
        <f>+E4-F4</f>
        <v>415000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487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42013</v>
      </c>
      <c r="B9" s="13" t="s">
        <v>394</v>
      </c>
      <c r="C9" s="10">
        <v>100</v>
      </c>
      <c r="D9" s="10">
        <v>106000</v>
      </c>
      <c r="E9" s="7">
        <f>+$I$2+(BERNARD[[#This Row],[QUANTITE]]*BERNARD[[#This Row],[PRIX UNITAIRE]])</f>
        <v>10600000</v>
      </c>
      <c r="F9" s="20"/>
      <c r="G9" s="6">
        <f>+SUM(E$9:$E9)-SUM(F$9:$F9)</f>
        <v>10600000</v>
      </c>
    </row>
    <row r="10" spans="1:9" ht="28.8" x14ac:dyDescent="0.55000000000000004">
      <c r="A10" s="12">
        <v>45666</v>
      </c>
      <c r="B10" s="13" t="s">
        <v>488</v>
      </c>
      <c r="C10" s="10">
        <v>1</v>
      </c>
      <c r="D10" s="10">
        <v>135000</v>
      </c>
      <c r="E10" s="7">
        <f>+$I$2+(BERNARD[[#This Row],[QUANTITE]]*BERNARD[[#This Row],[PRIX UNITAIRE]])</f>
        <v>135000</v>
      </c>
      <c r="F10" s="21"/>
      <c r="G10" s="6">
        <f>+SUM(E$9:$E10)-SUM(F$9:$F10)</f>
        <v>10735000</v>
      </c>
    </row>
    <row r="11" spans="1:9" ht="28.8" x14ac:dyDescent="0.55000000000000004">
      <c r="A11" s="12">
        <v>45677</v>
      </c>
      <c r="B11" s="13" t="s">
        <v>489</v>
      </c>
      <c r="C11" s="10"/>
      <c r="D11" s="10"/>
      <c r="E11" s="7">
        <f>+$I$2+(BERNARD[[#This Row],[QUANTITE]]*BERNARD[[#This Row],[PRIX UNITAIRE]])</f>
        <v>0</v>
      </c>
      <c r="F11" s="14">
        <v>3000000</v>
      </c>
      <c r="G11" s="6">
        <f>+SUM(E$9:$E11)-SUM(F$9:$F11)</f>
        <v>7735000</v>
      </c>
    </row>
    <row r="12" spans="1:9" ht="28.8" x14ac:dyDescent="0.55000000000000004">
      <c r="A12" s="12">
        <v>45691</v>
      </c>
      <c r="B12" s="13" t="s">
        <v>489</v>
      </c>
      <c r="C12" s="10"/>
      <c r="D12" s="10"/>
      <c r="E12" s="7">
        <f>+$I$2+(BERNARD[[#This Row],[QUANTITE]]*BERNARD[[#This Row],[PRIX UNITAIRE]])</f>
        <v>0</v>
      </c>
      <c r="F12" s="14">
        <v>3800000</v>
      </c>
      <c r="G12" s="6">
        <f>+SUM(E$9:$E12)-SUM(F$9:$F12)</f>
        <v>3935000</v>
      </c>
    </row>
    <row r="13" spans="1:9" ht="28.8" x14ac:dyDescent="0.55000000000000004">
      <c r="A13" s="12">
        <v>45691</v>
      </c>
      <c r="B13" s="13" t="s">
        <v>490</v>
      </c>
      <c r="C13" s="10">
        <v>0</v>
      </c>
      <c r="D13" s="10"/>
      <c r="E13" s="7">
        <f>+$I$2+(BERNARD[[#This Row],[QUANTITE]]*BERNARD[[#This Row],[PRIX UNITAIRE]])</f>
        <v>0</v>
      </c>
      <c r="F13" s="14"/>
      <c r="G13" s="6">
        <f>+SUM(E$9:$E13)-SUM(F$9:$F13)</f>
        <v>3935000</v>
      </c>
    </row>
    <row r="14" spans="1:9" ht="28.8" x14ac:dyDescent="0.55000000000000004">
      <c r="A14" s="12">
        <v>45692</v>
      </c>
      <c r="B14" s="13" t="s">
        <v>255</v>
      </c>
      <c r="C14" s="10">
        <v>2</v>
      </c>
      <c r="D14" s="10">
        <v>32500</v>
      </c>
      <c r="E14" s="7">
        <f>+$I$2+(BERNARD[[#This Row],[QUANTITE]]*BERNARD[[#This Row],[PRIX UNITAIRE]])</f>
        <v>65000</v>
      </c>
      <c r="F14" s="14">
        <v>65000</v>
      </c>
      <c r="G14" s="6">
        <f>+SUM(E$9:$E14)-SUM(F$9:$F14)</f>
        <v>3935000</v>
      </c>
    </row>
    <row r="15" spans="1:9" ht="28.8" x14ac:dyDescent="0.55000000000000004">
      <c r="A15" s="12">
        <v>45698</v>
      </c>
      <c r="B15" s="13" t="s">
        <v>489</v>
      </c>
      <c r="C15" s="10"/>
      <c r="D15" s="10"/>
      <c r="E15" s="7">
        <f>+$I$2+(BERNARD[[#This Row],[QUANTITE]]*BERNARD[[#This Row],[PRIX UNITAIRE]])</f>
        <v>0</v>
      </c>
      <c r="F15" s="14">
        <v>2000000</v>
      </c>
      <c r="G15" s="6">
        <f>+SUM(E$9:$E15)-SUM(F$9:$F15)</f>
        <v>1935000</v>
      </c>
    </row>
    <row r="16" spans="1:9" ht="28.8" x14ac:dyDescent="0.55000000000000004">
      <c r="A16" s="12">
        <v>45698</v>
      </c>
      <c r="B16" s="13" t="s">
        <v>394</v>
      </c>
      <c r="C16" s="10">
        <v>2</v>
      </c>
      <c r="D16" s="10">
        <v>106000</v>
      </c>
      <c r="E16" s="7">
        <f>+$I$2+(BERNARD[[#This Row],[QUANTITE]]*BERNARD[[#This Row],[PRIX UNITAIRE]])</f>
        <v>212000</v>
      </c>
      <c r="F16" s="14"/>
      <c r="G16" s="6">
        <f>+SUM(E$9:$E16)-SUM(F$9:$F16)</f>
        <v>2147000</v>
      </c>
    </row>
    <row r="17" spans="1:7" ht="28.8" x14ac:dyDescent="0.55000000000000004">
      <c r="A17" s="12">
        <v>45701</v>
      </c>
      <c r="B17" s="13" t="s">
        <v>489</v>
      </c>
      <c r="C17" s="10"/>
      <c r="D17" s="10"/>
      <c r="E17" s="7">
        <f>+$I$2+(BERNARD[[#This Row],[QUANTITE]]*BERNARD[[#This Row],[PRIX UNITAIRE]])</f>
        <v>0</v>
      </c>
      <c r="F17" s="14">
        <v>212000</v>
      </c>
      <c r="G17" s="6">
        <f>+SUM(E$9:$E17)-SUM(F$9:$F17)</f>
        <v>1935000</v>
      </c>
    </row>
    <row r="18" spans="1:7" ht="28.8" x14ac:dyDescent="0.55000000000000004">
      <c r="A18" s="12">
        <v>45700</v>
      </c>
      <c r="B18" s="13" t="s">
        <v>491</v>
      </c>
      <c r="C18" s="10">
        <v>3</v>
      </c>
      <c r="D18" s="10">
        <v>80000</v>
      </c>
      <c r="E18" s="7">
        <f>+$I$2+(BERNARD[[#This Row],[QUANTITE]]*BERNARD[[#This Row],[PRIX UNITAIRE]])</f>
        <v>240000</v>
      </c>
      <c r="F18" s="14"/>
      <c r="G18" s="6">
        <f>+SUM(E$9:$E18)-SUM(F$9:$F18)</f>
        <v>2175000</v>
      </c>
    </row>
    <row r="19" spans="1:7" ht="28.8" x14ac:dyDescent="0.55000000000000004">
      <c r="A19" s="12">
        <v>45703</v>
      </c>
      <c r="B19" s="13" t="s">
        <v>491</v>
      </c>
      <c r="C19" s="10">
        <v>2</v>
      </c>
      <c r="D19" s="10">
        <v>80000</v>
      </c>
      <c r="E19" s="7">
        <f>+$I$2+(BERNARD[[#This Row],[QUANTITE]]*BERNARD[[#This Row],[PRIX UNITAIRE]])</f>
        <v>160000</v>
      </c>
      <c r="F19" s="14"/>
      <c r="G19" s="6">
        <f>+SUM(E$9:$E19)-SUM(F$9:$F19)</f>
        <v>2335000</v>
      </c>
    </row>
    <row r="20" spans="1:7" ht="28.8" x14ac:dyDescent="0.55000000000000004">
      <c r="A20" s="12">
        <v>45714</v>
      </c>
      <c r="B20" s="13" t="s">
        <v>489</v>
      </c>
      <c r="C20" s="10"/>
      <c r="D20" s="10"/>
      <c r="E20" s="7">
        <f>+$I$2+(BERNARD[[#This Row],[QUANTITE]]*BERNARD[[#This Row],[PRIX UNITAIRE]])</f>
        <v>0</v>
      </c>
      <c r="F20" s="14">
        <v>1200000</v>
      </c>
      <c r="G20" s="6">
        <f>+SUM(E$9:$E20)-SUM(F$9:$F20)</f>
        <v>1135000</v>
      </c>
    </row>
    <row r="21" spans="1:7" ht="28.8" x14ac:dyDescent="0.55000000000000004">
      <c r="A21" s="12">
        <v>45745</v>
      </c>
      <c r="B21" s="13" t="s">
        <v>492</v>
      </c>
      <c r="C21" s="10">
        <v>6</v>
      </c>
      <c r="D21" s="10"/>
      <c r="E21" s="7">
        <f>+$I$2+(BERNARD[[#This Row],[QUANTITE]]*BERNARD[[#This Row],[PRIX UNITAIRE]])</f>
        <v>0</v>
      </c>
      <c r="F21" s="14">
        <v>930000</v>
      </c>
      <c r="G21" s="6">
        <f>+SUM(E$9:$E21)-SUM(F$9:$F21)</f>
        <v>205000</v>
      </c>
    </row>
    <row r="22" spans="1:7" ht="28.8" x14ac:dyDescent="0.55000000000000004">
      <c r="A22" s="12">
        <v>45745</v>
      </c>
      <c r="B22" s="13" t="s">
        <v>493</v>
      </c>
      <c r="C22" s="10">
        <v>2</v>
      </c>
      <c r="D22" s="10"/>
      <c r="E22" s="7">
        <f>+$I$2+(BERNARD[[#This Row],[QUANTITE]]*BERNARD[[#This Row],[PRIX UNITAIRE]])</f>
        <v>0</v>
      </c>
      <c r="F22" s="14">
        <v>210000</v>
      </c>
      <c r="G22" s="6">
        <f>+SUM(E$9:$E22)-SUM(F$9:$F22)</f>
        <v>-5000</v>
      </c>
    </row>
    <row r="23" spans="1:7" ht="28.8" x14ac:dyDescent="0.55000000000000004">
      <c r="A23" s="12">
        <v>45847</v>
      </c>
      <c r="B23" s="13" t="s">
        <v>394</v>
      </c>
      <c r="C23" s="10">
        <v>46</v>
      </c>
      <c r="D23" s="10">
        <v>105000</v>
      </c>
      <c r="E23" s="7">
        <f>+$I$2+(BERNARD[[#This Row],[QUANTITE]]*BERNARD[[#This Row],[PRIX UNITAIRE]])</f>
        <v>4830000</v>
      </c>
      <c r="F23" s="14"/>
      <c r="G23" s="6">
        <f>+SUM(E$9:$E23)-SUM(F$9:$F23)</f>
        <v>4825000</v>
      </c>
    </row>
    <row r="24" spans="1:7" ht="28.8" x14ac:dyDescent="0.55000000000000004">
      <c r="A24" s="12">
        <v>45850</v>
      </c>
      <c r="B24" s="13" t="s">
        <v>2778</v>
      </c>
      <c r="C24" s="10">
        <v>2</v>
      </c>
      <c r="D24" s="10">
        <v>90000</v>
      </c>
      <c r="E24" s="7">
        <f>+$I$2+(BERNARD[[#This Row],[QUANTITE]]*BERNARD[[#This Row],[PRIX UNITAIRE]])</f>
        <v>180000</v>
      </c>
      <c r="F24" s="14"/>
      <c r="G24" s="6">
        <f>+SUM(E$9:$E24)-SUM(F$9:$F24)</f>
        <v>5005000</v>
      </c>
    </row>
    <row r="25" spans="1:7" ht="28.8" x14ac:dyDescent="0.55000000000000004">
      <c r="A25" s="12">
        <v>45862</v>
      </c>
      <c r="B25" s="13" t="s">
        <v>2778</v>
      </c>
      <c r="C25" s="10">
        <v>2</v>
      </c>
      <c r="D25" s="10">
        <v>90000</v>
      </c>
      <c r="E25" s="7">
        <f>+$I$2+(BERNARD[[#This Row],[QUANTITE]]*BERNARD[[#This Row],[PRIX UNITAIRE]])</f>
        <v>180000</v>
      </c>
      <c r="F25" s="14">
        <v>180000</v>
      </c>
      <c r="G25" s="6">
        <f>+SUM(E$9:$E25)-SUM(F$9:$F25)</f>
        <v>5005000</v>
      </c>
    </row>
    <row r="26" spans="1:7" ht="28.8" x14ac:dyDescent="0.55000000000000004">
      <c r="A26" s="12">
        <v>45902</v>
      </c>
      <c r="B26" s="13" t="s">
        <v>489</v>
      </c>
      <c r="C26" s="10"/>
      <c r="D26" s="10"/>
      <c r="E26" s="7">
        <f>+$I$2+(BERNARD[[#This Row],[QUANTITE]]*BERNARD[[#This Row],[PRIX UNITAIRE]])</f>
        <v>0</v>
      </c>
      <c r="F26" s="14">
        <v>1000000</v>
      </c>
      <c r="G26" s="6">
        <f>+SUM(E$9:$E26)-SUM(F$9:$F26)</f>
        <v>4005000</v>
      </c>
    </row>
    <row r="27" spans="1:7" ht="28.8" x14ac:dyDescent="0.55000000000000004">
      <c r="A27" s="12">
        <v>45915</v>
      </c>
      <c r="B27" s="13" t="s">
        <v>489</v>
      </c>
      <c r="C27" s="10"/>
      <c r="D27" s="10"/>
      <c r="E27" s="7">
        <f>+$I$2+(BERNARD[[#This Row],[QUANTITE]]*BERNARD[[#This Row],[PRIX UNITAIRE]])</f>
        <v>0</v>
      </c>
      <c r="F27" s="14">
        <v>1000000</v>
      </c>
      <c r="G27" s="6">
        <f>+SUM(E$9:$E27)-SUM(F$9:$F27)</f>
        <v>3005000</v>
      </c>
    </row>
    <row r="28" spans="1:7" ht="28.8" x14ac:dyDescent="0.55000000000000004">
      <c r="A28" s="12">
        <v>45923</v>
      </c>
      <c r="B28" s="13" t="s">
        <v>3080</v>
      </c>
      <c r="C28" s="10">
        <v>1</v>
      </c>
      <c r="D28" s="10">
        <v>0</v>
      </c>
      <c r="E28" s="7">
        <f>+$I$2+(BERNARD[[#This Row],[QUANTITE]]*BERNARD[[#This Row],[PRIX UNITAIRE]])</f>
        <v>0</v>
      </c>
      <c r="F28" s="14">
        <v>1000000</v>
      </c>
      <c r="G28" s="6">
        <f>+SUM(E$9:$E28)-SUM(F$9:$F28)</f>
        <v>2005000</v>
      </c>
    </row>
    <row r="29" spans="1:7" ht="28.8" x14ac:dyDescent="0.55000000000000004">
      <c r="A29" s="12"/>
      <c r="B29" s="13" t="s">
        <v>2709</v>
      </c>
      <c r="C29" s="10">
        <v>4</v>
      </c>
      <c r="D29" s="10"/>
      <c r="E29" s="7">
        <f>+$I$2+(BERNARD[[#This Row],[QUANTITE]]*BERNARD[[#This Row],[PRIX UNITAIRE]])</f>
        <v>0</v>
      </c>
      <c r="F29" s="14">
        <v>900000</v>
      </c>
      <c r="G29" s="6">
        <f>+SUM(E$9:$E29)-SUM(F$9:$F29)</f>
        <v>1105000</v>
      </c>
    </row>
    <row r="30" spans="1:7" ht="28.8" x14ac:dyDescent="0.55000000000000004">
      <c r="A30" s="12"/>
      <c r="B30" s="13" t="s">
        <v>394</v>
      </c>
      <c r="C30" s="10">
        <v>1</v>
      </c>
      <c r="D30" s="10"/>
      <c r="E30" s="7">
        <f>+$I$2+(BERNARD[[#This Row],[QUANTITE]]*BERNARD[[#This Row],[PRIX UNITAIRE]])</f>
        <v>0</v>
      </c>
      <c r="F30" s="14">
        <v>190000</v>
      </c>
      <c r="G30" s="6">
        <f>+SUM(E$9:$E30)-SUM(F$9:$F30)</f>
        <v>915000</v>
      </c>
    </row>
    <row r="31" spans="1:7" ht="28.8" x14ac:dyDescent="0.55000000000000004">
      <c r="A31" s="12">
        <v>45957</v>
      </c>
      <c r="B31" s="13" t="s">
        <v>259</v>
      </c>
      <c r="C31" s="10"/>
      <c r="D31" s="10"/>
      <c r="E31" s="7">
        <f>+$I$2+(BERNARD[[#This Row],[QUANTITE]]*BERNARD[[#This Row],[PRIX UNITAIRE]])</f>
        <v>0</v>
      </c>
      <c r="F31" s="14">
        <v>500000</v>
      </c>
      <c r="G31" s="6">
        <f>+SUM(E$9:$E31)-SUM(F$9:$F31)</f>
        <v>415000</v>
      </c>
    </row>
    <row r="32" spans="1:7" ht="28.8" x14ac:dyDescent="0.55000000000000004">
      <c r="A32" s="12"/>
      <c r="B32" s="13"/>
      <c r="C32" s="10"/>
      <c r="D32" s="10"/>
      <c r="E32" s="7">
        <f>+$I$2+(BERNARD[[#This Row],[QUANTITE]]*BERNARD[[#This Row],[PRIX UNITAIRE]])</f>
        <v>0</v>
      </c>
      <c r="F32" s="14"/>
      <c r="G32" s="6">
        <f>+SUM(E$9:$E32)-SUM(F$9:$F32)</f>
        <v>415000</v>
      </c>
    </row>
    <row r="33" spans="1:7" ht="28.8" x14ac:dyDescent="0.55000000000000004">
      <c r="A33" s="12"/>
      <c r="B33" s="13"/>
      <c r="C33" s="10"/>
      <c r="D33" s="10"/>
      <c r="E33" s="7">
        <f>+$I$2+(BERNARD[[#This Row],[QUANTITE]]*BERNARD[[#This Row],[PRIX UNITAIRE]])</f>
        <v>0</v>
      </c>
      <c r="F33" s="14"/>
      <c r="G33" s="6">
        <f>+SUM(E$9:$E33)-SUM(F$9:$F33)</f>
        <v>415000</v>
      </c>
    </row>
    <row r="34" spans="1:7" ht="28.8" x14ac:dyDescent="0.55000000000000004">
      <c r="A34" s="12"/>
      <c r="B34" s="13"/>
      <c r="C34" s="10"/>
      <c r="D34" s="10"/>
      <c r="E34" s="7">
        <f>+$I$2+(BERNARD[[#This Row],[QUANTITE]]*BERNARD[[#This Row],[PRIX UNITAIRE]])</f>
        <v>0</v>
      </c>
      <c r="F34" s="14"/>
      <c r="G34" s="6">
        <f>+SUM(E$9:$E34)-SUM(F$9:$F34)</f>
        <v>415000</v>
      </c>
    </row>
    <row r="35" spans="1:7" ht="28.8" x14ac:dyDescent="0.55000000000000004">
      <c r="A35" s="12"/>
      <c r="B35" s="13"/>
      <c r="C35" s="10"/>
      <c r="D35" s="10"/>
      <c r="E35" s="7">
        <f>+$I$2+(BERNARD[[#This Row],[QUANTITE]]*BERNARD[[#This Row],[PRIX UNITAIRE]])</f>
        <v>0</v>
      </c>
      <c r="F35" s="14"/>
      <c r="G35" s="6">
        <f>+SUM(E$9:$E35)-SUM(F$9:$F35)</f>
        <v>415000</v>
      </c>
    </row>
    <row r="36" spans="1:7" ht="28.8" x14ac:dyDescent="0.55000000000000004">
      <c r="A36" s="12"/>
      <c r="B36" s="13"/>
      <c r="C36" s="10"/>
      <c r="D36" s="10"/>
      <c r="E36" s="7">
        <f>+$I$2+(BERNARD[[#This Row],[QUANTITE]]*BERNARD[[#This Row],[PRIX UNITAIRE]])</f>
        <v>0</v>
      </c>
      <c r="F36" s="14"/>
      <c r="G36" s="6">
        <f>+SUM(E$9:$E36)-SUM(F$9:$F36)</f>
        <v>415000</v>
      </c>
    </row>
    <row r="37" spans="1:7" ht="28.8" x14ac:dyDescent="0.55000000000000004">
      <c r="A37" s="12"/>
      <c r="B37" s="13"/>
      <c r="C37" s="10"/>
      <c r="D37" s="10"/>
      <c r="E37" s="7">
        <f>+$I$2+(BERNARD[[#This Row],[QUANTITE]]*BERNARD[[#This Row],[PRIX UNITAIRE]])</f>
        <v>0</v>
      </c>
      <c r="F37" s="14"/>
      <c r="G37" s="6">
        <f>+SUM(E$9:$E37)-SUM(F$9:$F37)</f>
        <v>415000</v>
      </c>
    </row>
    <row r="38" spans="1:7" ht="28.8" x14ac:dyDescent="0.55000000000000004">
      <c r="A38" s="12"/>
      <c r="B38" s="13"/>
      <c r="C38" s="10"/>
      <c r="D38" s="10"/>
      <c r="E38" s="7">
        <f>+$I$2+(BERNARD[[#This Row],[QUANTITE]]*BERNARD[[#This Row],[PRIX UNITAIRE]])</f>
        <v>0</v>
      </c>
      <c r="F38" s="14"/>
      <c r="G38" s="6">
        <f>+SUM(E$9:$E38)-SUM(F$9:$F38)</f>
        <v>415000</v>
      </c>
    </row>
    <row r="39" spans="1:7" ht="28.8" x14ac:dyDescent="0.55000000000000004">
      <c r="A39" s="12"/>
      <c r="B39" s="13"/>
      <c r="C39" s="10"/>
      <c r="D39" s="10"/>
      <c r="E39" s="7">
        <f>+$I$2+(BERNARD[[#This Row],[QUANTITE]]*BERNARD[[#This Row],[PRIX UNITAIRE]])</f>
        <v>0</v>
      </c>
      <c r="F39" s="14"/>
      <c r="G39" s="6">
        <f>+SUM(E$9:$E39)-SUM(F$9:$F39)</f>
        <v>415000</v>
      </c>
    </row>
    <row r="40" spans="1:7" ht="28.8" x14ac:dyDescent="0.55000000000000004">
      <c r="A40" s="12"/>
      <c r="B40" s="13"/>
      <c r="C40" s="10"/>
      <c r="D40" s="10"/>
      <c r="E40" s="7">
        <f>+$I$2+(BERNARD[[#This Row],[QUANTITE]]*BERNARD[[#This Row],[PRIX UNITAIRE]])</f>
        <v>0</v>
      </c>
      <c r="F40" s="14"/>
      <c r="G40" s="6">
        <f>+SUM(E$9:$E40)-SUM(F$9:$F40)</f>
        <v>415000</v>
      </c>
    </row>
    <row r="41" spans="1:7" ht="28.8" x14ac:dyDescent="0.55000000000000004">
      <c r="A41" s="12"/>
      <c r="B41" s="13"/>
      <c r="C41" s="10"/>
      <c r="D41" s="10"/>
      <c r="E41" s="7">
        <f>+$I$2+(BERNARD[[#This Row],[QUANTITE]]*BERNARD[[#This Row],[PRIX UNITAIRE]])</f>
        <v>0</v>
      </c>
      <c r="F41" s="14"/>
      <c r="G41" s="6">
        <f>+SUM(E$9:$E41)-SUM(F$9:$F41)</f>
        <v>415000</v>
      </c>
    </row>
    <row r="42" spans="1:7" ht="28.8" x14ac:dyDescent="0.55000000000000004">
      <c r="A42" s="12"/>
      <c r="B42" s="13"/>
      <c r="C42" s="10"/>
      <c r="D42" s="10"/>
      <c r="E42" s="7">
        <f>+$I$2+(BERNARD[[#This Row],[QUANTITE]]*BERNARD[[#This Row],[PRIX UNITAIRE]])</f>
        <v>0</v>
      </c>
      <c r="F42" s="14"/>
      <c r="G42" s="6">
        <f>+SUM(E$9:$E42)-SUM(F$9:$F42)</f>
        <v>415000</v>
      </c>
    </row>
    <row r="43" spans="1:7" ht="28.8" x14ac:dyDescent="0.55000000000000004">
      <c r="A43" s="12"/>
      <c r="B43" s="13"/>
      <c r="C43" s="10"/>
      <c r="D43" s="10"/>
      <c r="E43" s="7">
        <f>+$I$2+(BERNARD[[#This Row],[QUANTITE]]*BERNARD[[#This Row],[PRIX UNITAIRE]])</f>
        <v>0</v>
      </c>
      <c r="F43" s="14"/>
      <c r="G43" s="6">
        <f>+SUM(E$9:$E43)-SUM(F$9:$F43)</f>
        <v>415000</v>
      </c>
    </row>
    <row r="44" spans="1:7" ht="28.8" x14ac:dyDescent="0.55000000000000004">
      <c r="A44" s="12"/>
      <c r="B44" s="13"/>
      <c r="C44" s="10"/>
      <c r="D44" s="10"/>
      <c r="E44" s="7">
        <f>+$I$2+(BERNARD[[#This Row],[QUANTITE]]*BERNARD[[#This Row],[PRIX UNITAIRE]])</f>
        <v>0</v>
      </c>
      <c r="F44" s="14"/>
      <c r="G44" s="6">
        <f>+SUM(E$9:$E44)-SUM(F$9:$F44)</f>
        <v>415000</v>
      </c>
    </row>
    <row r="45" spans="1:7" ht="28.8" x14ac:dyDescent="0.55000000000000004">
      <c r="A45" s="12"/>
      <c r="B45" s="13"/>
      <c r="C45" s="10"/>
      <c r="D45" s="10"/>
      <c r="E45" s="7">
        <f>+$I$2+(BERNARD[[#This Row],[QUANTITE]]*BERNARD[[#This Row],[PRIX UNITAIRE]])</f>
        <v>0</v>
      </c>
      <c r="F45" s="14"/>
      <c r="G45" s="6">
        <f>+SUM(E$9:$E45)-SUM(F$9:$F45)</f>
        <v>415000</v>
      </c>
    </row>
    <row r="46" spans="1:7" ht="28.8" x14ac:dyDescent="0.55000000000000004">
      <c r="A46" s="12"/>
      <c r="B46" s="13"/>
      <c r="C46" s="10"/>
      <c r="D46" s="10"/>
      <c r="E46" s="7">
        <f>+$I$2+(BERNARD[[#This Row],[QUANTITE]]*BERNARD[[#This Row],[PRIX UNITAIRE]])</f>
        <v>0</v>
      </c>
      <c r="F46" s="14"/>
      <c r="G46" s="6">
        <f>+SUM(E$9:$E46)-SUM(F$9:$F46)</f>
        <v>415000</v>
      </c>
    </row>
    <row r="47" spans="1:7" ht="28.8" x14ac:dyDescent="0.55000000000000004">
      <c r="A47" s="12"/>
      <c r="B47" s="13"/>
      <c r="C47" s="10"/>
      <c r="D47" s="10"/>
      <c r="E47" s="7">
        <f>+$I$2+(BERNARD[[#This Row],[QUANTITE]]*BERNARD[[#This Row],[PRIX UNITAIRE]])</f>
        <v>0</v>
      </c>
      <c r="F47" s="14"/>
      <c r="G47" s="6">
        <f>+SUM(E$9:$E47)-SUM(F$9:$F47)</f>
        <v>415000</v>
      </c>
    </row>
    <row r="48" spans="1:7" ht="28.8" x14ac:dyDescent="0.55000000000000004">
      <c r="A48" s="12"/>
      <c r="B48" s="13"/>
      <c r="C48" s="10"/>
      <c r="D48" s="10"/>
      <c r="E48" s="7">
        <f>+$I$2+(BERNARD[[#This Row],[QUANTITE]]*BERNARD[[#This Row],[PRIX UNITAIRE]])</f>
        <v>0</v>
      </c>
      <c r="F48" s="14"/>
      <c r="G48" s="6">
        <f>+SUM(E$9:$E48)-SUM(F$9:$F48)</f>
        <v>415000</v>
      </c>
    </row>
    <row r="49" spans="1:7" ht="28.8" x14ac:dyDescent="0.55000000000000004">
      <c r="A49" s="12"/>
      <c r="B49" s="13"/>
      <c r="C49" s="10"/>
      <c r="D49" s="10"/>
      <c r="E49" s="7">
        <f>+$I$2+(BERNARD[[#This Row],[QUANTITE]]*BERNARD[[#This Row],[PRIX UNITAIRE]])</f>
        <v>0</v>
      </c>
      <c r="F49" s="14"/>
      <c r="G49" s="6">
        <f>+SUM(E$9:$E49)-SUM(F$9:$F49)</f>
        <v>415000</v>
      </c>
    </row>
    <row r="50" spans="1:7" ht="28.8" x14ac:dyDescent="0.55000000000000004">
      <c r="A50" s="12"/>
      <c r="B50" s="13"/>
      <c r="C50" s="10"/>
      <c r="D50" s="10"/>
      <c r="E50" s="7">
        <f>+$I$2+(BERNARD[[#This Row],[QUANTITE]]*BERNARD[[#This Row],[PRIX UNITAIRE]])</f>
        <v>0</v>
      </c>
      <c r="F50" s="14"/>
      <c r="G50" s="6">
        <f>+SUM(E$9:$E50)-SUM(F$9:$F50)</f>
        <v>415000</v>
      </c>
    </row>
    <row r="51" spans="1:7" ht="28.8" x14ac:dyDescent="0.55000000000000004">
      <c r="A51" s="12"/>
      <c r="B51" s="13"/>
      <c r="C51" s="10"/>
      <c r="D51" s="10"/>
      <c r="E51" s="7">
        <f>+$I$2+(BERNARD[[#This Row],[QUANTITE]]*BERNARD[[#This Row],[PRIX UNITAIRE]])</f>
        <v>0</v>
      </c>
      <c r="F51" s="14"/>
      <c r="G51" s="6">
        <f>+SUM(E$9:$E51)-SUM(F$9:$F51)</f>
        <v>415000</v>
      </c>
    </row>
    <row r="52" spans="1:7" ht="28.8" x14ac:dyDescent="0.55000000000000004">
      <c r="A52" s="12"/>
      <c r="B52" s="13"/>
      <c r="C52" s="10"/>
      <c r="D52" s="10"/>
      <c r="E52" s="7">
        <f>+$I$2+(BERNARD[[#This Row],[QUANTITE]]*BERNARD[[#This Row],[PRIX UNITAIRE]])</f>
        <v>0</v>
      </c>
      <c r="F52" s="14"/>
      <c r="G52" s="6">
        <f>+SUM(E$9:$E52)-SUM(F$9:$F52)</f>
        <v>415000</v>
      </c>
    </row>
    <row r="53" spans="1:7" ht="28.8" x14ac:dyDescent="0.55000000000000004">
      <c r="A53" s="12"/>
      <c r="B53" s="13"/>
      <c r="C53" s="10"/>
      <c r="D53" s="10"/>
      <c r="E53" s="7">
        <f>+$I$2+(BERNARD[[#This Row],[QUANTITE]]*BERNARD[[#This Row],[PRIX UNITAIRE]])</f>
        <v>0</v>
      </c>
      <c r="F53" s="14"/>
      <c r="G53" s="6">
        <f>+SUM(E$9:$E53)-SUM(F$9:$F53)</f>
        <v>415000</v>
      </c>
    </row>
    <row r="54" spans="1:7" ht="28.8" x14ac:dyDescent="0.55000000000000004">
      <c r="A54" s="12"/>
      <c r="B54" s="13"/>
      <c r="C54" s="10"/>
      <c r="D54" s="10"/>
      <c r="E54" s="7">
        <f>+$I$2+(BERNARD[[#This Row],[QUANTITE]]*BERNARD[[#This Row],[PRIX UNITAIRE]])</f>
        <v>0</v>
      </c>
      <c r="F54" s="14"/>
      <c r="G54" s="6">
        <f>+SUM(E$9:$E54)-SUM(F$9:$F54)</f>
        <v>415000</v>
      </c>
    </row>
    <row r="55" spans="1:7" ht="28.8" x14ac:dyDescent="0.55000000000000004">
      <c r="A55" s="12"/>
      <c r="B55" s="13"/>
      <c r="C55" s="10"/>
      <c r="D55" s="10"/>
      <c r="E55" s="7">
        <f>+$I$2+(BERNARD[[#This Row],[QUANTITE]]*BERNARD[[#This Row],[PRIX UNITAIRE]])</f>
        <v>0</v>
      </c>
      <c r="F55" s="14"/>
      <c r="G55" s="6">
        <f>+SUM(E$9:$E55)-SUM(F$9:$F55)</f>
        <v>415000</v>
      </c>
    </row>
    <row r="56" spans="1:7" ht="28.8" x14ac:dyDescent="0.55000000000000004">
      <c r="A56" s="12"/>
      <c r="B56" s="13"/>
      <c r="C56" s="10"/>
      <c r="D56" s="10"/>
      <c r="E56" s="7">
        <f>+$I$2+(BERNARD[[#This Row],[QUANTITE]]*BERNARD[[#This Row],[PRIX UNITAIRE]])</f>
        <v>0</v>
      </c>
      <c r="F56" s="14"/>
      <c r="G56" s="6">
        <f>+SUM(E$9:$E56)-SUM(F$9:$F56)</f>
        <v>415000</v>
      </c>
    </row>
    <row r="57" spans="1:7" ht="28.8" x14ac:dyDescent="0.55000000000000004">
      <c r="A57" s="12"/>
      <c r="B57" s="13"/>
      <c r="C57" s="10"/>
      <c r="D57" s="10"/>
      <c r="E57" s="7">
        <f>+$I$2+(BERNARD[[#This Row],[QUANTITE]]*BERNARD[[#This Row],[PRIX UNITAIRE]])</f>
        <v>0</v>
      </c>
      <c r="F57" s="14"/>
      <c r="G57" s="6">
        <f>+SUM(E$9:$E57)-SUM(F$9:$F57)</f>
        <v>415000</v>
      </c>
    </row>
    <row r="58" spans="1:7" ht="28.8" x14ac:dyDescent="0.55000000000000004">
      <c r="A58" s="12"/>
      <c r="B58" s="13"/>
      <c r="C58" s="10"/>
      <c r="D58" s="10"/>
      <c r="E58" s="7">
        <f>+$I$2+(BERNARD[[#This Row],[QUANTITE]]*BERNARD[[#This Row],[PRIX UNITAIRE]])</f>
        <v>0</v>
      </c>
      <c r="F58" s="14"/>
      <c r="G58" s="6">
        <f>+SUM(E$9:$E58)-SUM(F$9:$F58)</f>
        <v>415000</v>
      </c>
    </row>
    <row r="59" spans="1:7" ht="28.8" x14ac:dyDescent="0.55000000000000004">
      <c r="A59" s="12"/>
      <c r="B59" s="13"/>
      <c r="C59" s="10"/>
      <c r="D59" s="10"/>
      <c r="E59" s="7">
        <f>+$I$2+(BERNARD[[#This Row],[QUANTITE]]*BERNARD[[#This Row],[PRIX UNITAIRE]])</f>
        <v>0</v>
      </c>
      <c r="F59" s="14"/>
      <c r="G59" s="6">
        <f>+SUM(E$9:$E59)-SUM(F$9:$F59)</f>
        <v>415000</v>
      </c>
    </row>
    <row r="60" spans="1:7" ht="28.8" x14ac:dyDescent="0.55000000000000004">
      <c r="A60" s="12"/>
      <c r="B60" s="13"/>
      <c r="C60" s="10"/>
      <c r="D60" s="10"/>
      <c r="E60" s="7">
        <f>+$I$2+(BERNARD[[#This Row],[QUANTITE]]*BERNARD[[#This Row],[PRIX UNITAIRE]])</f>
        <v>0</v>
      </c>
      <c r="F60" s="14"/>
      <c r="G60" s="6">
        <f>+SUM(E$9:$E60)-SUM(F$9:$F60)</f>
        <v>415000</v>
      </c>
    </row>
    <row r="61" spans="1:7" ht="28.8" x14ac:dyDescent="0.55000000000000004">
      <c r="A61" s="12"/>
      <c r="B61" s="13"/>
      <c r="C61" s="10"/>
      <c r="D61" s="10"/>
      <c r="E61" s="7">
        <f>+$I$2+(BERNARD[[#This Row],[QUANTITE]]*BERNARD[[#This Row],[PRIX UNITAIRE]])</f>
        <v>0</v>
      </c>
      <c r="F61" s="14"/>
      <c r="G61" s="6">
        <f>+SUM(E$9:$E61)-SUM(F$9:$F61)</f>
        <v>415000</v>
      </c>
    </row>
    <row r="62" spans="1:7" ht="28.8" x14ac:dyDescent="0.55000000000000004">
      <c r="A62" s="12"/>
      <c r="B62" s="13"/>
      <c r="C62" s="10"/>
      <c r="D62" s="10"/>
      <c r="E62" s="7">
        <f>+$I$2+(BERNARD[[#This Row],[QUANTITE]]*BERNARD[[#This Row],[PRIX UNITAIRE]])</f>
        <v>0</v>
      </c>
      <c r="F62" s="14"/>
      <c r="G62" s="6">
        <f>+SUM(E$9:$E62)-SUM(F$9:$F62)</f>
        <v>415000</v>
      </c>
    </row>
    <row r="63" spans="1:7" ht="28.8" x14ac:dyDescent="0.55000000000000004">
      <c r="A63" s="12"/>
      <c r="B63" s="13"/>
      <c r="C63" s="10"/>
      <c r="D63" s="10"/>
      <c r="E63" s="7">
        <f>+$I$2+(BERNARD[[#This Row],[QUANTITE]]*BERNARD[[#This Row],[PRIX UNITAIRE]])</f>
        <v>0</v>
      </c>
      <c r="F63" s="14"/>
      <c r="G63" s="6">
        <f>+SUM(E$9:$E63)-SUM(F$9:$F63)</f>
        <v>415000</v>
      </c>
    </row>
    <row r="64" spans="1:7" ht="28.8" x14ac:dyDescent="0.55000000000000004">
      <c r="A64" s="12"/>
      <c r="B64" s="13"/>
      <c r="C64" s="10"/>
      <c r="D64" s="10"/>
      <c r="E64" s="7">
        <f>+$I$2+(BERNARD[[#This Row],[QUANTITE]]*BERNARD[[#This Row],[PRIX UNITAIRE]])</f>
        <v>0</v>
      </c>
      <c r="F64" s="14"/>
      <c r="G64" s="6">
        <f>+SUM(E$9:$E64)-SUM(F$9:$F64)</f>
        <v>415000</v>
      </c>
    </row>
    <row r="65" spans="1:7" ht="28.8" x14ac:dyDescent="0.55000000000000004">
      <c r="A65" s="12"/>
      <c r="B65" s="13"/>
      <c r="C65" s="10"/>
      <c r="D65" s="10"/>
      <c r="E65" s="7">
        <f>+$I$2+(BERNARD[[#This Row],[QUANTITE]]*BERNARD[[#This Row],[PRIX UNITAIRE]])</f>
        <v>0</v>
      </c>
      <c r="F65" s="14"/>
      <c r="G65" s="6">
        <f>+SUM(E$9:$E65)-SUM(F$9:$F65)</f>
        <v>415000</v>
      </c>
    </row>
    <row r="66" spans="1:7" ht="28.8" x14ac:dyDescent="0.55000000000000004">
      <c r="A66" s="12"/>
      <c r="B66" s="13"/>
      <c r="C66" s="10"/>
      <c r="D66" s="10"/>
      <c r="E66" s="7">
        <f>+$I$2+(BERNARD[[#This Row],[QUANTITE]]*BERNARD[[#This Row],[PRIX UNITAIRE]])</f>
        <v>0</v>
      </c>
      <c r="F66" s="14"/>
      <c r="G66" s="6">
        <f>+SUM(E$9:$E66)-SUM(F$9:$F66)</f>
        <v>415000</v>
      </c>
    </row>
    <row r="67" spans="1:7" ht="28.8" x14ac:dyDescent="0.55000000000000004">
      <c r="A67" s="12"/>
      <c r="B67" s="13"/>
      <c r="C67" s="10"/>
      <c r="D67" s="10"/>
      <c r="E67" s="7">
        <f>+$I$2+(BERNARD[[#This Row],[QUANTITE]]*BERNARD[[#This Row],[PRIX UNITAIRE]])</f>
        <v>0</v>
      </c>
      <c r="F67" s="14"/>
      <c r="G67" s="6">
        <f>+SUM(E$9:$E67)-SUM(F$9:$F67)</f>
        <v>415000</v>
      </c>
    </row>
    <row r="68" spans="1:7" ht="28.8" x14ac:dyDescent="0.55000000000000004">
      <c r="A68" s="12"/>
      <c r="B68" s="13"/>
      <c r="C68" s="10"/>
      <c r="D68" s="10"/>
      <c r="E68" s="7">
        <f>+$I$2+(BERNARD[[#This Row],[QUANTITE]]*BERNARD[[#This Row],[PRIX UNITAIRE]])</f>
        <v>0</v>
      </c>
      <c r="F68" s="14"/>
      <c r="G68" s="6">
        <f>+SUM(E$9:$E68)-SUM(F$9:$F68)</f>
        <v>415000</v>
      </c>
    </row>
    <row r="69" spans="1:7" ht="28.8" x14ac:dyDescent="0.55000000000000004">
      <c r="A69" s="12"/>
      <c r="B69" s="13"/>
      <c r="C69" s="10"/>
      <c r="D69" s="10"/>
      <c r="E69" s="7">
        <f>+$I$2+(BERNARD[[#This Row],[QUANTITE]]*BERNARD[[#This Row],[PRIX UNITAIRE]])</f>
        <v>0</v>
      </c>
      <c r="F69" s="14"/>
      <c r="G69" s="6">
        <f>+SUM(E$9:$E69)-SUM(F$9:$F69)</f>
        <v>415000</v>
      </c>
    </row>
    <row r="70" spans="1:7" ht="28.8" x14ac:dyDescent="0.55000000000000004">
      <c r="A70" s="12"/>
      <c r="B70" s="13"/>
      <c r="C70" s="10"/>
      <c r="D70" s="10"/>
      <c r="E70" s="7">
        <f>+$I$2+(BERNARD[[#This Row],[QUANTITE]]*BERNARD[[#This Row],[PRIX UNITAIRE]])</f>
        <v>0</v>
      </c>
      <c r="F70" s="14"/>
      <c r="G70" s="6">
        <f>+SUM(E$9:$E70)-SUM(F$9:$F70)</f>
        <v>415000</v>
      </c>
    </row>
    <row r="71" spans="1:7" ht="28.8" x14ac:dyDescent="0.55000000000000004">
      <c r="A71" s="12"/>
      <c r="B71" s="13"/>
      <c r="C71" s="10"/>
      <c r="D71" s="10"/>
      <c r="E71" s="7">
        <f>+$I$2+(BERNARD[[#This Row],[QUANTITE]]*BERNARD[[#This Row],[PRIX UNITAIRE]])</f>
        <v>0</v>
      </c>
      <c r="F71" s="14"/>
      <c r="G71" s="6">
        <f>+SUM(E$9:$E71)-SUM(F$9:$F71)</f>
        <v>415000</v>
      </c>
    </row>
    <row r="72" spans="1:7" ht="28.8" x14ac:dyDescent="0.55000000000000004">
      <c r="A72" s="12"/>
      <c r="B72" s="13"/>
      <c r="C72" s="10"/>
      <c r="D72" s="10"/>
      <c r="E72" s="7">
        <f>+$I$2+(BERNARD[[#This Row],[QUANTITE]]*BERNARD[[#This Row],[PRIX UNITAIRE]])</f>
        <v>0</v>
      </c>
      <c r="F72" s="14"/>
      <c r="G72" s="6">
        <f>+SUM(E$9:$E72)-SUM(F$9:$F72)</f>
        <v>415000</v>
      </c>
    </row>
    <row r="73" spans="1:7" ht="28.8" x14ac:dyDescent="0.55000000000000004">
      <c r="A73" s="12"/>
      <c r="B73" s="13"/>
      <c r="C73" s="10"/>
      <c r="D73" s="10"/>
      <c r="E73" s="7">
        <f>+$I$2+(BERNARD[[#This Row],[QUANTITE]]*BERNARD[[#This Row],[PRIX UNITAIRE]])</f>
        <v>0</v>
      </c>
      <c r="F73" s="14"/>
      <c r="G73" s="6">
        <f>+SUM(E$9:$E73)-SUM(F$9:$F73)</f>
        <v>415000</v>
      </c>
    </row>
    <row r="74" spans="1:7" ht="28.8" x14ac:dyDescent="0.55000000000000004">
      <c r="A74" s="12"/>
      <c r="B74" s="13"/>
      <c r="C74" s="10"/>
      <c r="D74" s="10"/>
      <c r="E74" s="7">
        <f>+$I$2+(BERNARD[[#This Row],[QUANTITE]]*BERNARD[[#This Row],[PRIX UNITAIRE]])</f>
        <v>0</v>
      </c>
      <c r="F74" s="14"/>
      <c r="G74" s="6">
        <f>+SUM(E$9:$E74)-SUM(F$9:$F74)</f>
        <v>415000</v>
      </c>
    </row>
    <row r="75" spans="1:7" ht="28.8" x14ac:dyDescent="0.55000000000000004">
      <c r="A75" s="12"/>
      <c r="B75" s="13"/>
      <c r="C75" s="10"/>
      <c r="D75" s="10"/>
      <c r="E75" s="7">
        <f>+$I$2+(BERNARD[[#This Row],[QUANTITE]]*BERNARD[[#This Row],[PRIX UNITAIRE]])</f>
        <v>0</v>
      </c>
      <c r="F75" s="14"/>
      <c r="G75" s="6">
        <f>+SUM(E$9:$E75)-SUM(F$9:$F75)</f>
        <v>415000</v>
      </c>
    </row>
    <row r="76" spans="1:7" ht="28.8" x14ac:dyDescent="0.55000000000000004">
      <c r="A76" s="12"/>
      <c r="B76" s="13"/>
      <c r="C76" s="10"/>
      <c r="D76" s="10"/>
      <c r="E76" s="7">
        <f>+$I$2+(BERNARD[[#This Row],[QUANTITE]]*BERNARD[[#This Row],[PRIX UNITAIRE]])</f>
        <v>0</v>
      </c>
      <c r="F76" s="14"/>
      <c r="G76" s="6">
        <f>+SUM(E$9:$E76)-SUM(F$9:$F76)</f>
        <v>415000</v>
      </c>
    </row>
    <row r="77" spans="1:7" ht="28.8" x14ac:dyDescent="0.55000000000000004">
      <c r="A77" s="12"/>
      <c r="B77" s="13"/>
      <c r="C77" s="10"/>
      <c r="D77" s="10"/>
      <c r="E77" s="7">
        <f>+$I$2+(BERNARD[[#This Row],[QUANTITE]]*BERNARD[[#This Row],[PRIX UNITAIRE]])</f>
        <v>0</v>
      </c>
      <c r="F77" s="14"/>
      <c r="G77" s="6">
        <f>+SUM(E$9:$E77)-SUM(F$9:$F77)</f>
        <v>415000</v>
      </c>
    </row>
    <row r="78" spans="1:7" ht="28.8" x14ac:dyDescent="0.55000000000000004">
      <c r="A78" s="12"/>
      <c r="B78" s="13"/>
      <c r="C78" s="10"/>
      <c r="D78" s="10"/>
      <c r="E78" s="7">
        <f>+$I$2+(BERNARD[[#This Row],[QUANTITE]]*BERNARD[[#This Row],[PRIX UNITAIRE]])</f>
        <v>0</v>
      </c>
      <c r="F78" s="14"/>
      <c r="G78" s="6">
        <f>+SUM(E$9:$E78)-SUM(F$9:$F78)</f>
        <v>415000</v>
      </c>
    </row>
    <row r="79" spans="1:7" ht="28.8" x14ac:dyDescent="0.55000000000000004">
      <c r="A79" s="12"/>
      <c r="B79" s="13"/>
      <c r="C79" s="10"/>
      <c r="D79" s="10"/>
      <c r="E79" s="7">
        <f>+$I$2+(BERNARD[[#This Row],[QUANTITE]]*BERNARD[[#This Row],[PRIX UNITAIRE]])</f>
        <v>0</v>
      </c>
      <c r="F79" s="14"/>
      <c r="G79" s="6">
        <f>+SUM(E$9:$E79)-SUM(F$9:$F79)</f>
        <v>415000</v>
      </c>
    </row>
    <row r="80" spans="1:7" ht="28.8" x14ac:dyDescent="0.55000000000000004">
      <c r="A80" s="12"/>
      <c r="B80" s="13"/>
      <c r="C80" s="10"/>
      <c r="D80" s="10"/>
      <c r="E80" s="7">
        <f>+$I$2+(BERNARD[[#This Row],[QUANTITE]]*BERNARD[[#This Row],[PRIX UNITAIRE]])</f>
        <v>0</v>
      </c>
      <c r="F80" s="14"/>
      <c r="G80" s="6">
        <f>+SUM(E$9:$E80)-SUM(F$9:$F80)</f>
        <v>415000</v>
      </c>
    </row>
    <row r="81" spans="1:7" ht="28.8" x14ac:dyDescent="0.55000000000000004">
      <c r="A81" s="12"/>
      <c r="B81" s="13"/>
      <c r="C81" s="10"/>
      <c r="D81" s="10"/>
      <c r="E81" s="7">
        <f>+$I$2+(BERNARD[[#This Row],[QUANTITE]]*BERNARD[[#This Row],[PRIX UNITAIRE]])</f>
        <v>0</v>
      </c>
      <c r="F81" s="14"/>
      <c r="G81" s="6">
        <f>+SUM(E$9:$E81)-SUM(F$9:$F81)</f>
        <v>415000</v>
      </c>
    </row>
    <row r="82" spans="1:7" ht="28.8" x14ac:dyDescent="0.55000000000000004">
      <c r="A82" s="12"/>
      <c r="B82" s="13"/>
      <c r="C82" s="10"/>
      <c r="D82" s="10"/>
      <c r="E82" s="7">
        <f>+$I$2+(BERNARD[[#This Row],[QUANTITE]]*BERNARD[[#This Row],[PRIX UNITAIRE]])</f>
        <v>0</v>
      </c>
      <c r="F82" s="14"/>
      <c r="G82" s="6">
        <f>+SUM(E$9:$E82)-SUM(F$9:$F82)</f>
        <v>415000</v>
      </c>
    </row>
  </sheetData>
  <sheetProtection selectLockedCells="1" autoFilter="0"/>
  <mergeCells count="1">
    <mergeCell ref="B6:C6"/>
  </mergeCells>
  <conditionalFormatting sqref="G4">
    <cfRule type="cellIs" dxfId="461" priority="2" operator="lessThan">
      <formula>0</formula>
    </cfRule>
    <cfRule type="cellIs" dxfId="460" priority="3" operator="greaterThan">
      <formula>0</formula>
    </cfRule>
  </conditionalFormatting>
  <conditionalFormatting sqref="B9:B82">
    <cfRule type="expression" dxfId="459" priority="5">
      <formula>$F9</formula>
    </cfRule>
  </conditionalFormatting>
  <dataValidations count="1">
    <dataValidation type="date" operator="greaterThan" allowBlank="1" showInputMessage="1" showErrorMessage="1" error="VEILLEZ ENTRER UNE DATE VALIDE" sqref="A9:A8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/>
  <dimension ref="A1:I72"/>
  <sheetViews>
    <sheetView showGridLines="0" zoomScale="60" zoomScaleNormal="60" workbookViewId="0">
      <pane ySplit="8" topLeftCell="A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8.21875" style="1" bestFit="1" customWidth="1"/>
    <col min="2" max="2" width="63.5546875" style="1" bestFit="1" customWidth="1"/>
    <col min="3" max="3" width="19.77734375" style="1" bestFit="1" customWidth="1"/>
    <col min="4" max="4" width="44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+SUM(KOUAME[TOTAL MONTANT])</f>
        <v>50000</v>
      </c>
      <c r="F4" s="41">
        <f>+SUM(KOUAME[VERSEMENT])</f>
        <v>0</v>
      </c>
      <c r="G4" s="130">
        <f>+E4-F4</f>
        <v>50000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494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/>
      <c r="B9" s="13"/>
      <c r="C9" s="10">
        <v>0</v>
      </c>
      <c r="D9" s="10">
        <v>0</v>
      </c>
      <c r="E9" s="7">
        <f>+$I$2+(KOUAME[[#This Row],[QUANTITE]]*KOUAME[[#This Row],[PRIX UNITAIRE]])</f>
        <v>0</v>
      </c>
      <c r="F9" s="18"/>
      <c r="G9" s="6">
        <f>+SUM(E$9:$E9)-SUM(F$9:$F9)</f>
        <v>0</v>
      </c>
    </row>
    <row r="10" spans="1:9" ht="28.8" x14ac:dyDescent="0.55000000000000004">
      <c r="A10" s="12">
        <v>45673</v>
      </c>
      <c r="B10" s="13" t="s">
        <v>496</v>
      </c>
      <c r="C10" s="10">
        <v>1</v>
      </c>
      <c r="D10" s="10">
        <v>15000</v>
      </c>
      <c r="E10" s="7">
        <f>+$I$2+(KOUAME[[#This Row],[QUANTITE]]*KOUAME[[#This Row],[PRIX UNITAIRE]])</f>
        <v>15000</v>
      </c>
      <c r="F10" s="19"/>
      <c r="G10" s="6">
        <f>+SUM(E$9:$E10)-SUM(F$9:$F10)</f>
        <v>15000</v>
      </c>
    </row>
    <row r="11" spans="1:9" ht="28.8" x14ac:dyDescent="0.55000000000000004">
      <c r="A11" s="12">
        <v>45673</v>
      </c>
      <c r="B11" s="13" t="s">
        <v>497</v>
      </c>
      <c r="C11" s="10">
        <v>1</v>
      </c>
      <c r="D11" s="10">
        <v>20000</v>
      </c>
      <c r="E11" s="7">
        <f>+$I$2+(KOUAME[[#This Row],[QUANTITE]]*KOUAME[[#This Row],[PRIX UNITAIRE]])</f>
        <v>20000</v>
      </c>
      <c r="F11" s="14"/>
      <c r="G11" s="6">
        <f>+SUM(E$9:$E11)-SUM(F$9:$F11)</f>
        <v>35000</v>
      </c>
    </row>
    <row r="12" spans="1:9" ht="28.8" x14ac:dyDescent="0.55000000000000004">
      <c r="A12" s="12">
        <v>45673</v>
      </c>
      <c r="B12" s="13" t="s">
        <v>498</v>
      </c>
      <c r="C12" s="10">
        <v>1</v>
      </c>
      <c r="D12" s="10">
        <v>15000</v>
      </c>
      <c r="E12" s="7">
        <f>+$I$2+(KOUAME[[#This Row],[QUANTITE]]*KOUAME[[#This Row],[PRIX UNITAIRE]])</f>
        <v>15000</v>
      </c>
      <c r="F12" s="14"/>
      <c r="G12" s="6">
        <f>+SUM(E$9:$E12)-SUM(F$9:$F12)</f>
        <v>50000</v>
      </c>
    </row>
    <row r="13" spans="1:9" ht="28.8" x14ac:dyDescent="0.55000000000000004">
      <c r="A13" s="12"/>
      <c r="B13" s="13"/>
      <c r="C13" s="10"/>
      <c r="D13" s="10"/>
      <c r="E13" s="7">
        <f>+$I$2+(KOUAME[[#This Row],[QUANTITE]]*KOUAME[[#This Row],[PRIX UNITAIRE]])</f>
        <v>0</v>
      </c>
      <c r="F13" s="14"/>
      <c r="G13" s="6">
        <f>+SUM(E$9:$E13)-SUM(F$9:$F13)</f>
        <v>50000</v>
      </c>
    </row>
    <row r="14" spans="1:9" ht="28.8" x14ac:dyDescent="0.55000000000000004">
      <c r="A14" s="12"/>
      <c r="B14" s="13"/>
      <c r="C14" s="10"/>
      <c r="D14" s="10"/>
      <c r="E14" s="7">
        <f>+$I$2+(KOUAME[[#This Row],[QUANTITE]]*KOUAME[[#This Row],[PRIX UNITAIRE]])</f>
        <v>0</v>
      </c>
      <c r="F14" s="14"/>
      <c r="G14" s="6">
        <f>+SUM(E$9:$E14)-SUM(F$9:$F14)</f>
        <v>50000</v>
      </c>
    </row>
    <row r="15" spans="1:9" ht="28.8" x14ac:dyDescent="0.55000000000000004">
      <c r="A15" s="12"/>
      <c r="B15" s="13"/>
      <c r="C15" s="10"/>
      <c r="D15" s="10"/>
      <c r="E15" s="7">
        <f>+$I$2+(KOUAME[[#This Row],[QUANTITE]]*KOUAME[[#This Row],[PRIX UNITAIRE]])</f>
        <v>0</v>
      </c>
      <c r="F15" s="14"/>
      <c r="G15" s="6">
        <f>+SUM(E$9:$E15)-SUM(F$9:$F15)</f>
        <v>50000</v>
      </c>
    </row>
    <row r="16" spans="1:9" ht="28.8" x14ac:dyDescent="0.55000000000000004">
      <c r="A16" s="12"/>
      <c r="B16" s="13"/>
      <c r="C16" s="10"/>
      <c r="D16" s="10"/>
      <c r="E16" s="7">
        <f>+$I$2+(KOUAME[[#This Row],[QUANTITE]]*KOUAME[[#This Row],[PRIX UNITAIRE]])</f>
        <v>0</v>
      </c>
      <c r="F16" s="14"/>
      <c r="G16" s="6">
        <f>+SUM(E$9:$E16)-SUM(F$9:$F16)</f>
        <v>50000</v>
      </c>
    </row>
    <row r="17" spans="1:7" ht="28.8" x14ac:dyDescent="0.55000000000000004">
      <c r="A17" s="12"/>
      <c r="B17" s="13"/>
      <c r="C17" s="10"/>
      <c r="D17" s="10"/>
      <c r="E17" s="7">
        <f>+$I$2+(KOUAME[[#This Row],[QUANTITE]]*KOUAME[[#This Row],[PRIX UNITAIRE]])</f>
        <v>0</v>
      </c>
      <c r="F17" s="14"/>
      <c r="G17" s="6">
        <f>+SUM(E$9:$E17)-SUM(F$9:$F17)</f>
        <v>50000</v>
      </c>
    </row>
    <row r="18" spans="1:7" ht="28.8" x14ac:dyDescent="0.55000000000000004">
      <c r="A18" s="12"/>
      <c r="B18" s="13"/>
      <c r="C18" s="10"/>
      <c r="D18" s="10"/>
      <c r="E18" s="7">
        <f>+$I$2+(KOUAME[[#This Row],[QUANTITE]]*KOUAME[[#This Row],[PRIX UNITAIRE]])</f>
        <v>0</v>
      </c>
      <c r="F18" s="14"/>
      <c r="G18" s="6">
        <f>+SUM(E$9:$E18)-SUM(F$9:$F18)</f>
        <v>50000</v>
      </c>
    </row>
    <row r="19" spans="1:7" ht="28.8" x14ac:dyDescent="0.55000000000000004">
      <c r="A19" s="12"/>
      <c r="B19" s="13"/>
      <c r="C19" s="10"/>
      <c r="D19" s="10"/>
      <c r="E19" s="7">
        <f>+$I$2+(KOUAME[[#This Row],[QUANTITE]]*KOUAME[[#This Row],[PRIX UNITAIRE]])</f>
        <v>0</v>
      </c>
      <c r="F19" s="14"/>
      <c r="G19" s="6">
        <f>+SUM(E$9:$E19)-SUM(F$9:$F19)</f>
        <v>50000</v>
      </c>
    </row>
    <row r="20" spans="1:7" ht="28.8" x14ac:dyDescent="0.55000000000000004">
      <c r="A20" s="12"/>
      <c r="B20" s="13"/>
      <c r="C20" s="10"/>
      <c r="D20" s="10"/>
      <c r="E20" s="7">
        <f>+$I$2+(KOUAME[[#This Row],[QUANTITE]]*KOUAME[[#This Row],[PRIX UNITAIRE]])</f>
        <v>0</v>
      </c>
      <c r="F20" s="14"/>
      <c r="G20" s="6">
        <f>+SUM(E$9:$E20)-SUM(F$9:$F20)</f>
        <v>50000</v>
      </c>
    </row>
    <row r="21" spans="1:7" ht="28.8" x14ac:dyDescent="0.55000000000000004">
      <c r="A21" s="12"/>
      <c r="B21" s="13"/>
      <c r="C21" s="10"/>
      <c r="D21" s="10"/>
      <c r="E21" s="7">
        <f>+$I$2+(KOUAME[[#This Row],[QUANTITE]]*KOUAME[[#This Row],[PRIX UNITAIRE]])</f>
        <v>0</v>
      </c>
      <c r="F21" s="14"/>
      <c r="G21" s="6">
        <f>+SUM(E$9:$E21)-SUM(F$9:$F21)</f>
        <v>50000</v>
      </c>
    </row>
    <row r="22" spans="1:7" ht="28.8" x14ac:dyDescent="0.55000000000000004">
      <c r="A22" s="12"/>
      <c r="B22" s="13"/>
      <c r="C22" s="10"/>
      <c r="D22" s="10"/>
      <c r="E22" s="7">
        <f>+$I$2+(KOUAME[[#This Row],[QUANTITE]]*KOUAME[[#This Row],[PRIX UNITAIRE]])</f>
        <v>0</v>
      </c>
      <c r="F22" s="14"/>
      <c r="G22" s="6">
        <f>+SUM(E$9:$E22)-SUM(F$9:$F22)</f>
        <v>50000</v>
      </c>
    </row>
    <row r="23" spans="1:7" ht="28.8" x14ac:dyDescent="0.55000000000000004">
      <c r="A23" s="12"/>
      <c r="B23" s="13"/>
      <c r="C23" s="10"/>
      <c r="D23" s="10"/>
      <c r="E23" s="7">
        <f>+$I$2+(KOUAME[[#This Row],[QUANTITE]]*KOUAME[[#This Row],[PRIX UNITAIRE]])</f>
        <v>0</v>
      </c>
      <c r="F23" s="14"/>
      <c r="G23" s="6">
        <f>+SUM(E$9:$E23)-SUM(F$9:$F23)</f>
        <v>50000</v>
      </c>
    </row>
    <row r="24" spans="1:7" ht="28.8" x14ac:dyDescent="0.55000000000000004">
      <c r="A24" s="12"/>
      <c r="B24" s="13"/>
      <c r="C24" s="10"/>
      <c r="D24" s="10"/>
      <c r="E24" s="7">
        <f>+$I$2+(KOUAME[[#This Row],[QUANTITE]]*KOUAME[[#This Row],[PRIX UNITAIRE]])</f>
        <v>0</v>
      </c>
      <c r="F24" s="14"/>
      <c r="G24" s="6">
        <f>+SUM(E$9:$E24)-SUM(F$9:$F24)</f>
        <v>50000</v>
      </c>
    </row>
    <row r="25" spans="1:7" ht="28.8" x14ac:dyDescent="0.55000000000000004">
      <c r="A25" s="12"/>
      <c r="B25" s="13"/>
      <c r="C25" s="10"/>
      <c r="D25" s="10"/>
      <c r="E25" s="7">
        <f>+$I$2+(KOUAME[[#This Row],[QUANTITE]]*KOUAME[[#This Row],[PRIX UNITAIRE]])</f>
        <v>0</v>
      </c>
      <c r="F25" s="14"/>
      <c r="G25" s="6">
        <f>+SUM(E$9:$E25)-SUM(F$9:$F25)</f>
        <v>50000</v>
      </c>
    </row>
    <row r="26" spans="1:7" ht="28.8" x14ac:dyDescent="0.55000000000000004">
      <c r="A26" s="12"/>
      <c r="B26" s="13"/>
      <c r="C26" s="10"/>
      <c r="D26" s="10"/>
      <c r="E26" s="7">
        <f>+$I$2+(KOUAME[[#This Row],[QUANTITE]]*KOUAME[[#This Row],[PRIX UNITAIRE]])</f>
        <v>0</v>
      </c>
      <c r="F26" s="14"/>
      <c r="G26" s="6">
        <f>+SUM(E$9:$E26)-SUM(F$9:$F26)</f>
        <v>50000</v>
      </c>
    </row>
    <row r="27" spans="1:7" ht="28.8" x14ac:dyDescent="0.55000000000000004">
      <c r="A27" s="12"/>
      <c r="B27" s="13"/>
      <c r="C27" s="10"/>
      <c r="D27" s="10"/>
      <c r="E27" s="7">
        <f>+$I$2+(KOUAME[[#This Row],[QUANTITE]]*KOUAME[[#This Row],[PRIX UNITAIRE]])</f>
        <v>0</v>
      </c>
      <c r="F27" s="14"/>
      <c r="G27" s="6">
        <f>+SUM(E$9:$E27)-SUM(F$9:$F27)</f>
        <v>50000</v>
      </c>
    </row>
    <row r="28" spans="1:7" ht="28.8" x14ac:dyDescent="0.55000000000000004">
      <c r="A28" s="12"/>
      <c r="B28" s="13"/>
      <c r="C28" s="10"/>
      <c r="D28" s="10"/>
      <c r="E28" s="7">
        <f>+$I$2+(KOUAME[[#This Row],[QUANTITE]]*KOUAME[[#This Row],[PRIX UNITAIRE]])</f>
        <v>0</v>
      </c>
      <c r="F28" s="14"/>
      <c r="G28" s="6">
        <f>+SUM(E$9:$E28)-SUM(F$9:$F28)</f>
        <v>50000</v>
      </c>
    </row>
    <row r="29" spans="1:7" ht="28.8" x14ac:dyDescent="0.55000000000000004">
      <c r="A29" s="12"/>
      <c r="B29" s="13"/>
      <c r="C29" s="10"/>
      <c r="D29" s="10"/>
      <c r="E29" s="7">
        <f>+$I$2+(KOUAME[[#This Row],[QUANTITE]]*KOUAME[[#This Row],[PRIX UNITAIRE]])</f>
        <v>0</v>
      </c>
      <c r="F29" s="14"/>
      <c r="G29" s="6">
        <f>+SUM(E$9:$E29)-SUM(F$9:$F29)</f>
        <v>50000</v>
      </c>
    </row>
    <row r="30" spans="1:7" ht="28.8" x14ac:dyDescent="0.55000000000000004">
      <c r="A30" s="12"/>
      <c r="B30" s="13"/>
      <c r="C30" s="10"/>
      <c r="D30" s="10"/>
      <c r="E30" s="7">
        <f>+$I$2+(KOUAME[[#This Row],[QUANTITE]]*KOUAME[[#This Row],[PRIX UNITAIRE]])</f>
        <v>0</v>
      </c>
      <c r="F30" s="14"/>
      <c r="G30" s="6">
        <f>+SUM(E$9:$E30)-SUM(F$9:$F30)</f>
        <v>50000</v>
      </c>
    </row>
    <row r="31" spans="1:7" ht="28.8" x14ac:dyDescent="0.55000000000000004">
      <c r="A31" s="12"/>
      <c r="B31" s="13"/>
      <c r="C31" s="10"/>
      <c r="D31" s="10"/>
      <c r="E31" s="7">
        <f>+$I$2+(KOUAME[[#This Row],[QUANTITE]]*KOUAME[[#This Row],[PRIX UNITAIRE]])</f>
        <v>0</v>
      </c>
      <c r="F31" s="14"/>
      <c r="G31" s="6">
        <f>+SUM(E$9:$E31)-SUM(F$9:$F31)</f>
        <v>50000</v>
      </c>
    </row>
    <row r="32" spans="1:7" ht="28.8" x14ac:dyDescent="0.55000000000000004">
      <c r="A32" s="12"/>
      <c r="B32" s="13"/>
      <c r="C32" s="10"/>
      <c r="D32" s="10"/>
      <c r="E32" s="7">
        <f>+$I$2+(KOUAME[[#This Row],[QUANTITE]]*KOUAME[[#This Row],[PRIX UNITAIRE]])</f>
        <v>0</v>
      </c>
      <c r="F32" s="14"/>
      <c r="G32" s="6">
        <f>+SUM(E$9:$E32)-SUM(F$9:$F32)</f>
        <v>50000</v>
      </c>
    </row>
    <row r="33" spans="1:7" ht="28.8" x14ac:dyDescent="0.55000000000000004">
      <c r="A33" s="12"/>
      <c r="B33" s="13"/>
      <c r="C33" s="10"/>
      <c r="D33" s="10"/>
      <c r="E33" s="7">
        <f>+$I$2+(KOUAME[[#This Row],[QUANTITE]]*KOUAME[[#This Row],[PRIX UNITAIRE]])</f>
        <v>0</v>
      </c>
      <c r="F33" s="14"/>
      <c r="G33" s="6">
        <f>+SUM(E$9:$E33)-SUM(F$9:$F33)</f>
        <v>50000</v>
      </c>
    </row>
    <row r="34" spans="1:7" ht="28.8" x14ac:dyDescent="0.55000000000000004">
      <c r="A34" s="12"/>
      <c r="B34" s="13"/>
      <c r="C34" s="10"/>
      <c r="D34" s="10"/>
      <c r="E34" s="7">
        <f>+$I$2+(KOUAME[[#This Row],[QUANTITE]]*KOUAME[[#This Row],[PRIX UNITAIRE]])</f>
        <v>0</v>
      </c>
      <c r="F34" s="14"/>
      <c r="G34" s="6">
        <f>+SUM(E$9:$E34)-SUM(F$9:$F34)</f>
        <v>50000</v>
      </c>
    </row>
    <row r="35" spans="1:7" ht="28.8" x14ac:dyDescent="0.55000000000000004">
      <c r="A35" s="12"/>
      <c r="B35" s="13"/>
      <c r="C35" s="10"/>
      <c r="D35" s="10"/>
      <c r="E35" s="7">
        <f>+$I$2+(KOUAME[[#This Row],[QUANTITE]]*KOUAME[[#This Row],[PRIX UNITAIRE]])</f>
        <v>0</v>
      </c>
      <c r="F35" s="14"/>
      <c r="G35" s="6">
        <f>+SUM(E$9:$E35)-SUM(F$9:$F35)</f>
        <v>50000</v>
      </c>
    </row>
    <row r="36" spans="1:7" ht="28.8" x14ac:dyDescent="0.55000000000000004">
      <c r="A36" s="12"/>
      <c r="B36" s="13"/>
      <c r="C36" s="10"/>
      <c r="D36" s="10"/>
      <c r="E36" s="7">
        <f>+$I$2+(KOUAME[[#This Row],[QUANTITE]]*KOUAME[[#This Row],[PRIX UNITAIRE]])</f>
        <v>0</v>
      </c>
      <c r="F36" s="14"/>
      <c r="G36" s="6">
        <f>+SUM(E$9:$E36)-SUM(F$9:$F36)</f>
        <v>50000</v>
      </c>
    </row>
    <row r="37" spans="1:7" ht="28.8" x14ac:dyDescent="0.55000000000000004">
      <c r="A37" s="12"/>
      <c r="B37" s="13"/>
      <c r="C37" s="10"/>
      <c r="D37" s="10"/>
      <c r="E37" s="7">
        <f>+$I$2+(KOUAME[[#This Row],[QUANTITE]]*KOUAME[[#This Row],[PRIX UNITAIRE]])</f>
        <v>0</v>
      </c>
      <c r="F37" s="14"/>
      <c r="G37" s="6">
        <f>+SUM(E$9:$E37)-SUM(F$9:$F37)</f>
        <v>50000</v>
      </c>
    </row>
    <row r="38" spans="1:7" ht="28.8" x14ac:dyDescent="0.55000000000000004">
      <c r="A38" s="12"/>
      <c r="B38" s="13"/>
      <c r="C38" s="10"/>
      <c r="D38" s="10"/>
      <c r="E38" s="7">
        <f>+$I$2+(KOUAME[[#This Row],[QUANTITE]]*KOUAME[[#This Row],[PRIX UNITAIRE]])</f>
        <v>0</v>
      </c>
      <c r="F38" s="14"/>
      <c r="G38" s="6">
        <f>+SUM(E$9:$E38)-SUM(F$9:$F38)</f>
        <v>50000</v>
      </c>
    </row>
    <row r="39" spans="1:7" ht="28.8" x14ac:dyDescent="0.55000000000000004">
      <c r="A39" s="12"/>
      <c r="B39" s="13"/>
      <c r="C39" s="10"/>
      <c r="D39" s="10"/>
      <c r="E39" s="7">
        <f>+$I$2+(KOUAME[[#This Row],[QUANTITE]]*KOUAME[[#This Row],[PRIX UNITAIRE]])</f>
        <v>0</v>
      </c>
      <c r="F39" s="14"/>
      <c r="G39" s="6">
        <f>+SUM(E$9:$E39)-SUM(F$9:$F39)</f>
        <v>50000</v>
      </c>
    </row>
    <row r="40" spans="1:7" ht="28.8" x14ac:dyDescent="0.55000000000000004">
      <c r="A40" s="12"/>
      <c r="B40" s="13"/>
      <c r="C40" s="10"/>
      <c r="D40" s="10"/>
      <c r="E40" s="7">
        <f>+$I$2+(KOUAME[[#This Row],[QUANTITE]]*KOUAME[[#This Row],[PRIX UNITAIRE]])</f>
        <v>0</v>
      </c>
      <c r="F40" s="14"/>
      <c r="G40" s="6">
        <f>+SUM(E$9:$E40)-SUM(F$9:$F40)</f>
        <v>50000</v>
      </c>
    </row>
    <row r="41" spans="1:7" ht="28.8" x14ac:dyDescent="0.55000000000000004">
      <c r="A41" s="12"/>
      <c r="B41" s="13"/>
      <c r="C41" s="10"/>
      <c r="D41" s="10"/>
      <c r="E41" s="7">
        <f>+$I$2+(KOUAME[[#This Row],[QUANTITE]]*KOUAME[[#This Row],[PRIX UNITAIRE]])</f>
        <v>0</v>
      </c>
      <c r="F41" s="14"/>
      <c r="G41" s="6">
        <f>+SUM(E$9:$E41)-SUM(F$9:$F41)</f>
        <v>50000</v>
      </c>
    </row>
    <row r="42" spans="1:7" ht="28.8" x14ac:dyDescent="0.55000000000000004">
      <c r="A42" s="12"/>
      <c r="B42" s="13"/>
      <c r="C42" s="10"/>
      <c r="D42" s="10"/>
      <c r="E42" s="7">
        <f>+$I$2+(KOUAME[[#This Row],[QUANTITE]]*KOUAME[[#This Row],[PRIX UNITAIRE]])</f>
        <v>0</v>
      </c>
      <c r="F42" s="14"/>
      <c r="G42" s="6">
        <f>+SUM(E$9:$E42)-SUM(F$9:$F42)</f>
        <v>50000</v>
      </c>
    </row>
    <row r="43" spans="1:7" ht="28.8" x14ac:dyDescent="0.55000000000000004">
      <c r="A43" s="12"/>
      <c r="B43" s="13"/>
      <c r="C43" s="10"/>
      <c r="D43" s="10"/>
      <c r="E43" s="7">
        <f>+$I$2+(KOUAME[[#This Row],[QUANTITE]]*KOUAME[[#This Row],[PRIX UNITAIRE]])</f>
        <v>0</v>
      </c>
      <c r="F43" s="14"/>
      <c r="G43" s="6">
        <f>+SUM(E$9:$E43)-SUM(F$9:$F43)</f>
        <v>50000</v>
      </c>
    </row>
    <row r="44" spans="1:7" ht="28.8" x14ac:dyDescent="0.55000000000000004">
      <c r="A44" s="12"/>
      <c r="B44" s="13"/>
      <c r="C44" s="10"/>
      <c r="D44" s="10"/>
      <c r="E44" s="7">
        <f>+$I$2+(KOUAME[[#This Row],[QUANTITE]]*KOUAME[[#This Row],[PRIX UNITAIRE]])</f>
        <v>0</v>
      </c>
      <c r="F44" s="14"/>
      <c r="G44" s="6">
        <f>+SUM(E$9:$E44)-SUM(F$9:$F44)</f>
        <v>50000</v>
      </c>
    </row>
    <row r="45" spans="1:7" ht="28.8" x14ac:dyDescent="0.55000000000000004">
      <c r="A45" s="12"/>
      <c r="B45" s="13"/>
      <c r="C45" s="10"/>
      <c r="D45" s="10"/>
      <c r="E45" s="7">
        <f>+$I$2+(KOUAME[[#This Row],[QUANTITE]]*KOUAME[[#This Row],[PRIX UNITAIRE]])</f>
        <v>0</v>
      </c>
      <c r="F45" s="14"/>
      <c r="G45" s="6">
        <f>+SUM(E$9:$E45)-SUM(F$9:$F45)</f>
        <v>50000</v>
      </c>
    </row>
    <row r="46" spans="1:7" ht="28.8" x14ac:dyDescent="0.55000000000000004">
      <c r="A46" s="12"/>
      <c r="B46" s="13"/>
      <c r="C46" s="10"/>
      <c r="D46" s="10"/>
      <c r="E46" s="7">
        <f>+$I$2+(KOUAME[[#This Row],[QUANTITE]]*KOUAME[[#This Row],[PRIX UNITAIRE]])</f>
        <v>0</v>
      </c>
      <c r="F46" s="14"/>
      <c r="G46" s="6">
        <f>+SUM(E$9:$E46)-SUM(F$9:$F46)</f>
        <v>50000</v>
      </c>
    </row>
    <row r="47" spans="1:7" ht="28.8" x14ac:dyDescent="0.55000000000000004">
      <c r="A47" s="12"/>
      <c r="B47" s="13"/>
      <c r="C47" s="10"/>
      <c r="D47" s="10"/>
      <c r="E47" s="7">
        <f>+$I$2+(KOUAME[[#This Row],[QUANTITE]]*KOUAME[[#This Row],[PRIX UNITAIRE]])</f>
        <v>0</v>
      </c>
      <c r="F47" s="14"/>
      <c r="G47" s="6">
        <f>+SUM(E$9:$E47)-SUM(F$9:$F47)</f>
        <v>50000</v>
      </c>
    </row>
    <row r="48" spans="1:7" ht="28.8" x14ac:dyDescent="0.55000000000000004">
      <c r="A48" s="12"/>
      <c r="B48" s="13"/>
      <c r="C48" s="10"/>
      <c r="D48" s="10"/>
      <c r="E48" s="7">
        <f>+$I$2+(KOUAME[[#This Row],[QUANTITE]]*KOUAME[[#This Row],[PRIX UNITAIRE]])</f>
        <v>0</v>
      </c>
      <c r="F48" s="14"/>
      <c r="G48" s="6">
        <f>+SUM(E$9:$E48)-SUM(F$9:$F48)</f>
        <v>50000</v>
      </c>
    </row>
    <row r="49" spans="1:7" ht="28.8" x14ac:dyDescent="0.55000000000000004">
      <c r="A49" s="12"/>
      <c r="B49" s="13"/>
      <c r="C49" s="10"/>
      <c r="D49" s="10"/>
      <c r="E49" s="7">
        <f>+$I$2+(KOUAME[[#This Row],[QUANTITE]]*KOUAME[[#This Row],[PRIX UNITAIRE]])</f>
        <v>0</v>
      </c>
      <c r="F49" s="14"/>
      <c r="G49" s="6">
        <f>+SUM(E$9:$E49)-SUM(F$9:$F49)</f>
        <v>50000</v>
      </c>
    </row>
    <row r="50" spans="1:7" ht="28.8" x14ac:dyDescent="0.55000000000000004">
      <c r="A50" s="12"/>
      <c r="B50" s="13"/>
      <c r="C50" s="10"/>
      <c r="D50" s="10"/>
      <c r="E50" s="7">
        <f>+$I$2+(KOUAME[[#This Row],[QUANTITE]]*KOUAME[[#This Row],[PRIX UNITAIRE]])</f>
        <v>0</v>
      </c>
      <c r="F50" s="14"/>
      <c r="G50" s="6">
        <f>+SUM(E$9:$E50)-SUM(F$9:$F50)</f>
        <v>50000</v>
      </c>
    </row>
    <row r="51" spans="1:7" ht="28.8" x14ac:dyDescent="0.55000000000000004">
      <c r="A51" s="12"/>
      <c r="B51" s="13"/>
      <c r="C51" s="10"/>
      <c r="D51" s="10"/>
      <c r="E51" s="7">
        <f>+$I$2+(KOUAME[[#This Row],[QUANTITE]]*KOUAME[[#This Row],[PRIX UNITAIRE]])</f>
        <v>0</v>
      </c>
      <c r="F51" s="14"/>
      <c r="G51" s="6">
        <f>+SUM(E$9:$E51)-SUM(F$9:$F51)</f>
        <v>50000</v>
      </c>
    </row>
    <row r="52" spans="1:7" ht="28.8" x14ac:dyDescent="0.55000000000000004">
      <c r="A52" s="12"/>
      <c r="B52" s="13"/>
      <c r="C52" s="10"/>
      <c r="D52" s="10"/>
      <c r="E52" s="7">
        <f>+$I$2+(KOUAME[[#This Row],[QUANTITE]]*KOUAME[[#This Row],[PRIX UNITAIRE]])</f>
        <v>0</v>
      </c>
      <c r="F52" s="14"/>
      <c r="G52" s="6">
        <f>+SUM(E$9:$E52)-SUM(F$9:$F52)</f>
        <v>50000</v>
      </c>
    </row>
    <row r="53" spans="1:7" ht="28.8" x14ac:dyDescent="0.55000000000000004">
      <c r="A53" s="12"/>
      <c r="B53" s="13"/>
      <c r="C53" s="10"/>
      <c r="D53" s="10"/>
      <c r="E53" s="7">
        <f>+$I$2+(KOUAME[[#This Row],[QUANTITE]]*KOUAME[[#This Row],[PRIX UNITAIRE]])</f>
        <v>0</v>
      </c>
      <c r="F53" s="14"/>
      <c r="G53" s="6">
        <f>+SUM(E$9:$E53)-SUM(F$9:$F53)</f>
        <v>50000</v>
      </c>
    </row>
    <row r="54" spans="1:7" ht="28.8" x14ac:dyDescent="0.55000000000000004">
      <c r="A54" s="12"/>
      <c r="B54" s="13"/>
      <c r="C54" s="10"/>
      <c r="D54" s="10"/>
      <c r="E54" s="7">
        <f>+$I$2+(KOUAME[[#This Row],[QUANTITE]]*KOUAME[[#This Row],[PRIX UNITAIRE]])</f>
        <v>0</v>
      </c>
      <c r="F54" s="14"/>
      <c r="G54" s="6">
        <f>+SUM(E$9:$E54)-SUM(F$9:$F54)</f>
        <v>50000</v>
      </c>
    </row>
    <row r="55" spans="1:7" ht="28.8" x14ac:dyDescent="0.55000000000000004">
      <c r="A55" s="12"/>
      <c r="B55" s="13"/>
      <c r="C55" s="10"/>
      <c r="D55" s="10"/>
      <c r="E55" s="7">
        <f>+$I$2+(KOUAME[[#This Row],[QUANTITE]]*KOUAME[[#This Row],[PRIX UNITAIRE]])</f>
        <v>0</v>
      </c>
      <c r="F55" s="14"/>
      <c r="G55" s="6">
        <f>+SUM(E$9:$E55)-SUM(F$9:$F55)</f>
        <v>50000</v>
      </c>
    </row>
    <row r="56" spans="1:7" ht="28.8" x14ac:dyDescent="0.55000000000000004">
      <c r="A56" s="12"/>
      <c r="B56" s="13"/>
      <c r="C56" s="10"/>
      <c r="D56" s="10"/>
      <c r="E56" s="7">
        <f>+$I$2+(KOUAME[[#This Row],[QUANTITE]]*KOUAME[[#This Row],[PRIX UNITAIRE]])</f>
        <v>0</v>
      </c>
      <c r="F56" s="14"/>
      <c r="G56" s="6">
        <f>+SUM(E$9:$E56)-SUM(F$9:$F56)</f>
        <v>50000</v>
      </c>
    </row>
    <row r="57" spans="1:7" ht="28.8" x14ac:dyDescent="0.55000000000000004">
      <c r="A57" s="12"/>
      <c r="B57" s="13"/>
      <c r="C57" s="10"/>
      <c r="D57" s="10"/>
      <c r="E57" s="7">
        <f>+$I$2+(KOUAME[[#This Row],[QUANTITE]]*KOUAME[[#This Row],[PRIX UNITAIRE]])</f>
        <v>0</v>
      </c>
      <c r="F57" s="14"/>
      <c r="G57" s="6">
        <f>+SUM(E$9:$E57)-SUM(F$9:$F57)</f>
        <v>50000</v>
      </c>
    </row>
    <row r="58" spans="1:7" ht="28.8" x14ac:dyDescent="0.55000000000000004">
      <c r="A58" s="12"/>
      <c r="B58" s="13"/>
      <c r="C58" s="10"/>
      <c r="D58" s="10"/>
      <c r="E58" s="7">
        <f>+$I$2+(KOUAME[[#This Row],[QUANTITE]]*KOUAME[[#This Row],[PRIX UNITAIRE]])</f>
        <v>0</v>
      </c>
      <c r="F58" s="14"/>
      <c r="G58" s="6">
        <f>+SUM(E$9:$E58)-SUM(F$9:$F58)</f>
        <v>50000</v>
      </c>
    </row>
    <row r="59" spans="1:7" ht="28.8" x14ac:dyDescent="0.55000000000000004">
      <c r="A59" s="12"/>
      <c r="B59" s="13"/>
      <c r="C59" s="10"/>
      <c r="D59" s="10"/>
      <c r="E59" s="7">
        <f>+$I$2+(KOUAME[[#This Row],[QUANTITE]]*KOUAME[[#This Row],[PRIX UNITAIRE]])</f>
        <v>0</v>
      </c>
      <c r="F59" s="14"/>
      <c r="G59" s="6">
        <f>+SUM(E$9:$E59)-SUM(F$9:$F59)</f>
        <v>50000</v>
      </c>
    </row>
    <row r="60" spans="1:7" ht="28.8" x14ac:dyDescent="0.55000000000000004">
      <c r="A60" s="12"/>
      <c r="B60" s="13"/>
      <c r="C60" s="10"/>
      <c r="D60" s="10"/>
      <c r="E60" s="7">
        <f>+$I$2+(KOUAME[[#This Row],[QUANTITE]]*KOUAME[[#This Row],[PRIX UNITAIRE]])</f>
        <v>0</v>
      </c>
      <c r="F60" s="14"/>
      <c r="G60" s="6">
        <f>+SUM(E$9:$E60)-SUM(F$9:$F60)</f>
        <v>50000</v>
      </c>
    </row>
    <row r="61" spans="1:7" ht="28.8" x14ac:dyDescent="0.55000000000000004">
      <c r="A61" s="12"/>
      <c r="B61" s="13"/>
      <c r="C61" s="10"/>
      <c r="D61" s="10"/>
      <c r="E61" s="7">
        <f>+$I$2+(KOUAME[[#This Row],[QUANTITE]]*KOUAME[[#This Row],[PRIX UNITAIRE]])</f>
        <v>0</v>
      </c>
      <c r="F61" s="14"/>
      <c r="G61" s="6">
        <f>+SUM(E$9:$E61)-SUM(F$9:$F61)</f>
        <v>50000</v>
      </c>
    </row>
    <row r="62" spans="1:7" ht="28.8" x14ac:dyDescent="0.55000000000000004">
      <c r="A62" s="12"/>
      <c r="B62" s="13"/>
      <c r="C62" s="10"/>
      <c r="D62" s="10"/>
      <c r="E62" s="7">
        <f>+$I$2+(KOUAME[[#This Row],[QUANTITE]]*KOUAME[[#This Row],[PRIX UNITAIRE]])</f>
        <v>0</v>
      </c>
      <c r="F62" s="14"/>
      <c r="G62" s="6">
        <f>+SUM(E$9:$E62)-SUM(F$9:$F62)</f>
        <v>50000</v>
      </c>
    </row>
    <row r="63" spans="1:7" ht="28.8" x14ac:dyDescent="0.55000000000000004">
      <c r="A63" s="12"/>
      <c r="B63" s="13"/>
      <c r="C63" s="10"/>
      <c r="D63" s="10"/>
      <c r="E63" s="7">
        <f>+$I$2+(KOUAME[[#This Row],[QUANTITE]]*KOUAME[[#This Row],[PRIX UNITAIRE]])</f>
        <v>0</v>
      </c>
      <c r="F63" s="14"/>
      <c r="G63" s="6">
        <f>+SUM(E$9:$E63)-SUM(F$9:$F63)</f>
        <v>50000</v>
      </c>
    </row>
    <row r="64" spans="1:7" ht="28.8" x14ac:dyDescent="0.55000000000000004">
      <c r="A64" s="12"/>
      <c r="B64" s="13"/>
      <c r="C64" s="10"/>
      <c r="D64" s="10"/>
      <c r="E64" s="7">
        <f>+$I$2+(KOUAME[[#This Row],[QUANTITE]]*KOUAME[[#This Row],[PRIX UNITAIRE]])</f>
        <v>0</v>
      </c>
      <c r="F64" s="14"/>
      <c r="G64" s="6">
        <f>+SUM(E$9:$E64)-SUM(F$9:$F64)</f>
        <v>50000</v>
      </c>
    </row>
    <row r="65" spans="1:7" ht="28.8" x14ac:dyDescent="0.55000000000000004">
      <c r="A65" s="12"/>
      <c r="B65" s="13"/>
      <c r="C65" s="10"/>
      <c r="D65" s="10"/>
      <c r="E65" s="7">
        <f>+$I$2+(KOUAME[[#This Row],[QUANTITE]]*KOUAME[[#This Row],[PRIX UNITAIRE]])</f>
        <v>0</v>
      </c>
      <c r="F65" s="14"/>
      <c r="G65" s="6">
        <f>+SUM(E$9:$E65)-SUM(F$9:$F65)</f>
        <v>50000</v>
      </c>
    </row>
    <row r="66" spans="1:7" ht="28.8" x14ac:dyDescent="0.55000000000000004">
      <c r="A66" s="12"/>
      <c r="B66" s="13"/>
      <c r="C66" s="10"/>
      <c r="D66" s="10"/>
      <c r="E66" s="7">
        <f>+$I$2+(KOUAME[[#This Row],[QUANTITE]]*KOUAME[[#This Row],[PRIX UNITAIRE]])</f>
        <v>0</v>
      </c>
      <c r="F66" s="14"/>
      <c r="G66" s="6">
        <f>+SUM(E$9:$E66)-SUM(F$9:$F66)</f>
        <v>50000</v>
      </c>
    </row>
    <row r="67" spans="1:7" ht="28.8" x14ac:dyDescent="0.55000000000000004">
      <c r="A67" s="12"/>
      <c r="B67" s="13"/>
      <c r="C67" s="10"/>
      <c r="D67" s="10"/>
      <c r="E67" s="7">
        <f>+$I$2+(KOUAME[[#This Row],[QUANTITE]]*KOUAME[[#This Row],[PRIX UNITAIRE]])</f>
        <v>0</v>
      </c>
      <c r="F67" s="14"/>
      <c r="G67" s="6">
        <f>+SUM(E$9:$E67)-SUM(F$9:$F67)</f>
        <v>50000</v>
      </c>
    </row>
    <row r="68" spans="1:7" ht="28.8" x14ac:dyDescent="0.55000000000000004">
      <c r="A68" s="12"/>
      <c r="B68" s="13"/>
      <c r="C68" s="10"/>
      <c r="D68" s="10"/>
      <c r="E68" s="7">
        <f>+$I$2+(KOUAME[[#This Row],[QUANTITE]]*KOUAME[[#This Row],[PRIX UNITAIRE]])</f>
        <v>0</v>
      </c>
      <c r="F68" s="14"/>
      <c r="G68" s="6">
        <f>+SUM(E$9:$E68)-SUM(F$9:$F68)</f>
        <v>50000</v>
      </c>
    </row>
    <row r="69" spans="1:7" ht="28.8" x14ac:dyDescent="0.55000000000000004">
      <c r="A69" s="12"/>
      <c r="B69" s="13"/>
      <c r="C69" s="10"/>
      <c r="D69" s="10"/>
      <c r="E69" s="7">
        <f>+$I$2+(KOUAME[[#This Row],[QUANTITE]]*KOUAME[[#This Row],[PRIX UNITAIRE]])</f>
        <v>0</v>
      </c>
      <c r="F69" s="14"/>
      <c r="G69" s="6">
        <f>+SUM(E$9:$E69)-SUM(F$9:$F69)</f>
        <v>50000</v>
      </c>
    </row>
    <row r="70" spans="1:7" ht="28.8" x14ac:dyDescent="0.55000000000000004">
      <c r="A70" s="12"/>
      <c r="B70" s="13"/>
      <c r="C70" s="10"/>
      <c r="D70" s="10"/>
      <c r="E70" s="7">
        <f>+$I$2+(KOUAME[[#This Row],[QUANTITE]]*KOUAME[[#This Row],[PRIX UNITAIRE]])</f>
        <v>0</v>
      </c>
      <c r="F70" s="14"/>
      <c r="G70" s="6">
        <f>+SUM(E$9:$E70)-SUM(F$9:$F70)</f>
        <v>50000</v>
      </c>
    </row>
    <row r="71" spans="1:7" ht="28.8" x14ac:dyDescent="0.55000000000000004">
      <c r="A71" s="12"/>
      <c r="B71" s="13"/>
      <c r="C71" s="10"/>
      <c r="D71" s="10"/>
      <c r="E71" s="7">
        <f>+$I$2+(KOUAME[[#This Row],[QUANTITE]]*KOUAME[[#This Row],[PRIX UNITAIRE]])</f>
        <v>0</v>
      </c>
      <c r="F71" s="14"/>
      <c r="G71" s="6">
        <f>+SUM(E$9:$E71)-SUM(F$9:$F71)</f>
        <v>50000</v>
      </c>
    </row>
    <row r="72" spans="1:7" ht="28.8" x14ac:dyDescent="0.55000000000000004">
      <c r="A72" s="12"/>
      <c r="B72" s="13"/>
      <c r="C72" s="10"/>
      <c r="D72" s="10"/>
      <c r="E72" s="7">
        <f>+$I$2+(KOUAME[[#This Row],[QUANTITE]]*KOUAME[[#This Row],[PRIX UNITAIRE]])</f>
        <v>0</v>
      </c>
      <c r="F72" s="14"/>
      <c r="G72" s="6">
        <f>+SUM(E$9:$E72)-SUM(F$9:$F72)</f>
        <v>50000</v>
      </c>
    </row>
  </sheetData>
  <sheetProtection selectLockedCells="1" autoFilter="0"/>
  <mergeCells count="1">
    <mergeCell ref="B6:C6"/>
  </mergeCells>
  <conditionalFormatting sqref="G4">
    <cfRule type="cellIs" dxfId="442" priority="2" operator="lessThan">
      <formula>0</formula>
    </cfRule>
    <cfRule type="cellIs" dxfId="441" priority="3" operator="greaterThan">
      <formula>0</formula>
    </cfRule>
  </conditionalFormatting>
  <conditionalFormatting sqref="B9:B72">
    <cfRule type="expression" dxfId="440" priority="5">
      <formula>$F9</formula>
    </cfRule>
  </conditionalFormatting>
  <dataValidations count="1">
    <dataValidation type="date" operator="greaterThan" allowBlank="1" showInputMessage="1" showErrorMessage="1" error="VEILLEZ ENTRER UNE DATE VALIDE" sqref="A9:A7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I153"/>
  <sheetViews>
    <sheetView showGridLines="0" zoomScale="60" zoomScaleNormal="60" workbookViewId="0">
      <pane ySplit="8" topLeftCell="A115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4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8"/>
      <c r="D1" s="128"/>
      <c r="E1" s="128"/>
      <c r="F1" s="128"/>
      <c r="G1" s="128"/>
    </row>
    <row r="2" spans="1:9" ht="36" customHeight="1" thickBot="1" x14ac:dyDescent="0.35">
      <c r="A2" s="127"/>
      <c r="B2" s="128"/>
      <c r="C2" s="128"/>
      <c r="D2" s="128"/>
      <c r="E2" s="128"/>
      <c r="F2" s="128"/>
      <c r="G2" s="128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+SUM(ALIJONA[TOTAL MONTANT])</f>
        <v>24362501</v>
      </c>
      <c r="F4" s="41">
        <f>+SUM(ALIJONA[VERSEMENT])</f>
        <v>23200079</v>
      </c>
      <c r="G4" s="130">
        <f>+E4-F4</f>
        <v>1162422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533</v>
      </c>
      <c r="C6" s="169"/>
      <c r="D6" s="132"/>
      <c r="E6" s="132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44564</v>
      </c>
      <c r="B9" s="13" t="s">
        <v>6</v>
      </c>
      <c r="C9" s="10">
        <v>1</v>
      </c>
      <c r="D9" s="10">
        <v>3250000</v>
      </c>
      <c r="E9" s="7">
        <f>+$I$2+(ALIJONA[[#This Row],[QUANTITE]]*ALIJONA[[#This Row],[PRIX UNITAIRE]])</f>
        <v>3250000</v>
      </c>
      <c r="F9" s="156">
        <v>0</v>
      </c>
      <c r="G9" s="6">
        <f>+SUM(E$9:$E9)-SUM(F$9:$F9)</f>
        <v>3250000</v>
      </c>
    </row>
    <row r="10" spans="1:9" ht="28.8" x14ac:dyDescent="0.55000000000000004">
      <c r="A10" s="12">
        <v>44943</v>
      </c>
      <c r="B10" s="13" t="s">
        <v>541</v>
      </c>
      <c r="C10" s="10">
        <v>4</v>
      </c>
      <c r="D10" s="10">
        <v>150000</v>
      </c>
      <c r="E10" s="7">
        <f>+$I$2+(ALIJONA[[#This Row],[QUANTITE]]*ALIJONA[[#This Row],[PRIX UNITAIRE]])</f>
        <v>600000</v>
      </c>
      <c r="F10" s="154">
        <v>0</v>
      </c>
      <c r="G10" s="6">
        <f>+SUM(E$9:$E10)-SUM(F$9:$F10)</f>
        <v>3850000</v>
      </c>
    </row>
    <row r="11" spans="1:9" ht="28.8" x14ac:dyDescent="0.55000000000000004">
      <c r="A11" s="12">
        <v>44958</v>
      </c>
      <c r="B11" s="13" t="s">
        <v>542</v>
      </c>
      <c r="C11" s="10">
        <v>4</v>
      </c>
      <c r="D11" s="10">
        <v>125000</v>
      </c>
      <c r="E11" s="7">
        <f>+$I$2+(ALIJONA[[#This Row],[QUANTITE]]*ALIJONA[[#This Row],[PRIX UNITAIRE]])</f>
        <v>500000</v>
      </c>
      <c r="F11" s="157">
        <v>0</v>
      </c>
      <c r="G11" s="6">
        <f>+SUM(E$9:$E11)-SUM(F$9:$F11)</f>
        <v>4350000</v>
      </c>
    </row>
    <row r="12" spans="1:9" ht="28.8" x14ac:dyDescent="0.55000000000000004">
      <c r="A12" s="12">
        <v>44966</v>
      </c>
      <c r="B12" s="13" t="s">
        <v>543</v>
      </c>
      <c r="C12" s="10">
        <v>2</v>
      </c>
      <c r="D12" s="10">
        <v>25000</v>
      </c>
      <c r="E12" s="7">
        <f>+$I$2+(ALIJONA[[#This Row],[QUANTITE]]*ALIJONA[[#This Row],[PRIX UNITAIRE]])</f>
        <v>50000</v>
      </c>
      <c r="F12" s="157">
        <v>0</v>
      </c>
      <c r="G12" s="6">
        <f>+SUM(E$9:$E12)-SUM(F$9:$F12)</f>
        <v>4400000</v>
      </c>
    </row>
    <row r="13" spans="1:9" ht="28.8" x14ac:dyDescent="0.55000000000000004">
      <c r="A13" s="12"/>
      <c r="B13" s="13" t="s">
        <v>544</v>
      </c>
      <c r="C13" s="10">
        <v>1</v>
      </c>
      <c r="D13" s="10">
        <v>5000</v>
      </c>
      <c r="E13" s="7">
        <f>+$I$2+(ALIJONA[[#This Row],[QUANTITE]]*ALIJONA[[#This Row],[PRIX UNITAIRE]])</f>
        <v>5000</v>
      </c>
      <c r="F13" s="157">
        <v>0</v>
      </c>
      <c r="G13" s="6">
        <f>+SUM(E$9:$E13)-SUM(F$9:$F13)</f>
        <v>4405000</v>
      </c>
    </row>
    <row r="14" spans="1:9" ht="28.8" x14ac:dyDescent="0.55000000000000004">
      <c r="A14" s="12">
        <v>44975</v>
      </c>
      <c r="B14" s="13" t="s">
        <v>545</v>
      </c>
      <c r="C14" s="10">
        <v>4</v>
      </c>
      <c r="D14" s="10">
        <v>125000</v>
      </c>
      <c r="E14" s="7">
        <f>+$I$2+(ALIJONA[[#This Row],[QUANTITE]]*ALIJONA[[#This Row],[PRIX UNITAIRE]])</f>
        <v>500000</v>
      </c>
      <c r="F14" s="157">
        <v>0</v>
      </c>
      <c r="G14" s="6">
        <f>+SUM(E$9:$E14)-SUM(F$9:$F14)</f>
        <v>4905000</v>
      </c>
    </row>
    <row r="15" spans="1:9" ht="28.8" x14ac:dyDescent="0.55000000000000004">
      <c r="A15" s="12">
        <v>44999</v>
      </c>
      <c r="B15" s="13" t="s">
        <v>542</v>
      </c>
      <c r="C15" s="10">
        <v>4</v>
      </c>
      <c r="D15" s="10">
        <v>65000</v>
      </c>
      <c r="E15" s="7">
        <f>+$I$2+(ALIJONA[[#This Row],[QUANTITE]]*ALIJONA[[#This Row],[PRIX UNITAIRE]])</f>
        <v>260000</v>
      </c>
      <c r="F15" s="157">
        <v>0</v>
      </c>
      <c r="G15" s="6">
        <f>+SUM(E$9:$E15)-SUM(F$9:$F15)</f>
        <v>5165000</v>
      </c>
    </row>
    <row r="16" spans="1:9" ht="28.8" x14ac:dyDescent="0.55000000000000004">
      <c r="A16" s="12">
        <v>45001</v>
      </c>
      <c r="B16" s="13" t="s">
        <v>546</v>
      </c>
      <c r="C16" s="10">
        <v>1</v>
      </c>
      <c r="D16" s="10">
        <v>45000</v>
      </c>
      <c r="E16" s="7">
        <f>+$I$2+(ALIJONA[[#This Row],[QUANTITE]]*ALIJONA[[#This Row],[PRIX UNITAIRE]])</f>
        <v>45000</v>
      </c>
      <c r="F16" s="157">
        <v>0</v>
      </c>
      <c r="G16" s="6">
        <f>+SUM(E$9:$E16)-SUM(F$9:$F16)</f>
        <v>5210000</v>
      </c>
    </row>
    <row r="17" spans="1:7" ht="28.8" x14ac:dyDescent="0.55000000000000004">
      <c r="A17" s="12">
        <v>45012</v>
      </c>
      <c r="B17" s="13" t="s">
        <v>541</v>
      </c>
      <c r="C17" s="10">
        <v>4</v>
      </c>
      <c r="D17" s="10">
        <v>150000</v>
      </c>
      <c r="E17" s="7">
        <f>+$I$2+(ALIJONA[[#This Row],[QUANTITE]]*ALIJONA[[#This Row],[PRIX UNITAIRE]])</f>
        <v>600000</v>
      </c>
      <c r="F17" s="157">
        <v>0</v>
      </c>
      <c r="G17" s="6">
        <f>+SUM(E$9:$E17)-SUM(F$9:$F17)</f>
        <v>5810000</v>
      </c>
    </row>
    <row r="18" spans="1:7" ht="28.8" x14ac:dyDescent="0.55000000000000004">
      <c r="A18" s="12">
        <v>45013</v>
      </c>
      <c r="B18" s="13" t="s">
        <v>547</v>
      </c>
      <c r="C18" s="10">
        <v>1</v>
      </c>
      <c r="D18" s="10">
        <v>0</v>
      </c>
      <c r="E18" s="7">
        <f>+$I$2+(ALIJONA[[#This Row],[QUANTITE]]*ALIJONA[[#This Row],[PRIX UNITAIRE]])</f>
        <v>0</v>
      </c>
      <c r="F18" s="157">
        <v>1000000</v>
      </c>
      <c r="G18" s="6">
        <f>+SUM(E$9:$E18)-SUM(F$9:$F18)</f>
        <v>4810000</v>
      </c>
    </row>
    <row r="19" spans="1:7" ht="28.8" x14ac:dyDescent="0.55000000000000004">
      <c r="A19" s="12">
        <v>45014</v>
      </c>
      <c r="B19" s="13" t="s">
        <v>548</v>
      </c>
      <c r="C19" s="10">
        <v>2</v>
      </c>
      <c r="D19" s="10">
        <v>65000</v>
      </c>
      <c r="E19" s="7">
        <f>+$I$2+(ALIJONA[[#This Row],[QUANTITE]]*ALIJONA[[#This Row],[PRIX UNITAIRE]])</f>
        <v>130000</v>
      </c>
      <c r="F19" s="157">
        <v>0</v>
      </c>
      <c r="G19" s="6">
        <f>+SUM(E$9:$E19)-SUM(F$9:$F19)</f>
        <v>4940000</v>
      </c>
    </row>
    <row r="20" spans="1:7" ht="28.8" x14ac:dyDescent="0.55000000000000004">
      <c r="A20" s="12">
        <v>45017</v>
      </c>
      <c r="B20" s="13" t="s">
        <v>549</v>
      </c>
      <c r="C20" s="10">
        <v>1</v>
      </c>
      <c r="D20" s="10">
        <v>90000</v>
      </c>
      <c r="E20" s="7">
        <f>+$I$2+(ALIJONA[[#This Row],[QUANTITE]]*ALIJONA[[#This Row],[PRIX UNITAIRE]])</f>
        <v>90000</v>
      </c>
      <c r="F20" s="157">
        <v>0</v>
      </c>
      <c r="G20" s="6">
        <f>+SUM(E$9:$E20)-SUM(F$9:$F20)</f>
        <v>5030000</v>
      </c>
    </row>
    <row r="21" spans="1:7" ht="28.8" x14ac:dyDescent="0.55000000000000004">
      <c r="A21" s="12">
        <v>45020</v>
      </c>
      <c r="B21" s="13" t="s">
        <v>550</v>
      </c>
      <c r="C21" s="10">
        <v>1</v>
      </c>
      <c r="D21" s="10">
        <v>0</v>
      </c>
      <c r="E21" s="7">
        <f>+$I$2+(ALIJONA[[#This Row],[QUANTITE]]*ALIJONA[[#This Row],[PRIX UNITAIRE]])</f>
        <v>0</v>
      </c>
      <c r="F21" s="157">
        <v>500000</v>
      </c>
      <c r="G21" s="6">
        <f>+SUM(E$9:$E21)-SUM(F$9:$F21)</f>
        <v>4530000</v>
      </c>
    </row>
    <row r="22" spans="1:7" ht="28.8" x14ac:dyDescent="0.55000000000000004">
      <c r="A22" s="12">
        <v>45027</v>
      </c>
      <c r="B22" s="13" t="s">
        <v>551</v>
      </c>
      <c r="C22" s="10">
        <v>2</v>
      </c>
      <c r="D22" s="10">
        <v>50000</v>
      </c>
      <c r="E22" s="7">
        <f>+$I$2+(ALIJONA[[#This Row],[QUANTITE]]*ALIJONA[[#This Row],[PRIX UNITAIRE]])</f>
        <v>100000</v>
      </c>
      <c r="F22" s="157">
        <v>0</v>
      </c>
      <c r="G22" s="6">
        <f>+SUM(E$9:$E22)-SUM(F$9:$F22)</f>
        <v>4630000</v>
      </c>
    </row>
    <row r="23" spans="1:7" ht="28.8" x14ac:dyDescent="0.55000000000000004">
      <c r="A23" s="12">
        <v>45057</v>
      </c>
      <c r="B23" s="13" t="s">
        <v>552</v>
      </c>
      <c r="C23" s="10">
        <v>2</v>
      </c>
      <c r="D23" s="10">
        <v>30000</v>
      </c>
      <c r="E23" s="7">
        <f>+$I$2+(ALIJONA[[#This Row],[QUANTITE]]*ALIJONA[[#This Row],[PRIX UNITAIRE]])</f>
        <v>60000</v>
      </c>
      <c r="F23" s="157">
        <v>0</v>
      </c>
      <c r="G23" s="6">
        <f>+SUM(E$9:$E23)-SUM(F$9:$F23)</f>
        <v>4690000</v>
      </c>
    </row>
    <row r="24" spans="1:7" ht="28.8" x14ac:dyDescent="0.55000000000000004">
      <c r="A24" s="12">
        <v>45069</v>
      </c>
      <c r="B24" s="13" t="s">
        <v>553</v>
      </c>
      <c r="C24" s="10">
        <v>4</v>
      </c>
      <c r="D24" s="10">
        <v>125000</v>
      </c>
      <c r="E24" s="7">
        <f>+$I$2+(ALIJONA[[#This Row],[QUANTITE]]*ALIJONA[[#This Row],[PRIX UNITAIRE]])</f>
        <v>500000</v>
      </c>
      <c r="F24" s="157">
        <v>0</v>
      </c>
      <c r="G24" s="6">
        <f>+SUM(E$9:$E24)-SUM(F$9:$F24)</f>
        <v>5190000</v>
      </c>
    </row>
    <row r="25" spans="1:7" ht="28.8" x14ac:dyDescent="0.55000000000000004">
      <c r="A25" s="12">
        <v>45069</v>
      </c>
      <c r="B25" s="13" t="s">
        <v>554</v>
      </c>
      <c r="C25" s="10">
        <v>4</v>
      </c>
      <c r="D25" s="10">
        <v>30000</v>
      </c>
      <c r="E25" s="7">
        <f>+$I$2+(ALIJONA[[#This Row],[QUANTITE]]*ALIJONA[[#This Row],[PRIX UNITAIRE]])</f>
        <v>120000</v>
      </c>
      <c r="F25" s="157">
        <v>0</v>
      </c>
      <c r="G25" s="6">
        <f>+SUM(E$9:$E25)-SUM(F$9:$F25)</f>
        <v>5310000</v>
      </c>
    </row>
    <row r="26" spans="1:7" ht="28.8" x14ac:dyDescent="0.55000000000000004">
      <c r="A26" s="12">
        <v>45076</v>
      </c>
      <c r="B26" s="13" t="s">
        <v>555</v>
      </c>
      <c r="C26" s="10">
        <v>4</v>
      </c>
      <c r="D26" s="10">
        <v>150000</v>
      </c>
      <c r="E26" s="7">
        <f>+$I$2+(ALIJONA[[#This Row],[QUANTITE]]*ALIJONA[[#This Row],[PRIX UNITAIRE]])</f>
        <v>600000</v>
      </c>
      <c r="F26" s="157">
        <v>0</v>
      </c>
      <c r="G26" s="6">
        <f>+SUM(E$9:$E26)-SUM(F$9:$F26)</f>
        <v>5910000</v>
      </c>
    </row>
    <row r="27" spans="1:7" ht="28.8" x14ac:dyDescent="0.55000000000000004">
      <c r="A27" s="12"/>
      <c r="B27" s="13" t="s">
        <v>541</v>
      </c>
      <c r="C27" s="10">
        <v>4</v>
      </c>
      <c r="D27" s="10">
        <v>150000</v>
      </c>
      <c r="E27" s="7">
        <f>+$I$2+(ALIJONA[[#This Row],[QUANTITE]]*ALIJONA[[#This Row],[PRIX UNITAIRE]])</f>
        <v>600000</v>
      </c>
      <c r="F27" s="157">
        <v>0</v>
      </c>
      <c r="G27" s="6">
        <f>+SUM(E$9:$E27)-SUM(F$9:$F27)</f>
        <v>6510000</v>
      </c>
    </row>
    <row r="28" spans="1:7" ht="28.8" x14ac:dyDescent="0.55000000000000004">
      <c r="A28" s="12">
        <v>45078</v>
      </c>
      <c r="B28" s="13" t="s">
        <v>556</v>
      </c>
      <c r="C28" s="10">
        <v>2</v>
      </c>
      <c r="D28" s="10">
        <v>110000</v>
      </c>
      <c r="E28" s="7">
        <f>+$I$2+(ALIJONA[[#This Row],[QUANTITE]]*ALIJONA[[#This Row],[PRIX UNITAIRE]])</f>
        <v>220000</v>
      </c>
      <c r="F28" s="157">
        <v>0</v>
      </c>
      <c r="G28" s="6">
        <f>+SUM(E$9:$E28)-SUM(F$9:$F28)</f>
        <v>6730000</v>
      </c>
    </row>
    <row r="29" spans="1:7" ht="28.8" x14ac:dyDescent="0.55000000000000004">
      <c r="A29" s="12">
        <v>45079</v>
      </c>
      <c r="B29" s="13" t="s">
        <v>542</v>
      </c>
      <c r="C29" s="10">
        <v>4</v>
      </c>
      <c r="D29" s="10">
        <v>125000</v>
      </c>
      <c r="E29" s="7">
        <f>+$I$2+(ALIJONA[[#This Row],[QUANTITE]]*ALIJONA[[#This Row],[PRIX UNITAIRE]])</f>
        <v>500000</v>
      </c>
      <c r="F29" s="157">
        <v>0</v>
      </c>
      <c r="G29" s="6">
        <f>+SUM(E$9:$E29)-SUM(F$9:$F29)</f>
        <v>7230000</v>
      </c>
    </row>
    <row r="30" spans="1:7" ht="28.8" x14ac:dyDescent="0.55000000000000004">
      <c r="A30" s="12">
        <v>45079</v>
      </c>
      <c r="B30" s="13" t="s">
        <v>557</v>
      </c>
      <c r="C30" s="10">
        <v>1</v>
      </c>
      <c r="D30" s="10">
        <v>0</v>
      </c>
      <c r="E30" s="7">
        <f>+$I$2+(ALIJONA[[#This Row],[QUANTITE]]*ALIJONA[[#This Row],[PRIX UNITAIRE]])</f>
        <v>0</v>
      </c>
      <c r="F30" s="157">
        <v>1500000</v>
      </c>
      <c r="G30" s="6">
        <f>+SUM(E$9:$E30)-SUM(F$9:$F30)</f>
        <v>5730000</v>
      </c>
    </row>
    <row r="31" spans="1:7" ht="28.8" x14ac:dyDescent="0.55000000000000004">
      <c r="A31" s="12">
        <v>45090</v>
      </c>
      <c r="B31" s="13" t="s">
        <v>542</v>
      </c>
      <c r="C31" s="10">
        <v>4</v>
      </c>
      <c r="D31" s="10">
        <v>125000</v>
      </c>
      <c r="E31" s="7">
        <f>+$I$2+(ALIJONA[[#This Row],[QUANTITE]]*ALIJONA[[#This Row],[PRIX UNITAIRE]])</f>
        <v>500000</v>
      </c>
      <c r="F31" s="157">
        <v>0</v>
      </c>
      <c r="G31" s="6">
        <f>+SUM(E$9:$E31)-SUM(F$9:$F31)</f>
        <v>6230000</v>
      </c>
    </row>
    <row r="32" spans="1:7" ht="28.8" x14ac:dyDescent="0.55000000000000004">
      <c r="A32" s="12">
        <v>45093</v>
      </c>
      <c r="B32" s="13" t="s">
        <v>558</v>
      </c>
      <c r="C32" s="10">
        <v>4</v>
      </c>
      <c r="D32" s="10">
        <v>115000</v>
      </c>
      <c r="E32" s="7">
        <f>+$I$2+(ALIJONA[[#This Row],[QUANTITE]]*ALIJONA[[#This Row],[PRIX UNITAIRE]])</f>
        <v>460000</v>
      </c>
      <c r="F32" s="157">
        <v>0</v>
      </c>
      <c r="G32" s="6">
        <f>+SUM(E$9:$E32)-SUM(F$9:$F32)</f>
        <v>6690000</v>
      </c>
    </row>
    <row r="33" spans="1:7" ht="28.8" x14ac:dyDescent="0.55000000000000004">
      <c r="A33" s="12">
        <v>45099</v>
      </c>
      <c r="B33" s="13" t="s">
        <v>559</v>
      </c>
      <c r="C33" s="10">
        <v>4</v>
      </c>
      <c r="D33" s="10">
        <v>150000</v>
      </c>
      <c r="E33" s="7">
        <f>+$I$2+(ALIJONA[[#This Row],[QUANTITE]]*ALIJONA[[#This Row],[PRIX UNITAIRE]])</f>
        <v>600000</v>
      </c>
      <c r="F33" s="157">
        <v>0</v>
      </c>
      <c r="G33" s="6">
        <f>+SUM(E$9:$E33)-SUM(F$9:$F33)</f>
        <v>7290000</v>
      </c>
    </row>
    <row r="34" spans="1:7" ht="28.8" x14ac:dyDescent="0.55000000000000004">
      <c r="A34" s="12">
        <v>45114</v>
      </c>
      <c r="B34" s="13" t="s">
        <v>542</v>
      </c>
      <c r="C34" s="10">
        <v>4</v>
      </c>
      <c r="D34" s="10">
        <v>125000</v>
      </c>
      <c r="E34" s="7">
        <f>+$I$2+(ALIJONA[[#This Row],[QUANTITE]]*ALIJONA[[#This Row],[PRIX UNITAIRE]])</f>
        <v>500000</v>
      </c>
      <c r="F34" s="157">
        <v>0</v>
      </c>
      <c r="G34" s="6">
        <f>+SUM(E$9:$E34)-SUM(F$9:$F34)</f>
        <v>7790000</v>
      </c>
    </row>
    <row r="35" spans="1:7" ht="28.8" x14ac:dyDescent="0.55000000000000004">
      <c r="A35" s="12">
        <v>45129</v>
      </c>
      <c r="B35" s="13" t="s">
        <v>542</v>
      </c>
      <c r="C35" s="10">
        <v>3</v>
      </c>
      <c r="D35" s="10">
        <v>125000</v>
      </c>
      <c r="E35" s="7">
        <f>+$I$2+(ALIJONA[[#This Row],[QUANTITE]]*ALIJONA[[#This Row],[PRIX UNITAIRE]])</f>
        <v>375000</v>
      </c>
      <c r="F35" s="157">
        <v>0</v>
      </c>
      <c r="G35" s="6">
        <f>+SUM(E$9:$E35)-SUM(F$9:$F35)</f>
        <v>8165000</v>
      </c>
    </row>
    <row r="36" spans="1:7" ht="28.8" x14ac:dyDescent="0.55000000000000004">
      <c r="A36" s="12">
        <v>45131</v>
      </c>
      <c r="B36" s="13" t="s">
        <v>541</v>
      </c>
      <c r="C36" s="10">
        <v>4</v>
      </c>
      <c r="D36" s="10">
        <v>150000</v>
      </c>
      <c r="E36" s="7">
        <f>+$I$2+(ALIJONA[[#This Row],[QUANTITE]]*ALIJONA[[#This Row],[PRIX UNITAIRE]])</f>
        <v>600000</v>
      </c>
      <c r="F36" s="157">
        <v>0</v>
      </c>
      <c r="G36" s="6">
        <f>+SUM(E$9:$E36)-SUM(F$9:$F36)</f>
        <v>8765000</v>
      </c>
    </row>
    <row r="37" spans="1:7" ht="28.8" x14ac:dyDescent="0.55000000000000004">
      <c r="A37" s="12">
        <v>45132</v>
      </c>
      <c r="B37" s="13" t="s">
        <v>68</v>
      </c>
      <c r="C37" s="10">
        <v>1</v>
      </c>
      <c r="D37" s="10">
        <v>0</v>
      </c>
      <c r="E37" s="7">
        <f>+$I$2+(ALIJONA[[#This Row],[QUANTITE]]*ALIJONA[[#This Row],[PRIX UNITAIRE]])</f>
        <v>0</v>
      </c>
      <c r="F37" s="157">
        <v>600000</v>
      </c>
      <c r="G37" s="6">
        <f>+SUM(E$9:$E37)-SUM(F$9:$F37)</f>
        <v>8165000</v>
      </c>
    </row>
    <row r="38" spans="1:7" ht="28.8" x14ac:dyDescent="0.55000000000000004">
      <c r="A38" s="12">
        <v>45133</v>
      </c>
      <c r="B38" s="13" t="s">
        <v>560</v>
      </c>
      <c r="C38" s="10">
        <v>4</v>
      </c>
      <c r="D38" s="10">
        <v>50000</v>
      </c>
      <c r="E38" s="7">
        <f>+$I$2+(ALIJONA[[#This Row],[QUANTITE]]*ALIJONA[[#This Row],[PRIX UNITAIRE]])</f>
        <v>200000</v>
      </c>
      <c r="F38" s="157">
        <v>0</v>
      </c>
      <c r="G38" s="6">
        <f>+SUM(E$9:$E38)-SUM(F$9:$F38)</f>
        <v>8365000</v>
      </c>
    </row>
    <row r="39" spans="1:7" ht="28.8" x14ac:dyDescent="0.55000000000000004">
      <c r="A39" s="12">
        <v>45153</v>
      </c>
      <c r="B39" s="13" t="s">
        <v>561</v>
      </c>
      <c r="C39" s="10">
        <v>1</v>
      </c>
      <c r="D39" s="10">
        <v>50000</v>
      </c>
      <c r="E39" s="7">
        <f>+$I$2+(ALIJONA[[#This Row],[QUANTITE]]*ALIJONA[[#This Row],[PRIX UNITAIRE]])</f>
        <v>50000</v>
      </c>
      <c r="F39" s="157">
        <v>0</v>
      </c>
      <c r="G39" s="6">
        <f>+SUM(E$9:$E39)-SUM(F$9:$F39)</f>
        <v>8415000</v>
      </c>
    </row>
    <row r="40" spans="1:7" ht="28.8" x14ac:dyDescent="0.55000000000000004">
      <c r="A40" s="12"/>
      <c r="B40" s="13" t="s">
        <v>562</v>
      </c>
      <c r="C40" s="10">
        <v>1</v>
      </c>
      <c r="D40" s="10">
        <v>40000</v>
      </c>
      <c r="E40" s="7">
        <f>+$I$2+(ALIJONA[[#This Row],[QUANTITE]]*ALIJONA[[#This Row],[PRIX UNITAIRE]])</f>
        <v>40000</v>
      </c>
      <c r="F40" s="157">
        <v>0</v>
      </c>
      <c r="G40" s="6">
        <f>+SUM(E$9:$E40)-SUM(F$9:$F40)</f>
        <v>8455000</v>
      </c>
    </row>
    <row r="41" spans="1:7" ht="28.8" x14ac:dyDescent="0.55000000000000004">
      <c r="A41" s="12">
        <v>45175</v>
      </c>
      <c r="B41" s="13" t="s">
        <v>548</v>
      </c>
      <c r="C41" s="10">
        <v>4</v>
      </c>
      <c r="D41" s="10">
        <v>65000</v>
      </c>
      <c r="E41" s="7">
        <f>+$I$2+(ALIJONA[[#This Row],[QUANTITE]]*ALIJONA[[#This Row],[PRIX UNITAIRE]])</f>
        <v>260000</v>
      </c>
      <c r="F41" s="157">
        <v>0</v>
      </c>
      <c r="G41" s="6">
        <f>+SUM(E$9:$E41)-SUM(F$9:$F41)</f>
        <v>8715000</v>
      </c>
    </row>
    <row r="42" spans="1:7" ht="28.8" x14ac:dyDescent="0.55000000000000004">
      <c r="A42" s="12">
        <v>45190</v>
      </c>
      <c r="B42" s="13" t="s">
        <v>563</v>
      </c>
      <c r="C42" s="10">
        <v>4</v>
      </c>
      <c r="D42" s="10">
        <v>50000</v>
      </c>
      <c r="E42" s="7">
        <f>+$I$2+(ALIJONA[[#This Row],[QUANTITE]]*ALIJONA[[#This Row],[PRIX UNITAIRE]])</f>
        <v>200000</v>
      </c>
      <c r="F42" s="157">
        <v>0</v>
      </c>
      <c r="G42" s="6">
        <f>+SUM(E$9:$E42)-SUM(F$9:$F42)</f>
        <v>8915000</v>
      </c>
    </row>
    <row r="43" spans="1:7" ht="28.8" x14ac:dyDescent="0.55000000000000004">
      <c r="A43" s="12">
        <v>45195</v>
      </c>
      <c r="B43" s="13" t="s">
        <v>564</v>
      </c>
      <c r="C43" s="10">
        <v>4</v>
      </c>
      <c r="D43" s="10">
        <v>160000</v>
      </c>
      <c r="E43" s="7">
        <f>+$I$2+(ALIJONA[[#This Row],[QUANTITE]]*ALIJONA[[#This Row],[PRIX UNITAIRE]])</f>
        <v>640000</v>
      </c>
      <c r="F43" s="157">
        <v>0</v>
      </c>
      <c r="G43" s="6">
        <f>+SUM(E$9:$E43)-SUM(F$9:$F43)</f>
        <v>9555000</v>
      </c>
    </row>
    <row r="44" spans="1:7" ht="28.8" x14ac:dyDescent="0.55000000000000004">
      <c r="A44" s="12">
        <v>45204</v>
      </c>
      <c r="B44" s="13" t="s">
        <v>548</v>
      </c>
      <c r="C44" s="10">
        <v>4</v>
      </c>
      <c r="D44" s="10">
        <v>65000</v>
      </c>
      <c r="E44" s="7">
        <f>+$I$2+(ALIJONA[[#This Row],[QUANTITE]]*ALIJONA[[#This Row],[PRIX UNITAIRE]])</f>
        <v>260000</v>
      </c>
      <c r="F44" s="157">
        <v>0</v>
      </c>
      <c r="G44" s="6">
        <f>+SUM(E$9:$E44)-SUM(F$9:$F44)</f>
        <v>9815000</v>
      </c>
    </row>
    <row r="45" spans="1:7" ht="28.8" x14ac:dyDescent="0.55000000000000004">
      <c r="A45" s="12">
        <v>45212</v>
      </c>
      <c r="B45" s="13" t="s">
        <v>565</v>
      </c>
      <c r="C45" s="10">
        <v>2</v>
      </c>
      <c r="D45" s="10">
        <v>180000</v>
      </c>
      <c r="E45" s="7">
        <f>+$I$2+(ALIJONA[[#This Row],[QUANTITE]]*ALIJONA[[#This Row],[PRIX UNITAIRE]])</f>
        <v>360000</v>
      </c>
      <c r="F45" s="157">
        <v>0</v>
      </c>
      <c r="G45" s="6">
        <f>+SUM(E$9:$E45)-SUM(F$9:$F45)</f>
        <v>10175000</v>
      </c>
    </row>
    <row r="46" spans="1:7" ht="28.8" x14ac:dyDescent="0.55000000000000004">
      <c r="A46" s="12">
        <v>45219</v>
      </c>
      <c r="B46" s="13" t="s">
        <v>566</v>
      </c>
      <c r="C46" s="10">
        <v>1</v>
      </c>
      <c r="D46" s="10">
        <v>50000</v>
      </c>
      <c r="E46" s="7">
        <f>+$I$2+(ALIJONA[[#This Row],[QUANTITE]]*ALIJONA[[#This Row],[PRIX UNITAIRE]])</f>
        <v>50000</v>
      </c>
      <c r="F46" s="157">
        <v>0</v>
      </c>
      <c r="G46" s="6">
        <f>+SUM(E$9:$E46)-SUM(F$9:$F46)</f>
        <v>10225000</v>
      </c>
    </row>
    <row r="47" spans="1:7" ht="28.8" x14ac:dyDescent="0.55000000000000004">
      <c r="A47" s="12">
        <v>45231</v>
      </c>
      <c r="B47" s="13" t="s">
        <v>567</v>
      </c>
      <c r="C47" s="10">
        <v>1</v>
      </c>
      <c r="D47" s="10">
        <v>25000</v>
      </c>
      <c r="E47" s="7">
        <f>+$I$2+(ALIJONA[[#This Row],[QUANTITE]]*ALIJONA[[#This Row],[PRIX UNITAIRE]])</f>
        <v>25000</v>
      </c>
      <c r="F47" s="157">
        <v>0</v>
      </c>
      <c r="G47" s="6">
        <f>+SUM(E$9:$E47)-SUM(F$9:$F47)</f>
        <v>10250000</v>
      </c>
    </row>
    <row r="48" spans="1:7" ht="28.8" x14ac:dyDescent="0.55000000000000004">
      <c r="A48" s="12">
        <v>45232</v>
      </c>
      <c r="B48" s="13" t="s">
        <v>568</v>
      </c>
      <c r="C48" s="10">
        <v>1</v>
      </c>
      <c r="D48" s="10">
        <v>15000</v>
      </c>
      <c r="E48" s="7">
        <f>+$I$2+(ALIJONA[[#This Row],[QUANTITE]]*ALIJONA[[#This Row],[PRIX UNITAIRE]])</f>
        <v>15000</v>
      </c>
      <c r="F48" s="157">
        <v>0</v>
      </c>
      <c r="G48" s="6">
        <f>+SUM(E$9:$E48)-SUM(F$9:$F48)</f>
        <v>10265000</v>
      </c>
    </row>
    <row r="49" spans="1:7" ht="28.8" x14ac:dyDescent="0.55000000000000004">
      <c r="A49" s="12">
        <v>45244</v>
      </c>
      <c r="B49" s="13" t="s">
        <v>542</v>
      </c>
      <c r="C49" s="10">
        <v>2</v>
      </c>
      <c r="D49" s="10">
        <v>125000</v>
      </c>
      <c r="E49" s="7">
        <f>+$I$2+(ALIJONA[[#This Row],[QUANTITE]]*ALIJONA[[#This Row],[PRIX UNITAIRE]])</f>
        <v>250000</v>
      </c>
      <c r="F49" s="157">
        <v>0</v>
      </c>
      <c r="G49" s="6">
        <f>+SUM(E$9:$E49)-SUM(F$9:$F49)</f>
        <v>10515000</v>
      </c>
    </row>
    <row r="50" spans="1:7" ht="28.8" x14ac:dyDescent="0.55000000000000004">
      <c r="A50" s="12">
        <v>45244</v>
      </c>
      <c r="B50" s="13" t="s">
        <v>552</v>
      </c>
      <c r="C50" s="10">
        <v>3</v>
      </c>
      <c r="D50" s="10">
        <v>30000</v>
      </c>
      <c r="E50" s="7">
        <f>+$I$2+(ALIJONA[[#This Row],[QUANTITE]]*ALIJONA[[#This Row],[PRIX UNITAIRE]])</f>
        <v>90000</v>
      </c>
      <c r="F50" s="157">
        <v>0</v>
      </c>
      <c r="G50" s="6">
        <f>+SUM(E$9:$E50)-SUM(F$9:$F50)</f>
        <v>10605000</v>
      </c>
    </row>
    <row r="51" spans="1:7" ht="28.8" x14ac:dyDescent="0.55000000000000004">
      <c r="A51" s="12">
        <v>45250</v>
      </c>
      <c r="B51" s="13" t="s">
        <v>234</v>
      </c>
      <c r="C51" s="10">
        <v>1</v>
      </c>
      <c r="D51" s="10">
        <v>30000</v>
      </c>
      <c r="E51" s="7">
        <f>+$I$2+(ALIJONA[[#This Row],[QUANTITE]]*ALIJONA[[#This Row],[PRIX UNITAIRE]])</f>
        <v>30000</v>
      </c>
      <c r="F51" s="157">
        <v>0</v>
      </c>
      <c r="G51" s="6">
        <f>+SUM(E$9:$E51)-SUM(F$9:$F51)</f>
        <v>10635000</v>
      </c>
    </row>
    <row r="52" spans="1:7" ht="28.8" x14ac:dyDescent="0.55000000000000004">
      <c r="A52" s="12">
        <v>45257</v>
      </c>
      <c r="B52" s="13" t="s">
        <v>480</v>
      </c>
      <c r="C52" s="10">
        <v>1</v>
      </c>
      <c r="D52" s="10">
        <v>10000</v>
      </c>
      <c r="E52" s="7">
        <f>+$I$2+(ALIJONA[[#This Row],[QUANTITE]]*ALIJONA[[#This Row],[PRIX UNITAIRE]])</f>
        <v>10000</v>
      </c>
      <c r="F52" s="157">
        <v>0</v>
      </c>
      <c r="G52" s="6">
        <f>+SUM(E$9:$E52)-SUM(F$9:$F52)</f>
        <v>10645000</v>
      </c>
    </row>
    <row r="53" spans="1:7" ht="28.8" x14ac:dyDescent="0.55000000000000004">
      <c r="A53" s="12">
        <v>45276</v>
      </c>
      <c r="B53" s="13" t="s">
        <v>548</v>
      </c>
      <c r="C53" s="10">
        <v>4</v>
      </c>
      <c r="D53" s="10">
        <v>65000</v>
      </c>
      <c r="E53" s="7">
        <f>+$I$2+(ALIJONA[[#This Row],[QUANTITE]]*ALIJONA[[#This Row],[PRIX UNITAIRE]])</f>
        <v>260000</v>
      </c>
      <c r="F53" s="157">
        <v>0</v>
      </c>
      <c r="G53" s="6">
        <f>+SUM(E$9:$E53)-SUM(F$9:$F53)</f>
        <v>10905000</v>
      </c>
    </row>
    <row r="54" spans="1:7" ht="28.8" x14ac:dyDescent="0.55000000000000004">
      <c r="A54" s="12">
        <v>45287</v>
      </c>
      <c r="B54" s="13" t="s">
        <v>569</v>
      </c>
      <c r="C54" s="10">
        <v>4</v>
      </c>
      <c r="D54" s="10">
        <v>350000</v>
      </c>
      <c r="E54" s="7">
        <f>+$I$2+(ALIJONA[[#This Row],[QUANTITE]]*ALIJONA[[#This Row],[PRIX UNITAIRE]])</f>
        <v>1400000</v>
      </c>
      <c r="F54" s="157">
        <v>0</v>
      </c>
      <c r="G54" s="6">
        <f>+SUM(E$9:$E54)-SUM(F$9:$F54)</f>
        <v>12305000</v>
      </c>
    </row>
    <row r="55" spans="1:7" ht="28.8" x14ac:dyDescent="0.55000000000000004">
      <c r="A55" s="12">
        <v>45299</v>
      </c>
      <c r="B55" s="13" t="s">
        <v>570</v>
      </c>
      <c r="C55" s="10">
        <v>1</v>
      </c>
      <c r="D55" s="10">
        <v>25000</v>
      </c>
      <c r="E55" s="7">
        <f>+$I$2+(ALIJONA[[#This Row],[QUANTITE]]*ALIJONA[[#This Row],[PRIX UNITAIRE]])</f>
        <v>25000</v>
      </c>
      <c r="F55" s="157">
        <v>0</v>
      </c>
      <c r="G55" s="6">
        <f>+SUM(E$9:$E55)-SUM(F$9:$F55)</f>
        <v>12330000</v>
      </c>
    </row>
    <row r="56" spans="1:7" ht="28.8" x14ac:dyDescent="0.55000000000000004">
      <c r="A56" s="12">
        <v>45304</v>
      </c>
      <c r="B56" s="13" t="s">
        <v>571</v>
      </c>
      <c r="C56" s="10">
        <v>1</v>
      </c>
      <c r="D56" s="10">
        <v>10000</v>
      </c>
      <c r="E56" s="7">
        <f>+$I$2+(ALIJONA[[#This Row],[QUANTITE]]*ALIJONA[[#This Row],[PRIX UNITAIRE]])</f>
        <v>10000</v>
      </c>
      <c r="F56" s="157">
        <v>0</v>
      </c>
      <c r="G56" s="6">
        <f>+SUM(E$9:$E56)-SUM(F$9:$F56)</f>
        <v>12340000</v>
      </c>
    </row>
    <row r="57" spans="1:7" ht="28.8" x14ac:dyDescent="0.55000000000000004">
      <c r="A57" s="12">
        <v>45304</v>
      </c>
      <c r="B57" s="13" t="s">
        <v>234</v>
      </c>
      <c r="C57" s="10">
        <v>1</v>
      </c>
      <c r="D57" s="10">
        <v>30000</v>
      </c>
      <c r="E57" s="7">
        <f>+$I$2+(ALIJONA[[#This Row],[QUANTITE]]*ALIJONA[[#This Row],[PRIX UNITAIRE]])</f>
        <v>30000</v>
      </c>
      <c r="F57" s="157">
        <v>0</v>
      </c>
      <c r="G57" s="6">
        <f>+SUM(E$9:$E57)-SUM(F$9:$F57)</f>
        <v>12370000</v>
      </c>
    </row>
    <row r="58" spans="1:7" ht="28.8" x14ac:dyDescent="0.55000000000000004">
      <c r="A58" s="12">
        <v>45313</v>
      </c>
      <c r="B58" s="13" t="s">
        <v>572</v>
      </c>
      <c r="C58" s="10">
        <v>1</v>
      </c>
      <c r="D58" s="10">
        <v>25000</v>
      </c>
      <c r="E58" s="7">
        <f>+$I$2+(ALIJONA[[#This Row],[QUANTITE]]*ALIJONA[[#This Row],[PRIX UNITAIRE]])</f>
        <v>25000</v>
      </c>
      <c r="F58" s="157">
        <v>0</v>
      </c>
      <c r="G58" s="6">
        <f>+SUM(E$9:$E58)-SUM(F$9:$F58)</f>
        <v>12395000</v>
      </c>
    </row>
    <row r="59" spans="1:7" ht="28.8" x14ac:dyDescent="0.55000000000000004">
      <c r="A59" s="12">
        <v>45316</v>
      </c>
      <c r="B59" s="13" t="s">
        <v>573</v>
      </c>
      <c r="C59" s="10">
        <v>1</v>
      </c>
      <c r="D59" s="10">
        <v>25000</v>
      </c>
      <c r="E59" s="7">
        <f>+$I$2+(ALIJONA[[#This Row],[QUANTITE]]*ALIJONA[[#This Row],[PRIX UNITAIRE]])</f>
        <v>25000</v>
      </c>
      <c r="F59" s="157">
        <v>0</v>
      </c>
      <c r="G59" s="6">
        <f>+SUM(E$9:$E59)-SUM(F$9:$F59)</f>
        <v>12420000</v>
      </c>
    </row>
    <row r="60" spans="1:7" ht="28.8" x14ac:dyDescent="0.55000000000000004">
      <c r="A60" s="12">
        <v>45323</v>
      </c>
      <c r="B60" s="13" t="s">
        <v>574</v>
      </c>
      <c r="C60" s="10">
        <v>4</v>
      </c>
      <c r="D60" s="10">
        <v>120000</v>
      </c>
      <c r="E60" s="7">
        <f>+$I$2+(ALIJONA[[#This Row],[QUANTITE]]*ALIJONA[[#This Row],[PRIX UNITAIRE]])</f>
        <v>480000</v>
      </c>
      <c r="F60" s="157">
        <v>0</v>
      </c>
      <c r="G60" s="6">
        <f>+SUM(E$9:$E60)-SUM(F$9:$F60)</f>
        <v>12900000</v>
      </c>
    </row>
    <row r="61" spans="1:7" ht="28.8" x14ac:dyDescent="0.55000000000000004">
      <c r="A61" s="12">
        <v>45324</v>
      </c>
      <c r="B61" s="13" t="s">
        <v>542</v>
      </c>
      <c r="C61" s="10">
        <v>2</v>
      </c>
      <c r="D61" s="10">
        <v>125000</v>
      </c>
      <c r="E61" s="7">
        <f>+$I$2+(ALIJONA[[#This Row],[QUANTITE]]*ALIJONA[[#This Row],[PRIX UNITAIRE]])</f>
        <v>250000</v>
      </c>
      <c r="F61" s="157">
        <v>0</v>
      </c>
      <c r="G61" s="6">
        <f>+SUM(E$9:$E61)-SUM(F$9:$F61)</f>
        <v>13150000</v>
      </c>
    </row>
    <row r="62" spans="1:7" ht="28.8" x14ac:dyDescent="0.55000000000000004">
      <c r="A62" s="12">
        <v>45325</v>
      </c>
      <c r="B62" s="13" t="s">
        <v>575</v>
      </c>
      <c r="C62" s="10">
        <v>1</v>
      </c>
      <c r="D62" s="10">
        <v>40000</v>
      </c>
      <c r="E62" s="7">
        <f>+$I$2+(ALIJONA[[#This Row],[QUANTITE]]*ALIJONA[[#This Row],[PRIX UNITAIRE]])</f>
        <v>40000</v>
      </c>
      <c r="F62" s="157">
        <v>0</v>
      </c>
      <c r="G62" s="6">
        <f>+SUM(E$9:$E62)-SUM(F$9:$F62)</f>
        <v>13190000</v>
      </c>
    </row>
    <row r="63" spans="1:7" ht="28.8" x14ac:dyDescent="0.55000000000000004">
      <c r="A63" s="12">
        <v>45339</v>
      </c>
      <c r="B63" s="13" t="s">
        <v>576</v>
      </c>
      <c r="C63" s="10">
        <v>1</v>
      </c>
      <c r="D63" s="10">
        <v>40000</v>
      </c>
      <c r="E63" s="7">
        <f>+$I$2+(ALIJONA[[#This Row],[QUANTITE]]*ALIJONA[[#This Row],[PRIX UNITAIRE]])</f>
        <v>40000</v>
      </c>
      <c r="F63" s="157">
        <v>0</v>
      </c>
      <c r="G63" s="6">
        <f>+SUM(E$9:$E63)-SUM(F$9:$F63)</f>
        <v>13230000</v>
      </c>
    </row>
    <row r="64" spans="1:7" ht="28.8" x14ac:dyDescent="0.55000000000000004">
      <c r="A64" s="12">
        <v>45344</v>
      </c>
      <c r="B64" s="13" t="s">
        <v>542</v>
      </c>
      <c r="C64" s="10">
        <v>4</v>
      </c>
      <c r="D64" s="10">
        <v>125000</v>
      </c>
      <c r="E64" s="7">
        <f>+$I$2+(ALIJONA[[#This Row],[QUANTITE]]*ALIJONA[[#This Row],[PRIX UNITAIRE]])</f>
        <v>500000</v>
      </c>
      <c r="F64" s="157">
        <v>0</v>
      </c>
      <c r="G64" s="6">
        <f>+SUM(E$9:$E64)-SUM(F$9:$F64)</f>
        <v>13730000</v>
      </c>
    </row>
    <row r="65" spans="1:7" ht="28.8" x14ac:dyDescent="0.55000000000000004">
      <c r="A65" s="12">
        <v>45346</v>
      </c>
      <c r="B65" s="13" t="s">
        <v>577</v>
      </c>
      <c r="C65" s="10">
        <v>1</v>
      </c>
      <c r="D65" s="10">
        <v>10000</v>
      </c>
      <c r="E65" s="7">
        <f>+$I$2+(ALIJONA[[#This Row],[QUANTITE]]*ALIJONA[[#This Row],[PRIX UNITAIRE]])</f>
        <v>10000</v>
      </c>
      <c r="F65" s="157">
        <v>0</v>
      </c>
      <c r="G65" s="6">
        <f>+SUM(E$9:$E65)-SUM(F$9:$F65)</f>
        <v>13740000</v>
      </c>
    </row>
    <row r="66" spans="1:7" ht="28.8" x14ac:dyDescent="0.55000000000000004">
      <c r="A66" s="12">
        <v>45348</v>
      </c>
      <c r="B66" s="13" t="s">
        <v>578</v>
      </c>
      <c r="C66" s="10">
        <v>2</v>
      </c>
      <c r="D66" s="10">
        <v>125000</v>
      </c>
      <c r="E66" s="7">
        <f>+$I$2+(ALIJONA[[#This Row],[QUANTITE]]*ALIJONA[[#This Row],[PRIX UNITAIRE]])</f>
        <v>250000</v>
      </c>
      <c r="F66" s="157">
        <v>0</v>
      </c>
      <c r="G66" s="6">
        <f>+SUM(E$9:$E66)-SUM(F$9:$F66)</f>
        <v>13990000</v>
      </c>
    </row>
    <row r="67" spans="1:7" ht="28.8" x14ac:dyDescent="0.55000000000000004">
      <c r="A67" s="12">
        <v>45386</v>
      </c>
      <c r="B67" s="13" t="s">
        <v>579</v>
      </c>
      <c r="C67" s="10">
        <v>1</v>
      </c>
      <c r="D67" s="10">
        <v>25000</v>
      </c>
      <c r="E67" s="7">
        <f>+$I$2+(ALIJONA[[#This Row],[QUANTITE]]*ALIJONA[[#This Row],[PRIX UNITAIRE]])</f>
        <v>25000</v>
      </c>
      <c r="F67" s="157">
        <v>0</v>
      </c>
      <c r="G67" s="6">
        <f>+SUM(E$9:$E67)-SUM(F$9:$F67)</f>
        <v>14015000</v>
      </c>
    </row>
    <row r="68" spans="1:7" ht="28.8" x14ac:dyDescent="0.55000000000000004">
      <c r="A68" s="12">
        <v>45397</v>
      </c>
      <c r="B68" s="13" t="s">
        <v>580</v>
      </c>
      <c r="C68" s="10">
        <v>1</v>
      </c>
      <c r="D68" s="10">
        <v>10000</v>
      </c>
      <c r="E68" s="7">
        <f>+$I$2+(ALIJONA[[#This Row],[QUANTITE]]*ALIJONA[[#This Row],[PRIX UNITAIRE]])</f>
        <v>10000</v>
      </c>
      <c r="F68" s="157">
        <v>0</v>
      </c>
      <c r="G68" s="6">
        <f>+SUM(E$9:$E68)-SUM(F$9:$F68)</f>
        <v>14025000</v>
      </c>
    </row>
    <row r="69" spans="1:7" ht="28.8" x14ac:dyDescent="0.55000000000000004">
      <c r="A69" s="12">
        <v>45423</v>
      </c>
      <c r="B69" s="13" t="s">
        <v>581</v>
      </c>
      <c r="C69" s="10">
        <v>1</v>
      </c>
      <c r="D69" s="10">
        <v>20000</v>
      </c>
      <c r="E69" s="7">
        <f>+$I$2+(ALIJONA[[#This Row],[QUANTITE]]*ALIJONA[[#This Row],[PRIX UNITAIRE]])</f>
        <v>20000</v>
      </c>
      <c r="F69" s="157">
        <v>0</v>
      </c>
      <c r="G69" s="6">
        <f>+SUM(E$9:$E69)-SUM(F$9:$F69)</f>
        <v>14045000</v>
      </c>
    </row>
    <row r="70" spans="1:7" ht="28.8" x14ac:dyDescent="0.55000000000000004">
      <c r="A70" s="12">
        <v>45423</v>
      </c>
      <c r="B70" s="13" t="s">
        <v>582</v>
      </c>
      <c r="C70" s="10">
        <v>4</v>
      </c>
      <c r="D70" s="10">
        <v>2500</v>
      </c>
      <c r="E70" s="7">
        <f>+$I$2+(ALIJONA[[#This Row],[QUANTITE]]*ALIJONA[[#This Row],[PRIX UNITAIRE]])</f>
        <v>10000</v>
      </c>
      <c r="F70" s="157">
        <v>0</v>
      </c>
      <c r="G70" s="6">
        <f>+SUM(E$9:$E70)-SUM(F$9:$F70)</f>
        <v>14055000</v>
      </c>
    </row>
    <row r="71" spans="1:7" ht="28.8" x14ac:dyDescent="0.55000000000000004">
      <c r="A71" s="12">
        <v>45423</v>
      </c>
      <c r="B71" s="13" t="s">
        <v>583</v>
      </c>
      <c r="C71" s="10">
        <v>3</v>
      </c>
      <c r="D71" s="10">
        <v>2500</v>
      </c>
      <c r="E71" s="7">
        <f>+$I$2+(ALIJONA[[#This Row],[QUANTITE]]*ALIJONA[[#This Row],[PRIX UNITAIRE]])</f>
        <v>7500</v>
      </c>
      <c r="F71" s="157">
        <v>0</v>
      </c>
      <c r="G71" s="6">
        <f>+SUM(E$9:$E71)-SUM(F$9:$F71)</f>
        <v>14062500</v>
      </c>
    </row>
    <row r="72" spans="1:7" ht="28.8" x14ac:dyDescent="0.55000000000000004">
      <c r="A72" s="12">
        <v>45423</v>
      </c>
      <c r="B72" s="13" t="s">
        <v>425</v>
      </c>
      <c r="C72" s="10">
        <v>1</v>
      </c>
      <c r="D72" s="10">
        <v>10000</v>
      </c>
      <c r="E72" s="7">
        <f>+$I$2+(ALIJONA[[#This Row],[QUANTITE]]*ALIJONA[[#This Row],[PRIX UNITAIRE]])</f>
        <v>10000</v>
      </c>
      <c r="F72" s="157">
        <v>0</v>
      </c>
      <c r="G72" s="6">
        <f>+SUM(E$9:$E72)-SUM(F$9:$F72)</f>
        <v>14072500</v>
      </c>
    </row>
    <row r="73" spans="1:7" ht="28.8" x14ac:dyDescent="0.55000000000000004">
      <c r="A73" s="12">
        <v>45443</v>
      </c>
      <c r="B73" s="13" t="s">
        <v>584</v>
      </c>
      <c r="C73" s="10">
        <v>1</v>
      </c>
      <c r="D73" s="10">
        <v>10000</v>
      </c>
      <c r="E73" s="7">
        <f>+$I$2+(ALIJONA[[#This Row],[QUANTITE]]*ALIJONA[[#This Row],[PRIX UNITAIRE]])</f>
        <v>10000</v>
      </c>
      <c r="F73" s="157">
        <v>0</v>
      </c>
      <c r="G73" s="6">
        <f>+SUM(E$9:$E73)-SUM(F$9:$F73)</f>
        <v>14082500</v>
      </c>
    </row>
    <row r="74" spans="1:7" ht="28.8" x14ac:dyDescent="0.55000000000000004">
      <c r="A74" s="12">
        <v>45443</v>
      </c>
      <c r="B74" s="13" t="s">
        <v>585</v>
      </c>
      <c r="C74" s="10">
        <v>1</v>
      </c>
      <c r="D74" s="10">
        <v>10000</v>
      </c>
      <c r="E74" s="7">
        <f>+$I$2+(ALIJONA[[#This Row],[QUANTITE]]*ALIJONA[[#This Row],[PRIX UNITAIRE]])</f>
        <v>10000</v>
      </c>
      <c r="F74" s="157">
        <v>0</v>
      </c>
      <c r="G74" s="6">
        <f>+SUM(E$9:$E74)-SUM(F$9:$F74)</f>
        <v>14092500</v>
      </c>
    </row>
    <row r="75" spans="1:7" ht="28.8" x14ac:dyDescent="0.55000000000000004">
      <c r="A75" s="12">
        <v>45450</v>
      </c>
      <c r="B75" s="13" t="s">
        <v>586</v>
      </c>
      <c r="C75" s="10">
        <v>2</v>
      </c>
      <c r="D75" s="10">
        <v>45000</v>
      </c>
      <c r="E75" s="7">
        <f>+$I$2+(ALIJONA[[#This Row],[QUANTITE]]*ALIJONA[[#This Row],[PRIX UNITAIRE]])</f>
        <v>90000</v>
      </c>
      <c r="F75" s="157">
        <v>0</v>
      </c>
      <c r="G75" s="6">
        <f>+SUM(E$9:$E75)-SUM(F$9:$F75)</f>
        <v>14182500</v>
      </c>
    </row>
    <row r="76" spans="1:7" ht="28.8" x14ac:dyDescent="0.55000000000000004">
      <c r="A76" s="12">
        <v>45455</v>
      </c>
      <c r="B76" s="13" t="s">
        <v>587</v>
      </c>
      <c r="C76" s="10">
        <v>1</v>
      </c>
      <c r="D76" s="10">
        <v>10000</v>
      </c>
      <c r="E76" s="7">
        <f>+$I$2+(ALIJONA[[#This Row],[QUANTITE]]*ALIJONA[[#This Row],[PRIX UNITAIRE]])</f>
        <v>10000</v>
      </c>
      <c r="F76" s="157">
        <v>0</v>
      </c>
      <c r="G76" s="6">
        <f>+SUM(E$9:$E76)-SUM(F$9:$F76)</f>
        <v>14192500</v>
      </c>
    </row>
    <row r="77" spans="1:7" ht="28.8" x14ac:dyDescent="0.55000000000000004">
      <c r="A77" s="12">
        <v>45457</v>
      </c>
      <c r="B77" s="13" t="s">
        <v>588</v>
      </c>
      <c r="C77" s="10">
        <v>1</v>
      </c>
      <c r="D77" s="10">
        <v>10000</v>
      </c>
      <c r="E77" s="7">
        <f>+$I$2+(ALIJONA[[#This Row],[QUANTITE]]*ALIJONA[[#This Row],[PRIX UNITAIRE]])</f>
        <v>10000</v>
      </c>
      <c r="F77" s="157">
        <v>0</v>
      </c>
      <c r="G77" s="6">
        <f>+SUM(E$9:$E77)-SUM(F$9:$F77)</f>
        <v>14202500</v>
      </c>
    </row>
    <row r="78" spans="1:7" ht="28.8" x14ac:dyDescent="0.55000000000000004">
      <c r="A78" s="12">
        <v>45464</v>
      </c>
      <c r="B78" s="13" t="s">
        <v>589</v>
      </c>
      <c r="C78" s="10">
        <v>4</v>
      </c>
      <c r="D78" s="10">
        <v>160000</v>
      </c>
      <c r="E78" s="7">
        <f>+$I$2+(ALIJONA[[#This Row],[QUANTITE]]*ALIJONA[[#This Row],[PRIX UNITAIRE]])</f>
        <v>640000</v>
      </c>
      <c r="F78" s="157">
        <v>0</v>
      </c>
      <c r="G78" s="6">
        <f>+SUM(E$9:$E78)-SUM(F$9:$F78)</f>
        <v>14842500</v>
      </c>
    </row>
    <row r="79" spans="1:7" ht="28.8" x14ac:dyDescent="0.55000000000000004">
      <c r="A79" s="12">
        <v>45478</v>
      </c>
      <c r="B79" s="13" t="s">
        <v>590</v>
      </c>
      <c r="C79" s="10">
        <v>1</v>
      </c>
      <c r="D79" s="10">
        <v>0</v>
      </c>
      <c r="E79" s="7">
        <f>+$I$2+(ALIJONA[[#This Row],[QUANTITE]]*ALIJONA[[#This Row],[PRIX UNITAIRE]])</f>
        <v>0</v>
      </c>
      <c r="F79" s="157">
        <v>5000000</v>
      </c>
      <c r="G79" s="6">
        <f>+SUM(E$9:$E79)-SUM(F$9:$F79)</f>
        <v>9842500</v>
      </c>
    </row>
    <row r="80" spans="1:7" ht="28.8" x14ac:dyDescent="0.55000000000000004">
      <c r="A80" s="12">
        <v>45492</v>
      </c>
      <c r="B80" s="13" t="s">
        <v>480</v>
      </c>
      <c r="C80" s="10">
        <v>1</v>
      </c>
      <c r="D80" s="10">
        <v>10000</v>
      </c>
      <c r="E80" s="7">
        <f>+$I$2+(ALIJONA[[#This Row],[QUANTITE]]*ALIJONA[[#This Row],[PRIX UNITAIRE]])</f>
        <v>10000</v>
      </c>
      <c r="F80" s="157">
        <v>0</v>
      </c>
      <c r="G80" s="6">
        <f>+SUM(E$9:$E80)-SUM(F$9:$F80)</f>
        <v>9852500</v>
      </c>
    </row>
    <row r="81" spans="1:7" ht="28.8" x14ac:dyDescent="0.55000000000000004">
      <c r="A81" s="12">
        <v>45510</v>
      </c>
      <c r="B81" s="13" t="s">
        <v>591</v>
      </c>
      <c r="C81" s="10">
        <v>4</v>
      </c>
      <c r="D81" s="10">
        <v>150000</v>
      </c>
      <c r="E81" s="7">
        <f>+$I$2+(ALIJONA[[#This Row],[QUANTITE]]*ALIJONA[[#This Row],[PRIX UNITAIRE]])</f>
        <v>600000</v>
      </c>
      <c r="F81" s="157">
        <v>0</v>
      </c>
      <c r="G81" s="6">
        <f>+SUM(E$9:$E81)-SUM(F$9:$F81)</f>
        <v>10452500</v>
      </c>
    </row>
    <row r="82" spans="1:7" ht="28.8" x14ac:dyDescent="0.55000000000000004">
      <c r="A82" s="12">
        <v>45512</v>
      </c>
      <c r="B82" s="13" t="s">
        <v>592</v>
      </c>
      <c r="C82" s="10">
        <v>4</v>
      </c>
      <c r="D82" s="10">
        <v>140000</v>
      </c>
      <c r="E82" s="7">
        <f>+$I$2+(ALIJONA[[#This Row],[QUANTITE]]*ALIJONA[[#This Row],[PRIX UNITAIRE]])</f>
        <v>560000</v>
      </c>
      <c r="F82" s="157">
        <v>0</v>
      </c>
      <c r="G82" s="6">
        <f>+SUM(E$9:$E82)-SUM(F$9:$F82)</f>
        <v>11012500</v>
      </c>
    </row>
    <row r="83" spans="1:7" ht="28.8" x14ac:dyDescent="0.55000000000000004">
      <c r="A83" s="12">
        <v>45520</v>
      </c>
      <c r="B83" s="13" t="s">
        <v>593</v>
      </c>
      <c r="C83" s="10">
        <v>2</v>
      </c>
      <c r="D83" s="10">
        <v>150000</v>
      </c>
      <c r="E83" s="7">
        <f>+$I$2+(ALIJONA[[#This Row],[QUANTITE]]*ALIJONA[[#This Row],[PRIX UNITAIRE]])</f>
        <v>300000</v>
      </c>
      <c r="F83" s="157">
        <v>0</v>
      </c>
      <c r="G83" s="6">
        <f>+SUM(E$9:$E83)-SUM(F$9:$F83)</f>
        <v>11312500</v>
      </c>
    </row>
    <row r="84" spans="1:7" ht="28.8" x14ac:dyDescent="0.55000000000000004">
      <c r="A84" s="12">
        <v>45535</v>
      </c>
      <c r="B84" s="13" t="s">
        <v>594</v>
      </c>
      <c r="C84" s="10">
        <v>1</v>
      </c>
      <c r="D84" s="10">
        <v>10000</v>
      </c>
      <c r="E84" s="7">
        <f>+$I$2+(ALIJONA[[#This Row],[QUANTITE]]*ALIJONA[[#This Row],[PRIX UNITAIRE]])</f>
        <v>10000</v>
      </c>
      <c r="F84" s="157">
        <v>0</v>
      </c>
      <c r="G84" s="6">
        <f>+SUM(E$9:$E84)-SUM(F$9:$F84)</f>
        <v>11322500</v>
      </c>
    </row>
    <row r="85" spans="1:7" ht="28.8" x14ac:dyDescent="0.55000000000000004">
      <c r="A85" s="12">
        <v>45552</v>
      </c>
      <c r="B85" s="13" t="s">
        <v>536</v>
      </c>
      <c r="C85" s="10">
        <v>1</v>
      </c>
      <c r="D85" s="10">
        <v>0</v>
      </c>
      <c r="E85" s="7">
        <f>+$I$2+(ALIJONA[[#This Row],[QUANTITE]]*ALIJONA[[#This Row],[PRIX UNITAIRE]])</f>
        <v>0</v>
      </c>
      <c r="F85" s="157">
        <v>2000000</v>
      </c>
      <c r="G85" s="6">
        <f>+SUM(E$9:$E85)-SUM(F$9:$F85)</f>
        <v>9322500</v>
      </c>
    </row>
    <row r="86" spans="1:7" ht="28.8" x14ac:dyDescent="0.55000000000000004">
      <c r="A86" s="12">
        <v>45565</v>
      </c>
      <c r="B86" s="13" t="s">
        <v>595</v>
      </c>
      <c r="C86" s="10">
        <v>2</v>
      </c>
      <c r="D86" s="10">
        <v>150000</v>
      </c>
      <c r="E86" s="7">
        <f>+$I$2+(ALIJONA[[#This Row],[QUANTITE]]*ALIJONA[[#This Row],[PRIX UNITAIRE]])</f>
        <v>300000</v>
      </c>
      <c r="F86" s="157">
        <v>0</v>
      </c>
      <c r="G86" s="6">
        <f>+SUM(E$9:$E86)-SUM(F$9:$F86)</f>
        <v>9622500</v>
      </c>
    </row>
    <row r="87" spans="1:7" ht="28.8" x14ac:dyDescent="0.55000000000000004">
      <c r="A87" s="12">
        <v>45566</v>
      </c>
      <c r="B87" s="13" t="s">
        <v>596</v>
      </c>
      <c r="C87" s="10">
        <v>1</v>
      </c>
      <c r="D87" s="10">
        <v>40000</v>
      </c>
      <c r="E87" s="7">
        <f>+$I$2+(ALIJONA[[#This Row],[QUANTITE]]*ALIJONA[[#This Row],[PRIX UNITAIRE]])</f>
        <v>40000</v>
      </c>
      <c r="F87" s="157">
        <v>0</v>
      </c>
      <c r="G87" s="6">
        <f>+SUM(E$9:$E87)-SUM(F$9:$F87)</f>
        <v>9662500</v>
      </c>
    </row>
    <row r="88" spans="1:7" ht="28.8" x14ac:dyDescent="0.55000000000000004">
      <c r="A88" s="12">
        <v>45567</v>
      </c>
      <c r="B88" s="13" t="s">
        <v>234</v>
      </c>
      <c r="C88" s="10">
        <v>4</v>
      </c>
      <c r="D88" s="10">
        <v>30000</v>
      </c>
      <c r="E88" s="7">
        <f>+$I$2+(ALIJONA[[#This Row],[QUANTITE]]*ALIJONA[[#This Row],[PRIX UNITAIRE]])</f>
        <v>120000</v>
      </c>
      <c r="F88" s="157">
        <v>0</v>
      </c>
      <c r="G88" s="6">
        <f>+SUM(E$9:$E88)-SUM(F$9:$F88)</f>
        <v>9782500</v>
      </c>
    </row>
    <row r="89" spans="1:7" ht="28.8" x14ac:dyDescent="0.55000000000000004">
      <c r="A89" s="12"/>
      <c r="B89" s="13" t="s">
        <v>597</v>
      </c>
      <c r="C89" s="10">
        <v>1</v>
      </c>
      <c r="D89" s="10">
        <v>55000</v>
      </c>
      <c r="E89" s="7">
        <f>+$I$2+(ALIJONA[[#This Row],[QUANTITE]]*ALIJONA[[#This Row],[PRIX UNITAIRE]])</f>
        <v>55000</v>
      </c>
      <c r="F89" s="157">
        <v>0</v>
      </c>
      <c r="G89" s="6">
        <f>+SUM(E$9:$E89)-SUM(F$9:$F89)</f>
        <v>9837500</v>
      </c>
    </row>
    <row r="90" spans="1:7" ht="28.8" x14ac:dyDescent="0.55000000000000004">
      <c r="A90" s="12">
        <v>45572</v>
      </c>
      <c r="B90" s="13" t="s">
        <v>480</v>
      </c>
      <c r="C90" s="10">
        <v>1</v>
      </c>
      <c r="D90" s="10"/>
      <c r="E90" s="7">
        <f>+$I$2+(ALIJONA[[#This Row],[QUANTITE]]*ALIJONA[[#This Row],[PRIX UNITAIRE]])</f>
        <v>0</v>
      </c>
      <c r="F90" s="157"/>
      <c r="G90" s="6">
        <f>+SUM(E$9:$E90)-SUM(F$9:$F90)</f>
        <v>9837500</v>
      </c>
    </row>
    <row r="91" spans="1:7" ht="28.8" x14ac:dyDescent="0.55000000000000004">
      <c r="A91" s="12">
        <v>45580</v>
      </c>
      <c r="B91" s="13" t="s">
        <v>598</v>
      </c>
      <c r="C91" s="10">
        <v>4</v>
      </c>
      <c r="D91" s="10">
        <v>55000</v>
      </c>
      <c r="E91" s="7">
        <f>+$I$2+(ALIJONA[[#This Row],[QUANTITE]]*ALIJONA[[#This Row],[PRIX UNITAIRE]])</f>
        <v>220000</v>
      </c>
      <c r="F91" s="157">
        <v>0</v>
      </c>
      <c r="G91" s="6">
        <f>+SUM(E$9:$E91)-SUM(F$9:$F91)</f>
        <v>10057500</v>
      </c>
    </row>
    <row r="92" spans="1:7" ht="28.8" x14ac:dyDescent="0.55000000000000004">
      <c r="A92" s="12">
        <v>45580</v>
      </c>
      <c r="B92" s="13" t="s">
        <v>534</v>
      </c>
      <c r="C92" s="10">
        <v>2</v>
      </c>
      <c r="D92" s="10">
        <v>45000</v>
      </c>
      <c r="E92" s="7">
        <f>+$I$2+(ALIJONA[[#This Row],[QUANTITE]]*ALIJONA[[#This Row],[PRIX UNITAIRE]])</f>
        <v>90000</v>
      </c>
      <c r="F92" s="157">
        <v>0</v>
      </c>
      <c r="G92" s="6">
        <f>+SUM(E$9:$E92)-SUM(F$9:$F92)</f>
        <v>10147500</v>
      </c>
    </row>
    <row r="93" spans="1:7" ht="28.8" x14ac:dyDescent="0.55000000000000004">
      <c r="A93" s="12"/>
      <c r="B93" s="13" t="s">
        <v>535</v>
      </c>
      <c r="C93" s="10">
        <v>4</v>
      </c>
      <c r="D93" s="10">
        <v>30000</v>
      </c>
      <c r="E93" s="7">
        <f>+$I$2+(ALIJONA[[#This Row],[QUANTITE]]*ALIJONA[[#This Row],[PRIX UNITAIRE]])</f>
        <v>120000</v>
      </c>
      <c r="F93" s="157">
        <v>0</v>
      </c>
      <c r="G93" s="6">
        <f>+SUM(E$9:$E93)-SUM(F$9:$F93)</f>
        <v>10267500</v>
      </c>
    </row>
    <row r="94" spans="1:7" ht="28.8" x14ac:dyDescent="0.55000000000000004">
      <c r="A94" s="12">
        <v>45590</v>
      </c>
      <c r="B94" s="13" t="s">
        <v>536</v>
      </c>
      <c r="C94" s="10">
        <v>1</v>
      </c>
      <c r="D94" s="10">
        <v>0</v>
      </c>
      <c r="E94" s="7">
        <f>+$I$2+(ALIJONA[[#This Row],[QUANTITE]]*ALIJONA[[#This Row],[PRIX UNITAIRE]])</f>
        <v>0</v>
      </c>
      <c r="F94" s="157">
        <v>1500000</v>
      </c>
      <c r="G94" s="6">
        <f>+SUM(E$9:$E94)-SUM(F$9:$F94)</f>
        <v>8767500</v>
      </c>
    </row>
    <row r="95" spans="1:7" ht="28.8" x14ac:dyDescent="0.55000000000000004">
      <c r="A95" s="12">
        <v>45603</v>
      </c>
      <c r="B95" s="13" t="s">
        <v>480</v>
      </c>
      <c r="C95" s="10">
        <v>1</v>
      </c>
      <c r="D95" s="10">
        <v>10000</v>
      </c>
      <c r="E95" s="7">
        <f>+$I$2+(ALIJONA[[#This Row],[QUANTITE]]*ALIJONA[[#This Row],[PRIX UNITAIRE]])</f>
        <v>10000</v>
      </c>
      <c r="F95" s="157"/>
      <c r="G95" s="6">
        <f>+SUM(E$9:$E95)-SUM(F$9:$F95)</f>
        <v>8777500</v>
      </c>
    </row>
    <row r="96" spans="1:7" ht="28.8" x14ac:dyDescent="0.55000000000000004">
      <c r="A96" s="12">
        <v>45608</v>
      </c>
      <c r="B96" s="13" t="s">
        <v>537</v>
      </c>
      <c r="C96" s="10">
        <v>1</v>
      </c>
      <c r="D96" s="10">
        <v>30000</v>
      </c>
      <c r="E96" s="7">
        <f>+$I$2+(ALIJONA[[#This Row],[QUANTITE]]*ALIJONA[[#This Row],[PRIX UNITAIRE]])</f>
        <v>30000</v>
      </c>
      <c r="F96" s="157"/>
      <c r="G96" s="6">
        <f>+SUM(E$9:$E96)-SUM(F$9:$F96)</f>
        <v>8807500</v>
      </c>
    </row>
    <row r="97" spans="1:7" ht="28.8" x14ac:dyDescent="0.55000000000000004">
      <c r="A97" s="12">
        <v>45608</v>
      </c>
      <c r="B97" s="13" t="s">
        <v>425</v>
      </c>
      <c r="C97" s="10">
        <v>1</v>
      </c>
      <c r="D97" s="10">
        <v>1</v>
      </c>
      <c r="E97" s="7">
        <f>+$I$2+(ALIJONA[[#This Row],[QUANTITE]]*ALIJONA[[#This Row],[PRIX UNITAIRE]])</f>
        <v>1</v>
      </c>
      <c r="F97" s="157"/>
      <c r="G97" s="6">
        <f>+SUM(E$9:$E97)-SUM(F$9:$F97)</f>
        <v>8807501</v>
      </c>
    </row>
    <row r="98" spans="1:7" ht="28.8" x14ac:dyDescent="0.55000000000000004">
      <c r="A98" s="12">
        <v>45631</v>
      </c>
      <c r="B98" s="13" t="s">
        <v>538</v>
      </c>
      <c r="C98" s="10">
        <v>1</v>
      </c>
      <c r="D98" s="10">
        <v>145000</v>
      </c>
      <c r="E98" s="7">
        <f>+$I$2+(ALIJONA[[#This Row],[QUANTITE]]*ALIJONA[[#This Row],[PRIX UNITAIRE]])</f>
        <v>145000</v>
      </c>
      <c r="F98" s="157"/>
      <c r="G98" s="6">
        <f>+SUM(E$9:$E98)-SUM(F$9:$F98)</f>
        <v>8952501</v>
      </c>
    </row>
    <row r="99" spans="1:7" ht="28.8" x14ac:dyDescent="0.55000000000000004">
      <c r="A99" s="12">
        <v>45675</v>
      </c>
      <c r="B99" s="13" t="s">
        <v>539</v>
      </c>
      <c r="C99" s="10"/>
      <c r="D99" s="10"/>
      <c r="E99" s="7">
        <f>+$I$2+(ALIJONA[[#This Row],[QUANTITE]]*ALIJONA[[#This Row],[PRIX UNITAIRE]])</f>
        <v>0</v>
      </c>
      <c r="F99" s="157"/>
      <c r="G99" s="6">
        <f>+SUM(E$9:$E99)-SUM(F$9:$F99)</f>
        <v>8952501</v>
      </c>
    </row>
    <row r="100" spans="1:7" ht="28.8" x14ac:dyDescent="0.55000000000000004">
      <c r="A100" s="12">
        <v>45742</v>
      </c>
      <c r="B100" s="13" t="s">
        <v>259</v>
      </c>
      <c r="C100" s="10"/>
      <c r="D100" s="10"/>
      <c r="E100" s="7">
        <f>+$I$2+(ALIJONA[[#This Row],[QUANTITE]]*ALIJONA[[#This Row],[PRIX UNITAIRE]])</f>
        <v>0</v>
      </c>
      <c r="F100" s="157">
        <v>3000000</v>
      </c>
      <c r="G100" s="6">
        <f>+SUM(E$9:$E100)-SUM(F$9:$F100)</f>
        <v>5952501</v>
      </c>
    </row>
    <row r="101" spans="1:7" ht="28.8" x14ac:dyDescent="0.55000000000000004">
      <c r="A101" s="12">
        <v>45751</v>
      </c>
      <c r="B101" s="13" t="s">
        <v>259</v>
      </c>
      <c r="C101" s="10"/>
      <c r="D101" s="10"/>
      <c r="E101" s="7">
        <f>+$I$2+(ALIJONA[[#This Row],[QUANTITE]]*ALIJONA[[#This Row],[PRIX UNITAIRE]])</f>
        <v>0</v>
      </c>
      <c r="F101" s="157">
        <v>1000000</v>
      </c>
      <c r="G101" s="6">
        <f>+SUM(E$9:$E101)-SUM(F$9:$F101)</f>
        <v>4952501</v>
      </c>
    </row>
    <row r="102" spans="1:7" ht="28.8" x14ac:dyDescent="0.55000000000000004">
      <c r="A102" s="12"/>
      <c r="B102" s="13"/>
      <c r="C102" s="10">
        <v>1</v>
      </c>
      <c r="D102" s="10">
        <v>200000</v>
      </c>
      <c r="E102" s="7">
        <f>+$I$2+(ALIJONA[[#This Row],[QUANTITE]]*ALIJONA[[#This Row],[PRIX UNITAIRE]])</f>
        <v>200000</v>
      </c>
      <c r="F102" s="157"/>
      <c r="G102" s="6">
        <f>+SUM(E$9:$E102)-SUM(F$9:$F102)</f>
        <v>5152501</v>
      </c>
    </row>
    <row r="103" spans="1:7" ht="28.8" x14ac:dyDescent="0.55000000000000004">
      <c r="A103" s="12"/>
      <c r="B103" s="13" t="s">
        <v>540</v>
      </c>
      <c r="C103" s="10"/>
      <c r="D103" s="10"/>
      <c r="E103" s="7">
        <f>+$I$2+(ALIJONA[[#This Row],[QUANTITE]]*ALIJONA[[#This Row],[PRIX UNITAIRE]])</f>
        <v>0</v>
      </c>
      <c r="F103" s="157">
        <v>4000000</v>
      </c>
      <c r="G103" s="6">
        <f>+SUM(E$9:$E103)-SUM(F$9:$F103)</f>
        <v>1152501</v>
      </c>
    </row>
    <row r="104" spans="1:7" ht="28.8" x14ac:dyDescent="0.55000000000000004">
      <c r="A104" s="12">
        <v>45832</v>
      </c>
      <c r="B104" s="13" t="s">
        <v>1262</v>
      </c>
      <c r="C104" s="10">
        <v>4</v>
      </c>
      <c r="D104" s="10">
        <v>55000</v>
      </c>
      <c r="E104" s="7">
        <f>+$I$2+(ALIJONA[[#This Row],[QUANTITE]]*ALIJONA[[#This Row],[PRIX UNITAIRE]])</f>
        <v>220000</v>
      </c>
      <c r="F104" s="157"/>
      <c r="G104" s="6">
        <f>+SUM(E$9:$E104)-SUM(F$9:$F104)</f>
        <v>1372501</v>
      </c>
    </row>
    <row r="105" spans="1:7" ht="28.8" x14ac:dyDescent="0.55000000000000004">
      <c r="A105" s="12">
        <v>45849</v>
      </c>
      <c r="B105" s="13" t="s">
        <v>2736</v>
      </c>
      <c r="C105" s="10">
        <v>4</v>
      </c>
      <c r="D105" s="10">
        <v>160000</v>
      </c>
      <c r="E105" s="7">
        <f>+$I$2+(ALIJONA[[#This Row],[QUANTITE]]*ALIJONA[[#This Row],[PRIX UNITAIRE]])</f>
        <v>640000</v>
      </c>
      <c r="F105" s="157"/>
      <c r="G105" s="6">
        <f>+SUM(E$9:$E105)-SUM(F$9:$F105)</f>
        <v>2012501</v>
      </c>
    </row>
    <row r="106" spans="1:7" ht="28.8" x14ac:dyDescent="0.55000000000000004">
      <c r="A106" s="12">
        <v>45849</v>
      </c>
      <c r="B106" s="13" t="s">
        <v>259</v>
      </c>
      <c r="C106" s="10"/>
      <c r="D106" s="10"/>
      <c r="E106" s="7">
        <f>+$I$2+(ALIJONA[[#This Row],[QUANTITE]]*ALIJONA[[#This Row],[PRIX UNITAIRE]])</f>
        <v>0</v>
      </c>
      <c r="F106" s="157">
        <v>640000</v>
      </c>
      <c r="G106" s="6">
        <f>+SUM(E$9:$E106)-SUM(F$9:$F106)</f>
        <v>1372501</v>
      </c>
    </row>
    <row r="107" spans="1:7" ht="28.8" x14ac:dyDescent="0.55000000000000004">
      <c r="A107" s="12">
        <v>45903</v>
      </c>
      <c r="B107" s="13" t="s">
        <v>2937</v>
      </c>
      <c r="C107" s="10">
        <v>4</v>
      </c>
      <c r="D107" s="10">
        <v>45000</v>
      </c>
      <c r="E107" s="7">
        <f>+$I$2+(ALIJONA[[#This Row],[QUANTITE]]*ALIJONA[[#This Row],[PRIX UNITAIRE]])</f>
        <v>180000</v>
      </c>
      <c r="F107" s="157"/>
      <c r="G107" s="6">
        <f>+SUM(E$9:$E107)-SUM(F$9:$F107)</f>
        <v>1552501</v>
      </c>
    </row>
    <row r="108" spans="1:7" ht="28.8" x14ac:dyDescent="0.55000000000000004">
      <c r="A108" s="12">
        <v>45931</v>
      </c>
      <c r="B108" s="13" t="s">
        <v>3060</v>
      </c>
      <c r="C108" s="10">
        <v>4</v>
      </c>
      <c r="D108" s="10">
        <v>60000</v>
      </c>
      <c r="E108" s="7">
        <f>+$I$2+(ALIJONA[[#This Row],[QUANTITE]]*ALIJONA[[#This Row],[PRIX UNITAIRE]])</f>
        <v>240000</v>
      </c>
      <c r="F108" s="157"/>
      <c r="G108" s="6">
        <f>+SUM(E$9:$E108)-SUM(F$9:$F108)</f>
        <v>1792501</v>
      </c>
    </row>
    <row r="109" spans="1:7" ht="28.8" x14ac:dyDescent="0.55000000000000004">
      <c r="A109" s="12">
        <v>45945</v>
      </c>
      <c r="B109" s="13" t="s">
        <v>1242</v>
      </c>
      <c r="C109" s="10">
        <v>4</v>
      </c>
      <c r="D109" s="10">
        <v>60000</v>
      </c>
      <c r="E109" s="7">
        <f>+$I$2+(ALIJONA[[#This Row],[QUANTITE]]*ALIJONA[[#This Row],[PRIX UNITAIRE]])</f>
        <v>240000</v>
      </c>
      <c r="F109" s="157"/>
      <c r="G109" s="6">
        <f>+SUM(E$9:$E109)-SUM(F$9:$F109)</f>
        <v>2032501</v>
      </c>
    </row>
    <row r="110" spans="1:7" ht="28.8" x14ac:dyDescent="0.55000000000000004">
      <c r="A110" s="12">
        <v>45945</v>
      </c>
      <c r="B110" s="13" t="s">
        <v>3058</v>
      </c>
      <c r="C110" s="10">
        <v>4</v>
      </c>
      <c r="D110" s="10">
        <v>50000</v>
      </c>
      <c r="E110" s="7">
        <f>+$I$2+(ALIJONA[[#This Row],[QUANTITE]]*ALIJONA[[#This Row],[PRIX UNITAIRE]])</f>
        <v>200000</v>
      </c>
      <c r="F110" s="157"/>
      <c r="G110" s="6">
        <f>+SUM(E$9:$E110)-SUM(F$9:$F110)</f>
        <v>2232501</v>
      </c>
    </row>
    <row r="111" spans="1:7" ht="28.8" x14ac:dyDescent="0.55000000000000004">
      <c r="A111" s="12">
        <v>45950</v>
      </c>
      <c r="B111" s="13" t="s">
        <v>3156</v>
      </c>
      <c r="C111" s="10">
        <v>2</v>
      </c>
      <c r="D111" s="10">
        <v>85000</v>
      </c>
      <c r="E111" s="7">
        <f>+$I$2+(ALIJONA[[#This Row],[QUANTITE]]*ALIJONA[[#This Row],[PRIX UNITAIRE]])</f>
        <v>170000</v>
      </c>
      <c r="F111" s="157">
        <v>170000</v>
      </c>
      <c r="G111" s="6">
        <f>+SUM(E$9:$E111)-SUM(F$9:$F111)</f>
        <v>2232501</v>
      </c>
    </row>
    <row r="112" spans="1:7" ht="28.8" x14ac:dyDescent="0.55000000000000004">
      <c r="A112" s="12">
        <v>45954</v>
      </c>
      <c r="B112" s="13" t="s">
        <v>3410</v>
      </c>
      <c r="C112" s="10">
        <v>4</v>
      </c>
      <c r="D112" s="10">
        <v>240000</v>
      </c>
      <c r="E112" s="7">
        <f>+$I$2+(ALIJONA[[#This Row],[QUANTITE]]*ALIJONA[[#This Row],[PRIX UNITAIRE]])</f>
        <v>960000</v>
      </c>
      <c r="F112" s="157">
        <v>1250000</v>
      </c>
      <c r="G112" s="6">
        <f>+SUM(E$9:$E112)-SUM(F$9:$F112)</f>
        <v>1942501</v>
      </c>
    </row>
    <row r="113" spans="1:7" ht="28.8" x14ac:dyDescent="0.55000000000000004">
      <c r="A113" s="12">
        <v>45958</v>
      </c>
      <c r="B113" s="13" t="s">
        <v>3193</v>
      </c>
      <c r="C113" s="10">
        <v>6</v>
      </c>
      <c r="D113" s="10">
        <v>10000</v>
      </c>
      <c r="E113" s="7">
        <f>+$I$2+(ALIJONA[[#This Row],[QUANTITE]]*ALIJONA[[#This Row],[PRIX UNITAIRE]])</f>
        <v>60000</v>
      </c>
      <c r="F113" s="157"/>
      <c r="G113" s="6">
        <f>+SUM(E$9:$E113)-SUM(F$9:$F113)</f>
        <v>2002501</v>
      </c>
    </row>
    <row r="114" spans="1:7" ht="28.8" x14ac:dyDescent="0.55000000000000004">
      <c r="A114" s="12">
        <v>45958</v>
      </c>
      <c r="B114" s="13" t="s">
        <v>535</v>
      </c>
      <c r="C114" s="10">
        <v>2</v>
      </c>
      <c r="D114" s="10">
        <v>40000</v>
      </c>
      <c r="E114" s="7">
        <f>+$I$2+(ALIJONA[[#This Row],[QUANTITE]]*ALIJONA[[#This Row],[PRIX UNITAIRE]])</f>
        <v>80000</v>
      </c>
      <c r="F114" s="157"/>
      <c r="G114" s="6">
        <f>+SUM(E$9:$E114)-SUM(F$9:$F114)</f>
        <v>2082501</v>
      </c>
    </row>
    <row r="115" spans="1:7" ht="28.8" x14ac:dyDescent="0.55000000000000004">
      <c r="A115" s="12">
        <v>45965</v>
      </c>
      <c r="B115" s="13" t="s">
        <v>3200</v>
      </c>
      <c r="C115" s="10">
        <v>2</v>
      </c>
      <c r="D115" s="10">
        <v>60000</v>
      </c>
      <c r="E115" s="7">
        <f>+$I$2+(ALIJONA[[#This Row],[QUANTITE]]*ALIJONA[[#This Row],[PRIX UNITAIRE]])</f>
        <v>120000</v>
      </c>
      <c r="F115" s="157"/>
      <c r="G115" s="6">
        <f>+SUM(E$9:$E115)-SUM(F$9:$F115)</f>
        <v>2202501</v>
      </c>
    </row>
    <row r="116" spans="1:7" ht="28.8" x14ac:dyDescent="0.55000000000000004">
      <c r="A116" s="12">
        <v>46008</v>
      </c>
      <c r="B116" s="160" t="s">
        <v>259</v>
      </c>
      <c r="C116" s="10"/>
      <c r="D116" s="10"/>
      <c r="E116" s="7">
        <f>+$I$2+(ALIJONA[[#This Row],[QUANTITE]]*ALIJONA[[#This Row],[PRIX UNITAIRE]])</f>
        <v>0</v>
      </c>
      <c r="F116" s="157">
        <v>1000000</v>
      </c>
      <c r="G116" s="6">
        <f>+SUM(E$9:$E116)-SUM(F$9:$F116)</f>
        <v>1202501</v>
      </c>
    </row>
    <row r="117" spans="1:7" ht="28.8" x14ac:dyDescent="0.55000000000000004">
      <c r="A117" s="12">
        <v>46071</v>
      </c>
      <c r="B117" s="160" t="s">
        <v>501</v>
      </c>
      <c r="C117" s="10">
        <v>1</v>
      </c>
      <c r="D117" s="10"/>
      <c r="E117" s="7">
        <f>+$I$2+(ALIJONA[[#This Row],[QUANTITE]]*ALIJONA[[#This Row],[PRIX UNITAIRE]])</f>
        <v>0</v>
      </c>
      <c r="F117" s="157">
        <v>40079</v>
      </c>
      <c r="G117" s="6">
        <f>+SUM(E$9:$E117)-SUM(F$9:$F117)</f>
        <v>1162422</v>
      </c>
    </row>
    <row r="118" spans="1:7" ht="28.8" x14ac:dyDescent="0.55000000000000004">
      <c r="A118" s="12"/>
      <c r="B118" s="13"/>
      <c r="C118" s="10"/>
      <c r="D118" s="10"/>
      <c r="E118" s="7">
        <f>+$I$2+(ALIJONA[[#This Row],[QUANTITE]]*ALIJONA[[#This Row],[PRIX UNITAIRE]])</f>
        <v>0</v>
      </c>
      <c r="F118" s="157"/>
      <c r="G118" s="6">
        <f>+SUM(E$9:$E118)-SUM(F$9:$F118)</f>
        <v>1162422</v>
      </c>
    </row>
    <row r="119" spans="1:7" ht="28.8" x14ac:dyDescent="0.55000000000000004">
      <c r="A119" s="12"/>
      <c r="B119" s="13"/>
      <c r="C119" s="10"/>
      <c r="D119" s="10"/>
      <c r="E119" s="7">
        <f>+$I$2+(ALIJONA[[#This Row],[QUANTITE]]*ALIJONA[[#This Row],[PRIX UNITAIRE]])</f>
        <v>0</v>
      </c>
      <c r="F119" s="157"/>
      <c r="G119" s="6">
        <f>+SUM(E$9:$E119)-SUM(F$9:$F119)</f>
        <v>1162422</v>
      </c>
    </row>
    <row r="120" spans="1:7" ht="28.8" x14ac:dyDescent="0.55000000000000004">
      <c r="A120" s="12"/>
      <c r="B120" s="13"/>
      <c r="C120" s="10"/>
      <c r="D120" s="10"/>
      <c r="E120" s="7">
        <f>+$I$2+(ALIJONA[[#This Row],[QUANTITE]]*ALIJONA[[#This Row],[PRIX UNITAIRE]])</f>
        <v>0</v>
      </c>
      <c r="F120" s="157"/>
      <c r="G120" s="6">
        <f>+SUM(E$9:$E120)-SUM(F$9:$F120)</f>
        <v>1162422</v>
      </c>
    </row>
    <row r="121" spans="1:7" ht="28.8" x14ac:dyDescent="0.55000000000000004">
      <c r="A121" s="12"/>
      <c r="B121" s="13"/>
      <c r="C121" s="10"/>
      <c r="D121" s="10"/>
      <c r="E121" s="7">
        <f>+$I$2+(ALIJONA[[#This Row],[QUANTITE]]*ALIJONA[[#This Row],[PRIX UNITAIRE]])</f>
        <v>0</v>
      </c>
      <c r="F121" s="157"/>
      <c r="G121" s="6">
        <f>+SUM(E$9:$E121)-SUM(F$9:$F121)</f>
        <v>1162422</v>
      </c>
    </row>
    <row r="122" spans="1:7" ht="28.8" x14ac:dyDescent="0.55000000000000004">
      <c r="A122" s="12"/>
      <c r="B122" s="13"/>
      <c r="C122" s="10"/>
      <c r="D122" s="10"/>
      <c r="E122" s="7">
        <f>+$I$2+(ALIJONA[[#This Row],[QUANTITE]]*ALIJONA[[#This Row],[PRIX UNITAIRE]])</f>
        <v>0</v>
      </c>
      <c r="F122" s="157"/>
      <c r="G122" s="6">
        <f>+SUM(E$9:$E122)-SUM(F$9:$F122)</f>
        <v>1162422</v>
      </c>
    </row>
    <row r="123" spans="1:7" ht="28.8" x14ac:dyDescent="0.55000000000000004">
      <c r="A123" s="12"/>
      <c r="B123" s="13"/>
      <c r="C123" s="10"/>
      <c r="D123" s="10"/>
      <c r="E123" s="7">
        <f>+$I$2+(ALIJONA[[#This Row],[QUANTITE]]*ALIJONA[[#This Row],[PRIX UNITAIRE]])</f>
        <v>0</v>
      </c>
      <c r="F123" s="157"/>
      <c r="G123" s="6">
        <f>+SUM(E$9:$E123)-SUM(F$9:$F123)</f>
        <v>1162422</v>
      </c>
    </row>
    <row r="124" spans="1:7" ht="28.8" x14ac:dyDescent="0.55000000000000004">
      <c r="A124" s="12"/>
      <c r="B124" s="13"/>
      <c r="C124" s="10"/>
      <c r="D124" s="10"/>
      <c r="E124" s="7">
        <f>+$I$2+(ALIJONA[[#This Row],[QUANTITE]]*ALIJONA[[#This Row],[PRIX UNITAIRE]])</f>
        <v>0</v>
      </c>
      <c r="F124" s="157"/>
      <c r="G124" s="6">
        <f>+SUM(E$9:$E124)-SUM(F$9:$F124)</f>
        <v>1162422</v>
      </c>
    </row>
    <row r="125" spans="1:7" ht="28.8" x14ac:dyDescent="0.55000000000000004">
      <c r="A125" s="12"/>
      <c r="B125" s="13"/>
      <c r="C125" s="10"/>
      <c r="D125" s="10"/>
      <c r="E125" s="7">
        <f>+$I$2+(ALIJONA[[#This Row],[QUANTITE]]*ALIJONA[[#This Row],[PRIX UNITAIRE]])</f>
        <v>0</v>
      </c>
      <c r="F125" s="157"/>
      <c r="G125" s="6">
        <f>+SUM(E$9:$E125)-SUM(F$9:$F125)</f>
        <v>1162422</v>
      </c>
    </row>
    <row r="126" spans="1:7" ht="28.8" x14ac:dyDescent="0.55000000000000004">
      <c r="A126" s="12"/>
      <c r="B126" s="13"/>
      <c r="C126" s="10"/>
      <c r="D126" s="10"/>
      <c r="E126" s="7">
        <f>+$I$2+(ALIJONA[[#This Row],[QUANTITE]]*ALIJONA[[#This Row],[PRIX UNITAIRE]])</f>
        <v>0</v>
      </c>
      <c r="F126" s="157"/>
      <c r="G126" s="6">
        <f>+SUM(E$9:$E126)-SUM(F$9:$F126)</f>
        <v>1162422</v>
      </c>
    </row>
    <row r="127" spans="1:7" ht="28.8" x14ac:dyDescent="0.55000000000000004">
      <c r="A127" s="12"/>
      <c r="B127" s="13"/>
      <c r="C127" s="10"/>
      <c r="D127" s="10"/>
      <c r="E127" s="7">
        <f>+$I$2+(ALIJONA[[#This Row],[QUANTITE]]*ALIJONA[[#This Row],[PRIX UNITAIRE]])</f>
        <v>0</v>
      </c>
      <c r="F127" s="157"/>
      <c r="G127" s="6">
        <f>+SUM(E$9:$E127)-SUM(F$9:$F127)</f>
        <v>1162422</v>
      </c>
    </row>
    <row r="128" spans="1:7" ht="28.8" x14ac:dyDescent="0.55000000000000004">
      <c r="A128" s="12"/>
      <c r="B128" s="13"/>
      <c r="C128" s="10"/>
      <c r="D128" s="10"/>
      <c r="E128" s="7">
        <f>+$I$2+(ALIJONA[[#This Row],[QUANTITE]]*ALIJONA[[#This Row],[PRIX UNITAIRE]])</f>
        <v>0</v>
      </c>
      <c r="F128" s="157"/>
      <c r="G128" s="6">
        <f>+SUM(E$9:$E128)-SUM(F$9:$F128)</f>
        <v>1162422</v>
      </c>
    </row>
    <row r="129" spans="1:7" ht="28.8" x14ac:dyDescent="0.55000000000000004">
      <c r="A129" s="12"/>
      <c r="B129" s="13"/>
      <c r="C129" s="10"/>
      <c r="D129" s="10"/>
      <c r="E129" s="7">
        <f>+$I$2+(ALIJONA[[#This Row],[QUANTITE]]*ALIJONA[[#This Row],[PRIX UNITAIRE]])</f>
        <v>0</v>
      </c>
      <c r="F129" s="157"/>
      <c r="G129" s="6">
        <f>+SUM(E$9:$E129)-SUM(F$9:$F129)</f>
        <v>1162422</v>
      </c>
    </row>
    <row r="130" spans="1:7" ht="28.8" x14ac:dyDescent="0.55000000000000004">
      <c r="A130" s="12"/>
      <c r="B130" s="13"/>
      <c r="C130" s="10"/>
      <c r="D130" s="10"/>
      <c r="E130" s="7">
        <f>+$I$2+(ALIJONA[[#This Row],[QUANTITE]]*ALIJONA[[#This Row],[PRIX UNITAIRE]])</f>
        <v>0</v>
      </c>
      <c r="F130" s="157"/>
      <c r="G130" s="6">
        <f>+SUM(E$9:$E130)-SUM(F$9:$F130)</f>
        <v>1162422</v>
      </c>
    </row>
    <row r="131" spans="1:7" ht="28.8" x14ac:dyDescent="0.55000000000000004">
      <c r="A131" s="12"/>
      <c r="B131" s="13"/>
      <c r="C131" s="10"/>
      <c r="D131" s="10"/>
      <c r="E131" s="7">
        <f>+$I$2+(ALIJONA[[#This Row],[QUANTITE]]*ALIJONA[[#This Row],[PRIX UNITAIRE]])</f>
        <v>0</v>
      </c>
      <c r="F131" s="157"/>
      <c r="G131" s="6">
        <f>+SUM(E$9:$E131)-SUM(F$9:$F131)</f>
        <v>1162422</v>
      </c>
    </row>
    <row r="132" spans="1:7" ht="28.8" x14ac:dyDescent="0.55000000000000004">
      <c r="A132" s="12"/>
      <c r="B132" s="13"/>
      <c r="C132" s="10"/>
      <c r="D132" s="10"/>
      <c r="E132" s="7">
        <f>+$I$2+(ALIJONA[[#This Row],[QUANTITE]]*ALIJONA[[#This Row],[PRIX UNITAIRE]])</f>
        <v>0</v>
      </c>
      <c r="F132" s="157"/>
      <c r="G132" s="6">
        <f>+SUM(E$9:$E132)-SUM(F$9:$F132)</f>
        <v>1162422</v>
      </c>
    </row>
    <row r="133" spans="1:7" ht="28.8" x14ac:dyDescent="0.55000000000000004">
      <c r="A133" s="12"/>
      <c r="B133" s="13"/>
      <c r="C133" s="10"/>
      <c r="D133" s="10"/>
      <c r="E133" s="7">
        <f>+$I$2+(ALIJONA[[#This Row],[QUANTITE]]*ALIJONA[[#This Row],[PRIX UNITAIRE]])</f>
        <v>0</v>
      </c>
      <c r="F133" s="157"/>
      <c r="G133" s="6">
        <f>+SUM(E$9:$E133)-SUM(F$9:$F133)</f>
        <v>1162422</v>
      </c>
    </row>
    <row r="134" spans="1:7" ht="28.8" x14ac:dyDescent="0.55000000000000004">
      <c r="A134" s="12"/>
      <c r="B134" s="13"/>
      <c r="C134" s="10"/>
      <c r="D134" s="10"/>
      <c r="E134" s="7">
        <f>+$I$2+(ALIJONA[[#This Row],[QUANTITE]]*ALIJONA[[#This Row],[PRIX UNITAIRE]])</f>
        <v>0</v>
      </c>
      <c r="F134" s="157"/>
      <c r="G134" s="6">
        <f>+SUM(E$9:$E134)-SUM(F$9:$F134)</f>
        <v>1162422</v>
      </c>
    </row>
    <row r="135" spans="1:7" ht="28.8" x14ac:dyDescent="0.55000000000000004">
      <c r="A135" s="12"/>
      <c r="B135" s="13"/>
      <c r="C135" s="10"/>
      <c r="D135" s="10"/>
      <c r="E135" s="7">
        <f>+$I$2+(ALIJONA[[#This Row],[QUANTITE]]*ALIJONA[[#This Row],[PRIX UNITAIRE]])</f>
        <v>0</v>
      </c>
      <c r="F135" s="157"/>
      <c r="G135" s="6">
        <f>+SUM(E$9:$E135)-SUM(F$9:$F135)</f>
        <v>1162422</v>
      </c>
    </row>
    <row r="136" spans="1:7" ht="28.8" x14ac:dyDescent="0.55000000000000004">
      <c r="A136" s="12"/>
      <c r="B136" s="13"/>
      <c r="C136" s="10"/>
      <c r="D136" s="10"/>
      <c r="E136" s="7">
        <f>+$I$2+(ALIJONA[[#This Row],[QUANTITE]]*ALIJONA[[#This Row],[PRIX UNITAIRE]])</f>
        <v>0</v>
      </c>
      <c r="F136" s="157"/>
      <c r="G136" s="6">
        <f>+SUM(E$9:$E136)-SUM(F$9:$F136)</f>
        <v>1162422</v>
      </c>
    </row>
    <row r="137" spans="1:7" ht="28.8" x14ac:dyDescent="0.55000000000000004">
      <c r="A137" s="12"/>
      <c r="B137" s="13"/>
      <c r="C137" s="10"/>
      <c r="D137" s="10"/>
      <c r="E137" s="7">
        <f>+$I$2+(ALIJONA[[#This Row],[QUANTITE]]*ALIJONA[[#This Row],[PRIX UNITAIRE]])</f>
        <v>0</v>
      </c>
      <c r="F137" s="157"/>
      <c r="G137" s="6">
        <f>+SUM(E$9:$E137)-SUM(F$9:$F137)</f>
        <v>1162422</v>
      </c>
    </row>
    <row r="138" spans="1:7" ht="28.8" x14ac:dyDescent="0.55000000000000004">
      <c r="A138" s="12"/>
      <c r="B138" s="13"/>
      <c r="C138" s="10"/>
      <c r="D138" s="10"/>
      <c r="E138" s="7">
        <f>+$I$2+(ALIJONA[[#This Row],[QUANTITE]]*ALIJONA[[#This Row],[PRIX UNITAIRE]])</f>
        <v>0</v>
      </c>
      <c r="F138" s="157"/>
      <c r="G138" s="6">
        <f>+SUM(E$9:$E138)-SUM(F$9:$F138)</f>
        <v>1162422</v>
      </c>
    </row>
    <row r="139" spans="1:7" ht="28.8" x14ac:dyDescent="0.55000000000000004">
      <c r="A139" s="12"/>
      <c r="B139" s="13"/>
      <c r="C139" s="10"/>
      <c r="D139" s="10"/>
      <c r="E139" s="7">
        <f>+$I$2+(ALIJONA[[#This Row],[QUANTITE]]*ALIJONA[[#This Row],[PRIX UNITAIRE]])</f>
        <v>0</v>
      </c>
      <c r="F139" s="157"/>
      <c r="G139" s="6">
        <f>+SUM(E$9:$E139)-SUM(F$9:$F139)</f>
        <v>1162422</v>
      </c>
    </row>
    <row r="140" spans="1:7" ht="28.8" x14ac:dyDescent="0.55000000000000004">
      <c r="A140" s="12"/>
      <c r="B140" s="13"/>
      <c r="C140" s="10"/>
      <c r="D140" s="10"/>
      <c r="E140" s="7">
        <f>+$I$2+(ALIJONA[[#This Row],[QUANTITE]]*ALIJONA[[#This Row],[PRIX UNITAIRE]])</f>
        <v>0</v>
      </c>
      <c r="F140" s="157"/>
      <c r="G140" s="6">
        <f>+SUM(E$9:$E140)-SUM(F$9:$F140)</f>
        <v>1162422</v>
      </c>
    </row>
    <row r="141" spans="1:7" ht="28.8" x14ac:dyDescent="0.55000000000000004">
      <c r="A141" s="12"/>
      <c r="B141" s="13"/>
      <c r="C141" s="10"/>
      <c r="D141" s="10"/>
      <c r="E141" s="7">
        <f>+$I$2+(ALIJONA[[#This Row],[QUANTITE]]*ALIJONA[[#This Row],[PRIX UNITAIRE]])</f>
        <v>0</v>
      </c>
      <c r="F141" s="157"/>
      <c r="G141" s="6">
        <f>+SUM(E$9:$E141)-SUM(F$9:$F141)</f>
        <v>1162422</v>
      </c>
    </row>
    <row r="142" spans="1:7" ht="28.8" x14ac:dyDescent="0.55000000000000004">
      <c r="A142" s="12"/>
      <c r="B142" s="13"/>
      <c r="C142" s="10"/>
      <c r="D142" s="10"/>
      <c r="E142" s="7">
        <f>+$I$2+(ALIJONA[[#This Row],[QUANTITE]]*ALIJONA[[#This Row],[PRIX UNITAIRE]])</f>
        <v>0</v>
      </c>
      <c r="F142" s="157"/>
      <c r="G142" s="6">
        <f>+SUM(E$9:$E142)-SUM(F$9:$F142)</f>
        <v>1162422</v>
      </c>
    </row>
    <row r="143" spans="1:7" ht="28.8" x14ac:dyDescent="0.55000000000000004">
      <c r="A143" s="12"/>
      <c r="B143" s="13"/>
      <c r="C143" s="10"/>
      <c r="D143" s="10"/>
      <c r="E143" s="7">
        <f>+$I$2+(ALIJONA[[#This Row],[QUANTITE]]*ALIJONA[[#This Row],[PRIX UNITAIRE]])</f>
        <v>0</v>
      </c>
      <c r="F143" s="157"/>
      <c r="G143" s="6">
        <f>+SUM(E$9:$E143)-SUM(F$9:$F143)</f>
        <v>1162422</v>
      </c>
    </row>
    <row r="144" spans="1:7" ht="28.8" x14ac:dyDescent="0.55000000000000004">
      <c r="A144" s="12"/>
      <c r="B144" s="13"/>
      <c r="C144" s="10"/>
      <c r="D144" s="10"/>
      <c r="E144" s="7">
        <f>+$I$2+(ALIJONA[[#This Row],[QUANTITE]]*ALIJONA[[#This Row],[PRIX UNITAIRE]])</f>
        <v>0</v>
      </c>
      <c r="F144" s="157"/>
      <c r="G144" s="6">
        <f>+SUM(E$9:$E144)-SUM(F$9:$F144)</f>
        <v>1162422</v>
      </c>
    </row>
    <row r="145" spans="1:7" ht="28.8" x14ac:dyDescent="0.55000000000000004">
      <c r="A145" s="12"/>
      <c r="B145" s="13"/>
      <c r="C145" s="10"/>
      <c r="D145" s="10"/>
      <c r="E145" s="7">
        <f>+$I$2+(ALIJONA[[#This Row],[QUANTITE]]*ALIJONA[[#This Row],[PRIX UNITAIRE]])</f>
        <v>0</v>
      </c>
      <c r="F145" s="157"/>
      <c r="G145" s="6">
        <f>+SUM(E$9:$E145)-SUM(F$9:$F145)</f>
        <v>1162422</v>
      </c>
    </row>
    <row r="146" spans="1:7" ht="28.8" x14ac:dyDescent="0.55000000000000004">
      <c r="A146" s="12"/>
      <c r="B146" s="13"/>
      <c r="C146" s="10"/>
      <c r="D146" s="10"/>
      <c r="E146" s="7">
        <f>+$I$2+(ALIJONA[[#This Row],[QUANTITE]]*ALIJONA[[#This Row],[PRIX UNITAIRE]])</f>
        <v>0</v>
      </c>
      <c r="F146" s="157"/>
      <c r="G146" s="6">
        <f>+SUM(E$9:$E146)-SUM(F$9:$F146)</f>
        <v>1162422</v>
      </c>
    </row>
    <row r="147" spans="1:7" ht="28.8" x14ac:dyDescent="0.55000000000000004">
      <c r="A147" s="12"/>
      <c r="B147" s="13"/>
      <c r="C147" s="10"/>
      <c r="D147" s="10"/>
      <c r="E147" s="7">
        <f>+$I$2+(ALIJONA[[#This Row],[QUANTITE]]*ALIJONA[[#This Row],[PRIX UNITAIRE]])</f>
        <v>0</v>
      </c>
      <c r="F147" s="157"/>
      <c r="G147" s="6">
        <f>+SUM(E$9:$E147)-SUM(F$9:$F147)</f>
        <v>1162422</v>
      </c>
    </row>
    <row r="148" spans="1:7" ht="28.8" x14ac:dyDescent="0.55000000000000004">
      <c r="A148" s="12"/>
      <c r="B148" s="13"/>
      <c r="C148" s="10"/>
      <c r="D148" s="10"/>
      <c r="E148" s="7">
        <f>+$I$2+(ALIJONA[[#This Row],[QUANTITE]]*ALIJONA[[#This Row],[PRIX UNITAIRE]])</f>
        <v>0</v>
      </c>
      <c r="F148" s="157"/>
      <c r="G148" s="6">
        <f>+SUM(E$9:$E148)-SUM(F$9:$F148)</f>
        <v>1162422</v>
      </c>
    </row>
    <row r="149" spans="1:7" ht="28.8" x14ac:dyDescent="0.55000000000000004">
      <c r="A149" s="12"/>
      <c r="B149" s="13"/>
      <c r="C149" s="10"/>
      <c r="D149" s="10"/>
      <c r="E149" s="7">
        <f>+$I$2+(ALIJONA[[#This Row],[QUANTITE]]*ALIJONA[[#This Row],[PRIX UNITAIRE]])</f>
        <v>0</v>
      </c>
      <c r="F149" s="157"/>
      <c r="G149" s="6">
        <f>+SUM(E$9:$E149)-SUM(F$9:$F149)</f>
        <v>1162422</v>
      </c>
    </row>
    <row r="150" spans="1:7" ht="28.8" x14ac:dyDescent="0.55000000000000004">
      <c r="A150" s="12"/>
      <c r="B150" s="13"/>
      <c r="C150" s="10"/>
      <c r="D150" s="10"/>
      <c r="E150" s="7">
        <f>+$I$2+(ALIJONA[[#This Row],[QUANTITE]]*ALIJONA[[#This Row],[PRIX UNITAIRE]])</f>
        <v>0</v>
      </c>
      <c r="F150" s="157"/>
      <c r="G150" s="6">
        <f>+SUM(E$9:$E150)-SUM(F$9:$F150)</f>
        <v>1162422</v>
      </c>
    </row>
    <row r="151" spans="1:7" ht="28.8" x14ac:dyDescent="0.55000000000000004">
      <c r="A151" s="12"/>
      <c r="B151" s="13"/>
      <c r="C151" s="10"/>
      <c r="D151" s="10"/>
      <c r="E151" s="7">
        <f>+$I$2+(ALIJONA[[#This Row],[QUANTITE]]*ALIJONA[[#This Row],[PRIX UNITAIRE]])</f>
        <v>0</v>
      </c>
      <c r="F151" s="157"/>
      <c r="G151" s="6">
        <f>+SUM(E$9:$E151)-SUM(F$9:$F151)</f>
        <v>1162422</v>
      </c>
    </row>
    <row r="152" spans="1:7" ht="28.8" x14ac:dyDescent="0.55000000000000004">
      <c r="A152" s="12"/>
      <c r="B152" s="13"/>
      <c r="C152" s="10"/>
      <c r="D152" s="10"/>
      <c r="E152" s="7">
        <f>+$I$2+(ALIJONA[[#This Row],[QUANTITE]]*ALIJONA[[#This Row],[PRIX UNITAIRE]])</f>
        <v>0</v>
      </c>
      <c r="F152" s="157"/>
      <c r="G152" s="6">
        <f>+SUM(E$9:$E152)-SUM(F$9:$F152)</f>
        <v>1162422</v>
      </c>
    </row>
    <row r="153" spans="1:7" ht="28.8" x14ac:dyDescent="0.55000000000000004">
      <c r="A153" s="12"/>
      <c r="B153" s="13"/>
      <c r="C153" s="10"/>
      <c r="D153" s="10"/>
      <c r="E153" s="7">
        <f>+$I$2+(ALIJONA[[#This Row],[QUANTITE]]*ALIJONA[[#This Row],[PRIX UNITAIRE]])</f>
        <v>0</v>
      </c>
      <c r="F153" s="157"/>
      <c r="G153" s="6">
        <f>+SUM(E$9:$E153)-SUM(F$9:$F153)</f>
        <v>1162422</v>
      </c>
    </row>
  </sheetData>
  <sheetProtection selectLockedCells="1" autoFilter="0"/>
  <mergeCells count="1">
    <mergeCell ref="B6:C6"/>
  </mergeCells>
  <conditionalFormatting sqref="B9:B153">
    <cfRule type="expression" dxfId="423" priority="12">
      <formula>$F9</formula>
    </cfRule>
  </conditionalFormatting>
  <conditionalFormatting sqref="G4">
    <cfRule type="cellIs" dxfId="422" priority="2" operator="lessThan">
      <formula>0</formula>
    </cfRule>
    <cfRule type="cellIs" dxfId="421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153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/>
  <dimension ref="A1:I122"/>
  <sheetViews>
    <sheetView showGridLines="0" zoomScale="60" zoomScaleNormal="60" workbookViewId="0">
      <pane ySplit="8" topLeftCell="A96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30.44140625" style="1" bestFit="1" customWidth="1"/>
    <col min="5" max="5" width="33.77734375" bestFit="1" customWidth="1"/>
    <col min="6" max="6" width="34.77734375" style="1" bestFit="1" customWidth="1"/>
    <col min="7" max="7" width="24.3320312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+SUM(MEDIMADI[TOTAL MONTANT])</f>
        <v>4512000</v>
      </c>
      <c r="F4" s="41">
        <f>+SUM(MEDIMADI[VERSEMENT])</f>
        <v>3768000</v>
      </c>
      <c r="G4" s="130">
        <f>+E4-F4</f>
        <v>744000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780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44894</v>
      </c>
      <c r="B9" s="13" t="s">
        <v>781</v>
      </c>
      <c r="C9" s="10">
        <v>1</v>
      </c>
      <c r="D9" s="10">
        <v>95000</v>
      </c>
      <c r="E9" s="7">
        <f>+$I$2+(MEDIMADI[[#This Row],[QUANTITE]]*MEDIMADI[[#This Row],[PRIX UNITAIRE]])</f>
        <v>95000</v>
      </c>
      <c r="F9" s="20"/>
      <c r="G9" s="6">
        <f>+SUM(E$9:$E9)-SUM(F$9:$F9)</f>
        <v>95000</v>
      </c>
    </row>
    <row r="10" spans="1:9" ht="28.8" x14ac:dyDescent="0.55000000000000004">
      <c r="A10" s="12"/>
      <c r="B10" s="13" t="s">
        <v>782</v>
      </c>
      <c r="C10" s="10">
        <v>1</v>
      </c>
      <c r="D10" s="10">
        <v>30000</v>
      </c>
      <c r="E10" s="7">
        <f>+$I$2+(MEDIMADI[[#This Row],[QUANTITE]]*MEDIMADI[[#This Row],[PRIX UNITAIRE]])</f>
        <v>30000</v>
      </c>
      <c r="F10" s="21"/>
      <c r="G10" s="6">
        <f>+SUM(E$9:$E10)-SUM(F$9:$F10)</f>
        <v>125000</v>
      </c>
    </row>
    <row r="11" spans="1:9" ht="28.8" x14ac:dyDescent="0.55000000000000004">
      <c r="A11" s="12">
        <v>44894</v>
      </c>
      <c r="B11" s="13" t="s">
        <v>783</v>
      </c>
      <c r="C11" s="10">
        <v>2</v>
      </c>
      <c r="D11" s="10">
        <v>25000</v>
      </c>
      <c r="E11" s="7">
        <f>+$I$2+(MEDIMADI[[#This Row],[QUANTITE]]*MEDIMADI[[#This Row],[PRIX UNITAIRE]])</f>
        <v>50000</v>
      </c>
      <c r="F11" s="14"/>
      <c r="G11" s="6">
        <f>+SUM(E$9:$E11)-SUM(F$9:$F11)</f>
        <v>175000</v>
      </c>
    </row>
    <row r="12" spans="1:9" ht="28.8" x14ac:dyDescent="0.55000000000000004">
      <c r="A12" s="12"/>
      <c r="B12" s="13" t="s">
        <v>466</v>
      </c>
      <c r="C12" s="10">
        <v>1</v>
      </c>
      <c r="D12" s="10">
        <v>10000</v>
      </c>
      <c r="E12" s="7">
        <f>+$I$2+(MEDIMADI[[#This Row],[QUANTITE]]*MEDIMADI[[#This Row],[PRIX UNITAIRE]])</f>
        <v>10000</v>
      </c>
      <c r="F12" s="14"/>
      <c r="G12" s="6">
        <f>+SUM(E$9:$E12)-SUM(F$9:$F12)</f>
        <v>185000</v>
      </c>
    </row>
    <row r="13" spans="1:9" ht="28.8" x14ac:dyDescent="0.55000000000000004">
      <c r="A13" s="12">
        <v>44899</v>
      </c>
      <c r="B13" s="13" t="s">
        <v>784</v>
      </c>
      <c r="C13" s="10">
        <v>1</v>
      </c>
      <c r="D13" s="10">
        <v>100000</v>
      </c>
      <c r="E13" s="7">
        <f>+$I$2+(MEDIMADI[[#This Row],[QUANTITE]]*MEDIMADI[[#This Row],[PRIX UNITAIRE]])</f>
        <v>100000</v>
      </c>
      <c r="F13" s="14"/>
      <c r="G13" s="6">
        <f>+SUM(E$9:$E13)-SUM(F$9:$F13)</f>
        <v>285000</v>
      </c>
    </row>
    <row r="14" spans="1:9" ht="28.8" x14ac:dyDescent="0.55000000000000004">
      <c r="A14" s="12"/>
      <c r="B14" s="13" t="s">
        <v>785</v>
      </c>
      <c r="C14" s="10">
        <v>1</v>
      </c>
      <c r="D14" s="10">
        <v>5000</v>
      </c>
      <c r="E14" s="7">
        <f>+$I$2+(MEDIMADI[[#This Row],[QUANTITE]]*MEDIMADI[[#This Row],[PRIX UNITAIRE]])</f>
        <v>5000</v>
      </c>
      <c r="F14" s="14"/>
      <c r="G14" s="6">
        <f>+SUM(E$9:$E14)-SUM(F$9:$F14)</f>
        <v>290000</v>
      </c>
    </row>
    <row r="15" spans="1:9" ht="28.8" x14ac:dyDescent="0.55000000000000004">
      <c r="A15" s="12"/>
      <c r="B15" s="13" t="s">
        <v>425</v>
      </c>
      <c r="C15" s="10">
        <v>1</v>
      </c>
      <c r="D15" s="10">
        <v>35000</v>
      </c>
      <c r="E15" s="7">
        <f>+$I$2+(MEDIMADI[[#This Row],[QUANTITE]]*MEDIMADI[[#This Row],[PRIX UNITAIRE]])</f>
        <v>35000</v>
      </c>
      <c r="F15" s="14"/>
      <c r="G15" s="6">
        <f>+SUM(E$9:$E15)-SUM(F$9:$F15)</f>
        <v>325000</v>
      </c>
    </row>
    <row r="16" spans="1:9" ht="28.8" x14ac:dyDescent="0.55000000000000004">
      <c r="A16" s="12">
        <v>44928</v>
      </c>
      <c r="B16" s="13" t="s">
        <v>786</v>
      </c>
      <c r="C16" s="10">
        <v>1</v>
      </c>
      <c r="D16" s="10">
        <v>25000</v>
      </c>
      <c r="E16" s="7">
        <f>+$I$2+(MEDIMADI[[#This Row],[QUANTITE]]*MEDIMADI[[#This Row],[PRIX UNITAIRE]])</f>
        <v>25000</v>
      </c>
      <c r="F16" s="14"/>
      <c r="G16" s="6">
        <f>+SUM(E$9:$E16)-SUM(F$9:$F16)</f>
        <v>350000</v>
      </c>
    </row>
    <row r="17" spans="1:7" ht="28.8" x14ac:dyDescent="0.55000000000000004">
      <c r="A17" s="12">
        <v>44991</v>
      </c>
      <c r="B17" s="13" t="s">
        <v>786</v>
      </c>
      <c r="C17" s="10">
        <v>2</v>
      </c>
      <c r="D17" s="10">
        <v>25000</v>
      </c>
      <c r="E17" s="7">
        <f>+$I$2+(MEDIMADI[[#This Row],[QUANTITE]]*MEDIMADI[[#This Row],[PRIX UNITAIRE]])</f>
        <v>50000</v>
      </c>
      <c r="F17" s="14"/>
      <c r="G17" s="6">
        <f>+SUM(E$9:$E17)-SUM(F$9:$F17)</f>
        <v>400000</v>
      </c>
    </row>
    <row r="18" spans="1:7" ht="28.8" x14ac:dyDescent="0.55000000000000004">
      <c r="A18" s="12"/>
      <c r="B18" s="13" t="s">
        <v>480</v>
      </c>
      <c r="C18" s="10">
        <v>1</v>
      </c>
      <c r="D18" s="10">
        <v>5000</v>
      </c>
      <c r="E18" s="7">
        <f>+$I$2+(MEDIMADI[[#This Row],[QUANTITE]]*MEDIMADI[[#This Row],[PRIX UNITAIRE]])</f>
        <v>5000</v>
      </c>
      <c r="F18" s="14"/>
      <c r="G18" s="6">
        <f>+SUM(E$9:$E18)-SUM(F$9:$F18)</f>
        <v>405000</v>
      </c>
    </row>
    <row r="19" spans="1:7" ht="28.8" x14ac:dyDescent="0.55000000000000004">
      <c r="A19" s="12">
        <v>44994</v>
      </c>
      <c r="B19" s="13" t="s">
        <v>787</v>
      </c>
      <c r="C19" s="10">
        <v>2</v>
      </c>
      <c r="D19" s="10">
        <v>35000</v>
      </c>
      <c r="E19" s="7">
        <f>+$I$2+(MEDIMADI[[#This Row],[QUANTITE]]*MEDIMADI[[#This Row],[PRIX UNITAIRE]])</f>
        <v>70000</v>
      </c>
      <c r="F19" s="14"/>
      <c r="G19" s="6">
        <f>+SUM(E$9:$E19)-SUM(F$9:$F19)</f>
        <v>475000</v>
      </c>
    </row>
    <row r="20" spans="1:7" ht="28.8" x14ac:dyDescent="0.55000000000000004">
      <c r="A20" s="12">
        <v>45048</v>
      </c>
      <c r="B20" s="13" t="s">
        <v>788</v>
      </c>
      <c r="C20" s="10">
        <v>1</v>
      </c>
      <c r="D20" s="10">
        <v>45000</v>
      </c>
      <c r="E20" s="7">
        <f>+$I$2+(MEDIMADI[[#This Row],[QUANTITE]]*MEDIMADI[[#This Row],[PRIX UNITAIRE]])</f>
        <v>45000</v>
      </c>
      <c r="F20" s="14"/>
      <c r="G20" s="6">
        <f>+SUM(E$9:$E20)-SUM(F$9:$F20)</f>
        <v>520000</v>
      </c>
    </row>
    <row r="21" spans="1:7" ht="28.8" x14ac:dyDescent="0.55000000000000004">
      <c r="A21" s="12">
        <v>45066</v>
      </c>
      <c r="B21" s="13" t="s">
        <v>783</v>
      </c>
      <c r="C21" s="10">
        <v>1</v>
      </c>
      <c r="D21" s="10">
        <v>25000</v>
      </c>
      <c r="E21" s="7">
        <f>+$I$2+(MEDIMADI[[#This Row],[QUANTITE]]*MEDIMADI[[#This Row],[PRIX UNITAIRE]])</f>
        <v>25000</v>
      </c>
      <c r="F21" s="14"/>
      <c r="G21" s="6">
        <f>+SUM(E$9:$E21)-SUM(F$9:$F21)</f>
        <v>545000</v>
      </c>
    </row>
    <row r="22" spans="1:7" ht="28.8" x14ac:dyDescent="0.55000000000000004">
      <c r="A22" s="12"/>
      <c r="B22" s="13" t="s">
        <v>466</v>
      </c>
      <c r="C22" s="10">
        <v>1</v>
      </c>
      <c r="D22" s="10">
        <v>10000</v>
      </c>
      <c r="E22" s="7">
        <f>+$I$2+(MEDIMADI[[#This Row],[QUANTITE]]*MEDIMADI[[#This Row],[PRIX UNITAIRE]])</f>
        <v>10000</v>
      </c>
      <c r="F22" s="14"/>
      <c r="G22" s="6">
        <f>+SUM(E$9:$E22)-SUM(F$9:$F22)</f>
        <v>555000</v>
      </c>
    </row>
    <row r="23" spans="1:7" ht="28.8" x14ac:dyDescent="0.55000000000000004">
      <c r="A23" s="12"/>
      <c r="B23" s="13" t="s">
        <v>785</v>
      </c>
      <c r="C23" s="10">
        <v>1</v>
      </c>
      <c r="D23" s="10">
        <v>5000</v>
      </c>
      <c r="E23" s="7">
        <f>+$I$2+(MEDIMADI[[#This Row],[QUANTITE]]*MEDIMADI[[#This Row],[PRIX UNITAIRE]])</f>
        <v>5000</v>
      </c>
      <c r="F23" s="14"/>
      <c r="G23" s="6">
        <f>+SUM(E$9:$E23)-SUM(F$9:$F23)</f>
        <v>560000</v>
      </c>
    </row>
    <row r="24" spans="1:7" ht="28.8" x14ac:dyDescent="0.55000000000000004">
      <c r="A24" s="12">
        <v>45092</v>
      </c>
      <c r="B24" s="13" t="s">
        <v>781</v>
      </c>
      <c r="C24" s="10">
        <v>2</v>
      </c>
      <c r="D24" s="10">
        <v>95000</v>
      </c>
      <c r="E24" s="7">
        <f>+$I$2+(MEDIMADI[[#This Row],[QUANTITE]]*MEDIMADI[[#This Row],[PRIX UNITAIRE]])</f>
        <v>190000</v>
      </c>
      <c r="F24" s="14"/>
      <c r="G24" s="6">
        <f>+SUM(E$9:$E24)-SUM(F$9:$F24)</f>
        <v>750000</v>
      </c>
    </row>
    <row r="25" spans="1:7" ht="28.8" x14ac:dyDescent="0.55000000000000004">
      <c r="A25" s="12">
        <v>45112</v>
      </c>
      <c r="B25" s="13" t="s">
        <v>466</v>
      </c>
      <c r="C25" s="10">
        <v>1</v>
      </c>
      <c r="D25" s="10">
        <v>10000</v>
      </c>
      <c r="E25" s="7">
        <f>+$I$2+(MEDIMADI[[#This Row],[QUANTITE]]*MEDIMADI[[#This Row],[PRIX UNITAIRE]])</f>
        <v>10000</v>
      </c>
      <c r="F25" s="14"/>
      <c r="G25" s="6">
        <f>+SUM(E$9:$E25)-SUM(F$9:$F25)</f>
        <v>760000</v>
      </c>
    </row>
    <row r="26" spans="1:7" ht="28.8" x14ac:dyDescent="0.55000000000000004">
      <c r="A26" s="12"/>
      <c r="B26" s="13" t="s">
        <v>783</v>
      </c>
      <c r="C26" s="10">
        <v>2</v>
      </c>
      <c r="D26" s="10">
        <v>25000</v>
      </c>
      <c r="E26" s="7">
        <f>+$I$2+(MEDIMADI[[#This Row],[QUANTITE]]*MEDIMADI[[#This Row],[PRIX UNITAIRE]])</f>
        <v>50000</v>
      </c>
      <c r="F26" s="14"/>
      <c r="G26" s="6">
        <f>+SUM(E$9:$E26)-SUM(F$9:$F26)</f>
        <v>810000</v>
      </c>
    </row>
    <row r="27" spans="1:7" ht="28.8" x14ac:dyDescent="0.55000000000000004">
      <c r="A27" s="12">
        <v>45127</v>
      </c>
      <c r="B27" s="13" t="s">
        <v>789</v>
      </c>
      <c r="C27" s="10">
        <v>2</v>
      </c>
      <c r="D27" s="10">
        <v>45000</v>
      </c>
      <c r="E27" s="7">
        <f>+$I$2+(MEDIMADI[[#This Row],[QUANTITE]]*MEDIMADI[[#This Row],[PRIX UNITAIRE]])</f>
        <v>90000</v>
      </c>
      <c r="F27" s="14"/>
      <c r="G27" s="6">
        <f>+SUM(E$9:$E27)-SUM(F$9:$F27)</f>
        <v>900000</v>
      </c>
    </row>
    <row r="28" spans="1:7" ht="28.8" x14ac:dyDescent="0.55000000000000004">
      <c r="A28" s="12">
        <v>45142</v>
      </c>
      <c r="B28" s="13" t="s">
        <v>785</v>
      </c>
      <c r="C28" s="10">
        <v>1</v>
      </c>
      <c r="D28" s="10">
        <v>5000</v>
      </c>
      <c r="E28" s="7">
        <f>+$I$2+(MEDIMADI[[#This Row],[QUANTITE]]*MEDIMADI[[#This Row],[PRIX UNITAIRE]])</f>
        <v>5000</v>
      </c>
      <c r="F28" s="14"/>
      <c r="G28" s="6">
        <f>+SUM(E$9:$E28)-SUM(F$9:$F28)</f>
        <v>905000</v>
      </c>
    </row>
    <row r="29" spans="1:7" ht="28.8" x14ac:dyDescent="0.55000000000000004">
      <c r="A29" s="12">
        <v>45162</v>
      </c>
      <c r="B29" s="13" t="s">
        <v>790</v>
      </c>
      <c r="C29" s="10">
        <v>2</v>
      </c>
      <c r="D29" s="10">
        <v>60000</v>
      </c>
      <c r="E29" s="7">
        <f>+$I$2+(MEDIMADI[[#This Row],[QUANTITE]]*MEDIMADI[[#This Row],[PRIX UNITAIRE]])</f>
        <v>120000</v>
      </c>
      <c r="F29" s="14"/>
      <c r="G29" s="6">
        <f>+SUM(E$9:$E29)-SUM(F$9:$F29)</f>
        <v>1025000</v>
      </c>
    </row>
    <row r="30" spans="1:7" ht="28.8" x14ac:dyDescent="0.55000000000000004">
      <c r="A30" s="12"/>
      <c r="B30" s="13" t="s">
        <v>791</v>
      </c>
      <c r="C30" s="10">
        <v>1</v>
      </c>
      <c r="D30" s="10">
        <v>3000</v>
      </c>
      <c r="E30" s="7">
        <f>+$I$2+(MEDIMADI[[#This Row],[QUANTITE]]*MEDIMADI[[#This Row],[PRIX UNITAIRE]])</f>
        <v>3000</v>
      </c>
      <c r="F30" s="14"/>
      <c r="G30" s="6">
        <f>+SUM(E$9:$E30)-SUM(F$9:$F30)</f>
        <v>1028000</v>
      </c>
    </row>
    <row r="31" spans="1:7" ht="28.8" x14ac:dyDescent="0.55000000000000004">
      <c r="A31" s="12">
        <v>45189</v>
      </c>
      <c r="B31" s="13" t="s">
        <v>792</v>
      </c>
      <c r="C31" s="10">
        <v>1</v>
      </c>
      <c r="D31" s="10">
        <v>40000</v>
      </c>
      <c r="E31" s="7">
        <f>+$I$2+(MEDIMADI[[#This Row],[QUANTITE]]*MEDIMADI[[#This Row],[PRIX UNITAIRE]])</f>
        <v>40000</v>
      </c>
      <c r="F31" s="14"/>
      <c r="G31" s="6">
        <f>+SUM(E$9:$E31)-SUM(F$9:$F31)</f>
        <v>1068000</v>
      </c>
    </row>
    <row r="32" spans="1:7" ht="28.8" x14ac:dyDescent="0.55000000000000004">
      <c r="A32" s="12">
        <v>45233</v>
      </c>
      <c r="B32" s="13" t="s">
        <v>793</v>
      </c>
      <c r="C32" s="10">
        <v>12</v>
      </c>
      <c r="D32" s="10">
        <v>5000</v>
      </c>
      <c r="E32" s="7">
        <f>+$I$2+(MEDIMADI[[#This Row],[QUANTITE]]*MEDIMADI[[#This Row],[PRIX UNITAIRE]])</f>
        <v>60000</v>
      </c>
      <c r="F32" s="14"/>
      <c r="G32" s="6">
        <f>+SUM(E$9:$E32)-SUM(F$9:$F32)</f>
        <v>1128000</v>
      </c>
    </row>
    <row r="33" spans="1:7" ht="28.8" x14ac:dyDescent="0.55000000000000004">
      <c r="A33" s="12"/>
      <c r="B33" s="13" t="s">
        <v>466</v>
      </c>
      <c r="C33" s="10">
        <v>1</v>
      </c>
      <c r="D33" s="10">
        <v>10000</v>
      </c>
      <c r="E33" s="7">
        <f>+$I$2+(MEDIMADI[[#This Row],[QUANTITE]]*MEDIMADI[[#This Row],[PRIX UNITAIRE]])</f>
        <v>10000</v>
      </c>
      <c r="F33" s="14"/>
      <c r="G33" s="6">
        <f>+SUM(E$9:$E33)-SUM(F$9:$F33)</f>
        <v>1138000</v>
      </c>
    </row>
    <row r="34" spans="1:7" ht="28.8" x14ac:dyDescent="0.55000000000000004">
      <c r="A34" s="12"/>
      <c r="B34" s="13" t="s">
        <v>474</v>
      </c>
      <c r="C34" s="10">
        <v>2</v>
      </c>
      <c r="D34" s="10">
        <v>55000</v>
      </c>
      <c r="E34" s="7">
        <f>+$I$2+(MEDIMADI[[#This Row],[QUANTITE]]*MEDIMADI[[#This Row],[PRIX UNITAIRE]])</f>
        <v>110000</v>
      </c>
      <c r="F34" s="14"/>
      <c r="G34" s="6">
        <f>+SUM(E$9:$E34)-SUM(F$9:$F34)</f>
        <v>1248000</v>
      </c>
    </row>
    <row r="35" spans="1:7" ht="28.8" x14ac:dyDescent="0.55000000000000004">
      <c r="A35" s="12">
        <v>45250</v>
      </c>
      <c r="B35" s="13" t="s">
        <v>794</v>
      </c>
      <c r="C35" s="10">
        <v>1</v>
      </c>
      <c r="D35" s="10">
        <v>85000</v>
      </c>
      <c r="E35" s="7">
        <f>+$I$2+(MEDIMADI[[#This Row],[QUANTITE]]*MEDIMADI[[#This Row],[PRIX UNITAIRE]])</f>
        <v>85000</v>
      </c>
      <c r="F35" s="14"/>
      <c r="G35" s="6">
        <f>+SUM(E$9:$E35)-SUM(F$9:$F35)</f>
        <v>1333000</v>
      </c>
    </row>
    <row r="36" spans="1:7" ht="28.8" x14ac:dyDescent="0.55000000000000004">
      <c r="A36" s="12">
        <v>45267</v>
      </c>
      <c r="B36" s="13" t="s">
        <v>795</v>
      </c>
      <c r="C36" s="10">
        <v>1</v>
      </c>
      <c r="D36" s="10">
        <v>45000</v>
      </c>
      <c r="E36" s="7">
        <f>+$I$2+(MEDIMADI[[#This Row],[QUANTITE]]*MEDIMADI[[#This Row],[PRIX UNITAIRE]])</f>
        <v>45000</v>
      </c>
      <c r="F36" s="14"/>
      <c r="G36" s="6">
        <f>+SUM(E$9:$E36)-SUM(F$9:$F36)</f>
        <v>1378000</v>
      </c>
    </row>
    <row r="37" spans="1:7" ht="28.8" x14ac:dyDescent="0.55000000000000004">
      <c r="A37" s="12">
        <v>45648</v>
      </c>
      <c r="B37" s="13" t="s">
        <v>796</v>
      </c>
      <c r="C37" s="10">
        <v>1</v>
      </c>
      <c r="D37" s="10">
        <v>25000</v>
      </c>
      <c r="E37" s="7">
        <f>+$I$2+(MEDIMADI[[#This Row],[QUANTITE]]*MEDIMADI[[#This Row],[PRIX UNITAIRE]])</f>
        <v>25000</v>
      </c>
      <c r="F37" s="14"/>
      <c r="G37" s="6">
        <f>+SUM(E$9:$E37)-SUM(F$9:$F37)</f>
        <v>1403000</v>
      </c>
    </row>
    <row r="38" spans="1:7" ht="28.8" x14ac:dyDescent="0.55000000000000004">
      <c r="A38" s="12">
        <v>45358</v>
      </c>
      <c r="B38" s="13" t="s">
        <v>797</v>
      </c>
      <c r="C38" s="10">
        <v>1</v>
      </c>
      <c r="D38" s="10">
        <v>10000</v>
      </c>
      <c r="E38" s="7">
        <f>+$I$2+(MEDIMADI[[#This Row],[QUANTITE]]*MEDIMADI[[#This Row],[PRIX UNITAIRE]])</f>
        <v>10000</v>
      </c>
      <c r="F38" s="14"/>
      <c r="G38" s="6">
        <f>+SUM(E$9:$E38)-SUM(F$9:$F38)</f>
        <v>1413000</v>
      </c>
    </row>
    <row r="39" spans="1:7" ht="28.8" x14ac:dyDescent="0.55000000000000004">
      <c r="A39" s="12"/>
      <c r="B39" s="13" t="s">
        <v>619</v>
      </c>
      <c r="C39" s="10">
        <v>1</v>
      </c>
      <c r="D39" s="10">
        <v>45000</v>
      </c>
      <c r="E39" s="7">
        <f>+$I$2+(MEDIMADI[[#This Row],[QUANTITE]]*MEDIMADI[[#This Row],[PRIX UNITAIRE]])</f>
        <v>45000</v>
      </c>
      <c r="F39" s="14"/>
      <c r="G39" s="6">
        <f>+SUM(E$9:$E39)-SUM(F$9:$F39)</f>
        <v>1458000</v>
      </c>
    </row>
    <row r="40" spans="1:7" ht="28.8" x14ac:dyDescent="0.55000000000000004">
      <c r="A40" s="12">
        <v>45363</v>
      </c>
      <c r="B40" s="13" t="s">
        <v>798</v>
      </c>
      <c r="C40" s="10">
        <v>11</v>
      </c>
      <c r="D40" s="10">
        <v>5000</v>
      </c>
      <c r="E40" s="7">
        <f>+$I$2+(MEDIMADI[[#This Row],[QUANTITE]]*MEDIMADI[[#This Row],[PRIX UNITAIRE]])</f>
        <v>55000</v>
      </c>
      <c r="F40" s="14"/>
      <c r="G40" s="6">
        <f>+SUM(E$9:$E40)-SUM(F$9:$F40)</f>
        <v>1513000</v>
      </c>
    </row>
    <row r="41" spans="1:7" ht="28.8" x14ac:dyDescent="0.55000000000000004">
      <c r="A41" s="12"/>
      <c r="B41" s="13" t="s">
        <v>466</v>
      </c>
      <c r="C41" s="10">
        <v>1</v>
      </c>
      <c r="D41" s="10">
        <v>8000</v>
      </c>
      <c r="E41" s="7">
        <f>+$I$2+(MEDIMADI[[#This Row],[QUANTITE]]*MEDIMADI[[#This Row],[PRIX UNITAIRE]])</f>
        <v>8000</v>
      </c>
      <c r="F41" s="14"/>
      <c r="G41" s="6">
        <f>+SUM(E$9:$E41)-SUM(F$9:$F41)</f>
        <v>1521000</v>
      </c>
    </row>
    <row r="42" spans="1:7" ht="28.8" x14ac:dyDescent="0.55000000000000004">
      <c r="A42" s="12">
        <v>45372</v>
      </c>
      <c r="B42" s="13" t="s">
        <v>799</v>
      </c>
      <c r="C42" s="10">
        <v>1</v>
      </c>
      <c r="D42" s="10">
        <v>15000</v>
      </c>
      <c r="E42" s="7">
        <f>+$I$2+(MEDIMADI[[#This Row],[QUANTITE]]*MEDIMADI[[#This Row],[PRIX UNITAIRE]])</f>
        <v>15000</v>
      </c>
      <c r="F42" s="14"/>
      <c r="G42" s="6">
        <f>+SUM(E$9:$E42)-SUM(F$9:$F42)</f>
        <v>1536000</v>
      </c>
    </row>
    <row r="43" spans="1:7" ht="28.8" x14ac:dyDescent="0.55000000000000004">
      <c r="A43" s="12"/>
      <c r="B43" s="13" t="s">
        <v>791</v>
      </c>
      <c r="C43" s="10">
        <v>1</v>
      </c>
      <c r="D43" s="10">
        <v>5000</v>
      </c>
      <c r="E43" s="7">
        <f>+$I$2+(MEDIMADI[[#This Row],[QUANTITE]]*MEDIMADI[[#This Row],[PRIX UNITAIRE]])</f>
        <v>5000</v>
      </c>
      <c r="F43" s="14"/>
      <c r="G43" s="6">
        <f>+SUM(E$9:$E43)-SUM(F$9:$F43)</f>
        <v>1541000</v>
      </c>
    </row>
    <row r="44" spans="1:7" ht="28.8" x14ac:dyDescent="0.55000000000000004">
      <c r="A44" s="12"/>
      <c r="B44" s="13" t="s">
        <v>800</v>
      </c>
      <c r="C44" s="10">
        <v>1</v>
      </c>
      <c r="D44" s="10">
        <v>10000</v>
      </c>
      <c r="E44" s="7">
        <f>+$I$2+(MEDIMADI[[#This Row],[QUANTITE]]*MEDIMADI[[#This Row],[PRIX UNITAIRE]])</f>
        <v>10000</v>
      </c>
      <c r="F44" s="14"/>
      <c r="G44" s="6">
        <f>+SUM(E$9:$E44)-SUM(F$9:$F44)</f>
        <v>1551000</v>
      </c>
    </row>
    <row r="45" spans="1:7" ht="28.8" x14ac:dyDescent="0.55000000000000004">
      <c r="A45" s="12"/>
      <c r="B45" s="13" t="s">
        <v>801</v>
      </c>
      <c r="C45" s="10">
        <v>1</v>
      </c>
      <c r="D45" s="10">
        <v>10000</v>
      </c>
      <c r="E45" s="7">
        <f>+$I$2+(MEDIMADI[[#This Row],[QUANTITE]]*MEDIMADI[[#This Row],[PRIX UNITAIRE]])</f>
        <v>10000</v>
      </c>
      <c r="F45" s="14"/>
      <c r="G45" s="6">
        <f>+SUM(E$9:$E45)-SUM(F$9:$F45)</f>
        <v>1561000</v>
      </c>
    </row>
    <row r="46" spans="1:7" ht="28.8" x14ac:dyDescent="0.55000000000000004">
      <c r="A46" s="12"/>
      <c r="B46" s="13" t="s">
        <v>802</v>
      </c>
      <c r="C46" s="10">
        <v>2</v>
      </c>
      <c r="D46" s="10">
        <v>8000</v>
      </c>
      <c r="E46" s="7">
        <f>+$I$2+(MEDIMADI[[#This Row],[QUANTITE]]*MEDIMADI[[#This Row],[PRIX UNITAIRE]])</f>
        <v>16000</v>
      </c>
      <c r="F46" s="14"/>
      <c r="G46" s="6">
        <f>+SUM(E$9:$E46)-SUM(F$9:$F46)</f>
        <v>1577000</v>
      </c>
    </row>
    <row r="47" spans="1:7" ht="28.8" x14ac:dyDescent="0.55000000000000004">
      <c r="A47" s="12">
        <v>45381</v>
      </c>
      <c r="B47" s="13" t="s">
        <v>803</v>
      </c>
      <c r="C47" s="10">
        <v>1</v>
      </c>
      <c r="D47" s="10">
        <v>40000</v>
      </c>
      <c r="E47" s="7">
        <f>+$I$2+(MEDIMADI[[#This Row],[QUANTITE]]*MEDIMADI[[#This Row],[PRIX UNITAIRE]])</f>
        <v>40000</v>
      </c>
      <c r="F47" s="14"/>
      <c r="G47" s="6">
        <f>+SUM(E$9:$E47)-SUM(F$9:$F47)</f>
        <v>1617000</v>
      </c>
    </row>
    <row r="48" spans="1:7" ht="28.8" x14ac:dyDescent="0.55000000000000004">
      <c r="A48" s="12">
        <v>45385</v>
      </c>
      <c r="B48" s="13" t="s">
        <v>12</v>
      </c>
      <c r="C48" s="10">
        <v>1</v>
      </c>
      <c r="D48" s="10">
        <v>65000</v>
      </c>
      <c r="E48" s="7">
        <f>+$I$2+(MEDIMADI[[#This Row],[QUANTITE]]*MEDIMADI[[#This Row],[PRIX UNITAIRE]])</f>
        <v>65000</v>
      </c>
      <c r="F48" s="14"/>
      <c r="G48" s="6">
        <f>+SUM(E$9:$E48)-SUM(F$9:$F48)</f>
        <v>1682000</v>
      </c>
    </row>
    <row r="49" spans="1:7" ht="28.8" x14ac:dyDescent="0.55000000000000004">
      <c r="A49" s="12">
        <v>45385</v>
      </c>
      <c r="B49" s="13" t="s">
        <v>804</v>
      </c>
      <c r="C49" s="10">
        <v>2</v>
      </c>
      <c r="D49" s="10">
        <v>55000</v>
      </c>
      <c r="E49" s="7">
        <f>+$I$2+(MEDIMADI[[#This Row],[QUANTITE]]*MEDIMADI[[#This Row],[PRIX UNITAIRE]])</f>
        <v>110000</v>
      </c>
      <c r="F49" s="14"/>
      <c r="G49" s="6">
        <f>+SUM(E$9:$E49)-SUM(F$9:$F49)</f>
        <v>1792000</v>
      </c>
    </row>
    <row r="50" spans="1:7" ht="28.8" x14ac:dyDescent="0.55000000000000004">
      <c r="A50" s="12"/>
      <c r="B50" s="13" t="s">
        <v>480</v>
      </c>
      <c r="C50" s="10">
        <v>1</v>
      </c>
      <c r="D50" s="10">
        <v>10000</v>
      </c>
      <c r="E50" s="7">
        <f>+$I$2+(MEDIMADI[[#This Row],[QUANTITE]]*MEDIMADI[[#This Row],[PRIX UNITAIRE]])</f>
        <v>10000</v>
      </c>
      <c r="F50" s="14"/>
      <c r="G50" s="6">
        <f>+SUM(E$9:$E50)-SUM(F$9:$F50)</f>
        <v>1802000</v>
      </c>
    </row>
    <row r="51" spans="1:7" ht="28.8" x14ac:dyDescent="0.55000000000000004">
      <c r="A51" s="12">
        <v>45484</v>
      </c>
      <c r="B51" s="13" t="s">
        <v>794</v>
      </c>
      <c r="C51" s="10">
        <v>1</v>
      </c>
      <c r="D51" s="10">
        <v>85000</v>
      </c>
      <c r="E51" s="7">
        <f>+$I$2+(MEDIMADI[[#This Row],[QUANTITE]]*MEDIMADI[[#This Row],[PRIX UNITAIRE]])</f>
        <v>85000</v>
      </c>
      <c r="F51" s="14"/>
      <c r="G51" s="6">
        <f>+SUM(E$9:$E51)-SUM(F$9:$F51)</f>
        <v>1887000</v>
      </c>
    </row>
    <row r="52" spans="1:7" ht="28.8" x14ac:dyDescent="0.55000000000000004">
      <c r="A52" s="12">
        <v>45476</v>
      </c>
      <c r="B52" s="13" t="s">
        <v>805</v>
      </c>
      <c r="C52" s="10">
        <v>1</v>
      </c>
      <c r="D52" s="10">
        <v>8000</v>
      </c>
      <c r="E52" s="7">
        <f>+$I$2+(MEDIMADI[[#This Row],[QUANTITE]]*MEDIMADI[[#This Row],[PRIX UNITAIRE]])</f>
        <v>8000</v>
      </c>
      <c r="F52" s="14"/>
      <c r="G52" s="6">
        <f>+SUM(E$9:$E52)-SUM(F$9:$F52)</f>
        <v>1895000</v>
      </c>
    </row>
    <row r="53" spans="1:7" ht="28.8" x14ac:dyDescent="0.55000000000000004">
      <c r="A53" s="12"/>
      <c r="B53" s="13" t="s">
        <v>806</v>
      </c>
      <c r="C53" s="10">
        <v>1</v>
      </c>
      <c r="D53" s="10">
        <v>20000</v>
      </c>
      <c r="E53" s="7">
        <f>+$I$2+(MEDIMADI[[#This Row],[QUANTITE]]*MEDIMADI[[#This Row],[PRIX UNITAIRE]])</f>
        <v>20000</v>
      </c>
      <c r="F53" s="14"/>
      <c r="G53" s="6">
        <f>+SUM(E$9:$E53)-SUM(F$9:$F53)</f>
        <v>1915000</v>
      </c>
    </row>
    <row r="54" spans="1:7" ht="28.8" x14ac:dyDescent="0.55000000000000004">
      <c r="A54" s="12"/>
      <c r="B54" s="13" t="s">
        <v>807</v>
      </c>
      <c r="C54" s="10">
        <v>1</v>
      </c>
      <c r="D54" s="10">
        <v>5000</v>
      </c>
      <c r="E54" s="7">
        <f>+$I$2+(MEDIMADI[[#This Row],[QUANTITE]]*MEDIMADI[[#This Row],[PRIX UNITAIRE]])</f>
        <v>5000</v>
      </c>
      <c r="F54" s="14"/>
      <c r="G54" s="6">
        <f>+SUM(E$9:$E54)-SUM(F$9:$F54)</f>
        <v>1920000</v>
      </c>
    </row>
    <row r="55" spans="1:7" ht="28.8" x14ac:dyDescent="0.55000000000000004">
      <c r="A55" s="12"/>
      <c r="B55" s="13" t="s">
        <v>808</v>
      </c>
      <c r="C55" s="10">
        <v>1</v>
      </c>
      <c r="D55" s="10">
        <v>5000</v>
      </c>
      <c r="E55" s="7">
        <f>+$I$2+(MEDIMADI[[#This Row],[QUANTITE]]*MEDIMADI[[#This Row],[PRIX UNITAIRE]])</f>
        <v>5000</v>
      </c>
      <c r="F55" s="14"/>
      <c r="G55" s="6">
        <f>+SUM(E$9:$E55)-SUM(F$9:$F55)</f>
        <v>1925000</v>
      </c>
    </row>
    <row r="56" spans="1:7" ht="28.8" x14ac:dyDescent="0.55000000000000004">
      <c r="A56" s="12">
        <v>45497</v>
      </c>
      <c r="B56" s="13" t="s">
        <v>809</v>
      </c>
      <c r="C56" s="10">
        <v>11</v>
      </c>
      <c r="D56" s="10">
        <v>5000</v>
      </c>
      <c r="E56" s="7">
        <f>+$I$2+(MEDIMADI[[#This Row],[QUANTITE]]*MEDIMADI[[#This Row],[PRIX UNITAIRE]])</f>
        <v>55000</v>
      </c>
      <c r="F56" s="14"/>
      <c r="G56" s="6">
        <f>+SUM(E$9:$E56)-SUM(F$9:$F56)</f>
        <v>1980000</v>
      </c>
    </row>
    <row r="57" spans="1:7" ht="28.8" x14ac:dyDescent="0.55000000000000004">
      <c r="A57" s="12"/>
      <c r="B57" s="13" t="s">
        <v>466</v>
      </c>
      <c r="C57" s="10">
        <v>1</v>
      </c>
      <c r="D57" s="10">
        <v>8000</v>
      </c>
      <c r="E57" s="7">
        <f>+$I$2+(MEDIMADI[[#This Row],[QUANTITE]]*MEDIMADI[[#This Row],[PRIX UNITAIRE]])</f>
        <v>8000</v>
      </c>
      <c r="F57" s="14"/>
      <c r="G57" s="6">
        <f>+SUM(E$9:$E57)-SUM(F$9:$F57)</f>
        <v>1988000</v>
      </c>
    </row>
    <row r="58" spans="1:7" ht="28.8" x14ac:dyDescent="0.55000000000000004">
      <c r="A58" s="12">
        <v>45524</v>
      </c>
      <c r="B58" s="13" t="s">
        <v>810</v>
      </c>
      <c r="C58" s="10">
        <v>1</v>
      </c>
      <c r="D58" s="10">
        <v>400000</v>
      </c>
      <c r="E58" s="7">
        <f>+$I$2+(MEDIMADI[[#This Row],[QUANTITE]]*MEDIMADI[[#This Row],[PRIX UNITAIRE]])</f>
        <v>400000</v>
      </c>
      <c r="F58" s="14"/>
      <c r="G58" s="6">
        <f>+SUM(E$9:$E58)-SUM(F$9:$F58)</f>
        <v>2388000</v>
      </c>
    </row>
    <row r="59" spans="1:7" ht="28.8" x14ac:dyDescent="0.55000000000000004">
      <c r="A59" s="12"/>
      <c r="B59" s="13" t="s">
        <v>811</v>
      </c>
      <c r="C59" s="10">
        <v>1</v>
      </c>
      <c r="D59" s="10">
        <v>40000</v>
      </c>
      <c r="E59" s="7">
        <f>+$I$2+(MEDIMADI[[#This Row],[QUANTITE]]*MEDIMADI[[#This Row],[PRIX UNITAIRE]])</f>
        <v>40000</v>
      </c>
      <c r="F59" s="14"/>
      <c r="G59" s="6">
        <f>+SUM(E$9:$E59)-SUM(F$9:$F59)</f>
        <v>2428000</v>
      </c>
    </row>
    <row r="60" spans="1:7" ht="28.8" x14ac:dyDescent="0.55000000000000004">
      <c r="A60" s="12">
        <v>45534</v>
      </c>
      <c r="B60" s="13" t="s">
        <v>812</v>
      </c>
      <c r="C60" s="10">
        <v>2</v>
      </c>
      <c r="D60" s="10">
        <v>25000</v>
      </c>
      <c r="E60" s="7">
        <f>+$I$2+(MEDIMADI[[#This Row],[QUANTITE]]*MEDIMADI[[#This Row],[PRIX UNITAIRE]])</f>
        <v>50000</v>
      </c>
      <c r="F60" s="14"/>
      <c r="G60" s="6">
        <f>+SUM(E$9:$E60)-SUM(F$9:$F60)</f>
        <v>2478000</v>
      </c>
    </row>
    <row r="61" spans="1:7" ht="28.8" x14ac:dyDescent="0.55000000000000004">
      <c r="A61" s="12"/>
      <c r="B61" s="13" t="s">
        <v>813</v>
      </c>
      <c r="C61" s="10">
        <v>4</v>
      </c>
      <c r="D61" s="10">
        <v>2500</v>
      </c>
      <c r="E61" s="7">
        <f>+$I$2+(MEDIMADI[[#This Row],[QUANTITE]]*MEDIMADI[[#This Row],[PRIX UNITAIRE]])</f>
        <v>10000</v>
      </c>
      <c r="F61" s="14"/>
      <c r="G61" s="6">
        <f>+SUM(E$9:$E61)-SUM(F$9:$F61)</f>
        <v>2488000</v>
      </c>
    </row>
    <row r="62" spans="1:7" ht="28.8" x14ac:dyDescent="0.55000000000000004">
      <c r="A62" s="12">
        <v>45565</v>
      </c>
      <c r="B62" s="13" t="s">
        <v>590</v>
      </c>
      <c r="C62" s="10">
        <v>1</v>
      </c>
      <c r="D62" s="10">
        <v>0</v>
      </c>
      <c r="E62" s="7">
        <f>+$I$2+(MEDIMADI[[#This Row],[QUANTITE]]*MEDIMADI[[#This Row],[PRIX UNITAIRE]])</f>
        <v>0</v>
      </c>
      <c r="F62" s="14">
        <v>2488000</v>
      </c>
      <c r="G62" s="6">
        <f>+SUM(E$9:$E62)-SUM(F$9:$F62)</f>
        <v>0</v>
      </c>
    </row>
    <row r="63" spans="1:7" ht="28.8" x14ac:dyDescent="0.55000000000000004">
      <c r="A63" s="12">
        <v>45566</v>
      </c>
      <c r="B63" s="13" t="s">
        <v>814</v>
      </c>
      <c r="C63" s="10">
        <v>1</v>
      </c>
      <c r="D63" s="10">
        <v>650000</v>
      </c>
      <c r="E63" s="7">
        <f>+$I$2+(MEDIMADI[[#This Row],[QUANTITE]]*MEDIMADI[[#This Row],[PRIX UNITAIRE]])</f>
        <v>650000</v>
      </c>
      <c r="F63" s="14"/>
      <c r="G63" s="6">
        <f>+SUM(E$9:$E63)-SUM(F$9:$F63)</f>
        <v>650000</v>
      </c>
    </row>
    <row r="64" spans="1:7" ht="28.8" x14ac:dyDescent="0.55000000000000004">
      <c r="A64" s="12">
        <v>45566</v>
      </c>
      <c r="B64" s="13" t="s">
        <v>815</v>
      </c>
      <c r="C64" s="10">
        <v>1</v>
      </c>
      <c r="D64" s="10">
        <v>50000</v>
      </c>
      <c r="E64" s="7">
        <f>+$I$2+(MEDIMADI[[#This Row],[QUANTITE]]*MEDIMADI[[#This Row],[PRIX UNITAIRE]])</f>
        <v>50000</v>
      </c>
      <c r="F64" s="14"/>
      <c r="G64" s="6">
        <f>+SUM(E$9:$E64)-SUM(F$9:$F64)</f>
        <v>700000</v>
      </c>
    </row>
    <row r="65" spans="1:7" ht="28.8" x14ac:dyDescent="0.55000000000000004">
      <c r="A65" s="12">
        <v>45666</v>
      </c>
      <c r="B65" s="13" t="s">
        <v>816</v>
      </c>
      <c r="C65" s="10"/>
      <c r="D65" s="10"/>
      <c r="E65" s="7">
        <f>+$I$2+(MEDIMADI[[#This Row],[QUANTITE]]*MEDIMADI[[#This Row],[PRIX UNITAIRE]])</f>
        <v>0</v>
      </c>
      <c r="F65" s="14">
        <v>700000</v>
      </c>
      <c r="G65" s="6">
        <f>+SUM(E$9:$E65)-SUM(F$9:$F65)</f>
        <v>0</v>
      </c>
    </row>
    <row r="66" spans="1:7" ht="28.8" x14ac:dyDescent="0.55000000000000004">
      <c r="A66" s="12">
        <v>45682</v>
      </c>
      <c r="B66" s="13" t="s">
        <v>817</v>
      </c>
      <c r="C66" s="10">
        <v>2</v>
      </c>
      <c r="D66" s="10">
        <v>45000</v>
      </c>
      <c r="E66" s="7">
        <f>+$I$2+(MEDIMADI[[#This Row],[QUANTITE]]*MEDIMADI[[#This Row],[PRIX UNITAIRE]])</f>
        <v>90000</v>
      </c>
      <c r="F66" s="14"/>
      <c r="G66" s="6">
        <f>+SUM(E$9:$E66)-SUM(F$9:$F66)</f>
        <v>90000</v>
      </c>
    </row>
    <row r="67" spans="1:7" ht="28.8" x14ac:dyDescent="0.55000000000000004">
      <c r="A67" s="12">
        <v>45717</v>
      </c>
      <c r="B67" s="13" t="s">
        <v>818</v>
      </c>
      <c r="C67" s="10">
        <v>1</v>
      </c>
      <c r="D67" s="10">
        <v>60000</v>
      </c>
      <c r="E67" s="7">
        <f>+$I$2+(MEDIMADI[[#This Row],[QUANTITE]]*MEDIMADI[[#This Row],[PRIX UNITAIRE]])</f>
        <v>60000</v>
      </c>
      <c r="F67" s="14"/>
      <c r="G67" s="6">
        <f>+SUM(E$9:$E67)-SUM(F$9:$F67)</f>
        <v>150000</v>
      </c>
    </row>
    <row r="68" spans="1:7" ht="28.8" x14ac:dyDescent="0.55000000000000004">
      <c r="A68" s="12">
        <v>45717</v>
      </c>
      <c r="B68" s="13" t="s">
        <v>466</v>
      </c>
      <c r="C68" s="10">
        <v>1</v>
      </c>
      <c r="D68" s="10">
        <v>10000</v>
      </c>
      <c r="E68" s="7">
        <f>+$I$2+(MEDIMADI[[#This Row],[QUANTITE]]*MEDIMADI[[#This Row],[PRIX UNITAIRE]])</f>
        <v>10000</v>
      </c>
      <c r="F68" s="14"/>
      <c r="G68" s="6">
        <f>+SUM(E$9:$E68)-SUM(F$9:$F68)</f>
        <v>160000</v>
      </c>
    </row>
    <row r="69" spans="1:7" ht="28.8" x14ac:dyDescent="0.55000000000000004">
      <c r="A69" s="12">
        <v>45717</v>
      </c>
      <c r="B69" s="13" t="s">
        <v>819</v>
      </c>
      <c r="C69" s="10">
        <v>1</v>
      </c>
      <c r="D69" s="10">
        <v>10000</v>
      </c>
      <c r="E69" s="7">
        <f>+$I$2+(MEDIMADI[[#This Row],[QUANTITE]]*MEDIMADI[[#This Row],[PRIX UNITAIRE]])</f>
        <v>10000</v>
      </c>
      <c r="F69" s="14"/>
      <c r="G69" s="6">
        <f>+SUM(E$9:$E69)-SUM(F$9:$F69)</f>
        <v>170000</v>
      </c>
    </row>
    <row r="70" spans="1:7" ht="28.8" x14ac:dyDescent="0.55000000000000004">
      <c r="A70" s="12">
        <v>45717</v>
      </c>
      <c r="B70" s="13" t="s">
        <v>820</v>
      </c>
      <c r="C70" s="10"/>
      <c r="D70" s="10"/>
      <c r="E70" s="7">
        <f>+$I$2+(MEDIMADI[[#This Row],[QUANTITE]]*MEDIMADI[[#This Row],[PRIX UNITAIRE]])</f>
        <v>0</v>
      </c>
      <c r="F70" s="14">
        <v>170000</v>
      </c>
      <c r="G70" s="6">
        <f>+SUM(E$9:$E70)-SUM(F$9:$F70)</f>
        <v>0</v>
      </c>
    </row>
    <row r="71" spans="1:7" ht="28.8" x14ac:dyDescent="0.55000000000000004">
      <c r="A71" s="12">
        <v>45750</v>
      </c>
      <c r="B71" s="13" t="s">
        <v>821</v>
      </c>
      <c r="C71" s="10">
        <v>4</v>
      </c>
      <c r="D71" s="10">
        <v>35000</v>
      </c>
      <c r="E71" s="7">
        <f>+$I$2+(MEDIMADI[[#This Row],[QUANTITE]]*MEDIMADI[[#This Row],[PRIX UNITAIRE]])</f>
        <v>140000</v>
      </c>
      <c r="F71" s="14"/>
      <c r="G71" s="6">
        <f>+SUM(E$9:$E71)-SUM(F$9:$F71)</f>
        <v>140000</v>
      </c>
    </row>
    <row r="72" spans="1:7" ht="28.8" x14ac:dyDescent="0.55000000000000004">
      <c r="A72" s="12"/>
      <c r="B72" s="13" t="s">
        <v>822</v>
      </c>
      <c r="C72" s="10"/>
      <c r="D72" s="10"/>
      <c r="E72" s="7">
        <f>+$I$2+(MEDIMADI[[#This Row],[QUANTITE]]*MEDIMADI[[#This Row],[PRIX UNITAIRE]])</f>
        <v>0</v>
      </c>
      <c r="F72" s="14">
        <v>140000</v>
      </c>
      <c r="G72" s="6">
        <f>+SUM(E$9:$E72)-SUM(F$9:$F72)</f>
        <v>0</v>
      </c>
    </row>
    <row r="73" spans="1:7" ht="28.8" x14ac:dyDescent="0.55000000000000004">
      <c r="A73" s="12">
        <v>45852</v>
      </c>
      <c r="B73" s="13" t="s">
        <v>2746</v>
      </c>
      <c r="C73" s="10">
        <v>11</v>
      </c>
      <c r="D73" s="10">
        <v>5000</v>
      </c>
      <c r="E73" s="7">
        <f>+$I$2+(MEDIMADI[[#This Row],[QUANTITE]]*MEDIMADI[[#This Row],[PRIX UNITAIRE]])</f>
        <v>55000</v>
      </c>
      <c r="F73" s="14"/>
      <c r="G73" s="6">
        <f>+SUM(E$9:$E73)-SUM(F$9:$F73)</f>
        <v>55000</v>
      </c>
    </row>
    <row r="74" spans="1:7" ht="28.8" x14ac:dyDescent="0.55000000000000004">
      <c r="A74" s="12">
        <v>45852</v>
      </c>
      <c r="B74" s="13" t="s">
        <v>466</v>
      </c>
      <c r="C74" s="10">
        <v>1</v>
      </c>
      <c r="D74" s="10">
        <v>15000</v>
      </c>
      <c r="E74" s="7">
        <f>+$I$2+(MEDIMADI[[#This Row],[QUANTITE]]*MEDIMADI[[#This Row],[PRIX UNITAIRE]])</f>
        <v>15000</v>
      </c>
      <c r="F74" s="14"/>
      <c r="G74" s="6">
        <f>+SUM(E$9:$E74)-SUM(F$9:$F74)</f>
        <v>70000</v>
      </c>
    </row>
    <row r="75" spans="1:7" ht="28.8" x14ac:dyDescent="0.55000000000000004">
      <c r="A75" s="12">
        <v>45889</v>
      </c>
      <c r="B75" s="13" t="s">
        <v>258</v>
      </c>
      <c r="C75" s="10">
        <v>1</v>
      </c>
      <c r="D75" s="10">
        <v>60000</v>
      </c>
      <c r="E75" s="7">
        <f>+$I$2+(MEDIMADI[[#This Row],[QUANTITE]]*MEDIMADI[[#This Row],[PRIX UNITAIRE]])</f>
        <v>60000</v>
      </c>
      <c r="F75" s="14"/>
      <c r="G75" s="6">
        <f>+SUM(E$9:$E75)-SUM(F$9:$F75)</f>
        <v>130000</v>
      </c>
    </row>
    <row r="76" spans="1:7" ht="28.8" x14ac:dyDescent="0.55000000000000004">
      <c r="A76" s="12">
        <v>45894</v>
      </c>
      <c r="B76" s="13" t="s">
        <v>783</v>
      </c>
      <c r="C76" s="10">
        <v>2</v>
      </c>
      <c r="D76" s="10">
        <v>30000</v>
      </c>
      <c r="E76" s="7">
        <f>+$I$2+(MEDIMADI[[#This Row],[QUANTITE]]*MEDIMADI[[#This Row],[PRIX UNITAIRE]])</f>
        <v>60000</v>
      </c>
      <c r="F76" s="14"/>
      <c r="G76" s="6">
        <f>+SUM(E$9:$E76)-SUM(F$9:$F76)</f>
        <v>190000</v>
      </c>
    </row>
    <row r="77" spans="1:7" ht="28.8" x14ac:dyDescent="0.55000000000000004">
      <c r="A77" s="12"/>
      <c r="B77" s="13" t="s">
        <v>466</v>
      </c>
      <c r="C77" s="10">
        <v>1</v>
      </c>
      <c r="D77" s="10">
        <v>10000</v>
      </c>
      <c r="E77" s="7">
        <f>+$I$2+(MEDIMADI[[#This Row],[QUANTITE]]*MEDIMADI[[#This Row],[PRIX UNITAIRE]])</f>
        <v>10000</v>
      </c>
      <c r="F77" s="14"/>
      <c r="G77" s="6">
        <f>+SUM(E$9:$E77)-SUM(F$9:$F77)</f>
        <v>200000</v>
      </c>
    </row>
    <row r="78" spans="1:7" ht="28.8" x14ac:dyDescent="0.55000000000000004">
      <c r="A78" s="12">
        <v>45908</v>
      </c>
      <c r="B78" s="13" t="s">
        <v>410</v>
      </c>
      <c r="C78" s="10">
        <v>1</v>
      </c>
      <c r="D78" s="10">
        <v>45000</v>
      </c>
      <c r="E78" s="7">
        <f>+$I$2+(MEDIMADI[[#This Row],[QUANTITE]]*MEDIMADI[[#This Row],[PRIX UNITAIRE]])</f>
        <v>45000</v>
      </c>
      <c r="F78" s="14"/>
      <c r="G78" s="6">
        <f>+SUM(E$9:$E78)-SUM(F$9:$F78)</f>
        <v>245000</v>
      </c>
    </row>
    <row r="79" spans="1:7" ht="28.8" x14ac:dyDescent="0.55000000000000004">
      <c r="A79" s="12">
        <v>45908</v>
      </c>
      <c r="B79" s="13" t="s">
        <v>673</v>
      </c>
      <c r="C79" s="10">
        <v>1</v>
      </c>
      <c r="D79" s="10">
        <v>10000</v>
      </c>
      <c r="E79" s="7">
        <f>+$I$2+(MEDIMADI[[#This Row],[QUANTITE]]*MEDIMADI[[#This Row],[PRIX UNITAIRE]])</f>
        <v>10000</v>
      </c>
      <c r="F79" s="14"/>
      <c r="G79" s="6">
        <f>+SUM(E$9:$E79)-SUM(F$9:$F79)</f>
        <v>255000</v>
      </c>
    </row>
    <row r="80" spans="1:7" ht="28.8" x14ac:dyDescent="0.55000000000000004">
      <c r="A80" s="12">
        <v>45908</v>
      </c>
      <c r="B80" s="13" t="s">
        <v>2992</v>
      </c>
      <c r="C80" s="10">
        <v>1</v>
      </c>
      <c r="D80" s="10">
        <v>15000</v>
      </c>
      <c r="E80" s="7">
        <f>+$I$2+(MEDIMADI[[#This Row],[QUANTITE]]*MEDIMADI[[#This Row],[PRIX UNITAIRE]])</f>
        <v>15000</v>
      </c>
      <c r="F80" s="14"/>
      <c r="G80" s="6">
        <f>+SUM(E$9:$E80)-SUM(F$9:$F80)</f>
        <v>270000</v>
      </c>
    </row>
    <row r="81" spans="1:7" ht="28.8" x14ac:dyDescent="0.55000000000000004">
      <c r="A81" s="12">
        <v>45895</v>
      </c>
      <c r="B81" s="13" t="s">
        <v>433</v>
      </c>
      <c r="C81" s="10"/>
      <c r="D81" s="10"/>
      <c r="E81" s="7">
        <f>+$I$2+(MEDIMADI[[#This Row],[QUANTITE]]*MEDIMADI[[#This Row],[PRIX UNITAIRE]])</f>
        <v>0</v>
      </c>
      <c r="F81" s="14">
        <v>200000</v>
      </c>
      <c r="G81" s="6">
        <f>+SUM(E$9:$E81)-SUM(F$9:$F81)</f>
        <v>70000</v>
      </c>
    </row>
    <row r="82" spans="1:7" ht="28.8" x14ac:dyDescent="0.55000000000000004">
      <c r="A82" s="12"/>
      <c r="B82" s="13" t="s">
        <v>3227</v>
      </c>
      <c r="C82" s="10">
        <v>1</v>
      </c>
      <c r="D82" s="10"/>
      <c r="E82" s="7">
        <f>+$I$2+(MEDIMADI[[#This Row],[QUANTITE]]*MEDIMADI[[#This Row],[PRIX UNITAIRE]])</f>
        <v>0</v>
      </c>
      <c r="F82" s="14">
        <v>70000</v>
      </c>
      <c r="G82" s="6">
        <f>+SUM(E$9:$E82)-SUM(F$9:$F82)</f>
        <v>0</v>
      </c>
    </row>
    <row r="83" spans="1:7" ht="28.8" x14ac:dyDescent="0.55000000000000004">
      <c r="A83" s="12">
        <v>45986</v>
      </c>
      <c r="B83" s="13" t="s">
        <v>3253</v>
      </c>
      <c r="C83" s="10">
        <v>1</v>
      </c>
      <c r="D83" s="10">
        <v>65000</v>
      </c>
      <c r="E83" s="7">
        <f>+$I$2+(MEDIMADI[[#This Row],[QUANTITE]]*MEDIMADI[[#This Row],[PRIX UNITAIRE]])</f>
        <v>65000</v>
      </c>
      <c r="F83" s="14"/>
      <c r="G83" s="6">
        <f>+SUM(E$9:$E83)-SUM(F$9:$F83)</f>
        <v>65000</v>
      </c>
    </row>
    <row r="84" spans="1:7" ht="28.8" x14ac:dyDescent="0.55000000000000004">
      <c r="A84" s="12"/>
      <c r="B84" s="13" t="s">
        <v>3270</v>
      </c>
      <c r="C84" s="10">
        <v>1</v>
      </c>
      <c r="D84" s="10">
        <v>30000</v>
      </c>
      <c r="E84" s="7">
        <f>+$I$2+(MEDIMADI[[#This Row],[QUANTITE]]*MEDIMADI[[#This Row],[PRIX UNITAIRE]])</f>
        <v>30000</v>
      </c>
      <c r="F84" s="14"/>
      <c r="G84" s="6">
        <f>+SUM(E$9:$E84)-SUM(F$9:$F84)</f>
        <v>95000</v>
      </c>
    </row>
    <row r="85" spans="1:7" ht="28.8" x14ac:dyDescent="0.55000000000000004">
      <c r="A85" s="12"/>
      <c r="B85" s="13" t="s">
        <v>466</v>
      </c>
      <c r="C85" s="10">
        <v>1</v>
      </c>
      <c r="D85" s="10">
        <v>10000</v>
      </c>
      <c r="E85" s="7">
        <f>+$I$2+(MEDIMADI[[#This Row],[QUANTITE]]*MEDIMADI[[#This Row],[PRIX UNITAIRE]])</f>
        <v>10000</v>
      </c>
      <c r="F85" s="14"/>
      <c r="G85" s="6">
        <f>+SUM(E$9:$E85)-SUM(F$9:$F85)</f>
        <v>105000</v>
      </c>
    </row>
    <row r="86" spans="1:7" ht="28.8" x14ac:dyDescent="0.55000000000000004">
      <c r="A86" s="12"/>
      <c r="B86" s="13" t="s">
        <v>998</v>
      </c>
      <c r="C86" s="10">
        <v>1</v>
      </c>
      <c r="D86" s="10">
        <v>30000</v>
      </c>
      <c r="E86" s="7">
        <f>+$I$2+(MEDIMADI[[#This Row],[QUANTITE]]*MEDIMADI[[#This Row],[PRIX UNITAIRE]])</f>
        <v>30000</v>
      </c>
      <c r="F86" s="14"/>
      <c r="G86" s="6">
        <f>+SUM(E$9:$E86)-SUM(F$9:$F86)</f>
        <v>135000</v>
      </c>
    </row>
    <row r="87" spans="1:7" ht="28.8" x14ac:dyDescent="0.55000000000000004">
      <c r="A87" s="12"/>
      <c r="B87" s="13" t="s">
        <v>999</v>
      </c>
      <c r="C87" s="10">
        <v>1</v>
      </c>
      <c r="D87" s="10">
        <v>25000</v>
      </c>
      <c r="E87" s="7">
        <f>+$I$2+(MEDIMADI[[#This Row],[QUANTITE]]*MEDIMADI[[#This Row],[PRIX UNITAIRE]])</f>
        <v>25000</v>
      </c>
      <c r="F87" s="14"/>
      <c r="G87" s="6">
        <f>+SUM(E$9:$E87)-SUM(F$9:$F87)</f>
        <v>160000</v>
      </c>
    </row>
    <row r="88" spans="1:7" ht="28.8" x14ac:dyDescent="0.55000000000000004">
      <c r="A88" s="12">
        <v>46002</v>
      </c>
      <c r="B88" s="13" t="s">
        <v>3298</v>
      </c>
      <c r="C88" s="10">
        <v>1</v>
      </c>
      <c r="D88" s="10">
        <v>70000</v>
      </c>
      <c r="E88" s="7">
        <f>+$I$2+(MEDIMADI[[#This Row],[QUANTITE]]*MEDIMADI[[#This Row],[PRIX UNITAIRE]])</f>
        <v>70000</v>
      </c>
      <c r="F88" s="14"/>
      <c r="G88" s="6">
        <f>+SUM(E$9:$E88)-SUM(F$9:$F88)</f>
        <v>230000</v>
      </c>
    </row>
    <row r="89" spans="1:7" ht="28.8" x14ac:dyDescent="0.55000000000000004">
      <c r="A89" s="12">
        <v>46007</v>
      </c>
      <c r="B89" s="13" t="s">
        <v>3300</v>
      </c>
      <c r="C89" s="10">
        <v>2</v>
      </c>
      <c r="D89" s="10">
        <v>60000</v>
      </c>
      <c r="E89" s="7">
        <f>+$I$2+(MEDIMADI[[#This Row],[QUANTITE]]*MEDIMADI[[#This Row],[PRIX UNITAIRE]])</f>
        <v>120000</v>
      </c>
      <c r="F89" s="14"/>
      <c r="G89" s="6">
        <f>+SUM(E$9:$E89)-SUM(F$9:$F89)</f>
        <v>350000</v>
      </c>
    </row>
    <row r="90" spans="1:7" ht="28.8" x14ac:dyDescent="0.55000000000000004">
      <c r="A90" s="12"/>
      <c r="B90" s="13" t="s">
        <v>3394</v>
      </c>
      <c r="C90" s="10"/>
      <c r="D90" s="10"/>
      <c r="E90" s="7">
        <f>+$I$2+(MEDIMADI[[#This Row],[QUANTITE]]*MEDIMADI[[#This Row],[PRIX UNITAIRE]])</f>
        <v>0</v>
      </c>
      <c r="F90" s="14"/>
      <c r="G90" s="6">
        <f>+SUM(E$9:$E90)-SUM(F$9:$F90)</f>
        <v>350000</v>
      </c>
    </row>
    <row r="91" spans="1:7" ht="28.8" x14ac:dyDescent="0.55000000000000004">
      <c r="A91" s="12">
        <v>46051</v>
      </c>
      <c r="B91" s="13" t="s">
        <v>836</v>
      </c>
      <c r="C91" s="10">
        <v>2</v>
      </c>
      <c r="D91" s="10">
        <v>35000</v>
      </c>
      <c r="E91" s="7">
        <f>+$I$2+(MEDIMADI[[#This Row],[QUANTITE]]*MEDIMADI[[#This Row],[PRIX UNITAIRE]])</f>
        <v>70000</v>
      </c>
      <c r="F91" s="14"/>
      <c r="G91" s="6">
        <f>+SUM(E$9:$E91)-SUM(F$9:$F91)</f>
        <v>420000</v>
      </c>
    </row>
    <row r="92" spans="1:7" ht="28.8" x14ac:dyDescent="0.55000000000000004">
      <c r="A92" s="12">
        <v>46066</v>
      </c>
      <c r="B92" s="13" t="s">
        <v>783</v>
      </c>
      <c r="C92" s="10">
        <v>1</v>
      </c>
      <c r="D92" s="10">
        <v>30000</v>
      </c>
      <c r="E92" s="7">
        <f>+$I$2+(MEDIMADI[[#This Row],[QUANTITE]]*MEDIMADI[[#This Row],[PRIX UNITAIRE]])</f>
        <v>30000</v>
      </c>
      <c r="F92" s="14"/>
      <c r="G92" s="6">
        <f>+SUM(E$9:$E92)-SUM(F$9:$F92)</f>
        <v>450000</v>
      </c>
    </row>
    <row r="93" spans="1:7" ht="28.8" x14ac:dyDescent="0.55000000000000004">
      <c r="A93" s="12">
        <v>46066</v>
      </c>
      <c r="B93" s="13" t="s">
        <v>3241</v>
      </c>
      <c r="C93" s="10">
        <v>1</v>
      </c>
      <c r="D93" s="10">
        <v>70000</v>
      </c>
      <c r="E93" s="7">
        <f>+$I$2+(MEDIMADI[[#This Row],[QUANTITE]]*MEDIMADI[[#This Row],[PRIX UNITAIRE]])</f>
        <v>70000</v>
      </c>
      <c r="F93" s="14"/>
      <c r="G93" s="6">
        <f>+SUM(E$9:$E93)-SUM(F$9:$F93)</f>
        <v>520000</v>
      </c>
    </row>
    <row r="94" spans="1:7" ht="28.8" x14ac:dyDescent="0.55000000000000004">
      <c r="A94" s="12">
        <v>46069</v>
      </c>
      <c r="B94" s="13" t="s">
        <v>3298</v>
      </c>
      <c r="C94" s="10">
        <v>1</v>
      </c>
      <c r="D94" s="10">
        <v>70000</v>
      </c>
      <c r="E94" s="7">
        <f>+$I$2+(MEDIMADI[[#This Row],[QUANTITE]]*MEDIMADI[[#This Row],[PRIX UNITAIRE]])</f>
        <v>70000</v>
      </c>
      <c r="F94" s="14"/>
      <c r="G94" s="6">
        <f>+SUM(E$9:$E94)-SUM(F$9:$F94)</f>
        <v>590000</v>
      </c>
    </row>
    <row r="95" spans="1:7" ht="28.8" x14ac:dyDescent="0.55000000000000004">
      <c r="A95" s="12">
        <v>46073</v>
      </c>
      <c r="B95" s="13" t="s">
        <v>3173</v>
      </c>
      <c r="C95" s="10">
        <v>1</v>
      </c>
      <c r="D95" s="10">
        <v>60000</v>
      </c>
      <c r="E95" s="7">
        <f>+$I$2+(MEDIMADI[[#This Row],[QUANTITE]]*MEDIMADI[[#This Row],[PRIX UNITAIRE]])</f>
        <v>60000</v>
      </c>
      <c r="F95" s="14"/>
      <c r="G95" s="6">
        <f>+SUM(E$9:$E95)-SUM(F$9:$F95)</f>
        <v>650000</v>
      </c>
    </row>
    <row r="96" spans="1:7" ht="28.8" x14ac:dyDescent="0.55000000000000004">
      <c r="A96" s="12">
        <v>46073</v>
      </c>
      <c r="B96" s="13" t="s">
        <v>3453</v>
      </c>
      <c r="C96" s="10">
        <v>1</v>
      </c>
      <c r="D96" s="10">
        <v>10000</v>
      </c>
      <c r="E96" s="7">
        <f>+$I$2+(MEDIMADI[[#This Row],[QUANTITE]]*MEDIMADI[[#This Row],[PRIX UNITAIRE]])</f>
        <v>10000</v>
      </c>
      <c r="F96" s="14"/>
      <c r="G96" s="6">
        <f>+SUM(E$9:$E96)-SUM(F$9:$F96)</f>
        <v>660000</v>
      </c>
    </row>
    <row r="97" spans="1:7" ht="28.8" x14ac:dyDescent="0.55000000000000004">
      <c r="A97" s="12">
        <v>46079</v>
      </c>
      <c r="B97" s="13" t="s">
        <v>1100</v>
      </c>
      <c r="C97" s="10">
        <v>1</v>
      </c>
      <c r="D97" s="10">
        <v>45000</v>
      </c>
      <c r="E97" s="7">
        <f>+$I$2+(MEDIMADI[[#This Row],[QUANTITE]]*MEDIMADI[[#This Row],[PRIX UNITAIRE]])</f>
        <v>45000</v>
      </c>
      <c r="F97" s="14"/>
      <c r="G97" s="6">
        <f>+SUM(E$9:$E97)-SUM(F$9:$F97)</f>
        <v>705000</v>
      </c>
    </row>
    <row r="98" spans="1:7" ht="28.8" x14ac:dyDescent="0.55000000000000004">
      <c r="A98" s="12">
        <v>46083</v>
      </c>
      <c r="B98" s="13" t="s">
        <v>3491</v>
      </c>
      <c r="C98" s="10">
        <v>2</v>
      </c>
      <c r="D98" s="10">
        <v>5000</v>
      </c>
      <c r="E98" s="7">
        <f>+$I$2+(MEDIMADI[[#This Row],[QUANTITE]]*MEDIMADI[[#This Row],[PRIX UNITAIRE]])</f>
        <v>10000</v>
      </c>
      <c r="F98" s="14"/>
      <c r="G98" s="6">
        <f>+SUM(E$9:$E98)-SUM(F$9:$F98)</f>
        <v>715000</v>
      </c>
    </row>
    <row r="99" spans="1:7" ht="28.8" x14ac:dyDescent="0.55000000000000004">
      <c r="A99" s="12">
        <v>46083</v>
      </c>
      <c r="B99" s="13" t="s">
        <v>510</v>
      </c>
      <c r="C99" s="10">
        <v>2</v>
      </c>
      <c r="D99" s="10">
        <v>8000</v>
      </c>
      <c r="E99" s="7">
        <f>+$I$2+(MEDIMADI[[#This Row],[QUANTITE]]*MEDIMADI[[#This Row],[PRIX UNITAIRE]])</f>
        <v>16000</v>
      </c>
      <c r="F99" s="14"/>
      <c r="G99" s="6">
        <f>+SUM(E$9:$E99)-SUM(F$9:$F99)</f>
        <v>731000</v>
      </c>
    </row>
    <row r="100" spans="1:7" ht="28.8" x14ac:dyDescent="0.55000000000000004">
      <c r="A100" s="12">
        <v>46083</v>
      </c>
      <c r="B100" s="13" t="s">
        <v>3492</v>
      </c>
      <c r="C100" s="10">
        <v>1</v>
      </c>
      <c r="D100" s="10">
        <v>3000</v>
      </c>
      <c r="E100" s="7">
        <f>+$I$2+(MEDIMADI[[#This Row],[QUANTITE]]*MEDIMADI[[#This Row],[PRIX UNITAIRE]])</f>
        <v>3000</v>
      </c>
      <c r="F100" s="14"/>
      <c r="G100" s="6">
        <f>+SUM(E$9:$E100)-SUM(F$9:$F100)</f>
        <v>734000</v>
      </c>
    </row>
    <row r="101" spans="1:7" ht="28.8" x14ac:dyDescent="0.55000000000000004">
      <c r="A101" s="12">
        <v>46083</v>
      </c>
      <c r="B101" s="13" t="s">
        <v>3493</v>
      </c>
      <c r="C101" s="10">
        <v>1</v>
      </c>
      <c r="D101" s="10">
        <v>10000</v>
      </c>
      <c r="E101" s="7">
        <f>+$I$2+(MEDIMADI[[#This Row],[QUANTITE]]*MEDIMADI[[#This Row],[PRIX UNITAIRE]])</f>
        <v>10000</v>
      </c>
      <c r="F101" s="14"/>
      <c r="G101" s="6">
        <f>+SUM(E$9:$E101)-SUM(F$9:$F101)</f>
        <v>744000</v>
      </c>
    </row>
    <row r="102" spans="1:7" ht="28.8" x14ac:dyDescent="0.55000000000000004">
      <c r="A102" s="12"/>
      <c r="B102" s="13"/>
      <c r="C102" s="10"/>
      <c r="D102" s="10"/>
      <c r="E102" s="7">
        <f>+$I$2+(MEDIMADI[[#This Row],[QUANTITE]]*MEDIMADI[[#This Row],[PRIX UNITAIRE]])</f>
        <v>0</v>
      </c>
      <c r="F102" s="14"/>
      <c r="G102" s="6">
        <f>+SUM(E$9:$E102)-SUM(F$9:$F102)</f>
        <v>744000</v>
      </c>
    </row>
    <row r="103" spans="1:7" ht="28.8" x14ac:dyDescent="0.55000000000000004">
      <c r="A103" s="12"/>
      <c r="B103" s="13"/>
      <c r="C103" s="10"/>
      <c r="D103" s="10"/>
      <c r="E103" s="7">
        <f>+$I$2+(MEDIMADI[[#This Row],[QUANTITE]]*MEDIMADI[[#This Row],[PRIX UNITAIRE]])</f>
        <v>0</v>
      </c>
      <c r="F103" s="14"/>
      <c r="G103" s="6">
        <f>+SUM(E$9:$E103)-SUM(F$9:$F103)</f>
        <v>744000</v>
      </c>
    </row>
    <row r="104" spans="1:7" ht="28.8" x14ac:dyDescent="0.55000000000000004">
      <c r="A104" s="12"/>
      <c r="B104" s="13"/>
      <c r="C104" s="10"/>
      <c r="D104" s="10"/>
      <c r="E104" s="7">
        <f>+$I$2+(MEDIMADI[[#This Row],[QUANTITE]]*MEDIMADI[[#This Row],[PRIX UNITAIRE]])</f>
        <v>0</v>
      </c>
      <c r="F104" s="14"/>
      <c r="G104" s="6">
        <f>+SUM(E$9:$E104)-SUM(F$9:$F104)</f>
        <v>744000</v>
      </c>
    </row>
    <row r="105" spans="1:7" ht="28.8" x14ac:dyDescent="0.55000000000000004">
      <c r="A105" s="12"/>
      <c r="B105" s="13"/>
      <c r="C105" s="10"/>
      <c r="D105" s="10"/>
      <c r="E105" s="7">
        <f>+$I$2+(MEDIMADI[[#This Row],[QUANTITE]]*MEDIMADI[[#This Row],[PRIX UNITAIRE]])</f>
        <v>0</v>
      </c>
      <c r="F105" s="14"/>
      <c r="G105" s="6">
        <f>+SUM(E$9:$E105)-SUM(F$9:$F105)</f>
        <v>744000</v>
      </c>
    </row>
    <row r="106" spans="1:7" ht="28.8" x14ac:dyDescent="0.55000000000000004">
      <c r="A106" s="12"/>
      <c r="B106" s="13"/>
      <c r="C106" s="10"/>
      <c r="D106" s="10"/>
      <c r="E106" s="7">
        <f>+$I$2+(MEDIMADI[[#This Row],[QUANTITE]]*MEDIMADI[[#This Row],[PRIX UNITAIRE]])</f>
        <v>0</v>
      </c>
      <c r="F106" s="14"/>
      <c r="G106" s="6">
        <f>+SUM(E$9:$E106)-SUM(F$9:$F106)</f>
        <v>744000</v>
      </c>
    </row>
    <row r="107" spans="1:7" ht="28.8" x14ac:dyDescent="0.55000000000000004">
      <c r="A107" s="12"/>
      <c r="B107" s="13"/>
      <c r="C107" s="10"/>
      <c r="D107" s="10"/>
      <c r="E107" s="7">
        <f>+$I$2+(MEDIMADI[[#This Row],[QUANTITE]]*MEDIMADI[[#This Row],[PRIX UNITAIRE]])</f>
        <v>0</v>
      </c>
      <c r="F107" s="14"/>
      <c r="G107" s="6">
        <f>+SUM(E$9:$E107)-SUM(F$9:$F107)</f>
        <v>744000</v>
      </c>
    </row>
    <row r="108" spans="1:7" ht="28.8" x14ac:dyDescent="0.55000000000000004">
      <c r="A108" s="12"/>
      <c r="B108" s="13"/>
      <c r="C108" s="10"/>
      <c r="D108" s="10"/>
      <c r="E108" s="7">
        <f>+$I$2+(MEDIMADI[[#This Row],[QUANTITE]]*MEDIMADI[[#This Row],[PRIX UNITAIRE]])</f>
        <v>0</v>
      </c>
      <c r="F108" s="14"/>
      <c r="G108" s="6">
        <f>+SUM(E$9:$E108)-SUM(F$9:$F108)</f>
        <v>744000</v>
      </c>
    </row>
    <row r="109" spans="1:7" ht="28.8" x14ac:dyDescent="0.55000000000000004">
      <c r="A109" s="12"/>
      <c r="B109" s="13"/>
      <c r="C109" s="10"/>
      <c r="D109" s="10"/>
      <c r="E109" s="7">
        <f>+$I$2+(MEDIMADI[[#This Row],[QUANTITE]]*MEDIMADI[[#This Row],[PRIX UNITAIRE]])</f>
        <v>0</v>
      </c>
      <c r="F109" s="14"/>
      <c r="G109" s="6">
        <f>+SUM(E$9:$E109)-SUM(F$9:$F109)</f>
        <v>744000</v>
      </c>
    </row>
    <row r="110" spans="1:7" ht="28.8" x14ac:dyDescent="0.55000000000000004">
      <c r="A110" s="12"/>
      <c r="B110" s="13"/>
      <c r="C110" s="10"/>
      <c r="D110" s="10"/>
      <c r="E110" s="7">
        <f>+$I$2+(MEDIMADI[[#This Row],[QUANTITE]]*MEDIMADI[[#This Row],[PRIX UNITAIRE]])</f>
        <v>0</v>
      </c>
      <c r="F110" s="14"/>
      <c r="G110" s="6">
        <f>+SUM(E$9:$E110)-SUM(F$9:$F110)</f>
        <v>744000</v>
      </c>
    </row>
    <row r="111" spans="1:7" ht="28.8" x14ac:dyDescent="0.55000000000000004">
      <c r="A111" s="12"/>
      <c r="B111" s="13"/>
      <c r="C111" s="10"/>
      <c r="D111" s="10"/>
      <c r="E111" s="7">
        <f>+$I$2+(MEDIMADI[[#This Row],[QUANTITE]]*MEDIMADI[[#This Row],[PRIX UNITAIRE]])</f>
        <v>0</v>
      </c>
      <c r="F111" s="14"/>
      <c r="G111" s="6">
        <f>+SUM(E$9:$E111)-SUM(F$9:$F111)</f>
        <v>744000</v>
      </c>
    </row>
    <row r="112" spans="1:7" ht="28.8" x14ac:dyDescent="0.55000000000000004">
      <c r="A112" s="12"/>
      <c r="B112" s="13"/>
      <c r="C112" s="10"/>
      <c r="D112" s="10"/>
      <c r="E112" s="7">
        <f>+$I$2+(MEDIMADI[[#This Row],[QUANTITE]]*MEDIMADI[[#This Row],[PRIX UNITAIRE]])</f>
        <v>0</v>
      </c>
      <c r="F112" s="14"/>
      <c r="G112" s="6">
        <f>+SUM(E$9:$E112)-SUM(F$9:$F112)</f>
        <v>744000</v>
      </c>
    </row>
    <row r="113" spans="1:7" ht="28.8" x14ac:dyDescent="0.55000000000000004">
      <c r="A113" s="12"/>
      <c r="B113" s="13"/>
      <c r="C113" s="10"/>
      <c r="D113" s="10"/>
      <c r="E113" s="7">
        <f>+$I$2+(MEDIMADI[[#This Row],[QUANTITE]]*MEDIMADI[[#This Row],[PRIX UNITAIRE]])</f>
        <v>0</v>
      </c>
      <c r="F113" s="14"/>
      <c r="G113" s="6">
        <f>+SUM(E$9:$E113)-SUM(F$9:$F113)</f>
        <v>744000</v>
      </c>
    </row>
    <row r="114" spans="1:7" ht="28.8" x14ac:dyDescent="0.55000000000000004">
      <c r="A114" s="12"/>
      <c r="B114" s="13"/>
      <c r="C114" s="10"/>
      <c r="D114" s="10"/>
      <c r="E114" s="7">
        <f>+$I$2+(MEDIMADI[[#This Row],[QUANTITE]]*MEDIMADI[[#This Row],[PRIX UNITAIRE]])</f>
        <v>0</v>
      </c>
      <c r="F114" s="14"/>
      <c r="G114" s="6">
        <f>+SUM(E$9:$E114)-SUM(F$9:$F114)</f>
        <v>744000</v>
      </c>
    </row>
    <row r="115" spans="1:7" ht="28.8" x14ac:dyDescent="0.55000000000000004">
      <c r="A115" s="12"/>
      <c r="B115" s="13"/>
      <c r="C115" s="10"/>
      <c r="D115" s="10"/>
      <c r="E115" s="7">
        <f>+$I$2+(MEDIMADI[[#This Row],[QUANTITE]]*MEDIMADI[[#This Row],[PRIX UNITAIRE]])</f>
        <v>0</v>
      </c>
      <c r="F115" s="14"/>
      <c r="G115" s="6">
        <f>+SUM(E$9:$E115)-SUM(F$9:$F115)</f>
        <v>744000</v>
      </c>
    </row>
    <row r="116" spans="1:7" ht="28.8" x14ac:dyDescent="0.55000000000000004">
      <c r="A116" s="12"/>
      <c r="B116" s="13"/>
      <c r="C116" s="10"/>
      <c r="D116" s="10"/>
      <c r="E116" s="7">
        <f>+$I$2+(MEDIMADI[[#This Row],[QUANTITE]]*MEDIMADI[[#This Row],[PRIX UNITAIRE]])</f>
        <v>0</v>
      </c>
      <c r="F116" s="14"/>
      <c r="G116" s="6">
        <f>+SUM(E$9:$E116)-SUM(F$9:$F116)</f>
        <v>744000</v>
      </c>
    </row>
    <row r="117" spans="1:7" ht="28.8" x14ac:dyDescent="0.55000000000000004">
      <c r="A117" s="12"/>
      <c r="B117" s="13"/>
      <c r="C117" s="10"/>
      <c r="D117" s="10"/>
      <c r="E117" s="7">
        <f>+$I$2+(MEDIMADI[[#This Row],[QUANTITE]]*MEDIMADI[[#This Row],[PRIX UNITAIRE]])</f>
        <v>0</v>
      </c>
      <c r="F117" s="14"/>
      <c r="G117" s="6">
        <f>+SUM(E$9:$E117)-SUM(F$9:$F117)</f>
        <v>744000</v>
      </c>
    </row>
    <row r="118" spans="1:7" ht="28.8" x14ac:dyDescent="0.55000000000000004">
      <c r="A118" s="12"/>
      <c r="B118" s="13"/>
      <c r="C118" s="10"/>
      <c r="D118" s="10"/>
      <c r="E118" s="7">
        <f>+$I$2+(MEDIMADI[[#This Row],[QUANTITE]]*MEDIMADI[[#This Row],[PRIX UNITAIRE]])</f>
        <v>0</v>
      </c>
      <c r="F118" s="14"/>
      <c r="G118" s="6">
        <f>+SUM(E$9:$E118)-SUM(F$9:$F118)</f>
        <v>744000</v>
      </c>
    </row>
    <row r="119" spans="1:7" ht="28.8" x14ac:dyDescent="0.55000000000000004">
      <c r="A119" s="12"/>
      <c r="B119" s="13"/>
      <c r="C119" s="10"/>
      <c r="D119" s="10"/>
      <c r="E119" s="7">
        <f>+$I$2+(MEDIMADI[[#This Row],[QUANTITE]]*MEDIMADI[[#This Row],[PRIX UNITAIRE]])</f>
        <v>0</v>
      </c>
      <c r="F119" s="14"/>
      <c r="G119" s="6">
        <f>+SUM(E$9:$E119)-SUM(F$9:$F119)</f>
        <v>744000</v>
      </c>
    </row>
    <row r="120" spans="1:7" ht="28.8" x14ac:dyDescent="0.55000000000000004">
      <c r="A120" s="12"/>
      <c r="B120" s="13"/>
      <c r="C120" s="10"/>
      <c r="D120" s="10"/>
      <c r="E120" s="7">
        <f>+$I$2+(MEDIMADI[[#This Row],[QUANTITE]]*MEDIMADI[[#This Row],[PRIX UNITAIRE]])</f>
        <v>0</v>
      </c>
      <c r="F120" s="14"/>
      <c r="G120" s="6">
        <f>+SUM(E$9:$E120)-SUM(F$9:$F120)</f>
        <v>744000</v>
      </c>
    </row>
    <row r="121" spans="1:7" ht="28.8" x14ac:dyDescent="0.55000000000000004">
      <c r="A121" s="12"/>
      <c r="B121" s="13"/>
      <c r="C121" s="10"/>
      <c r="D121" s="10"/>
      <c r="E121" s="7">
        <f>+$I$2+(MEDIMADI[[#This Row],[QUANTITE]]*MEDIMADI[[#This Row],[PRIX UNITAIRE]])</f>
        <v>0</v>
      </c>
      <c r="F121" s="14"/>
      <c r="G121" s="6">
        <f>+SUM(E$9:$E121)-SUM(F$9:$F121)</f>
        <v>744000</v>
      </c>
    </row>
    <row r="122" spans="1:7" ht="28.8" x14ac:dyDescent="0.55000000000000004">
      <c r="A122" s="12"/>
      <c r="B122" s="13"/>
      <c r="C122" s="10"/>
      <c r="D122" s="10"/>
      <c r="E122" s="7">
        <f>+$I$2+(MEDIMADI[[#This Row],[QUANTITE]]*MEDIMADI[[#This Row],[PRIX UNITAIRE]])</f>
        <v>0</v>
      </c>
      <c r="F122" s="14"/>
      <c r="G122" s="6">
        <f>+SUM(E$9:$E122)-SUM(F$9:$F122)</f>
        <v>744000</v>
      </c>
    </row>
  </sheetData>
  <sheetProtection selectLockedCells="1" autoFilter="0"/>
  <mergeCells count="1">
    <mergeCell ref="B6:C6"/>
  </mergeCells>
  <conditionalFormatting sqref="G4">
    <cfRule type="cellIs" dxfId="405" priority="2" operator="lessThan">
      <formula>0</formula>
    </cfRule>
    <cfRule type="cellIs" dxfId="404" priority="3" operator="greaterThan">
      <formula>0</formula>
    </cfRule>
  </conditionalFormatting>
  <conditionalFormatting sqref="B9:B122">
    <cfRule type="expression" dxfId="403" priority="9">
      <formula>$F9</formula>
    </cfRule>
  </conditionalFormatting>
  <dataValidations count="1">
    <dataValidation type="date" operator="greaterThan" allowBlank="1" showInputMessage="1" showErrorMessage="1" error="VEILLEZ ENTRER UNE DATE VALIDE" sqref="A9:A12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/>
  <dimension ref="A1:I236"/>
  <sheetViews>
    <sheetView showGridLines="0" zoomScale="60" zoomScaleNormal="60" workbookViewId="0">
      <pane ySplit="8" topLeftCell="A68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4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+SUM(ADNANPRIME[TOTAL MONTANT])</f>
        <v>38548000</v>
      </c>
      <c r="F4" s="41">
        <f>+SUM(ADNANPRIME[VERSEMENT])</f>
        <v>26675000</v>
      </c>
      <c r="G4" s="130">
        <f>+E4-F4</f>
        <v>11873000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599</v>
      </c>
      <c r="C6" s="169"/>
      <c r="D6" s="132"/>
      <c r="E6" s="132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44881</v>
      </c>
      <c r="B9" s="13" t="s">
        <v>600</v>
      </c>
      <c r="C9" s="10">
        <v>1</v>
      </c>
      <c r="D9" s="10">
        <v>2215000</v>
      </c>
      <c r="E9" s="7">
        <f>+$I$2+(ADNANPRIME[[#This Row],[QUANTITE]]*ADNANPRIME[[#This Row],[PRIX UNITAIRE]])</f>
        <v>2215000</v>
      </c>
      <c r="F9" s="14">
        <v>0</v>
      </c>
      <c r="G9" s="6">
        <f>+SUM(E$9:$E9)-SUM(F$9:$F9)</f>
        <v>2215000</v>
      </c>
    </row>
    <row r="10" spans="1:9" ht="28.8" x14ac:dyDescent="0.55000000000000004">
      <c r="A10" s="24">
        <v>44911</v>
      </c>
      <c r="B10" s="25" t="s">
        <v>601</v>
      </c>
      <c r="C10" s="26">
        <v>1</v>
      </c>
      <c r="D10" s="26">
        <v>10000</v>
      </c>
      <c r="E10" s="27">
        <f>+$I$2+(ADNANPRIME[[#This Row],[QUANTITE]]*ADNANPRIME[[#This Row],[PRIX UNITAIRE]])</f>
        <v>10000</v>
      </c>
      <c r="F10" s="28">
        <v>0</v>
      </c>
      <c r="G10" s="29">
        <f>+SUM(E$9:$E10)-SUM(F$9:$F10)</f>
        <v>2225000</v>
      </c>
    </row>
    <row r="11" spans="1:9" ht="28.8" x14ac:dyDescent="0.55000000000000004">
      <c r="A11" s="24"/>
      <c r="B11" s="25" t="s">
        <v>602</v>
      </c>
      <c r="C11" s="26">
        <v>2</v>
      </c>
      <c r="D11" s="26">
        <v>15000</v>
      </c>
      <c r="E11" s="27">
        <f>+$I$2+(ADNANPRIME[[#This Row],[QUANTITE]]*ADNANPRIME[[#This Row],[PRIX UNITAIRE]])</f>
        <v>30000</v>
      </c>
      <c r="F11" s="28">
        <v>0</v>
      </c>
      <c r="G11" s="29">
        <f>+SUM(E$9:$E11)-SUM(F$9:$F11)</f>
        <v>2255000</v>
      </c>
    </row>
    <row r="12" spans="1:9" ht="28.8" x14ac:dyDescent="0.55000000000000004">
      <c r="A12" s="24"/>
      <c r="B12" s="25" t="s">
        <v>603</v>
      </c>
      <c r="C12" s="26">
        <v>2</v>
      </c>
      <c r="D12" s="26">
        <v>50000</v>
      </c>
      <c r="E12" s="27">
        <f>+$I$2+(ADNANPRIME[[#This Row],[QUANTITE]]*ADNANPRIME[[#This Row],[PRIX UNITAIRE]])</f>
        <v>100000</v>
      </c>
      <c r="F12" s="28">
        <v>0</v>
      </c>
      <c r="G12" s="29">
        <f>+SUM(E$9:$E12)-SUM(F$9:$F12)</f>
        <v>2355000</v>
      </c>
    </row>
    <row r="13" spans="1:9" ht="28.8" x14ac:dyDescent="0.55000000000000004">
      <c r="A13" s="24">
        <v>44958</v>
      </c>
      <c r="B13" s="25" t="s">
        <v>604</v>
      </c>
      <c r="C13" s="26">
        <v>1</v>
      </c>
      <c r="D13" s="26">
        <v>0</v>
      </c>
      <c r="E13" s="27">
        <f>+$I$2+(ADNANPRIME[[#This Row],[QUANTITE]]*ADNANPRIME[[#This Row],[PRIX UNITAIRE]])</f>
        <v>0</v>
      </c>
      <c r="F13" s="28">
        <v>2355000</v>
      </c>
      <c r="G13" s="29">
        <f>+SUM(E$9:$E13)-SUM(F$9:$F13)</f>
        <v>0</v>
      </c>
    </row>
    <row r="14" spans="1:9" ht="28.8" x14ac:dyDescent="0.55000000000000004">
      <c r="A14" s="24">
        <v>44963</v>
      </c>
      <c r="B14" s="25" t="s">
        <v>78</v>
      </c>
      <c r="C14" s="26">
        <v>2</v>
      </c>
      <c r="D14" s="26">
        <v>135000</v>
      </c>
      <c r="E14" s="27">
        <f>+$I$2+(ADNANPRIME[[#This Row],[QUANTITE]]*ADNANPRIME[[#This Row],[PRIX UNITAIRE]])</f>
        <v>270000</v>
      </c>
      <c r="F14" s="28">
        <v>0</v>
      </c>
      <c r="G14" s="29">
        <f>+SUM(E$9:$E14)-SUM(F$9:$F14)</f>
        <v>270000</v>
      </c>
    </row>
    <row r="15" spans="1:9" ht="28.8" x14ac:dyDescent="0.55000000000000004">
      <c r="A15" s="24">
        <v>44999</v>
      </c>
      <c r="B15" s="25" t="s">
        <v>83</v>
      </c>
      <c r="C15" s="26">
        <v>10</v>
      </c>
      <c r="D15" s="26">
        <v>15000</v>
      </c>
      <c r="E15" s="27">
        <f>+$I$2+(ADNANPRIME[[#This Row],[QUANTITE]]*ADNANPRIME[[#This Row],[PRIX UNITAIRE]])</f>
        <v>150000</v>
      </c>
      <c r="F15" s="28">
        <v>0</v>
      </c>
      <c r="G15" s="29">
        <f>+SUM(E$9:$E15)-SUM(F$9:$F15)</f>
        <v>420000</v>
      </c>
    </row>
    <row r="16" spans="1:9" ht="28.8" x14ac:dyDescent="0.55000000000000004">
      <c r="A16" s="24"/>
      <c r="B16" s="25" t="s">
        <v>605</v>
      </c>
      <c r="C16" s="26">
        <v>2</v>
      </c>
      <c r="D16" s="26">
        <v>50000</v>
      </c>
      <c r="E16" s="27">
        <f>+$I$2+(ADNANPRIME[[#This Row],[QUANTITE]]*ADNANPRIME[[#This Row],[PRIX UNITAIRE]])</f>
        <v>100000</v>
      </c>
      <c r="F16" s="28">
        <v>0</v>
      </c>
      <c r="G16" s="29">
        <f>+SUM(E$9:$E16)-SUM(F$9:$F16)</f>
        <v>520000</v>
      </c>
    </row>
    <row r="17" spans="1:7" ht="28.8" x14ac:dyDescent="0.55000000000000004">
      <c r="A17" s="24">
        <v>45014</v>
      </c>
      <c r="B17" s="25" t="s">
        <v>606</v>
      </c>
      <c r="C17" s="26">
        <v>16</v>
      </c>
      <c r="D17" s="26">
        <v>185000</v>
      </c>
      <c r="E17" s="27">
        <f>+$I$2+(ADNANPRIME[[#This Row],[QUANTITE]]*ADNANPRIME[[#This Row],[PRIX UNITAIRE]])</f>
        <v>2960000</v>
      </c>
      <c r="F17" s="28">
        <v>0</v>
      </c>
      <c r="G17" s="29">
        <f>+SUM(E$9:$E17)-SUM(F$9:$F17)</f>
        <v>3480000</v>
      </c>
    </row>
    <row r="18" spans="1:7" ht="28.8" x14ac:dyDescent="0.55000000000000004">
      <c r="A18" s="24"/>
      <c r="B18" s="25" t="s">
        <v>607</v>
      </c>
      <c r="C18" s="26">
        <v>2</v>
      </c>
      <c r="D18" s="26">
        <v>60000</v>
      </c>
      <c r="E18" s="27">
        <f>+$I$2+(ADNANPRIME[[#This Row],[QUANTITE]]*ADNANPRIME[[#This Row],[PRIX UNITAIRE]])</f>
        <v>120000</v>
      </c>
      <c r="F18" s="28">
        <v>0</v>
      </c>
      <c r="G18" s="29">
        <f>+SUM(E$9:$E18)-SUM(F$9:$F18)</f>
        <v>3600000</v>
      </c>
    </row>
    <row r="19" spans="1:7" ht="28.8" x14ac:dyDescent="0.55000000000000004">
      <c r="A19" s="24">
        <v>44964</v>
      </c>
      <c r="B19" s="25" t="s">
        <v>608</v>
      </c>
      <c r="C19" s="26">
        <v>4</v>
      </c>
      <c r="D19" s="26">
        <v>50000</v>
      </c>
      <c r="E19" s="27">
        <f>+$I$2+(ADNANPRIME[[#This Row],[QUANTITE]]*ADNANPRIME[[#This Row],[PRIX UNITAIRE]])</f>
        <v>200000</v>
      </c>
      <c r="F19" s="28">
        <v>0</v>
      </c>
      <c r="G19" s="29">
        <f>+SUM(E$9:$E19)-SUM(F$9:$F19)</f>
        <v>3800000</v>
      </c>
    </row>
    <row r="20" spans="1:7" ht="28.8" x14ac:dyDescent="0.55000000000000004">
      <c r="A20" s="24"/>
      <c r="B20" s="25" t="s">
        <v>609</v>
      </c>
      <c r="C20" s="26">
        <v>1</v>
      </c>
      <c r="D20" s="26">
        <v>10000</v>
      </c>
      <c r="E20" s="27">
        <f>+$I$2+(ADNANPRIME[[#This Row],[QUANTITE]]*ADNANPRIME[[#This Row],[PRIX UNITAIRE]])</f>
        <v>10000</v>
      </c>
      <c r="F20" s="28">
        <v>0</v>
      </c>
      <c r="G20" s="29">
        <f>+SUM(E$9:$E20)-SUM(F$9:$F20)</f>
        <v>3810000</v>
      </c>
    </row>
    <row r="21" spans="1:7" ht="28.8" x14ac:dyDescent="0.55000000000000004">
      <c r="A21" s="24"/>
      <c r="B21" s="25" t="s">
        <v>610</v>
      </c>
      <c r="C21" s="26">
        <v>1</v>
      </c>
      <c r="D21" s="26">
        <v>10000</v>
      </c>
      <c r="E21" s="27">
        <f>+$I$2+(ADNANPRIME[[#This Row],[QUANTITE]]*ADNANPRIME[[#This Row],[PRIX UNITAIRE]])</f>
        <v>10000</v>
      </c>
      <c r="F21" s="28">
        <v>0</v>
      </c>
      <c r="G21" s="29">
        <f>+SUM(E$9:$E21)-SUM(F$9:$F21)</f>
        <v>3820000</v>
      </c>
    </row>
    <row r="22" spans="1:7" ht="28.8" x14ac:dyDescent="0.55000000000000004">
      <c r="A22" s="24">
        <v>45056</v>
      </c>
      <c r="B22" s="25" t="s">
        <v>611</v>
      </c>
      <c r="C22" s="26">
        <v>1</v>
      </c>
      <c r="D22" s="26">
        <v>0</v>
      </c>
      <c r="E22" s="27">
        <f>+$I$2+(ADNANPRIME[[#This Row],[QUANTITE]]*ADNANPRIME[[#This Row],[PRIX UNITAIRE]])</f>
        <v>0</v>
      </c>
      <c r="F22" s="28">
        <v>2820000</v>
      </c>
      <c r="G22" s="29">
        <f>+SUM(E$9:$E22)-SUM(F$9:$F22)</f>
        <v>1000000</v>
      </c>
    </row>
    <row r="23" spans="1:7" ht="28.8" x14ac:dyDescent="0.55000000000000004">
      <c r="A23" s="24">
        <v>45057</v>
      </c>
      <c r="B23" s="25" t="s">
        <v>612</v>
      </c>
      <c r="C23" s="26">
        <v>2</v>
      </c>
      <c r="D23" s="26">
        <v>145000</v>
      </c>
      <c r="E23" s="27">
        <f>+$I$2+(ADNANPRIME[[#This Row],[QUANTITE]]*ADNANPRIME[[#This Row],[PRIX UNITAIRE]])</f>
        <v>290000</v>
      </c>
      <c r="F23" s="28">
        <v>0</v>
      </c>
      <c r="G23" s="29">
        <f>+SUM(E$9:$E23)-SUM(F$9:$F23)</f>
        <v>1290000</v>
      </c>
    </row>
    <row r="24" spans="1:7" ht="28.8" x14ac:dyDescent="0.55000000000000004">
      <c r="A24" s="24"/>
      <c r="B24" s="25" t="s">
        <v>603</v>
      </c>
      <c r="C24" s="26">
        <v>2</v>
      </c>
      <c r="D24" s="26">
        <v>50000</v>
      </c>
      <c r="E24" s="27">
        <f>+$I$2+(ADNANPRIME[[#This Row],[QUANTITE]]*ADNANPRIME[[#This Row],[PRIX UNITAIRE]])</f>
        <v>100000</v>
      </c>
      <c r="F24" s="28">
        <v>0</v>
      </c>
      <c r="G24" s="29">
        <f>+SUM(E$9:$E24)-SUM(F$9:$F24)</f>
        <v>1390000</v>
      </c>
    </row>
    <row r="25" spans="1:7" ht="28.8" x14ac:dyDescent="0.55000000000000004">
      <c r="A25" s="24" t="s">
        <v>613</v>
      </c>
      <c r="B25" s="25" t="s">
        <v>606</v>
      </c>
      <c r="C25" s="26">
        <v>1</v>
      </c>
      <c r="D25" s="26">
        <v>185000</v>
      </c>
      <c r="E25" s="27">
        <f>+$I$2+(ADNANPRIME[[#This Row],[QUANTITE]]*ADNANPRIME[[#This Row],[PRIX UNITAIRE]])</f>
        <v>185000</v>
      </c>
      <c r="F25" s="28">
        <v>0</v>
      </c>
      <c r="G25" s="29">
        <f>+SUM(E$9:$E25)-SUM(F$9:$F25)</f>
        <v>1575000</v>
      </c>
    </row>
    <row r="26" spans="1:7" ht="28.8" x14ac:dyDescent="0.55000000000000004">
      <c r="A26" s="24"/>
      <c r="B26" s="25" t="s">
        <v>614</v>
      </c>
      <c r="C26" s="26">
        <v>1</v>
      </c>
      <c r="D26" s="26">
        <v>60000</v>
      </c>
      <c r="E26" s="27">
        <f>+$I$2+(ADNANPRIME[[#This Row],[QUANTITE]]*ADNANPRIME[[#This Row],[PRIX UNITAIRE]])</f>
        <v>60000</v>
      </c>
      <c r="F26" s="28">
        <v>0</v>
      </c>
      <c r="G26" s="29">
        <f>+SUM(E$9:$E26)-SUM(F$9:$F26)</f>
        <v>1635000</v>
      </c>
    </row>
    <row r="27" spans="1:7" ht="28.8" x14ac:dyDescent="0.55000000000000004">
      <c r="A27" s="24">
        <v>45127</v>
      </c>
      <c r="B27" s="25" t="s">
        <v>615</v>
      </c>
      <c r="C27" s="26">
        <v>8</v>
      </c>
      <c r="D27" s="26">
        <v>50000</v>
      </c>
      <c r="E27" s="27">
        <f>+$I$2+(ADNANPRIME[[#This Row],[QUANTITE]]*ADNANPRIME[[#This Row],[PRIX UNITAIRE]])</f>
        <v>400000</v>
      </c>
      <c r="F27" s="28">
        <v>0</v>
      </c>
      <c r="G27" s="29">
        <f>+SUM(E$9:$E27)-SUM(F$9:$F27)</f>
        <v>2035000</v>
      </c>
    </row>
    <row r="28" spans="1:7" ht="28.8" x14ac:dyDescent="0.55000000000000004">
      <c r="A28" s="24">
        <v>45129</v>
      </c>
      <c r="B28" s="25" t="s">
        <v>78</v>
      </c>
      <c r="C28" s="26">
        <v>1</v>
      </c>
      <c r="D28" s="26">
        <v>135000</v>
      </c>
      <c r="E28" s="27">
        <f>+$I$2+(ADNANPRIME[[#This Row],[QUANTITE]]*ADNANPRIME[[#This Row],[PRIX UNITAIRE]])</f>
        <v>135000</v>
      </c>
      <c r="F28" s="28">
        <v>0</v>
      </c>
      <c r="G28" s="29">
        <f>+SUM(E$9:$E28)-SUM(F$9:$F28)</f>
        <v>2170000</v>
      </c>
    </row>
    <row r="29" spans="1:7" ht="28.8" x14ac:dyDescent="0.55000000000000004">
      <c r="A29" s="24"/>
      <c r="B29" s="25" t="s">
        <v>616</v>
      </c>
      <c r="C29" s="26">
        <v>1</v>
      </c>
      <c r="D29" s="26">
        <v>50000</v>
      </c>
      <c r="E29" s="27">
        <f>+$I$2+(ADNANPRIME[[#This Row],[QUANTITE]]*ADNANPRIME[[#This Row],[PRIX UNITAIRE]])</f>
        <v>50000</v>
      </c>
      <c r="F29" s="28">
        <v>0</v>
      </c>
      <c r="G29" s="29">
        <f>+SUM(E$9:$E29)-SUM(F$9:$F29)</f>
        <v>2220000</v>
      </c>
    </row>
    <row r="30" spans="1:7" ht="28.8" x14ac:dyDescent="0.55000000000000004">
      <c r="A30" s="24"/>
      <c r="B30" s="25" t="s">
        <v>606</v>
      </c>
      <c r="C30" s="26">
        <v>1</v>
      </c>
      <c r="D30" s="26">
        <v>185000</v>
      </c>
      <c r="E30" s="27">
        <f>+$I$2+(ADNANPRIME[[#This Row],[QUANTITE]]*ADNANPRIME[[#This Row],[PRIX UNITAIRE]])</f>
        <v>185000</v>
      </c>
      <c r="F30" s="28">
        <v>0</v>
      </c>
      <c r="G30" s="29">
        <f>+SUM(E$9:$E30)-SUM(F$9:$F30)</f>
        <v>2405000</v>
      </c>
    </row>
    <row r="31" spans="1:7" ht="28.8" x14ac:dyDescent="0.55000000000000004">
      <c r="A31" s="24"/>
      <c r="B31" s="25" t="s">
        <v>617</v>
      </c>
      <c r="C31" s="26">
        <v>1</v>
      </c>
      <c r="D31" s="26">
        <v>60000</v>
      </c>
      <c r="E31" s="27">
        <f>+$I$2+(ADNANPRIME[[#This Row],[QUANTITE]]*ADNANPRIME[[#This Row],[PRIX UNITAIRE]])</f>
        <v>60000</v>
      </c>
      <c r="F31" s="28">
        <v>0</v>
      </c>
      <c r="G31" s="29">
        <f>+SUM(E$9:$E31)-SUM(F$9:$F31)</f>
        <v>2465000</v>
      </c>
    </row>
    <row r="32" spans="1:7" ht="28.8" x14ac:dyDescent="0.55000000000000004">
      <c r="A32" s="24">
        <v>45175</v>
      </c>
      <c r="B32" s="25" t="s">
        <v>78</v>
      </c>
      <c r="C32" s="26">
        <v>6</v>
      </c>
      <c r="D32" s="26">
        <v>135000</v>
      </c>
      <c r="E32" s="27">
        <f>+$I$2+(ADNANPRIME[[#This Row],[QUANTITE]]*ADNANPRIME[[#This Row],[PRIX UNITAIRE]])</f>
        <v>810000</v>
      </c>
      <c r="F32" s="28">
        <v>0</v>
      </c>
      <c r="G32" s="29">
        <f>+SUM(E$9:$E32)-SUM(F$9:$F32)</f>
        <v>3275000</v>
      </c>
    </row>
    <row r="33" spans="1:7" ht="28.8" x14ac:dyDescent="0.55000000000000004">
      <c r="A33" s="24"/>
      <c r="B33" s="25" t="s">
        <v>606</v>
      </c>
      <c r="C33" s="26">
        <v>4</v>
      </c>
      <c r="D33" s="26">
        <v>185000</v>
      </c>
      <c r="E33" s="27">
        <f>+$I$2+(ADNANPRIME[[#This Row],[QUANTITE]]*ADNANPRIME[[#This Row],[PRIX UNITAIRE]])</f>
        <v>740000</v>
      </c>
      <c r="F33" s="28">
        <v>0</v>
      </c>
      <c r="G33" s="29">
        <f>+SUM(E$9:$E33)-SUM(F$9:$F33)</f>
        <v>4015000</v>
      </c>
    </row>
    <row r="34" spans="1:7" ht="28.8" x14ac:dyDescent="0.55000000000000004">
      <c r="A34" s="24">
        <v>45176</v>
      </c>
      <c r="B34" s="25" t="s">
        <v>618</v>
      </c>
      <c r="C34" s="26">
        <v>1</v>
      </c>
      <c r="D34" s="26">
        <v>0</v>
      </c>
      <c r="E34" s="27">
        <f>+$I$2+(ADNANPRIME[[#This Row],[QUANTITE]]*ADNANPRIME[[#This Row],[PRIX UNITAIRE]])</f>
        <v>0</v>
      </c>
      <c r="F34" s="28">
        <v>2000000</v>
      </c>
      <c r="G34" s="29">
        <f>+SUM(E$9:$E34)-SUM(F$9:$F34)</f>
        <v>2015000</v>
      </c>
    </row>
    <row r="35" spans="1:7" ht="28.8" x14ac:dyDescent="0.55000000000000004">
      <c r="A35" s="24">
        <v>45097</v>
      </c>
      <c r="B35" s="25" t="s">
        <v>612</v>
      </c>
      <c r="C35" s="26">
        <v>2</v>
      </c>
      <c r="D35" s="26">
        <v>175000</v>
      </c>
      <c r="E35" s="27">
        <f>+$I$2+(ADNANPRIME[[#This Row],[QUANTITE]]*ADNANPRIME[[#This Row],[PRIX UNITAIRE]])</f>
        <v>350000</v>
      </c>
      <c r="F35" s="28">
        <v>0</v>
      </c>
      <c r="G35" s="29">
        <f>+SUM(E$9:$E35)-SUM(F$9:$F35)</f>
        <v>2365000</v>
      </c>
    </row>
    <row r="36" spans="1:7" ht="28.8" x14ac:dyDescent="0.55000000000000004">
      <c r="A36" s="24"/>
      <c r="B36" s="25" t="s">
        <v>83</v>
      </c>
      <c r="C36" s="26">
        <v>6</v>
      </c>
      <c r="D36" s="26">
        <v>15000</v>
      </c>
      <c r="E36" s="27">
        <f>+$I$2+(ADNANPRIME[[#This Row],[QUANTITE]]*ADNANPRIME[[#This Row],[PRIX UNITAIRE]])</f>
        <v>90000</v>
      </c>
      <c r="F36" s="28">
        <v>0</v>
      </c>
      <c r="G36" s="29">
        <f>+SUM(E$9:$E36)-SUM(F$9:$F36)</f>
        <v>2455000</v>
      </c>
    </row>
    <row r="37" spans="1:7" ht="28.8" x14ac:dyDescent="0.55000000000000004">
      <c r="A37" s="24"/>
      <c r="B37" s="25" t="s">
        <v>619</v>
      </c>
      <c r="C37" s="26">
        <v>1</v>
      </c>
      <c r="D37" s="26">
        <v>50000</v>
      </c>
      <c r="E37" s="27">
        <f>+$I$2+(ADNANPRIME[[#This Row],[QUANTITE]]*ADNANPRIME[[#This Row],[PRIX UNITAIRE]])</f>
        <v>50000</v>
      </c>
      <c r="F37" s="28">
        <v>0</v>
      </c>
      <c r="G37" s="29">
        <f>+SUM(E$9:$E37)-SUM(F$9:$F37)</f>
        <v>2505000</v>
      </c>
    </row>
    <row r="38" spans="1:7" ht="28.8" x14ac:dyDescent="0.55000000000000004">
      <c r="A38" s="24">
        <v>45168</v>
      </c>
      <c r="B38" s="25" t="s">
        <v>620</v>
      </c>
      <c r="C38" s="26">
        <v>1</v>
      </c>
      <c r="D38" s="26">
        <v>185000</v>
      </c>
      <c r="E38" s="27">
        <f>+$I$2+(ADNANPRIME[[#This Row],[QUANTITE]]*ADNANPRIME[[#This Row],[PRIX UNITAIRE]])</f>
        <v>185000</v>
      </c>
      <c r="F38" s="28">
        <v>0</v>
      </c>
      <c r="G38" s="29">
        <f>+SUM(E$9:$E38)-SUM(F$9:$F38)</f>
        <v>2690000</v>
      </c>
    </row>
    <row r="39" spans="1:7" ht="28.8" x14ac:dyDescent="0.55000000000000004">
      <c r="A39" s="24">
        <v>45209</v>
      </c>
      <c r="B39" s="25" t="s">
        <v>621</v>
      </c>
      <c r="C39" s="26">
        <v>2</v>
      </c>
      <c r="D39" s="26">
        <v>300000</v>
      </c>
      <c r="E39" s="27">
        <f>+$I$2+(ADNANPRIME[[#This Row],[QUANTITE]]*ADNANPRIME[[#This Row],[PRIX UNITAIRE]])</f>
        <v>600000</v>
      </c>
      <c r="F39" s="28">
        <v>0</v>
      </c>
      <c r="G39" s="29">
        <f>+SUM(E$9:$E39)-SUM(F$9:$F39)</f>
        <v>3290000</v>
      </c>
    </row>
    <row r="40" spans="1:7" ht="28.8" x14ac:dyDescent="0.55000000000000004">
      <c r="A40" s="24">
        <v>45210</v>
      </c>
      <c r="B40" s="25" t="s">
        <v>78</v>
      </c>
      <c r="C40" s="26">
        <v>3</v>
      </c>
      <c r="D40" s="26">
        <v>135000</v>
      </c>
      <c r="E40" s="27">
        <f>+$I$2+(ADNANPRIME[[#This Row],[QUANTITE]]*ADNANPRIME[[#This Row],[PRIX UNITAIRE]])</f>
        <v>405000</v>
      </c>
      <c r="F40" s="28">
        <v>0</v>
      </c>
      <c r="G40" s="29">
        <f>+SUM(E$9:$E40)-SUM(F$9:$F40)</f>
        <v>3695000</v>
      </c>
    </row>
    <row r="41" spans="1:7" ht="28.8" x14ac:dyDescent="0.55000000000000004">
      <c r="A41" s="24"/>
      <c r="B41" s="25" t="s">
        <v>622</v>
      </c>
      <c r="C41" s="26">
        <v>1</v>
      </c>
      <c r="D41" s="26">
        <v>135000</v>
      </c>
      <c r="E41" s="27">
        <f>+$I$2+(ADNANPRIME[[#This Row],[QUANTITE]]*ADNANPRIME[[#This Row],[PRIX UNITAIRE]])</f>
        <v>135000</v>
      </c>
      <c r="F41" s="28">
        <v>0</v>
      </c>
      <c r="G41" s="6">
        <f>+SUM(E$9:$E41)-SUM(F$9:$F41)</f>
        <v>3830000</v>
      </c>
    </row>
    <row r="42" spans="1:7" ht="28.8" x14ac:dyDescent="0.55000000000000004">
      <c r="A42" s="24">
        <v>45213</v>
      </c>
      <c r="B42" s="25" t="s">
        <v>621</v>
      </c>
      <c r="C42" s="26">
        <v>2</v>
      </c>
      <c r="D42" s="26">
        <v>300000</v>
      </c>
      <c r="E42" s="27">
        <f>+$I$2+(ADNANPRIME[[#This Row],[QUANTITE]]*ADNANPRIME[[#This Row],[PRIX UNITAIRE]])</f>
        <v>600000</v>
      </c>
      <c r="F42" s="28">
        <v>0</v>
      </c>
      <c r="G42" s="29">
        <f>+SUM(E$9:$E42)-SUM(F$9:$F42)</f>
        <v>4430000</v>
      </c>
    </row>
    <row r="43" spans="1:7" ht="28.8" x14ac:dyDescent="0.55000000000000004">
      <c r="A43" s="24"/>
      <c r="B43" s="25" t="s">
        <v>623</v>
      </c>
      <c r="C43" s="26">
        <v>1</v>
      </c>
      <c r="D43" s="26">
        <v>10000</v>
      </c>
      <c r="E43" s="27">
        <f>+$I$2+(ADNANPRIME[[#This Row],[QUANTITE]]*ADNANPRIME[[#This Row],[PRIX UNITAIRE]])</f>
        <v>10000</v>
      </c>
      <c r="F43" s="28">
        <v>0</v>
      </c>
      <c r="G43" s="29">
        <f>+SUM(E$9:$E43)-SUM(F$9:$F43)</f>
        <v>4440000</v>
      </c>
    </row>
    <row r="44" spans="1:7" ht="28.8" x14ac:dyDescent="0.55000000000000004">
      <c r="A44" s="24">
        <v>45218</v>
      </c>
      <c r="B44" s="25" t="s">
        <v>624</v>
      </c>
      <c r="C44" s="26">
        <v>2</v>
      </c>
      <c r="D44" s="26">
        <v>100000</v>
      </c>
      <c r="E44" s="27">
        <f>+$I$2+(ADNANPRIME[[#This Row],[QUANTITE]]*ADNANPRIME[[#This Row],[PRIX UNITAIRE]])</f>
        <v>200000</v>
      </c>
      <c r="F44" s="28">
        <v>0</v>
      </c>
      <c r="G44" s="29">
        <f>+SUM(E$9:$E44)-SUM(F$9:$F44)</f>
        <v>4640000</v>
      </c>
    </row>
    <row r="45" spans="1:7" ht="28.8" x14ac:dyDescent="0.55000000000000004">
      <c r="A45" s="24">
        <v>45224</v>
      </c>
      <c r="B45" s="25" t="s">
        <v>606</v>
      </c>
      <c r="C45" s="26">
        <v>2</v>
      </c>
      <c r="D45" s="26">
        <v>185000</v>
      </c>
      <c r="E45" s="27">
        <f>+$I$2+(ADNANPRIME[[#This Row],[QUANTITE]]*ADNANPRIME[[#This Row],[PRIX UNITAIRE]])</f>
        <v>370000</v>
      </c>
      <c r="F45" s="28">
        <v>0</v>
      </c>
      <c r="G45" s="29">
        <f>+SUM(E$9:$E45)-SUM(F$9:$F45)</f>
        <v>5010000</v>
      </c>
    </row>
    <row r="46" spans="1:7" ht="28.8" x14ac:dyDescent="0.55000000000000004">
      <c r="A46" s="24">
        <v>45224</v>
      </c>
      <c r="B46" s="25" t="s">
        <v>83</v>
      </c>
      <c r="C46" s="26">
        <v>10</v>
      </c>
      <c r="D46" s="26">
        <v>15000</v>
      </c>
      <c r="E46" s="27">
        <f>+$I$2+(ADNANPRIME[[#This Row],[QUANTITE]]*ADNANPRIME[[#This Row],[PRIX UNITAIRE]])</f>
        <v>150000</v>
      </c>
      <c r="F46" s="28">
        <v>0</v>
      </c>
      <c r="G46" s="29">
        <f>+SUM(E$9:$E46)-SUM(F$9:$F46)</f>
        <v>5160000</v>
      </c>
    </row>
    <row r="47" spans="1:7" ht="28.8" x14ac:dyDescent="0.55000000000000004">
      <c r="A47" s="24">
        <v>45225</v>
      </c>
      <c r="B47" s="25" t="s">
        <v>625</v>
      </c>
      <c r="C47" s="26">
        <v>1</v>
      </c>
      <c r="D47" s="26">
        <v>0</v>
      </c>
      <c r="E47" s="27">
        <f>+$I$2+(ADNANPRIME[[#This Row],[QUANTITE]]*ADNANPRIME[[#This Row],[PRIX UNITAIRE]])</f>
        <v>0</v>
      </c>
      <c r="F47" s="28">
        <v>2000000</v>
      </c>
      <c r="G47" s="29">
        <f>+SUM(E$9:$E47)-SUM(F$9:$F47)</f>
        <v>3160000</v>
      </c>
    </row>
    <row r="48" spans="1:7" ht="28.8" x14ac:dyDescent="0.55000000000000004">
      <c r="A48" s="24">
        <v>45239</v>
      </c>
      <c r="B48" s="25" t="s">
        <v>240</v>
      </c>
      <c r="C48" s="26">
        <v>1</v>
      </c>
      <c r="D48" s="26">
        <v>50000</v>
      </c>
      <c r="E48" s="27">
        <f>+$I$2+(ADNANPRIME[[#This Row],[QUANTITE]]*ADNANPRIME[[#This Row],[PRIX UNITAIRE]])</f>
        <v>50000</v>
      </c>
      <c r="F48" s="28">
        <v>0</v>
      </c>
      <c r="G48" s="29">
        <f>+SUM(E$9:$E48)-SUM(F$9:$F48)</f>
        <v>3210000</v>
      </c>
    </row>
    <row r="49" spans="1:7" ht="28.8" x14ac:dyDescent="0.55000000000000004">
      <c r="A49" s="24">
        <v>45259</v>
      </c>
      <c r="B49" s="25" t="s">
        <v>78</v>
      </c>
      <c r="C49" s="26">
        <v>1</v>
      </c>
      <c r="D49" s="26">
        <v>135000</v>
      </c>
      <c r="E49" s="27">
        <f>+$I$2+(ADNANPRIME[[#This Row],[QUANTITE]]*ADNANPRIME[[#This Row],[PRIX UNITAIRE]])</f>
        <v>135000</v>
      </c>
      <c r="F49" s="28">
        <v>0</v>
      </c>
      <c r="G49" s="29">
        <f>+SUM(E$9:$E49)-SUM(F$9:$F49)</f>
        <v>3345000</v>
      </c>
    </row>
    <row r="50" spans="1:7" ht="28.8" x14ac:dyDescent="0.55000000000000004">
      <c r="A50" s="24">
        <v>45243</v>
      </c>
      <c r="B50" s="25" t="s">
        <v>615</v>
      </c>
      <c r="C50" s="26">
        <v>4</v>
      </c>
      <c r="D50" s="26">
        <v>50000</v>
      </c>
      <c r="E50" s="27">
        <f>+$I$2+(ADNANPRIME[[#This Row],[QUANTITE]]*ADNANPRIME[[#This Row],[PRIX UNITAIRE]])</f>
        <v>200000</v>
      </c>
      <c r="F50" s="28">
        <v>0</v>
      </c>
      <c r="G50" s="29">
        <f>+SUM(E$9:$E50)-SUM(F$9:$F50)</f>
        <v>3545000</v>
      </c>
    </row>
    <row r="51" spans="1:7" ht="28.8" x14ac:dyDescent="0.55000000000000004">
      <c r="A51" s="24">
        <v>45280</v>
      </c>
      <c r="B51" s="25" t="s">
        <v>626</v>
      </c>
      <c r="C51" s="26">
        <v>2</v>
      </c>
      <c r="D51" s="26">
        <v>50000</v>
      </c>
      <c r="E51" s="27">
        <f>+$I$2+(ADNANPRIME[[#This Row],[QUANTITE]]*ADNANPRIME[[#This Row],[PRIX UNITAIRE]])</f>
        <v>100000</v>
      </c>
      <c r="F51" s="28">
        <v>0</v>
      </c>
      <c r="G51" s="29">
        <f>+SUM(E$9:$E51)-SUM(F$9:$F51)</f>
        <v>3645000</v>
      </c>
    </row>
    <row r="52" spans="1:7" ht="28.8" x14ac:dyDescent="0.55000000000000004">
      <c r="A52" s="24"/>
      <c r="B52" s="25" t="s">
        <v>83</v>
      </c>
      <c r="C52" s="26">
        <v>5</v>
      </c>
      <c r="D52" s="26">
        <v>15000</v>
      </c>
      <c r="E52" s="27">
        <f>+$I$2+(ADNANPRIME[[#This Row],[QUANTITE]]*ADNANPRIME[[#This Row],[PRIX UNITAIRE]])</f>
        <v>75000</v>
      </c>
      <c r="F52" s="28">
        <v>0</v>
      </c>
      <c r="G52" s="29">
        <f>+SUM(E$9:$E52)-SUM(F$9:$F52)</f>
        <v>3720000</v>
      </c>
    </row>
    <row r="53" spans="1:7" ht="28.8" x14ac:dyDescent="0.55000000000000004">
      <c r="A53" s="24">
        <v>45286</v>
      </c>
      <c r="B53" s="25" t="s">
        <v>606</v>
      </c>
      <c r="C53" s="26">
        <v>2</v>
      </c>
      <c r="D53" s="26">
        <v>185000</v>
      </c>
      <c r="E53" s="27">
        <f>+$I$2+(ADNANPRIME[[#This Row],[QUANTITE]]*ADNANPRIME[[#This Row],[PRIX UNITAIRE]])</f>
        <v>370000</v>
      </c>
      <c r="F53" s="28">
        <v>0</v>
      </c>
      <c r="G53" s="29">
        <f>+SUM(E$9:$E53)-SUM(F$9:$F53)</f>
        <v>4090000</v>
      </c>
    </row>
    <row r="54" spans="1:7" ht="28.8" x14ac:dyDescent="0.55000000000000004">
      <c r="A54" s="24">
        <v>45290</v>
      </c>
      <c r="B54" s="25" t="s">
        <v>606</v>
      </c>
      <c r="C54" s="26">
        <v>1</v>
      </c>
      <c r="D54" s="26">
        <v>185000</v>
      </c>
      <c r="E54" s="27">
        <f>+$I$2+(ADNANPRIME[[#This Row],[QUANTITE]]*ADNANPRIME[[#This Row],[PRIX UNITAIRE]])</f>
        <v>185000</v>
      </c>
      <c r="F54" s="28">
        <v>0</v>
      </c>
      <c r="G54" s="29">
        <f>+SUM(E$9:$E54)-SUM(F$9:$F54)</f>
        <v>4275000</v>
      </c>
    </row>
    <row r="55" spans="1:7" ht="28.8" x14ac:dyDescent="0.55000000000000004">
      <c r="A55" s="24"/>
      <c r="B55" s="25" t="s">
        <v>614</v>
      </c>
      <c r="C55" s="26">
        <v>1</v>
      </c>
      <c r="D55" s="26">
        <v>60000</v>
      </c>
      <c r="E55" s="27">
        <f>+$I$2+(ADNANPRIME[[#This Row],[QUANTITE]]*ADNANPRIME[[#This Row],[PRIX UNITAIRE]])</f>
        <v>60000</v>
      </c>
      <c r="F55" s="28">
        <v>0</v>
      </c>
      <c r="G55" s="29">
        <f>+SUM(E$9:$E55)-SUM(F$9:$F55)</f>
        <v>4335000</v>
      </c>
    </row>
    <row r="56" spans="1:7" ht="28.8" x14ac:dyDescent="0.55000000000000004">
      <c r="A56" s="24">
        <v>45295</v>
      </c>
      <c r="B56" s="25" t="s">
        <v>627</v>
      </c>
      <c r="C56" s="26">
        <v>1</v>
      </c>
      <c r="D56" s="26">
        <v>0</v>
      </c>
      <c r="E56" s="27">
        <f>+$I$2+(ADNANPRIME[[#This Row],[QUANTITE]]*ADNANPRIME[[#This Row],[PRIX UNITAIRE]])</f>
        <v>0</v>
      </c>
      <c r="F56" s="28">
        <v>3000000</v>
      </c>
      <c r="G56" s="29">
        <f>+SUM(E$9:$E56)-SUM(F$9:$F56)</f>
        <v>1335000</v>
      </c>
    </row>
    <row r="57" spans="1:7" ht="28.8" x14ac:dyDescent="0.55000000000000004">
      <c r="A57" s="24">
        <v>45296</v>
      </c>
      <c r="B57" s="25" t="s">
        <v>628</v>
      </c>
      <c r="C57" s="26">
        <v>4</v>
      </c>
      <c r="D57" s="26">
        <v>135000</v>
      </c>
      <c r="E57" s="27">
        <f>+$I$2+(ADNANPRIME[[#This Row],[QUANTITE]]*ADNANPRIME[[#This Row],[PRIX UNITAIRE]])</f>
        <v>540000</v>
      </c>
      <c r="F57" s="28">
        <v>0</v>
      </c>
      <c r="G57" s="29">
        <f>+SUM(E$9:$E57)-SUM(F$9:$F57)</f>
        <v>1875000</v>
      </c>
    </row>
    <row r="58" spans="1:7" ht="28.8" x14ac:dyDescent="0.55000000000000004">
      <c r="A58" s="24"/>
      <c r="B58" s="25" t="s">
        <v>606</v>
      </c>
      <c r="C58" s="26">
        <v>1</v>
      </c>
      <c r="D58" s="26">
        <v>185000</v>
      </c>
      <c r="E58" s="27">
        <f>+$I$2+(ADNANPRIME[[#This Row],[QUANTITE]]*ADNANPRIME[[#This Row],[PRIX UNITAIRE]])</f>
        <v>185000</v>
      </c>
      <c r="F58" s="28">
        <v>0</v>
      </c>
      <c r="G58" s="29">
        <f>+SUM(E$9:$E58)-SUM(F$9:$F58)</f>
        <v>2060000</v>
      </c>
    </row>
    <row r="59" spans="1:7" ht="28.8" x14ac:dyDescent="0.55000000000000004">
      <c r="A59" s="24"/>
      <c r="B59" s="25" t="s">
        <v>629</v>
      </c>
      <c r="C59" s="26">
        <v>1</v>
      </c>
      <c r="D59" s="26">
        <v>50000</v>
      </c>
      <c r="E59" s="27">
        <f>+$I$2+(ADNANPRIME[[#This Row],[QUANTITE]]*ADNANPRIME[[#This Row],[PRIX UNITAIRE]])</f>
        <v>50000</v>
      </c>
      <c r="F59" s="28">
        <v>0</v>
      </c>
      <c r="G59" s="29">
        <f>+SUM(E$9:$E59)-SUM(F$9:$F59)</f>
        <v>2110000</v>
      </c>
    </row>
    <row r="60" spans="1:7" ht="28.8" x14ac:dyDescent="0.55000000000000004">
      <c r="A60" s="24">
        <v>45296</v>
      </c>
      <c r="B60" s="25" t="s">
        <v>630</v>
      </c>
      <c r="C60" s="26">
        <v>6</v>
      </c>
      <c r="D60" s="26">
        <v>135000</v>
      </c>
      <c r="E60" s="27">
        <f>+$I$2+(ADNANPRIME[[#This Row],[QUANTITE]]*ADNANPRIME[[#This Row],[PRIX UNITAIRE]])</f>
        <v>810000</v>
      </c>
      <c r="F60" s="28">
        <v>0</v>
      </c>
      <c r="G60" s="29">
        <f>+SUM(E$9:$E60)-SUM(F$9:$F60)</f>
        <v>2920000</v>
      </c>
    </row>
    <row r="61" spans="1:7" ht="28.8" x14ac:dyDescent="0.55000000000000004">
      <c r="A61" s="24"/>
      <c r="B61" s="25" t="s">
        <v>615</v>
      </c>
      <c r="C61" s="26">
        <v>2</v>
      </c>
      <c r="D61" s="26">
        <v>50000</v>
      </c>
      <c r="E61" s="27">
        <f>+$I$2+(ADNANPRIME[[#This Row],[QUANTITE]]*ADNANPRIME[[#This Row],[PRIX UNITAIRE]])</f>
        <v>100000</v>
      </c>
      <c r="F61" s="28">
        <v>0</v>
      </c>
      <c r="G61" s="29">
        <f>+SUM(E$9:$E61)-SUM(F$9:$F61)</f>
        <v>3020000</v>
      </c>
    </row>
    <row r="62" spans="1:7" ht="28.8" x14ac:dyDescent="0.55000000000000004">
      <c r="A62" s="24"/>
      <c r="B62" s="25" t="s">
        <v>629</v>
      </c>
      <c r="C62" s="26">
        <v>1</v>
      </c>
      <c r="D62" s="26">
        <v>50000</v>
      </c>
      <c r="E62" s="27">
        <f>+$I$2+(ADNANPRIME[[#This Row],[QUANTITE]]*ADNANPRIME[[#This Row],[PRIX UNITAIRE]])</f>
        <v>50000</v>
      </c>
      <c r="F62" s="28">
        <v>0</v>
      </c>
      <c r="G62" s="29">
        <f>+SUM(E$9:$E62)-SUM(F$9:$F62)</f>
        <v>3070000</v>
      </c>
    </row>
    <row r="63" spans="1:7" ht="28.8" x14ac:dyDescent="0.55000000000000004">
      <c r="A63" s="24">
        <v>45296</v>
      </c>
      <c r="B63" s="25" t="s">
        <v>631</v>
      </c>
      <c r="C63" s="26">
        <v>4</v>
      </c>
      <c r="D63" s="26">
        <v>135000</v>
      </c>
      <c r="E63" s="27">
        <f>+$I$2+(ADNANPRIME[[#This Row],[QUANTITE]]*ADNANPRIME[[#This Row],[PRIX UNITAIRE]])</f>
        <v>540000</v>
      </c>
      <c r="F63" s="28">
        <v>0</v>
      </c>
      <c r="G63" s="29">
        <f>+SUM(E$9:$E63)-SUM(F$9:$F63)</f>
        <v>3610000</v>
      </c>
    </row>
    <row r="64" spans="1:7" ht="28.8" x14ac:dyDescent="0.55000000000000004">
      <c r="A64" s="24"/>
      <c r="B64" s="25" t="s">
        <v>606</v>
      </c>
      <c r="C64" s="26">
        <v>2</v>
      </c>
      <c r="D64" s="26">
        <v>185000</v>
      </c>
      <c r="E64" s="27">
        <f>+$I$2+(ADNANPRIME[[#This Row],[QUANTITE]]*ADNANPRIME[[#This Row],[PRIX UNITAIRE]])</f>
        <v>370000</v>
      </c>
      <c r="F64" s="28">
        <v>0</v>
      </c>
      <c r="G64" s="29">
        <f>+SUM(E$9:$E64)-SUM(F$9:$F64)</f>
        <v>3980000</v>
      </c>
    </row>
    <row r="65" spans="1:7" ht="28.8" x14ac:dyDescent="0.55000000000000004">
      <c r="A65" s="24"/>
      <c r="B65" s="25" t="s">
        <v>632</v>
      </c>
      <c r="C65" s="26">
        <v>2</v>
      </c>
      <c r="D65" s="26">
        <v>50000</v>
      </c>
      <c r="E65" s="27">
        <f>+$I$2+(ADNANPRIME[[#This Row],[QUANTITE]]*ADNANPRIME[[#This Row],[PRIX UNITAIRE]])</f>
        <v>100000</v>
      </c>
      <c r="F65" s="28">
        <v>0</v>
      </c>
      <c r="G65" s="29">
        <f>+SUM(E$9:$E65)-SUM(F$9:$F65)</f>
        <v>4080000</v>
      </c>
    </row>
    <row r="66" spans="1:7" ht="28.8" x14ac:dyDescent="0.55000000000000004">
      <c r="A66" s="24"/>
      <c r="B66" s="25" t="s">
        <v>629</v>
      </c>
      <c r="C66" s="26">
        <v>1</v>
      </c>
      <c r="D66" s="26">
        <v>50000</v>
      </c>
      <c r="E66" s="27">
        <f>+$I$2+(ADNANPRIME[[#This Row],[QUANTITE]]*ADNANPRIME[[#This Row],[PRIX UNITAIRE]])</f>
        <v>50000</v>
      </c>
      <c r="F66" s="28">
        <v>0</v>
      </c>
      <c r="G66" s="29">
        <f>+SUM(E$9:$E66)-SUM(F$9:$F66)</f>
        <v>4130000</v>
      </c>
    </row>
    <row r="67" spans="1:7" ht="28.8" x14ac:dyDescent="0.55000000000000004">
      <c r="A67" s="24">
        <v>45297</v>
      </c>
      <c r="B67" s="25" t="s">
        <v>606</v>
      </c>
      <c r="C67" s="26">
        <v>2</v>
      </c>
      <c r="D67" s="26">
        <v>185000</v>
      </c>
      <c r="E67" s="27">
        <f>+$I$2+(ADNANPRIME[[#This Row],[QUANTITE]]*ADNANPRIME[[#This Row],[PRIX UNITAIRE]])</f>
        <v>370000</v>
      </c>
      <c r="F67" s="28">
        <v>0</v>
      </c>
      <c r="G67" s="29">
        <f>+SUM(E$9:$E67)-SUM(F$9:$F67)</f>
        <v>4500000</v>
      </c>
    </row>
    <row r="68" spans="1:7" ht="28.8" x14ac:dyDescent="0.55000000000000004">
      <c r="A68" s="24"/>
      <c r="B68" s="25" t="s">
        <v>78</v>
      </c>
      <c r="C68" s="26">
        <v>2</v>
      </c>
      <c r="D68" s="26">
        <v>135000</v>
      </c>
      <c r="E68" s="27">
        <f>+$I$2+(ADNANPRIME[[#This Row],[QUANTITE]]*ADNANPRIME[[#This Row],[PRIX UNITAIRE]])</f>
        <v>270000</v>
      </c>
      <c r="F68" s="28">
        <v>0</v>
      </c>
      <c r="G68" s="29">
        <f>+SUM(E$9:$E68)-SUM(F$9:$F68)</f>
        <v>4770000</v>
      </c>
    </row>
    <row r="69" spans="1:7" ht="28.8" x14ac:dyDescent="0.55000000000000004">
      <c r="A69" s="24"/>
      <c r="B69" s="25" t="s">
        <v>629</v>
      </c>
      <c r="C69" s="26">
        <v>1</v>
      </c>
      <c r="D69" s="26">
        <v>50000</v>
      </c>
      <c r="E69" s="27">
        <f>+$I$2+(ADNANPRIME[[#This Row],[QUANTITE]]*ADNANPRIME[[#This Row],[PRIX UNITAIRE]])</f>
        <v>50000</v>
      </c>
      <c r="F69" s="28">
        <v>0</v>
      </c>
      <c r="G69" s="29">
        <f>+SUM(E$9:$E69)-SUM(F$9:$F69)</f>
        <v>4820000</v>
      </c>
    </row>
    <row r="70" spans="1:7" ht="28.8" x14ac:dyDescent="0.55000000000000004">
      <c r="A70" s="24">
        <v>45300</v>
      </c>
      <c r="B70" s="25" t="s">
        <v>76</v>
      </c>
      <c r="C70" s="26">
        <v>1</v>
      </c>
      <c r="D70" s="26">
        <v>50000</v>
      </c>
      <c r="E70" s="27">
        <f>+$I$2+(ADNANPRIME[[#This Row],[QUANTITE]]*ADNANPRIME[[#This Row],[PRIX UNITAIRE]])</f>
        <v>50000</v>
      </c>
      <c r="F70" s="28">
        <v>0</v>
      </c>
      <c r="G70" s="29">
        <f>+SUM(E$9:$E70)-SUM(F$9:$F70)</f>
        <v>4870000</v>
      </c>
    </row>
    <row r="71" spans="1:7" ht="28.8" x14ac:dyDescent="0.55000000000000004">
      <c r="A71" s="24">
        <v>45307</v>
      </c>
      <c r="B71" s="25" t="s">
        <v>606</v>
      </c>
      <c r="C71" s="26">
        <v>1</v>
      </c>
      <c r="D71" s="26">
        <v>185000</v>
      </c>
      <c r="E71" s="27">
        <f>+$I$2+(ADNANPRIME[[#This Row],[QUANTITE]]*ADNANPRIME[[#This Row],[PRIX UNITAIRE]])</f>
        <v>185000</v>
      </c>
      <c r="F71" s="28">
        <v>0</v>
      </c>
      <c r="G71" s="29">
        <f>+SUM(E$9:$E71)-SUM(F$9:$F71)</f>
        <v>5055000</v>
      </c>
    </row>
    <row r="72" spans="1:7" ht="28.8" x14ac:dyDescent="0.55000000000000004">
      <c r="A72" s="24"/>
      <c r="B72" s="25" t="s">
        <v>633</v>
      </c>
      <c r="C72" s="26">
        <v>2</v>
      </c>
      <c r="D72" s="26">
        <v>100000</v>
      </c>
      <c r="E72" s="27">
        <f>+$I$2+(ADNANPRIME[[#This Row],[QUANTITE]]*ADNANPRIME[[#This Row],[PRIX UNITAIRE]])</f>
        <v>200000</v>
      </c>
      <c r="F72" s="28">
        <v>0</v>
      </c>
      <c r="G72" s="29">
        <f>+SUM(E$9:$E72)-SUM(F$9:$F72)</f>
        <v>5255000</v>
      </c>
    </row>
    <row r="73" spans="1:7" ht="28.8" x14ac:dyDescent="0.55000000000000004">
      <c r="A73" s="24">
        <v>45310</v>
      </c>
      <c r="B73" s="25" t="s">
        <v>615</v>
      </c>
      <c r="C73" s="26">
        <v>4</v>
      </c>
      <c r="D73" s="26">
        <v>50000</v>
      </c>
      <c r="E73" s="27">
        <f>+$I$2+(ADNANPRIME[[#This Row],[QUANTITE]]*ADNANPRIME[[#This Row],[PRIX UNITAIRE]])</f>
        <v>200000</v>
      </c>
      <c r="F73" s="28">
        <v>0</v>
      </c>
      <c r="G73" s="29">
        <f>+SUM(E$9:$E73)-SUM(F$9:$F73)</f>
        <v>5455000</v>
      </c>
    </row>
    <row r="74" spans="1:7" ht="28.8" x14ac:dyDescent="0.55000000000000004">
      <c r="A74" s="24">
        <v>45320</v>
      </c>
      <c r="B74" s="25" t="s">
        <v>634</v>
      </c>
      <c r="C74" s="26">
        <v>2</v>
      </c>
      <c r="D74" s="26">
        <v>100000</v>
      </c>
      <c r="E74" s="27">
        <f>+$I$2+(ADNANPRIME[[#This Row],[QUANTITE]]*ADNANPRIME[[#This Row],[PRIX UNITAIRE]])</f>
        <v>200000</v>
      </c>
      <c r="F74" s="28">
        <v>0</v>
      </c>
      <c r="G74" s="29">
        <f>+SUM(E$9:$E74)-SUM(F$9:$F74)</f>
        <v>5655000</v>
      </c>
    </row>
    <row r="75" spans="1:7" ht="28.8" x14ac:dyDescent="0.55000000000000004">
      <c r="A75" s="24">
        <v>45321</v>
      </c>
      <c r="B75" s="25" t="s">
        <v>634</v>
      </c>
      <c r="C75" s="26">
        <v>2</v>
      </c>
      <c r="D75" s="26">
        <v>100000</v>
      </c>
      <c r="E75" s="27">
        <f>+$I$2+(ADNANPRIME[[#This Row],[QUANTITE]]*ADNANPRIME[[#This Row],[PRIX UNITAIRE]])</f>
        <v>200000</v>
      </c>
      <c r="F75" s="28">
        <v>0</v>
      </c>
      <c r="G75" s="29">
        <f>+SUM(E$9:$E75)-SUM(F$9:$F75)</f>
        <v>5855000</v>
      </c>
    </row>
    <row r="76" spans="1:7" ht="28.8" x14ac:dyDescent="0.55000000000000004">
      <c r="A76" s="24">
        <v>45327</v>
      </c>
      <c r="B76" s="25" t="s">
        <v>635</v>
      </c>
      <c r="C76" s="26">
        <v>1</v>
      </c>
      <c r="D76" s="26">
        <v>135000</v>
      </c>
      <c r="E76" s="27">
        <f>+$I$2+(ADNANPRIME[[#This Row],[QUANTITE]]*ADNANPRIME[[#This Row],[PRIX UNITAIRE]])</f>
        <v>135000</v>
      </c>
      <c r="F76" s="28">
        <v>0</v>
      </c>
      <c r="G76" s="29">
        <f>+SUM(E$9:$E76)-SUM(F$9:$F76)</f>
        <v>5990000</v>
      </c>
    </row>
    <row r="77" spans="1:7" ht="28.8" x14ac:dyDescent="0.55000000000000004">
      <c r="A77" s="24"/>
      <c r="B77" s="25" t="s">
        <v>607</v>
      </c>
      <c r="C77" s="26">
        <v>1</v>
      </c>
      <c r="D77" s="26">
        <v>50000</v>
      </c>
      <c r="E77" s="27">
        <f>+$I$2+(ADNANPRIME[[#This Row],[QUANTITE]]*ADNANPRIME[[#This Row],[PRIX UNITAIRE]])</f>
        <v>50000</v>
      </c>
      <c r="F77" s="28">
        <v>0</v>
      </c>
      <c r="G77" s="29">
        <f>+SUM(E$9:$E77)-SUM(F$9:$F77)</f>
        <v>6040000</v>
      </c>
    </row>
    <row r="78" spans="1:7" ht="28.8" x14ac:dyDescent="0.55000000000000004">
      <c r="A78" s="24">
        <v>45327</v>
      </c>
      <c r="B78" s="25" t="s">
        <v>636</v>
      </c>
      <c r="C78" s="26">
        <v>6</v>
      </c>
      <c r="D78" s="26">
        <v>135000</v>
      </c>
      <c r="E78" s="27">
        <f>+$I$2+(ADNANPRIME[[#This Row],[QUANTITE]]*ADNANPRIME[[#This Row],[PRIX UNITAIRE]])</f>
        <v>810000</v>
      </c>
      <c r="F78" s="28">
        <v>0</v>
      </c>
      <c r="G78" s="29">
        <f>+SUM(E$9:$E78)-SUM(F$9:$F78)</f>
        <v>6850000</v>
      </c>
    </row>
    <row r="79" spans="1:7" ht="28.8" x14ac:dyDescent="0.55000000000000004">
      <c r="A79" s="24">
        <v>45327</v>
      </c>
      <c r="B79" s="25" t="s">
        <v>637</v>
      </c>
      <c r="C79" s="26">
        <v>2</v>
      </c>
      <c r="D79" s="26">
        <v>135000</v>
      </c>
      <c r="E79" s="27">
        <f>+$I$2+(ADNANPRIME[[#This Row],[QUANTITE]]*ADNANPRIME[[#This Row],[PRIX UNITAIRE]])</f>
        <v>270000</v>
      </c>
      <c r="F79" s="28">
        <v>0</v>
      </c>
      <c r="G79" s="29">
        <f>+SUM(E$9:$E79)-SUM(F$9:$F79)</f>
        <v>7120000</v>
      </c>
    </row>
    <row r="80" spans="1:7" ht="28.8" x14ac:dyDescent="0.55000000000000004">
      <c r="A80" s="24">
        <v>45336</v>
      </c>
      <c r="B80" s="25" t="s">
        <v>638</v>
      </c>
      <c r="C80" s="26">
        <v>2</v>
      </c>
      <c r="D80" s="26">
        <v>135000</v>
      </c>
      <c r="E80" s="27">
        <f>+$I$2+(ADNANPRIME[[#This Row],[QUANTITE]]*ADNANPRIME[[#This Row],[PRIX UNITAIRE]])</f>
        <v>270000</v>
      </c>
      <c r="F80" s="28">
        <v>0</v>
      </c>
      <c r="G80" s="29">
        <f>+SUM(E$9:$E80)-SUM(F$9:$F80)</f>
        <v>7390000</v>
      </c>
    </row>
    <row r="81" spans="1:7" ht="28.8" x14ac:dyDescent="0.55000000000000004">
      <c r="A81" s="24">
        <v>45338</v>
      </c>
      <c r="B81" s="25" t="s">
        <v>639</v>
      </c>
      <c r="C81" s="26">
        <v>1</v>
      </c>
      <c r="D81" s="26">
        <v>135000</v>
      </c>
      <c r="E81" s="27">
        <f>+$I$2+(ADNANPRIME[[#This Row],[QUANTITE]]*ADNANPRIME[[#This Row],[PRIX UNITAIRE]])</f>
        <v>135000</v>
      </c>
      <c r="F81" s="28">
        <v>0</v>
      </c>
      <c r="G81" s="29">
        <f>+SUM(E$9:$E81)-SUM(F$9:$F81)</f>
        <v>7525000</v>
      </c>
    </row>
    <row r="82" spans="1:7" ht="28.8" x14ac:dyDescent="0.55000000000000004">
      <c r="A82" s="24"/>
      <c r="B82" s="25" t="s">
        <v>83</v>
      </c>
      <c r="C82" s="26">
        <v>4</v>
      </c>
      <c r="D82" s="26">
        <v>15000</v>
      </c>
      <c r="E82" s="27">
        <f>+$I$2+(ADNANPRIME[[#This Row],[QUANTITE]]*ADNANPRIME[[#This Row],[PRIX UNITAIRE]])</f>
        <v>60000</v>
      </c>
      <c r="F82" s="28">
        <v>0</v>
      </c>
      <c r="G82" s="29">
        <f>+SUM(E$9:$E82)-SUM(F$9:$F82)</f>
        <v>7585000</v>
      </c>
    </row>
    <row r="83" spans="1:7" ht="28.8" x14ac:dyDescent="0.55000000000000004">
      <c r="A83" s="24">
        <v>45342</v>
      </c>
      <c r="B83" s="25" t="s">
        <v>640</v>
      </c>
      <c r="C83" s="26">
        <v>2</v>
      </c>
      <c r="D83" s="26">
        <v>15000</v>
      </c>
      <c r="E83" s="27">
        <f>+$I$2+(ADNANPRIME[[#This Row],[QUANTITE]]*ADNANPRIME[[#This Row],[PRIX UNITAIRE]])</f>
        <v>30000</v>
      </c>
      <c r="F83" s="28">
        <v>0</v>
      </c>
      <c r="G83" s="29">
        <f>+SUM(E$9:$E83)-SUM(F$9:$F83)</f>
        <v>7615000</v>
      </c>
    </row>
    <row r="84" spans="1:7" ht="28.8" x14ac:dyDescent="0.55000000000000004">
      <c r="A84" s="24">
        <v>45343</v>
      </c>
      <c r="B84" s="25" t="s">
        <v>641</v>
      </c>
      <c r="C84" s="26">
        <v>3</v>
      </c>
      <c r="D84" s="26">
        <v>185000</v>
      </c>
      <c r="E84" s="27">
        <f>+$I$2+(ADNANPRIME[[#This Row],[QUANTITE]]*ADNANPRIME[[#This Row],[PRIX UNITAIRE]])</f>
        <v>555000</v>
      </c>
      <c r="F84" s="28">
        <v>0</v>
      </c>
      <c r="G84" s="29">
        <f>+SUM(E$9:$E84)-SUM(F$9:$F84)</f>
        <v>8170000</v>
      </c>
    </row>
    <row r="85" spans="1:7" ht="28.8" x14ac:dyDescent="0.55000000000000004">
      <c r="A85" s="24">
        <v>45355</v>
      </c>
      <c r="B85" s="25" t="s">
        <v>615</v>
      </c>
      <c r="C85" s="26">
        <v>2</v>
      </c>
      <c r="D85" s="26">
        <v>50000</v>
      </c>
      <c r="E85" s="27">
        <f>+$I$2+(ADNANPRIME[[#This Row],[QUANTITE]]*ADNANPRIME[[#This Row],[PRIX UNITAIRE]])</f>
        <v>100000</v>
      </c>
      <c r="F85" s="28">
        <v>0</v>
      </c>
      <c r="G85" s="29">
        <f>+SUM(E$9:$E85)-SUM(F$9:$F85)</f>
        <v>8270000</v>
      </c>
    </row>
    <row r="86" spans="1:7" ht="28.8" x14ac:dyDescent="0.55000000000000004">
      <c r="A86" s="24">
        <v>45372</v>
      </c>
      <c r="B86" s="25" t="s">
        <v>642</v>
      </c>
      <c r="C86" s="26">
        <v>4</v>
      </c>
      <c r="D86" s="26">
        <v>185000</v>
      </c>
      <c r="E86" s="27">
        <f>+$I$2+(ADNANPRIME[[#This Row],[QUANTITE]]*ADNANPRIME[[#This Row],[PRIX UNITAIRE]])</f>
        <v>740000</v>
      </c>
      <c r="F86" s="28">
        <v>0</v>
      </c>
      <c r="G86" s="29">
        <f>+SUM(E$9:$E86)-SUM(F$9:$F86)</f>
        <v>9010000</v>
      </c>
    </row>
    <row r="87" spans="1:7" ht="28.8" x14ac:dyDescent="0.55000000000000004">
      <c r="A87" s="24"/>
      <c r="B87" s="25" t="s">
        <v>83</v>
      </c>
      <c r="C87" s="26">
        <v>2</v>
      </c>
      <c r="D87" s="26">
        <v>15000</v>
      </c>
      <c r="E87" s="27">
        <f>+$I$2+(ADNANPRIME[[#This Row],[QUANTITE]]*ADNANPRIME[[#This Row],[PRIX UNITAIRE]])</f>
        <v>30000</v>
      </c>
      <c r="F87" s="28">
        <v>0</v>
      </c>
      <c r="G87" s="29">
        <f>+SUM(E$9:$E87)-SUM(F$9:$F87)</f>
        <v>9040000</v>
      </c>
    </row>
    <row r="88" spans="1:7" ht="28.8" x14ac:dyDescent="0.55000000000000004">
      <c r="A88" s="24">
        <v>45378</v>
      </c>
      <c r="B88" s="25" t="s">
        <v>643</v>
      </c>
      <c r="C88" s="26">
        <v>2</v>
      </c>
      <c r="D88" s="26">
        <v>100000</v>
      </c>
      <c r="E88" s="27">
        <f>+$I$2+(ADNANPRIME[[#This Row],[QUANTITE]]*ADNANPRIME[[#This Row],[PRIX UNITAIRE]])</f>
        <v>200000</v>
      </c>
      <c r="F88" s="28">
        <v>0</v>
      </c>
      <c r="G88" s="29">
        <f>+SUM(E$9:$E88)-SUM(F$9:$F88)</f>
        <v>9240000</v>
      </c>
    </row>
    <row r="89" spans="1:7" ht="28.8" x14ac:dyDescent="0.55000000000000004">
      <c r="A89" s="24">
        <v>45397</v>
      </c>
      <c r="B89" s="25" t="s">
        <v>644</v>
      </c>
      <c r="C89" s="26">
        <v>1</v>
      </c>
      <c r="D89" s="26">
        <v>0</v>
      </c>
      <c r="E89" s="27">
        <f>+$I$2+(ADNANPRIME[[#This Row],[QUANTITE]]*ADNANPRIME[[#This Row],[PRIX UNITAIRE]])</f>
        <v>0</v>
      </c>
      <c r="F89" s="28">
        <v>2000000</v>
      </c>
      <c r="G89" s="29">
        <f>+SUM(E$9:$E89)-SUM(F$9:$F89)</f>
        <v>7240000</v>
      </c>
    </row>
    <row r="90" spans="1:7" ht="28.8" x14ac:dyDescent="0.55000000000000004">
      <c r="A90" s="24">
        <v>45399</v>
      </c>
      <c r="B90" s="25" t="s">
        <v>83</v>
      </c>
      <c r="C90" s="26">
        <v>2</v>
      </c>
      <c r="D90" s="26">
        <v>15000</v>
      </c>
      <c r="E90" s="27">
        <f>+$I$2+(ADNANPRIME[[#This Row],[QUANTITE]]*ADNANPRIME[[#This Row],[PRIX UNITAIRE]])</f>
        <v>30000</v>
      </c>
      <c r="F90" s="28">
        <v>0</v>
      </c>
      <c r="G90" s="29">
        <f>+SUM(E$9:$E90)-SUM(F$9:$F90)</f>
        <v>7270000</v>
      </c>
    </row>
    <row r="91" spans="1:7" ht="28.8" x14ac:dyDescent="0.55000000000000004">
      <c r="A91" s="24">
        <v>45397</v>
      </c>
      <c r="B91" s="25" t="s">
        <v>645</v>
      </c>
      <c r="C91" s="26">
        <v>5</v>
      </c>
      <c r="D91" s="26">
        <v>135000</v>
      </c>
      <c r="E91" s="27">
        <f>+$I$2+(ADNANPRIME[[#This Row],[QUANTITE]]*ADNANPRIME[[#This Row],[PRIX UNITAIRE]])</f>
        <v>675000</v>
      </c>
      <c r="F91" s="28">
        <v>0</v>
      </c>
      <c r="G91" s="29">
        <f>+SUM(E$9:$E91)-SUM(F$9:$F91)</f>
        <v>7945000</v>
      </c>
    </row>
    <row r="92" spans="1:7" ht="28.8" x14ac:dyDescent="0.55000000000000004">
      <c r="A92" s="24">
        <v>45397</v>
      </c>
      <c r="B92" s="25" t="s">
        <v>97</v>
      </c>
      <c r="C92" s="26">
        <v>2</v>
      </c>
      <c r="D92" s="26">
        <v>50000</v>
      </c>
      <c r="E92" s="27">
        <f>+$I$2+(ADNANPRIME[[#This Row],[QUANTITE]]*ADNANPRIME[[#This Row],[PRIX UNITAIRE]])</f>
        <v>100000</v>
      </c>
      <c r="F92" s="28">
        <v>0</v>
      </c>
      <c r="G92" s="29">
        <f>+SUM(E$9:$E92)-SUM(F$9:$F92)</f>
        <v>8045000</v>
      </c>
    </row>
    <row r="93" spans="1:7" ht="28.8" x14ac:dyDescent="0.55000000000000004">
      <c r="A93" s="24">
        <v>45418</v>
      </c>
      <c r="B93" s="25" t="s">
        <v>78</v>
      </c>
      <c r="C93" s="26">
        <v>6</v>
      </c>
      <c r="D93" s="26">
        <v>135000</v>
      </c>
      <c r="E93" s="27">
        <f>+$I$2+(ADNANPRIME[[#This Row],[QUANTITE]]*ADNANPRIME[[#This Row],[PRIX UNITAIRE]])</f>
        <v>810000</v>
      </c>
      <c r="F93" s="28">
        <v>0</v>
      </c>
      <c r="G93" s="29">
        <f>+SUM(E$9:$E93)-SUM(F$9:$F93)</f>
        <v>8855000</v>
      </c>
    </row>
    <row r="94" spans="1:7" ht="28.8" x14ac:dyDescent="0.55000000000000004">
      <c r="A94" s="24"/>
      <c r="B94" s="25" t="s">
        <v>606</v>
      </c>
      <c r="C94" s="26">
        <v>2</v>
      </c>
      <c r="D94" s="26">
        <v>185000</v>
      </c>
      <c r="E94" s="27">
        <f>+$I$2+(ADNANPRIME[[#This Row],[QUANTITE]]*ADNANPRIME[[#This Row],[PRIX UNITAIRE]])</f>
        <v>370000</v>
      </c>
      <c r="F94" s="28">
        <v>0</v>
      </c>
      <c r="G94" s="29">
        <f>+SUM(E$9:$E94)-SUM(F$9:$F94)</f>
        <v>9225000</v>
      </c>
    </row>
    <row r="95" spans="1:7" ht="28.8" x14ac:dyDescent="0.55000000000000004">
      <c r="A95" s="24"/>
      <c r="B95" s="25" t="s">
        <v>83</v>
      </c>
      <c r="C95" s="26">
        <v>4</v>
      </c>
      <c r="D95" s="26">
        <v>15000</v>
      </c>
      <c r="E95" s="27">
        <f>+$I$2+(ADNANPRIME[[#This Row],[QUANTITE]]*ADNANPRIME[[#This Row],[PRIX UNITAIRE]])</f>
        <v>60000</v>
      </c>
      <c r="F95" s="28">
        <v>0</v>
      </c>
      <c r="G95" s="29">
        <f>+SUM(E$9:$E95)-SUM(F$9:$F95)</f>
        <v>9285000</v>
      </c>
    </row>
    <row r="96" spans="1:7" ht="28.8" x14ac:dyDescent="0.55000000000000004">
      <c r="A96" s="24"/>
      <c r="B96" s="25" t="s">
        <v>646</v>
      </c>
      <c r="C96" s="26">
        <v>2</v>
      </c>
      <c r="D96" s="26">
        <v>12500</v>
      </c>
      <c r="E96" s="27">
        <f>+$I$2+(ADNANPRIME[[#This Row],[QUANTITE]]*ADNANPRIME[[#This Row],[PRIX UNITAIRE]])</f>
        <v>25000</v>
      </c>
      <c r="F96" s="28">
        <v>0</v>
      </c>
      <c r="G96" s="29">
        <f>+SUM(E$9:$E96)-SUM(F$9:$F96)</f>
        <v>9310000</v>
      </c>
    </row>
    <row r="97" spans="1:7" ht="28.8" x14ac:dyDescent="0.55000000000000004">
      <c r="A97" s="24">
        <v>45433</v>
      </c>
      <c r="B97" s="25" t="s">
        <v>647</v>
      </c>
      <c r="C97" s="26">
        <v>1</v>
      </c>
      <c r="D97" s="26">
        <v>0</v>
      </c>
      <c r="E97" s="27">
        <f>+$I$2+(ADNANPRIME[[#This Row],[QUANTITE]]*ADNANPRIME[[#This Row],[PRIX UNITAIRE]])</f>
        <v>0</v>
      </c>
      <c r="F97" s="28">
        <v>5000000</v>
      </c>
      <c r="G97" s="29">
        <f>+SUM(E$9:$E97)-SUM(F$9:$F97)</f>
        <v>4310000</v>
      </c>
    </row>
    <row r="98" spans="1:7" ht="28.8" x14ac:dyDescent="0.55000000000000004">
      <c r="A98" s="24">
        <v>45433</v>
      </c>
      <c r="B98" s="25" t="s">
        <v>648</v>
      </c>
      <c r="C98" s="26">
        <v>4</v>
      </c>
      <c r="D98" s="26">
        <v>135000</v>
      </c>
      <c r="E98" s="27">
        <f>+$I$2+(ADNANPRIME[[#This Row],[QUANTITE]]*ADNANPRIME[[#This Row],[PRIX UNITAIRE]])</f>
        <v>540000</v>
      </c>
      <c r="F98" s="28"/>
      <c r="G98" s="29">
        <f>+SUM(E$9:$E98)-SUM(F$9:$F98)</f>
        <v>4850000</v>
      </c>
    </row>
    <row r="99" spans="1:7" ht="28.8" x14ac:dyDescent="0.55000000000000004">
      <c r="A99" s="24"/>
      <c r="B99" s="25" t="s">
        <v>622</v>
      </c>
      <c r="C99" s="26">
        <v>1</v>
      </c>
      <c r="D99" s="26">
        <v>130000</v>
      </c>
      <c r="E99" s="27">
        <f>+$I$2+(ADNANPRIME[[#This Row],[QUANTITE]]*ADNANPRIME[[#This Row],[PRIX UNITAIRE]])</f>
        <v>130000</v>
      </c>
      <c r="F99" s="28"/>
      <c r="G99" s="29">
        <f>+SUM(E$9:$E99)-SUM(F$9:$F99)</f>
        <v>4980000</v>
      </c>
    </row>
    <row r="100" spans="1:7" ht="28.8" x14ac:dyDescent="0.55000000000000004">
      <c r="A100" s="24"/>
      <c r="B100" s="25" t="s">
        <v>615</v>
      </c>
      <c r="C100" s="26">
        <v>6</v>
      </c>
      <c r="D100" s="26">
        <v>50000</v>
      </c>
      <c r="E100" s="27">
        <f>+$I$2+(ADNANPRIME[[#This Row],[QUANTITE]]*ADNANPRIME[[#This Row],[PRIX UNITAIRE]])</f>
        <v>300000</v>
      </c>
      <c r="F100" s="28"/>
      <c r="G100" s="29">
        <f>+SUM(E$9:$E100)-SUM(F$9:$F100)</f>
        <v>5280000</v>
      </c>
    </row>
    <row r="101" spans="1:7" ht="28.8" x14ac:dyDescent="0.55000000000000004">
      <c r="A101" s="24">
        <v>45436</v>
      </c>
      <c r="B101" s="25" t="s">
        <v>10</v>
      </c>
      <c r="C101" s="26">
        <v>2</v>
      </c>
      <c r="D101" s="26">
        <v>100000</v>
      </c>
      <c r="E101" s="27">
        <f>+$I$2+(ADNANPRIME[[#This Row],[QUANTITE]]*ADNANPRIME[[#This Row],[PRIX UNITAIRE]])</f>
        <v>200000</v>
      </c>
      <c r="F101" s="28"/>
      <c r="G101" s="29">
        <f>+SUM(E$9:$E101)-SUM(F$9:$F101)</f>
        <v>5480000</v>
      </c>
    </row>
    <row r="102" spans="1:7" ht="28.8" x14ac:dyDescent="0.55000000000000004">
      <c r="A102" s="24"/>
      <c r="B102" s="25" t="s">
        <v>649</v>
      </c>
      <c r="C102" s="26">
        <v>1</v>
      </c>
      <c r="D102" s="26">
        <v>30000</v>
      </c>
      <c r="E102" s="27">
        <f>+$I$2+(ADNANPRIME[[#This Row],[QUANTITE]]*ADNANPRIME[[#This Row],[PRIX UNITAIRE]])</f>
        <v>30000</v>
      </c>
      <c r="F102" s="28"/>
      <c r="G102" s="29">
        <f>+SUM(E$9:$E102)-SUM(F$9:$F102)</f>
        <v>5510000</v>
      </c>
    </row>
    <row r="103" spans="1:7" ht="28.8" x14ac:dyDescent="0.55000000000000004">
      <c r="A103" s="24">
        <v>45435</v>
      </c>
      <c r="B103" s="25" t="s">
        <v>650</v>
      </c>
      <c r="C103" s="26">
        <v>1</v>
      </c>
      <c r="D103" s="26">
        <v>50000</v>
      </c>
      <c r="E103" s="27">
        <f>+$I$2+(ADNANPRIME[[#This Row],[QUANTITE]]*ADNANPRIME[[#This Row],[PRIX UNITAIRE]])</f>
        <v>50000</v>
      </c>
      <c r="F103" s="28"/>
      <c r="G103" s="29">
        <f>+SUM(E$9:$E103)-SUM(F$9:$F103)</f>
        <v>5560000</v>
      </c>
    </row>
    <row r="104" spans="1:7" ht="28.8" x14ac:dyDescent="0.55000000000000004">
      <c r="A104" s="24"/>
      <c r="B104" s="25" t="s">
        <v>651</v>
      </c>
      <c r="C104" s="26">
        <v>1</v>
      </c>
      <c r="D104" s="26">
        <v>75000</v>
      </c>
      <c r="E104" s="27">
        <f>+$I$2+(ADNANPRIME[[#This Row],[QUANTITE]]*ADNANPRIME[[#This Row],[PRIX UNITAIRE]])</f>
        <v>75000</v>
      </c>
      <c r="F104" s="28"/>
      <c r="G104" s="29">
        <f>+SUM(E$9:$E104)-SUM(F$9:$F104)</f>
        <v>5635000</v>
      </c>
    </row>
    <row r="105" spans="1:7" ht="28.8" x14ac:dyDescent="0.55000000000000004">
      <c r="A105" s="24"/>
      <c r="B105" s="25" t="s">
        <v>652</v>
      </c>
      <c r="C105" s="26">
        <v>1</v>
      </c>
      <c r="D105" s="26">
        <v>65000</v>
      </c>
      <c r="E105" s="27">
        <f>+$I$2+(ADNANPRIME[[#This Row],[QUANTITE]]*ADNANPRIME[[#This Row],[PRIX UNITAIRE]])</f>
        <v>65000</v>
      </c>
      <c r="F105" s="28"/>
      <c r="G105" s="29">
        <f>+SUM(E$9:$E105)-SUM(F$9:$F105)</f>
        <v>5700000</v>
      </c>
    </row>
    <row r="106" spans="1:7" ht="28.8" x14ac:dyDescent="0.55000000000000004">
      <c r="A106" s="24"/>
      <c r="B106" s="25" t="s">
        <v>653</v>
      </c>
      <c r="C106" s="26">
        <v>1</v>
      </c>
      <c r="D106" s="26">
        <v>18000</v>
      </c>
      <c r="E106" s="27">
        <f>+$I$2+(ADNANPRIME[[#This Row],[QUANTITE]]*ADNANPRIME[[#This Row],[PRIX UNITAIRE]])</f>
        <v>18000</v>
      </c>
      <c r="F106" s="28"/>
      <c r="G106" s="29">
        <f>+SUM(E$9:$E106)-SUM(F$9:$F106)</f>
        <v>5718000</v>
      </c>
    </row>
    <row r="107" spans="1:7" ht="28.8" x14ac:dyDescent="0.55000000000000004">
      <c r="A107" s="24"/>
      <c r="B107" s="25" t="s">
        <v>654</v>
      </c>
      <c r="C107" s="26">
        <v>2</v>
      </c>
      <c r="D107" s="26">
        <v>25000</v>
      </c>
      <c r="E107" s="27">
        <f>+$I$2+(ADNANPRIME[[#This Row],[QUANTITE]]*ADNANPRIME[[#This Row],[PRIX UNITAIRE]])</f>
        <v>50000</v>
      </c>
      <c r="F107" s="28"/>
      <c r="G107" s="29">
        <f>+SUM(E$9:$E107)-SUM(F$9:$F107)</f>
        <v>5768000</v>
      </c>
    </row>
    <row r="108" spans="1:7" ht="28.8" x14ac:dyDescent="0.55000000000000004">
      <c r="A108" s="24"/>
      <c r="B108" s="25" t="s">
        <v>655</v>
      </c>
      <c r="C108" s="26">
        <v>3</v>
      </c>
      <c r="D108" s="26">
        <v>95000</v>
      </c>
      <c r="E108" s="27">
        <f>+$I$2+(ADNANPRIME[[#This Row],[QUANTITE]]*ADNANPRIME[[#This Row],[PRIX UNITAIRE]])</f>
        <v>285000</v>
      </c>
      <c r="F108" s="28"/>
      <c r="G108" s="29">
        <f>+SUM(E$9:$E108)-SUM(F$9:$F108)</f>
        <v>6053000</v>
      </c>
    </row>
    <row r="109" spans="1:7" ht="28.8" x14ac:dyDescent="0.55000000000000004">
      <c r="A109" s="24">
        <v>45440</v>
      </c>
      <c r="B109" s="25" t="s">
        <v>13</v>
      </c>
      <c r="C109" s="26">
        <v>1</v>
      </c>
      <c r="D109" s="26">
        <v>50000</v>
      </c>
      <c r="E109" s="27">
        <f>+$I$2+(ADNANPRIME[[#This Row],[QUANTITE]]*ADNANPRIME[[#This Row],[PRIX UNITAIRE]])</f>
        <v>50000</v>
      </c>
      <c r="F109" s="28"/>
      <c r="G109" s="29">
        <f>+SUM(E$9:$E109)-SUM(F$9:$F109)</f>
        <v>6103000</v>
      </c>
    </row>
    <row r="110" spans="1:7" ht="28.8" x14ac:dyDescent="0.55000000000000004">
      <c r="A110" s="24"/>
      <c r="B110" s="25" t="s">
        <v>650</v>
      </c>
      <c r="C110" s="26">
        <v>1</v>
      </c>
      <c r="D110" s="26">
        <v>50000</v>
      </c>
      <c r="E110" s="27">
        <f>+$I$2+(ADNANPRIME[[#This Row],[QUANTITE]]*ADNANPRIME[[#This Row],[PRIX UNITAIRE]])</f>
        <v>50000</v>
      </c>
      <c r="F110" s="28"/>
      <c r="G110" s="29">
        <f>+SUM(E$9:$E110)-SUM(F$9:$F110)</f>
        <v>6153000</v>
      </c>
    </row>
    <row r="111" spans="1:7" ht="28.8" x14ac:dyDescent="0.55000000000000004">
      <c r="A111" s="24">
        <v>45441</v>
      </c>
      <c r="B111" s="25" t="s">
        <v>619</v>
      </c>
      <c r="C111" s="26">
        <v>1</v>
      </c>
      <c r="D111" s="26">
        <v>50000</v>
      </c>
      <c r="E111" s="27">
        <f>+$I$2+(ADNANPRIME[[#This Row],[QUANTITE]]*ADNANPRIME[[#This Row],[PRIX UNITAIRE]])</f>
        <v>50000</v>
      </c>
      <c r="F111" s="28"/>
      <c r="G111" s="29">
        <f>+SUM(E$9:$E111)-SUM(F$9:$F111)</f>
        <v>6203000</v>
      </c>
    </row>
    <row r="112" spans="1:7" ht="28.8" x14ac:dyDescent="0.55000000000000004">
      <c r="A112" s="24">
        <v>45441</v>
      </c>
      <c r="B112" s="25" t="s">
        <v>619</v>
      </c>
      <c r="C112" s="26">
        <v>1</v>
      </c>
      <c r="D112" s="26">
        <v>50000</v>
      </c>
      <c r="E112" s="27">
        <f>+$I$2+(ADNANPRIME[[#This Row],[QUANTITE]]*ADNANPRIME[[#This Row],[PRIX UNITAIRE]])</f>
        <v>50000</v>
      </c>
      <c r="F112" s="28"/>
      <c r="G112" s="29">
        <f>+SUM(E$9:$E112)-SUM(F$9:$F112)</f>
        <v>6253000</v>
      </c>
    </row>
    <row r="113" spans="1:7" ht="28.8" x14ac:dyDescent="0.55000000000000004">
      <c r="A113" s="24"/>
      <c r="B113" s="25" t="s">
        <v>656</v>
      </c>
      <c r="C113" s="26">
        <v>7</v>
      </c>
      <c r="D113" s="26">
        <v>10000</v>
      </c>
      <c r="E113" s="27">
        <f>+$I$2+(ADNANPRIME[[#This Row],[QUANTITE]]*ADNANPRIME[[#This Row],[PRIX UNITAIRE]])</f>
        <v>70000</v>
      </c>
      <c r="F113" s="28"/>
      <c r="G113" s="29">
        <f>+SUM(E$9:$E113)-SUM(F$9:$F113)</f>
        <v>6323000</v>
      </c>
    </row>
    <row r="114" spans="1:7" ht="28.8" x14ac:dyDescent="0.55000000000000004">
      <c r="A114" s="24">
        <v>45447</v>
      </c>
      <c r="B114" s="25" t="s">
        <v>657</v>
      </c>
      <c r="C114" s="26">
        <v>1</v>
      </c>
      <c r="D114" s="26">
        <v>140000</v>
      </c>
      <c r="E114" s="27">
        <f>+$I$2+(ADNANPRIME[[#This Row],[QUANTITE]]*ADNANPRIME[[#This Row],[PRIX UNITAIRE]])</f>
        <v>140000</v>
      </c>
      <c r="F114" s="28"/>
      <c r="G114" s="29">
        <f>+SUM(E$9:$E114)-SUM(F$9:$F114)</f>
        <v>6463000</v>
      </c>
    </row>
    <row r="115" spans="1:7" ht="28.8" x14ac:dyDescent="0.55000000000000004">
      <c r="A115" s="24"/>
      <c r="B115" s="25" t="s">
        <v>658</v>
      </c>
      <c r="C115" s="26">
        <v>1</v>
      </c>
      <c r="D115" s="26">
        <v>70000</v>
      </c>
      <c r="E115" s="27">
        <f>+$I$2+(ADNANPRIME[[#This Row],[QUANTITE]]*ADNANPRIME[[#This Row],[PRIX UNITAIRE]])</f>
        <v>70000</v>
      </c>
      <c r="F115" s="28"/>
      <c r="G115" s="29">
        <f>+SUM(E$9:$E115)-SUM(F$9:$F115)</f>
        <v>6533000</v>
      </c>
    </row>
    <row r="116" spans="1:7" ht="28.8" x14ac:dyDescent="0.55000000000000004">
      <c r="A116" s="24">
        <v>45454</v>
      </c>
      <c r="B116" s="25" t="s">
        <v>659</v>
      </c>
      <c r="C116" s="26">
        <v>3</v>
      </c>
      <c r="D116" s="26">
        <v>25000</v>
      </c>
      <c r="E116" s="27">
        <f>+$I$2+(ADNANPRIME[[#This Row],[QUANTITE]]*ADNANPRIME[[#This Row],[PRIX UNITAIRE]])</f>
        <v>75000</v>
      </c>
      <c r="F116" s="28"/>
      <c r="G116" s="29">
        <f>+SUM(E$9:$E116)-SUM(F$9:$F116)</f>
        <v>6608000</v>
      </c>
    </row>
    <row r="117" spans="1:7" ht="28.8" x14ac:dyDescent="0.55000000000000004">
      <c r="A117" s="24"/>
      <c r="B117" s="25" t="s">
        <v>660</v>
      </c>
      <c r="C117" s="26">
        <v>1</v>
      </c>
      <c r="D117" s="26">
        <v>50000</v>
      </c>
      <c r="E117" s="27">
        <f>+$I$2+(ADNANPRIME[[#This Row],[QUANTITE]]*ADNANPRIME[[#This Row],[PRIX UNITAIRE]])</f>
        <v>50000</v>
      </c>
      <c r="F117" s="28"/>
      <c r="G117" s="29">
        <f>+SUM(E$9:$E117)-SUM(F$9:$F117)</f>
        <v>6658000</v>
      </c>
    </row>
    <row r="118" spans="1:7" ht="28.8" x14ac:dyDescent="0.55000000000000004">
      <c r="A118" s="24">
        <v>45463</v>
      </c>
      <c r="B118" s="25" t="s">
        <v>661</v>
      </c>
      <c r="C118" s="26">
        <v>2</v>
      </c>
      <c r="D118" s="26">
        <v>45000</v>
      </c>
      <c r="E118" s="27">
        <f>+$I$2+(ADNANPRIME[[#This Row],[QUANTITE]]*ADNANPRIME[[#This Row],[PRIX UNITAIRE]])</f>
        <v>90000</v>
      </c>
      <c r="F118" s="28"/>
      <c r="G118" s="29">
        <f>+SUM(E$9:$E118)-SUM(F$9:$F118)</f>
        <v>6748000</v>
      </c>
    </row>
    <row r="119" spans="1:7" ht="28.8" x14ac:dyDescent="0.55000000000000004">
      <c r="A119" s="24"/>
      <c r="B119" s="25" t="s">
        <v>662</v>
      </c>
      <c r="C119" s="26">
        <v>1</v>
      </c>
      <c r="D119" s="26">
        <v>10000</v>
      </c>
      <c r="E119" s="27">
        <f>+$I$2+(ADNANPRIME[[#This Row],[QUANTITE]]*ADNANPRIME[[#This Row],[PRIX UNITAIRE]])</f>
        <v>10000</v>
      </c>
      <c r="F119" s="28"/>
      <c r="G119" s="29">
        <f>+SUM(E$9:$E119)-SUM(F$9:$F119)</f>
        <v>6758000</v>
      </c>
    </row>
    <row r="120" spans="1:7" ht="28.8" x14ac:dyDescent="0.55000000000000004">
      <c r="A120" s="24"/>
      <c r="B120" s="25" t="s">
        <v>663</v>
      </c>
      <c r="C120" s="26">
        <v>1</v>
      </c>
      <c r="D120" s="26">
        <v>10000</v>
      </c>
      <c r="E120" s="27">
        <f>+$I$2+(ADNANPRIME[[#This Row],[QUANTITE]]*ADNANPRIME[[#This Row],[PRIX UNITAIRE]])</f>
        <v>10000</v>
      </c>
      <c r="F120" s="28"/>
      <c r="G120" s="29">
        <f>+SUM(E$9:$E120)-SUM(F$9:$F120)</f>
        <v>6768000</v>
      </c>
    </row>
    <row r="121" spans="1:7" ht="28.8" x14ac:dyDescent="0.55000000000000004">
      <c r="A121" s="24"/>
      <c r="B121" s="25" t="s">
        <v>664</v>
      </c>
      <c r="C121" s="26">
        <v>1</v>
      </c>
      <c r="D121" s="26">
        <v>30000</v>
      </c>
      <c r="E121" s="27">
        <f>+$I$2+(ADNANPRIME[[#This Row],[QUANTITE]]*ADNANPRIME[[#This Row],[PRIX UNITAIRE]])</f>
        <v>30000</v>
      </c>
      <c r="F121" s="28"/>
      <c r="G121" s="29">
        <f>+SUM(E$9:$E121)-SUM(F$9:$F121)</f>
        <v>6798000</v>
      </c>
    </row>
    <row r="122" spans="1:7" ht="28.8" x14ac:dyDescent="0.55000000000000004">
      <c r="A122" s="24"/>
      <c r="B122" s="25" t="s">
        <v>665</v>
      </c>
      <c r="C122" s="26">
        <v>1</v>
      </c>
      <c r="D122" s="26">
        <v>20000</v>
      </c>
      <c r="E122" s="27">
        <f>+$I$2+(ADNANPRIME[[#This Row],[QUANTITE]]*ADNANPRIME[[#This Row],[PRIX UNITAIRE]])</f>
        <v>20000</v>
      </c>
      <c r="F122" s="28"/>
      <c r="G122" s="29">
        <f>+SUM(E$9:$E122)-SUM(F$9:$F122)</f>
        <v>6818000</v>
      </c>
    </row>
    <row r="123" spans="1:7" ht="28.8" x14ac:dyDescent="0.55000000000000004">
      <c r="A123" s="24"/>
      <c r="B123" s="25" t="s">
        <v>615</v>
      </c>
      <c r="C123" s="26">
        <v>2</v>
      </c>
      <c r="D123" s="26">
        <v>50000</v>
      </c>
      <c r="E123" s="27">
        <f>+$I$2+(ADNANPRIME[[#This Row],[QUANTITE]]*ADNANPRIME[[#This Row],[PRIX UNITAIRE]])</f>
        <v>100000</v>
      </c>
      <c r="F123" s="28"/>
      <c r="G123" s="29">
        <f>+SUM(E$9:$E123)-SUM(F$9:$F123)</f>
        <v>6918000</v>
      </c>
    </row>
    <row r="124" spans="1:7" ht="28.8" x14ac:dyDescent="0.55000000000000004">
      <c r="A124" s="24">
        <v>45468</v>
      </c>
      <c r="B124" s="25" t="s">
        <v>666</v>
      </c>
      <c r="C124" s="26">
        <v>3</v>
      </c>
      <c r="D124" s="26">
        <v>135000</v>
      </c>
      <c r="E124" s="27">
        <f>+$I$2+(ADNANPRIME[[#This Row],[QUANTITE]]*ADNANPRIME[[#This Row],[PRIX UNITAIRE]])</f>
        <v>405000</v>
      </c>
      <c r="F124" s="28"/>
      <c r="G124" s="29">
        <f>+SUM(E$9:$E124)-SUM(F$9:$F124)</f>
        <v>7323000</v>
      </c>
    </row>
    <row r="125" spans="1:7" ht="28.8" x14ac:dyDescent="0.55000000000000004">
      <c r="A125" s="24"/>
      <c r="B125" s="25" t="s">
        <v>218</v>
      </c>
      <c r="C125" s="26">
        <v>4</v>
      </c>
      <c r="D125" s="26">
        <v>15000</v>
      </c>
      <c r="E125" s="27">
        <f>+$I$2+(ADNANPRIME[[#This Row],[QUANTITE]]*ADNANPRIME[[#This Row],[PRIX UNITAIRE]])</f>
        <v>60000</v>
      </c>
      <c r="F125" s="28"/>
      <c r="G125" s="29">
        <f>+SUM(E$9:$E125)-SUM(F$9:$F125)</f>
        <v>7383000</v>
      </c>
    </row>
    <row r="126" spans="1:7" ht="28.8" x14ac:dyDescent="0.55000000000000004">
      <c r="A126" s="24">
        <v>45475</v>
      </c>
      <c r="B126" s="25" t="s">
        <v>667</v>
      </c>
      <c r="C126" s="26">
        <v>2</v>
      </c>
      <c r="D126" s="26">
        <v>50000</v>
      </c>
      <c r="E126" s="27">
        <f>+$I$2+(ADNANPRIME[[#This Row],[QUANTITE]]*ADNANPRIME[[#This Row],[PRIX UNITAIRE]])</f>
        <v>100000</v>
      </c>
      <c r="F126" s="28"/>
      <c r="G126" s="29">
        <f>+SUM(E$9:$E126)-SUM(F$9:$F126)</f>
        <v>7483000</v>
      </c>
    </row>
    <row r="127" spans="1:7" ht="28.8" x14ac:dyDescent="0.55000000000000004">
      <c r="A127" s="24"/>
      <c r="B127" s="25" t="s">
        <v>668</v>
      </c>
      <c r="C127" s="26">
        <v>2</v>
      </c>
      <c r="D127" s="26">
        <v>70000</v>
      </c>
      <c r="E127" s="27">
        <f>+$I$2+(ADNANPRIME[[#This Row],[QUANTITE]]*ADNANPRIME[[#This Row],[PRIX UNITAIRE]])</f>
        <v>140000</v>
      </c>
      <c r="F127" s="28"/>
      <c r="G127" s="29">
        <f>+SUM(E$9:$E127)-SUM(F$9:$F127)</f>
        <v>7623000</v>
      </c>
    </row>
    <row r="128" spans="1:7" ht="28.8" x14ac:dyDescent="0.55000000000000004">
      <c r="A128" s="24"/>
      <c r="B128" s="25" t="s">
        <v>669</v>
      </c>
      <c r="C128" s="26">
        <v>1</v>
      </c>
      <c r="D128" s="26">
        <v>70000</v>
      </c>
      <c r="E128" s="27">
        <f>+$I$2+(ADNANPRIME[[#This Row],[QUANTITE]]*ADNANPRIME[[#This Row],[PRIX UNITAIRE]])</f>
        <v>70000</v>
      </c>
      <c r="F128" s="28"/>
      <c r="G128" s="29">
        <f>+SUM(E$9:$E128)-SUM(F$9:$F128)</f>
        <v>7693000</v>
      </c>
    </row>
    <row r="129" spans="1:7" ht="28.8" x14ac:dyDescent="0.55000000000000004">
      <c r="A129" s="24"/>
      <c r="B129" s="25" t="s">
        <v>670</v>
      </c>
      <c r="C129" s="26">
        <v>4</v>
      </c>
      <c r="D129" s="26">
        <v>2500</v>
      </c>
      <c r="E129" s="27">
        <f>+$I$2+(ADNANPRIME[[#This Row],[QUANTITE]]*ADNANPRIME[[#This Row],[PRIX UNITAIRE]])</f>
        <v>10000</v>
      </c>
      <c r="F129" s="28"/>
      <c r="G129" s="29">
        <f>+SUM(E$9:$E129)-SUM(F$9:$F129)</f>
        <v>7703000</v>
      </c>
    </row>
    <row r="130" spans="1:7" ht="28.8" x14ac:dyDescent="0.55000000000000004">
      <c r="A130" s="24"/>
      <c r="B130" s="25" t="s">
        <v>671</v>
      </c>
      <c r="C130" s="26">
        <v>1</v>
      </c>
      <c r="D130" s="26">
        <v>120000</v>
      </c>
      <c r="E130" s="27">
        <f>+$I$2+(ADNANPRIME[[#This Row],[QUANTITE]]*ADNANPRIME[[#This Row],[PRIX UNITAIRE]])</f>
        <v>120000</v>
      </c>
      <c r="F130" s="28"/>
      <c r="G130" s="29">
        <f>+SUM(E$9:$E130)-SUM(F$9:$F130)</f>
        <v>7823000</v>
      </c>
    </row>
    <row r="131" spans="1:7" ht="28.8" x14ac:dyDescent="0.55000000000000004">
      <c r="A131" s="24"/>
      <c r="B131" s="25" t="s">
        <v>672</v>
      </c>
      <c r="C131" s="26">
        <v>4</v>
      </c>
      <c r="D131" s="26">
        <v>40000</v>
      </c>
      <c r="E131" s="27">
        <f>+$I$2+(ADNANPRIME[[#This Row],[QUANTITE]]*ADNANPRIME[[#This Row],[PRIX UNITAIRE]])</f>
        <v>160000</v>
      </c>
      <c r="F131" s="28"/>
      <c r="G131" s="29">
        <f>+SUM(E$9:$E131)-SUM(F$9:$F131)</f>
        <v>7983000</v>
      </c>
    </row>
    <row r="132" spans="1:7" ht="28.8" x14ac:dyDescent="0.55000000000000004">
      <c r="A132" s="24"/>
      <c r="B132" s="25" t="s">
        <v>654</v>
      </c>
      <c r="C132" s="26">
        <v>2</v>
      </c>
      <c r="D132" s="26">
        <v>20000</v>
      </c>
      <c r="E132" s="27">
        <f>+$I$2+(ADNANPRIME[[#This Row],[QUANTITE]]*ADNANPRIME[[#This Row],[PRIX UNITAIRE]])</f>
        <v>40000</v>
      </c>
      <c r="F132" s="28"/>
      <c r="G132" s="29">
        <f>+SUM(E$9:$E132)-SUM(F$9:$F132)</f>
        <v>8023000</v>
      </c>
    </row>
    <row r="133" spans="1:7" ht="28.8" x14ac:dyDescent="0.55000000000000004">
      <c r="A133" s="24"/>
      <c r="B133" s="25" t="s">
        <v>673</v>
      </c>
      <c r="C133" s="26">
        <v>1</v>
      </c>
      <c r="D133" s="26">
        <v>50000</v>
      </c>
      <c r="E133" s="27">
        <f>+$I$2+(ADNANPRIME[[#This Row],[QUANTITE]]*ADNANPRIME[[#This Row],[PRIX UNITAIRE]])</f>
        <v>50000</v>
      </c>
      <c r="F133" s="28"/>
      <c r="G133" s="29">
        <f>+SUM(E$9:$E133)-SUM(F$9:$F133)</f>
        <v>8073000</v>
      </c>
    </row>
    <row r="134" spans="1:7" ht="28.8" x14ac:dyDescent="0.55000000000000004">
      <c r="A134" s="24"/>
      <c r="B134" s="25" t="s">
        <v>466</v>
      </c>
      <c r="C134" s="26">
        <v>2</v>
      </c>
      <c r="D134" s="26">
        <v>10000</v>
      </c>
      <c r="E134" s="27">
        <f>+$I$2+(ADNANPRIME[[#This Row],[QUANTITE]]*ADNANPRIME[[#This Row],[PRIX UNITAIRE]])</f>
        <v>20000</v>
      </c>
      <c r="F134" s="28"/>
      <c r="G134" s="29">
        <f>+SUM(E$9:$E134)-SUM(F$9:$F134)</f>
        <v>8093000</v>
      </c>
    </row>
    <row r="135" spans="1:7" ht="28.8" x14ac:dyDescent="0.55000000000000004">
      <c r="A135" s="24"/>
      <c r="B135" s="25" t="s">
        <v>674</v>
      </c>
      <c r="C135" s="26">
        <v>2</v>
      </c>
      <c r="D135" s="26">
        <v>15000</v>
      </c>
      <c r="E135" s="27">
        <f>+$I$2+(ADNANPRIME[[#This Row],[QUANTITE]]*ADNANPRIME[[#This Row],[PRIX UNITAIRE]])</f>
        <v>30000</v>
      </c>
      <c r="F135" s="28"/>
      <c r="G135" s="29">
        <f>+SUM(E$9:$E135)-SUM(F$9:$F135)</f>
        <v>8123000</v>
      </c>
    </row>
    <row r="136" spans="1:7" ht="28.8" x14ac:dyDescent="0.55000000000000004">
      <c r="A136" s="24"/>
      <c r="B136" s="25" t="s">
        <v>605</v>
      </c>
      <c r="C136" s="26">
        <v>2</v>
      </c>
      <c r="D136" s="26">
        <v>50000</v>
      </c>
      <c r="E136" s="27">
        <f>+$I$2+(ADNANPRIME[[#This Row],[QUANTITE]]*ADNANPRIME[[#This Row],[PRIX UNITAIRE]])</f>
        <v>100000</v>
      </c>
      <c r="F136" s="28"/>
      <c r="G136" s="29">
        <f>+SUM(E$9:$E136)-SUM(F$9:$F136)</f>
        <v>8223000</v>
      </c>
    </row>
    <row r="137" spans="1:7" ht="28.8" x14ac:dyDescent="0.55000000000000004">
      <c r="A137" s="24">
        <v>45483</v>
      </c>
      <c r="B137" s="25" t="s">
        <v>675</v>
      </c>
      <c r="C137" s="26">
        <v>1</v>
      </c>
      <c r="D137" s="26">
        <v>50000</v>
      </c>
      <c r="E137" s="27">
        <f>+$I$2+(ADNANPRIME[[#This Row],[QUANTITE]]*ADNANPRIME[[#This Row],[PRIX UNITAIRE]])</f>
        <v>50000</v>
      </c>
      <c r="F137" s="28"/>
      <c r="G137" s="29">
        <f>+SUM(E$9:$E137)-SUM(F$9:$F137)</f>
        <v>8273000</v>
      </c>
    </row>
    <row r="138" spans="1:7" ht="28.8" x14ac:dyDescent="0.55000000000000004">
      <c r="A138" s="24"/>
      <c r="B138" s="25" t="s">
        <v>676</v>
      </c>
      <c r="C138" s="26">
        <v>1</v>
      </c>
      <c r="D138" s="26">
        <v>50000</v>
      </c>
      <c r="E138" s="27">
        <f>+$I$2+(ADNANPRIME[[#This Row],[QUANTITE]]*ADNANPRIME[[#This Row],[PRIX UNITAIRE]])</f>
        <v>50000</v>
      </c>
      <c r="F138" s="28"/>
      <c r="G138" s="29">
        <f>+SUM(E$9:$E138)-SUM(F$9:$F138)</f>
        <v>8323000</v>
      </c>
    </row>
    <row r="139" spans="1:7" ht="28.8" x14ac:dyDescent="0.55000000000000004">
      <c r="A139" s="24">
        <v>45491</v>
      </c>
      <c r="B139" s="25" t="s">
        <v>677</v>
      </c>
      <c r="C139" s="26">
        <v>2</v>
      </c>
      <c r="D139" s="26">
        <v>100000</v>
      </c>
      <c r="E139" s="27">
        <f>+$I$2+(ADNANPRIME[[#This Row],[QUANTITE]]*ADNANPRIME[[#This Row],[PRIX UNITAIRE]])</f>
        <v>200000</v>
      </c>
      <c r="F139" s="28"/>
      <c r="G139" s="29">
        <f>+SUM(E$9:$E139)-SUM(F$9:$F139)</f>
        <v>8523000</v>
      </c>
    </row>
    <row r="140" spans="1:7" ht="28.8" x14ac:dyDescent="0.55000000000000004">
      <c r="A140" s="24">
        <v>45491</v>
      </c>
      <c r="B140" s="25" t="s">
        <v>678</v>
      </c>
      <c r="C140" s="26">
        <v>1</v>
      </c>
      <c r="D140" s="26">
        <v>45000</v>
      </c>
      <c r="E140" s="27">
        <f>+$I$2+(ADNANPRIME[[#This Row],[QUANTITE]]*ADNANPRIME[[#This Row],[PRIX UNITAIRE]])</f>
        <v>45000</v>
      </c>
      <c r="F140" s="28"/>
      <c r="G140" s="29">
        <f>+SUM(E$9:$E140)-SUM(F$9:$F140)</f>
        <v>8568000</v>
      </c>
    </row>
    <row r="141" spans="1:7" ht="28.8" x14ac:dyDescent="0.55000000000000004">
      <c r="A141" s="24"/>
      <c r="B141" s="25" t="s">
        <v>679</v>
      </c>
      <c r="C141" s="26">
        <v>2</v>
      </c>
      <c r="D141" s="26">
        <v>15000</v>
      </c>
      <c r="E141" s="27">
        <f>+$I$2+(ADNANPRIME[[#This Row],[QUANTITE]]*ADNANPRIME[[#This Row],[PRIX UNITAIRE]])</f>
        <v>30000</v>
      </c>
      <c r="F141" s="28"/>
      <c r="G141" s="29">
        <f>+SUM(E$9:$E141)-SUM(F$9:$F141)</f>
        <v>8598000</v>
      </c>
    </row>
    <row r="142" spans="1:7" ht="28.8" x14ac:dyDescent="0.55000000000000004">
      <c r="A142" s="24">
        <v>45492</v>
      </c>
      <c r="B142" s="25" t="s">
        <v>680</v>
      </c>
      <c r="C142" s="26">
        <v>1</v>
      </c>
      <c r="D142" s="26">
        <v>70000</v>
      </c>
      <c r="E142" s="27">
        <f>+$I$2+(ADNANPRIME[[#This Row],[QUANTITE]]*ADNANPRIME[[#This Row],[PRIX UNITAIRE]])</f>
        <v>70000</v>
      </c>
      <c r="F142" s="28"/>
      <c r="G142" s="29">
        <f>+SUM(E$9:$E142)-SUM(F$9:$F142)</f>
        <v>8668000</v>
      </c>
    </row>
    <row r="143" spans="1:7" ht="28.8" x14ac:dyDescent="0.55000000000000004">
      <c r="A143" s="24"/>
      <c r="B143" s="25" t="s">
        <v>652</v>
      </c>
      <c r="C143" s="26">
        <v>1</v>
      </c>
      <c r="D143" s="26">
        <v>45000</v>
      </c>
      <c r="E143" s="27">
        <f>+$I$2+(ADNANPRIME[[#This Row],[QUANTITE]]*ADNANPRIME[[#This Row],[PRIX UNITAIRE]])</f>
        <v>45000</v>
      </c>
      <c r="F143" s="28"/>
      <c r="G143" s="29">
        <f>+SUM(E$9:$E143)-SUM(F$9:$F143)</f>
        <v>8713000</v>
      </c>
    </row>
    <row r="144" spans="1:7" ht="28.8" x14ac:dyDescent="0.55000000000000004">
      <c r="A144" s="24"/>
      <c r="B144" s="25" t="s">
        <v>669</v>
      </c>
      <c r="C144" s="26">
        <v>1</v>
      </c>
      <c r="D144" s="26">
        <v>70000</v>
      </c>
      <c r="E144" s="27">
        <f>+$I$2+(ADNANPRIME[[#This Row],[QUANTITE]]*ADNANPRIME[[#This Row],[PRIX UNITAIRE]])</f>
        <v>70000</v>
      </c>
      <c r="F144" s="28"/>
      <c r="G144" s="29">
        <f>+SUM(E$9:$E144)-SUM(F$9:$F144)</f>
        <v>8783000</v>
      </c>
    </row>
    <row r="145" spans="1:7" ht="28.8" x14ac:dyDescent="0.55000000000000004">
      <c r="A145" s="24"/>
      <c r="B145" s="25" t="s">
        <v>681</v>
      </c>
      <c r="C145" s="26">
        <v>1</v>
      </c>
      <c r="D145" s="26">
        <v>65000</v>
      </c>
      <c r="E145" s="27">
        <f>+$I$2+(ADNANPRIME[[#This Row],[QUANTITE]]*ADNANPRIME[[#This Row],[PRIX UNITAIRE]])</f>
        <v>65000</v>
      </c>
      <c r="F145" s="28"/>
      <c r="G145" s="29">
        <f>+SUM(E$9:$E145)-SUM(F$9:$F145)</f>
        <v>8848000</v>
      </c>
    </row>
    <row r="146" spans="1:7" ht="28.8" x14ac:dyDescent="0.55000000000000004">
      <c r="A146" s="24"/>
      <c r="B146" s="25" t="s">
        <v>682</v>
      </c>
      <c r="C146" s="26">
        <v>1</v>
      </c>
      <c r="D146" s="26">
        <v>15000</v>
      </c>
      <c r="E146" s="27">
        <f>+$I$2+(ADNANPRIME[[#This Row],[QUANTITE]]*ADNANPRIME[[#This Row],[PRIX UNITAIRE]])</f>
        <v>15000</v>
      </c>
      <c r="F146" s="28"/>
      <c r="G146" s="29">
        <f>+SUM(E$9:$E146)-SUM(F$9:$F146)</f>
        <v>8863000</v>
      </c>
    </row>
    <row r="147" spans="1:7" ht="28.8" x14ac:dyDescent="0.55000000000000004">
      <c r="A147" s="24">
        <v>45496</v>
      </c>
      <c r="B147" s="25" t="s">
        <v>683</v>
      </c>
      <c r="C147" s="26">
        <v>1</v>
      </c>
      <c r="D147" s="26">
        <v>50000</v>
      </c>
      <c r="E147" s="27">
        <f>+$I$2+(ADNANPRIME[[#This Row],[QUANTITE]]*ADNANPRIME[[#This Row],[PRIX UNITAIRE]])</f>
        <v>50000</v>
      </c>
      <c r="F147" s="28"/>
      <c r="G147" s="29">
        <f>+SUM(E$9:$E147)-SUM(F$9:$F147)</f>
        <v>8913000</v>
      </c>
    </row>
    <row r="148" spans="1:7" ht="28.8" x14ac:dyDescent="0.55000000000000004">
      <c r="A148" s="24">
        <v>45496</v>
      </c>
      <c r="B148" s="25" t="s">
        <v>658</v>
      </c>
      <c r="C148" s="26">
        <v>1</v>
      </c>
      <c r="D148" s="26">
        <v>70000</v>
      </c>
      <c r="E148" s="27">
        <f>+$I$2+(ADNANPRIME[[#This Row],[QUANTITE]]*ADNANPRIME[[#This Row],[PRIX UNITAIRE]])</f>
        <v>70000</v>
      </c>
      <c r="F148" s="28"/>
      <c r="G148" s="29">
        <f>+SUM(E$9:$E148)-SUM(F$9:$F148)</f>
        <v>8983000</v>
      </c>
    </row>
    <row r="149" spans="1:7" ht="28.8" x14ac:dyDescent="0.55000000000000004">
      <c r="A149" s="24">
        <v>45497</v>
      </c>
      <c r="B149" s="25" t="s">
        <v>684</v>
      </c>
      <c r="C149" s="26">
        <v>4</v>
      </c>
      <c r="D149" s="26">
        <v>12500</v>
      </c>
      <c r="E149" s="27">
        <f>+$I$2+(ADNANPRIME[[#This Row],[QUANTITE]]*ADNANPRIME[[#This Row],[PRIX UNITAIRE]])</f>
        <v>50000</v>
      </c>
      <c r="F149" s="28"/>
      <c r="G149" s="29">
        <f>+SUM(E$9:$E149)-SUM(F$9:$F149)</f>
        <v>9033000</v>
      </c>
    </row>
    <row r="150" spans="1:7" ht="28.8" x14ac:dyDescent="0.55000000000000004">
      <c r="A150" s="24"/>
      <c r="B150" s="25" t="s">
        <v>685</v>
      </c>
      <c r="C150" s="26">
        <v>1</v>
      </c>
      <c r="D150" s="26">
        <v>10000</v>
      </c>
      <c r="E150" s="27">
        <f>+$I$2+(ADNANPRIME[[#This Row],[QUANTITE]]*ADNANPRIME[[#This Row],[PRIX UNITAIRE]])</f>
        <v>10000</v>
      </c>
      <c r="F150" s="28"/>
      <c r="G150" s="29">
        <f>+SUM(E$9:$E150)-SUM(F$9:$F150)</f>
        <v>9043000</v>
      </c>
    </row>
    <row r="151" spans="1:7" ht="28.8" x14ac:dyDescent="0.55000000000000004">
      <c r="A151" s="24"/>
      <c r="B151" s="25" t="s">
        <v>218</v>
      </c>
      <c r="C151" s="26">
        <v>4</v>
      </c>
      <c r="D151" s="26">
        <v>15000</v>
      </c>
      <c r="E151" s="27">
        <f>+$I$2+(ADNANPRIME[[#This Row],[QUANTITE]]*ADNANPRIME[[#This Row],[PRIX UNITAIRE]])</f>
        <v>60000</v>
      </c>
      <c r="F151" s="28"/>
      <c r="G151" s="29">
        <f>+SUM(E$9:$E151)-SUM(F$9:$F151)</f>
        <v>9103000</v>
      </c>
    </row>
    <row r="152" spans="1:7" ht="28.8" x14ac:dyDescent="0.55000000000000004">
      <c r="A152" s="24">
        <v>45499</v>
      </c>
      <c r="B152" s="25" t="s">
        <v>686</v>
      </c>
      <c r="C152" s="26">
        <v>2</v>
      </c>
      <c r="D152" s="26">
        <v>45000</v>
      </c>
      <c r="E152" s="27">
        <f>+$I$2+(ADNANPRIME[[#This Row],[QUANTITE]]*ADNANPRIME[[#This Row],[PRIX UNITAIRE]])</f>
        <v>90000</v>
      </c>
      <c r="F152" s="28"/>
      <c r="G152" s="29">
        <f>+SUM(E$9:$E152)-SUM(F$9:$F152)</f>
        <v>9193000</v>
      </c>
    </row>
    <row r="153" spans="1:7" ht="28.8" x14ac:dyDescent="0.55000000000000004">
      <c r="A153" s="24"/>
      <c r="B153" s="25" t="s">
        <v>687</v>
      </c>
      <c r="C153" s="26">
        <v>1</v>
      </c>
      <c r="D153" s="26">
        <v>45000</v>
      </c>
      <c r="E153" s="27">
        <f>+$I$2+(ADNANPRIME[[#This Row],[QUANTITE]]*ADNANPRIME[[#This Row],[PRIX UNITAIRE]])</f>
        <v>45000</v>
      </c>
      <c r="F153" s="28"/>
      <c r="G153" s="29">
        <f>+SUM(E$9:$E153)-SUM(F$9:$F153)</f>
        <v>9238000</v>
      </c>
    </row>
    <row r="154" spans="1:7" ht="28.8" x14ac:dyDescent="0.55000000000000004">
      <c r="A154" s="24"/>
      <c r="B154" s="25" t="s">
        <v>688</v>
      </c>
      <c r="C154" s="26">
        <v>2</v>
      </c>
      <c r="D154" s="26">
        <v>50000</v>
      </c>
      <c r="E154" s="27">
        <f>+$I$2+(ADNANPRIME[[#This Row],[QUANTITE]]*ADNANPRIME[[#This Row],[PRIX UNITAIRE]])</f>
        <v>100000</v>
      </c>
      <c r="F154" s="28"/>
      <c r="G154" s="29">
        <f>+SUM(E$9:$E154)-SUM(F$9:$F154)</f>
        <v>9338000</v>
      </c>
    </row>
    <row r="155" spans="1:7" ht="28.8" x14ac:dyDescent="0.55000000000000004">
      <c r="A155" s="24">
        <v>45527</v>
      </c>
      <c r="B155" s="25" t="s">
        <v>689</v>
      </c>
      <c r="C155" s="26">
        <v>6</v>
      </c>
      <c r="D155" s="26">
        <v>100000</v>
      </c>
      <c r="E155" s="27">
        <f>+$I$2+(ADNANPRIME[[#This Row],[QUANTITE]]*ADNANPRIME[[#This Row],[PRIX UNITAIRE]])</f>
        <v>600000</v>
      </c>
      <c r="F155" s="28"/>
      <c r="G155" s="29">
        <f>+SUM(E$9:$E155)-SUM(F$9:$F155)</f>
        <v>9938000</v>
      </c>
    </row>
    <row r="156" spans="1:7" ht="28.8" x14ac:dyDescent="0.55000000000000004">
      <c r="A156" s="24">
        <v>45579</v>
      </c>
      <c r="B156" s="25" t="s">
        <v>690</v>
      </c>
      <c r="C156" s="26">
        <v>2</v>
      </c>
      <c r="D156" s="26">
        <v>180000</v>
      </c>
      <c r="E156" s="27">
        <f>+$I$2+(ADNANPRIME[[#This Row],[QUANTITE]]*ADNANPRIME[[#This Row],[PRIX UNITAIRE]])</f>
        <v>360000</v>
      </c>
      <c r="F156" s="28"/>
      <c r="G156" s="29">
        <f>+SUM(E$9:$E156)-SUM(F$9:$F156)</f>
        <v>10298000</v>
      </c>
    </row>
    <row r="157" spans="1:7" ht="28.8" x14ac:dyDescent="0.55000000000000004">
      <c r="A157" s="24">
        <v>45618</v>
      </c>
      <c r="B157" s="25" t="s">
        <v>691</v>
      </c>
      <c r="C157" s="26">
        <v>1</v>
      </c>
      <c r="D157" s="26">
        <v>45000</v>
      </c>
      <c r="E157" s="27">
        <f>+$I$2+(ADNANPRIME[[#This Row],[QUANTITE]]*ADNANPRIME[[#This Row],[PRIX UNITAIRE]])</f>
        <v>45000</v>
      </c>
      <c r="F157" s="28"/>
      <c r="G157" s="29">
        <f>+SUM(E$9:$E157)-SUM(F$9:$F157)</f>
        <v>10343000</v>
      </c>
    </row>
    <row r="158" spans="1:7" ht="28.8" x14ac:dyDescent="0.55000000000000004">
      <c r="A158" s="24">
        <v>45625</v>
      </c>
      <c r="B158" s="25" t="s">
        <v>692</v>
      </c>
      <c r="C158" s="26">
        <v>1</v>
      </c>
      <c r="D158" s="26">
        <v>45000</v>
      </c>
      <c r="E158" s="27">
        <f>+$I$2+(ADNANPRIME[[#This Row],[QUANTITE]]*ADNANPRIME[[#This Row],[PRIX UNITAIRE]])</f>
        <v>45000</v>
      </c>
      <c r="F158" s="28"/>
      <c r="G158" s="29">
        <f>+SUM(E$9:$E158)-SUM(F$9:$F158)</f>
        <v>10388000</v>
      </c>
    </row>
    <row r="159" spans="1:7" ht="28.8" x14ac:dyDescent="0.55000000000000004">
      <c r="A159" s="24">
        <v>45664</v>
      </c>
      <c r="B159" s="25" t="s">
        <v>693</v>
      </c>
      <c r="C159" s="26">
        <v>3</v>
      </c>
      <c r="D159" s="26">
        <v>180000</v>
      </c>
      <c r="E159" s="27">
        <f>+$I$2+(ADNANPRIME[[#This Row],[QUANTITE]]*ADNANPRIME[[#This Row],[PRIX UNITAIRE]])</f>
        <v>540000</v>
      </c>
      <c r="F159" s="28"/>
      <c r="G159" s="29">
        <f>+SUM(E$9:$E159)-SUM(F$9:$F159)</f>
        <v>10928000</v>
      </c>
    </row>
    <row r="160" spans="1:7" ht="28.8" x14ac:dyDescent="0.55000000000000004">
      <c r="A160" s="24">
        <v>45678</v>
      </c>
      <c r="B160" s="25" t="s">
        <v>694</v>
      </c>
      <c r="C160" s="26">
        <v>1</v>
      </c>
      <c r="D160" s="26">
        <v>180000</v>
      </c>
      <c r="E160" s="27">
        <f>+$I$2+(ADNANPRIME[[#This Row],[QUANTITE]]*ADNANPRIME[[#This Row],[PRIX UNITAIRE]])</f>
        <v>180000</v>
      </c>
      <c r="F160" s="28"/>
      <c r="G160" s="29">
        <f>+SUM(E$9:$E160)-SUM(F$9:$F160)</f>
        <v>11108000</v>
      </c>
    </row>
    <row r="161" spans="1:7" ht="28.8" x14ac:dyDescent="0.55000000000000004">
      <c r="A161" s="24">
        <v>45681</v>
      </c>
      <c r="B161" s="25" t="s">
        <v>695</v>
      </c>
      <c r="C161" s="26">
        <v>4</v>
      </c>
      <c r="D161" s="26">
        <v>10000</v>
      </c>
      <c r="E161" s="27">
        <f>+$I$2+(ADNANPRIME[[#This Row],[QUANTITE]]*ADNANPRIME[[#This Row],[PRIX UNITAIRE]])</f>
        <v>40000</v>
      </c>
      <c r="F161" s="28"/>
      <c r="G161" s="29">
        <f>+SUM(E$9:$E161)-SUM(F$9:$F161)</f>
        <v>11148000</v>
      </c>
    </row>
    <row r="162" spans="1:7" ht="28.8" x14ac:dyDescent="0.55000000000000004">
      <c r="A162" s="24">
        <v>45692</v>
      </c>
      <c r="B162" s="25" t="s">
        <v>696</v>
      </c>
      <c r="C162" s="26">
        <v>4</v>
      </c>
      <c r="D162" s="26">
        <v>60000</v>
      </c>
      <c r="E162" s="27">
        <f>+$I$2+(ADNANPRIME[[#This Row],[QUANTITE]]*ADNANPRIME[[#This Row],[PRIX UNITAIRE]])</f>
        <v>240000</v>
      </c>
      <c r="F162" s="28"/>
      <c r="G162" s="29">
        <f>+SUM(E$9:$E162)-SUM(F$9:$F162)</f>
        <v>11388000</v>
      </c>
    </row>
    <row r="163" spans="1:7" ht="28.8" x14ac:dyDescent="0.55000000000000004">
      <c r="A163" s="24">
        <v>45692</v>
      </c>
      <c r="B163" s="25" t="s">
        <v>697</v>
      </c>
      <c r="C163" s="26">
        <v>1</v>
      </c>
      <c r="D163" s="26">
        <v>60000</v>
      </c>
      <c r="E163" s="27">
        <f>+$I$2+(ADNANPRIME[[#This Row],[QUANTITE]]*ADNANPRIME[[#This Row],[PRIX UNITAIRE]])</f>
        <v>60000</v>
      </c>
      <c r="F163" s="28"/>
      <c r="G163" s="29">
        <f>+SUM(E$9:$E163)-SUM(F$9:$F163)</f>
        <v>11448000</v>
      </c>
    </row>
    <row r="164" spans="1:7" ht="28.8" x14ac:dyDescent="0.55000000000000004">
      <c r="A164" s="24">
        <v>45698</v>
      </c>
      <c r="B164" s="25" t="s">
        <v>698</v>
      </c>
      <c r="C164" s="26">
        <v>4</v>
      </c>
      <c r="D164" s="26">
        <v>40000</v>
      </c>
      <c r="E164" s="27">
        <f>+$I$2+(ADNANPRIME[[#This Row],[QUANTITE]]*ADNANPRIME[[#This Row],[PRIX UNITAIRE]])</f>
        <v>160000</v>
      </c>
      <c r="F164" s="28"/>
      <c r="G164" s="29">
        <f>+SUM(E$9:$E164)-SUM(F$9:$F164)</f>
        <v>11608000</v>
      </c>
    </row>
    <row r="165" spans="1:7" ht="28.8" x14ac:dyDescent="0.55000000000000004">
      <c r="A165" s="24">
        <v>45699</v>
      </c>
      <c r="B165" s="25" t="s">
        <v>699</v>
      </c>
      <c r="C165" s="26">
        <v>4</v>
      </c>
      <c r="D165" s="26">
        <v>40000</v>
      </c>
      <c r="E165" s="27">
        <f>+$I$2+(ADNANPRIME[[#This Row],[QUANTITE]]*ADNANPRIME[[#This Row],[PRIX UNITAIRE]])</f>
        <v>160000</v>
      </c>
      <c r="F165" s="28"/>
      <c r="G165" s="29">
        <f>+SUM(E$9:$E165)-SUM(F$9:$F165)</f>
        <v>11768000</v>
      </c>
    </row>
    <row r="166" spans="1:7" ht="28.8" x14ac:dyDescent="0.55000000000000004">
      <c r="A166" s="24">
        <v>45706</v>
      </c>
      <c r="B166" s="25" t="s">
        <v>621</v>
      </c>
      <c r="C166" s="26">
        <v>2</v>
      </c>
      <c r="D166" s="26">
        <v>295000</v>
      </c>
      <c r="E166" s="27">
        <f>+$I$2+(ADNANPRIME[[#This Row],[QUANTITE]]*ADNANPRIME[[#This Row],[PRIX UNITAIRE]])</f>
        <v>590000</v>
      </c>
      <c r="F166" s="28"/>
      <c r="G166" s="29">
        <f>+SUM(E$9:$E166)-SUM(F$9:$F166)</f>
        <v>12358000</v>
      </c>
    </row>
    <row r="167" spans="1:7" ht="28.8" x14ac:dyDescent="0.55000000000000004">
      <c r="A167" s="24">
        <v>45726</v>
      </c>
      <c r="B167" s="25" t="s">
        <v>700</v>
      </c>
      <c r="C167" s="26">
        <v>1</v>
      </c>
      <c r="D167" s="26">
        <v>0</v>
      </c>
      <c r="E167" s="27">
        <f>+$I$2+(ADNANPRIME[[#This Row],[QUANTITE]]*ADNANPRIME[[#This Row],[PRIX UNITAIRE]])</f>
        <v>0</v>
      </c>
      <c r="F167" s="28">
        <v>4000000</v>
      </c>
      <c r="G167" s="29">
        <f>+SUM(E$9:$E167)-SUM(F$9:$F167)</f>
        <v>8358000</v>
      </c>
    </row>
    <row r="168" spans="1:7" ht="28.8" x14ac:dyDescent="0.55000000000000004">
      <c r="A168" s="24">
        <v>45703</v>
      </c>
      <c r="B168" s="25" t="s">
        <v>701</v>
      </c>
      <c r="C168" s="26">
        <v>1</v>
      </c>
      <c r="D168" s="26">
        <v>100000</v>
      </c>
      <c r="E168" s="27">
        <f>+$I$2+(ADNANPRIME[[#This Row],[QUANTITE]]*ADNANPRIME[[#This Row],[PRIX UNITAIRE]])</f>
        <v>100000</v>
      </c>
      <c r="F168" s="28"/>
      <c r="G168" s="29">
        <f>+SUM(E$9:$E168)-SUM(F$9:$F168)</f>
        <v>8458000</v>
      </c>
    </row>
    <row r="169" spans="1:7" ht="28.8" x14ac:dyDescent="0.55000000000000004">
      <c r="A169" s="24">
        <v>45744</v>
      </c>
      <c r="B169" s="25" t="s">
        <v>1185</v>
      </c>
      <c r="C169" s="26">
        <v>2</v>
      </c>
      <c r="D169" s="26">
        <v>250000</v>
      </c>
      <c r="E169" s="27">
        <f>+$I$2+(ADNANPRIME[[#This Row],[QUANTITE]]*ADNANPRIME[[#This Row],[PRIX UNITAIRE]])</f>
        <v>500000</v>
      </c>
      <c r="F169" s="28"/>
      <c r="G169" s="29">
        <f>+SUM(E$9:$E169)-SUM(F$9:$F169)</f>
        <v>8958000</v>
      </c>
    </row>
    <row r="170" spans="1:7" ht="28.8" x14ac:dyDescent="0.55000000000000004">
      <c r="A170" s="24">
        <v>45744</v>
      </c>
      <c r="B170" s="25" t="s">
        <v>702</v>
      </c>
      <c r="C170" s="26">
        <v>2</v>
      </c>
      <c r="D170" s="26">
        <v>50000</v>
      </c>
      <c r="E170" s="27">
        <f>+$I$2+(ADNANPRIME[[#This Row],[QUANTITE]]*ADNANPRIME[[#This Row],[PRIX UNITAIRE]])</f>
        <v>100000</v>
      </c>
      <c r="F170" s="28"/>
      <c r="G170" s="29">
        <f>+SUM(E$9:$E170)-SUM(F$9:$F170)</f>
        <v>9058000</v>
      </c>
    </row>
    <row r="171" spans="1:7" ht="28.8" x14ac:dyDescent="0.55000000000000004">
      <c r="A171" s="24">
        <v>45754</v>
      </c>
      <c r="B171" s="25" t="s">
        <v>703</v>
      </c>
      <c r="C171" s="26">
        <v>1</v>
      </c>
      <c r="D171" s="26">
        <v>120000</v>
      </c>
      <c r="E171" s="27">
        <f>+$I$2+(ADNANPRIME[[#This Row],[QUANTITE]]*ADNANPRIME[[#This Row],[PRIX UNITAIRE]])</f>
        <v>120000</v>
      </c>
      <c r="F171" s="28"/>
      <c r="G171" s="29">
        <f>+SUM(E$9:$E171)-SUM(F$9:$F171)</f>
        <v>9178000</v>
      </c>
    </row>
    <row r="172" spans="1:7" ht="28.8" x14ac:dyDescent="0.55000000000000004">
      <c r="A172" s="24">
        <v>45754</v>
      </c>
      <c r="B172" s="25" t="s">
        <v>704</v>
      </c>
      <c r="C172" s="26">
        <v>8</v>
      </c>
      <c r="D172" s="26">
        <v>180000</v>
      </c>
      <c r="E172" s="27">
        <f>+$I$2+(ADNANPRIME[[#This Row],[QUANTITE]]*ADNANPRIME[[#This Row],[PRIX UNITAIRE]])</f>
        <v>1440000</v>
      </c>
      <c r="F172" s="28"/>
      <c r="G172" s="29">
        <f>+SUM(E$9:$E172)-SUM(F$9:$F172)</f>
        <v>10618000</v>
      </c>
    </row>
    <row r="173" spans="1:7" ht="28.8" x14ac:dyDescent="0.55000000000000004">
      <c r="A173" s="24">
        <v>45757</v>
      </c>
      <c r="B173" s="25" t="s">
        <v>704</v>
      </c>
      <c r="C173" s="26">
        <v>1</v>
      </c>
      <c r="D173" s="26">
        <v>180000</v>
      </c>
      <c r="E173" s="27">
        <f>+$I$2+(ADNANPRIME[[#This Row],[QUANTITE]]*ADNANPRIME[[#This Row],[PRIX UNITAIRE]])</f>
        <v>180000</v>
      </c>
      <c r="F173" s="28"/>
      <c r="G173" s="29">
        <f>+SUM(E$9:$E173)-SUM(F$9:$F173)</f>
        <v>10798000</v>
      </c>
    </row>
    <row r="174" spans="1:7" ht="28.8" x14ac:dyDescent="0.55000000000000004">
      <c r="A174" s="24">
        <v>45757</v>
      </c>
      <c r="B174" s="25" t="s">
        <v>705</v>
      </c>
      <c r="C174" s="26">
        <v>1</v>
      </c>
      <c r="D174" s="26">
        <v>45000</v>
      </c>
      <c r="E174" s="27">
        <f>+$I$2+(ADNANPRIME[[#This Row],[QUANTITE]]*ADNANPRIME[[#This Row],[PRIX UNITAIRE]])</f>
        <v>45000</v>
      </c>
      <c r="F174" s="28"/>
      <c r="G174" s="29">
        <f>+SUM(E$9:$E174)-SUM(F$9:$F174)</f>
        <v>10843000</v>
      </c>
    </row>
    <row r="175" spans="1:7" ht="28.8" x14ac:dyDescent="0.55000000000000004">
      <c r="A175" s="24">
        <v>45761</v>
      </c>
      <c r="B175" s="25" t="s">
        <v>437</v>
      </c>
      <c r="C175" s="26">
        <v>2</v>
      </c>
      <c r="D175" s="26">
        <v>150000</v>
      </c>
      <c r="E175" s="27">
        <f>+$I$2+(ADNANPRIME[[#This Row],[QUANTITE]]*ADNANPRIME[[#This Row],[PRIX UNITAIRE]])</f>
        <v>300000</v>
      </c>
      <c r="F175" s="28"/>
      <c r="G175" s="29">
        <f>+SUM(E$9:$E175)-SUM(F$9:$F175)</f>
        <v>11143000</v>
      </c>
    </row>
    <row r="176" spans="1:7" ht="28.8" x14ac:dyDescent="0.55000000000000004">
      <c r="A176" s="24">
        <v>45761</v>
      </c>
      <c r="B176" s="25" t="s">
        <v>706</v>
      </c>
      <c r="C176" s="26">
        <v>2</v>
      </c>
      <c r="D176" s="26">
        <v>35000</v>
      </c>
      <c r="E176" s="27">
        <f>+$I$2+(ADNANPRIME[[#This Row],[QUANTITE]]*ADNANPRIME[[#This Row],[PRIX UNITAIRE]])</f>
        <v>70000</v>
      </c>
      <c r="F176" s="28"/>
      <c r="G176" s="29">
        <f>+SUM(E$9:$E176)-SUM(F$9:$F176)</f>
        <v>11213000</v>
      </c>
    </row>
    <row r="177" spans="1:7" ht="28.8" x14ac:dyDescent="0.55000000000000004">
      <c r="A177" s="24">
        <v>45764</v>
      </c>
      <c r="B177" s="25" t="s">
        <v>438</v>
      </c>
      <c r="C177" s="26">
        <v>1</v>
      </c>
      <c r="D177" s="26">
        <v>180000</v>
      </c>
      <c r="E177" s="27">
        <f>+$I$2+(ADNANPRIME[[#This Row],[QUANTITE]]*ADNANPRIME[[#This Row],[PRIX UNITAIRE]])</f>
        <v>180000</v>
      </c>
      <c r="F177" s="28"/>
      <c r="G177" s="29">
        <f>+SUM(E$9:$E177)-SUM(F$9:$F177)</f>
        <v>11393000</v>
      </c>
    </row>
    <row r="178" spans="1:7" ht="28.8" x14ac:dyDescent="0.55000000000000004">
      <c r="A178" s="24">
        <v>45764</v>
      </c>
      <c r="B178" s="25" t="s">
        <v>437</v>
      </c>
      <c r="C178" s="26">
        <v>2</v>
      </c>
      <c r="D178" s="26">
        <v>150000</v>
      </c>
      <c r="E178" s="27">
        <f>+$I$2+(ADNANPRIME[[#This Row],[QUANTITE]]*ADNANPRIME[[#This Row],[PRIX UNITAIRE]])</f>
        <v>300000</v>
      </c>
      <c r="F178" s="28"/>
      <c r="G178" s="29">
        <f>+SUM(E$9:$E178)-SUM(F$9:$F178)</f>
        <v>11693000</v>
      </c>
    </row>
    <row r="179" spans="1:7" ht="28.8" x14ac:dyDescent="0.55000000000000004">
      <c r="A179" s="24">
        <v>45773</v>
      </c>
      <c r="B179" s="25" t="s">
        <v>702</v>
      </c>
      <c r="C179" s="26">
        <v>4</v>
      </c>
      <c r="D179" s="26">
        <v>50000</v>
      </c>
      <c r="E179" s="27">
        <f>+$I$2+(ADNANPRIME[[#This Row],[QUANTITE]]*ADNANPRIME[[#This Row],[PRIX UNITAIRE]])</f>
        <v>200000</v>
      </c>
      <c r="F179" s="28"/>
      <c r="G179" s="29">
        <f>+SUM(E$9:$E179)-SUM(F$9:$F179)</f>
        <v>11893000</v>
      </c>
    </row>
    <row r="180" spans="1:7" ht="28.8" x14ac:dyDescent="0.55000000000000004">
      <c r="A180" s="24">
        <v>45773</v>
      </c>
      <c r="B180" s="25" t="s">
        <v>707</v>
      </c>
      <c r="C180" s="26">
        <v>1</v>
      </c>
      <c r="D180" s="26">
        <v>18000</v>
      </c>
      <c r="E180" s="27">
        <f>+$I$2+(ADNANPRIME[[#This Row],[QUANTITE]]*ADNANPRIME[[#This Row],[PRIX UNITAIRE]])</f>
        <v>18000</v>
      </c>
      <c r="F180" s="28"/>
      <c r="G180" s="29">
        <f>+SUM(E$9:$E180)-SUM(F$9:$F180)</f>
        <v>11911000</v>
      </c>
    </row>
    <row r="181" spans="1:7" ht="28.8" x14ac:dyDescent="0.55000000000000004">
      <c r="A181" s="24">
        <v>45773</v>
      </c>
      <c r="B181" s="25" t="s">
        <v>708</v>
      </c>
      <c r="C181" s="26">
        <v>1</v>
      </c>
      <c r="D181" s="26">
        <v>22000</v>
      </c>
      <c r="E181" s="27">
        <f>+$I$2+(ADNANPRIME[[#This Row],[QUANTITE]]*ADNANPRIME[[#This Row],[PRIX UNITAIRE]])</f>
        <v>22000</v>
      </c>
      <c r="F181" s="28"/>
      <c r="G181" s="29">
        <f>+SUM(E$9:$E181)-SUM(F$9:$F181)</f>
        <v>11933000</v>
      </c>
    </row>
    <row r="182" spans="1:7" ht="28.8" x14ac:dyDescent="0.55000000000000004">
      <c r="A182" s="24">
        <v>45773</v>
      </c>
      <c r="B182" s="25" t="s">
        <v>709</v>
      </c>
      <c r="C182" s="26">
        <v>1</v>
      </c>
      <c r="D182" s="26">
        <v>15000</v>
      </c>
      <c r="E182" s="27">
        <f>+$I$2+(ADNANPRIME[[#This Row],[QUANTITE]]*ADNANPRIME[[#This Row],[PRIX UNITAIRE]])</f>
        <v>15000</v>
      </c>
      <c r="F182" s="28"/>
      <c r="G182" s="29">
        <f>+SUM(E$9:$E182)-SUM(F$9:$F182)</f>
        <v>11948000</v>
      </c>
    </row>
    <row r="183" spans="1:7" ht="28.8" x14ac:dyDescent="0.55000000000000004">
      <c r="A183" s="24">
        <v>45777</v>
      </c>
      <c r="B183" s="25" t="s">
        <v>710</v>
      </c>
      <c r="C183" s="26">
        <v>2</v>
      </c>
      <c r="D183" s="26">
        <v>100000</v>
      </c>
      <c r="E183" s="27">
        <f>+$I$2+(ADNANPRIME[[#This Row],[QUANTITE]]*ADNANPRIME[[#This Row],[PRIX UNITAIRE]])</f>
        <v>200000</v>
      </c>
      <c r="F183" s="28"/>
      <c r="G183" s="29">
        <f>+SUM(E$9:$E183)-SUM(F$9:$F183)</f>
        <v>12148000</v>
      </c>
    </row>
    <row r="184" spans="1:7" ht="28.8" x14ac:dyDescent="0.55000000000000004">
      <c r="A184" s="24">
        <v>45777</v>
      </c>
      <c r="B184" s="25" t="s">
        <v>711</v>
      </c>
      <c r="C184" s="26">
        <v>2</v>
      </c>
      <c r="D184" s="26">
        <v>10000</v>
      </c>
      <c r="E184" s="27">
        <f>+$I$2+(ADNANPRIME[[#This Row],[QUANTITE]]*ADNANPRIME[[#This Row],[PRIX UNITAIRE]])</f>
        <v>20000</v>
      </c>
      <c r="F184" s="28"/>
      <c r="G184" s="29">
        <f>+SUM(E$9:$E184)-SUM(F$9:$F184)</f>
        <v>12168000</v>
      </c>
    </row>
    <row r="185" spans="1:7" ht="28.8" x14ac:dyDescent="0.55000000000000004">
      <c r="A185" s="24">
        <v>45796</v>
      </c>
      <c r="B185" s="25" t="s">
        <v>1186</v>
      </c>
      <c r="C185" s="26">
        <v>1</v>
      </c>
      <c r="D185" s="26">
        <v>135000</v>
      </c>
      <c r="E185" s="27">
        <f>+$I$2+(ADNANPRIME[[#This Row],[QUANTITE]]*ADNANPRIME[[#This Row],[PRIX UNITAIRE]])</f>
        <v>135000</v>
      </c>
      <c r="F185" s="28"/>
      <c r="G185" s="29">
        <f>+SUM(E$9:$E185)-SUM(F$9:$F185)</f>
        <v>12303000</v>
      </c>
    </row>
    <row r="186" spans="1:7" ht="28.8" x14ac:dyDescent="0.55000000000000004">
      <c r="A186" s="24">
        <v>45828</v>
      </c>
      <c r="B186" s="25" t="s">
        <v>403</v>
      </c>
      <c r="C186" s="26">
        <v>1</v>
      </c>
      <c r="D186" s="26">
        <v>50000</v>
      </c>
      <c r="E186" s="27">
        <f>+$I$2+(ADNANPRIME[[#This Row],[QUANTITE]]*ADNANPRIME[[#This Row],[PRIX UNITAIRE]])</f>
        <v>50000</v>
      </c>
      <c r="F186" s="28"/>
      <c r="G186" s="29">
        <f>+SUM(E$9:$E186)-SUM(F$9:$F186)</f>
        <v>12353000</v>
      </c>
    </row>
    <row r="187" spans="1:7" ht="28.8" x14ac:dyDescent="0.55000000000000004">
      <c r="A187" s="24">
        <v>45834</v>
      </c>
      <c r="B187" s="13" t="s">
        <v>700</v>
      </c>
      <c r="C187" s="26"/>
      <c r="D187" s="26"/>
      <c r="E187" s="27">
        <f>+$I$2+(ADNANPRIME[[#This Row],[QUANTITE]]*ADNANPRIME[[#This Row],[PRIX UNITAIRE]])</f>
        <v>0</v>
      </c>
      <c r="F187" s="28">
        <v>2000000</v>
      </c>
      <c r="G187" s="29">
        <f>+SUM(E$9:$E187)-SUM(F$9:$F187)</f>
        <v>10353000</v>
      </c>
    </row>
    <row r="188" spans="1:7" ht="28.8" x14ac:dyDescent="0.55000000000000004">
      <c r="A188" s="24">
        <v>45841</v>
      </c>
      <c r="B188" s="13" t="s">
        <v>776</v>
      </c>
      <c r="C188" s="26">
        <v>2</v>
      </c>
      <c r="D188" s="26">
        <v>25000</v>
      </c>
      <c r="E188" s="27">
        <f>+$I$2+(ADNANPRIME[[#This Row],[QUANTITE]]*ADNANPRIME[[#This Row],[PRIX UNITAIRE]])</f>
        <v>50000</v>
      </c>
      <c r="F188" s="28"/>
      <c r="G188" s="29">
        <f>+SUM(E$9:$E188)-SUM(F$9:$F188)</f>
        <v>10403000</v>
      </c>
    </row>
    <row r="189" spans="1:7" ht="28.8" x14ac:dyDescent="0.55000000000000004">
      <c r="A189" s="24">
        <v>45841</v>
      </c>
      <c r="B189" s="13" t="s">
        <v>423</v>
      </c>
      <c r="C189" s="26">
        <v>4</v>
      </c>
      <c r="D189" s="26">
        <v>10000</v>
      </c>
      <c r="E189" s="27">
        <f>+$I$2+(ADNANPRIME[[#This Row],[QUANTITE]]*ADNANPRIME[[#This Row],[PRIX UNITAIRE]])</f>
        <v>40000</v>
      </c>
      <c r="F189" s="14"/>
      <c r="G189" s="29">
        <f>+SUM(E$9:$E189)-SUM(F$9:$F189)</f>
        <v>10443000</v>
      </c>
    </row>
    <row r="190" spans="1:7" ht="28.8" x14ac:dyDescent="0.55000000000000004">
      <c r="A190" s="24">
        <v>45841</v>
      </c>
      <c r="B190" s="25" t="s">
        <v>2730</v>
      </c>
      <c r="C190" s="26">
        <v>4</v>
      </c>
      <c r="D190" s="26">
        <v>50000</v>
      </c>
      <c r="E190" s="27">
        <f>+$I$2+(ADNANPRIME[[#This Row],[QUANTITE]]*ADNANPRIME[[#This Row],[PRIX UNITAIRE]])</f>
        <v>200000</v>
      </c>
      <c r="F190" s="28"/>
      <c r="G190" s="29">
        <f>+SUM(E$9:$E190)-SUM(F$9:$F190)</f>
        <v>10643000</v>
      </c>
    </row>
    <row r="191" spans="1:7" ht="28.8" x14ac:dyDescent="0.55000000000000004">
      <c r="A191" s="24">
        <v>45855</v>
      </c>
      <c r="B191" s="13" t="s">
        <v>435</v>
      </c>
      <c r="C191" s="26">
        <v>1</v>
      </c>
      <c r="D191" s="26">
        <v>180000</v>
      </c>
      <c r="E191" s="27">
        <f>+$I$2+(ADNANPRIME[[#This Row],[QUANTITE]]*ADNANPRIME[[#This Row],[PRIX UNITAIRE]])</f>
        <v>180000</v>
      </c>
      <c r="F191" s="28"/>
      <c r="G191" s="29">
        <f>+SUM(E$9:$E191)-SUM(F$9:$F191)</f>
        <v>10823000</v>
      </c>
    </row>
    <row r="192" spans="1:7" ht="28.8" x14ac:dyDescent="0.55000000000000004">
      <c r="A192" s="24">
        <v>45873</v>
      </c>
      <c r="B192" s="13" t="s">
        <v>1090</v>
      </c>
      <c r="C192" s="26">
        <v>3</v>
      </c>
      <c r="D192" s="26">
        <v>135000</v>
      </c>
      <c r="E192" s="27">
        <f>+$I$2+(ADNANPRIME[[#This Row],[QUANTITE]]*ADNANPRIME[[#This Row],[PRIX UNITAIRE]])</f>
        <v>405000</v>
      </c>
      <c r="F192" s="28"/>
      <c r="G192" s="29">
        <f>+SUM(E$9:$E192)-SUM(F$9:$F192)</f>
        <v>11228000</v>
      </c>
    </row>
    <row r="193" spans="1:7" ht="28.8" x14ac:dyDescent="0.55000000000000004">
      <c r="A193" s="24">
        <v>45883</v>
      </c>
      <c r="B193" s="13" t="s">
        <v>403</v>
      </c>
      <c r="C193" s="26">
        <v>1</v>
      </c>
      <c r="D193" s="26">
        <v>65000</v>
      </c>
      <c r="E193" s="27">
        <f>+$I$2+(ADNANPRIME[[#This Row],[QUANTITE]]*ADNANPRIME[[#This Row],[PRIX UNITAIRE]])</f>
        <v>65000</v>
      </c>
      <c r="F193" s="28"/>
      <c r="G193" s="29">
        <f>+SUM(E$9:$E193)-SUM(F$9:$F193)</f>
        <v>11293000</v>
      </c>
    </row>
    <row r="194" spans="1:7" ht="28.8" x14ac:dyDescent="0.55000000000000004">
      <c r="A194" s="24">
        <v>45889</v>
      </c>
      <c r="B194" s="13" t="s">
        <v>2977</v>
      </c>
      <c r="C194" s="26">
        <v>1</v>
      </c>
      <c r="D194" s="26">
        <v>65000</v>
      </c>
      <c r="E194" s="27">
        <f>+$I$2+(ADNANPRIME[[#This Row],[QUANTITE]]*ADNANPRIME[[#This Row],[PRIX UNITAIRE]])</f>
        <v>65000</v>
      </c>
      <c r="F194" s="28"/>
      <c r="G194" s="29">
        <f>+SUM(E$9:$E194)-SUM(F$9:$F194)</f>
        <v>11358000</v>
      </c>
    </row>
    <row r="195" spans="1:7" ht="28.8" x14ac:dyDescent="0.55000000000000004">
      <c r="A195" s="24">
        <v>45974</v>
      </c>
      <c r="B195" s="13" t="s">
        <v>3226</v>
      </c>
      <c r="C195" s="26">
        <v>1</v>
      </c>
      <c r="D195" s="26">
        <v>45000</v>
      </c>
      <c r="E195" s="27">
        <f>+$I$2+(ADNANPRIME[[#This Row],[QUANTITE]]*ADNANPRIME[[#This Row],[PRIX UNITAIRE]])</f>
        <v>45000</v>
      </c>
      <c r="F195" s="28"/>
      <c r="G195" s="29">
        <f>+SUM(E$9:$E195)-SUM(F$9:$F195)</f>
        <v>11403000</v>
      </c>
    </row>
    <row r="196" spans="1:7" ht="28.8" x14ac:dyDescent="0.55000000000000004">
      <c r="A196" s="24">
        <v>45989</v>
      </c>
      <c r="B196" s="13" t="s">
        <v>3257</v>
      </c>
      <c r="C196" s="26">
        <v>1</v>
      </c>
      <c r="D196" s="26">
        <v>50000</v>
      </c>
      <c r="E196" s="27">
        <f>+$I$2+(ADNANPRIME[[#This Row],[QUANTITE]]*ADNANPRIME[[#This Row],[PRIX UNITAIRE]])</f>
        <v>50000</v>
      </c>
      <c r="F196" s="28"/>
      <c r="G196" s="29">
        <f>+SUM(E$9:$E196)-SUM(F$9:$F196)</f>
        <v>11453000</v>
      </c>
    </row>
    <row r="197" spans="1:7" ht="28.8" x14ac:dyDescent="0.55000000000000004">
      <c r="A197" s="24">
        <v>46009</v>
      </c>
      <c r="B197" s="13" t="s">
        <v>249</v>
      </c>
      <c r="C197" s="26">
        <v>3</v>
      </c>
      <c r="D197" s="26">
        <v>135000</v>
      </c>
      <c r="E197" s="27">
        <f>+$I$2+(ADNANPRIME[[#This Row],[QUANTITE]]*ADNANPRIME[[#This Row],[PRIX UNITAIRE]])</f>
        <v>405000</v>
      </c>
      <c r="F197" s="28"/>
      <c r="G197" s="29">
        <f>+SUM(E$9:$E197)-SUM(F$9:$F197)</f>
        <v>11858000</v>
      </c>
    </row>
    <row r="198" spans="1:7" ht="28.8" x14ac:dyDescent="0.55000000000000004">
      <c r="A198" s="24">
        <v>46009</v>
      </c>
      <c r="B198" s="13" t="s">
        <v>229</v>
      </c>
      <c r="C198" s="26">
        <v>4</v>
      </c>
      <c r="D198" s="26">
        <v>120000</v>
      </c>
      <c r="E198" s="27">
        <f>+$I$2+(ADNANPRIME[[#This Row],[QUANTITE]]*ADNANPRIME[[#This Row],[PRIX UNITAIRE]])</f>
        <v>480000</v>
      </c>
      <c r="F198" s="28"/>
      <c r="G198" s="29">
        <f>+SUM(E$9:$E198)-SUM(F$9:$F198)</f>
        <v>12338000</v>
      </c>
    </row>
    <row r="199" spans="1:7" ht="28.8" x14ac:dyDescent="0.55000000000000004">
      <c r="A199" s="24">
        <v>46042</v>
      </c>
      <c r="B199" s="13" t="s">
        <v>3248</v>
      </c>
      <c r="C199" s="26">
        <v>1</v>
      </c>
      <c r="D199" s="26">
        <v>0</v>
      </c>
      <c r="E199" s="27">
        <f>+$I$2+(ADNANPRIME[[#This Row],[QUANTITE]]*ADNANPRIME[[#This Row],[PRIX UNITAIRE]])</f>
        <v>0</v>
      </c>
      <c r="F199" s="28">
        <v>1500000</v>
      </c>
      <c r="G199" s="29">
        <f>+SUM(E$9:$E199)-SUM(F$9:$F199)</f>
        <v>10838000</v>
      </c>
    </row>
    <row r="200" spans="1:7" ht="28.8" x14ac:dyDescent="0.55000000000000004">
      <c r="A200" s="24">
        <v>46048</v>
      </c>
      <c r="B200" s="13" t="s">
        <v>622</v>
      </c>
      <c r="C200" s="26">
        <v>4</v>
      </c>
      <c r="D200" s="26">
        <v>135000</v>
      </c>
      <c r="E200" s="27">
        <f>+$I$2+(ADNANPRIME[[#This Row],[QUANTITE]]*ADNANPRIME[[#This Row],[PRIX UNITAIRE]])</f>
        <v>540000</v>
      </c>
      <c r="F200" s="28"/>
      <c r="G200" s="29">
        <f>+SUM(E$9:$E200)-SUM(F$9:$F200)</f>
        <v>11378000</v>
      </c>
    </row>
    <row r="201" spans="1:7" ht="28.8" x14ac:dyDescent="0.55000000000000004">
      <c r="A201" s="24">
        <v>46067</v>
      </c>
      <c r="B201" s="13" t="s">
        <v>3435</v>
      </c>
      <c r="C201" s="26">
        <v>2</v>
      </c>
      <c r="D201" s="26">
        <v>180000</v>
      </c>
      <c r="E201" s="27">
        <f>+$I$2+(ADNANPRIME[[#This Row],[QUANTITE]]*ADNANPRIME[[#This Row],[PRIX UNITAIRE]])</f>
        <v>360000</v>
      </c>
      <c r="F201" s="28"/>
      <c r="G201" s="29">
        <f>+SUM(E$9:$E201)-SUM(F$9:$F201)</f>
        <v>11738000</v>
      </c>
    </row>
    <row r="202" spans="1:7" ht="28.8" x14ac:dyDescent="0.55000000000000004">
      <c r="A202" s="24">
        <v>46069</v>
      </c>
      <c r="B202" s="13" t="s">
        <v>3436</v>
      </c>
      <c r="C202" s="26">
        <v>1</v>
      </c>
      <c r="D202" s="26">
        <v>135000</v>
      </c>
      <c r="E202" s="27">
        <f>+$I$2+(ADNANPRIME[[#This Row],[QUANTITE]]*ADNANPRIME[[#This Row],[PRIX UNITAIRE]])</f>
        <v>135000</v>
      </c>
      <c r="F202" s="28"/>
      <c r="G202" s="29">
        <f>+SUM(E$9:$E202)-SUM(F$9:$F202)</f>
        <v>11873000</v>
      </c>
    </row>
    <row r="203" spans="1:7" ht="28.8" x14ac:dyDescent="0.55000000000000004">
      <c r="A203" s="24"/>
      <c r="B203" s="25"/>
      <c r="C203" s="26"/>
      <c r="D203" s="26"/>
      <c r="E203" s="27">
        <f>+$I$2+(ADNANPRIME[[#This Row],[QUANTITE]]*ADNANPRIME[[#This Row],[PRIX UNITAIRE]])</f>
        <v>0</v>
      </c>
      <c r="F203" s="28"/>
      <c r="G203" s="29">
        <f>+SUM(E$9:$E203)-SUM(F$9:$F203)</f>
        <v>11873000</v>
      </c>
    </row>
    <row r="204" spans="1:7" ht="28.8" x14ac:dyDescent="0.55000000000000004">
      <c r="A204" s="24"/>
      <c r="B204" s="25"/>
      <c r="C204" s="26"/>
      <c r="D204" s="26"/>
      <c r="E204" s="27">
        <f>+$I$2+(ADNANPRIME[[#This Row],[QUANTITE]]*ADNANPRIME[[#This Row],[PRIX UNITAIRE]])</f>
        <v>0</v>
      </c>
      <c r="F204" s="28"/>
      <c r="G204" s="29">
        <f>+SUM(E$9:$E204)-SUM(F$9:$F204)</f>
        <v>11873000</v>
      </c>
    </row>
    <row r="205" spans="1:7" ht="28.8" x14ac:dyDescent="0.55000000000000004">
      <c r="A205" s="24"/>
      <c r="B205" s="25"/>
      <c r="C205" s="26"/>
      <c r="D205" s="26"/>
      <c r="E205" s="27">
        <f>+$I$2+(ADNANPRIME[[#This Row],[QUANTITE]]*ADNANPRIME[[#This Row],[PRIX UNITAIRE]])</f>
        <v>0</v>
      </c>
      <c r="F205" s="28"/>
      <c r="G205" s="29">
        <f>+SUM(E$9:$E205)-SUM(F$9:$F205)</f>
        <v>11873000</v>
      </c>
    </row>
    <row r="206" spans="1:7" ht="28.8" x14ac:dyDescent="0.55000000000000004">
      <c r="A206" s="24"/>
      <c r="B206" s="25"/>
      <c r="C206" s="26"/>
      <c r="D206" s="26"/>
      <c r="E206" s="27">
        <f>+$I$2+(ADNANPRIME[[#This Row],[QUANTITE]]*ADNANPRIME[[#This Row],[PRIX UNITAIRE]])</f>
        <v>0</v>
      </c>
      <c r="F206" s="28"/>
      <c r="G206" s="29">
        <f>+SUM(E$9:$E206)-SUM(F$9:$F206)</f>
        <v>11873000</v>
      </c>
    </row>
    <row r="207" spans="1:7" ht="28.8" x14ac:dyDescent="0.55000000000000004">
      <c r="A207" s="24"/>
      <c r="B207" s="25"/>
      <c r="C207" s="26"/>
      <c r="D207" s="26"/>
      <c r="E207" s="27">
        <f>+$I$2+(ADNANPRIME[[#This Row],[QUANTITE]]*ADNANPRIME[[#This Row],[PRIX UNITAIRE]])</f>
        <v>0</v>
      </c>
      <c r="F207" s="28"/>
      <c r="G207" s="29">
        <f>+SUM(E$9:$E207)-SUM(F$9:$F207)</f>
        <v>11873000</v>
      </c>
    </row>
    <row r="208" spans="1:7" ht="28.8" x14ac:dyDescent="0.55000000000000004">
      <c r="A208" s="24"/>
      <c r="B208" s="25"/>
      <c r="C208" s="26"/>
      <c r="D208" s="26"/>
      <c r="E208" s="27">
        <f>+$I$2+(ADNANPRIME[[#This Row],[QUANTITE]]*ADNANPRIME[[#This Row],[PRIX UNITAIRE]])</f>
        <v>0</v>
      </c>
      <c r="F208" s="28"/>
      <c r="G208" s="29">
        <f>+SUM(E$9:$E208)-SUM(F$9:$F208)</f>
        <v>11873000</v>
      </c>
    </row>
    <row r="209" spans="1:7" ht="28.8" x14ac:dyDescent="0.55000000000000004">
      <c r="A209" s="24"/>
      <c r="B209" s="25"/>
      <c r="C209" s="26"/>
      <c r="D209" s="26"/>
      <c r="E209" s="27">
        <f>+$I$2+(ADNANPRIME[[#This Row],[QUANTITE]]*ADNANPRIME[[#This Row],[PRIX UNITAIRE]])</f>
        <v>0</v>
      </c>
      <c r="F209" s="28"/>
      <c r="G209" s="29">
        <f>+SUM(E$9:$E209)-SUM(F$9:$F209)</f>
        <v>11873000</v>
      </c>
    </row>
    <row r="210" spans="1:7" ht="28.8" x14ac:dyDescent="0.55000000000000004">
      <c r="A210" s="24"/>
      <c r="B210" s="25"/>
      <c r="C210" s="26"/>
      <c r="D210" s="26"/>
      <c r="E210" s="27">
        <f>+$I$2+(ADNANPRIME[[#This Row],[QUANTITE]]*ADNANPRIME[[#This Row],[PRIX UNITAIRE]])</f>
        <v>0</v>
      </c>
      <c r="F210" s="28"/>
      <c r="G210" s="29">
        <f>+SUM(E$9:$E210)-SUM(F$9:$F210)</f>
        <v>11873000</v>
      </c>
    </row>
    <row r="211" spans="1:7" ht="28.8" x14ac:dyDescent="0.55000000000000004">
      <c r="A211" s="24"/>
      <c r="B211" s="25"/>
      <c r="C211" s="26"/>
      <c r="D211" s="26"/>
      <c r="E211" s="27">
        <f>+$I$2+(ADNANPRIME[[#This Row],[QUANTITE]]*ADNANPRIME[[#This Row],[PRIX UNITAIRE]])</f>
        <v>0</v>
      </c>
      <c r="F211" s="28"/>
      <c r="G211" s="29">
        <f>+SUM(E$9:$E211)-SUM(F$9:$F211)</f>
        <v>11873000</v>
      </c>
    </row>
    <row r="212" spans="1:7" ht="28.8" x14ac:dyDescent="0.55000000000000004">
      <c r="A212" s="24"/>
      <c r="B212" s="25"/>
      <c r="C212" s="26"/>
      <c r="D212" s="26"/>
      <c r="E212" s="27">
        <f>+$I$2+(ADNANPRIME[[#This Row],[QUANTITE]]*ADNANPRIME[[#This Row],[PRIX UNITAIRE]])</f>
        <v>0</v>
      </c>
      <c r="F212" s="28"/>
      <c r="G212" s="29">
        <f>+SUM(E$9:$E212)-SUM(F$9:$F212)</f>
        <v>11873000</v>
      </c>
    </row>
    <row r="213" spans="1:7" ht="28.8" x14ac:dyDescent="0.55000000000000004">
      <c r="A213" s="24"/>
      <c r="B213" s="25"/>
      <c r="C213" s="26"/>
      <c r="D213" s="26"/>
      <c r="E213" s="27">
        <f>+$I$2+(ADNANPRIME[[#This Row],[QUANTITE]]*ADNANPRIME[[#This Row],[PRIX UNITAIRE]])</f>
        <v>0</v>
      </c>
      <c r="F213" s="28"/>
      <c r="G213" s="29">
        <f>+SUM(E$9:$E213)-SUM(F$9:$F213)</f>
        <v>11873000</v>
      </c>
    </row>
    <row r="214" spans="1:7" ht="28.8" x14ac:dyDescent="0.55000000000000004">
      <c r="A214" s="24"/>
      <c r="B214" s="25"/>
      <c r="C214" s="26"/>
      <c r="D214" s="26"/>
      <c r="E214" s="27">
        <f>+$I$2+(ADNANPRIME[[#This Row],[QUANTITE]]*ADNANPRIME[[#This Row],[PRIX UNITAIRE]])</f>
        <v>0</v>
      </c>
      <c r="F214" s="28"/>
      <c r="G214" s="29">
        <f>+SUM(E$9:$E214)-SUM(F$9:$F214)</f>
        <v>11873000</v>
      </c>
    </row>
    <row r="215" spans="1:7" ht="28.8" x14ac:dyDescent="0.55000000000000004">
      <c r="A215" s="24"/>
      <c r="B215" s="25"/>
      <c r="C215" s="26"/>
      <c r="D215" s="26"/>
      <c r="E215" s="27">
        <f>+$I$2+(ADNANPRIME[[#This Row],[QUANTITE]]*ADNANPRIME[[#This Row],[PRIX UNITAIRE]])</f>
        <v>0</v>
      </c>
      <c r="F215" s="28"/>
      <c r="G215" s="29">
        <f>+SUM(E$9:$E215)-SUM(F$9:$F215)</f>
        <v>11873000</v>
      </c>
    </row>
    <row r="216" spans="1:7" ht="28.8" x14ac:dyDescent="0.55000000000000004">
      <c r="A216" s="24"/>
      <c r="B216" s="25"/>
      <c r="C216" s="26"/>
      <c r="D216" s="26"/>
      <c r="E216" s="27">
        <f>+$I$2+(ADNANPRIME[[#This Row],[QUANTITE]]*ADNANPRIME[[#This Row],[PRIX UNITAIRE]])</f>
        <v>0</v>
      </c>
      <c r="F216" s="28"/>
      <c r="G216" s="29">
        <f>+SUM(E$9:$E216)-SUM(F$9:$F216)</f>
        <v>11873000</v>
      </c>
    </row>
    <row r="217" spans="1:7" ht="28.8" x14ac:dyDescent="0.55000000000000004">
      <c r="A217" s="24"/>
      <c r="B217" s="25"/>
      <c r="C217" s="26"/>
      <c r="D217" s="26"/>
      <c r="E217" s="27">
        <f>+$I$2+(ADNANPRIME[[#This Row],[QUANTITE]]*ADNANPRIME[[#This Row],[PRIX UNITAIRE]])</f>
        <v>0</v>
      </c>
      <c r="F217" s="28"/>
      <c r="G217" s="29">
        <f>+SUM(E$9:$E217)-SUM(F$9:$F217)</f>
        <v>11873000</v>
      </c>
    </row>
    <row r="218" spans="1:7" ht="28.8" x14ac:dyDescent="0.55000000000000004">
      <c r="A218" s="24"/>
      <c r="B218" s="25"/>
      <c r="C218" s="26"/>
      <c r="D218" s="26"/>
      <c r="E218" s="27">
        <f>+$I$2+(ADNANPRIME[[#This Row],[QUANTITE]]*ADNANPRIME[[#This Row],[PRIX UNITAIRE]])</f>
        <v>0</v>
      </c>
      <c r="F218" s="28"/>
      <c r="G218" s="29">
        <f>+SUM(E$9:$E218)-SUM(F$9:$F218)</f>
        <v>11873000</v>
      </c>
    </row>
    <row r="219" spans="1:7" ht="28.8" x14ac:dyDescent="0.55000000000000004">
      <c r="A219" s="24"/>
      <c r="B219" s="25"/>
      <c r="C219" s="26"/>
      <c r="D219" s="26"/>
      <c r="E219" s="27">
        <f>+$I$2+(ADNANPRIME[[#This Row],[QUANTITE]]*ADNANPRIME[[#This Row],[PRIX UNITAIRE]])</f>
        <v>0</v>
      </c>
      <c r="F219" s="28"/>
      <c r="G219" s="29">
        <f>+SUM(E$9:$E219)-SUM(F$9:$F219)</f>
        <v>11873000</v>
      </c>
    </row>
    <row r="220" spans="1:7" ht="28.8" x14ac:dyDescent="0.55000000000000004">
      <c r="A220" s="24"/>
      <c r="B220" s="25"/>
      <c r="C220" s="26"/>
      <c r="D220" s="26"/>
      <c r="E220" s="27">
        <f>+$I$2+(ADNANPRIME[[#This Row],[QUANTITE]]*ADNANPRIME[[#This Row],[PRIX UNITAIRE]])</f>
        <v>0</v>
      </c>
      <c r="F220" s="28"/>
      <c r="G220" s="29">
        <f>+SUM(E$9:$E220)-SUM(F$9:$F220)</f>
        <v>11873000</v>
      </c>
    </row>
    <row r="221" spans="1:7" ht="28.8" x14ac:dyDescent="0.55000000000000004">
      <c r="A221" s="24"/>
      <c r="B221" s="25"/>
      <c r="C221" s="26"/>
      <c r="D221" s="26"/>
      <c r="E221" s="27">
        <f>+$I$2+(ADNANPRIME[[#This Row],[QUANTITE]]*ADNANPRIME[[#This Row],[PRIX UNITAIRE]])</f>
        <v>0</v>
      </c>
      <c r="F221" s="28"/>
      <c r="G221" s="29">
        <f>+SUM(E$9:$E221)-SUM(F$9:$F221)</f>
        <v>11873000</v>
      </c>
    </row>
    <row r="222" spans="1:7" ht="28.8" x14ac:dyDescent="0.55000000000000004">
      <c r="A222" s="24"/>
      <c r="B222" s="25"/>
      <c r="C222" s="26"/>
      <c r="D222" s="26"/>
      <c r="E222" s="27">
        <f>+$I$2+(ADNANPRIME[[#This Row],[QUANTITE]]*ADNANPRIME[[#This Row],[PRIX UNITAIRE]])</f>
        <v>0</v>
      </c>
      <c r="F222" s="28"/>
      <c r="G222" s="29">
        <f>+SUM(E$9:$E222)-SUM(F$9:$F222)</f>
        <v>11873000</v>
      </c>
    </row>
    <row r="223" spans="1:7" ht="28.8" x14ac:dyDescent="0.55000000000000004">
      <c r="A223" s="24"/>
      <c r="B223" s="25"/>
      <c r="C223" s="26"/>
      <c r="D223" s="26"/>
      <c r="E223" s="27">
        <f>+$I$2+(ADNANPRIME[[#This Row],[QUANTITE]]*ADNANPRIME[[#This Row],[PRIX UNITAIRE]])</f>
        <v>0</v>
      </c>
      <c r="F223" s="28"/>
      <c r="G223" s="29">
        <f>+SUM(E$9:$E223)-SUM(F$9:$F223)</f>
        <v>11873000</v>
      </c>
    </row>
    <row r="224" spans="1:7" ht="28.8" x14ac:dyDescent="0.55000000000000004">
      <c r="A224" s="24"/>
      <c r="B224" s="25"/>
      <c r="C224" s="26"/>
      <c r="D224" s="26"/>
      <c r="E224" s="27">
        <f>+$I$2+(ADNANPRIME[[#This Row],[QUANTITE]]*ADNANPRIME[[#This Row],[PRIX UNITAIRE]])</f>
        <v>0</v>
      </c>
      <c r="F224" s="28"/>
      <c r="G224" s="29">
        <f>+SUM(E$9:$E224)-SUM(F$9:$F224)</f>
        <v>11873000</v>
      </c>
    </row>
    <row r="225" spans="1:7" ht="28.8" x14ac:dyDescent="0.55000000000000004">
      <c r="A225" s="24"/>
      <c r="B225" s="25"/>
      <c r="C225" s="26"/>
      <c r="D225" s="26"/>
      <c r="E225" s="27">
        <f>+$I$2+(ADNANPRIME[[#This Row],[QUANTITE]]*ADNANPRIME[[#This Row],[PRIX UNITAIRE]])</f>
        <v>0</v>
      </c>
      <c r="F225" s="28"/>
      <c r="G225" s="29">
        <f>+SUM(E$9:$E225)-SUM(F$9:$F225)</f>
        <v>11873000</v>
      </c>
    </row>
    <row r="226" spans="1:7" ht="28.8" x14ac:dyDescent="0.55000000000000004">
      <c r="A226" s="24"/>
      <c r="B226" s="25"/>
      <c r="C226" s="26"/>
      <c r="D226" s="26"/>
      <c r="E226" s="27">
        <f>+$I$2+(ADNANPRIME[[#This Row],[QUANTITE]]*ADNANPRIME[[#This Row],[PRIX UNITAIRE]])</f>
        <v>0</v>
      </c>
      <c r="F226" s="28"/>
      <c r="G226" s="29">
        <f>+SUM(E$9:$E226)-SUM(F$9:$F226)</f>
        <v>11873000</v>
      </c>
    </row>
    <row r="227" spans="1:7" ht="28.8" x14ac:dyDescent="0.55000000000000004">
      <c r="A227" s="24"/>
      <c r="B227" s="25"/>
      <c r="C227" s="26"/>
      <c r="D227" s="26"/>
      <c r="E227" s="27">
        <f>+$I$2+(ADNANPRIME[[#This Row],[QUANTITE]]*ADNANPRIME[[#This Row],[PRIX UNITAIRE]])</f>
        <v>0</v>
      </c>
      <c r="F227" s="28"/>
      <c r="G227" s="29">
        <f>+SUM(E$9:$E227)-SUM(F$9:$F227)</f>
        <v>11873000</v>
      </c>
    </row>
    <row r="228" spans="1:7" ht="28.8" x14ac:dyDescent="0.55000000000000004">
      <c r="A228" s="24"/>
      <c r="B228" s="25"/>
      <c r="C228" s="26"/>
      <c r="D228" s="26"/>
      <c r="E228" s="27">
        <f>+$I$2+(ADNANPRIME[[#This Row],[QUANTITE]]*ADNANPRIME[[#This Row],[PRIX UNITAIRE]])</f>
        <v>0</v>
      </c>
      <c r="F228" s="28"/>
      <c r="G228" s="29">
        <f>+SUM(E$9:$E228)-SUM(F$9:$F228)</f>
        <v>11873000</v>
      </c>
    </row>
    <row r="229" spans="1:7" ht="28.8" x14ac:dyDescent="0.55000000000000004">
      <c r="A229" s="24"/>
      <c r="B229" s="25"/>
      <c r="C229" s="26"/>
      <c r="D229" s="26"/>
      <c r="E229" s="27">
        <f>+$I$2+(ADNANPRIME[[#This Row],[QUANTITE]]*ADNANPRIME[[#This Row],[PRIX UNITAIRE]])</f>
        <v>0</v>
      </c>
      <c r="F229" s="28"/>
      <c r="G229" s="29">
        <f>+SUM(E$9:$E229)-SUM(F$9:$F229)</f>
        <v>11873000</v>
      </c>
    </row>
    <row r="230" spans="1:7" ht="28.8" x14ac:dyDescent="0.55000000000000004">
      <c r="A230" s="24"/>
      <c r="B230" s="25"/>
      <c r="C230" s="26"/>
      <c r="D230" s="26"/>
      <c r="E230" s="27">
        <f>+$I$2+(ADNANPRIME[[#This Row],[QUANTITE]]*ADNANPRIME[[#This Row],[PRIX UNITAIRE]])</f>
        <v>0</v>
      </c>
      <c r="F230" s="28"/>
      <c r="G230" s="29">
        <f>+SUM(E$9:$E230)-SUM(F$9:$F230)</f>
        <v>11873000</v>
      </c>
    </row>
    <row r="231" spans="1:7" ht="28.8" x14ac:dyDescent="0.55000000000000004">
      <c r="A231" s="24"/>
      <c r="B231" s="25"/>
      <c r="C231" s="26"/>
      <c r="D231" s="26"/>
      <c r="E231" s="27">
        <f>+$I$2+(ADNANPRIME[[#This Row],[QUANTITE]]*ADNANPRIME[[#This Row],[PRIX UNITAIRE]])</f>
        <v>0</v>
      </c>
      <c r="F231" s="28"/>
      <c r="G231" s="29">
        <f>+SUM(E$9:$E231)-SUM(F$9:$F231)</f>
        <v>11873000</v>
      </c>
    </row>
    <row r="232" spans="1:7" ht="28.8" x14ac:dyDescent="0.55000000000000004">
      <c r="A232" s="24"/>
      <c r="B232" s="25"/>
      <c r="C232" s="26"/>
      <c r="D232" s="26"/>
      <c r="E232" s="27">
        <f>+$I$2+(ADNANPRIME[[#This Row],[QUANTITE]]*ADNANPRIME[[#This Row],[PRIX UNITAIRE]])</f>
        <v>0</v>
      </c>
      <c r="F232" s="28"/>
      <c r="G232" s="29">
        <f>+SUM(E$9:$E232)-SUM(F$9:$F232)</f>
        <v>11873000</v>
      </c>
    </row>
    <row r="233" spans="1:7" ht="28.8" x14ac:dyDescent="0.55000000000000004">
      <c r="A233" s="24"/>
      <c r="B233" s="25"/>
      <c r="C233" s="26"/>
      <c r="D233" s="26"/>
      <c r="E233" s="27">
        <f>+$I$2+(ADNANPRIME[[#This Row],[QUANTITE]]*ADNANPRIME[[#This Row],[PRIX UNITAIRE]])</f>
        <v>0</v>
      </c>
      <c r="F233" s="28"/>
      <c r="G233" s="29">
        <f>+SUM(E$9:$E233)-SUM(F$9:$F233)</f>
        <v>11873000</v>
      </c>
    </row>
    <row r="234" spans="1:7" ht="28.8" x14ac:dyDescent="0.55000000000000004">
      <c r="A234" s="24"/>
      <c r="B234" s="25"/>
      <c r="C234" s="26"/>
      <c r="D234" s="26"/>
      <c r="E234" s="27">
        <f>+$I$2+(ADNANPRIME[[#This Row],[QUANTITE]]*ADNANPRIME[[#This Row],[PRIX UNITAIRE]])</f>
        <v>0</v>
      </c>
      <c r="F234" s="28"/>
      <c r="G234" s="29">
        <f>+SUM(E$9:$E234)-SUM(F$9:$F234)</f>
        <v>11873000</v>
      </c>
    </row>
    <row r="235" spans="1:7" ht="28.8" x14ac:dyDescent="0.55000000000000004">
      <c r="A235" s="24"/>
      <c r="B235" s="25"/>
      <c r="C235" s="26"/>
      <c r="D235" s="26"/>
      <c r="E235" s="27">
        <f>+$I$2+(ADNANPRIME[[#This Row],[QUANTITE]]*ADNANPRIME[[#This Row],[PRIX UNITAIRE]])</f>
        <v>0</v>
      </c>
      <c r="F235" s="28"/>
      <c r="G235" s="29">
        <f>+SUM(E$9:$E235)-SUM(F$9:$F235)</f>
        <v>11873000</v>
      </c>
    </row>
    <row r="236" spans="1:7" ht="28.8" x14ac:dyDescent="0.55000000000000004">
      <c r="A236" s="12"/>
      <c r="B236" s="94"/>
      <c r="C236" s="95"/>
      <c r="D236" s="95"/>
      <c r="E236" s="93">
        <f>SUBTOTAL(109,ADNANPRIME[TOTAL MONTANT])</f>
        <v>38548000</v>
      </c>
      <c r="F236" s="93">
        <f>SUBTOTAL(109,ADNANPRIME[VERSEMENT])</f>
        <v>26675000</v>
      </c>
      <c r="G236" s="93">
        <f>SUBTOTAL(109,ADNANPRIME[SOLDE])</f>
        <v>1725363000</v>
      </c>
    </row>
  </sheetData>
  <sheetProtection selectLockedCells="1" autoFilter="0"/>
  <mergeCells count="1">
    <mergeCell ref="B6:C6"/>
  </mergeCells>
  <conditionalFormatting sqref="G4">
    <cfRule type="cellIs" dxfId="386" priority="2" operator="lessThan">
      <formula>0</formula>
    </cfRule>
    <cfRule type="cellIs" dxfId="385" priority="3" operator="greaterThan">
      <formula>0</formula>
    </cfRule>
  </conditionalFormatting>
  <conditionalFormatting sqref="B190:B235 B9:B187">
    <cfRule type="expression" dxfId="384" priority="5">
      <formula>$F9</formula>
    </cfRule>
  </conditionalFormatting>
  <conditionalFormatting sqref="B189">
    <cfRule type="expression" dxfId="383" priority="117">
      <formula>$F188</formula>
    </cfRule>
  </conditionalFormatting>
  <conditionalFormatting sqref="B188">
    <cfRule type="expression" dxfId="382" priority="118">
      <formula>#REF!</formula>
    </cfRule>
  </conditionalFormatting>
  <dataValidations count="1">
    <dataValidation type="date" operator="greaterThan" allowBlank="1" showInputMessage="1" showErrorMessage="1" error="VEILLEZ ENTRER UNE DATE VALIDE" sqref="A9:A235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I364"/>
  <sheetViews>
    <sheetView showGridLines="0" zoomScale="60" zoomScaleNormal="60" workbookViewId="0">
      <pane ySplit="8" topLeftCell="A133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4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0" style="1" hidden="1" customWidth="1"/>
    <col min="9" max="9" width="18.21875" style="1" bestFit="1" customWidth="1"/>
    <col min="10" max="16384" width="11.5546875" style="1"/>
  </cols>
  <sheetData>
    <row r="1" spans="1:9" x14ac:dyDescent="0.3">
      <c r="A1" s="122"/>
      <c r="B1" s="123"/>
      <c r="C1" s="128"/>
      <c r="D1" s="128"/>
      <c r="E1" s="128"/>
      <c r="F1" s="128"/>
      <c r="G1" s="128"/>
      <c r="I1" s="52">
        <f ca="1">+NOW()</f>
        <v>46102.571020717594</v>
      </c>
    </row>
    <row r="2" spans="1:9" ht="36" customHeight="1" thickBot="1" x14ac:dyDescent="0.35">
      <c r="A2" s="127"/>
      <c r="B2" s="128"/>
      <c r="C2" s="128"/>
      <c r="D2" s="128"/>
      <c r="E2" s="128"/>
      <c r="F2" s="128"/>
      <c r="G2" s="128"/>
      <c r="H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+SUM(REDA[TOTAL MONTANT])</f>
        <v>13896000</v>
      </c>
      <c r="F4" s="41">
        <f>+SUM(REDA[VERSEMENT])</f>
        <v>10266300</v>
      </c>
      <c r="G4" s="130">
        <f>+E4-F4</f>
        <v>3629700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712</v>
      </c>
      <c r="C6" s="169"/>
      <c r="D6" s="170" t="s">
        <v>3479</v>
      </c>
      <c r="E6" s="171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/>
      <c r="B9" s="13" t="s">
        <v>719</v>
      </c>
      <c r="C9" s="10">
        <v>1</v>
      </c>
      <c r="D9" s="10">
        <v>495000</v>
      </c>
      <c r="E9" s="7">
        <f>+$H$2+(REDA[[#This Row],[QUANTITE]]*REDA[[#This Row],[PRIX UNITAIRE]])</f>
        <v>495000</v>
      </c>
      <c r="F9" s="21">
        <v>0</v>
      </c>
      <c r="G9" s="6">
        <f>+SUM(E$9:$E9)-SUM(F$9:$F9)</f>
        <v>495000</v>
      </c>
    </row>
    <row r="10" spans="1:9" ht="28.8" x14ac:dyDescent="0.55000000000000004">
      <c r="A10" s="12">
        <v>44231</v>
      </c>
      <c r="B10" s="13" t="s">
        <v>720</v>
      </c>
      <c r="C10" s="10">
        <v>1</v>
      </c>
      <c r="D10" s="10">
        <v>60000</v>
      </c>
      <c r="E10" s="7">
        <f>+$H$2+(REDA[[#This Row],[QUANTITE]]*REDA[[#This Row],[PRIX UNITAIRE]])</f>
        <v>60000</v>
      </c>
      <c r="F10" s="21">
        <v>0</v>
      </c>
      <c r="G10" s="6">
        <f>+SUM(E$9:$E10)-SUM(F$9:$F10)</f>
        <v>555000</v>
      </c>
    </row>
    <row r="11" spans="1:9" ht="28.8" x14ac:dyDescent="0.55000000000000004">
      <c r="A11" s="12">
        <v>44224</v>
      </c>
      <c r="B11" s="13" t="s">
        <v>721</v>
      </c>
      <c r="C11" s="10">
        <v>2</v>
      </c>
      <c r="D11" s="10">
        <v>100000</v>
      </c>
      <c r="E11" s="7">
        <f>+$H$2+(REDA[[#This Row],[QUANTITE]]*REDA[[#This Row],[PRIX UNITAIRE]])</f>
        <v>200000</v>
      </c>
      <c r="F11" s="14">
        <v>0</v>
      </c>
      <c r="G11" s="6">
        <f>+SUM(E$9:$E11)-SUM(F$9:$F11)</f>
        <v>755000</v>
      </c>
    </row>
    <row r="12" spans="1:9" ht="28.8" x14ac:dyDescent="0.55000000000000004">
      <c r="A12" s="12">
        <v>44224</v>
      </c>
      <c r="B12" s="13" t="s">
        <v>722</v>
      </c>
      <c r="C12" s="10">
        <v>2</v>
      </c>
      <c r="D12" s="10">
        <v>100000</v>
      </c>
      <c r="E12" s="7">
        <f>+$H$2+(REDA[[#This Row],[QUANTITE]]*REDA[[#This Row],[PRIX UNITAIRE]])</f>
        <v>200000</v>
      </c>
      <c r="F12" s="14">
        <v>0</v>
      </c>
      <c r="G12" s="6">
        <f>+SUM(E$9:$E12)-SUM(F$9:$F12)</f>
        <v>955000</v>
      </c>
    </row>
    <row r="13" spans="1:9" ht="28.8" x14ac:dyDescent="0.55000000000000004">
      <c r="A13" s="12">
        <v>44275</v>
      </c>
      <c r="B13" s="13" t="s">
        <v>723</v>
      </c>
      <c r="C13" s="10">
        <v>2</v>
      </c>
      <c r="D13" s="10">
        <v>5000</v>
      </c>
      <c r="E13" s="7">
        <f>+$H$2+(REDA[[#This Row],[QUANTITE]]*REDA[[#This Row],[PRIX UNITAIRE]])</f>
        <v>10000</v>
      </c>
      <c r="F13" s="14">
        <v>0</v>
      </c>
      <c r="G13" s="6">
        <f>+SUM(E$9:$E13)-SUM(F$9:$F13)</f>
        <v>965000</v>
      </c>
    </row>
    <row r="14" spans="1:9" ht="28.8" x14ac:dyDescent="0.55000000000000004">
      <c r="A14" s="12">
        <v>44301</v>
      </c>
      <c r="B14" s="13" t="s">
        <v>721</v>
      </c>
      <c r="C14" s="10">
        <v>2</v>
      </c>
      <c r="D14" s="10">
        <v>100000</v>
      </c>
      <c r="E14" s="7">
        <f>+$H$2+(REDA[[#This Row],[QUANTITE]]*REDA[[#This Row],[PRIX UNITAIRE]])</f>
        <v>200000</v>
      </c>
      <c r="F14" s="14">
        <v>0</v>
      </c>
      <c r="G14" s="6">
        <f>+SUM(E$9:$E14)-SUM(F$9:$F14)</f>
        <v>1165000</v>
      </c>
    </row>
    <row r="15" spans="1:9" ht="28.8" x14ac:dyDescent="0.55000000000000004">
      <c r="A15" s="12">
        <v>44321</v>
      </c>
      <c r="B15" s="13" t="s">
        <v>724</v>
      </c>
      <c r="C15" s="10">
        <v>0</v>
      </c>
      <c r="D15" s="10">
        <v>0</v>
      </c>
      <c r="E15" s="7">
        <f>+$H$2+(REDA[[#This Row],[QUANTITE]]*REDA[[#This Row],[PRIX UNITAIRE]])</f>
        <v>0</v>
      </c>
      <c r="F15" s="14">
        <v>1165000</v>
      </c>
      <c r="G15" s="6">
        <f>+SUM(E$9:$E15)-SUM(F$9:$F15)</f>
        <v>0</v>
      </c>
    </row>
    <row r="16" spans="1:9" ht="28.8" x14ac:dyDescent="0.55000000000000004">
      <c r="A16" s="12">
        <v>44749</v>
      </c>
      <c r="B16" s="13" t="s">
        <v>725</v>
      </c>
      <c r="C16" s="10">
        <v>1</v>
      </c>
      <c r="D16" s="10">
        <v>75000</v>
      </c>
      <c r="E16" s="7">
        <f>+$H$2+(REDA[[#This Row],[QUANTITE]]*REDA[[#This Row],[PRIX UNITAIRE]])</f>
        <v>75000</v>
      </c>
      <c r="F16" s="14">
        <v>0</v>
      </c>
      <c r="G16" s="6">
        <f>+SUM(E$9:$E16)-SUM(F$9:$F16)</f>
        <v>75000</v>
      </c>
    </row>
    <row r="17" spans="1:7" ht="28.8" x14ac:dyDescent="0.55000000000000004">
      <c r="A17" s="12">
        <v>44881</v>
      </c>
      <c r="B17" s="13" t="s">
        <v>726</v>
      </c>
      <c r="C17" s="10">
        <v>2</v>
      </c>
      <c r="D17" s="10">
        <v>145000</v>
      </c>
      <c r="E17" s="7">
        <f>+$H$2+(REDA[[#This Row],[QUANTITE]]*REDA[[#This Row],[PRIX UNITAIRE]])</f>
        <v>290000</v>
      </c>
      <c r="F17" s="14">
        <v>0</v>
      </c>
      <c r="G17" s="6">
        <f>+SUM(E$9:$E17)-SUM(F$9:$F17)</f>
        <v>365000</v>
      </c>
    </row>
    <row r="18" spans="1:7" ht="28.8" x14ac:dyDescent="0.55000000000000004">
      <c r="A18" s="15"/>
      <c r="B18" s="16" t="s">
        <v>727</v>
      </c>
      <c r="C18" s="11">
        <v>1</v>
      </c>
      <c r="D18" s="11">
        <v>30000</v>
      </c>
      <c r="E18" s="9">
        <f>+$H$2+(REDA[[#This Row],[QUANTITE]]*REDA[[#This Row],[PRIX UNITAIRE]])</f>
        <v>30000</v>
      </c>
      <c r="F18" s="17">
        <v>0</v>
      </c>
      <c r="G18" s="8">
        <f>+SUM(E$9:$E18)-SUM(F$9:$F18)</f>
        <v>395000</v>
      </c>
    </row>
    <row r="19" spans="1:7" ht="28.8" x14ac:dyDescent="0.55000000000000004">
      <c r="A19" s="15"/>
      <c r="B19" s="16" t="s">
        <v>728</v>
      </c>
      <c r="C19" s="11">
        <v>1</v>
      </c>
      <c r="D19" s="11">
        <v>10000</v>
      </c>
      <c r="E19" s="9">
        <f>+$H$2+(REDA[[#This Row],[QUANTITE]]*REDA[[#This Row],[PRIX UNITAIRE]])</f>
        <v>10000</v>
      </c>
      <c r="F19" s="17">
        <v>0</v>
      </c>
      <c r="G19" s="8">
        <f>+SUM(E$9:$E19)-SUM(F$9:$F19)</f>
        <v>405000</v>
      </c>
    </row>
    <row r="20" spans="1:7" ht="28.8" x14ac:dyDescent="0.55000000000000004">
      <c r="A20" s="15"/>
      <c r="B20" s="16" t="s">
        <v>673</v>
      </c>
      <c r="C20" s="11">
        <v>1</v>
      </c>
      <c r="D20" s="11">
        <v>25000</v>
      </c>
      <c r="E20" s="9">
        <f>+$H$2+(REDA[[#This Row],[QUANTITE]]*REDA[[#This Row],[PRIX UNITAIRE]])</f>
        <v>25000</v>
      </c>
      <c r="F20" s="17">
        <v>0</v>
      </c>
      <c r="G20" s="8">
        <f>+SUM(E$9:$E20)-SUM(F$9:$F20)</f>
        <v>430000</v>
      </c>
    </row>
    <row r="21" spans="1:7" ht="28.8" x14ac:dyDescent="0.55000000000000004">
      <c r="A21" s="15"/>
      <c r="B21" s="16" t="s">
        <v>424</v>
      </c>
      <c r="C21" s="11">
        <v>1</v>
      </c>
      <c r="D21" s="11">
        <v>15000</v>
      </c>
      <c r="E21" s="9">
        <f>+$H$2+(REDA[[#This Row],[QUANTITE]]*REDA[[#This Row],[PRIX UNITAIRE]])</f>
        <v>15000</v>
      </c>
      <c r="F21" s="17">
        <v>0</v>
      </c>
      <c r="G21" s="8">
        <f>+SUM(E$9:$E21)-SUM(F$9:$F21)</f>
        <v>445000</v>
      </c>
    </row>
    <row r="22" spans="1:7" ht="28.8" x14ac:dyDescent="0.55000000000000004">
      <c r="A22" s="15">
        <v>45256</v>
      </c>
      <c r="B22" s="16" t="s">
        <v>724</v>
      </c>
      <c r="C22" s="11">
        <v>1</v>
      </c>
      <c r="D22" s="11">
        <v>0</v>
      </c>
      <c r="E22" s="9">
        <f>+$H$2+(REDA[[#This Row],[QUANTITE]]*REDA[[#This Row],[PRIX UNITAIRE]])</f>
        <v>0</v>
      </c>
      <c r="F22" s="17">
        <v>445000</v>
      </c>
      <c r="G22" s="8">
        <f>+SUM(E$9:$E22)-SUM(F$9:$F22)</f>
        <v>0</v>
      </c>
    </row>
    <row r="23" spans="1:7" ht="28.8" x14ac:dyDescent="0.55000000000000004">
      <c r="A23" s="15">
        <v>44584</v>
      </c>
      <c r="B23" s="16" t="s">
        <v>729</v>
      </c>
      <c r="C23" s="11">
        <v>1</v>
      </c>
      <c r="D23" s="11">
        <v>100000</v>
      </c>
      <c r="E23" s="9">
        <f>+$H$2+(REDA[[#This Row],[QUANTITE]]*REDA[[#This Row],[PRIX UNITAIRE]])</f>
        <v>100000</v>
      </c>
      <c r="F23" s="17"/>
      <c r="G23" s="8">
        <f>+SUM(E$9:$E23)-SUM(F$9:$F23)</f>
        <v>100000</v>
      </c>
    </row>
    <row r="24" spans="1:7" ht="28.8" x14ac:dyDescent="0.55000000000000004">
      <c r="A24" s="15"/>
      <c r="B24" s="16" t="s">
        <v>730</v>
      </c>
      <c r="C24" s="11">
        <v>1</v>
      </c>
      <c r="D24" s="11">
        <v>30000</v>
      </c>
      <c r="E24" s="9">
        <f>+$H$2+(REDA[[#This Row],[QUANTITE]]*REDA[[#This Row],[PRIX UNITAIRE]])</f>
        <v>30000</v>
      </c>
      <c r="F24" s="17"/>
      <c r="G24" s="8">
        <f>+SUM(E$9:$E24)-SUM(F$9:$F24)</f>
        <v>130000</v>
      </c>
    </row>
    <row r="25" spans="1:7" ht="28.8" x14ac:dyDescent="0.55000000000000004">
      <c r="A25" s="15"/>
      <c r="B25" s="16" t="s">
        <v>731</v>
      </c>
      <c r="C25" s="11">
        <v>2</v>
      </c>
      <c r="D25" s="11">
        <v>90000</v>
      </c>
      <c r="E25" s="9">
        <f>+$H$2+(REDA[[#This Row],[QUANTITE]]*REDA[[#This Row],[PRIX UNITAIRE]])</f>
        <v>180000</v>
      </c>
      <c r="F25" s="17"/>
      <c r="G25" s="8">
        <f>+SUM(E$9:$E25)-SUM(F$9:$F25)</f>
        <v>310000</v>
      </c>
    </row>
    <row r="26" spans="1:7" ht="28.8" x14ac:dyDescent="0.55000000000000004">
      <c r="A26" s="15">
        <v>44958</v>
      </c>
      <c r="B26" s="16" t="s">
        <v>724</v>
      </c>
      <c r="C26" s="11">
        <v>1</v>
      </c>
      <c r="D26" s="11">
        <v>0</v>
      </c>
      <c r="E26" s="9">
        <f>+$H$2+(REDA[[#This Row],[QUANTITE]]*REDA[[#This Row],[PRIX UNITAIRE]])</f>
        <v>0</v>
      </c>
      <c r="F26" s="17">
        <v>310000</v>
      </c>
      <c r="G26" s="8">
        <f>+SUM(E$9:$E26)-SUM(F$9:$F26)</f>
        <v>0</v>
      </c>
    </row>
    <row r="27" spans="1:7" ht="28.8" x14ac:dyDescent="0.55000000000000004">
      <c r="A27" s="15">
        <v>44994</v>
      </c>
      <c r="B27" s="16" t="s">
        <v>732</v>
      </c>
      <c r="C27" s="11">
        <v>2</v>
      </c>
      <c r="D27" s="11">
        <v>50000</v>
      </c>
      <c r="E27" s="9">
        <f>+$H$2+(REDA[[#This Row],[QUANTITE]]*REDA[[#This Row],[PRIX UNITAIRE]])</f>
        <v>100000</v>
      </c>
      <c r="F27" s="17"/>
      <c r="G27" s="8">
        <f>+SUM(E$9:$E27)-SUM(F$9:$F27)</f>
        <v>100000</v>
      </c>
    </row>
    <row r="28" spans="1:7" ht="28.8" x14ac:dyDescent="0.55000000000000004">
      <c r="A28" s="15">
        <v>45007</v>
      </c>
      <c r="B28" s="16" t="s">
        <v>733</v>
      </c>
      <c r="C28" s="11">
        <v>4</v>
      </c>
      <c r="D28" s="11">
        <v>12500</v>
      </c>
      <c r="E28" s="9">
        <f>+$H$2+(REDA[[#This Row],[QUANTITE]]*REDA[[#This Row],[PRIX UNITAIRE]])</f>
        <v>50000</v>
      </c>
      <c r="F28" s="17"/>
      <c r="G28" s="8">
        <f>+SUM(E$9:$E28)-SUM(F$9:$F28)</f>
        <v>150000</v>
      </c>
    </row>
    <row r="29" spans="1:7" ht="28.8" x14ac:dyDescent="0.55000000000000004">
      <c r="A29" s="15">
        <v>45020</v>
      </c>
      <c r="B29" s="16" t="s">
        <v>734</v>
      </c>
      <c r="C29" s="11">
        <v>2</v>
      </c>
      <c r="D29" s="11">
        <v>50000</v>
      </c>
      <c r="E29" s="9">
        <f>+$H$2+(REDA[[#This Row],[QUANTITE]]*REDA[[#This Row],[PRIX UNITAIRE]])</f>
        <v>100000</v>
      </c>
      <c r="F29" s="17"/>
      <c r="G29" s="8">
        <f>+SUM(E$9:$E29)-SUM(F$9:$F29)</f>
        <v>250000</v>
      </c>
    </row>
    <row r="30" spans="1:7" ht="28.8" x14ac:dyDescent="0.55000000000000004">
      <c r="A30" s="15">
        <v>45024</v>
      </c>
      <c r="B30" s="16" t="s">
        <v>735</v>
      </c>
      <c r="C30" s="11">
        <v>2</v>
      </c>
      <c r="D30" s="11">
        <v>50000</v>
      </c>
      <c r="E30" s="9">
        <f>+$H$2+(REDA[[#This Row],[QUANTITE]]*REDA[[#This Row],[PRIX UNITAIRE]])</f>
        <v>100000</v>
      </c>
      <c r="F30" s="17"/>
      <c r="G30" s="8">
        <f>+SUM(E$9:$E30)-SUM(F$9:$F30)</f>
        <v>350000</v>
      </c>
    </row>
    <row r="31" spans="1:7" ht="28.8" x14ac:dyDescent="0.55000000000000004">
      <c r="A31" s="15">
        <v>45029</v>
      </c>
      <c r="B31" s="16" t="s">
        <v>736</v>
      </c>
      <c r="C31" s="11">
        <v>1</v>
      </c>
      <c r="D31" s="11">
        <v>80000</v>
      </c>
      <c r="E31" s="9">
        <f>+$H$2+(REDA[[#This Row],[QUANTITE]]*REDA[[#This Row],[PRIX UNITAIRE]])</f>
        <v>80000</v>
      </c>
      <c r="F31" s="17"/>
      <c r="G31" s="8">
        <f>+SUM(E$9:$E31)-SUM(F$9:$F31)</f>
        <v>430000</v>
      </c>
    </row>
    <row r="32" spans="1:7" ht="28.8" x14ac:dyDescent="0.55000000000000004">
      <c r="A32" s="15">
        <v>45033</v>
      </c>
      <c r="B32" s="16" t="s">
        <v>736</v>
      </c>
      <c r="C32" s="11">
        <v>1</v>
      </c>
      <c r="D32" s="11">
        <v>80000</v>
      </c>
      <c r="E32" s="9">
        <f>+$H$2+(REDA[[#This Row],[QUANTITE]]*REDA[[#This Row],[PRIX UNITAIRE]])</f>
        <v>80000</v>
      </c>
      <c r="F32" s="17"/>
      <c r="G32" s="8">
        <f>+SUM(E$9:$E32)-SUM(F$9:$F32)</f>
        <v>510000</v>
      </c>
    </row>
    <row r="33" spans="1:7" ht="28.8" x14ac:dyDescent="0.55000000000000004">
      <c r="A33" s="15">
        <v>45036</v>
      </c>
      <c r="B33" s="16" t="s">
        <v>737</v>
      </c>
      <c r="C33" s="11">
        <v>1</v>
      </c>
      <c r="D33" s="11">
        <v>0</v>
      </c>
      <c r="E33" s="9">
        <f>+$H$2+(REDA[[#This Row],[QUANTITE]]*REDA[[#This Row],[PRIX UNITAIRE]])</f>
        <v>0</v>
      </c>
      <c r="F33" s="17">
        <v>510000</v>
      </c>
      <c r="G33" s="8">
        <f>+SUM(E$9:$E33)-SUM(F$9:$F33)</f>
        <v>0</v>
      </c>
    </row>
    <row r="34" spans="1:7" ht="28.8" x14ac:dyDescent="0.55000000000000004">
      <c r="A34" s="15">
        <v>45142</v>
      </c>
      <c r="B34" s="16" t="s">
        <v>738</v>
      </c>
      <c r="C34" s="11">
        <v>1</v>
      </c>
      <c r="D34" s="11">
        <v>70000</v>
      </c>
      <c r="E34" s="9">
        <f>+$H$2+(REDA[[#This Row],[QUANTITE]]*REDA[[#This Row],[PRIX UNITAIRE]])</f>
        <v>70000</v>
      </c>
      <c r="F34" s="17"/>
      <c r="G34" s="8">
        <f>+SUM(E$9:$E34)-SUM(F$9:$F34)</f>
        <v>70000</v>
      </c>
    </row>
    <row r="35" spans="1:7" ht="28.8" x14ac:dyDescent="0.55000000000000004">
      <c r="A35" s="15">
        <v>45159</v>
      </c>
      <c r="B35" s="16" t="s">
        <v>739</v>
      </c>
      <c r="C35" s="11">
        <v>2</v>
      </c>
      <c r="D35" s="11">
        <v>50000</v>
      </c>
      <c r="E35" s="9">
        <f>+$H$2+(REDA[[#This Row],[QUANTITE]]*REDA[[#This Row],[PRIX UNITAIRE]])</f>
        <v>100000</v>
      </c>
      <c r="F35" s="17"/>
      <c r="G35" s="8">
        <f>+SUM(E$9:$E35)-SUM(F$9:$F35)</f>
        <v>170000</v>
      </c>
    </row>
    <row r="36" spans="1:7" ht="28.8" x14ac:dyDescent="0.55000000000000004">
      <c r="A36" s="15">
        <v>45182</v>
      </c>
      <c r="B36" s="16" t="s">
        <v>740</v>
      </c>
      <c r="C36" s="11">
        <v>2</v>
      </c>
      <c r="D36" s="11">
        <v>45000</v>
      </c>
      <c r="E36" s="9">
        <f>+$H$2+(REDA[[#This Row],[QUANTITE]]*REDA[[#This Row],[PRIX UNITAIRE]])</f>
        <v>90000</v>
      </c>
      <c r="F36" s="17"/>
      <c r="G36" s="8">
        <f>+SUM(E$9:$E36)-SUM(F$9:$F36)</f>
        <v>260000</v>
      </c>
    </row>
    <row r="37" spans="1:7" ht="28.8" x14ac:dyDescent="0.55000000000000004">
      <c r="A37" s="15">
        <v>45191</v>
      </c>
      <c r="B37" s="16" t="s">
        <v>741</v>
      </c>
      <c r="C37" s="11">
        <v>2</v>
      </c>
      <c r="D37" s="11">
        <v>80000</v>
      </c>
      <c r="E37" s="9">
        <f>+$H$2+(REDA[[#This Row],[QUANTITE]]*REDA[[#This Row],[PRIX UNITAIRE]])</f>
        <v>160000</v>
      </c>
      <c r="F37" s="17"/>
      <c r="G37" s="8">
        <f>+SUM(E$9:$E37)-SUM(F$9:$F37)</f>
        <v>420000</v>
      </c>
    </row>
    <row r="38" spans="1:7" ht="28.8" x14ac:dyDescent="0.55000000000000004">
      <c r="A38" s="15"/>
      <c r="B38" s="16" t="s">
        <v>742</v>
      </c>
      <c r="C38" s="11">
        <v>2</v>
      </c>
      <c r="D38" s="11">
        <v>45000</v>
      </c>
      <c r="E38" s="9">
        <f>+$H$2+(REDA[[#This Row],[QUANTITE]]*REDA[[#This Row],[PRIX UNITAIRE]])</f>
        <v>90000</v>
      </c>
      <c r="F38" s="17"/>
      <c r="G38" s="8">
        <f>+SUM(E$9:$E38)-SUM(F$9:$F38)</f>
        <v>510000</v>
      </c>
    </row>
    <row r="39" spans="1:7" ht="28.8" x14ac:dyDescent="0.55000000000000004">
      <c r="A39" s="15">
        <v>45149</v>
      </c>
      <c r="B39" s="16" t="s">
        <v>743</v>
      </c>
      <c r="C39" s="11">
        <v>2</v>
      </c>
      <c r="D39" s="11">
        <v>70000</v>
      </c>
      <c r="E39" s="9">
        <f>+$H$2+(REDA[[#This Row],[QUANTITE]]*REDA[[#This Row],[PRIX UNITAIRE]])</f>
        <v>140000</v>
      </c>
      <c r="F39" s="17"/>
      <c r="G39" s="8">
        <f>+SUM(E$9:$E39)-SUM(F$9:$F39)</f>
        <v>650000</v>
      </c>
    </row>
    <row r="40" spans="1:7" ht="28.8" x14ac:dyDescent="0.55000000000000004">
      <c r="A40" s="15">
        <v>45184</v>
      </c>
      <c r="B40" s="16" t="s">
        <v>744</v>
      </c>
      <c r="C40" s="11">
        <v>1</v>
      </c>
      <c r="D40" s="11">
        <v>70000</v>
      </c>
      <c r="E40" s="9">
        <f>+$H$2+(REDA[[#This Row],[QUANTITE]]*REDA[[#This Row],[PRIX UNITAIRE]])</f>
        <v>70000</v>
      </c>
      <c r="F40" s="17"/>
      <c r="G40" s="8">
        <f>+SUM(E$9:$E40)-SUM(F$9:$F40)</f>
        <v>720000</v>
      </c>
    </row>
    <row r="41" spans="1:7" ht="28.8" x14ac:dyDescent="0.55000000000000004">
      <c r="A41" s="15">
        <v>45092</v>
      </c>
      <c r="B41" s="16" t="s">
        <v>745</v>
      </c>
      <c r="C41" s="11">
        <v>2</v>
      </c>
      <c r="D41" s="11">
        <v>50000</v>
      </c>
      <c r="E41" s="9">
        <f>+$H$2+(REDA[[#This Row],[QUANTITE]]*REDA[[#This Row],[PRIX UNITAIRE]])</f>
        <v>100000</v>
      </c>
      <c r="F41" s="17"/>
      <c r="G41" s="8">
        <f>+SUM(E$9:$E41)-SUM(F$9:$F41)</f>
        <v>820000</v>
      </c>
    </row>
    <row r="42" spans="1:7" ht="28.8" x14ac:dyDescent="0.55000000000000004">
      <c r="A42" s="15"/>
      <c r="B42" s="16" t="s">
        <v>600</v>
      </c>
      <c r="C42" s="11">
        <v>1</v>
      </c>
      <c r="D42" s="11">
        <v>0</v>
      </c>
      <c r="E42" s="9">
        <f>+$H$2+(REDA[[#This Row],[QUANTITE]]*REDA[[#This Row],[PRIX UNITAIRE]])</f>
        <v>0</v>
      </c>
      <c r="F42" s="17">
        <v>820000</v>
      </c>
      <c r="G42" s="8">
        <f>+SUM(E$9:$E42)-SUM(F$9:$F42)</f>
        <v>0</v>
      </c>
    </row>
    <row r="43" spans="1:7" ht="28.8" x14ac:dyDescent="0.55000000000000004">
      <c r="A43" s="15">
        <v>45224</v>
      </c>
      <c r="B43" s="16" t="s">
        <v>216</v>
      </c>
      <c r="C43" s="11">
        <v>2</v>
      </c>
      <c r="D43" s="11">
        <v>45000</v>
      </c>
      <c r="E43" s="9">
        <f>+$H$2+(REDA[[#This Row],[QUANTITE]]*REDA[[#This Row],[PRIX UNITAIRE]])</f>
        <v>90000</v>
      </c>
      <c r="F43" s="17"/>
      <c r="G43" s="8">
        <f>+SUM(E$9:$E43)-SUM(F$9:$F43)</f>
        <v>90000</v>
      </c>
    </row>
    <row r="44" spans="1:7" ht="28.8" x14ac:dyDescent="0.55000000000000004">
      <c r="A44" s="15">
        <v>45234</v>
      </c>
      <c r="B44" s="16" t="s">
        <v>188</v>
      </c>
      <c r="C44" s="11">
        <v>3</v>
      </c>
      <c r="D44" s="11">
        <v>85000</v>
      </c>
      <c r="E44" s="9">
        <f>+$H$2+(REDA[[#This Row],[QUANTITE]]*REDA[[#This Row],[PRIX UNITAIRE]])</f>
        <v>255000</v>
      </c>
      <c r="F44" s="17"/>
      <c r="G44" s="8">
        <f>+SUM(E$9:$E44)-SUM(F$9:$F44)</f>
        <v>345000</v>
      </c>
    </row>
    <row r="45" spans="1:7" ht="28.8" x14ac:dyDescent="0.55000000000000004">
      <c r="A45" s="15">
        <v>45246</v>
      </c>
      <c r="B45" s="16" t="s">
        <v>746</v>
      </c>
      <c r="C45" s="11">
        <v>2</v>
      </c>
      <c r="D45" s="11">
        <v>135000</v>
      </c>
      <c r="E45" s="9">
        <f>+$H$2+(REDA[[#This Row],[QUANTITE]]*REDA[[#This Row],[PRIX UNITAIRE]])</f>
        <v>270000</v>
      </c>
      <c r="F45" s="17"/>
      <c r="G45" s="8">
        <f>+SUM(E$9:$E45)-SUM(F$9:$F45)</f>
        <v>615000</v>
      </c>
    </row>
    <row r="46" spans="1:7" ht="28.8" x14ac:dyDescent="0.55000000000000004">
      <c r="A46" s="15">
        <v>45265</v>
      </c>
      <c r="B46" s="16" t="s">
        <v>745</v>
      </c>
      <c r="C46" s="11">
        <v>2</v>
      </c>
      <c r="D46" s="11">
        <v>60000</v>
      </c>
      <c r="E46" s="9">
        <f>+$H$2+(REDA[[#This Row],[QUANTITE]]*REDA[[#This Row],[PRIX UNITAIRE]])</f>
        <v>120000</v>
      </c>
      <c r="F46" s="17"/>
      <c r="G46" s="8">
        <f>+SUM(E$9:$E46)-SUM(F$9:$F46)</f>
        <v>735000</v>
      </c>
    </row>
    <row r="47" spans="1:7" ht="28.8" x14ac:dyDescent="0.55000000000000004">
      <c r="A47" s="15"/>
      <c r="B47" s="16" t="s">
        <v>747</v>
      </c>
      <c r="C47" s="11">
        <v>1</v>
      </c>
      <c r="D47" s="11">
        <v>35000</v>
      </c>
      <c r="E47" s="9">
        <f>+$H$2+(REDA[[#This Row],[QUANTITE]]*REDA[[#This Row],[PRIX UNITAIRE]])</f>
        <v>35000</v>
      </c>
      <c r="F47" s="17"/>
      <c r="G47" s="8">
        <f>+SUM(E$9:$E47)-SUM(F$9:$F47)</f>
        <v>770000</v>
      </c>
    </row>
    <row r="48" spans="1:7" ht="28.8" x14ac:dyDescent="0.55000000000000004">
      <c r="A48" s="15">
        <v>45276</v>
      </c>
      <c r="B48" s="16" t="s">
        <v>748</v>
      </c>
      <c r="C48" s="11">
        <v>2</v>
      </c>
      <c r="D48" s="11">
        <v>60000</v>
      </c>
      <c r="E48" s="9">
        <f>+$H$2+(REDA[[#This Row],[QUANTITE]]*REDA[[#This Row],[PRIX UNITAIRE]])</f>
        <v>120000</v>
      </c>
      <c r="F48" s="17"/>
      <c r="G48" s="8">
        <f>+SUM(E$9:$E48)-SUM(F$9:$F48)</f>
        <v>890000</v>
      </c>
    </row>
    <row r="49" spans="1:7" ht="28.8" x14ac:dyDescent="0.55000000000000004">
      <c r="A49" s="15">
        <v>45282</v>
      </c>
      <c r="B49" s="16" t="s">
        <v>749</v>
      </c>
      <c r="C49" s="11">
        <v>2</v>
      </c>
      <c r="D49" s="11">
        <v>90000</v>
      </c>
      <c r="E49" s="9">
        <f>+$H$2+(REDA[[#This Row],[QUANTITE]]*REDA[[#This Row],[PRIX UNITAIRE]])</f>
        <v>180000</v>
      </c>
      <c r="F49" s="17"/>
      <c r="G49" s="8">
        <f>+SUM(E$9:$E49)-SUM(F$9:$F49)</f>
        <v>1070000</v>
      </c>
    </row>
    <row r="50" spans="1:7" ht="28.8" x14ac:dyDescent="0.55000000000000004">
      <c r="A50" s="15">
        <v>45294</v>
      </c>
      <c r="B50" s="16" t="s">
        <v>750</v>
      </c>
      <c r="C50" s="11">
        <v>2</v>
      </c>
      <c r="D50" s="11">
        <v>45000</v>
      </c>
      <c r="E50" s="9">
        <f>+$H$2+(REDA[[#This Row],[QUANTITE]]*REDA[[#This Row],[PRIX UNITAIRE]])</f>
        <v>90000</v>
      </c>
      <c r="F50" s="17"/>
      <c r="G50" s="8">
        <f>+SUM(E$9:$E50)-SUM(F$9:$F50)</f>
        <v>1160000</v>
      </c>
    </row>
    <row r="51" spans="1:7" ht="28.8" x14ac:dyDescent="0.55000000000000004">
      <c r="A51" s="15">
        <v>45320</v>
      </c>
      <c r="B51" s="16" t="s">
        <v>188</v>
      </c>
      <c r="C51" s="11">
        <v>2</v>
      </c>
      <c r="D51" s="11">
        <v>85000</v>
      </c>
      <c r="E51" s="9">
        <f>+$H$2+(REDA[[#This Row],[QUANTITE]]*REDA[[#This Row],[PRIX UNITAIRE]])</f>
        <v>170000</v>
      </c>
      <c r="F51" s="17"/>
      <c r="G51" s="8">
        <f>+SUM(E$9:$E51)-SUM(F$9:$F51)</f>
        <v>1330000</v>
      </c>
    </row>
    <row r="52" spans="1:7" ht="28.8" x14ac:dyDescent="0.55000000000000004">
      <c r="A52" s="15">
        <v>45320</v>
      </c>
      <c r="B52" s="16" t="s">
        <v>68</v>
      </c>
      <c r="C52" s="11">
        <v>1</v>
      </c>
      <c r="D52" s="11">
        <v>0</v>
      </c>
      <c r="E52" s="9">
        <f>+$H$2+(REDA[[#This Row],[QUANTITE]]*REDA[[#This Row],[PRIX UNITAIRE]])</f>
        <v>0</v>
      </c>
      <c r="F52" s="17">
        <v>1330000</v>
      </c>
      <c r="G52" s="8">
        <f>+SUM(E$9:$E52)-SUM(F$9:$F52)</f>
        <v>0</v>
      </c>
    </row>
    <row r="53" spans="1:7" ht="28.8" x14ac:dyDescent="0.55000000000000004">
      <c r="A53" s="15">
        <v>45341</v>
      </c>
      <c r="B53" s="16" t="s">
        <v>751</v>
      </c>
      <c r="C53" s="11">
        <v>2</v>
      </c>
      <c r="D53" s="11">
        <v>50000</v>
      </c>
      <c r="E53" s="9">
        <f>+$H$2+(REDA[[#This Row],[QUANTITE]]*REDA[[#This Row],[PRIX UNITAIRE]])</f>
        <v>100000</v>
      </c>
      <c r="F53" s="17"/>
      <c r="G53" s="8">
        <f>+SUM(E$9:$E53)-SUM(F$9:$F53)</f>
        <v>100000</v>
      </c>
    </row>
    <row r="54" spans="1:7" ht="28.8" x14ac:dyDescent="0.55000000000000004">
      <c r="A54" s="15">
        <v>45342</v>
      </c>
      <c r="B54" s="16" t="s">
        <v>752</v>
      </c>
      <c r="C54" s="11">
        <v>2</v>
      </c>
      <c r="D54" s="11">
        <v>50000</v>
      </c>
      <c r="E54" s="9">
        <f>+$H$2+(REDA[[#This Row],[QUANTITE]]*REDA[[#This Row],[PRIX UNITAIRE]])</f>
        <v>100000</v>
      </c>
      <c r="F54" s="17"/>
      <c r="G54" s="8">
        <f>+SUM(E$9:$E54)-SUM(F$9:$F54)</f>
        <v>200000</v>
      </c>
    </row>
    <row r="55" spans="1:7" ht="28.8" x14ac:dyDescent="0.55000000000000004">
      <c r="A55" s="15">
        <v>45372</v>
      </c>
      <c r="B55" s="16" t="s">
        <v>725</v>
      </c>
      <c r="C55" s="11">
        <v>4</v>
      </c>
      <c r="D55" s="11">
        <v>65000</v>
      </c>
      <c r="E55" s="9">
        <f>+$H$2+(REDA[[#This Row],[QUANTITE]]*REDA[[#This Row],[PRIX UNITAIRE]])</f>
        <v>260000</v>
      </c>
      <c r="F55" s="17"/>
      <c r="G55" s="8">
        <f>+SUM(E$9:$E55)-SUM(F$9:$F55)</f>
        <v>460000</v>
      </c>
    </row>
    <row r="56" spans="1:7" ht="28.8" x14ac:dyDescent="0.55000000000000004">
      <c r="A56" s="15">
        <v>45377</v>
      </c>
      <c r="B56" s="16" t="s">
        <v>753</v>
      </c>
      <c r="C56" s="11">
        <v>2</v>
      </c>
      <c r="D56" s="11">
        <v>80000</v>
      </c>
      <c r="E56" s="9">
        <f>+$H$2+(REDA[[#This Row],[QUANTITE]]*REDA[[#This Row],[PRIX UNITAIRE]])</f>
        <v>160000</v>
      </c>
      <c r="F56" s="17"/>
      <c r="G56" s="8">
        <f>+SUM(E$9:$E56)-SUM(F$9:$F56)</f>
        <v>620000</v>
      </c>
    </row>
    <row r="57" spans="1:7" ht="28.8" x14ac:dyDescent="0.55000000000000004">
      <c r="A57" s="15">
        <v>45395</v>
      </c>
      <c r="B57" s="16" t="s">
        <v>754</v>
      </c>
      <c r="C57" s="11">
        <v>2</v>
      </c>
      <c r="D57" s="11">
        <v>50000</v>
      </c>
      <c r="E57" s="9">
        <f>+$H$2+(REDA[[#This Row],[QUANTITE]]*REDA[[#This Row],[PRIX UNITAIRE]])</f>
        <v>100000</v>
      </c>
      <c r="F57" s="17"/>
      <c r="G57" s="8">
        <f>+SUM(E$9:$E57)-SUM(F$9:$F57)</f>
        <v>720000</v>
      </c>
    </row>
    <row r="58" spans="1:7" ht="28.8" x14ac:dyDescent="0.55000000000000004">
      <c r="A58" s="15">
        <v>45395</v>
      </c>
      <c r="B58" s="16" t="s">
        <v>755</v>
      </c>
      <c r="C58" s="11">
        <v>1</v>
      </c>
      <c r="D58" s="11">
        <v>20000</v>
      </c>
      <c r="E58" s="9">
        <f>+$H$2+(REDA[[#This Row],[QUANTITE]]*REDA[[#This Row],[PRIX UNITAIRE]])</f>
        <v>20000</v>
      </c>
      <c r="F58" s="17"/>
      <c r="G58" s="8">
        <f>+SUM(E$9:$E58)-SUM(F$9:$F58)</f>
        <v>740000</v>
      </c>
    </row>
    <row r="59" spans="1:7" ht="28.8" x14ac:dyDescent="0.55000000000000004">
      <c r="A59" s="15">
        <v>45401</v>
      </c>
      <c r="B59" s="16" t="s">
        <v>756</v>
      </c>
      <c r="C59" s="11">
        <v>1</v>
      </c>
      <c r="D59" s="11">
        <v>80000</v>
      </c>
      <c r="E59" s="9">
        <f>+$H$2+(REDA[[#This Row],[QUANTITE]]*REDA[[#This Row],[PRIX UNITAIRE]])</f>
        <v>80000</v>
      </c>
      <c r="F59" s="17"/>
      <c r="G59" s="8">
        <f>+SUM(E$9:$E59)-SUM(F$9:$F59)</f>
        <v>820000</v>
      </c>
    </row>
    <row r="60" spans="1:7" ht="28.8" x14ac:dyDescent="0.55000000000000004">
      <c r="A60" s="15">
        <v>45418</v>
      </c>
      <c r="B60" s="16" t="s">
        <v>188</v>
      </c>
      <c r="C60" s="11">
        <v>2</v>
      </c>
      <c r="D60" s="11">
        <v>85000</v>
      </c>
      <c r="E60" s="9">
        <f>+$H$2+(REDA[[#This Row],[QUANTITE]]*REDA[[#This Row],[PRIX UNITAIRE]])</f>
        <v>170000</v>
      </c>
      <c r="F60" s="17"/>
      <c r="G60" s="8">
        <f>+SUM(E$9:$E60)-SUM(F$9:$F60)</f>
        <v>990000</v>
      </c>
    </row>
    <row r="61" spans="1:7" ht="28.8" x14ac:dyDescent="0.55000000000000004">
      <c r="A61" s="15">
        <v>45422</v>
      </c>
      <c r="B61" s="16" t="s">
        <v>757</v>
      </c>
      <c r="C61" s="11">
        <v>6</v>
      </c>
      <c r="D61" s="11">
        <v>80000</v>
      </c>
      <c r="E61" s="9">
        <f>+$H$2+(REDA[[#This Row],[QUANTITE]]*REDA[[#This Row],[PRIX UNITAIRE]])</f>
        <v>480000</v>
      </c>
      <c r="F61" s="17"/>
      <c r="G61" s="8">
        <f>+SUM(E$9:$E61)-SUM(F$9:$F61)</f>
        <v>1470000</v>
      </c>
    </row>
    <row r="62" spans="1:7" ht="28.8" x14ac:dyDescent="0.55000000000000004">
      <c r="A62" s="15">
        <v>45395</v>
      </c>
      <c r="B62" s="16" t="s">
        <v>68</v>
      </c>
      <c r="C62" s="11">
        <v>1</v>
      </c>
      <c r="D62" s="11">
        <v>0</v>
      </c>
      <c r="E62" s="9">
        <f>+$H$2+(REDA[[#This Row],[QUANTITE]]*REDA[[#This Row],[PRIX UNITAIRE]])</f>
        <v>0</v>
      </c>
      <c r="F62" s="17">
        <v>1470000</v>
      </c>
      <c r="G62" s="8">
        <f>+SUM(E$9:$E62)-SUM(F$9:$F62)</f>
        <v>0</v>
      </c>
    </row>
    <row r="63" spans="1:7" ht="28.8" x14ac:dyDescent="0.55000000000000004">
      <c r="A63" s="15">
        <v>45444</v>
      </c>
      <c r="B63" s="16" t="s">
        <v>190</v>
      </c>
      <c r="C63" s="11">
        <v>2</v>
      </c>
      <c r="D63" s="11">
        <v>45000</v>
      </c>
      <c r="E63" s="9">
        <f>+$H$2+(REDA[[#This Row],[QUANTITE]]*REDA[[#This Row],[PRIX UNITAIRE]])</f>
        <v>90000</v>
      </c>
      <c r="F63" s="17"/>
      <c r="G63" s="8">
        <f>+SUM(E$9:$E63)-SUM(F$9:$F63)</f>
        <v>90000</v>
      </c>
    </row>
    <row r="64" spans="1:7" ht="28.8" x14ac:dyDescent="0.55000000000000004">
      <c r="A64" s="15">
        <v>45453</v>
      </c>
      <c r="B64" s="16" t="s">
        <v>758</v>
      </c>
      <c r="C64" s="11">
        <v>2</v>
      </c>
      <c r="D64" s="11">
        <v>10000</v>
      </c>
      <c r="E64" s="9">
        <f>+$H$2+(REDA[[#This Row],[QUANTITE]]*REDA[[#This Row],[PRIX UNITAIRE]])</f>
        <v>20000</v>
      </c>
      <c r="F64" s="17"/>
      <c r="G64" s="8">
        <f>+SUM(E$9:$E64)-SUM(F$9:$F64)</f>
        <v>110000</v>
      </c>
    </row>
    <row r="65" spans="1:7" ht="28.8" x14ac:dyDescent="0.55000000000000004">
      <c r="A65" s="15">
        <v>45462</v>
      </c>
      <c r="B65" s="16" t="s">
        <v>759</v>
      </c>
      <c r="C65" s="11">
        <v>2</v>
      </c>
      <c r="D65" s="11">
        <v>45000</v>
      </c>
      <c r="E65" s="9">
        <f>+$H$2+(REDA[[#This Row],[QUANTITE]]*REDA[[#This Row],[PRIX UNITAIRE]])</f>
        <v>90000</v>
      </c>
      <c r="F65" s="17"/>
      <c r="G65" s="8">
        <f>+SUM(E$9:$E65)-SUM(F$9:$F65)</f>
        <v>200000</v>
      </c>
    </row>
    <row r="66" spans="1:7" ht="28.8" x14ac:dyDescent="0.55000000000000004">
      <c r="A66" s="15">
        <v>45470</v>
      </c>
      <c r="B66" s="16" t="s">
        <v>757</v>
      </c>
      <c r="C66" s="11">
        <v>2</v>
      </c>
      <c r="D66" s="11">
        <v>80000</v>
      </c>
      <c r="E66" s="9">
        <f>+$H$2+(REDA[[#This Row],[QUANTITE]]*REDA[[#This Row],[PRIX UNITAIRE]])</f>
        <v>160000</v>
      </c>
      <c r="F66" s="17"/>
      <c r="G66" s="8">
        <f>+SUM(E$9:$E66)-SUM(F$9:$F66)</f>
        <v>360000</v>
      </c>
    </row>
    <row r="67" spans="1:7" ht="28.8" x14ac:dyDescent="0.55000000000000004">
      <c r="A67" s="15">
        <v>45470</v>
      </c>
      <c r="B67" s="16" t="s">
        <v>760</v>
      </c>
      <c r="C67" s="11">
        <v>2</v>
      </c>
      <c r="D67" s="11">
        <v>50000</v>
      </c>
      <c r="E67" s="9">
        <f>+$H$2+(REDA[[#This Row],[QUANTITE]]*REDA[[#This Row],[PRIX UNITAIRE]])</f>
        <v>100000</v>
      </c>
      <c r="F67" s="17"/>
      <c r="G67" s="8">
        <f>+SUM(E$9:$E67)-SUM(F$9:$F67)</f>
        <v>460000</v>
      </c>
    </row>
    <row r="68" spans="1:7" ht="28.8" x14ac:dyDescent="0.55000000000000004">
      <c r="A68" s="15">
        <v>45488</v>
      </c>
      <c r="B68" s="16" t="s">
        <v>761</v>
      </c>
      <c r="C68" s="11">
        <v>2</v>
      </c>
      <c r="D68" s="11">
        <v>50000</v>
      </c>
      <c r="E68" s="9">
        <f>+$H$2+(REDA[[#This Row],[QUANTITE]]*REDA[[#This Row],[PRIX UNITAIRE]])</f>
        <v>100000</v>
      </c>
      <c r="F68" s="17"/>
      <c r="G68" s="8">
        <f>+SUM(E$9:$E68)-SUM(F$9:$F68)</f>
        <v>560000</v>
      </c>
    </row>
    <row r="69" spans="1:7" ht="28.8" x14ac:dyDescent="0.55000000000000004">
      <c r="A69" s="15">
        <v>45499</v>
      </c>
      <c r="B69" s="16" t="s">
        <v>762</v>
      </c>
      <c r="C69" s="11">
        <v>2</v>
      </c>
      <c r="D69" s="11">
        <v>80000</v>
      </c>
      <c r="E69" s="9">
        <f>+$H$2+(REDA[[#This Row],[QUANTITE]]*REDA[[#This Row],[PRIX UNITAIRE]])</f>
        <v>160000</v>
      </c>
      <c r="F69" s="17"/>
      <c r="G69" s="8">
        <f>+SUM(E$9:$E69)-SUM(F$9:$F69)</f>
        <v>720000</v>
      </c>
    </row>
    <row r="70" spans="1:7" ht="28.8" x14ac:dyDescent="0.55000000000000004">
      <c r="A70" s="15">
        <v>45507</v>
      </c>
      <c r="B70" s="16" t="s">
        <v>763</v>
      </c>
      <c r="C70" s="11">
        <v>2</v>
      </c>
      <c r="D70" s="11">
        <v>80000</v>
      </c>
      <c r="E70" s="9">
        <f>+$H$2+(REDA[[#This Row],[QUANTITE]]*REDA[[#This Row],[PRIX UNITAIRE]])</f>
        <v>160000</v>
      </c>
      <c r="F70" s="17"/>
      <c r="G70" s="8">
        <f>+SUM(E$9:$E70)-SUM(F$9:$F70)</f>
        <v>880000</v>
      </c>
    </row>
    <row r="71" spans="1:7" ht="28.8" x14ac:dyDescent="0.55000000000000004">
      <c r="A71" s="15">
        <v>45516</v>
      </c>
      <c r="B71" s="16" t="s">
        <v>619</v>
      </c>
      <c r="C71" s="11">
        <v>1</v>
      </c>
      <c r="D71" s="11">
        <v>40000</v>
      </c>
      <c r="E71" s="9">
        <f>+$H$2+(REDA[[#This Row],[QUANTITE]]*REDA[[#This Row],[PRIX UNITAIRE]])</f>
        <v>40000</v>
      </c>
      <c r="F71" s="17"/>
      <c r="G71" s="8">
        <f>+SUM(E$9:$E71)-SUM(F$9:$F71)</f>
        <v>920000</v>
      </c>
    </row>
    <row r="72" spans="1:7" ht="28.8" x14ac:dyDescent="0.55000000000000004">
      <c r="A72" s="15">
        <v>45517</v>
      </c>
      <c r="B72" s="16" t="s">
        <v>68</v>
      </c>
      <c r="C72" s="11">
        <v>1</v>
      </c>
      <c r="D72" s="11">
        <v>0</v>
      </c>
      <c r="E72" s="9">
        <f>+$H$2+(REDA[[#This Row],[QUANTITE]]*REDA[[#This Row],[PRIX UNITAIRE]])</f>
        <v>0</v>
      </c>
      <c r="F72" s="17">
        <v>920000</v>
      </c>
      <c r="G72" s="8">
        <f>+SUM(E$9:$E72)-SUM(F$9:$F72)</f>
        <v>0</v>
      </c>
    </row>
    <row r="73" spans="1:7" ht="28.8" x14ac:dyDescent="0.55000000000000004">
      <c r="A73" s="15">
        <v>45531</v>
      </c>
      <c r="B73" s="16" t="s">
        <v>757</v>
      </c>
      <c r="C73" s="11">
        <v>2</v>
      </c>
      <c r="D73" s="11">
        <v>80000</v>
      </c>
      <c r="E73" s="9">
        <f>+$H$2+(REDA[[#This Row],[QUANTITE]]*REDA[[#This Row],[PRIX UNITAIRE]])</f>
        <v>160000</v>
      </c>
      <c r="F73" s="17"/>
      <c r="G73" s="8">
        <f>+SUM(E$9:$E73)-SUM(F$9:$F73)</f>
        <v>160000</v>
      </c>
    </row>
    <row r="74" spans="1:7" ht="28.8" x14ac:dyDescent="0.55000000000000004">
      <c r="A74" s="15">
        <v>45556</v>
      </c>
      <c r="B74" s="16" t="s">
        <v>190</v>
      </c>
      <c r="C74" s="11">
        <v>2</v>
      </c>
      <c r="D74" s="11">
        <v>45000</v>
      </c>
      <c r="E74" s="9">
        <f>+$H$2+(REDA[[#This Row],[QUANTITE]]*REDA[[#This Row],[PRIX UNITAIRE]])</f>
        <v>90000</v>
      </c>
      <c r="F74" s="17"/>
      <c r="G74" s="8">
        <f>+SUM(E$9:$E74)-SUM(F$9:$F74)</f>
        <v>250000</v>
      </c>
    </row>
    <row r="75" spans="1:7" ht="28.8" x14ac:dyDescent="0.55000000000000004">
      <c r="A75" s="15">
        <v>45560</v>
      </c>
      <c r="B75" s="16" t="s">
        <v>757</v>
      </c>
      <c r="C75" s="11">
        <v>4</v>
      </c>
      <c r="D75" s="11">
        <v>80000</v>
      </c>
      <c r="E75" s="9">
        <f>+$H$2+(REDA[[#This Row],[QUANTITE]]*REDA[[#This Row],[PRIX UNITAIRE]])</f>
        <v>320000</v>
      </c>
      <c r="F75" s="17"/>
      <c r="G75" s="8">
        <f>+SUM(E$9:$E75)-SUM(F$9:$F75)</f>
        <v>570000</v>
      </c>
    </row>
    <row r="76" spans="1:7" ht="28.8" x14ac:dyDescent="0.55000000000000004">
      <c r="A76" s="15">
        <v>45581</v>
      </c>
      <c r="B76" s="16" t="s">
        <v>764</v>
      </c>
      <c r="C76" s="11">
        <v>10</v>
      </c>
      <c r="D76" s="11">
        <v>5000</v>
      </c>
      <c r="E76" s="9">
        <f>+$H$2+(REDA[[#This Row],[QUANTITE]]*REDA[[#This Row],[PRIX UNITAIRE]])</f>
        <v>50000</v>
      </c>
      <c r="F76" s="17"/>
      <c r="G76" s="8">
        <f>+SUM(E$9:$E76)-SUM(F$9:$F76)</f>
        <v>620000</v>
      </c>
    </row>
    <row r="77" spans="1:7" ht="28.8" x14ac:dyDescent="0.55000000000000004">
      <c r="A77" s="15"/>
      <c r="B77" s="16" t="s">
        <v>466</v>
      </c>
      <c r="C77" s="11">
        <v>1</v>
      </c>
      <c r="D77" s="11">
        <v>10000</v>
      </c>
      <c r="E77" s="9">
        <f>+$H$2+(REDA[[#This Row],[QUANTITE]]*REDA[[#This Row],[PRIX UNITAIRE]])</f>
        <v>10000</v>
      </c>
      <c r="F77" s="17"/>
      <c r="G77" s="8">
        <f>+SUM(E$9:$E77)-SUM(F$9:$F77)</f>
        <v>630000</v>
      </c>
    </row>
    <row r="78" spans="1:7" ht="28.8" x14ac:dyDescent="0.55000000000000004">
      <c r="A78" s="15"/>
      <c r="B78" s="16" t="s">
        <v>765</v>
      </c>
      <c r="C78" s="11">
        <v>2</v>
      </c>
      <c r="D78" s="11">
        <v>5000</v>
      </c>
      <c r="E78" s="9">
        <f>+$H$2+(REDA[[#This Row],[QUANTITE]]*REDA[[#This Row],[PRIX UNITAIRE]])</f>
        <v>10000</v>
      </c>
      <c r="F78" s="17"/>
      <c r="G78" s="8">
        <f>+SUM(E$9:$E78)-SUM(F$9:$F78)</f>
        <v>640000</v>
      </c>
    </row>
    <row r="79" spans="1:7" ht="28.8" x14ac:dyDescent="0.55000000000000004">
      <c r="A79" s="15"/>
      <c r="B79" s="16" t="s">
        <v>766</v>
      </c>
      <c r="C79" s="11">
        <v>2</v>
      </c>
      <c r="D79" s="11">
        <v>1000</v>
      </c>
      <c r="E79" s="9">
        <f>+$H$2+(REDA[[#This Row],[QUANTITE]]*REDA[[#This Row],[PRIX UNITAIRE]])</f>
        <v>2000</v>
      </c>
      <c r="F79" s="17"/>
      <c r="G79" s="8">
        <f>+SUM(E$9:$E79)-SUM(F$9:$F79)</f>
        <v>642000</v>
      </c>
    </row>
    <row r="80" spans="1:7" ht="28.8" x14ac:dyDescent="0.55000000000000004">
      <c r="A80" s="15">
        <v>45588</v>
      </c>
      <c r="B80" s="16" t="s">
        <v>767</v>
      </c>
      <c r="C80" s="11">
        <v>2</v>
      </c>
      <c r="D80" s="11">
        <v>12500</v>
      </c>
      <c r="E80" s="9">
        <f>+$H$2+(REDA[[#This Row],[QUANTITE]]*REDA[[#This Row],[PRIX UNITAIRE]])</f>
        <v>25000</v>
      </c>
      <c r="F80" s="17"/>
      <c r="G80" s="8">
        <f>+SUM(E$9:$E80)-SUM(F$9:$F80)</f>
        <v>667000</v>
      </c>
    </row>
    <row r="81" spans="1:7" ht="28.8" x14ac:dyDescent="0.55000000000000004">
      <c r="A81" s="15"/>
      <c r="B81" s="16" t="s">
        <v>768</v>
      </c>
      <c r="C81" s="11">
        <v>1</v>
      </c>
      <c r="D81" s="11">
        <v>4000</v>
      </c>
      <c r="E81" s="9">
        <f>+$H$2+(REDA[[#This Row],[QUANTITE]]*REDA[[#This Row],[PRIX UNITAIRE]])</f>
        <v>4000</v>
      </c>
      <c r="F81" s="17"/>
      <c r="G81" s="8">
        <f>+SUM(E$9:$E81)-SUM(F$9:$F81)</f>
        <v>671000</v>
      </c>
    </row>
    <row r="82" spans="1:7" ht="28.8" x14ac:dyDescent="0.55000000000000004">
      <c r="A82" s="15"/>
      <c r="B82" s="16" t="s">
        <v>747</v>
      </c>
      <c r="C82" s="11">
        <v>1</v>
      </c>
      <c r="D82" s="11">
        <v>35000</v>
      </c>
      <c r="E82" s="9">
        <f>+$H$2+(REDA[[#This Row],[QUANTITE]]*REDA[[#This Row],[PRIX UNITAIRE]])</f>
        <v>35000</v>
      </c>
      <c r="F82" s="17"/>
      <c r="G82" s="8">
        <f>+SUM(E$9:$E82)-SUM(F$9:$F82)</f>
        <v>706000</v>
      </c>
    </row>
    <row r="83" spans="1:7" ht="28.8" x14ac:dyDescent="0.55000000000000004">
      <c r="A83" s="15">
        <v>45589</v>
      </c>
      <c r="B83" s="16" t="s">
        <v>769</v>
      </c>
      <c r="C83" s="11">
        <v>2</v>
      </c>
      <c r="D83" s="11">
        <v>45000</v>
      </c>
      <c r="E83" s="9">
        <f>+$H$2+(REDA[[#This Row],[QUANTITE]]*REDA[[#This Row],[PRIX UNITAIRE]])</f>
        <v>90000</v>
      </c>
      <c r="F83" s="17"/>
      <c r="G83" s="8">
        <f>+SUM(E$9:$E83)-SUM(F$9:$F83)</f>
        <v>796000</v>
      </c>
    </row>
    <row r="84" spans="1:7" ht="28.8" x14ac:dyDescent="0.55000000000000004">
      <c r="A84" s="15">
        <v>45597</v>
      </c>
      <c r="B84" s="16" t="s">
        <v>770</v>
      </c>
      <c r="C84" s="11">
        <v>5</v>
      </c>
      <c r="D84" s="11">
        <v>85000</v>
      </c>
      <c r="E84" s="9">
        <f>+$H$2+(REDA[[#This Row],[QUANTITE]]*REDA[[#This Row],[PRIX UNITAIRE]])</f>
        <v>425000</v>
      </c>
      <c r="F84" s="17"/>
      <c r="G84" s="8">
        <f>+SUM(E$9:$E84)-SUM(F$9:$F84)</f>
        <v>1221000</v>
      </c>
    </row>
    <row r="85" spans="1:7" ht="28.8" x14ac:dyDescent="0.55000000000000004">
      <c r="A85" s="15">
        <v>45598</v>
      </c>
      <c r="B85" s="16" t="s">
        <v>771</v>
      </c>
      <c r="C85" s="11">
        <v>1</v>
      </c>
      <c r="D85" s="11">
        <v>30000</v>
      </c>
      <c r="E85" s="9">
        <f>+$H$2+(REDA[[#This Row],[QUANTITE]]*REDA[[#This Row],[PRIX UNITAIRE]])</f>
        <v>30000</v>
      </c>
      <c r="F85" s="17"/>
      <c r="G85" s="8">
        <f>+SUM(E$9:$E85)-SUM(F$9:$F85)</f>
        <v>1251000</v>
      </c>
    </row>
    <row r="86" spans="1:7" ht="28.8" x14ac:dyDescent="0.55000000000000004">
      <c r="A86" s="15">
        <v>45601</v>
      </c>
      <c r="B86" s="16" t="s">
        <v>772</v>
      </c>
      <c r="C86" s="11">
        <v>2</v>
      </c>
      <c r="D86" s="11">
        <v>80000</v>
      </c>
      <c r="E86" s="9">
        <f>+$H$2+(REDA[[#This Row],[QUANTITE]]*REDA[[#This Row],[PRIX UNITAIRE]])</f>
        <v>160000</v>
      </c>
      <c r="F86" s="17"/>
      <c r="G86" s="8">
        <f>+SUM(E$9:$E86)-SUM(F$9:$F86)</f>
        <v>1411000</v>
      </c>
    </row>
    <row r="87" spans="1:7" ht="28.8" x14ac:dyDescent="0.55000000000000004">
      <c r="A87" s="15"/>
      <c r="B87" s="16" t="s">
        <v>70</v>
      </c>
      <c r="C87" s="11">
        <v>1</v>
      </c>
      <c r="D87" s="11">
        <v>25000</v>
      </c>
      <c r="E87" s="9">
        <f>+$H$2+(REDA[[#This Row],[QUANTITE]]*REDA[[#This Row],[PRIX UNITAIRE]])</f>
        <v>25000</v>
      </c>
      <c r="F87" s="17"/>
      <c r="G87" s="8">
        <f>+SUM(E$9:$E87)-SUM(F$9:$F87)</f>
        <v>1436000</v>
      </c>
    </row>
    <row r="88" spans="1:7" ht="28.8" x14ac:dyDescent="0.55000000000000004">
      <c r="A88" s="15">
        <v>45614</v>
      </c>
      <c r="B88" s="16" t="s">
        <v>773</v>
      </c>
      <c r="C88" s="11">
        <v>5</v>
      </c>
      <c r="D88" s="11">
        <v>80000</v>
      </c>
      <c r="E88" s="9">
        <f>+$H$2+(REDA[[#This Row],[QUANTITE]]*REDA[[#This Row],[PRIX UNITAIRE]])</f>
        <v>400000</v>
      </c>
      <c r="F88" s="17"/>
      <c r="G88" s="8">
        <f>+SUM(E$9:$E88)-SUM(F$9:$F88)</f>
        <v>1836000</v>
      </c>
    </row>
    <row r="89" spans="1:7" ht="28.8" x14ac:dyDescent="0.55000000000000004">
      <c r="A89" s="15">
        <v>45603</v>
      </c>
      <c r="B89" s="16" t="s">
        <v>68</v>
      </c>
      <c r="C89" s="11"/>
      <c r="D89" s="11"/>
      <c r="E89" s="9">
        <f>+$H$2+(REDA[[#This Row],[QUANTITE]]*REDA[[#This Row],[PRIX UNITAIRE]])</f>
        <v>0</v>
      </c>
      <c r="F89" s="17">
        <v>1836000</v>
      </c>
      <c r="G89" s="8">
        <f>+SUM(E$9:$E89)-SUM(F$9:$F89)</f>
        <v>0</v>
      </c>
    </row>
    <row r="90" spans="1:7" ht="28.8" x14ac:dyDescent="0.55000000000000004">
      <c r="A90" s="15">
        <v>45628</v>
      </c>
      <c r="B90" s="16" t="s">
        <v>757</v>
      </c>
      <c r="C90" s="11">
        <v>2</v>
      </c>
      <c r="D90" s="11">
        <v>80000</v>
      </c>
      <c r="E90" s="9">
        <f>+$H$2+(REDA[[#This Row],[QUANTITE]]*REDA[[#This Row],[PRIX UNITAIRE]])</f>
        <v>160000</v>
      </c>
      <c r="F90" s="17"/>
      <c r="G90" s="8">
        <f>+SUM(E$9:$E90)-SUM(F$9:$F90)</f>
        <v>160000</v>
      </c>
    </row>
    <row r="91" spans="1:7" ht="28.8" x14ac:dyDescent="0.55000000000000004">
      <c r="A91" s="15">
        <v>45647</v>
      </c>
      <c r="B91" s="16" t="s">
        <v>774</v>
      </c>
      <c r="C91" s="11">
        <v>2</v>
      </c>
      <c r="D91" s="11">
        <v>60000</v>
      </c>
      <c r="E91" s="9">
        <f>+$H$2+(REDA[[#This Row],[QUANTITE]]*REDA[[#This Row],[PRIX UNITAIRE]])</f>
        <v>120000</v>
      </c>
      <c r="F91" s="17"/>
      <c r="G91" s="8">
        <f>+SUM(E$9:$E91)-SUM(F$9:$F91)</f>
        <v>280000</v>
      </c>
    </row>
    <row r="92" spans="1:7" ht="28.8" x14ac:dyDescent="0.55000000000000004">
      <c r="A92" s="15">
        <v>45647</v>
      </c>
      <c r="B92" s="16" t="s">
        <v>424</v>
      </c>
      <c r="C92" s="11">
        <v>1</v>
      </c>
      <c r="D92" s="11">
        <v>15000</v>
      </c>
      <c r="E92" s="9">
        <f>+$H$2+(REDA[[#This Row],[QUANTITE]]*REDA[[#This Row],[PRIX UNITAIRE]])</f>
        <v>15000</v>
      </c>
      <c r="F92" s="17"/>
      <c r="G92" s="8">
        <f>+SUM(E$9:$E92)-SUM(F$9:$F92)</f>
        <v>295000</v>
      </c>
    </row>
    <row r="93" spans="1:7" ht="28.8" x14ac:dyDescent="0.55000000000000004">
      <c r="A93" s="15">
        <v>45647</v>
      </c>
      <c r="B93" s="16" t="s">
        <v>673</v>
      </c>
      <c r="C93" s="11">
        <v>1</v>
      </c>
      <c r="D93" s="11">
        <v>15000</v>
      </c>
      <c r="E93" s="9">
        <f>+$H$2+(REDA[[#This Row],[QUANTITE]]*REDA[[#This Row],[PRIX UNITAIRE]])</f>
        <v>15000</v>
      </c>
      <c r="F93" s="17"/>
      <c r="G93" s="8">
        <f>+SUM(E$9:$E93)-SUM(F$9:$F93)</f>
        <v>310000</v>
      </c>
    </row>
    <row r="94" spans="1:7" ht="28.8" x14ac:dyDescent="0.55000000000000004">
      <c r="A94" s="15">
        <v>45647</v>
      </c>
      <c r="B94" s="16" t="s">
        <v>466</v>
      </c>
      <c r="C94" s="11">
        <v>1</v>
      </c>
      <c r="D94" s="11">
        <v>10000</v>
      </c>
      <c r="E94" s="9">
        <f>+$H$2+(REDA[[#This Row],[QUANTITE]]*REDA[[#This Row],[PRIX UNITAIRE]])</f>
        <v>10000</v>
      </c>
      <c r="F94" s="17"/>
      <c r="G94" s="8">
        <f>+SUM(E$9:$E94)-SUM(F$9:$F94)</f>
        <v>320000</v>
      </c>
    </row>
    <row r="95" spans="1:7" ht="28.8" x14ac:dyDescent="0.55000000000000004">
      <c r="A95" s="15">
        <v>45647</v>
      </c>
      <c r="B95" s="16" t="s">
        <v>775</v>
      </c>
      <c r="C95" s="11">
        <v>14</v>
      </c>
      <c r="D95" s="11">
        <v>5000</v>
      </c>
      <c r="E95" s="9">
        <f>+$H$2+(REDA[[#This Row],[QUANTITE]]*REDA[[#This Row],[PRIX UNITAIRE]])</f>
        <v>70000</v>
      </c>
      <c r="F95" s="17"/>
      <c r="G95" s="8">
        <f>+SUM(E$9:$E95)-SUM(F$9:$F95)</f>
        <v>390000</v>
      </c>
    </row>
    <row r="96" spans="1:7" ht="28.8" x14ac:dyDescent="0.55000000000000004">
      <c r="A96" s="15">
        <v>45675</v>
      </c>
      <c r="B96" s="16" t="s">
        <v>735</v>
      </c>
      <c r="C96" s="11">
        <v>2</v>
      </c>
      <c r="D96" s="11">
        <v>50000</v>
      </c>
      <c r="E96" s="9">
        <f>+$H$2+(REDA[[#This Row],[QUANTITE]]*REDA[[#This Row],[PRIX UNITAIRE]])</f>
        <v>100000</v>
      </c>
      <c r="F96" s="17"/>
      <c r="G96" s="8">
        <f>+SUM(E$9:$E96)-SUM(F$9:$F96)</f>
        <v>490000</v>
      </c>
    </row>
    <row r="97" spans="1:7" ht="28.8" x14ac:dyDescent="0.55000000000000004">
      <c r="A97" s="15">
        <v>45678</v>
      </c>
      <c r="B97" s="16" t="s">
        <v>776</v>
      </c>
      <c r="C97" s="11">
        <v>1</v>
      </c>
      <c r="D97" s="11">
        <v>15000</v>
      </c>
      <c r="E97" s="9">
        <f>+$H$2+(REDA[[#This Row],[QUANTITE]]*REDA[[#This Row],[PRIX UNITAIRE]])</f>
        <v>15000</v>
      </c>
      <c r="F97" s="17"/>
      <c r="G97" s="8">
        <f>+SUM(E$9:$E97)-SUM(F$9:$F97)</f>
        <v>505000</v>
      </c>
    </row>
    <row r="98" spans="1:7" ht="28.8" x14ac:dyDescent="0.55000000000000004">
      <c r="A98" s="15">
        <v>45678</v>
      </c>
      <c r="B98" s="16" t="s">
        <v>466</v>
      </c>
      <c r="C98" s="11">
        <v>1</v>
      </c>
      <c r="D98" s="11">
        <v>10000</v>
      </c>
      <c r="E98" s="9">
        <f>+$H$2+(REDA[[#This Row],[QUANTITE]]*REDA[[#This Row],[PRIX UNITAIRE]])</f>
        <v>10000</v>
      </c>
      <c r="F98" s="17"/>
      <c r="G98" s="8">
        <f>+SUM(E$9:$E98)-SUM(F$9:$F98)</f>
        <v>515000</v>
      </c>
    </row>
    <row r="99" spans="1:7" ht="28.8" x14ac:dyDescent="0.55000000000000004">
      <c r="A99" s="15">
        <v>45678</v>
      </c>
      <c r="B99" s="16" t="s">
        <v>775</v>
      </c>
      <c r="C99" s="11">
        <v>13</v>
      </c>
      <c r="D99" s="11">
        <v>5000</v>
      </c>
      <c r="E99" s="9">
        <f>+$H$2+(REDA[[#This Row],[QUANTITE]]*REDA[[#This Row],[PRIX UNITAIRE]])</f>
        <v>65000</v>
      </c>
      <c r="F99" s="17"/>
      <c r="G99" s="8">
        <f>+SUM(E$9:$E99)-SUM(F$9:$F99)</f>
        <v>580000</v>
      </c>
    </row>
    <row r="100" spans="1:7" ht="28.8" x14ac:dyDescent="0.55000000000000004">
      <c r="A100" s="15">
        <v>45685</v>
      </c>
      <c r="B100" s="16" t="s">
        <v>777</v>
      </c>
      <c r="C100" s="11">
        <v>4</v>
      </c>
      <c r="D100" s="11">
        <v>70000</v>
      </c>
      <c r="E100" s="9">
        <f>+$H$2+(REDA[[#This Row],[QUANTITE]]*REDA[[#This Row],[PRIX UNITAIRE]])</f>
        <v>280000</v>
      </c>
      <c r="F100" s="17"/>
      <c r="G100" s="8">
        <f>+SUM(E$9:$E100)-SUM(F$9:$F100)</f>
        <v>860000</v>
      </c>
    </row>
    <row r="101" spans="1:7" ht="28.8" x14ac:dyDescent="0.55000000000000004">
      <c r="A101" s="15">
        <v>45685</v>
      </c>
      <c r="B101" s="16" t="s">
        <v>778</v>
      </c>
      <c r="C101" s="11">
        <v>2</v>
      </c>
      <c r="D101" s="11">
        <v>7500</v>
      </c>
      <c r="E101" s="9">
        <f>+$H$2+(REDA[[#This Row],[QUANTITE]]*REDA[[#This Row],[PRIX UNITAIRE]])</f>
        <v>15000</v>
      </c>
      <c r="F101" s="17"/>
      <c r="G101" s="8">
        <f>+SUM(E$9:$E101)-SUM(F$9:$F101)</f>
        <v>875000</v>
      </c>
    </row>
    <row r="102" spans="1:7" ht="28.8" x14ac:dyDescent="0.55000000000000004">
      <c r="A102" s="15">
        <v>45713</v>
      </c>
      <c r="B102" s="16" t="s">
        <v>403</v>
      </c>
      <c r="C102" s="11">
        <v>2</v>
      </c>
      <c r="D102" s="11">
        <v>45000</v>
      </c>
      <c r="E102" s="9">
        <f>+$H$2+(REDA[[#This Row],[QUANTITE]]*REDA[[#This Row],[PRIX UNITAIRE]])</f>
        <v>90000</v>
      </c>
      <c r="F102" s="17"/>
      <c r="G102" s="8">
        <f>+SUM(E$9:$E102)-SUM(F$9:$F102)</f>
        <v>965000</v>
      </c>
    </row>
    <row r="103" spans="1:7" ht="28.8" x14ac:dyDescent="0.55000000000000004">
      <c r="A103" s="15">
        <v>45733</v>
      </c>
      <c r="B103" s="16" t="s">
        <v>714</v>
      </c>
      <c r="C103" s="11">
        <v>2</v>
      </c>
      <c r="D103" s="11">
        <v>110000</v>
      </c>
      <c r="E103" s="9">
        <f>+$H$2+(REDA[[#This Row],[QUANTITE]]*REDA[[#This Row],[PRIX UNITAIRE]])</f>
        <v>220000</v>
      </c>
      <c r="F103" s="17"/>
      <c r="G103" s="8">
        <f>+SUM(E$9:$E103)-SUM(F$9:$F103)</f>
        <v>1185000</v>
      </c>
    </row>
    <row r="104" spans="1:7" ht="28.8" x14ac:dyDescent="0.55000000000000004">
      <c r="A104" s="15">
        <v>45733</v>
      </c>
      <c r="B104" s="16" t="s">
        <v>475</v>
      </c>
      <c r="C104" s="11">
        <v>2</v>
      </c>
      <c r="D104" s="11">
        <v>55000</v>
      </c>
      <c r="E104" s="9">
        <f>+$H$2+(REDA[[#This Row],[QUANTITE]]*REDA[[#This Row],[PRIX UNITAIRE]])</f>
        <v>110000</v>
      </c>
      <c r="F104" s="17"/>
      <c r="G104" s="8">
        <f>+SUM(E$9:$E104)-SUM(F$9:$F104)</f>
        <v>1295000</v>
      </c>
    </row>
    <row r="105" spans="1:7" ht="28.8" x14ac:dyDescent="0.55000000000000004">
      <c r="A105" s="15">
        <v>45734</v>
      </c>
      <c r="B105" s="16" t="s">
        <v>779</v>
      </c>
      <c r="C105" s="11">
        <v>1</v>
      </c>
      <c r="D105" s="11">
        <v>50000</v>
      </c>
      <c r="E105" s="9">
        <f>+$H$2+(REDA[[#This Row],[QUANTITE]]*REDA[[#This Row],[PRIX UNITAIRE]])</f>
        <v>50000</v>
      </c>
      <c r="F105" s="17"/>
      <c r="G105" s="8">
        <f>+SUM(E$9:$E105)-SUM(F$9:$F105)</f>
        <v>1345000</v>
      </c>
    </row>
    <row r="106" spans="1:7" ht="28.8" x14ac:dyDescent="0.55000000000000004">
      <c r="A106" s="15">
        <v>45750</v>
      </c>
      <c r="B106" s="16" t="s">
        <v>713</v>
      </c>
      <c r="C106" s="11">
        <v>1</v>
      </c>
      <c r="D106" s="11">
        <v>15000</v>
      </c>
      <c r="E106" s="9">
        <f>+$H$2+(REDA[[#This Row],[QUANTITE]]*REDA[[#This Row],[PRIX UNITAIRE]])</f>
        <v>15000</v>
      </c>
      <c r="F106" s="17"/>
      <c r="G106" s="8">
        <f>+SUM(E$9:$E106)-SUM(F$9:$F106)</f>
        <v>1360000</v>
      </c>
    </row>
    <row r="107" spans="1:7" ht="28.8" x14ac:dyDescent="0.55000000000000004">
      <c r="A107" s="15">
        <v>45751</v>
      </c>
      <c r="B107" s="13" t="s">
        <v>259</v>
      </c>
      <c r="C107" s="11"/>
      <c r="D107" s="11"/>
      <c r="E107" s="9">
        <f>+$H$2+(REDA[[#This Row],[QUANTITE]]*REDA[[#This Row],[PRIX UNITAIRE]])</f>
        <v>0</v>
      </c>
      <c r="F107" s="17">
        <v>1360000</v>
      </c>
      <c r="G107" s="8">
        <f>+SUM(E$9:$E107)-SUM(F$9:$F107)</f>
        <v>0</v>
      </c>
    </row>
    <row r="108" spans="1:7" ht="28.8" x14ac:dyDescent="0.55000000000000004">
      <c r="A108" s="15">
        <v>45752</v>
      </c>
      <c r="B108" s="16" t="s">
        <v>714</v>
      </c>
      <c r="C108" s="11">
        <v>1</v>
      </c>
      <c r="D108" s="11">
        <v>110000</v>
      </c>
      <c r="E108" s="9">
        <f>+$H$2+(REDA[[#This Row],[QUANTITE]]*REDA[[#This Row],[PRIX UNITAIRE]])</f>
        <v>110000</v>
      </c>
      <c r="F108" s="17"/>
      <c r="G108" s="8">
        <f>+SUM(E$9:$E108)-SUM(F$9:$F108)</f>
        <v>110000</v>
      </c>
    </row>
    <row r="109" spans="1:7" ht="28.8" x14ac:dyDescent="0.55000000000000004">
      <c r="A109" s="15">
        <v>45755</v>
      </c>
      <c r="B109" s="16" t="s">
        <v>715</v>
      </c>
      <c r="C109" s="11">
        <v>4</v>
      </c>
      <c r="D109" s="11">
        <v>35000</v>
      </c>
      <c r="E109" s="9">
        <f>+$H$2+(REDA[[#This Row],[QUANTITE]]*REDA[[#This Row],[PRIX UNITAIRE]])</f>
        <v>140000</v>
      </c>
      <c r="F109" s="17"/>
      <c r="G109" s="8">
        <f>+SUM(E$9:$E109)-SUM(F$9:$F109)</f>
        <v>250000</v>
      </c>
    </row>
    <row r="110" spans="1:7" ht="28.8" x14ac:dyDescent="0.55000000000000004">
      <c r="A110" s="15">
        <v>45763</v>
      </c>
      <c r="B110" s="16" t="s">
        <v>716</v>
      </c>
      <c r="C110" s="11">
        <v>4</v>
      </c>
      <c r="D110" s="11">
        <v>85000</v>
      </c>
      <c r="E110" s="9">
        <f>+$H$2+(REDA[[#This Row],[QUANTITE]]*REDA[[#This Row],[PRIX UNITAIRE]])</f>
        <v>340000</v>
      </c>
      <c r="F110" s="17"/>
      <c r="G110" s="8">
        <f>+SUM(E$9:$E110)-SUM(F$9:$F110)</f>
        <v>590000</v>
      </c>
    </row>
    <row r="111" spans="1:7" ht="28.8" x14ac:dyDescent="0.55000000000000004">
      <c r="A111" s="15">
        <v>45770</v>
      </c>
      <c r="B111" s="16" t="s">
        <v>717</v>
      </c>
      <c r="C111" s="11">
        <v>13</v>
      </c>
      <c r="D111" s="11">
        <v>5000</v>
      </c>
      <c r="E111" s="9">
        <f>+$H$2+(REDA[[#This Row],[QUANTITE]]*REDA[[#This Row],[PRIX UNITAIRE]])</f>
        <v>65000</v>
      </c>
      <c r="F111" s="17"/>
      <c r="G111" s="8">
        <f>+SUM(E$9:$E111)-SUM(F$9:$F111)</f>
        <v>655000</v>
      </c>
    </row>
    <row r="112" spans="1:7" ht="28.8" x14ac:dyDescent="0.55000000000000004">
      <c r="A112" s="15">
        <v>45770</v>
      </c>
      <c r="B112" s="16" t="s">
        <v>466</v>
      </c>
      <c r="C112" s="11">
        <v>1</v>
      </c>
      <c r="D112" s="11">
        <v>10000</v>
      </c>
      <c r="E112" s="9">
        <f>+$H$2+(REDA[[#This Row],[QUANTITE]]*REDA[[#This Row],[PRIX UNITAIRE]])</f>
        <v>10000</v>
      </c>
      <c r="F112" s="17"/>
      <c r="G112" s="8">
        <f>+SUM(E$9:$E112)-SUM(F$9:$F112)</f>
        <v>665000</v>
      </c>
    </row>
    <row r="113" spans="1:7" ht="28.8" x14ac:dyDescent="0.55000000000000004">
      <c r="A113" s="15">
        <v>45770</v>
      </c>
      <c r="B113" s="16" t="s">
        <v>480</v>
      </c>
      <c r="C113" s="11">
        <v>1</v>
      </c>
      <c r="D113" s="11">
        <v>5000</v>
      </c>
      <c r="E113" s="9">
        <f>+$H$2+(REDA[[#This Row],[QUANTITE]]*REDA[[#This Row],[PRIX UNITAIRE]])</f>
        <v>5000</v>
      </c>
      <c r="F113" s="17"/>
      <c r="G113" s="8">
        <f>+SUM(E$9:$E113)-SUM(F$9:$F113)</f>
        <v>670000</v>
      </c>
    </row>
    <row r="114" spans="1:7" ht="28.8" x14ac:dyDescent="0.55000000000000004">
      <c r="A114" s="15">
        <v>45770</v>
      </c>
      <c r="B114" s="16" t="s">
        <v>718</v>
      </c>
      <c r="C114" s="11">
        <v>1</v>
      </c>
      <c r="D114" s="11">
        <v>10000</v>
      </c>
      <c r="E114" s="9">
        <f>+$H$2+(REDA[[#This Row],[QUANTITE]]*REDA[[#This Row],[PRIX UNITAIRE]])</f>
        <v>10000</v>
      </c>
      <c r="F114" s="17"/>
      <c r="G114" s="8">
        <f>+SUM(E$9:$E114)-SUM(F$9:$F114)</f>
        <v>680000</v>
      </c>
    </row>
    <row r="115" spans="1:7" ht="28.8" x14ac:dyDescent="0.55000000000000004">
      <c r="A115" s="12">
        <v>45835</v>
      </c>
      <c r="B115" s="13" t="s">
        <v>2731</v>
      </c>
      <c r="C115" s="10"/>
      <c r="D115" s="10"/>
      <c r="E115" s="7">
        <f>+$H$2+(REDA[[#This Row],[QUANTITE]]*REDA[[#This Row],[PRIX UNITAIRE]])</f>
        <v>0</v>
      </c>
      <c r="F115" s="14"/>
      <c r="G115" s="6">
        <f>+SUM(E$9:$E115)-SUM(F$9:$F115)</f>
        <v>680000</v>
      </c>
    </row>
    <row r="116" spans="1:7" ht="28.8" x14ac:dyDescent="0.55000000000000004">
      <c r="A116" s="12">
        <v>45835</v>
      </c>
      <c r="B116" s="13" t="s">
        <v>410</v>
      </c>
      <c r="C116" s="10"/>
      <c r="D116" s="10"/>
      <c r="E116" s="7">
        <f>+$H$2+(REDA[[#This Row],[QUANTITE]]*REDA[[#This Row],[PRIX UNITAIRE]])</f>
        <v>0</v>
      </c>
      <c r="F116" s="14"/>
      <c r="G116" s="6">
        <f>+SUM(E$9:$E116)-SUM(F$9:$F116)</f>
        <v>680000</v>
      </c>
    </row>
    <row r="117" spans="1:7" ht="28.8" x14ac:dyDescent="0.55000000000000004">
      <c r="A117" s="12">
        <v>45833</v>
      </c>
      <c r="B117" s="13" t="s">
        <v>2732</v>
      </c>
      <c r="C117" s="10">
        <v>1</v>
      </c>
      <c r="D117" s="10">
        <v>95000</v>
      </c>
      <c r="E117" s="7">
        <f>+$H$2+(REDA[[#This Row],[QUANTITE]]*REDA[[#This Row],[PRIX UNITAIRE]])</f>
        <v>95000</v>
      </c>
      <c r="F117" s="14"/>
      <c r="G117" s="6">
        <f>+SUM(E$9:$E117)-SUM(F$9:$F117)</f>
        <v>775000</v>
      </c>
    </row>
    <row r="118" spans="1:7" ht="28.8" x14ac:dyDescent="0.55000000000000004">
      <c r="A118" s="12">
        <v>45839</v>
      </c>
      <c r="B118" s="13" t="s">
        <v>2733</v>
      </c>
      <c r="C118" s="10">
        <v>2</v>
      </c>
      <c r="D118" s="10">
        <v>45000</v>
      </c>
      <c r="E118" s="7">
        <f>+$H$2+(REDA[[#This Row],[QUANTITE]]*REDA[[#This Row],[PRIX UNITAIRE]])</f>
        <v>90000</v>
      </c>
      <c r="F118" s="14"/>
      <c r="G118" s="6">
        <f>+SUM(E$9:$E118)-SUM(F$9:$F118)</f>
        <v>865000</v>
      </c>
    </row>
    <row r="119" spans="1:7" ht="28.8" x14ac:dyDescent="0.55000000000000004">
      <c r="A119" s="12">
        <v>45863</v>
      </c>
      <c r="B119" s="13" t="s">
        <v>716</v>
      </c>
      <c r="C119" s="10">
        <v>2</v>
      </c>
      <c r="D119" s="10">
        <v>85000</v>
      </c>
      <c r="E119" s="7">
        <f>+$H$2+(REDA[[#This Row],[QUANTITE]]*REDA[[#This Row],[PRIX UNITAIRE]])</f>
        <v>170000</v>
      </c>
      <c r="F119" s="14"/>
      <c r="G119" s="6">
        <f>+SUM(E$9:$E119)-SUM(F$9:$F119)</f>
        <v>1035000</v>
      </c>
    </row>
    <row r="120" spans="1:7" ht="28.8" x14ac:dyDescent="0.55000000000000004">
      <c r="A120" s="12">
        <v>45863</v>
      </c>
      <c r="B120" s="13" t="s">
        <v>255</v>
      </c>
      <c r="C120" s="10">
        <v>2</v>
      </c>
      <c r="D120" s="10">
        <v>45000</v>
      </c>
      <c r="E120" s="7">
        <f>+$H$2+(REDA[[#This Row],[QUANTITE]]*REDA[[#This Row],[PRIX UNITAIRE]])</f>
        <v>90000</v>
      </c>
      <c r="F120" s="14"/>
      <c r="G120" s="6">
        <f>+SUM(E$9:$E120)-SUM(F$9:$F120)</f>
        <v>1125000</v>
      </c>
    </row>
    <row r="121" spans="1:7" ht="28.8" x14ac:dyDescent="0.55000000000000004">
      <c r="A121" s="12">
        <v>45863</v>
      </c>
      <c r="B121" s="13" t="s">
        <v>2779</v>
      </c>
      <c r="C121" s="10">
        <v>1</v>
      </c>
      <c r="D121" s="10">
        <v>25000</v>
      </c>
      <c r="E121" s="7">
        <f>+$H$2+(REDA[[#This Row],[QUANTITE]]*REDA[[#This Row],[PRIX UNITAIRE]])</f>
        <v>25000</v>
      </c>
      <c r="F121" s="14"/>
      <c r="G121" s="6">
        <f>+SUM(E$9:$E121)-SUM(F$9:$F121)</f>
        <v>1150000</v>
      </c>
    </row>
    <row r="122" spans="1:7" ht="28.8" x14ac:dyDescent="0.55000000000000004">
      <c r="A122" s="12">
        <v>45869</v>
      </c>
      <c r="B122" s="13" t="s">
        <v>216</v>
      </c>
      <c r="C122" s="10">
        <v>2</v>
      </c>
      <c r="D122" s="10">
        <v>35000</v>
      </c>
      <c r="E122" s="7">
        <f>+$H$2+(REDA[[#This Row],[QUANTITE]]*REDA[[#This Row],[PRIX UNITAIRE]])</f>
        <v>70000</v>
      </c>
      <c r="F122" s="14"/>
      <c r="G122" s="6">
        <f>+SUM(E$9:$E122)-SUM(F$9:$F122)</f>
        <v>1220000</v>
      </c>
    </row>
    <row r="123" spans="1:7" ht="28.8" x14ac:dyDescent="0.55000000000000004">
      <c r="A123" s="12"/>
      <c r="B123" s="13" t="s">
        <v>716</v>
      </c>
      <c r="C123" s="10"/>
      <c r="D123" s="10"/>
      <c r="E123" s="7">
        <f>+$H$2+(REDA[[#This Row],[QUANTITE]]*REDA[[#This Row],[PRIX UNITAIRE]])</f>
        <v>0</v>
      </c>
      <c r="F123" s="14"/>
      <c r="G123" s="6">
        <f>+SUM(E$9:$E123)-SUM(F$9:$F123)</f>
        <v>1220000</v>
      </c>
    </row>
    <row r="124" spans="1:7" ht="28.8" x14ac:dyDescent="0.55000000000000004">
      <c r="A124" s="12">
        <v>45895</v>
      </c>
      <c r="B124" s="13" t="s">
        <v>2993</v>
      </c>
      <c r="C124" s="10">
        <v>2</v>
      </c>
      <c r="D124" s="10">
        <v>85000</v>
      </c>
      <c r="E124" s="7">
        <f>+$H$2+(REDA[[#This Row],[QUANTITE]]*REDA[[#This Row],[PRIX UNITAIRE]])</f>
        <v>170000</v>
      </c>
      <c r="F124" s="14"/>
      <c r="G124" s="6">
        <f>+SUM(E$9:$E124)-SUM(F$9:$F124)</f>
        <v>1390000</v>
      </c>
    </row>
    <row r="125" spans="1:7" ht="28.8" x14ac:dyDescent="0.55000000000000004">
      <c r="A125" s="12">
        <v>45898</v>
      </c>
      <c r="B125" s="13" t="s">
        <v>716</v>
      </c>
      <c r="C125" s="10">
        <v>6</v>
      </c>
      <c r="D125" s="10">
        <v>85000</v>
      </c>
      <c r="E125" s="7">
        <f>+$H$2+(REDA[[#This Row],[QUANTITE]]*REDA[[#This Row],[PRIX UNITAIRE]])</f>
        <v>510000</v>
      </c>
      <c r="F125" s="14"/>
      <c r="G125" s="6">
        <f>+SUM(E$9:$E125)-SUM(F$9:$F125)</f>
        <v>1900000</v>
      </c>
    </row>
    <row r="126" spans="1:7" ht="28.8" x14ac:dyDescent="0.55000000000000004">
      <c r="A126" s="12">
        <v>45913</v>
      </c>
      <c r="B126" s="13" t="s">
        <v>480</v>
      </c>
      <c r="C126" s="10">
        <v>1</v>
      </c>
      <c r="D126" s="10">
        <v>15000</v>
      </c>
      <c r="E126" s="7">
        <f>+$H$2+(REDA[[#This Row],[QUANTITE]]*REDA[[#This Row],[PRIX UNITAIRE]])</f>
        <v>15000</v>
      </c>
      <c r="F126" s="14"/>
      <c r="G126" s="6">
        <f>+SUM(E$9:$E126)-SUM(F$9:$F126)</f>
        <v>1915000</v>
      </c>
    </row>
    <row r="127" spans="1:7" ht="28.8" x14ac:dyDescent="0.55000000000000004">
      <c r="A127" s="12">
        <v>45909</v>
      </c>
      <c r="B127" s="13" t="s">
        <v>3034</v>
      </c>
      <c r="C127" s="10">
        <v>6</v>
      </c>
      <c r="D127" s="10">
        <v>85000</v>
      </c>
      <c r="E127" s="7">
        <f>+$H$2+(REDA[[#This Row],[QUANTITE]]*REDA[[#This Row],[PRIX UNITAIRE]])</f>
        <v>510000</v>
      </c>
      <c r="F127" s="14"/>
      <c r="G127" s="6">
        <f>+SUM(E$9:$E127)-SUM(F$9:$F127)</f>
        <v>2425000</v>
      </c>
    </row>
    <row r="128" spans="1:7" ht="28.8" x14ac:dyDescent="0.55000000000000004">
      <c r="A128" s="12">
        <v>45910</v>
      </c>
      <c r="B128" s="13" t="s">
        <v>3035</v>
      </c>
      <c r="C128" s="10">
        <v>3</v>
      </c>
      <c r="D128" s="10">
        <v>85000</v>
      </c>
      <c r="E128" s="7">
        <f>+$H$2+(REDA[[#This Row],[QUANTITE]]*REDA[[#This Row],[PRIX UNITAIRE]])</f>
        <v>255000</v>
      </c>
      <c r="F128" s="14"/>
      <c r="G128" s="6">
        <f>+SUM(E$9:$E128)-SUM(F$9:$F128)</f>
        <v>2680000</v>
      </c>
    </row>
    <row r="129" spans="1:7" ht="28.8" x14ac:dyDescent="0.55000000000000004">
      <c r="A129" s="12">
        <v>45918</v>
      </c>
      <c r="B129" s="13" t="s">
        <v>3048</v>
      </c>
      <c r="C129" s="10">
        <v>2</v>
      </c>
      <c r="D129" s="10">
        <v>50000</v>
      </c>
      <c r="E129" s="7">
        <f>+$H$2+(REDA[[#This Row],[QUANTITE]]*REDA[[#This Row],[PRIX UNITAIRE]])</f>
        <v>100000</v>
      </c>
      <c r="F129" s="14"/>
      <c r="G129" s="6">
        <f>+SUM(E$9:$E129)-SUM(F$9:$F129)</f>
        <v>2780000</v>
      </c>
    </row>
    <row r="130" spans="1:7" ht="28.8" x14ac:dyDescent="0.55000000000000004">
      <c r="A130" s="12">
        <v>46049</v>
      </c>
      <c r="B130" s="13"/>
      <c r="C130" s="10"/>
      <c r="D130" s="10"/>
      <c r="E130" s="7">
        <f>+$H$2+(REDA[[#This Row],[QUANTITE]]*REDA[[#This Row],[PRIX UNITAIRE]])</f>
        <v>0</v>
      </c>
      <c r="F130" s="14"/>
      <c r="G130" s="6">
        <f>+SUM(E$9:$E130)-SUM(F$9:$F130)</f>
        <v>2780000</v>
      </c>
    </row>
    <row r="131" spans="1:7" ht="28.8" x14ac:dyDescent="0.55000000000000004">
      <c r="A131" s="12"/>
      <c r="B131" s="13" t="s">
        <v>3201</v>
      </c>
      <c r="C131" s="10"/>
      <c r="D131" s="10"/>
      <c r="E131" s="7">
        <f>+$H$2+(REDA[[#This Row],[QUANTITE]]*REDA[[#This Row],[PRIX UNITAIRE]])</f>
        <v>0</v>
      </c>
      <c r="F131" s="14">
        <v>32000</v>
      </c>
      <c r="G131" s="6">
        <f>+SUM(E$9:$E131)-SUM(F$9:$F131)</f>
        <v>2748000</v>
      </c>
    </row>
    <row r="132" spans="1:7" ht="28.8" x14ac:dyDescent="0.55000000000000004">
      <c r="A132" s="12">
        <v>45980</v>
      </c>
      <c r="B132" s="13" t="s">
        <v>3241</v>
      </c>
      <c r="C132" s="10">
        <v>1</v>
      </c>
      <c r="D132" s="10"/>
      <c r="E132" s="7">
        <f>+$H$2+(REDA[[#This Row],[QUANTITE]]*REDA[[#This Row],[PRIX UNITAIRE]])</f>
        <v>0</v>
      </c>
      <c r="F132" s="14"/>
      <c r="G132" s="6">
        <f>+SUM(E$9:$E132)-SUM(F$9:$F132)</f>
        <v>2748000</v>
      </c>
    </row>
    <row r="133" spans="1:7" ht="28.8" x14ac:dyDescent="0.55000000000000004">
      <c r="A133" s="12">
        <v>45669</v>
      </c>
      <c r="B133" s="13" t="s">
        <v>3364</v>
      </c>
      <c r="C133" s="10"/>
      <c r="D133" s="10"/>
      <c r="E133" s="7">
        <f>+$H$2+(REDA[[#This Row],[QUANTITE]]*REDA[[#This Row],[PRIX UNITAIRE]])</f>
        <v>0</v>
      </c>
      <c r="F133" s="14">
        <v>20000</v>
      </c>
      <c r="G133" s="6">
        <f>+SUM(E$9:$E133)-SUM(F$9:$F133)</f>
        <v>2728000</v>
      </c>
    </row>
    <row r="134" spans="1:7" ht="28.8" x14ac:dyDescent="0.55000000000000004">
      <c r="A134" s="12">
        <v>46046</v>
      </c>
      <c r="B134" s="13" t="s">
        <v>735</v>
      </c>
      <c r="C134" s="10">
        <v>2</v>
      </c>
      <c r="D134" s="10">
        <v>55000</v>
      </c>
      <c r="E134" s="7">
        <f>+$H$2+(REDA[[#This Row],[QUANTITE]]*REDA[[#This Row],[PRIX UNITAIRE]])</f>
        <v>110000</v>
      </c>
      <c r="F134" s="14"/>
      <c r="G134" s="6">
        <f>+SUM(E$9:$E134)-SUM(F$9:$F134)</f>
        <v>2838000</v>
      </c>
    </row>
    <row r="135" spans="1:7" ht="28.8" x14ac:dyDescent="0.55000000000000004">
      <c r="A135" s="12">
        <v>46049</v>
      </c>
      <c r="B135" s="13" t="s">
        <v>3391</v>
      </c>
      <c r="C135" s="10">
        <v>3</v>
      </c>
      <c r="D135" s="10">
        <v>85000</v>
      </c>
      <c r="E135" s="7">
        <f>+$H$2+(REDA[[#This Row],[QUANTITE]]*REDA[[#This Row],[PRIX UNITAIRE]])</f>
        <v>255000</v>
      </c>
      <c r="F135" s="14"/>
      <c r="G135" s="6">
        <f>+SUM(E$9:$E135)-SUM(F$9:$F135)</f>
        <v>3093000</v>
      </c>
    </row>
    <row r="136" spans="1:7" ht="28.8" x14ac:dyDescent="0.55000000000000004">
      <c r="A136" s="12">
        <v>46050</v>
      </c>
      <c r="B136" s="13"/>
      <c r="C136" s="10"/>
      <c r="D136" s="10"/>
      <c r="E136" s="7">
        <f>+$H$2+(REDA[[#This Row],[QUANTITE]]*REDA[[#This Row],[PRIX UNITAIRE]])</f>
        <v>0</v>
      </c>
      <c r="F136" s="14">
        <v>48300</v>
      </c>
      <c r="G136" s="6">
        <f>+SUM(E$9:$E136)-SUM(F$9:$F136)</f>
        <v>3044700</v>
      </c>
    </row>
    <row r="137" spans="1:7" ht="28.8" x14ac:dyDescent="0.55000000000000004">
      <c r="A137" s="12">
        <v>46025</v>
      </c>
      <c r="B137" s="13" t="s">
        <v>3403</v>
      </c>
      <c r="C137" s="10">
        <v>2</v>
      </c>
      <c r="D137" s="10">
        <v>35000</v>
      </c>
      <c r="E137" s="7">
        <f>+$H$2+(REDA[[#This Row],[QUANTITE]]*REDA[[#This Row],[PRIX UNITAIRE]])</f>
        <v>70000</v>
      </c>
      <c r="F137" s="14"/>
      <c r="G137" s="6">
        <f>+SUM(E$9:$E137)-SUM(F$9:$F137)</f>
        <v>3114700</v>
      </c>
    </row>
    <row r="138" spans="1:7" ht="28.8" x14ac:dyDescent="0.55000000000000004">
      <c r="A138" s="12">
        <v>46064</v>
      </c>
      <c r="B138" s="13" t="s">
        <v>3425</v>
      </c>
      <c r="C138" s="10">
        <v>2</v>
      </c>
      <c r="D138" s="10">
        <v>55000</v>
      </c>
      <c r="E138" s="7">
        <f>+$H$2+(REDA[[#This Row],[QUANTITE]]*REDA[[#This Row],[PRIX UNITAIRE]])</f>
        <v>110000</v>
      </c>
      <c r="F138" s="14"/>
      <c r="G138" s="6">
        <f>+SUM(E$9:$E138)-SUM(F$9:$F138)</f>
        <v>3224700</v>
      </c>
    </row>
    <row r="139" spans="1:7" ht="28.8" x14ac:dyDescent="0.55000000000000004">
      <c r="A139" s="12">
        <v>46070</v>
      </c>
      <c r="B139" s="13" t="s">
        <v>3439</v>
      </c>
      <c r="C139" s="10">
        <v>1</v>
      </c>
      <c r="D139" s="10">
        <v>100000</v>
      </c>
      <c r="E139" s="7">
        <f>+$H$2+(REDA[[#This Row],[QUANTITE]]*REDA[[#This Row],[PRIX UNITAIRE]])</f>
        <v>100000</v>
      </c>
      <c r="F139" s="14"/>
      <c r="G139" s="6">
        <f>+SUM(E$9:$E139)-SUM(F$9:$F139)</f>
        <v>3324700</v>
      </c>
    </row>
    <row r="140" spans="1:7" ht="28.8" x14ac:dyDescent="0.55000000000000004">
      <c r="A140" s="12">
        <v>46072</v>
      </c>
      <c r="B140" s="13" t="s">
        <v>3446</v>
      </c>
      <c r="C140" s="10">
        <v>2</v>
      </c>
      <c r="D140" s="10">
        <v>45000</v>
      </c>
      <c r="E140" s="7">
        <f>+$H$2+(REDA[[#This Row],[QUANTITE]]*REDA[[#This Row],[PRIX UNITAIRE]])</f>
        <v>90000</v>
      </c>
      <c r="F140" s="14"/>
      <c r="G140" s="6">
        <f>+SUM(E$9:$E140)-SUM(F$9:$F140)</f>
        <v>3414700</v>
      </c>
    </row>
    <row r="141" spans="1:7" ht="28.8" x14ac:dyDescent="0.55000000000000004">
      <c r="A141" s="12">
        <v>46079</v>
      </c>
      <c r="B141" s="13" t="s">
        <v>3484</v>
      </c>
      <c r="C141" s="10">
        <v>1</v>
      </c>
      <c r="D141" s="10">
        <v>35000</v>
      </c>
      <c r="E141" s="7">
        <f>+$H$2+(REDA[[#This Row],[QUANTITE]]*REDA[[#This Row],[PRIX UNITAIRE]])</f>
        <v>35000</v>
      </c>
      <c r="F141" s="14"/>
      <c r="G141" s="6">
        <f>+SUM(E$9:$E141)-SUM(F$9:$F141)</f>
        <v>3449700</v>
      </c>
    </row>
    <row r="142" spans="1:7" ht="28.8" x14ac:dyDescent="0.55000000000000004">
      <c r="A142" s="12">
        <v>46079</v>
      </c>
      <c r="B142" s="13" t="s">
        <v>466</v>
      </c>
      <c r="C142" s="10">
        <v>1</v>
      </c>
      <c r="D142" s="10">
        <v>10000</v>
      </c>
      <c r="E142" s="7">
        <f>+$H$2+(REDA[[#This Row],[QUANTITE]]*REDA[[#This Row],[PRIX UNITAIRE]])</f>
        <v>10000</v>
      </c>
      <c r="F142" s="14"/>
      <c r="G142" s="6">
        <f>+SUM(E$9:$E142)-SUM(F$9:$F142)</f>
        <v>3459700</v>
      </c>
    </row>
    <row r="143" spans="1:7" ht="28.8" x14ac:dyDescent="0.55000000000000004">
      <c r="A143" s="12">
        <v>46079</v>
      </c>
      <c r="B143" s="13" t="s">
        <v>673</v>
      </c>
      <c r="C143" s="10">
        <v>1</v>
      </c>
      <c r="D143" s="10">
        <v>10000</v>
      </c>
      <c r="E143" s="7">
        <f>+$H$2+(REDA[[#This Row],[QUANTITE]]*REDA[[#This Row],[PRIX UNITAIRE]])</f>
        <v>10000</v>
      </c>
      <c r="F143" s="14"/>
      <c r="G143" s="6">
        <f>+SUM(E$9:$E143)-SUM(F$9:$F143)</f>
        <v>3469700</v>
      </c>
    </row>
    <row r="144" spans="1:7" ht="28.8" x14ac:dyDescent="0.55000000000000004">
      <c r="A144" s="12">
        <v>46079</v>
      </c>
      <c r="B144" s="13" t="s">
        <v>3485</v>
      </c>
      <c r="C144" s="10">
        <v>1</v>
      </c>
      <c r="D144" s="10">
        <v>10000</v>
      </c>
      <c r="E144" s="7">
        <f>+$H$2+(REDA[[#This Row],[QUANTITE]]*REDA[[#This Row],[PRIX UNITAIRE]])</f>
        <v>10000</v>
      </c>
      <c r="F144" s="14"/>
      <c r="G144" s="6">
        <f>+SUM(E$9:$E144)-SUM(F$9:$F144)</f>
        <v>3479700</v>
      </c>
    </row>
    <row r="145" spans="1:7" ht="28.8" x14ac:dyDescent="0.55000000000000004">
      <c r="A145" s="12">
        <v>46079</v>
      </c>
      <c r="B145" s="13" t="s">
        <v>3486</v>
      </c>
      <c r="C145" s="10">
        <v>1</v>
      </c>
      <c r="D145" s="10">
        <v>5000</v>
      </c>
      <c r="E145" s="7">
        <f>+$H$2+(REDA[[#This Row],[QUANTITE]]*REDA[[#This Row],[PRIX UNITAIRE]])</f>
        <v>5000</v>
      </c>
      <c r="F145" s="14"/>
      <c r="G145" s="6">
        <f>+SUM(E$9:$E145)-SUM(F$9:$F145)</f>
        <v>3484700</v>
      </c>
    </row>
    <row r="146" spans="1:7" ht="28.8" x14ac:dyDescent="0.55000000000000004">
      <c r="A146" s="12">
        <v>46099</v>
      </c>
      <c r="B146" s="13" t="s">
        <v>3533</v>
      </c>
      <c r="C146" s="10">
        <v>2</v>
      </c>
      <c r="D146" s="10">
        <v>72500</v>
      </c>
      <c r="E146" s="7">
        <f>+$H$2+(REDA[[#This Row],[QUANTITE]]*REDA[[#This Row],[PRIX UNITAIRE]])</f>
        <v>145000</v>
      </c>
      <c r="F146" s="14"/>
      <c r="G146" s="6">
        <f>+SUM(E$9:$E146)-SUM(F$9:$F146)</f>
        <v>3629700</v>
      </c>
    </row>
    <row r="147" spans="1:7" ht="28.8" x14ac:dyDescent="0.55000000000000004">
      <c r="A147" s="12"/>
      <c r="B147" s="13"/>
      <c r="C147" s="10"/>
      <c r="D147" s="10"/>
      <c r="E147" s="7">
        <f>+$H$2+(REDA[[#This Row],[QUANTITE]]*REDA[[#This Row],[PRIX UNITAIRE]])</f>
        <v>0</v>
      </c>
      <c r="F147" s="14"/>
      <c r="G147" s="6">
        <f>+SUM(E$9:$E147)-SUM(F$9:$F147)</f>
        <v>3629700</v>
      </c>
    </row>
    <row r="148" spans="1:7" ht="28.8" x14ac:dyDescent="0.55000000000000004">
      <c r="A148" s="12"/>
      <c r="B148" s="13"/>
      <c r="C148" s="10"/>
      <c r="D148" s="10"/>
      <c r="E148" s="7">
        <f>+$H$2+(REDA[[#This Row],[QUANTITE]]*REDA[[#This Row],[PRIX UNITAIRE]])</f>
        <v>0</v>
      </c>
      <c r="F148" s="14"/>
      <c r="G148" s="6">
        <f>+SUM(E$9:$E148)-SUM(F$9:$F148)</f>
        <v>3629700</v>
      </c>
    </row>
    <row r="149" spans="1:7" ht="28.8" x14ac:dyDescent="0.55000000000000004">
      <c r="A149" s="12"/>
      <c r="B149" s="13"/>
      <c r="C149" s="10"/>
      <c r="D149" s="10"/>
      <c r="E149" s="7">
        <f>+$H$2+(REDA[[#This Row],[QUANTITE]]*REDA[[#This Row],[PRIX UNITAIRE]])</f>
        <v>0</v>
      </c>
      <c r="F149" s="14"/>
      <c r="G149" s="6">
        <f>+SUM(E$9:$E149)-SUM(F$9:$F149)</f>
        <v>3629700</v>
      </c>
    </row>
    <row r="150" spans="1:7" ht="28.8" x14ac:dyDescent="0.55000000000000004">
      <c r="A150" s="12"/>
      <c r="B150" s="13"/>
      <c r="C150" s="10"/>
      <c r="D150" s="10"/>
      <c r="E150" s="7">
        <f>+$H$2+(REDA[[#This Row],[QUANTITE]]*REDA[[#This Row],[PRIX UNITAIRE]])</f>
        <v>0</v>
      </c>
      <c r="F150" s="14"/>
      <c r="G150" s="6">
        <f>+SUM(E$9:$E150)-SUM(F$9:$F150)</f>
        <v>3629700</v>
      </c>
    </row>
    <row r="151" spans="1:7" ht="28.8" x14ac:dyDescent="0.55000000000000004">
      <c r="A151" s="12"/>
      <c r="B151" s="13"/>
      <c r="C151" s="10"/>
      <c r="D151" s="10"/>
      <c r="E151" s="7">
        <f>+$H$2+(REDA[[#This Row],[QUANTITE]]*REDA[[#This Row],[PRIX UNITAIRE]])</f>
        <v>0</v>
      </c>
      <c r="F151" s="14"/>
      <c r="G151" s="6">
        <f>+SUM(E$9:$E151)-SUM(F$9:$F151)</f>
        <v>3629700</v>
      </c>
    </row>
    <row r="152" spans="1:7" ht="28.8" x14ac:dyDescent="0.55000000000000004">
      <c r="A152" s="12"/>
      <c r="B152" s="13"/>
      <c r="C152" s="10"/>
      <c r="D152" s="10"/>
      <c r="E152" s="7">
        <f>+$H$2+(REDA[[#This Row],[QUANTITE]]*REDA[[#This Row],[PRIX UNITAIRE]])</f>
        <v>0</v>
      </c>
      <c r="F152" s="14"/>
      <c r="G152" s="6">
        <f>+SUM(E$9:$E152)-SUM(F$9:$F152)</f>
        <v>3629700</v>
      </c>
    </row>
    <row r="153" spans="1:7" ht="28.8" x14ac:dyDescent="0.55000000000000004">
      <c r="A153" s="12"/>
      <c r="B153" s="13"/>
      <c r="C153" s="10"/>
      <c r="D153" s="10"/>
      <c r="E153" s="7">
        <f>+$H$2+(REDA[[#This Row],[QUANTITE]]*REDA[[#This Row],[PRIX UNITAIRE]])</f>
        <v>0</v>
      </c>
      <c r="F153" s="14"/>
      <c r="G153" s="6">
        <f>+SUM(E$9:$E153)-SUM(F$9:$F153)</f>
        <v>3629700</v>
      </c>
    </row>
    <row r="154" spans="1:7" ht="28.8" x14ac:dyDescent="0.55000000000000004">
      <c r="A154" s="12"/>
      <c r="B154" s="13"/>
      <c r="C154" s="10"/>
      <c r="D154" s="10"/>
      <c r="E154" s="7">
        <f>+$H$2+(REDA[[#This Row],[QUANTITE]]*REDA[[#This Row],[PRIX UNITAIRE]])</f>
        <v>0</v>
      </c>
      <c r="F154" s="14"/>
      <c r="G154" s="6">
        <f>+SUM(E$9:$E154)-SUM(F$9:$F154)</f>
        <v>3629700</v>
      </c>
    </row>
    <row r="155" spans="1:7" ht="28.8" x14ac:dyDescent="0.55000000000000004">
      <c r="A155" s="12"/>
      <c r="B155" s="13"/>
      <c r="C155" s="10"/>
      <c r="D155" s="10"/>
      <c r="E155" s="7">
        <f>+$H$2+(REDA[[#This Row],[QUANTITE]]*REDA[[#This Row],[PRIX UNITAIRE]])</f>
        <v>0</v>
      </c>
      <c r="F155" s="14"/>
      <c r="G155" s="6">
        <f>+SUM(E$9:$E155)-SUM(F$9:$F155)</f>
        <v>3629700</v>
      </c>
    </row>
    <row r="156" spans="1:7" ht="28.8" x14ac:dyDescent="0.55000000000000004">
      <c r="A156" s="12"/>
      <c r="B156" s="13"/>
      <c r="C156" s="10"/>
      <c r="D156" s="10"/>
      <c r="E156" s="7">
        <f>+$H$2+(REDA[[#This Row],[QUANTITE]]*REDA[[#This Row],[PRIX UNITAIRE]])</f>
        <v>0</v>
      </c>
      <c r="F156" s="14"/>
      <c r="G156" s="6">
        <f>+SUM(E$9:$E156)-SUM(F$9:$F156)</f>
        <v>3629700</v>
      </c>
    </row>
    <row r="157" spans="1:7" ht="28.8" x14ac:dyDescent="0.55000000000000004">
      <c r="A157" s="12"/>
      <c r="B157" s="13"/>
      <c r="C157" s="10"/>
      <c r="D157" s="10"/>
      <c r="E157" s="7">
        <f>+$H$2+(REDA[[#This Row],[QUANTITE]]*REDA[[#This Row],[PRIX UNITAIRE]])</f>
        <v>0</v>
      </c>
      <c r="F157" s="14"/>
      <c r="G157" s="6">
        <f>+SUM(E$9:$E157)-SUM(F$9:$F157)</f>
        <v>3629700</v>
      </c>
    </row>
    <row r="158" spans="1:7" ht="28.8" x14ac:dyDescent="0.55000000000000004">
      <c r="A158" s="12"/>
      <c r="B158" s="13"/>
      <c r="C158" s="10"/>
      <c r="D158" s="10"/>
      <c r="E158" s="7">
        <f>+$H$2+(REDA[[#This Row],[QUANTITE]]*REDA[[#This Row],[PRIX UNITAIRE]])</f>
        <v>0</v>
      </c>
      <c r="F158" s="14"/>
      <c r="G158" s="6">
        <f>+SUM(E$9:$E158)-SUM(F$9:$F158)</f>
        <v>3629700</v>
      </c>
    </row>
    <row r="159" spans="1:7" ht="28.8" x14ac:dyDescent="0.55000000000000004">
      <c r="A159" s="12"/>
      <c r="B159" s="13"/>
      <c r="C159" s="10"/>
      <c r="D159" s="10"/>
      <c r="E159" s="7">
        <f>+$H$2+(REDA[[#This Row],[QUANTITE]]*REDA[[#This Row],[PRIX UNITAIRE]])</f>
        <v>0</v>
      </c>
      <c r="F159" s="14"/>
      <c r="G159" s="6">
        <f>+SUM(E$9:$E159)-SUM(F$9:$F159)</f>
        <v>3629700</v>
      </c>
    </row>
    <row r="160" spans="1:7" ht="28.8" x14ac:dyDescent="0.55000000000000004">
      <c r="A160" s="12"/>
      <c r="B160" s="13"/>
      <c r="C160" s="10"/>
      <c r="D160" s="10"/>
      <c r="E160" s="7">
        <f>+$H$2+(REDA[[#This Row],[QUANTITE]]*REDA[[#This Row],[PRIX UNITAIRE]])</f>
        <v>0</v>
      </c>
      <c r="F160" s="14"/>
      <c r="G160" s="6">
        <f>+SUM(E$9:$E160)-SUM(F$9:$F160)</f>
        <v>3629700</v>
      </c>
    </row>
    <row r="161" spans="1:7" ht="28.8" x14ac:dyDescent="0.55000000000000004">
      <c r="A161" s="12"/>
      <c r="B161" s="13"/>
      <c r="C161" s="10"/>
      <c r="D161" s="10"/>
      <c r="E161" s="7">
        <f>+$H$2+(REDA[[#This Row],[QUANTITE]]*REDA[[#This Row],[PRIX UNITAIRE]])</f>
        <v>0</v>
      </c>
      <c r="F161" s="14"/>
      <c r="G161" s="6">
        <f>+SUM(E$9:$E161)-SUM(F$9:$F161)</f>
        <v>3629700</v>
      </c>
    </row>
    <row r="162" spans="1:7" ht="28.8" x14ac:dyDescent="0.55000000000000004">
      <c r="A162" s="12"/>
      <c r="B162" s="13"/>
      <c r="C162" s="10"/>
      <c r="D162" s="10"/>
      <c r="E162" s="7">
        <f>+$H$2+(REDA[[#This Row],[QUANTITE]]*REDA[[#This Row],[PRIX UNITAIRE]])</f>
        <v>0</v>
      </c>
      <c r="F162" s="14"/>
      <c r="G162" s="6">
        <f>+SUM(E$9:$E162)-SUM(F$9:$F162)</f>
        <v>3629700</v>
      </c>
    </row>
    <row r="163" spans="1:7" ht="28.8" x14ac:dyDescent="0.55000000000000004">
      <c r="A163" s="12"/>
      <c r="B163" s="13"/>
      <c r="C163" s="10"/>
      <c r="D163" s="10"/>
      <c r="E163" s="7">
        <f>+$H$2+(REDA[[#This Row],[QUANTITE]]*REDA[[#This Row],[PRIX UNITAIRE]])</f>
        <v>0</v>
      </c>
      <c r="F163" s="14"/>
      <c r="G163" s="6">
        <f>+SUM(E$9:$E163)-SUM(F$9:$F163)</f>
        <v>3629700</v>
      </c>
    </row>
    <row r="164" spans="1:7" ht="28.8" x14ac:dyDescent="0.55000000000000004">
      <c r="A164" s="12"/>
      <c r="B164" s="13"/>
      <c r="C164" s="10"/>
      <c r="D164" s="10"/>
      <c r="E164" s="7">
        <f>+$H$2+(REDA[[#This Row],[QUANTITE]]*REDA[[#This Row],[PRIX UNITAIRE]])</f>
        <v>0</v>
      </c>
      <c r="F164" s="14"/>
      <c r="G164" s="6">
        <f>+SUM(E$9:$E164)-SUM(F$9:$F164)</f>
        <v>3629700</v>
      </c>
    </row>
    <row r="165" spans="1:7" ht="28.8" x14ac:dyDescent="0.55000000000000004">
      <c r="A165" s="12"/>
      <c r="B165" s="13"/>
      <c r="C165" s="10"/>
      <c r="D165" s="10"/>
      <c r="E165" s="7">
        <f>+$H$2+(REDA[[#This Row],[QUANTITE]]*REDA[[#This Row],[PRIX UNITAIRE]])</f>
        <v>0</v>
      </c>
      <c r="F165" s="14"/>
      <c r="G165" s="6">
        <f>+SUM(E$9:$E165)-SUM(F$9:$F165)</f>
        <v>3629700</v>
      </c>
    </row>
    <row r="166" spans="1:7" ht="28.8" x14ac:dyDescent="0.55000000000000004">
      <c r="A166" s="12"/>
      <c r="B166" s="13"/>
      <c r="C166" s="10"/>
      <c r="D166" s="10"/>
      <c r="E166" s="7">
        <f>+$H$2+(REDA[[#This Row],[QUANTITE]]*REDA[[#This Row],[PRIX UNITAIRE]])</f>
        <v>0</v>
      </c>
      <c r="F166" s="14"/>
      <c r="G166" s="6">
        <f>+SUM(E$9:$E166)-SUM(F$9:$F166)</f>
        <v>3629700</v>
      </c>
    </row>
    <row r="167" spans="1:7" ht="28.8" x14ac:dyDescent="0.55000000000000004">
      <c r="A167" s="12"/>
      <c r="B167" s="13"/>
      <c r="C167" s="10"/>
      <c r="D167" s="10"/>
      <c r="E167" s="7">
        <f>+$H$2+(REDA[[#This Row],[QUANTITE]]*REDA[[#This Row],[PRIX UNITAIRE]])</f>
        <v>0</v>
      </c>
      <c r="F167" s="14"/>
      <c r="G167" s="6">
        <f>+SUM(E$9:$E167)-SUM(F$9:$F167)</f>
        <v>3629700</v>
      </c>
    </row>
    <row r="168" spans="1:7" ht="28.8" x14ac:dyDescent="0.55000000000000004">
      <c r="A168" s="12"/>
      <c r="B168" s="13"/>
      <c r="C168" s="10"/>
      <c r="D168" s="10"/>
      <c r="E168" s="7">
        <f>+$H$2+(REDA[[#This Row],[QUANTITE]]*REDA[[#This Row],[PRIX UNITAIRE]])</f>
        <v>0</v>
      </c>
      <c r="F168" s="14"/>
      <c r="G168" s="6">
        <f>+SUM(E$9:$E168)-SUM(F$9:$F168)</f>
        <v>3629700</v>
      </c>
    </row>
    <row r="169" spans="1:7" ht="28.8" x14ac:dyDescent="0.55000000000000004">
      <c r="A169" s="12"/>
      <c r="B169" s="13"/>
      <c r="C169" s="10"/>
      <c r="D169" s="10"/>
      <c r="E169" s="7">
        <f>+$H$2+(REDA[[#This Row],[QUANTITE]]*REDA[[#This Row],[PRIX UNITAIRE]])</f>
        <v>0</v>
      </c>
      <c r="F169" s="14"/>
      <c r="G169" s="6">
        <f>+SUM(E$9:$E169)-SUM(F$9:$F169)</f>
        <v>3629700</v>
      </c>
    </row>
    <row r="170" spans="1:7" ht="28.8" x14ac:dyDescent="0.55000000000000004">
      <c r="A170" s="12"/>
      <c r="B170" s="13"/>
      <c r="C170" s="10"/>
      <c r="D170" s="10"/>
      <c r="E170" s="7">
        <f>+$H$2+(REDA[[#This Row],[QUANTITE]]*REDA[[#This Row],[PRIX UNITAIRE]])</f>
        <v>0</v>
      </c>
      <c r="F170" s="14"/>
      <c r="G170" s="6">
        <f>+SUM(E$9:$E170)-SUM(F$9:$F170)</f>
        <v>3629700</v>
      </c>
    </row>
    <row r="171" spans="1:7" ht="28.8" x14ac:dyDescent="0.55000000000000004">
      <c r="A171" s="12"/>
      <c r="B171" s="13"/>
      <c r="C171" s="10"/>
      <c r="D171" s="10"/>
      <c r="E171" s="7">
        <f>+$H$2+(REDA[[#This Row],[QUANTITE]]*REDA[[#This Row],[PRIX UNITAIRE]])</f>
        <v>0</v>
      </c>
      <c r="F171" s="14"/>
      <c r="G171" s="6">
        <f>+SUM(E$9:$E171)-SUM(F$9:$F171)</f>
        <v>3629700</v>
      </c>
    </row>
    <row r="172" spans="1:7" ht="28.8" x14ac:dyDescent="0.55000000000000004">
      <c r="A172" s="12"/>
      <c r="B172" s="13"/>
      <c r="C172" s="10"/>
      <c r="D172" s="10"/>
      <c r="E172" s="7">
        <f>+$H$2+(REDA[[#This Row],[QUANTITE]]*REDA[[#This Row],[PRIX UNITAIRE]])</f>
        <v>0</v>
      </c>
      <c r="F172" s="14"/>
      <c r="G172" s="6">
        <f>+SUM(E$9:$E172)-SUM(F$9:$F172)</f>
        <v>3629700</v>
      </c>
    </row>
    <row r="173" spans="1:7" ht="28.8" x14ac:dyDescent="0.55000000000000004">
      <c r="A173" s="12"/>
      <c r="B173" s="13"/>
      <c r="C173" s="10"/>
      <c r="D173" s="10"/>
      <c r="E173" s="7">
        <f>+$H$2+(REDA[[#This Row],[QUANTITE]]*REDA[[#This Row],[PRIX UNITAIRE]])</f>
        <v>0</v>
      </c>
      <c r="F173" s="14"/>
      <c r="G173" s="6">
        <f>+SUM(E$9:$E173)-SUM(F$9:$F173)</f>
        <v>3629700</v>
      </c>
    </row>
    <row r="174" spans="1:7" ht="28.8" x14ac:dyDescent="0.55000000000000004">
      <c r="A174" s="12"/>
      <c r="B174" s="13"/>
      <c r="C174" s="10"/>
      <c r="D174" s="10"/>
      <c r="E174" s="7">
        <f>+$H$2+(REDA[[#This Row],[QUANTITE]]*REDA[[#This Row],[PRIX UNITAIRE]])</f>
        <v>0</v>
      </c>
      <c r="F174" s="14"/>
      <c r="G174" s="6">
        <f>+SUM(E$9:$E174)-SUM(F$9:$F174)</f>
        <v>3629700</v>
      </c>
    </row>
    <row r="175" spans="1:7" ht="28.8" x14ac:dyDescent="0.55000000000000004">
      <c r="A175" s="12"/>
      <c r="B175" s="13"/>
      <c r="C175" s="10"/>
      <c r="D175" s="10"/>
      <c r="E175" s="7">
        <f>+$H$2+(REDA[[#This Row],[QUANTITE]]*REDA[[#This Row],[PRIX UNITAIRE]])</f>
        <v>0</v>
      </c>
      <c r="F175" s="14"/>
      <c r="G175" s="6">
        <f>+SUM(E$9:$E175)-SUM(F$9:$F175)</f>
        <v>3629700</v>
      </c>
    </row>
    <row r="176" spans="1:7" ht="28.8" x14ac:dyDescent="0.55000000000000004">
      <c r="A176" s="12"/>
      <c r="B176" s="13"/>
      <c r="C176" s="10"/>
      <c r="D176" s="10"/>
      <c r="E176" s="7">
        <f>+$H$2+(REDA[[#This Row],[QUANTITE]]*REDA[[#This Row],[PRIX UNITAIRE]])</f>
        <v>0</v>
      </c>
      <c r="F176" s="14"/>
      <c r="G176" s="6">
        <f>+SUM(E$9:$E176)-SUM(F$9:$F176)</f>
        <v>3629700</v>
      </c>
    </row>
    <row r="177" spans="1:7" ht="28.8" x14ac:dyDescent="0.55000000000000004">
      <c r="A177" s="12"/>
      <c r="B177" s="13"/>
      <c r="C177" s="10"/>
      <c r="D177" s="10"/>
      <c r="E177" s="7">
        <f>+$H$2+(REDA[[#This Row],[QUANTITE]]*REDA[[#This Row],[PRIX UNITAIRE]])</f>
        <v>0</v>
      </c>
      <c r="F177" s="14"/>
      <c r="G177" s="6">
        <f>+SUM(E$9:$E177)-SUM(F$9:$F177)</f>
        <v>3629700</v>
      </c>
    </row>
    <row r="178" spans="1:7" ht="28.8" x14ac:dyDescent="0.55000000000000004">
      <c r="A178" s="12"/>
      <c r="B178" s="13"/>
      <c r="C178" s="10"/>
      <c r="D178" s="10"/>
      <c r="E178" s="7">
        <f>+$H$2+(REDA[[#This Row],[QUANTITE]]*REDA[[#This Row],[PRIX UNITAIRE]])</f>
        <v>0</v>
      </c>
      <c r="F178" s="14"/>
      <c r="G178" s="6">
        <f>+SUM(E$9:$E178)-SUM(F$9:$F178)</f>
        <v>3629700</v>
      </c>
    </row>
    <row r="179" spans="1:7" ht="28.8" x14ac:dyDescent="0.55000000000000004">
      <c r="A179" s="12"/>
      <c r="B179" s="13"/>
      <c r="C179" s="10"/>
      <c r="D179" s="10"/>
      <c r="E179" s="7">
        <f>+$H$2+(REDA[[#This Row],[QUANTITE]]*REDA[[#This Row],[PRIX UNITAIRE]])</f>
        <v>0</v>
      </c>
      <c r="F179" s="14"/>
      <c r="G179" s="6">
        <f>+SUM(E$9:$E179)-SUM(F$9:$F179)</f>
        <v>3629700</v>
      </c>
    </row>
    <row r="180" spans="1:7" ht="28.8" x14ac:dyDescent="0.55000000000000004">
      <c r="A180" s="12"/>
      <c r="B180" s="13"/>
      <c r="C180" s="10"/>
      <c r="D180" s="10"/>
      <c r="E180" s="7">
        <f>+$H$2+(REDA[[#This Row],[QUANTITE]]*REDA[[#This Row],[PRIX UNITAIRE]])</f>
        <v>0</v>
      </c>
      <c r="F180" s="14"/>
      <c r="G180" s="6">
        <f>+SUM(E$9:$E180)-SUM(F$9:$F180)</f>
        <v>3629700</v>
      </c>
    </row>
    <row r="181" spans="1:7" ht="28.8" x14ac:dyDescent="0.55000000000000004">
      <c r="A181" s="12"/>
      <c r="B181" s="13"/>
      <c r="C181" s="10"/>
      <c r="D181" s="10"/>
      <c r="E181" s="7">
        <f>+$H$2+(REDA[[#This Row],[QUANTITE]]*REDA[[#This Row],[PRIX UNITAIRE]])</f>
        <v>0</v>
      </c>
      <c r="F181" s="14"/>
      <c r="G181" s="6">
        <f>+SUM(E$9:$E181)-SUM(F$9:$F181)</f>
        <v>3629700</v>
      </c>
    </row>
    <row r="182" spans="1:7" ht="28.8" x14ac:dyDescent="0.55000000000000004">
      <c r="A182" s="12"/>
      <c r="B182" s="13"/>
      <c r="C182" s="10"/>
      <c r="D182" s="10"/>
      <c r="E182" s="7">
        <f>+$H$2+(REDA[[#This Row],[QUANTITE]]*REDA[[#This Row],[PRIX UNITAIRE]])</f>
        <v>0</v>
      </c>
      <c r="F182" s="14"/>
      <c r="G182" s="6">
        <f>+SUM(E$9:$E182)-SUM(F$9:$F182)</f>
        <v>3629700</v>
      </c>
    </row>
    <row r="183" spans="1:7" ht="28.8" x14ac:dyDescent="0.55000000000000004">
      <c r="A183" s="12"/>
      <c r="B183" s="13"/>
      <c r="C183" s="10"/>
      <c r="D183" s="10"/>
      <c r="E183" s="7">
        <f>+$H$2+(REDA[[#This Row],[QUANTITE]]*REDA[[#This Row],[PRIX UNITAIRE]])</f>
        <v>0</v>
      </c>
      <c r="F183" s="14"/>
      <c r="G183" s="6">
        <f>+SUM(E$9:$E183)-SUM(F$9:$F183)</f>
        <v>3629700</v>
      </c>
    </row>
    <row r="184" spans="1:7" ht="28.8" x14ac:dyDescent="0.55000000000000004">
      <c r="A184" s="12"/>
      <c r="B184" s="13"/>
      <c r="C184" s="10"/>
      <c r="D184" s="10"/>
      <c r="E184" s="7">
        <f>+$H$2+(REDA[[#This Row],[QUANTITE]]*REDA[[#This Row],[PRIX UNITAIRE]])</f>
        <v>0</v>
      </c>
      <c r="F184" s="14"/>
      <c r="G184" s="6">
        <f>+SUM(E$9:$E184)-SUM(F$9:$F184)</f>
        <v>3629700</v>
      </c>
    </row>
    <row r="185" spans="1:7" ht="28.8" x14ac:dyDescent="0.55000000000000004">
      <c r="A185" s="12"/>
      <c r="B185" s="13"/>
      <c r="C185" s="10"/>
      <c r="D185" s="10"/>
      <c r="E185" s="7">
        <f>+$H$2+(REDA[[#This Row],[QUANTITE]]*REDA[[#This Row],[PRIX UNITAIRE]])</f>
        <v>0</v>
      </c>
      <c r="F185" s="14"/>
      <c r="G185" s="6">
        <f>+SUM(E$9:$E185)-SUM(F$9:$F185)</f>
        <v>3629700</v>
      </c>
    </row>
    <row r="186" spans="1:7" ht="28.8" x14ac:dyDescent="0.55000000000000004">
      <c r="A186" s="12"/>
      <c r="B186" s="13"/>
      <c r="C186" s="10"/>
      <c r="D186" s="10"/>
      <c r="E186" s="7">
        <f>+$H$2+(REDA[[#This Row],[QUANTITE]]*REDA[[#This Row],[PRIX UNITAIRE]])</f>
        <v>0</v>
      </c>
      <c r="F186" s="14"/>
      <c r="G186" s="6">
        <f>+SUM(E$9:$E186)-SUM(F$9:$F186)</f>
        <v>3629700</v>
      </c>
    </row>
    <row r="187" spans="1:7" ht="28.8" x14ac:dyDescent="0.55000000000000004">
      <c r="A187" s="12"/>
      <c r="B187" s="13"/>
      <c r="C187" s="10"/>
      <c r="D187" s="10"/>
      <c r="E187" s="7">
        <f>+$H$2+(REDA[[#This Row],[QUANTITE]]*REDA[[#This Row],[PRIX UNITAIRE]])</f>
        <v>0</v>
      </c>
      <c r="F187" s="14"/>
      <c r="G187" s="6">
        <f>+SUM(E$9:$E187)-SUM(F$9:$F187)</f>
        <v>3629700</v>
      </c>
    </row>
    <row r="188" spans="1:7" ht="28.8" x14ac:dyDescent="0.55000000000000004">
      <c r="A188" s="12"/>
      <c r="B188" s="13"/>
      <c r="C188" s="10"/>
      <c r="D188" s="10"/>
      <c r="E188" s="7">
        <f>+$H$2+(REDA[[#This Row],[QUANTITE]]*REDA[[#This Row],[PRIX UNITAIRE]])</f>
        <v>0</v>
      </c>
      <c r="F188" s="14"/>
      <c r="G188" s="6">
        <f>+SUM(E$9:$E188)-SUM(F$9:$F188)</f>
        <v>3629700</v>
      </c>
    </row>
    <row r="189" spans="1:7" ht="28.8" x14ac:dyDescent="0.55000000000000004">
      <c r="A189" s="12"/>
      <c r="B189" s="13"/>
      <c r="C189" s="10"/>
      <c r="D189" s="10"/>
      <c r="E189" s="7">
        <f>+$H$2+(REDA[[#This Row],[QUANTITE]]*REDA[[#This Row],[PRIX UNITAIRE]])</f>
        <v>0</v>
      </c>
      <c r="F189" s="14"/>
      <c r="G189" s="6">
        <f>+SUM(E$9:$E189)-SUM(F$9:$F189)</f>
        <v>3629700</v>
      </c>
    </row>
    <row r="190" spans="1:7" ht="28.8" x14ac:dyDescent="0.55000000000000004">
      <c r="A190" s="12"/>
      <c r="B190" s="13"/>
      <c r="C190" s="10"/>
      <c r="D190" s="10"/>
      <c r="E190" s="7">
        <f>+$H$2+(REDA[[#This Row],[QUANTITE]]*REDA[[#This Row],[PRIX UNITAIRE]])</f>
        <v>0</v>
      </c>
      <c r="F190" s="14"/>
      <c r="G190" s="6">
        <f>+SUM(E$9:$E190)-SUM(F$9:$F190)</f>
        <v>3629700</v>
      </c>
    </row>
    <row r="191" spans="1:7" ht="28.8" x14ac:dyDescent="0.55000000000000004">
      <c r="A191" s="12"/>
      <c r="B191" s="13"/>
      <c r="C191" s="10"/>
      <c r="D191" s="10"/>
      <c r="E191" s="7">
        <f>+$H$2+(REDA[[#This Row],[QUANTITE]]*REDA[[#This Row],[PRIX UNITAIRE]])</f>
        <v>0</v>
      </c>
      <c r="F191" s="14"/>
      <c r="G191" s="6">
        <f>+SUM(E$9:$E191)-SUM(F$9:$F191)</f>
        <v>3629700</v>
      </c>
    </row>
    <row r="192" spans="1:7" ht="28.8" x14ac:dyDescent="0.55000000000000004">
      <c r="A192" s="12"/>
      <c r="B192" s="13"/>
      <c r="C192" s="10"/>
      <c r="D192" s="10"/>
      <c r="E192" s="7">
        <f>+$H$2+(REDA[[#This Row],[QUANTITE]]*REDA[[#This Row],[PRIX UNITAIRE]])</f>
        <v>0</v>
      </c>
      <c r="F192" s="14"/>
      <c r="G192" s="6">
        <f>+SUM(E$9:$E192)-SUM(F$9:$F192)</f>
        <v>3629700</v>
      </c>
    </row>
    <row r="193" spans="1:7" ht="28.8" x14ac:dyDescent="0.55000000000000004">
      <c r="A193" s="12"/>
      <c r="B193" s="13"/>
      <c r="C193" s="10"/>
      <c r="D193" s="10"/>
      <c r="E193" s="7">
        <f>+$H$2+(REDA[[#This Row],[QUANTITE]]*REDA[[#This Row],[PRIX UNITAIRE]])</f>
        <v>0</v>
      </c>
      <c r="F193" s="14"/>
      <c r="G193" s="6">
        <f>+SUM(E$9:$E193)-SUM(F$9:$F193)</f>
        <v>3629700</v>
      </c>
    </row>
    <row r="194" spans="1:7" ht="28.8" x14ac:dyDescent="0.55000000000000004">
      <c r="A194" s="12"/>
      <c r="B194" s="13"/>
      <c r="C194" s="10"/>
      <c r="D194" s="10"/>
      <c r="E194" s="7">
        <f>+$H$2+(REDA[[#This Row],[QUANTITE]]*REDA[[#This Row],[PRIX UNITAIRE]])</f>
        <v>0</v>
      </c>
      <c r="F194" s="14"/>
      <c r="G194" s="6">
        <f>+SUM(E$9:$E194)-SUM(F$9:$F194)</f>
        <v>3629700</v>
      </c>
    </row>
    <row r="195" spans="1:7" ht="28.8" x14ac:dyDescent="0.55000000000000004">
      <c r="A195" s="12"/>
      <c r="B195" s="13"/>
      <c r="C195" s="10"/>
      <c r="D195" s="10"/>
      <c r="E195" s="7">
        <f>+$H$2+(REDA[[#This Row],[QUANTITE]]*REDA[[#This Row],[PRIX UNITAIRE]])</f>
        <v>0</v>
      </c>
      <c r="F195" s="14"/>
      <c r="G195" s="6">
        <f>+SUM(E$9:$E195)-SUM(F$9:$F195)</f>
        <v>3629700</v>
      </c>
    </row>
    <row r="196" spans="1:7" ht="28.8" x14ac:dyDescent="0.55000000000000004">
      <c r="A196" s="12"/>
      <c r="B196" s="13"/>
      <c r="C196" s="10"/>
      <c r="D196" s="10"/>
      <c r="E196" s="7">
        <f>+$H$2+(REDA[[#This Row],[QUANTITE]]*REDA[[#This Row],[PRIX UNITAIRE]])</f>
        <v>0</v>
      </c>
      <c r="F196" s="14"/>
      <c r="G196" s="6">
        <f>+SUM(E$9:$E196)-SUM(F$9:$F196)</f>
        <v>3629700</v>
      </c>
    </row>
    <row r="197" spans="1:7" ht="28.8" x14ac:dyDescent="0.55000000000000004">
      <c r="A197" s="12"/>
      <c r="B197" s="13"/>
      <c r="C197" s="10"/>
      <c r="D197" s="10"/>
      <c r="E197" s="7">
        <f>+$H$2+(REDA[[#This Row],[QUANTITE]]*REDA[[#This Row],[PRIX UNITAIRE]])</f>
        <v>0</v>
      </c>
      <c r="F197" s="14"/>
      <c r="G197" s="6">
        <f>+SUM(E$9:$E197)-SUM(F$9:$F197)</f>
        <v>3629700</v>
      </c>
    </row>
    <row r="198" spans="1:7" ht="28.8" x14ac:dyDescent="0.55000000000000004">
      <c r="A198" s="12"/>
      <c r="B198" s="13"/>
      <c r="C198" s="10"/>
      <c r="D198" s="10"/>
      <c r="E198" s="7">
        <f>+$H$2+(REDA[[#This Row],[QUANTITE]]*REDA[[#This Row],[PRIX UNITAIRE]])</f>
        <v>0</v>
      </c>
      <c r="F198" s="14"/>
      <c r="G198" s="6">
        <f>+SUM(E$9:$E198)-SUM(F$9:$F198)</f>
        <v>3629700</v>
      </c>
    </row>
    <row r="199" spans="1:7" ht="28.8" x14ac:dyDescent="0.55000000000000004">
      <c r="A199" s="12"/>
      <c r="B199" s="13"/>
      <c r="C199" s="10"/>
      <c r="D199" s="10"/>
      <c r="E199" s="7">
        <f>+$H$2+(REDA[[#This Row],[QUANTITE]]*REDA[[#This Row],[PRIX UNITAIRE]])</f>
        <v>0</v>
      </c>
      <c r="F199" s="14"/>
      <c r="G199" s="6">
        <f>+SUM(E$9:$E199)-SUM(F$9:$F199)</f>
        <v>3629700</v>
      </c>
    </row>
    <row r="200" spans="1:7" ht="28.8" x14ac:dyDescent="0.55000000000000004">
      <c r="A200" s="12"/>
      <c r="B200" s="13"/>
      <c r="C200" s="10"/>
      <c r="D200" s="10"/>
      <c r="E200" s="7">
        <f>+$H$2+(REDA[[#This Row],[QUANTITE]]*REDA[[#This Row],[PRIX UNITAIRE]])</f>
        <v>0</v>
      </c>
      <c r="F200" s="14"/>
      <c r="G200" s="6">
        <f>+SUM(E$9:$E200)-SUM(F$9:$F200)</f>
        <v>3629700</v>
      </c>
    </row>
    <row r="201" spans="1:7" ht="28.8" x14ac:dyDescent="0.55000000000000004">
      <c r="A201" s="12"/>
      <c r="B201" s="13"/>
      <c r="C201" s="10"/>
      <c r="D201" s="10"/>
      <c r="E201" s="7">
        <f>+$H$2+(REDA[[#This Row],[QUANTITE]]*REDA[[#This Row],[PRIX UNITAIRE]])</f>
        <v>0</v>
      </c>
      <c r="F201" s="14"/>
      <c r="G201" s="6">
        <f>+SUM(E$9:$E201)-SUM(F$9:$F201)</f>
        <v>3629700</v>
      </c>
    </row>
    <row r="202" spans="1:7" ht="28.8" x14ac:dyDescent="0.55000000000000004">
      <c r="A202" s="12"/>
      <c r="B202" s="13"/>
      <c r="C202" s="10"/>
      <c r="D202" s="10"/>
      <c r="E202" s="7">
        <f>+$H$2+(REDA[[#This Row],[QUANTITE]]*REDA[[#This Row],[PRIX UNITAIRE]])</f>
        <v>0</v>
      </c>
      <c r="F202" s="14"/>
      <c r="G202" s="6">
        <f>+SUM(E$9:$E202)-SUM(F$9:$F202)</f>
        <v>3629700</v>
      </c>
    </row>
    <row r="203" spans="1:7" ht="28.8" x14ac:dyDescent="0.55000000000000004">
      <c r="A203" s="12"/>
      <c r="B203" s="13"/>
      <c r="C203" s="10"/>
      <c r="D203" s="10"/>
      <c r="E203" s="7">
        <f>+$H$2+(REDA[[#This Row],[QUANTITE]]*REDA[[#This Row],[PRIX UNITAIRE]])</f>
        <v>0</v>
      </c>
      <c r="F203" s="14"/>
      <c r="G203" s="6">
        <f>+SUM(E$9:$E203)-SUM(F$9:$F203)</f>
        <v>3629700</v>
      </c>
    </row>
    <row r="204" spans="1:7" ht="28.8" x14ac:dyDescent="0.55000000000000004">
      <c r="A204" s="12"/>
      <c r="B204" s="13"/>
      <c r="C204" s="10"/>
      <c r="D204" s="10"/>
      <c r="E204" s="7">
        <f>+$H$2+(REDA[[#This Row],[QUANTITE]]*REDA[[#This Row],[PRIX UNITAIRE]])</f>
        <v>0</v>
      </c>
      <c r="F204" s="14"/>
      <c r="G204" s="6">
        <f>+SUM(E$9:$E204)-SUM(F$9:$F204)</f>
        <v>3629700</v>
      </c>
    </row>
    <row r="205" spans="1:7" ht="28.8" x14ac:dyDescent="0.55000000000000004">
      <c r="A205" s="12"/>
      <c r="B205" s="13"/>
      <c r="C205" s="10"/>
      <c r="D205" s="10"/>
      <c r="E205" s="7">
        <f>+$H$2+(REDA[[#This Row],[QUANTITE]]*REDA[[#This Row],[PRIX UNITAIRE]])</f>
        <v>0</v>
      </c>
      <c r="F205" s="14"/>
      <c r="G205" s="6">
        <f>+SUM(E$9:$E205)-SUM(F$9:$F205)</f>
        <v>3629700</v>
      </c>
    </row>
    <row r="206" spans="1:7" ht="28.8" x14ac:dyDescent="0.55000000000000004">
      <c r="A206" s="12"/>
      <c r="B206" s="13"/>
      <c r="C206" s="10"/>
      <c r="D206" s="10"/>
      <c r="E206" s="7">
        <f>+$H$2+(REDA[[#This Row],[QUANTITE]]*REDA[[#This Row],[PRIX UNITAIRE]])</f>
        <v>0</v>
      </c>
      <c r="F206" s="14"/>
      <c r="G206" s="6">
        <f>+SUM(E$9:$E206)-SUM(F$9:$F206)</f>
        <v>3629700</v>
      </c>
    </row>
    <row r="207" spans="1:7" ht="28.8" x14ac:dyDescent="0.55000000000000004">
      <c r="A207" s="12"/>
      <c r="B207" s="13"/>
      <c r="C207" s="10"/>
      <c r="D207" s="10"/>
      <c r="E207" s="7">
        <f>+$H$2+(REDA[[#This Row],[QUANTITE]]*REDA[[#This Row],[PRIX UNITAIRE]])</f>
        <v>0</v>
      </c>
      <c r="F207" s="14"/>
      <c r="G207" s="6">
        <f>+SUM(E$9:$E207)-SUM(F$9:$F207)</f>
        <v>3629700</v>
      </c>
    </row>
    <row r="208" spans="1:7" ht="28.8" x14ac:dyDescent="0.55000000000000004">
      <c r="A208" s="12"/>
      <c r="B208" s="13"/>
      <c r="C208" s="10"/>
      <c r="D208" s="10"/>
      <c r="E208" s="7">
        <f>+$H$2+(REDA[[#This Row],[QUANTITE]]*REDA[[#This Row],[PRIX UNITAIRE]])</f>
        <v>0</v>
      </c>
      <c r="F208" s="14"/>
      <c r="G208" s="6">
        <f>+SUM(E$9:$E208)-SUM(F$9:$F208)</f>
        <v>3629700</v>
      </c>
    </row>
    <row r="209" spans="1:7" ht="28.8" x14ac:dyDescent="0.55000000000000004">
      <c r="A209" s="12"/>
      <c r="B209" s="13"/>
      <c r="C209" s="10"/>
      <c r="D209" s="10"/>
      <c r="E209" s="7">
        <f>+$H$2+(REDA[[#This Row],[QUANTITE]]*REDA[[#This Row],[PRIX UNITAIRE]])</f>
        <v>0</v>
      </c>
      <c r="F209" s="14"/>
      <c r="G209" s="6">
        <f>+SUM(E$9:$E209)-SUM(F$9:$F209)</f>
        <v>3629700</v>
      </c>
    </row>
    <row r="210" spans="1:7" ht="28.8" x14ac:dyDescent="0.55000000000000004">
      <c r="A210" s="12"/>
      <c r="B210" s="13"/>
      <c r="C210" s="10"/>
      <c r="D210" s="10"/>
      <c r="E210" s="7">
        <f>+$H$2+(REDA[[#This Row],[QUANTITE]]*REDA[[#This Row],[PRIX UNITAIRE]])</f>
        <v>0</v>
      </c>
      <c r="F210" s="14"/>
      <c r="G210" s="6">
        <f>+SUM(E$9:$E210)-SUM(F$9:$F210)</f>
        <v>3629700</v>
      </c>
    </row>
    <row r="211" spans="1:7" ht="28.8" x14ac:dyDescent="0.55000000000000004">
      <c r="A211" s="12"/>
      <c r="B211" s="13"/>
      <c r="C211" s="10"/>
      <c r="D211" s="10"/>
      <c r="E211" s="7">
        <f>+$H$2+(REDA[[#This Row],[QUANTITE]]*REDA[[#This Row],[PRIX UNITAIRE]])</f>
        <v>0</v>
      </c>
      <c r="F211" s="14"/>
      <c r="G211" s="6">
        <f>+SUM(E$9:$E211)-SUM(F$9:$F211)</f>
        <v>3629700</v>
      </c>
    </row>
    <row r="212" spans="1:7" ht="28.8" x14ac:dyDescent="0.55000000000000004">
      <c r="A212" s="12"/>
      <c r="B212" s="13"/>
      <c r="C212" s="10"/>
      <c r="D212" s="10"/>
      <c r="E212" s="7">
        <f>+$H$2+(REDA[[#This Row],[QUANTITE]]*REDA[[#This Row],[PRIX UNITAIRE]])</f>
        <v>0</v>
      </c>
      <c r="F212" s="14"/>
      <c r="G212" s="6">
        <f>+SUM(E$9:$E212)-SUM(F$9:$F212)</f>
        <v>3629700</v>
      </c>
    </row>
    <row r="213" spans="1:7" ht="28.8" x14ac:dyDescent="0.55000000000000004">
      <c r="A213" s="12"/>
      <c r="B213" s="13"/>
      <c r="C213" s="10"/>
      <c r="D213" s="10"/>
      <c r="E213" s="7">
        <f>+$H$2+(REDA[[#This Row],[QUANTITE]]*REDA[[#This Row],[PRIX UNITAIRE]])</f>
        <v>0</v>
      </c>
      <c r="F213" s="14"/>
      <c r="G213" s="6">
        <f>+SUM(E$9:$E213)-SUM(F$9:$F213)</f>
        <v>3629700</v>
      </c>
    </row>
    <row r="214" spans="1:7" ht="28.8" x14ac:dyDescent="0.55000000000000004">
      <c r="A214" s="12"/>
      <c r="B214" s="13"/>
      <c r="C214" s="10"/>
      <c r="D214" s="10"/>
      <c r="E214" s="7">
        <f>+$H$2+(REDA[[#This Row],[QUANTITE]]*REDA[[#This Row],[PRIX UNITAIRE]])</f>
        <v>0</v>
      </c>
      <c r="F214" s="14"/>
      <c r="G214" s="6">
        <f>+SUM(E$9:$E214)-SUM(F$9:$F214)</f>
        <v>3629700</v>
      </c>
    </row>
    <row r="215" spans="1:7" ht="28.8" x14ac:dyDescent="0.55000000000000004">
      <c r="A215" s="12"/>
      <c r="B215" s="13"/>
      <c r="C215" s="10"/>
      <c r="D215" s="10"/>
      <c r="E215" s="7">
        <f>+$H$2+(REDA[[#This Row],[QUANTITE]]*REDA[[#This Row],[PRIX UNITAIRE]])</f>
        <v>0</v>
      </c>
      <c r="F215" s="14"/>
      <c r="G215" s="6">
        <f>+SUM(E$9:$E215)-SUM(F$9:$F215)</f>
        <v>3629700</v>
      </c>
    </row>
    <row r="216" spans="1:7" ht="28.8" x14ac:dyDescent="0.55000000000000004">
      <c r="A216" s="12"/>
      <c r="B216" s="13"/>
      <c r="C216" s="10"/>
      <c r="D216" s="10"/>
      <c r="E216" s="7">
        <f>+$H$2+(REDA[[#This Row],[QUANTITE]]*REDA[[#This Row],[PRIX UNITAIRE]])</f>
        <v>0</v>
      </c>
      <c r="F216" s="14"/>
      <c r="G216" s="6">
        <f>+SUM(E$9:$E216)-SUM(F$9:$F216)</f>
        <v>3629700</v>
      </c>
    </row>
    <row r="217" spans="1:7" ht="28.8" x14ac:dyDescent="0.55000000000000004">
      <c r="A217" s="12"/>
      <c r="B217" s="13"/>
      <c r="C217" s="10"/>
      <c r="D217" s="10"/>
      <c r="E217" s="7">
        <f>+$H$2+(REDA[[#This Row],[QUANTITE]]*REDA[[#This Row],[PRIX UNITAIRE]])</f>
        <v>0</v>
      </c>
      <c r="F217" s="14"/>
      <c r="G217" s="6">
        <f>+SUM(E$9:$E217)-SUM(F$9:$F217)</f>
        <v>3629700</v>
      </c>
    </row>
    <row r="218" spans="1:7" ht="28.8" x14ac:dyDescent="0.55000000000000004">
      <c r="A218" s="12"/>
      <c r="B218" s="13"/>
      <c r="C218" s="10"/>
      <c r="D218" s="10"/>
      <c r="E218" s="7">
        <f>+$H$2+(REDA[[#This Row],[QUANTITE]]*REDA[[#This Row],[PRIX UNITAIRE]])</f>
        <v>0</v>
      </c>
      <c r="F218" s="14"/>
      <c r="G218" s="6">
        <f>+SUM(E$9:$E218)-SUM(F$9:$F218)</f>
        <v>3629700</v>
      </c>
    </row>
    <row r="219" spans="1:7" ht="28.8" x14ac:dyDescent="0.55000000000000004">
      <c r="A219" s="12"/>
      <c r="B219" s="13"/>
      <c r="C219" s="10"/>
      <c r="D219" s="10"/>
      <c r="E219" s="7">
        <f>+$H$2+(REDA[[#This Row],[QUANTITE]]*REDA[[#This Row],[PRIX UNITAIRE]])</f>
        <v>0</v>
      </c>
      <c r="F219" s="14"/>
      <c r="G219" s="6">
        <f>+SUM(E$9:$E219)-SUM(F$9:$F219)</f>
        <v>3629700</v>
      </c>
    </row>
    <row r="220" spans="1:7" ht="28.8" x14ac:dyDescent="0.55000000000000004">
      <c r="A220" s="12"/>
      <c r="B220" s="13"/>
      <c r="C220" s="10"/>
      <c r="D220" s="10"/>
      <c r="E220" s="7">
        <f>+$H$2+(REDA[[#This Row],[QUANTITE]]*REDA[[#This Row],[PRIX UNITAIRE]])</f>
        <v>0</v>
      </c>
      <c r="F220" s="14"/>
      <c r="G220" s="6">
        <f>+SUM(E$9:$E220)-SUM(F$9:$F220)</f>
        <v>3629700</v>
      </c>
    </row>
    <row r="221" spans="1:7" ht="28.8" x14ac:dyDescent="0.55000000000000004">
      <c r="A221" s="12"/>
      <c r="B221" s="13"/>
      <c r="C221" s="10"/>
      <c r="D221" s="10"/>
      <c r="E221" s="7">
        <f>+$H$2+(REDA[[#This Row],[QUANTITE]]*REDA[[#This Row],[PRIX UNITAIRE]])</f>
        <v>0</v>
      </c>
      <c r="F221" s="14"/>
      <c r="G221" s="6">
        <f>+SUM(E$9:$E221)-SUM(F$9:$F221)</f>
        <v>3629700</v>
      </c>
    </row>
    <row r="222" spans="1:7" ht="28.8" x14ac:dyDescent="0.55000000000000004">
      <c r="A222" s="12"/>
      <c r="B222" s="13"/>
      <c r="C222" s="10"/>
      <c r="D222" s="10"/>
      <c r="E222" s="7">
        <f>+$H$2+(REDA[[#This Row],[QUANTITE]]*REDA[[#This Row],[PRIX UNITAIRE]])</f>
        <v>0</v>
      </c>
      <c r="F222" s="14"/>
      <c r="G222" s="6">
        <f>+SUM(E$9:$E222)-SUM(F$9:$F222)</f>
        <v>3629700</v>
      </c>
    </row>
    <row r="223" spans="1:7" ht="28.8" x14ac:dyDescent="0.55000000000000004">
      <c r="A223" s="12"/>
      <c r="B223" s="13"/>
      <c r="C223" s="10"/>
      <c r="D223" s="10"/>
      <c r="E223" s="7">
        <f>+$H$2+(REDA[[#This Row],[QUANTITE]]*REDA[[#This Row],[PRIX UNITAIRE]])</f>
        <v>0</v>
      </c>
      <c r="F223" s="14"/>
      <c r="G223" s="6">
        <f>+SUM(E$9:$E223)-SUM(F$9:$F223)</f>
        <v>3629700</v>
      </c>
    </row>
    <row r="224" spans="1:7" ht="28.8" x14ac:dyDescent="0.55000000000000004">
      <c r="A224" s="12"/>
      <c r="B224" s="13"/>
      <c r="C224" s="10"/>
      <c r="D224" s="10"/>
      <c r="E224" s="7">
        <f>+$H$2+(REDA[[#This Row],[QUANTITE]]*REDA[[#This Row],[PRIX UNITAIRE]])</f>
        <v>0</v>
      </c>
      <c r="F224" s="14"/>
      <c r="G224" s="6">
        <f>+SUM(E$9:$E224)-SUM(F$9:$F224)</f>
        <v>3629700</v>
      </c>
    </row>
    <row r="225" spans="1:7" ht="28.8" x14ac:dyDescent="0.55000000000000004">
      <c r="A225" s="12"/>
      <c r="B225" s="13"/>
      <c r="C225" s="10"/>
      <c r="D225" s="10"/>
      <c r="E225" s="7">
        <f>+$H$2+(REDA[[#This Row],[QUANTITE]]*REDA[[#This Row],[PRIX UNITAIRE]])</f>
        <v>0</v>
      </c>
      <c r="F225" s="14"/>
      <c r="G225" s="6">
        <f>+SUM(E$9:$E225)-SUM(F$9:$F225)</f>
        <v>3629700</v>
      </c>
    </row>
    <row r="226" spans="1:7" ht="28.8" x14ac:dyDescent="0.55000000000000004">
      <c r="A226" s="12"/>
      <c r="B226" s="13"/>
      <c r="C226" s="10"/>
      <c r="D226" s="10"/>
      <c r="E226" s="7">
        <f>+$H$2+(REDA[[#This Row],[QUANTITE]]*REDA[[#This Row],[PRIX UNITAIRE]])</f>
        <v>0</v>
      </c>
      <c r="F226" s="14"/>
      <c r="G226" s="6">
        <f>+SUM(E$9:$E226)-SUM(F$9:$F226)</f>
        <v>3629700</v>
      </c>
    </row>
    <row r="227" spans="1:7" ht="28.8" x14ac:dyDescent="0.55000000000000004">
      <c r="A227" s="12"/>
      <c r="B227" s="13"/>
      <c r="C227" s="10"/>
      <c r="D227" s="10"/>
      <c r="E227" s="7">
        <f>+$H$2+(REDA[[#This Row],[QUANTITE]]*REDA[[#This Row],[PRIX UNITAIRE]])</f>
        <v>0</v>
      </c>
      <c r="F227" s="14"/>
      <c r="G227" s="6">
        <f>+SUM(E$9:$E227)-SUM(F$9:$F227)</f>
        <v>3629700</v>
      </c>
    </row>
    <row r="228" spans="1:7" ht="28.8" x14ac:dyDescent="0.55000000000000004">
      <c r="A228" s="12"/>
      <c r="B228" s="13"/>
      <c r="C228" s="10"/>
      <c r="D228" s="10"/>
      <c r="E228" s="7">
        <f>+$H$2+(REDA[[#This Row],[QUANTITE]]*REDA[[#This Row],[PRIX UNITAIRE]])</f>
        <v>0</v>
      </c>
      <c r="F228" s="14"/>
      <c r="G228" s="6">
        <f>+SUM(E$9:$E228)-SUM(F$9:$F228)</f>
        <v>3629700</v>
      </c>
    </row>
    <row r="229" spans="1:7" ht="28.8" x14ac:dyDescent="0.55000000000000004">
      <c r="A229" s="12"/>
      <c r="B229" s="13"/>
      <c r="C229" s="10"/>
      <c r="D229" s="10"/>
      <c r="E229" s="7">
        <f>+$H$2+(REDA[[#This Row],[QUANTITE]]*REDA[[#This Row],[PRIX UNITAIRE]])</f>
        <v>0</v>
      </c>
      <c r="F229" s="14"/>
      <c r="G229" s="6">
        <f>+SUM(E$9:$E229)-SUM(F$9:$F229)</f>
        <v>3629700</v>
      </c>
    </row>
    <row r="230" spans="1:7" ht="28.8" x14ac:dyDescent="0.55000000000000004">
      <c r="A230" s="12"/>
      <c r="B230" s="13"/>
      <c r="C230" s="10"/>
      <c r="D230" s="10"/>
      <c r="E230" s="7">
        <f>+$H$2+(REDA[[#This Row],[QUANTITE]]*REDA[[#This Row],[PRIX UNITAIRE]])</f>
        <v>0</v>
      </c>
      <c r="F230" s="14"/>
      <c r="G230" s="6">
        <f>+SUM(E$9:$E230)-SUM(F$9:$F230)</f>
        <v>3629700</v>
      </c>
    </row>
    <row r="231" spans="1:7" ht="28.8" x14ac:dyDescent="0.55000000000000004">
      <c r="A231" s="12"/>
      <c r="B231" s="13"/>
      <c r="C231" s="10"/>
      <c r="D231" s="10"/>
      <c r="E231" s="7">
        <f>+$H$2+(REDA[[#This Row],[QUANTITE]]*REDA[[#This Row],[PRIX UNITAIRE]])</f>
        <v>0</v>
      </c>
      <c r="F231" s="14"/>
      <c r="G231" s="6">
        <f>+SUM(E$9:$E231)-SUM(F$9:$F231)</f>
        <v>3629700</v>
      </c>
    </row>
    <row r="232" spans="1:7" ht="28.8" x14ac:dyDescent="0.55000000000000004">
      <c r="A232" s="12"/>
      <c r="B232" s="13"/>
      <c r="C232" s="10"/>
      <c r="D232" s="10"/>
      <c r="E232" s="7">
        <f>+$H$2+(REDA[[#This Row],[QUANTITE]]*REDA[[#This Row],[PRIX UNITAIRE]])</f>
        <v>0</v>
      </c>
      <c r="F232" s="14"/>
      <c r="G232" s="6">
        <f>+SUM(E$9:$E232)-SUM(F$9:$F232)</f>
        <v>3629700</v>
      </c>
    </row>
    <row r="233" spans="1:7" ht="28.8" x14ac:dyDescent="0.55000000000000004">
      <c r="A233" s="12"/>
      <c r="B233" s="13"/>
      <c r="C233" s="10"/>
      <c r="D233" s="10"/>
      <c r="E233" s="7">
        <f>+$H$2+(REDA[[#This Row],[QUANTITE]]*REDA[[#This Row],[PRIX UNITAIRE]])</f>
        <v>0</v>
      </c>
      <c r="F233" s="14"/>
      <c r="G233" s="6">
        <f>+SUM(E$9:$E233)-SUM(F$9:$F233)</f>
        <v>3629700</v>
      </c>
    </row>
    <row r="234" spans="1:7" ht="28.8" x14ac:dyDescent="0.55000000000000004">
      <c r="A234" s="12"/>
      <c r="B234" s="13"/>
      <c r="C234" s="10"/>
      <c r="D234" s="10"/>
      <c r="E234" s="7">
        <f>+$H$2+(REDA[[#This Row],[QUANTITE]]*REDA[[#This Row],[PRIX UNITAIRE]])</f>
        <v>0</v>
      </c>
      <c r="F234" s="14"/>
      <c r="G234" s="6">
        <f>+SUM(E$9:$E234)-SUM(F$9:$F234)</f>
        <v>3629700</v>
      </c>
    </row>
    <row r="235" spans="1:7" ht="28.8" x14ac:dyDescent="0.55000000000000004">
      <c r="A235" s="12"/>
      <c r="B235" s="13"/>
      <c r="C235" s="10"/>
      <c r="D235" s="10"/>
      <c r="E235" s="7">
        <f>+$H$2+(REDA[[#This Row],[QUANTITE]]*REDA[[#This Row],[PRIX UNITAIRE]])</f>
        <v>0</v>
      </c>
      <c r="F235" s="14"/>
      <c r="G235" s="6">
        <f>+SUM(E$9:$E235)-SUM(F$9:$F235)</f>
        <v>3629700</v>
      </c>
    </row>
    <row r="236" spans="1:7" ht="28.8" x14ac:dyDescent="0.55000000000000004">
      <c r="A236" s="12"/>
      <c r="B236" s="13"/>
      <c r="C236" s="10"/>
      <c r="D236" s="10"/>
      <c r="E236" s="7">
        <f>+$H$2+(REDA[[#This Row],[QUANTITE]]*REDA[[#This Row],[PRIX UNITAIRE]])</f>
        <v>0</v>
      </c>
      <c r="F236" s="14"/>
      <c r="G236" s="6">
        <f>+SUM(E$9:$E236)-SUM(F$9:$F236)</f>
        <v>3629700</v>
      </c>
    </row>
    <row r="237" spans="1:7" ht="28.8" x14ac:dyDescent="0.55000000000000004">
      <c r="A237" s="12"/>
      <c r="B237" s="13"/>
      <c r="C237" s="10"/>
      <c r="D237" s="10"/>
      <c r="E237" s="7">
        <f>+$H$2+(REDA[[#This Row],[QUANTITE]]*REDA[[#This Row],[PRIX UNITAIRE]])</f>
        <v>0</v>
      </c>
      <c r="F237" s="14"/>
      <c r="G237" s="6">
        <f>+SUM(E$9:$E237)-SUM(F$9:$F237)</f>
        <v>3629700</v>
      </c>
    </row>
    <row r="238" spans="1:7" ht="28.8" x14ac:dyDescent="0.55000000000000004">
      <c r="A238" s="12"/>
      <c r="B238" s="13"/>
      <c r="C238" s="10"/>
      <c r="D238" s="10"/>
      <c r="E238" s="7">
        <f>+$H$2+(REDA[[#This Row],[QUANTITE]]*REDA[[#This Row],[PRIX UNITAIRE]])</f>
        <v>0</v>
      </c>
      <c r="F238" s="14"/>
      <c r="G238" s="6">
        <f>+SUM(E$9:$E238)-SUM(F$9:$F238)</f>
        <v>3629700</v>
      </c>
    </row>
    <row r="239" spans="1:7" ht="28.8" x14ac:dyDescent="0.55000000000000004">
      <c r="A239" s="12"/>
      <c r="B239" s="13"/>
      <c r="C239" s="10"/>
      <c r="D239" s="10"/>
      <c r="E239" s="7">
        <f>+$H$2+(REDA[[#This Row],[QUANTITE]]*REDA[[#This Row],[PRIX UNITAIRE]])</f>
        <v>0</v>
      </c>
      <c r="F239" s="14"/>
      <c r="G239" s="6">
        <f>+SUM(E$9:$E239)-SUM(F$9:$F239)</f>
        <v>3629700</v>
      </c>
    </row>
    <row r="240" spans="1:7" ht="28.8" x14ac:dyDescent="0.55000000000000004">
      <c r="A240" s="12"/>
      <c r="B240" s="13"/>
      <c r="C240" s="10"/>
      <c r="D240" s="10"/>
      <c r="E240" s="7">
        <f>+$H$2+(REDA[[#This Row],[QUANTITE]]*REDA[[#This Row],[PRIX UNITAIRE]])</f>
        <v>0</v>
      </c>
      <c r="F240" s="14"/>
      <c r="G240" s="6">
        <f>+SUM(E$9:$E240)-SUM(F$9:$F240)</f>
        <v>3629700</v>
      </c>
    </row>
    <row r="241" spans="1:7" ht="28.8" x14ac:dyDescent="0.55000000000000004">
      <c r="A241" s="12"/>
      <c r="B241" s="13"/>
      <c r="C241" s="10"/>
      <c r="D241" s="10"/>
      <c r="E241" s="7">
        <f>+$H$2+(REDA[[#This Row],[QUANTITE]]*REDA[[#This Row],[PRIX UNITAIRE]])</f>
        <v>0</v>
      </c>
      <c r="F241" s="14"/>
      <c r="G241" s="6">
        <f>+SUM(E$9:$E241)-SUM(F$9:$F241)</f>
        <v>3629700</v>
      </c>
    </row>
    <row r="242" spans="1:7" ht="28.8" x14ac:dyDescent="0.55000000000000004">
      <c r="A242" s="12"/>
      <c r="B242" s="13"/>
      <c r="C242" s="10"/>
      <c r="D242" s="10"/>
      <c r="E242" s="7">
        <f>+$H$2+(REDA[[#This Row],[QUANTITE]]*REDA[[#This Row],[PRIX UNITAIRE]])</f>
        <v>0</v>
      </c>
      <c r="F242" s="14"/>
      <c r="G242" s="6">
        <f>+SUM(E$9:$E242)-SUM(F$9:$F242)</f>
        <v>3629700</v>
      </c>
    </row>
    <row r="243" spans="1:7" ht="28.8" x14ac:dyDescent="0.55000000000000004">
      <c r="A243" s="12"/>
      <c r="B243" s="13"/>
      <c r="C243" s="10"/>
      <c r="D243" s="10"/>
      <c r="E243" s="7">
        <f>+$H$2+(REDA[[#This Row],[QUANTITE]]*REDA[[#This Row],[PRIX UNITAIRE]])</f>
        <v>0</v>
      </c>
      <c r="F243" s="14"/>
      <c r="G243" s="6">
        <f>+SUM(E$9:$E243)-SUM(F$9:$F243)</f>
        <v>3629700</v>
      </c>
    </row>
    <row r="244" spans="1:7" ht="28.8" x14ac:dyDescent="0.55000000000000004">
      <c r="A244" s="12"/>
      <c r="B244" s="13"/>
      <c r="C244" s="10"/>
      <c r="D244" s="10"/>
      <c r="E244" s="7">
        <f>+$H$2+(REDA[[#This Row],[QUANTITE]]*REDA[[#This Row],[PRIX UNITAIRE]])</f>
        <v>0</v>
      </c>
      <c r="F244" s="14"/>
      <c r="G244" s="6">
        <f>+SUM(E$9:$E244)-SUM(F$9:$F244)</f>
        <v>3629700</v>
      </c>
    </row>
    <row r="245" spans="1:7" ht="28.8" x14ac:dyDescent="0.55000000000000004">
      <c r="A245" s="12"/>
      <c r="B245" s="13"/>
      <c r="C245" s="10"/>
      <c r="D245" s="10"/>
      <c r="E245" s="7">
        <f>+$H$2+(REDA[[#This Row],[QUANTITE]]*REDA[[#This Row],[PRIX UNITAIRE]])</f>
        <v>0</v>
      </c>
      <c r="F245" s="14"/>
      <c r="G245" s="6">
        <f>+SUM(E$9:$E245)-SUM(F$9:$F245)</f>
        <v>3629700</v>
      </c>
    </row>
    <row r="246" spans="1:7" ht="28.8" x14ac:dyDescent="0.55000000000000004">
      <c r="A246" s="12"/>
      <c r="B246" s="13"/>
      <c r="C246" s="10"/>
      <c r="D246" s="10"/>
      <c r="E246" s="7">
        <f>+$H$2+(REDA[[#This Row],[QUANTITE]]*REDA[[#This Row],[PRIX UNITAIRE]])</f>
        <v>0</v>
      </c>
      <c r="F246" s="14"/>
      <c r="G246" s="6">
        <f>+SUM(E$9:$E246)-SUM(F$9:$F246)</f>
        <v>3629700</v>
      </c>
    </row>
    <row r="247" spans="1:7" ht="28.8" x14ac:dyDescent="0.55000000000000004">
      <c r="A247" s="12"/>
      <c r="B247" s="13"/>
      <c r="C247" s="10"/>
      <c r="D247" s="10"/>
      <c r="E247" s="7">
        <f>+$H$2+(REDA[[#This Row],[QUANTITE]]*REDA[[#This Row],[PRIX UNITAIRE]])</f>
        <v>0</v>
      </c>
      <c r="F247" s="14"/>
      <c r="G247" s="6">
        <f>+SUM(E$9:$E247)-SUM(F$9:$F247)</f>
        <v>3629700</v>
      </c>
    </row>
    <row r="248" spans="1:7" ht="28.8" x14ac:dyDescent="0.55000000000000004">
      <c r="A248" s="12"/>
      <c r="B248" s="13"/>
      <c r="C248" s="10"/>
      <c r="D248" s="10"/>
      <c r="E248" s="7">
        <f>+$H$2+(REDA[[#This Row],[QUANTITE]]*REDA[[#This Row],[PRIX UNITAIRE]])</f>
        <v>0</v>
      </c>
      <c r="F248" s="14"/>
      <c r="G248" s="6">
        <f>+SUM(E$9:$E248)-SUM(F$9:$F248)</f>
        <v>3629700</v>
      </c>
    </row>
    <row r="249" spans="1:7" ht="28.8" x14ac:dyDescent="0.55000000000000004">
      <c r="A249" s="12"/>
      <c r="B249" s="13"/>
      <c r="C249" s="10"/>
      <c r="D249" s="10"/>
      <c r="E249" s="7">
        <f>+$H$2+(REDA[[#This Row],[QUANTITE]]*REDA[[#This Row],[PRIX UNITAIRE]])</f>
        <v>0</v>
      </c>
      <c r="F249" s="14"/>
      <c r="G249" s="6">
        <f>+SUM(E$9:$E249)-SUM(F$9:$F249)</f>
        <v>3629700</v>
      </c>
    </row>
    <row r="250" spans="1:7" ht="28.8" x14ac:dyDescent="0.55000000000000004">
      <c r="A250" s="12"/>
      <c r="B250" s="13"/>
      <c r="C250" s="10"/>
      <c r="D250" s="10"/>
      <c r="E250" s="7">
        <f>+$H$2+(REDA[[#This Row],[QUANTITE]]*REDA[[#This Row],[PRIX UNITAIRE]])</f>
        <v>0</v>
      </c>
      <c r="F250" s="14"/>
      <c r="G250" s="6">
        <f>+SUM(E$9:$E250)-SUM(F$9:$F250)</f>
        <v>3629700</v>
      </c>
    </row>
    <row r="251" spans="1:7" ht="28.8" x14ac:dyDescent="0.55000000000000004">
      <c r="A251" s="12"/>
      <c r="B251" s="13"/>
      <c r="C251" s="10"/>
      <c r="D251" s="10"/>
      <c r="E251" s="7">
        <f>+$H$2+(REDA[[#This Row],[QUANTITE]]*REDA[[#This Row],[PRIX UNITAIRE]])</f>
        <v>0</v>
      </c>
      <c r="F251" s="14"/>
      <c r="G251" s="6">
        <f>+SUM(E$9:$E251)-SUM(F$9:$F251)</f>
        <v>3629700</v>
      </c>
    </row>
    <row r="252" spans="1:7" ht="28.8" x14ac:dyDescent="0.55000000000000004">
      <c r="A252" s="12"/>
      <c r="B252" s="13"/>
      <c r="C252" s="10"/>
      <c r="D252" s="10"/>
      <c r="E252" s="7">
        <f>+$H$2+(REDA[[#This Row],[QUANTITE]]*REDA[[#This Row],[PRIX UNITAIRE]])</f>
        <v>0</v>
      </c>
      <c r="F252" s="14"/>
      <c r="G252" s="6">
        <f>+SUM(E$9:$E252)-SUM(F$9:$F252)</f>
        <v>3629700</v>
      </c>
    </row>
    <row r="253" spans="1:7" ht="28.8" x14ac:dyDescent="0.55000000000000004">
      <c r="A253" s="12"/>
      <c r="B253" s="13"/>
      <c r="C253" s="10"/>
      <c r="D253" s="10"/>
      <c r="E253" s="7">
        <f>+$H$2+(REDA[[#This Row],[QUANTITE]]*REDA[[#This Row],[PRIX UNITAIRE]])</f>
        <v>0</v>
      </c>
      <c r="F253" s="14"/>
      <c r="G253" s="6">
        <f>+SUM(E$9:$E253)-SUM(F$9:$F253)</f>
        <v>3629700</v>
      </c>
    </row>
    <row r="254" spans="1:7" ht="28.8" x14ac:dyDescent="0.55000000000000004">
      <c r="A254" s="12"/>
      <c r="B254" s="13"/>
      <c r="C254" s="10"/>
      <c r="D254" s="10"/>
      <c r="E254" s="7">
        <f>+$H$2+(REDA[[#This Row],[QUANTITE]]*REDA[[#This Row],[PRIX UNITAIRE]])</f>
        <v>0</v>
      </c>
      <c r="F254" s="14"/>
      <c r="G254" s="6">
        <f>+SUM(E$9:$E254)-SUM(F$9:$F254)</f>
        <v>3629700</v>
      </c>
    </row>
    <row r="255" spans="1:7" ht="28.8" x14ac:dyDescent="0.55000000000000004">
      <c r="A255" s="12"/>
      <c r="B255" s="13"/>
      <c r="C255" s="10"/>
      <c r="D255" s="10"/>
      <c r="E255" s="7">
        <f>+$H$2+(REDA[[#This Row],[QUANTITE]]*REDA[[#This Row],[PRIX UNITAIRE]])</f>
        <v>0</v>
      </c>
      <c r="F255" s="14"/>
      <c r="G255" s="6">
        <f>+SUM(E$9:$E255)-SUM(F$9:$F255)</f>
        <v>3629700</v>
      </c>
    </row>
    <row r="256" spans="1:7" ht="28.8" x14ac:dyDescent="0.55000000000000004">
      <c r="A256" s="12"/>
      <c r="B256" s="13"/>
      <c r="C256" s="10"/>
      <c r="D256" s="10"/>
      <c r="E256" s="7">
        <f>+$H$2+(REDA[[#This Row],[QUANTITE]]*REDA[[#This Row],[PRIX UNITAIRE]])</f>
        <v>0</v>
      </c>
      <c r="F256" s="14"/>
      <c r="G256" s="6">
        <f>+SUM(E$9:$E256)-SUM(F$9:$F256)</f>
        <v>3629700</v>
      </c>
    </row>
    <row r="257" spans="1:7" ht="28.8" x14ac:dyDescent="0.55000000000000004">
      <c r="A257" s="12"/>
      <c r="B257" s="13"/>
      <c r="C257" s="10"/>
      <c r="D257" s="10"/>
      <c r="E257" s="7">
        <f>+$H$2+(REDA[[#This Row],[QUANTITE]]*REDA[[#This Row],[PRIX UNITAIRE]])</f>
        <v>0</v>
      </c>
      <c r="F257" s="14"/>
      <c r="G257" s="6">
        <f>+SUM(E$9:$E257)-SUM(F$9:$F257)</f>
        <v>3629700</v>
      </c>
    </row>
    <row r="258" spans="1:7" ht="28.8" x14ac:dyDescent="0.55000000000000004">
      <c r="A258" s="12"/>
      <c r="B258" s="13"/>
      <c r="C258" s="10"/>
      <c r="D258" s="10"/>
      <c r="E258" s="7">
        <f>+$H$2+(REDA[[#This Row],[QUANTITE]]*REDA[[#This Row],[PRIX UNITAIRE]])</f>
        <v>0</v>
      </c>
      <c r="F258" s="14"/>
      <c r="G258" s="6">
        <f>+SUM(E$9:$E258)-SUM(F$9:$F258)</f>
        <v>3629700</v>
      </c>
    </row>
    <row r="259" spans="1:7" ht="28.8" x14ac:dyDescent="0.55000000000000004">
      <c r="A259" s="12"/>
      <c r="B259" s="13"/>
      <c r="C259" s="10"/>
      <c r="D259" s="10"/>
      <c r="E259" s="7">
        <f>+$H$2+(REDA[[#This Row],[QUANTITE]]*REDA[[#This Row],[PRIX UNITAIRE]])</f>
        <v>0</v>
      </c>
      <c r="F259" s="14"/>
      <c r="G259" s="6">
        <f>+SUM(E$9:$E259)-SUM(F$9:$F259)</f>
        <v>3629700</v>
      </c>
    </row>
    <row r="260" spans="1:7" ht="28.8" x14ac:dyDescent="0.55000000000000004">
      <c r="A260" s="12"/>
      <c r="B260" s="13"/>
      <c r="C260" s="10"/>
      <c r="D260" s="10"/>
      <c r="E260" s="7">
        <f>+$H$2+(REDA[[#This Row],[QUANTITE]]*REDA[[#This Row],[PRIX UNITAIRE]])</f>
        <v>0</v>
      </c>
      <c r="F260" s="14"/>
      <c r="G260" s="6">
        <f>+SUM(E$9:$E260)-SUM(F$9:$F260)</f>
        <v>3629700</v>
      </c>
    </row>
    <row r="261" spans="1:7" ht="28.8" x14ac:dyDescent="0.55000000000000004">
      <c r="A261" s="12"/>
      <c r="B261" s="13"/>
      <c r="C261" s="10"/>
      <c r="D261" s="10"/>
      <c r="E261" s="7">
        <f>+$H$2+(REDA[[#This Row],[QUANTITE]]*REDA[[#This Row],[PRIX UNITAIRE]])</f>
        <v>0</v>
      </c>
      <c r="F261" s="14"/>
      <c r="G261" s="6">
        <f>+SUM(E$9:$E261)-SUM(F$9:$F261)</f>
        <v>3629700</v>
      </c>
    </row>
    <row r="262" spans="1:7" ht="28.8" x14ac:dyDescent="0.55000000000000004">
      <c r="A262" s="12"/>
      <c r="B262" s="13"/>
      <c r="C262" s="10"/>
      <c r="D262" s="10"/>
      <c r="E262" s="7">
        <f>+$H$2+(REDA[[#This Row],[QUANTITE]]*REDA[[#This Row],[PRIX UNITAIRE]])</f>
        <v>0</v>
      </c>
      <c r="F262" s="14"/>
      <c r="G262" s="6">
        <f>+SUM(E$9:$E262)-SUM(F$9:$F262)</f>
        <v>3629700</v>
      </c>
    </row>
    <row r="263" spans="1:7" ht="28.8" x14ac:dyDescent="0.55000000000000004">
      <c r="A263" s="12"/>
      <c r="B263" s="13"/>
      <c r="C263" s="10"/>
      <c r="D263" s="10"/>
      <c r="E263" s="7">
        <f>+$H$2+(REDA[[#This Row],[QUANTITE]]*REDA[[#This Row],[PRIX UNITAIRE]])</f>
        <v>0</v>
      </c>
      <c r="F263" s="14"/>
      <c r="G263" s="6">
        <f>+SUM(E$9:$E263)-SUM(F$9:$F263)</f>
        <v>3629700</v>
      </c>
    </row>
    <row r="264" spans="1:7" ht="28.8" x14ac:dyDescent="0.55000000000000004">
      <c r="A264" s="12"/>
      <c r="B264" s="13"/>
      <c r="C264" s="10"/>
      <c r="D264" s="10"/>
      <c r="E264" s="7">
        <f>+$H$2+(REDA[[#This Row],[QUANTITE]]*REDA[[#This Row],[PRIX UNITAIRE]])</f>
        <v>0</v>
      </c>
      <c r="F264" s="14"/>
      <c r="G264" s="6">
        <f>+SUM(E$9:$E264)-SUM(F$9:$F264)</f>
        <v>3629700</v>
      </c>
    </row>
    <row r="265" spans="1:7" ht="28.8" x14ac:dyDescent="0.55000000000000004">
      <c r="A265" s="82"/>
      <c r="B265" s="83"/>
      <c r="C265" s="84"/>
      <c r="D265" s="84"/>
      <c r="E265" s="85">
        <f>+$H$2+(REDA[[#This Row],[QUANTITE]]*REDA[[#This Row],[PRIX UNITAIRE]])</f>
        <v>0</v>
      </c>
      <c r="F265" s="86"/>
      <c r="G265" s="87">
        <f>+SUM(E$9:$E265)-SUM(F$9:$F265)</f>
        <v>3629700</v>
      </c>
    </row>
    <row r="266" spans="1:7" ht="28.8" x14ac:dyDescent="0.55000000000000004">
      <c r="A266" s="82"/>
      <c r="B266" s="83"/>
      <c r="C266" s="84"/>
      <c r="D266" s="84"/>
      <c r="E266" s="85">
        <f>+$H$2+(REDA[[#This Row],[QUANTITE]]*REDA[[#This Row],[PRIX UNITAIRE]])</f>
        <v>0</v>
      </c>
      <c r="F266" s="86"/>
      <c r="G266" s="87">
        <f>+SUM(E$9:$E266)-SUM(F$9:$F266)</f>
        <v>3629700</v>
      </c>
    </row>
    <row r="267" spans="1:7" ht="28.8" x14ac:dyDescent="0.55000000000000004">
      <c r="A267" s="82"/>
      <c r="B267" s="83"/>
      <c r="C267" s="84"/>
      <c r="D267" s="84"/>
      <c r="E267" s="85">
        <f>+$H$2+(REDA[[#This Row],[QUANTITE]]*REDA[[#This Row],[PRIX UNITAIRE]])</f>
        <v>0</v>
      </c>
      <c r="F267" s="86"/>
      <c r="G267" s="87">
        <f>+SUM(E$9:$E267)-SUM(F$9:$F267)</f>
        <v>3629700</v>
      </c>
    </row>
    <row r="268" spans="1:7" ht="28.8" x14ac:dyDescent="0.55000000000000004">
      <c r="A268" s="82"/>
      <c r="B268" s="83"/>
      <c r="C268" s="84"/>
      <c r="D268" s="84"/>
      <c r="E268" s="85">
        <f>+$H$2+(REDA[[#This Row],[QUANTITE]]*REDA[[#This Row],[PRIX UNITAIRE]])</f>
        <v>0</v>
      </c>
      <c r="F268" s="86"/>
      <c r="G268" s="87">
        <f>+SUM(E$9:$E268)-SUM(F$9:$F268)</f>
        <v>3629700</v>
      </c>
    </row>
    <row r="269" spans="1:7" ht="28.8" x14ac:dyDescent="0.55000000000000004">
      <c r="A269" s="82"/>
      <c r="B269" s="83"/>
      <c r="C269" s="84"/>
      <c r="D269" s="84"/>
      <c r="E269" s="85">
        <f>+$H$2+(REDA[[#This Row],[QUANTITE]]*REDA[[#This Row],[PRIX UNITAIRE]])</f>
        <v>0</v>
      </c>
      <c r="F269" s="86"/>
      <c r="G269" s="87">
        <f>+SUM(E$9:$E269)-SUM(F$9:$F269)</f>
        <v>3629700</v>
      </c>
    </row>
    <row r="270" spans="1:7" ht="28.8" x14ac:dyDescent="0.55000000000000004">
      <c r="A270" s="82"/>
      <c r="B270" s="83"/>
      <c r="C270" s="84"/>
      <c r="D270" s="84"/>
      <c r="E270" s="85">
        <f>+$H$2+(REDA[[#This Row],[QUANTITE]]*REDA[[#This Row],[PRIX UNITAIRE]])</f>
        <v>0</v>
      </c>
      <c r="F270" s="86"/>
      <c r="G270" s="87">
        <f>+SUM(E$9:$E270)-SUM(F$9:$F270)</f>
        <v>3629700</v>
      </c>
    </row>
    <row r="271" spans="1:7" ht="28.8" x14ac:dyDescent="0.55000000000000004">
      <c r="A271" s="82"/>
      <c r="B271" s="83"/>
      <c r="C271" s="84"/>
      <c r="D271" s="84"/>
      <c r="E271" s="85">
        <f>+$H$2+(REDA[[#This Row],[QUANTITE]]*REDA[[#This Row],[PRIX UNITAIRE]])</f>
        <v>0</v>
      </c>
      <c r="F271" s="86"/>
      <c r="G271" s="87">
        <f>+SUM(E$9:$E271)-SUM(F$9:$F271)</f>
        <v>3629700</v>
      </c>
    </row>
    <row r="272" spans="1:7" ht="28.8" x14ac:dyDescent="0.55000000000000004">
      <c r="A272" s="82"/>
      <c r="B272" s="83"/>
      <c r="C272" s="84"/>
      <c r="D272" s="84"/>
      <c r="E272" s="85">
        <f>+$H$2+(REDA[[#This Row],[QUANTITE]]*REDA[[#This Row],[PRIX UNITAIRE]])</f>
        <v>0</v>
      </c>
      <c r="F272" s="86"/>
      <c r="G272" s="87">
        <f>+SUM(E$9:$E272)-SUM(F$9:$F272)</f>
        <v>3629700</v>
      </c>
    </row>
    <row r="273" spans="1:7" ht="28.8" x14ac:dyDescent="0.55000000000000004">
      <c r="A273" s="82"/>
      <c r="B273" s="83"/>
      <c r="C273" s="84"/>
      <c r="D273" s="84"/>
      <c r="E273" s="85">
        <f>+$H$2+(REDA[[#This Row],[QUANTITE]]*REDA[[#This Row],[PRIX UNITAIRE]])</f>
        <v>0</v>
      </c>
      <c r="F273" s="86"/>
      <c r="G273" s="87">
        <f>+SUM(E$9:$E273)-SUM(F$9:$F273)</f>
        <v>3629700</v>
      </c>
    </row>
    <row r="274" spans="1:7" ht="28.8" x14ac:dyDescent="0.55000000000000004">
      <c r="A274" s="82"/>
      <c r="B274" s="83"/>
      <c r="C274" s="84"/>
      <c r="D274" s="84"/>
      <c r="E274" s="85">
        <f>+$H$2+(REDA[[#This Row],[QUANTITE]]*REDA[[#This Row],[PRIX UNITAIRE]])</f>
        <v>0</v>
      </c>
      <c r="F274" s="86"/>
      <c r="G274" s="87">
        <f>+SUM(E$9:$E274)-SUM(F$9:$F274)</f>
        <v>3629700</v>
      </c>
    </row>
    <row r="275" spans="1:7" ht="28.8" x14ac:dyDescent="0.55000000000000004">
      <c r="A275" s="82"/>
      <c r="B275" s="83"/>
      <c r="C275" s="84"/>
      <c r="D275" s="84"/>
      <c r="E275" s="85">
        <f>+$H$2+(REDA[[#This Row],[QUANTITE]]*REDA[[#This Row],[PRIX UNITAIRE]])</f>
        <v>0</v>
      </c>
      <c r="F275" s="86"/>
      <c r="G275" s="87">
        <f>+SUM(E$9:$E275)-SUM(F$9:$F275)</f>
        <v>3629700</v>
      </c>
    </row>
    <row r="276" spans="1:7" ht="28.8" x14ac:dyDescent="0.55000000000000004">
      <c r="A276" s="82"/>
      <c r="B276" s="83"/>
      <c r="C276" s="84"/>
      <c r="D276" s="84"/>
      <c r="E276" s="85">
        <f>+$H$2+(REDA[[#This Row],[QUANTITE]]*REDA[[#This Row],[PRIX UNITAIRE]])</f>
        <v>0</v>
      </c>
      <c r="F276" s="86"/>
      <c r="G276" s="87">
        <f>+SUM(E$9:$E276)-SUM(F$9:$F276)</f>
        <v>3629700</v>
      </c>
    </row>
    <row r="277" spans="1:7" ht="28.8" x14ac:dyDescent="0.55000000000000004">
      <c r="A277" s="82"/>
      <c r="B277" s="83"/>
      <c r="C277" s="84"/>
      <c r="D277" s="84"/>
      <c r="E277" s="85">
        <f>+$H$2+(REDA[[#This Row],[QUANTITE]]*REDA[[#This Row],[PRIX UNITAIRE]])</f>
        <v>0</v>
      </c>
      <c r="F277" s="86"/>
      <c r="G277" s="87">
        <f>+SUM(E$9:$E277)-SUM(F$9:$F277)</f>
        <v>3629700</v>
      </c>
    </row>
    <row r="278" spans="1:7" ht="28.8" x14ac:dyDescent="0.55000000000000004">
      <c r="A278" s="82"/>
      <c r="B278" s="83"/>
      <c r="C278" s="84"/>
      <c r="D278" s="84"/>
      <c r="E278" s="85">
        <f>+$H$2+(REDA[[#This Row],[QUANTITE]]*REDA[[#This Row],[PRIX UNITAIRE]])</f>
        <v>0</v>
      </c>
      <c r="F278" s="86"/>
      <c r="G278" s="87">
        <f>+SUM(E$9:$E278)-SUM(F$9:$F278)</f>
        <v>3629700</v>
      </c>
    </row>
    <row r="279" spans="1:7" ht="28.8" x14ac:dyDescent="0.55000000000000004">
      <c r="A279" s="82"/>
      <c r="B279" s="83"/>
      <c r="C279" s="84"/>
      <c r="D279" s="84"/>
      <c r="E279" s="85">
        <f>+$H$2+(REDA[[#This Row],[QUANTITE]]*REDA[[#This Row],[PRIX UNITAIRE]])</f>
        <v>0</v>
      </c>
      <c r="F279" s="86"/>
      <c r="G279" s="87">
        <f>+SUM(E$9:$E279)-SUM(F$9:$F279)</f>
        <v>3629700</v>
      </c>
    </row>
    <row r="280" spans="1:7" ht="28.8" x14ac:dyDescent="0.55000000000000004">
      <c r="A280" s="82"/>
      <c r="B280" s="83"/>
      <c r="C280" s="84"/>
      <c r="D280" s="84"/>
      <c r="E280" s="85">
        <f>+$H$2+(REDA[[#This Row],[QUANTITE]]*REDA[[#This Row],[PRIX UNITAIRE]])</f>
        <v>0</v>
      </c>
      <c r="F280" s="86"/>
      <c r="G280" s="87">
        <f>+SUM(E$9:$E280)-SUM(F$9:$F280)</f>
        <v>3629700</v>
      </c>
    </row>
    <row r="281" spans="1:7" ht="28.8" x14ac:dyDescent="0.55000000000000004">
      <c r="A281" s="82"/>
      <c r="B281" s="83"/>
      <c r="C281" s="84"/>
      <c r="D281" s="84"/>
      <c r="E281" s="85">
        <f>+$H$2+(REDA[[#This Row],[QUANTITE]]*REDA[[#This Row],[PRIX UNITAIRE]])</f>
        <v>0</v>
      </c>
      <c r="F281" s="86"/>
      <c r="G281" s="87">
        <f>+SUM(E$9:$E281)-SUM(F$9:$F281)</f>
        <v>3629700</v>
      </c>
    </row>
    <row r="282" spans="1:7" ht="28.8" x14ac:dyDescent="0.55000000000000004">
      <c r="A282" s="82"/>
      <c r="B282" s="83"/>
      <c r="C282" s="84"/>
      <c r="D282" s="84"/>
      <c r="E282" s="85">
        <f>+$H$2+(REDA[[#This Row],[QUANTITE]]*REDA[[#This Row],[PRIX UNITAIRE]])</f>
        <v>0</v>
      </c>
      <c r="F282" s="86"/>
      <c r="G282" s="87">
        <f>+SUM(E$9:$E282)-SUM(F$9:$F282)</f>
        <v>3629700</v>
      </c>
    </row>
    <row r="283" spans="1:7" ht="28.8" x14ac:dyDescent="0.55000000000000004">
      <c r="A283" s="82"/>
      <c r="B283" s="83"/>
      <c r="C283" s="84"/>
      <c r="D283" s="84"/>
      <c r="E283" s="85">
        <f>+$H$2+(REDA[[#This Row],[QUANTITE]]*REDA[[#This Row],[PRIX UNITAIRE]])</f>
        <v>0</v>
      </c>
      <c r="F283" s="86"/>
      <c r="G283" s="87">
        <f>+SUM(E$9:$E283)-SUM(F$9:$F283)</f>
        <v>3629700</v>
      </c>
    </row>
    <row r="284" spans="1:7" ht="28.8" x14ac:dyDescent="0.55000000000000004">
      <c r="A284" s="82"/>
      <c r="B284" s="83"/>
      <c r="C284" s="84"/>
      <c r="D284" s="84"/>
      <c r="E284" s="85">
        <f>+$H$2+(REDA[[#This Row],[QUANTITE]]*REDA[[#This Row],[PRIX UNITAIRE]])</f>
        <v>0</v>
      </c>
      <c r="F284" s="86"/>
      <c r="G284" s="87">
        <f>+SUM(E$9:$E284)-SUM(F$9:$F284)</f>
        <v>3629700</v>
      </c>
    </row>
    <row r="285" spans="1:7" ht="28.8" x14ac:dyDescent="0.55000000000000004">
      <c r="A285" s="82"/>
      <c r="B285" s="83"/>
      <c r="C285" s="84"/>
      <c r="D285" s="84"/>
      <c r="E285" s="85">
        <f>+$H$2+(REDA[[#This Row],[QUANTITE]]*REDA[[#This Row],[PRIX UNITAIRE]])</f>
        <v>0</v>
      </c>
      <c r="F285" s="86"/>
      <c r="G285" s="87">
        <f>+SUM(E$9:$E285)-SUM(F$9:$F285)</f>
        <v>3629700</v>
      </c>
    </row>
    <row r="286" spans="1:7" ht="28.8" x14ac:dyDescent="0.55000000000000004">
      <c r="A286" s="82"/>
      <c r="B286" s="83"/>
      <c r="C286" s="84"/>
      <c r="D286" s="84"/>
      <c r="E286" s="85">
        <f>+$H$2+(REDA[[#This Row],[QUANTITE]]*REDA[[#This Row],[PRIX UNITAIRE]])</f>
        <v>0</v>
      </c>
      <c r="F286" s="86"/>
      <c r="G286" s="87">
        <f>+SUM(E$9:$E286)-SUM(F$9:$F286)</f>
        <v>3629700</v>
      </c>
    </row>
    <row r="287" spans="1:7" ht="28.8" x14ac:dyDescent="0.55000000000000004">
      <c r="A287" s="82"/>
      <c r="B287" s="83"/>
      <c r="C287" s="84"/>
      <c r="D287" s="84"/>
      <c r="E287" s="85">
        <f>+$H$2+(REDA[[#This Row],[QUANTITE]]*REDA[[#This Row],[PRIX UNITAIRE]])</f>
        <v>0</v>
      </c>
      <c r="F287" s="86"/>
      <c r="G287" s="87">
        <f>+SUM(E$9:$E287)-SUM(F$9:$F287)</f>
        <v>3629700</v>
      </c>
    </row>
    <row r="288" spans="1:7" ht="28.8" x14ac:dyDescent="0.55000000000000004">
      <c r="A288" s="82"/>
      <c r="B288" s="83"/>
      <c r="C288" s="84"/>
      <c r="D288" s="84"/>
      <c r="E288" s="85">
        <f>+$H$2+(REDA[[#This Row],[QUANTITE]]*REDA[[#This Row],[PRIX UNITAIRE]])</f>
        <v>0</v>
      </c>
      <c r="F288" s="86"/>
      <c r="G288" s="87">
        <f>+SUM(E$9:$E288)-SUM(F$9:$F288)</f>
        <v>3629700</v>
      </c>
    </row>
    <row r="289" spans="1:7" ht="28.8" x14ac:dyDescent="0.55000000000000004">
      <c r="A289" s="82"/>
      <c r="B289" s="83"/>
      <c r="C289" s="84"/>
      <c r="D289" s="84"/>
      <c r="E289" s="85">
        <f>+$H$2+(REDA[[#This Row],[QUANTITE]]*REDA[[#This Row],[PRIX UNITAIRE]])</f>
        <v>0</v>
      </c>
      <c r="F289" s="86"/>
      <c r="G289" s="87">
        <f>+SUM(E$9:$E289)-SUM(F$9:$F289)</f>
        <v>3629700</v>
      </c>
    </row>
    <row r="290" spans="1:7" ht="28.8" x14ac:dyDescent="0.55000000000000004">
      <c r="A290" s="82"/>
      <c r="B290" s="83"/>
      <c r="C290" s="84"/>
      <c r="D290" s="84"/>
      <c r="E290" s="85">
        <f>+$H$2+(REDA[[#This Row],[QUANTITE]]*REDA[[#This Row],[PRIX UNITAIRE]])</f>
        <v>0</v>
      </c>
      <c r="F290" s="86"/>
      <c r="G290" s="87">
        <f>+SUM(E$9:$E290)-SUM(F$9:$F290)</f>
        <v>3629700</v>
      </c>
    </row>
    <row r="291" spans="1:7" ht="28.8" x14ac:dyDescent="0.55000000000000004">
      <c r="A291" s="82"/>
      <c r="B291" s="83"/>
      <c r="C291" s="84"/>
      <c r="D291" s="84"/>
      <c r="E291" s="85">
        <f>+$H$2+(REDA[[#This Row],[QUANTITE]]*REDA[[#This Row],[PRIX UNITAIRE]])</f>
        <v>0</v>
      </c>
      <c r="F291" s="86"/>
      <c r="G291" s="87">
        <f>+SUM(E$9:$E291)-SUM(F$9:$F291)</f>
        <v>3629700</v>
      </c>
    </row>
    <row r="292" spans="1:7" ht="28.8" x14ac:dyDescent="0.55000000000000004">
      <c r="A292" s="82"/>
      <c r="B292" s="83"/>
      <c r="C292" s="84"/>
      <c r="D292" s="84"/>
      <c r="E292" s="85">
        <f>+$H$2+(REDA[[#This Row],[QUANTITE]]*REDA[[#This Row],[PRIX UNITAIRE]])</f>
        <v>0</v>
      </c>
      <c r="F292" s="86"/>
      <c r="G292" s="87">
        <f>+SUM(E$9:$E292)-SUM(F$9:$F292)</f>
        <v>3629700</v>
      </c>
    </row>
    <row r="293" spans="1:7" ht="28.8" x14ac:dyDescent="0.55000000000000004">
      <c r="A293" s="82"/>
      <c r="B293" s="83"/>
      <c r="C293" s="84"/>
      <c r="D293" s="84"/>
      <c r="E293" s="85">
        <f>+$H$2+(REDA[[#This Row],[QUANTITE]]*REDA[[#This Row],[PRIX UNITAIRE]])</f>
        <v>0</v>
      </c>
      <c r="F293" s="86"/>
      <c r="G293" s="87">
        <f>+SUM(E$9:$E293)-SUM(F$9:$F293)</f>
        <v>3629700</v>
      </c>
    </row>
    <row r="294" spans="1:7" ht="28.8" x14ac:dyDescent="0.55000000000000004">
      <c r="A294" s="82"/>
      <c r="B294" s="83"/>
      <c r="C294" s="84"/>
      <c r="D294" s="84"/>
      <c r="E294" s="85">
        <f>+$H$2+(REDA[[#This Row],[QUANTITE]]*REDA[[#This Row],[PRIX UNITAIRE]])</f>
        <v>0</v>
      </c>
      <c r="F294" s="86"/>
      <c r="G294" s="87">
        <f>+SUM(E$9:$E294)-SUM(F$9:$F294)</f>
        <v>3629700</v>
      </c>
    </row>
    <row r="295" spans="1:7" ht="28.8" x14ac:dyDescent="0.55000000000000004">
      <c r="A295" s="82"/>
      <c r="B295" s="83"/>
      <c r="C295" s="84"/>
      <c r="D295" s="84"/>
      <c r="E295" s="85">
        <f>+$H$2+(REDA[[#This Row],[QUANTITE]]*REDA[[#This Row],[PRIX UNITAIRE]])</f>
        <v>0</v>
      </c>
      <c r="F295" s="86"/>
      <c r="G295" s="87">
        <f>+SUM(E$9:$E295)-SUM(F$9:$F295)</f>
        <v>3629700</v>
      </c>
    </row>
    <row r="296" spans="1:7" ht="28.8" x14ac:dyDescent="0.55000000000000004">
      <c r="A296" s="82"/>
      <c r="B296" s="83"/>
      <c r="C296" s="84"/>
      <c r="D296" s="84"/>
      <c r="E296" s="85">
        <f>+$H$2+(REDA[[#This Row],[QUANTITE]]*REDA[[#This Row],[PRIX UNITAIRE]])</f>
        <v>0</v>
      </c>
      <c r="F296" s="86"/>
      <c r="G296" s="87">
        <f>+SUM(E$9:$E296)-SUM(F$9:$F296)</f>
        <v>3629700</v>
      </c>
    </row>
    <row r="297" spans="1:7" ht="28.8" x14ac:dyDescent="0.55000000000000004">
      <c r="A297" s="82"/>
      <c r="B297" s="83"/>
      <c r="C297" s="84"/>
      <c r="D297" s="84"/>
      <c r="E297" s="85">
        <f>+$H$2+(REDA[[#This Row],[QUANTITE]]*REDA[[#This Row],[PRIX UNITAIRE]])</f>
        <v>0</v>
      </c>
      <c r="F297" s="86"/>
      <c r="G297" s="87">
        <f>+SUM(E$9:$E297)-SUM(F$9:$F297)</f>
        <v>3629700</v>
      </c>
    </row>
    <row r="298" spans="1:7" ht="28.8" x14ac:dyDescent="0.55000000000000004">
      <c r="A298" s="82"/>
      <c r="B298" s="83"/>
      <c r="C298" s="84"/>
      <c r="D298" s="84"/>
      <c r="E298" s="85">
        <f>+$H$2+(REDA[[#This Row],[QUANTITE]]*REDA[[#This Row],[PRIX UNITAIRE]])</f>
        <v>0</v>
      </c>
      <c r="F298" s="86"/>
      <c r="G298" s="87">
        <f>+SUM(E$9:$E298)-SUM(F$9:$F298)</f>
        <v>3629700</v>
      </c>
    </row>
    <row r="299" spans="1:7" ht="28.8" x14ac:dyDescent="0.55000000000000004">
      <c r="A299" s="82"/>
      <c r="B299" s="83"/>
      <c r="C299" s="84"/>
      <c r="D299" s="84"/>
      <c r="E299" s="85">
        <f>+$H$2+(REDA[[#This Row],[QUANTITE]]*REDA[[#This Row],[PRIX UNITAIRE]])</f>
        <v>0</v>
      </c>
      <c r="F299" s="86"/>
      <c r="G299" s="87">
        <f>+SUM(E$9:$E299)-SUM(F$9:$F299)</f>
        <v>3629700</v>
      </c>
    </row>
    <row r="300" spans="1:7" ht="28.8" x14ac:dyDescent="0.55000000000000004">
      <c r="A300" s="82"/>
      <c r="B300" s="83"/>
      <c r="C300" s="84"/>
      <c r="D300" s="84"/>
      <c r="E300" s="85">
        <f>+$H$2+(REDA[[#This Row],[QUANTITE]]*REDA[[#This Row],[PRIX UNITAIRE]])</f>
        <v>0</v>
      </c>
      <c r="F300" s="86"/>
      <c r="G300" s="87">
        <f>+SUM(E$9:$E300)-SUM(F$9:$F300)</f>
        <v>3629700</v>
      </c>
    </row>
    <row r="301" spans="1:7" ht="28.8" x14ac:dyDescent="0.55000000000000004">
      <c r="A301" s="82"/>
      <c r="B301" s="83"/>
      <c r="C301" s="84"/>
      <c r="D301" s="84"/>
      <c r="E301" s="85">
        <f>+$H$2+(REDA[[#This Row],[QUANTITE]]*REDA[[#This Row],[PRIX UNITAIRE]])</f>
        <v>0</v>
      </c>
      <c r="F301" s="86"/>
      <c r="G301" s="87">
        <f>+SUM(E$9:$E301)-SUM(F$9:$F301)</f>
        <v>3629700</v>
      </c>
    </row>
    <row r="302" spans="1:7" ht="28.8" x14ac:dyDescent="0.55000000000000004">
      <c r="A302" s="82"/>
      <c r="B302" s="83"/>
      <c r="C302" s="84"/>
      <c r="D302" s="84"/>
      <c r="E302" s="85">
        <f>+$H$2+(REDA[[#This Row],[QUANTITE]]*REDA[[#This Row],[PRIX UNITAIRE]])</f>
        <v>0</v>
      </c>
      <c r="F302" s="86"/>
      <c r="G302" s="87">
        <f>+SUM(E$9:$E302)-SUM(F$9:$F302)</f>
        <v>3629700</v>
      </c>
    </row>
    <row r="303" spans="1:7" ht="28.8" x14ac:dyDescent="0.55000000000000004">
      <c r="A303" s="82"/>
      <c r="B303" s="83"/>
      <c r="C303" s="84"/>
      <c r="D303" s="84"/>
      <c r="E303" s="85">
        <f>+$H$2+(REDA[[#This Row],[QUANTITE]]*REDA[[#This Row],[PRIX UNITAIRE]])</f>
        <v>0</v>
      </c>
      <c r="F303" s="86"/>
      <c r="G303" s="87">
        <f>+SUM(E$9:$E303)-SUM(F$9:$F303)</f>
        <v>3629700</v>
      </c>
    </row>
    <row r="304" spans="1:7" ht="28.8" x14ac:dyDescent="0.55000000000000004">
      <c r="A304" s="82"/>
      <c r="B304" s="83"/>
      <c r="C304" s="84"/>
      <c r="D304" s="84"/>
      <c r="E304" s="85">
        <f>+$H$2+(REDA[[#This Row],[QUANTITE]]*REDA[[#This Row],[PRIX UNITAIRE]])</f>
        <v>0</v>
      </c>
      <c r="F304" s="86"/>
      <c r="G304" s="87">
        <f>+SUM(E$9:$E304)-SUM(F$9:$F304)</f>
        <v>3629700</v>
      </c>
    </row>
    <row r="305" spans="1:7" ht="28.8" x14ac:dyDescent="0.55000000000000004">
      <c r="A305" s="82"/>
      <c r="B305" s="83"/>
      <c r="C305" s="84"/>
      <c r="D305" s="84"/>
      <c r="E305" s="85">
        <f>+$H$2+(REDA[[#This Row],[QUANTITE]]*REDA[[#This Row],[PRIX UNITAIRE]])</f>
        <v>0</v>
      </c>
      <c r="F305" s="86"/>
      <c r="G305" s="87">
        <f>+SUM(E$9:$E305)-SUM(F$9:$F305)</f>
        <v>3629700</v>
      </c>
    </row>
    <row r="306" spans="1:7" ht="28.8" x14ac:dyDescent="0.55000000000000004">
      <c r="A306" s="82"/>
      <c r="B306" s="83"/>
      <c r="C306" s="84"/>
      <c r="D306" s="84"/>
      <c r="E306" s="85">
        <f>+$H$2+(REDA[[#This Row],[QUANTITE]]*REDA[[#This Row],[PRIX UNITAIRE]])</f>
        <v>0</v>
      </c>
      <c r="F306" s="86"/>
      <c r="G306" s="87">
        <f>+SUM(E$9:$E306)-SUM(F$9:$F306)</f>
        <v>3629700</v>
      </c>
    </row>
    <row r="307" spans="1:7" ht="28.8" x14ac:dyDescent="0.55000000000000004">
      <c r="A307" s="82"/>
      <c r="B307" s="83"/>
      <c r="C307" s="84"/>
      <c r="D307" s="84"/>
      <c r="E307" s="85">
        <f>+$H$2+(REDA[[#This Row],[QUANTITE]]*REDA[[#This Row],[PRIX UNITAIRE]])</f>
        <v>0</v>
      </c>
      <c r="F307" s="86"/>
      <c r="G307" s="87">
        <f>+SUM(E$9:$E307)-SUM(F$9:$F307)</f>
        <v>3629700</v>
      </c>
    </row>
    <row r="308" spans="1:7" ht="28.8" x14ac:dyDescent="0.55000000000000004">
      <c r="A308" s="82"/>
      <c r="B308" s="83"/>
      <c r="C308" s="84"/>
      <c r="D308" s="84"/>
      <c r="E308" s="85">
        <f>+$H$2+(REDA[[#This Row],[QUANTITE]]*REDA[[#This Row],[PRIX UNITAIRE]])</f>
        <v>0</v>
      </c>
      <c r="F308" s="86"/>
      <c r="G308" s="87">
        <f>+SUM(E$9:$E308)-SUM(F$9:$F308)</f>
        <v>3629700</v>
      </c>
    </row>
    <row r="309" spans="1:7" ht="28.8" x14ac:dyDescent="0.55000000000000004">
      <c r="A309" s="82"/>
      <c r="B309" s="83"/>
      <c r="C309" s="84"/>
      <c r="D309" s="84"/>
      <c r="E309" s="85">
        <f>+$H$2+(REDA[[#This Row],[QUANTITE]]*REDA[[#This Row],[PRIX UNITAIRE]])</f>
        <v>0</v>
      </c>
      <c r="F309" s="86"/>
      <c r="G309" s="87">
        <f>+SUM(E$9:$E309)-SUM(F$9:$F309)</f>
        <v>3629700</v>
      </c>
    </row>
    <row r="310" spans="1:7" ht="28.8" x14ac:dyDescent="0.55000000000000004">
      <c r="A310" s="82"/>
      <c r="B310" s="83"/>
      <c r="C310" s="84"/>
      <c r="D310" s="84"/>
      <c r="E310" s="85">
        <f>+$H$2+(REDA[[#This Row],[QUANTITE]]*REDA[[#This Row],[PRIX UNITAIRE]])</f>
        <v>0</v>
      </c>
      <c r="F310" s="86"/>
      <c r="G310" s="87">
        <f>+SUM(E$9:$E310)-SUM(F$9:$F310)</f>
        <v>3629700</v>
      </c>
    </row>
    <row r="311" spans="1:7" ht="28.8" x14ac:dyDescent="0.55000000000000004">
      <c r="A311" s="82"/>
      <c r="B311" s="83"/>
      <c r="C311" s="84"/>
      <c r="D311" s="84"/>
      <c r="E311" s="85">
        <f>+$H$2+(REDA[[#This Row],[QUANTITE]]*REDA[[#This Row],[PRIX UNITAIRE]])</f>
        <v>0</v>
      </c>
      <c r="F311" s="86"/>
      <c r="G311" s="87">
        <f>+SUM(E$9:$E311)-SUM(F$9:$F311)</f>
        <v>3629700</v>
      </c>
    </row>
    <row r="312" spans="1:7" ht="28.8" x14ac:dyDescent="0.55000000000000004">
      <c r="A312" s="82"/>
      <c r="B312" s="83"/>
      <c r="C312" s="84"/>
      <c r="D312" s="84"/>
      <c r="E312" s="85">
        <f>+$H$2+(REDA[[#This Row],[QUANTITE]]*REDA[[#This Row],[PRIX UNITAIRE]])</f>
        <v>0</v>
      </c>
      <c r="F312" s="86"/>
      <c r="G312" s="87">
        <f>+SUM(E$9:$E312)-SUM(F$9:$F312)</f>
        <v>3629700</v>
      </c>
    </row>
    <row r="313" spans="1:7" ht="28.8" x14ac:dyDescent="0.55000000000000004">
      <c r="A313" s="82"/>
      <c r="B313" s="83"/>
      <c r="C313" s="84"/>
      <c r="D313" s="84"/>
      <c r="E313" s="85">
        <f>+$H$2+(REDA[[#This Row],[QUANTITE]]*REDA[[#This Row],[PRIX UNITAIRE]])</f>
        <v>0</v>
      </c>
      <c r="F313" s="86"/>
      <c r="G313" s="87">
        <f>+SUM(E$9:$E313)-SUM(F$9:$F313)</f>
        <v>3629700</v>
      </c>
    </row>
    <row r="314" spans="1:7" ht="28.8" x14ac:dyDescent="0.55000000000000004">
      <c r="A314" s="82"/>
      <c r="B314" s="83"/>
      <c r="C314" s="84"/>
      <c r="D314" s="84"/>
      <c r="E314" s="85">
        <f>+$H$2+(REDA[[#This Row],[QUANTITE]]*REDA[[#This Row],[PRIX UNITAIRE]])</f>
        <v>0</v>
      </c>
      <c r="F314" s="86"/>
      <c r="G314" s="87">
        <f>+SUM(E$9:$E314)-SUM(F$9:$F314)</f>
        <v>3629700</v>
      </c>
    </row>
    <row r="315" spans="1:7" ht="28.8" x14ac:dyDescent="0.55000000000000004">
      <c r="A315" s="12"/>
      <c r="B315" s="13"/>
      <c r="C315" s="10"/>
      <c r="D315" s="10"/>
      <c r="E315" s="7">
        <f>+$H$2+(REDA[[#This Row],[QUANTITE]]*REDA[[#This Row],[PRIX UNITAIRE]])</f>
        <v>0</v>
      </c>
      <c r="F315" s="14"/>
      <c r="G315" s="6">
        <f>+SUM(E$9:$E315)-SUM(F$9:$F315)</f>
        <v>3629700</v>
      </c>
    </row>
    <row r="316" spans="1:7" ht="28.8" x14ac:dyDescent="0.55000000000000004">
      <c r="A316" s="12"/>
      <c r="B316" s="13"/>
      <c r="C316" s="10"/>
      <c r="D316" s="10"/>
      <c r="E316" s="7">
        <f>+$H$2+(REDA[[#This Row],[QUANTITE]]*REDA[[#This Row],[PRIX UNITAIRE]])</f>
        <v>0</v>
      </c>
      <c r="F316" s="14"/>
      <c r="G316" s="6">
        <f>+SUM(E$9:$E316)-SUM(F$9:$F316)</f>
        <v>3629700</v>
      </c>
    </row>
    <row r="317" spans="1:7" ht="28.8" x14ac:dyDescent="0.55000000000000004">
      <c r="A317" s="12"/>
      <c r="B317" s="13"/>
      <c r="C317" s="10"/>
      <c r="D317" s="10"/>
      <c r="E317" s="7">
        <f>+$H$2+(REDA[[#This Row],[QUANTITE]]*REDA[[#This Row],[PRIX UNITAIRE]])</f>
        <v>0</v>
      </c>
      <c r="F317" s="14"/>
      <c r="G317" s="6">
        <f>+SUM(E$9:$E317)-SUM(F$9:$F317)</f>
        <v>3629700</v>
      </c>
    </row>
    <row r="318" spans="1:7" ht="28.8" x14ac:dyDescent="0.55000000000000004">
      <c r="A318" s="12"/>
      <c r="B318" s="13"/>
      <c r="C318" s="10"/>
      <c r="D318" s="10"/>
      <c r="E318" s="7">
        <f>+$H$2+(REDA[[#This Row],[QUANTITE]]*REDA[[#This Row],[PRIX UNITAIRE]])</f>
        <v>0</v>
      </c>
      <c r="F318" s="14"/>
      <c r="G318" s="6">
        <f>+SUM(E$9:$E318)-SUM(F$9:$F318)</f>
        <v>3629700</v>
      </c>
    </row>
    <row r="319" spans="1:7" ht="28.8" x14ac:dyDescent="0.55000000000000004">
      <c r="A319" s="12"/>
      <c r="B319" s="13"/>
      <c r="C319" s="10"/>
      <c r="D319" s="10"/>
      <c r="E319" s="7">
        <f>+$H$2+(REDA[[#This Row],[QUANTITE]]*REDA[[#This Row],[PRIX UNITAIRE]])</f>
        <v>0</v>
      </c>
      <c r="F319" s="14"/>
      <c r="G319" s="6">
        <f>+SUM(E$9:$E319)-SUM(F$9:$F319)</f>
        <v>3629700</v>
      </c>
    </row>
    <row r="320" spans="1:7" ht="28.8" x14ac:dyDescent="0.55000000000000004">
      <c r="A320" s="12"/>
      <c r="B320" s="13"/>
      <c r="C320" s="10"/>
      <c r="D320" s="10"/>
      <c r="E320" s="7">
        <f>+$H$2+(REDA[[#This Row],[QUANTITE]]*REDA[[#This Row],[PRIX UNITAIRE]])</f>
        <v>0</v>
      </c>
      <c r="F320" s="14"/>
      <c r="G320" s="6">
        <f>+SUM(E$9:$E320)-SUM(F$9:$F320)</f>
        <v>3629700</v>
      </c>
    </row>
    <row r="321" spans="1:7" ht="28.8" x14ac:dyDescent="0.55000000000000004">
      <c r="A321" s="12"/>
      <c r="B321" s="13"/>
      <c r="C321" s="10"/>
      <c r="D321" s="10"/>
      <c r="E321" s="7">
        <f>+$H$2+(REDA[[#This Row],[QUANTITE]]*REDA[[#This Row],[PRIX UNITAIRE]])</f>
        <v>0</v>
      </c>
      <c r="F321" s="14"/>
      <c r="G321" s="6">
        <f>+SUM(E$9:$E321)-SUM(F$9:$F321)</f>
        <v>3629700</v>
      </c>
    </row>
    <row r="322" spans="1:7" ht="28.8" x14ac:dyDescent="0.55000000000000004">
      <c r="A322" s="12"/>
      <c r="B322" s="13"/>
      <c r="C322" s="10"/>
      <c r="D322" s="10"/>
      <c r="E322" s="7">
        <f>+$H$2+(REDA[[#This Row],[QUANTITE]]*REDA[[#This Row],[PRIX UNITAIRE]])</f>
        <v>0</v>
      </c>
      <c r="F322" s="14"/>
      <c r="G322" s="6">
        <f>+SUM(E$9:$E322)-SUM(F$9:$F322)</f>
        <v>3629700</v>
      </c>
    </row>
    <row r="323" spans="1:7" ht="28.8" x14ac:dyDescent="0.55000000000000004">
      <c r="A323" s="12"/>
      <c r="B323" s="13"/>
      <c r="C323" s="10"/>
      <c r="D323" s="10"/>
      <c r="E323" s="7">
        <f>+$H$2+(REDA[[#This Row],[QUANTITE]]*REDA[[#This Row],[PRIX UNITAIRE]])</f>
        <v>0</v>
      </c>
      <c r="F323" s="14"/>
      <c r="G323" s="6">
        <f>+SUM(E$9:$E323)-SUM(F$9:$F323)</f>
        <v>3629700</v>
      </c>
    </row>
    <row r="324" spans="1:7" ht="28.8" x14ac:dyDescent="0.55000000000000004">
      <c r="A324" s="12"/>
      <c r="B324" s="13"/>
      <c r="C324" s="10"/>
      <c r="D324" s="10"/>
      <c r="E324" s="7">
        <f>+$H$2+(REDA[[#This Row],[QUANTITE]]*REDA[[#This Row],[PRIX UNITAIRE]])</f>
        <v>0</v>
      </c>
      <c r="F324" s="14"/>
      <c r="G324" s="6">
        <f>+SUM(E$9:$E324)-SUM(F$9:$F324)</f>
        <v>3629700</v>
      </c>
    </row>
    <row r="325" spans="1:7" ht="28.8" x14ac:dyDescent="0.55000000000000004">
      <c r="A325" s="12"/>
      <c r="B325" s="13"/>
      <c r="C325" s="10"/>
      <c r="D325" s="10"/>
      <c r="E325" s="7">
        <f>+$H$2+(REDA[[#This Row],[QUANTITE]]*REDA[[#This Row],[PRIX UNITAIRE]])</f>
        <v>0</v>
      </c>
      <c r="F325" s="14"/>
      <c r="G325" s="6">
        <f>+SUM(E$9:$E325)-SUM(F$9:$F325)</f>
        <v>3629700</v>
      </c>
    </row>
    <row r="326" spans="1:7" ht="28.8" x14ac:dyDescent="0.55000000000000004">
      <c r="A326" s="12"/>
      <c r="B326" s="13"/>
      <c r="C326" s="10"/>
      <c r="D326" s="10"/>
      <c r="E326" s="7">
        <f>+$H$2+(REDA[[#This Row],[QUANTITE]]*REDA[[#This Row],[PRIX UNITAIRE]])</f>
        <v>0</v>
      </c>
      <c r="F326" s="14"/>
      <c r="G326" s="6">
        <f>+SUM(E$9:$E326)-SUM(F$9:$F326)</f>
        <v>3629700</v>
      </c>
    </row>
    <row r="327" spans="1:7" ht="28.8" x14ac:dyDescent="0.55000000000000004">
      <c r="A327" s="12"/>
      <c r="B327" s="13"/>
      <c r="C327" s="10"/>
      <c r="D327" s="10"/>
      <c r="E327" s="7">
        <f>+$H$2+(REDA[[#This Row],[QUANTITE]]*REDA[[#This Row],[PRIX UNITAIRE]])</f>
        <v>0</v>
      </c>
      <c r="F327" s="14"/>
      <c r="G327" s="6">
        <f>+SUM(E$9:$E327)-SUM(F$9:$F327)</f>
        <v>3629700</v>
      </c>
    </row>
    <row r="328" spans="1:7" ht="28.8" x14ac:dyDescent="0.55000000000000004">
      <c r="A328" s="12"/>
      <c r="B328" s="13"/>
      <c r="C328" s="10"/>
      <c r="D328" s="10"/>
      <c r="E328" s="7">
        <f>+$H$2+(REDA[[#This Row],[QUANTITE]]*REDA[[#This Row],[PRIX UNITAIRE]])</f>
        <v>0</v>
      </c>
      <c r="F328" s="14"/>
      <c r="G328" s="6">
        <f>+SUM(E$9:$E328)-SUM(F$9:$F328)</f>
        <v>3629700</v>
      </c>
    </row>
    <row r="329" spans="1:7" ht="28.8" x14ac:dyDescent="0.55000000000000004">
      <c r="A329" s="12"/>
      <c r="B329" s="13"/>
      <c r="C329" s="10"/>
      <c r="D329" s="10"/>
      <c r="E329" s="7">
        <f>+$H$2+(REDA[[#This Row],[QUANTITE]]*REDA[[#This Row],[PRIX UNITAIRE]])</f>
        <v>0</v>
      </c>
      <c r="F329" s="14"/>
      <c r="G329" s="6">
        <f>+SUM(E$9:$E329)-SUM(F$9:$F329)</f>
        <v>3629700</v>
      </c>
    </row>
    <row r="330" spans="1:7" ht="28.8" x14ac:dyDescent="0.55000000000000004">
      <c r="A330" s="12"/>
      <c r="B330" s="13"/>
      <c r="C330" s="10"/>
      <c r="D330" s="10"/>
      <c r="E330" s="7">
        <f>+$H$2+(REDA[[#This Row],[QUANTITE]]*REDA[[#This Row],[PRIX UNITAIRE]])</f>
        <v>0</v>
      </c>
      <c r="F330" s="14"/>
      <c r="G330" s="6">
        <f>+SUM(E$9:$E330)-SUM(F$9:$F330)</f>
        <v>3629700</v>
      </c>
    </row>
    <row r="331" spans="1:7" ht="28.8" x14ac:dyDescent="0.55000000000000004">
      <c r="A331" s="12"/>
      <c r="B331" s="13"/>
      <c r="C331" s="10"/>
      <c r="D331" s="10"/>
      <c r="E331" s="7">
        <f>+$H$2+(REDA[[#This Row],[QUANTITE]]*REDA[[#This Row],[PRIX UNITAIRE]])</f>
        <v>0</v>
      </c>
      <c r="F331" s="14"/>
      <c r="G331" s="6">
        <f>+SUM(E$9:$E331)-SUM(F$9:$F331)</f>
        <v>3629700</v>
      </c>
    </row>
    <row r="332" spans="1:7" ht="28.8" x14ac:dyDescent="0.55000000000000004">
      <c r="A332" s="12"/>
      <c r="B332" s="13"/>
      <c r="C332" s="10"/>
      <c r="D332" s="10"/>
      <c r="E332" s="7">
        <f>+$H$2+(REDA[[#This Row],[QUANTITE]]*REDA[[#This Row],[PRIX UNITAIRE]])</f>
        <v>0</v>
      </c>
      <c r="F332" s="14"/>
      <c r="G332" s="6">
        <f>+SUM(E$9:$E332)-SUM(F$9:$F332)</f>
        <v>3629700</v>
      </c>
    </row>
    <row r="333" spans="1:7" ht="28.8" x14ac:dyDescent="0.55000000000000004">
      <c r="A333" s="12"/>
      <c r="B333" s="13"/>
      <c r="C333" s="10"/>
      <c r="D333" s="10"/>
      <c r="E333" s="7">
        <f>+$H$2+(REDA[[#This Row],[QUANTITE]]*REDA[[#This Row],[PRIX UNITAIRE]])</f>
        <v>0</v>
      </c>
      <c r="F333" s="14"/>
      <c r="G333" s="6">
        <f>+SUM(E$9:$E333)-SUM(F$9:$F333)</f>
        <v>3629700</v>
      </c>
    </row>
    <row r="334" spans="1:7" ht="28.8" x14ac:dyDescent="0.55000000000000004">
      <c r="A334" s="12"/>
      <c r="B334" s="13"/>
      <c r="C334" s="10"/>
      <c r="D334" s="10"/>
      <c r="E334" s="7">
        <f>+$H$2+(REDA[[#This Row],[QUANTITE]]*REDA[[#This Row],[PRIX UNITAIRE]])</f>
        <v>0</v>
      </c>
      <c r="F334" s="14"/>
      <c r="G334" s="6">
        <f>+SUM(E$9:$E334)-SUM(F$9:$F334)</f>
        <v>3629700</v>
      </c>
    </row>
    <row r="335" spans="1:7" ht="28.8" x14ac:dyDescent="0.55000000000000004">
      <c r="A335" s="12"/>
      <c r="B335" s="13"/>
      <c r="C335" s="10"/>
      <c r="D335" s="10"/>
      <c r="E335" s="7">
        <f>+$H$2+(REDA[[#This Row],[QUANTITE]]*REDA[[#This Row],[PRIX UNITAIRE]])</f>
        <v>0</v>
      </c>
      <c r="F335" s="14"/>
      <c r="G335" s="6">
        <f>+SUM(E$9:$E335)-SUM(F$9:$F335)</f>
        <v>3629700</v>
      </c>
    </row>
    <row r="336" spans="1:7" ht="28.8" x14ac:dyDescent="0.55000000000000004">
      <c r="A336" s="12"/>
      <c r="B336" s="13"/>
      <c r="C336" s="10"/>
      <c r="D336" s="10"/>
      <c r="E336" s="7">
        <f>+$H$2+(REDA[[#This Row],[QUANTITE]]*REDA[[#This Row],[PRIX UNITAIRE]])</f>
        <v>0</v>
      </c>
      <c r="F336" s="14"/>
      <c r="G336" s="6">
        <f>+SUM(E$9:$E336)-SUM(F$9:$F336)</f>
        <v>3629700</v>
      </c>
    </row>
    <row r="337" spans="1:7" ht="28.8" x14ac:dyDescent="0.55000000000000004">
      <c r="A337" s="12"/>
      <c r="B337" s="13"/>
      <c r="C337" s="10"/>
      <c r="D337" s="10"/>
      <c r="E337" s="7">
        <f>+$H$2+(REDA[[#This Row],[QUANTITE]]*REDA[[#This Row],[PRIX UNITAIRE]])</f>
        <v>0</v>
      </c>
      <c r="F337" s="14"/>
      <c r="G337" s="6">
        <f>+SUM(E$9:$E337)-SUM(F$9:$F337)</f>
        <v>3629700</v>
      </c>
    </row>
    <row r="338" spans="1:7" ht="28.8" x14ac:dyDescent="0.55000000000000004">
      <c r="A338" s="12"/>
      <c r="B338" s="13"/>
      <c r="C338" s="10"/>
      <c r="D338" s="10"/>
      <c r="E338" s="7">
        <f>+$H$2+(REDA[[#This Row],[QUANTITE]]*REDA[[#This Row],[PRIX UNITAIRE]])</f>
        <v>0</v>
      </c>
      <c r="F338" s="14"/>
      <c r="G338" s="6">
        <f>+SUM(E$9:$E338)-SUM(F$9:$F338)</f>
        <v>3629700</v>
      </c>
    </row>
    <row r="339" spans="1:7" ht="28.8" x14ac:dyDescent="0.55000000000000004">
      <c r="A339" s="12"/>
      <c r="B339" s="13"/>
      <c r="C339" s="10"/>
      <c r="D339" s="10"/>
      <c r="E339" s="7">
        <f>+$H$2+(REDA[[#This Row],[QUANTITE]]*REDA[[#This Row],[PRIX UNITAIRE]])</f>
        <v>0</v>
      </c>
      <c r="F339" s="14"/>
      <c r="G339" s="6">
        <f>+SUM(E$9:$E339)-SUM(F$9:$F339)</f>
        <v>3629700</v>
      </c>
    </row>
    <row r="340" spans="1:7" ht="28.8" x14ac:dyDescent="0.55000000000000004">
      <c r="A340" s="12"/>
      <c r="B340" s="13"/>
      <c r="C340" s="10"/>
      <c r="D340" s="10"/>
      <c r="E340" s="7">
        <f>+$H$2+(REDA[[#This Row],[QUANTITE]]*REDA[[#This Row],[PRIX UNITAIRE]])</f>
        <v>0</v>
      </c>
      <c r="F340" s="14"/>
      <c r="G340" s="6">
        <f>+SUM(E$9:$E340)-SUM(F$9:$F340)</f>
        <v>3629700</v>
      </c>
    </row>
    <row r="341" spans="1:7" ht="28.8" x14ac:dyDescent="0.55000000000000004">
      <c r="A341" s="12"/>
      <c r="B341" s="13"/>
      <c r="C341" s="10"/>
      <c r="D341" s="10"/>
      <c r="E341" s="7">
        <f>+$H$2+(REDA[[#This Row],[QUANTITE]]*REDA[[#This Row],[PRIX UNITAIRE]])</f>
        <v>0</v>
      </c>
      <c r="F341" s="14"/>
      <c r="G341" s="6">
        <f>+SUM(E$9:$E341)-SUM(F$9:$F341)</f>
        <v>3629700</v>
      </c>
    </row>
    <row r="342" spans="1:7" ht="28.8" x14ac:dyDescent="0.55000000000000004">
      <c r="A342" s="12"/>
      <c r="B342" s="13"/>
      <c r="C342" s="10"/>
      <c r="D342" s="10"/>
      <c r="E342" s="7">
        <f>+$H$2+(REDA[[#This Row],[QUANTITE]]*REDA[[#This Row],[PRIX UNITAIRE]])</f>
        <v>0</v>
      </c>
      <c r="F342" s="14"/>
      <c r="G342" s="6">
        <f>+SUM(E$9:$E342)-SUM(F$9:$F342)</f>
        <v>3629700</v>
      </c>
    </row>
    <row r="343" spans="1:7" ht="28.8" x14ac:dyDescent="0.55000000000000004">
      <c r="A343" s="12"/>
      <c r="B343" s="13"/>
      <c r="C343" s="10"/>
      <c r="D343" s="10"/>
      <c r="E343" s="7">
        <f>+$H$2+(REDA[[#This Row],[QUANTITE]]*REDA[[#This Row],[PRIX UNITAIRE]])</f>
        <v>0</v>
      </c>
      <c r="F343" s="14"/>
      <c r="G343" s="6">
        <f>+SUM(E$9:$E343)-SUM(F$9:$F343)</f>
        <v>3629700</v>
      </c>
    </row>
    <row r="344" spans="1:7" ht="28.8" x14ac:dyDescent="0.55000000000000004">
      <c r="A344" s="12"/>
      <c r="B344" s="13"/>
      <c r="C344" s="10"/>
      <c r="D344" s="10"/>
      <c r="E344" s="7">
        <f>+$H$2+(REDA[[#This Row],[QUANTITE]]*REDA[[#This Row],[PRIX UNITAIRE]])</f>
        <v>0</v>
      </c>
      <c r="F344" s="14"/>
      <c r="G344" s="6">
        <f>+SUM(E$9:$E344)-SUM(F$9:$F344)</f>
        <v>3629700</v>
      </c>
    </row>
    <row r="345" spans="1:7" ht="28.8" x14ac:dyDescent="0.55000000000000004">
      <c r="A345" s="12"/>
      <c r="B345" s="13"/>
      <c r="C345" s="10"/>
      <c r="D345" s="10"/>
      <c r="E345" s="7">
        <f>+$H$2+(REDA[[#This Row],[QUANTITE]]*REDA[[#This Row],[PRIX UNITAIRE]])</f>
        <v>0</v>
      </c>
      <c r="F345" s="14"/>
      <c r="G345" s="6">
        <f>+SUM(E$9:$E345)-SUM(F$9:$F345)</f>
        <v>3629700</v>
      </c>
    </row>
    <row r="346" spans="1:7" ht="28.8" x14ac:dyDescent="0.55000000000000004">
      <c r="A346" s="12"/>
      <c r="B346" s="13"/>
      <c r="C346" s="10"/>
      <c r="D346" s="10"/>
      <c r="E346" s="7">
        <f>+$H$2+(REDA[[#This Row],[QUANTITE]]*REDA[[#This Row],[PRIX UNITAIRE]])</f>
        <v>0</v>
      </c>
      <c r="F346" s="14"/>
      <c r="G346" s="6">
        <f>+SUM(E$9:$E346)-SUM(F$9:$F346)</f>
        <v>3629700</v>
      </c>
    </row>
    <row r="347" spans="1:7" ht="28.8" x14ac:dyDescent="0.55000000000000004">
      <c r="A347" s="12"/>
      <c r="B347" s="13"/>
      <c r="C347" s="10"/>
      <c r="D347" s="10"/>
      <c r="E347" s="7">
        <f>+$H$2+(REDA[[#This Row],[QUANTITE]]*REDA[[#This Row],[PRIX UNITAIRE]])</f>
        <v>0</v>
      </c>
      <c r="F347" s="14"/>
      <c r="G347" s="6">
        <f>+SUM(E$9:$E347)-SUM(F$9:$F347)</f>
        <v>3629700</v>
      </c>
    </row>
    <row r="348" spans="1:7" ht="28.8" x14ac:dyDescent="0.55000000000000004">
      <c r="A348" s="12"/>
      <c r="B348" s="13"/>
      <c r="C348" s="10"/>
      <c r="D348" s="10"/>
      <c r="E348" s="7">
        <f>+$H$2+(REDA[[#This Row],[QUANTITE]]*REDA[[#This Row],[PRIX UNITAIRE]])</f>
        <v>0</v>
      </c>
      <c r="F348" s="14"/>
      <c r="G348" s="6">
        <f>+SUM(E$9:$E348)-SUM(F$9:$F348)</f>
        <v>3629700</v>
      </c>
    </row>
    <row r="349" spans="1:7" ht="28.8" x14ac:dyDescent="0.55000000000000004">
      <c r="A349" s="12"/>
      <c r="B349" s="13"/>
      <c r="C349" s="10"/>
      <c r="D349" s="10"/>
      <c r="E349" s="7">
        <f>+$H$2+(REDA[[#This Row],[QUANTITE]]*REDA[[#This Row],[PRIX UNITAIRE]])</f>
        <v>0</v>
      </c>
      <c r="F349" s="14"/>
      <c r="G349" s="6">
        <f>+SUM(E$9:$E349)-SUM(F$9:$F349)</f>
        <v>3629700</v>
      </c>
    </row>
    <row r="350" spans="1:7" ht="28.8" x14ac:dyDescent="0.55000000000000004">
      <c r="A350" s="12"/>
      <c r="B350" s="13"/>
      <c r="C350" s="10"/>
      <c r="D350" s="10"/>
      <c r="E350" s="7">
        <f>+$H$2+(REDA[[#This Row],[QUANTITE]]*REDA[[#This Row],[PRIX UNITAIRE]])</f>
        <v>0</v>
      </c>
      <c r="F350" s="14"/>
      <c r="G350" s="6">
        <f>+SUM(E$9:$E350)-SUM(F$9:$F350)</f>
        <v>3629700</v>
      </c>
    </row>
    <row r="351" spans="1:7" ht="28.8" x14ac:dyDescent="0.55000000000000004">
      <c r="A351" s="12"/>
      <c r="B351" s="13"/>
      <c r="C351" s="10"/>
      <c r="D351" s="10"/>
      <c r="E351" s="7">
        <f>+$H$2+(REDA[[#This Row],[QUANTITE]]*REDA[[#This Row],[PRIX UNITAIRE]])</f>
        <v>0</v>
      </c>
      <c r="F351" s="14"/>
      <c r="G351" s="6">
        <f>+SUM(E$9:$E351)-SUM(F$9:$F351)</f>
        <v>3629700</v>
      </c>
    </row>
    <row r="352" spans="1:7" ht="28.8" x14ac:dyDescent="0.55000000000000004">
      <c r="A352" s="12"/>
      <c r="B352" s="13"/>
      <c r="C352" s="10"/>
      <c r="D352" s="10"/>
      <c r="E352" s="7">
        <f>+$H$2+(REDA[[#This Row],[QUANTITE]]*REDA[[#This Row],[PRIX UNITAIRE]])</f>
        <v>0</v>
      </c>
      <c r="F352" s="14"/>
      <c r="G352" s="6">
        <f>+SUM(E$9:$E352)-SUM(F$9:$F352)</f>
        <v>3629700</v>
      </c>
    </row>
    <row r="353" spans="1:7" ht="28.8" x14ac:dyDescent="0.55000000000000004">
      <c r="A353" s="12"/>
      <c r="B353" s="13"/>
      <c r="C353" s="10"/>
      <c r="D353" s="10"/>
      <c r="E353" s="7">
        <f>+$H$2+(REDA[[#This Row],[QUANTITE]]*REDA[[#This Row],[PRIX UNITAIRE]])</f>
        <v>0</v>
      </c>
      <c r="F353" s="14"/>
      <c r="G353" s="6">
        <f>+SUM(E$9:$E353)-SUM(F$9:$F353)</f>
        <v>3629700</v>
      </c>
    </row>
    <row r="354" spans="1:7" ht="28.8" x14ac:dyDescent="0.55000000000000004">
      <c r="A354" s="12"/>
      <c r="B354" s="13"/>
      <c r="C354" s="10"/>
      <c r="D354" s="10"/>
      <c r="E354" s="7">
        <f>+$H$2+(REDA[[#This Row],[QUANTITE]]*REDA[[#This Row],[PRIX UNITAIRE]])</f>
        <v>0</v>
      </c>
      <c r="F354" s="14"/>
      <c r="G354" s="6">
        <f>+SUM(E$9:$E354)-SUM(F$9:$F354)</f>
        <v>3629700</v>
      </c>
    </row>
    <row r="355" spans="1:7" ht="28.8" x14ac:dyDescent="0.55000000000000004">
      <c r="A355" s="12"/>
      <c r="B355" s="13"/>
      <c r="C355" s="10"/>
      <c r="D355" s="10"/>
      <c r="E355" s="7">
        <f>+$H$2+(REDA[[#This Row],[QUANTITE]]*REDA[[#This Row],[PRIX UNITAIRE]])</f>
        <v>0</v>
      </c>
      <c r="F355" s="14"/>
      <c r="G355" s="6">
        <f>+SUM(E$9:$E355)-SUM(F$9:$F355)</f>
        <v>3629700</v>
      </c>
    </row>
    <row r="356" spans="1:7" ht="28.8" x14ac:dyDescent="0.55000000000000004">
      <c r="A356" s="12"/>
      <c r="B356" s="13"/>
      <c r="C356" s="10"/>
      <c r="D356" s="10"/>
      <c r="E356" s="7">
        <f>+$H$2+(REDA[[#This Row],[QUANTITE]]*REDA[[#This Row],[PRIX UNITAIRE]])</f>
        <v>0</v>
      </c>
      <c r="F356" s="14"/>
      <c r="G356" s="6">
        <f>+SUM(E$9:$E356)-SUM(F$9:$F356)</f>
        <v>3629700</v>
      </c>
    </row>
    <row r="357" spans="1:7" ht="28.8" x14ac:dyDescent="0.55000000000000004">
      <c r="A357" s="12"/>
      <c r="B357" s="13"/>
      <c r="C357" s="10"/>
      <c r="D357" s="10"/>
      <c r="E357" s="7">
        <f>+$H$2+(REDA[[#This Row],[QUANTITE]]*REDA[[#This Row],[PRIX UNITAIRE]])</f>
        <v>0</v>
      </c>
      <c r="F357" s="14"/>
      <c r="G357" s="6">
        <f>+SUM(E$9:$E357)-SUM(F$9:$F357)</f>
        <v>3629700</v>
      </c>
    </row>
    <row r="358" spans="1:7" ht="28.8" x14ac:dyDescent="0.55000000000000004">
      <c r="A358" s="12"/>
      <c r="B358" s="13"/>
      <c r="C358" s="10"/>
      <c r="D358" s="10"/>
      <c r="E358" s="7">
        <f>+$H$2+(REDA[[#This Row],[QUANTITE]]*REDA[[#This Row],[PRIX UNITAIRE]])</f>
        <v>0</v>
      </c>
      <c r="F358" s="14"/>
      <c r="G358" s="6">
        <f>+SUM(E$9:$E358)-SUM(F$9:$F358)</f>
        <v>3629700</v>
      </c>
    </row>
    <row r="359" spans="1:7" ht="28.8" x14ac:dyDescent="0.55000000000000004">
      <c r="A359" s="12"/>
      <c r="B359" s="13"/>
      <c r="C359" s="10"/>
      <c r="D359" s="10"/>
      <c r="E359" s="7">
        <f>+$H$2+(REDA[[#This Row],[QUANTITE]]*REDA[[#This Row],[PRIX UNITAIRE]])</f>
        <v>0</v>
      </c>
      <c r="F359" s="14"/>
      <c r="G359" s="6">
        <f>+SUM(E$9:$E359)-SUM(F$9:$F359)</f>
        <v>3629700</v>
      </c>
    </row>
    <row r="360" spans="1:7" ht="28.8" x14ac:dyDescent="0.55000000000000004">
      <c r="A360" s="12"/>
      <c r="B360" s="13"/>
      <c r="C360" s="10"/>
      <c r="D360" s="10"/>
      <c r="E360" s="7">
        <f>+$H$2+(REDA[[#This Row],[QUANTITE]]*REDA[[#This Row],[PRIX UNITAIRE]])</f>
        <v>0</v>
      </c>
      <c r="F360" s="14"/>
      <c r="G360" s="6">
        <f>+SUM(E$9:$E360)-SUM(F$9:$F360)</f>
        <v>3629700</v>
      </c>
    </row>
    <row r="361" spans="1:7" ht="28.8" x14ac:dyDescent="0.55000000000000004">
      <c r="A361" s="12"/>
      <c r="B361" s="13"/>
      <c r="C361" s="10"/>
      <c r="D361" s="10"/>
      <c r="E361" s="7">
        <f>+$H$2+(REDA[[#This Row],[QUANTITE]]*REDA[[#This Row],[PRIX UNITAIRE]])</f>
        <v>0</v>
      </c>
      <c r="F361" s="14"/>
      <c r="G361" s="6">
        <f>+SUM(E$9:$E361)-SUM(F$9:$F361)</f>
        <v>3629700</v>
      </c>
    </row>
    <row r="362" spans="1:7" ht="28.8" x14ac:dyDescent="0.55000000000000004">
      <c r="A362" s="12"/>
      <c r="B362" s="13"/>
      <c r="C362" s="10"/>
      <c r="D362" s="10"/>
      <c r="E362" s="7">
        <f>+$H$2+(REDA[[#This Row],[QUANTITE]]*REDA[[#This Row],[PRIX UNITAIRE]])</f>
        <v>0</v>
      </c>
      <c r="F362" s="14"/>
      <c r="G362" s="6">
        <f>+SUM(E$9:$E362)-SUM(F$9:$F362)</f>
        <v>3629700</v>
      </c>
    </row>
    <row r="363" spans="1:7" ht="28.8" x14ac:dyDescent="0.55000000000000004">
      <c r="A363" s="12"/>
      <c r="B363" s="13"/>
      <c r="C363" s="10"/>
      <c r="D363" s="10"/>
      <c r="E363" s="7">
        <f>+$H$2+(REDA[[#This Row],[QUANTITE]]*REDA[[#This Row],[PRIX UNITAIRE]])</f>
        <v>0</v>
      </c>
      <c r="F363" s="14"/>
      <c r="G363" s="6">
        <f>+SUM(E$9:$E363)-SUM(F$9:$F363)</f>
        <v>3629700</v>
      </c>
    </row>
    <row r="364" spans="1:7" ht="25.8" customHeight="1" x14ac:dyDescent="0.55000000000000004">
      <c r="A364" s="12"/>
      <c r="B364" s="13"/>
      <c r="C364" s="10"/>
      <c r="D364" s="10"/>
      <c r="E364" s="7">
        <f>+$H$2+(REDA[[#This Row],[QUANTITE]]*REDA[[#This Row],[PRIX UNITAIRE]])</f>
        <v>0</v>
      </c>
      <c r="F364" s="14"/>
      <c r="G364" s="6">
        <f>+SUM(E$9:$E364)-SUM(F$9:$F364)</f>
        <v>3629700</v>
      </c>
    </row>
  </sheetData>
  <sheetProtection selectLockedCells="1" autoFilter="0"/>
  <mergeCells count="2">
    <mergeCell ref="B6:C6"/>
    <mergeCell ref="D6:E6"/>
  </mergeCells>
  <conditionalFormatting sqref="G4">
    <cfRule type="cellIs" dxfId="365" priority="3" operator="lessThan">
      <formula>0</formula>
    </cfRule>
    <cfRule type="cellIs" dxfId="364" priority="4" operator="greaterThan">
      <formula>0</formula>
    </cfRule>
  </conditionalFormatting>
  <conditionalFormatting sqref="B9:B364">
    <cfRule type="expression" dxfId="363" priority="6">
      <formula>$F9</formula>
    </cfRule>
  </conditionalFormatting>
  <dataValidations count="2">
    <dataValidation type="date" operator="greaterThan" allowBlank="1" showInputMessage="1" showErrorMessage="1" error="VEILLEZ ENTRER UNE DATE VALIDE" sqref="A9:A114 A116:A364">
      <formula1>45261</formula1>
    </dataValidation>
    <dataValidation type="date" operator="greaterThanOrEqual" allowBlank="1" showInputMessage="1" showErrorMessage="1" error="VEILLEZ ENTRER UNE DATE VALIDE" sqref="A115">
      <formula1>$I$1</formula1>
    </dataValidation>
  </dataValidations>
  <pageMargins left="0.7" right="0.7" top="0.75" bottom="0.75" header="0.3" footer="0.3"/>
  <pageSetup paperSize="9" scale="32" fitToHeight="0" orientation="portrait" r:id="rId1"/>
  <drawing r:id="rId2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/>
  <dimension ref="A1:I72"/>
  <sheetViews>
    <sheetView showGridLines="0" zoomScale="60" zoomScaleNormal="60" workbookViewId="0">
      <pane ySplit="8" topLeftCell="A18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4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+SUM(AHGROUP[TOTAL MONTANT])</f>
        <v>5130000</v>
      </c>
      <c r="F4" s="41">
        <f>+SUM(AHGROUP[VERSEMENT])</f>
        <v>0</v>
      </c>
      <c r="G4" s="130">
        <f>+E4-F4</f>
        <v>5130000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823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45526</v>
      </c>
      <c r="B9" s="13" t="s">
        <v>824</v>
      </c>
      <c r="C9" s="10">
        <v>2</v>
      </c>
      <c r="D9" s="10">
        <v>135000</v>
      </c>
      <c r="E9" s="7">
        <f>+$I$2+(AHGROUP[[#This Row],[QUANTITE]]*AHGROUP[[#This Row],[PRIX UNITAIRE]])</f>
        <v>270000</v>
      </c>
      <c r="F9" s="21"/>
      <c r="G9" s="6">
        <f>+SUM(E$9:$E9)-SUM(F$9:$F9)</f>
        <v>270000</v>
      </c>
    </row>
    <row r="10" spans="1:9" ht="28.8" x14ac:dyDescent="0.55000000000000004">
      <c r="A10" s="12">
        <v>45526</v>
      </c>
      <c r="B10" s="13" t="s">
        <v>825</v>
      </c>
      <c r="C10" s="10">
        <v>2</v>
      </c>
      <c r="D10" s="10">
        <v>112500</v>
      </c>
      <c r="E10" s="7">
        <f>+$I$2+(AHGROUP[[#This Row],[QUANTITE]]*AHGROUP[[#This Row],[PRIX UNITAIRE]])</f>
        <v>225000</v>
      </c>
      <c r="F10" s="21"/>
      <c r="G10" s="6">
        <f>+SUM(E$9:$E10)-SUM(F$9:$F10)</f>
        <v>495000</v>
      </c>
    </row>
    <row r="11" spans="1:9" ht="28.8" x14ac:dyDescent="0.55000000000000004">
      <c r="A11" s="12">
        <v>45526</v>
      </c>
      <c r="B11" s="13" t="s">
        <v>213</v>
      </c>
      <c r="C11" s="10">
        <v>2</v>
      </c>
      <c r="D11" s="10">
        <v>132500</v>
      </c>
      <c r="E11" s="7">
        <f>+$I$2+(AHGROUP[[#This Row],[QUANTITE]]*AHGROUP[[#This Row],[PRIX UNITAIRE]])</f>
        <v>265000</v>
      </c>
      <c r="F11" s="14"/>
      <c r="G11" s="6">
        <f>+SUM(E$9:$E11)-SUM(F$9:$F11)</f>
        <v>760000</v>
      </c>
    </row>
    <row r="12" spans="1:9" ht="28.8" x14ac:dyDescent="0.55000000000000004">
      <c r="A12" s="12">
        <v>45526</v>
      </c>
      <c r="B12" s="13" t="s">
        <v>78</v>
      </c>
      <c r="C12" s="10">
        <v>2</v>
      </c>
      <c r="D12" s="10">
        <v>110000</v>
      </c>
      <c r="E12" s="7">
        <f>+$I$2+(AHGROUP[[#This Row],[QUANTITE]]*AHGROUP[[#This Row],[PRIX UNITAIRE]])</f>
        <v>220000</v>
      </c>
      <c r="F12" s="14"/>
      <c r="G12" s="6">
        <f>+SUM(E$9:$E12)-SUM(F$9:$F12)</f>
        <v>980000</v>
      </c>
    </row>
    <row r="13" spans="1:9" ht="28.8" x14ac:dyDescent="0.55000000000000004">
      <c r="A13" s="12">
        <v>45526</v>
      </c>
      <c r="B13" s="13" t="s">
        <v>826</v>
      </c>
      <c r="C13" s="10">
        <v>2</v>
      </c>
      <c r="D13" s="10">
        <v>95000</v>
      </c>
      <c r="E13" s="7">
        <f>+$I$2+(AHGROUP[[#This Row],[QUANTITE]]*AHGROUP[[#This Row],[PRIX UNITAIRE]])</f>
        <v>190000</v>
      </c>
      <c r="F13" s="14"/>
      <c r="G13" s="6">
        <f>+SUM(E$9:$E13)-SUM(F$9:$F13)</f>
        <v>1170000</v>
      </c>
    </row>
    <row r="14" spans="1:9" ht="28.8" x14ac:dyDescent="0.55000000000000004">
      <c r="A14" s="12">
        <v>45526</v>
      </c>
      <c r="B14" s="13" t="s">
        <v>827</v>
      </c>
      <c r="C14" s="10">
        <v>2</v>
      </c>
      <c r="D14" s="10">
        <v>90000</v>
      </c>
      <c r="E14" s="7">
        <f>+$I$2+(AHGROUP[[#This Row],[QUANTITE]]*AHGROUP[[#This Row],[PRIX UNITAIRE]])</f>
        <v>180000</v>
      </c>
      <c r="F14" s="14"/>
      <c r="G14" s="6">
        <f>+SUM(E$9:$E14)-SUM(F$9:$F14)</f>
        <v>1350000</v>
      </c>
    </row>
    <row r="15" spans="1:9" ht="28.8" x14ac:dyDescent="0.55000000000000004">
      <c r="A15" s="12">
        <v>45526</v>
      </c>
      <c r="B15" s="13" t="s">
        <v>828</v>
      </c>
      <c r="C15" s="10">
        <v>2</v>
      </c>
      <c r="D15" s="10">
        <v>75000</v>
      </c>
      <c r="E15" s="7">
        <f>+$I$2+(AHGROUP[[#This Row],[QUANTITE]]*AHGROUP[[#This Row],[PRIX UNITAIRE]])</f>
        <v>150000</v>
      </c>
      <c r="F15" s="14"/>
      <c r="G15" s="6">
        <f>+SUM(E$9:$E15)-SUM(F$9:$F15)</f>
        <v>1500000</v>
      </c>
    </row>
    <row r="16" spans="1:9" ht="28.8" x14ac:dyDescent="0.55000000000000004">
      <c r="A16" s="12">
        <v>45526</v>
      </c>
      <c r="B16" s="13" t="s">
        <v>829</v>
      </c>
      <c r="C16" s="10">
        <v>2</v>
      </c>
      <c r="D16" s="10">
        <v>65000</v>
      </c>
      <c r="E16" s="7">
        <f>+$I$2+(AHGROUP[[#This Row],[QUANTITE]]*AHGROUP[[#This Row],[PRIX UNITAIRE]])</f>
        <v>130000</v>
      </c>
      <c r="F16" s="14"/>
      <c r="G16" s="6">
        <f>+SUM(E$9:$E16)-SUM(F$9:$F16)</f>
        <v>1630000</v>
      </c>
    </row>
    <row r="17" spans="1:7" ht="28.8" x14ac:dyDescent="0.55000000000000004">
      <c r="A17" s="12">
        <v>45526</v>
      </c>
      <c r="B17" s="13" t="s">
        <v>98</v>
      </c>
      <c r="C17" s="10">
        <v>2</v>
      </c>
      <c r="D17" s="10">
        <v>35000</v>
      </c>
      <c r="E17" s="7">
        <f>+$I$2+(AHGROUP[[#This Row],[QUANTITE]]*AHGROUP[[#This Row],[PRIX UNITAIRE]])</f>
        <v>70000</v>
      </c>
      <c r="F17" s="14"/>
      <c r="G17" s="6">
        <f>+SUM(E$9:$E17)-SUM(F$9:$F17)</f>
        <v>1700000</v>
      </c>
    </row>
    <row r="18" spans="1:7" ht="28.8" x14ac:dyDescent="0.55000000000000004">
      <c r="A18" s="12">
        <v>45526</v>
      </c>
      <c r="B18" s="13" t="s">
        <v>830</v>
      </c>
      <c r="C18" s="10">
        <v>2</v>
      </c>
      <c r="D18" s="10">
        <v>35000</v>
      </c>
      <c r="E18" s="7">
        <f>+$I$2+(AHGROUP[[#This Row],[QUANTITE]]*AHGROUP[[#This Row],[PRIX UNITAIRE]])</f>
        <v>70000</v>
      </c>
      <c r="F18" s="14"/>
      <c r="G18" s="6">
        <f>+SUM(E$9:$E18)-SUM(F$9:$F18)</f>
        <v>1770000</v>
      </c>
    </row>
    <row r="19" spans="1:7" ht="28.8" x14ac:dyDescent="0.55000000000000004">
      <c r="A19" s="12">
        <v>45526</v>
      </c>
      <c r="B19" s="13" t="s">
        <v>831</v>
      </c>
      <c r="C19" s="10">
        <v>2</v>
      </c>
      <c r="D19" s="10">
        <v>35000</v>
      </c>
      <c r="E19" s="7">
        <f>+$I$2+(AHGROUP[[#This Row],[QUANTITE]]*AHGROUP[[#This Row],[PRIX UNITAIRE]])</f>
        <v>70000</v>
      </c>
      <c r="F19" s="14"/>
      <c r="G19" s="6">
        <f>+SUM(E$9:$E19)-SUM(F$9:$F19)</f>
        <v>1840000</v>
      </c>
    </row>
    <row r="20" spans="1:7" ht="28.8" x14ac:dyDescent="0.55000000000000004">
      <c r="A20" s="12">
        <v>45526</v>
      </c>
      <c r="B20" s="13" t="s">
        <v>832</v>
      </c>
      <c r="C20" s="10">
        <v>1</v>
      </c>
      <c r="D20" s="10">
        <v>340000</v>
      </c>
      <c r="E20" s="7">
        <f>+$I$2+(AHGROUP[[#This Row],[QUANTITE]]*AHGROUP[[#This Row],[PRIX UNITAIRE]])</f>
        <v>340000</v>
      </c>
      <c r="F20" s="14"/>
      <c r="G20" s="6">
        <f>+SUM(E$9:$E20)-SUM(F$9:$F20)</f>
        <v>2180000</v>
      </c>
    </row>
    <row r="21" spans="1:7" ht="28.8" x14ac:dyDescent="0.55000000000000004">
      <c r="A21" s="12">
        <v>45573</v>
      </c>
      <c r="B21" s="13" t="s">
        <v>240</v>
      </c>
      <c r="C21" s="10">
        <v>2</v>
      </c>
      <c r="D21" s="10">
        <v>65000</v>
      </c>
      <c r="E21" s="7">
        <f>+$I$2+(AHGROUP[[#This Row],[QUANTITE]]*AHGROUP[[#This Row],[PRIX UNITAIRE]])</f>
        <v>130000</v>
      </c>
      <c r="F21" s="14"/>
      <c r="G21" s="6">
        <f>+SUM(E$9:$E21)-SUM(F$9:$F21)</f>
        <v>2310000</v>
      </c>
    </row>
    <row r="22" spans="1:7" ht="28.8" x14ac:dyDescent="0.55000000000000004">
      <c r="A22" s="12">
        <v>45579</v>
      </c>
      <c r="B22" s="13" t="s">
        <v>825</v>
      </c>
      <c r="C22" s="10">
        <v>8</v>
      </c>
      <c r="D22" s="10">
        <v>112500</v>
      </c>
      <c r="E22" s="7">
        <f>+$I$2+(AHGROUP[[#This Row],[QUANTITE]]*AHGROUP[[#This Row],[PRIX UNITAIRE]])</f>
        <v>900000</v>
      </c>
      <c r="F22" s="14"/>
      <c r="G22" s="6">
        <f>+SUM(E$9:$E22)-SUM(F$9:$F22)</f>
        <v>3210000</v>
      </c>
    </row>
    <row r="23" spans="1:7" ht="28.8" x14ac:dyDescent="0.55000000000000004">
      <c r="A23" s="12">
        <v>46083</v>
      </c>
      <c r="B23" s="13" t="s">
        <v>3517</v>
      </c>
      <c r="C23" s="10">
        <v>2</v>
      </c>
      <c r="D23" s="10">
        <v>400000</v>
      </c>
      <c r="E23" s="7">
        <f>+$I$2+(AHGROUP[[#This Row],[QUANTITE]]*AHGROUP[[#This Row],[PRIX UNITAIRE]])</f>
        <v>800000</v>
      </c>
      <c r="F23" s="14"/>
      <c r="G23" s="6">
        <f>+SUM(E$9:$E23)-SUM(F$9:$F23)</f>
        <v>4010000</v>
      </c>
    </row>
    <row r="24" spans="1:7" ht="28.8" x14ac:dyDescent="0.55000000000000004">
      <c r="A24" s="12">
        <v>46083</v>
      </c>
      <c r="B24" s="13" t="s">
        <v>3518</v>
      </c>
      <c r="C24" s="10">
        <v>2</v>
      </c>
      <c r="D24" s="10">
        <v>385000</v>
      </c>
      <c r="E24" s="7">
        <f>+$I$2+(AHGROUP[[#This Row],[QUANTITE]]*AHGROUP[[#This Row],[PRIX UNITAIRE]])</f>
        <v>770000</v>
      </c>
      <c r="F24" s="14"/>
      <c r="G24" s="6">
        <f>+SUM(E$9:$E24)-SUM(F$9:$F24)</f>
        <v>4780000</v>
      </c>
    </row>
    <row r="25" spans="1:7" ht="28.8" x14ac:dyDescent="0.55000000000000004">
      <c r="A25" s="12">
        <v>46083</v>
      </c>
      <c r="B25" s="13" t="s">
        <v>3519</v>
      </c>
      <c r="C25" s="10">
        <v>1</v>
      </c>
      <c r="D25" s="10">
        <v>350000</v>
      </c>
      <c r="E25" s="7">
        <f>+$I$2+(AHGROUP[[#This Row],[QUANTITE]]*AHGROUP[[#This Row],[PRIX UNITAIRE]])</f>
        <v>350000</v>
      </c>
      <c r="F25" s="14"/>
      <c r="G25" s="6">
        <f>+SUM(E$9:$E25)-SUM(F$9:$F25)</f>
        <v>5130000</v>
      </c>
    </row>
    <row r="26" spans="1:7" ht="28.8" x14ac:dyDescent="0.55000000000000004">
      <c r="A26" s="12"/>
      <c r="B26" s="13"/>
      <c r="C26" s="10"/>
      <c r="D26" s="10"/>
      <c r="E26" s="7">
        <f>+$I$2+(AHGROUP[[#This Row],[QUANTITE]]*AHGROUP[[#This Row],[PRIX UNITAIRE]])</f>
        <v>0</v>
      </c>
      <c r="F26" s="14"/>
      <c r="G26" s="6">
        <f>+SUM(E$9:$E26)-SUM(F$9:$F26)</f>
        <v>5130000</v>
      </c>
    </row>
    <row r="27" spans="1:7" ht="28.8" x14ac:dyDescent="0.55000000000000004">
      <c r="A27" s="12"/>
      <c r="B27" s="13"/>
      <c r="C27" s="10"/>
      <c r="D27" s="10"/>
      <c r="E27" s="7">
        <f>+$I$2+(AHGROUP[[#This Row],[QUANTITE]]*AHGROUP[[#This Row],[PRIX UNITAIRE]])</f>
        <v>0</v>
      </c>
      <c r="F27" s="14"/>
      <c r="G27" s="6">
        <f>+SUM(E$9:$E27)-SUM(F$9:$F27)</f>
        <v>5130000</v>
      </c>
    </row>
    <row r="28" spans="1:7" ht="28.8" x14ac:dyDescent="0.55000000000000004">
      <c r="A28" s="12"/>
      <c r="B28" s="13"/>
      <c r="C28" s="10"/>
      <c r="D28" s="10"/>
      <c r="E28" s="7">
        <f>+$I$2+(AHGROUP[[#This Row],[QUANTITE]]*AHGROUP[[#This Row],[PRIX UNITAIRE]])</f>
        <v>0</v>
      </c>
      <c r="F28" s="14"/>
      <c r="G28" s="6">
        <f>+SUM(E$9:$E28)-SUM(F$9:$F28)</f>
        <v>5130000</v>
      </c>
    </row>
    <row r="29" spans="1:7" ht="28.8" x14ac:dyDescent="0.55000000000000004">
      <c r="A29" s="12"/>
      <c r="B29" s="13"/>
      <c r="C29" s="10"/>
      <c r="D29" s="10"/>
      <c r="E29" s="7">
        <f>+$I$2+(AHGROUP[[#This Row],[QUANTITE]]*AHGROUP[[#This Row],[PRIX UNITAIRE]])</f>
        <v>0</v>
      </c>
      <c r="F29" s="14"/>
      <c r="G29" s="6">
        <f>+SUM(E$9:$E29)-SUM(F$9:$F29)</f>
        <v>5130000</v>
      </c>
    </row>
    <row r="30" spans="1:7" ht="28.8" x14ac:dyDescent="0.55000000000000004">
      <c r="A30" s="12"/>
      <c r="B30" s="13"/>
      <c r="C30" s="10"/>
      <c r="D30" s="10"/>
      <c r="E30" s="7">
        <f>+$I$2+(AHGROUP[[#This Row],[QUANTITE]]*AHGROUP[[#This Row],[PRIX UNITAIRE]])</f>
        <v>0</v>
      </c>
      <c r="F30" s="14"/>
      <c r="G30" s="6">
        <f>+SUM(E$9:$E30)-SUM(F$9:$F30)</f>
        <v>5130000</v>
      </c>
    </row>
    <row r="31" spans="1:7" ht="28.8" x14ac:dyDescent="0.55000000000000004">
      <c r="A31" s="12"/>
      <c r="B31" s="13"/>
      <c r="C31" s="10"/>
      <c r="D31" s="10"/>
      <c r="E31" s="7">
        <f>+$I$2+(AHGROUP[[#This Row],[QUANTITE]]*AHGROUP[[#This Row],[PRIX UNITAIRE]])</f>
        <v>0</v>
      </c>
      <c r="F31" s="14"/>
      <c r="G31" s="6">
        <f>+SUM(E$9:$E31)-SUM(F$9:$F31)</f>
        <v>5130000</v>
      </c>
    </row>
    <row r="32" spans="1:7" ht="28.8" x14ac:dyDescent="0.55000000000000004">
      <c r="A32" s="12"/>
      <c r="B32" s="13"/>
      <c r="C32" s="10"/>
      <c r="D32" s="10"/>
      <c r="E32" s="7">
        <f>+$I$2+(AHGROUP[[#This Row],[QUANTITE]]*AHGROUP[[#This Row],[PRIX UNITAIRE]])</f>
        <v>0</v>
      </c>
      <c r="F32" s="14"/>
      <c r="G32" s="6">
        <f>+SUM(E$9:$E32)-SUM(F$9:$F32)</f>
        <v>5130000</v>
      </c>
    </row>
    <row r="33" spans="1:7" ht="28.8" x14ac:dyDescent="0.55000000000000004">
      <c r="A33" s="12"/>
      <c r="B33" s="13"/>
      <c r="C33" s="10"/>
      <c r="D33" s="10"/>
      <c r="E33" s="7">
        <f>+$I$2+(AHGROUP[[#This Row],[QUANTITE]]*AHGROUP[[#This Row],[PRIX UNITAIRE]])</f>
        <v>0</v>
      </c>
      <c r="F33" s="14"/>
      <c r="G33" s="6">
        <f>+SUM(E$9:$E33)-SUM(F$9:$F33)</f>
        <v>5130000</v>
      </c>
    </row>
    <row r="34" spans="1:7" ht="28.8" x14ac:dyDescent="0.55000000000000004">
      <c r="A34" s="12"/>
      <c r="B34" s="13"/>
      <c r="C34" s="10"/>
      <c r="D34" s="10"/>
      <c r="E34" s="7">
        <f>+$I$2+(AHGROUP[[#This Row],[QUANTITE]]*AHGROUP[[#This Row],[PRIX UNITAIRE]])</f>
        <v>0</v>
      </c>
      <c r="F34" s="14"/>
      <c r="G34" s="6">
        <f>+SUM(E$9:$E34)-SUM(F$9:$F34)</f>
        <v>5130000</v>
      </c>
    </row>
    <row r="35" spans="1:7" ht="28.8" x14ac:dyDescent="0.55000000000000004">
      <c r="A35" s="12"/>
      <c r="B35" s="13"/>
      <c r="C35" s="10"/>
      <c r="D35" s="10"/>
      <c r="E35" s="7">
        <f>+$I$2+(AHGROUP[[#This Row],[QUANTITE]]*AHGROUP[[#This Row],[PRIX UNITAIRE]])</f>
        <v>0</v>
      </c>
      <c r="F35" s="14"/>
      <c r="G35" s="6">
        <f>+SUM(E$9:$E35)-SUM(F$9:$F35)</f>
        <v>5130000</v>
      </c>
    </row>
    <row r="36" spans="1:7" ht="28.8" x14ac:dyDescent="0.55000000000000004">
      <c r="A36" s="12"/>
      <c r="B36" s="13"/>
      <c r="C36" s="10"/>
      <c r="D36" s="10"/>
      <c r="E36" s="7">
        <f>+$I$2+(AHGROUP[[#This Row],[QUANTITE]]*AHGROUP[[#This Row],[PRIX UNITAIRE]])</f>
        <v>0</v>
      </c>
      <c r="F36" s="14"/>
      <c r="G36" s="6">
        <f>+SUM(E$9:$E36)-SUM(F$9:$F36)</f>
        <v>5130000</v>
      </c>
    </row>
    <row r="37" spans="1:7" ht="28.8" x14ac:dyDescent="0.55000000000000004">
      <c r="A37" s="12"/>
      <c r="B37" s="13"/>
      <c r="C37" s="10"/>
      <c r="D37" s="10"/>
      <c r="E37" s="7">
        <f>+$I$2+(AHGROUP[[#This Row],[QUANTITE]]*AHGROUP[[#This Row],[PRIX UNITAIRE]])</f>
        <v>0</v>
      </c>
      <c r="F37" s="14"/>
      <c r="G37" s="6">
        <f>+SUM(E$9:$E37)-SUM(F$9:$F37)</f>
        <v>5130000</v>
      </c>
    </row>
    <row r="38" spans="1:7" ht="28.8" x14ac:dyDescent="0.55000000000000004">
      <c r="A38" s="12"/>
      <c r="B38" s="13"/>
      <c r="C38" s="10"/>
      <c r="D38" s="10"/>
      <c r="E38" s="7">
        <f>+$I$2+(AHGROUP[[#This Row],[QUANTITE]]*AHGROUP[[#This Row],[PRIX UNITAIRE]])</f>
        <v>0</v>
      </c>
      <c r="F38" s="14"/>
      <c r="G38" s="6">
        <f>+SUM(E$9:$E38)-SUM(F$9:$F38)</f>
        <v>5130000</v>
      </c>
    </row>
    <row r="39" spans="1:7" ht="28.8" x14ac:dyDescent="0.55000000000000004">
      <c r="A39" s="12"/>
      <c r="B39" s="13"/>
      <c r="C39" s="10"/>
      <c r="D39" s="10"/>
      <c r="E39" s="7">
        <f>+$I$2+(AHGROUP[[#This Row],[QUANTITE]]*AHGROUP[[#This Row],[PRIX UNITAIRE]])</f>
        <v>0</v>
      </c>
      <c r="F39" s="14"/>
      <c r="G39" s="6">
        <f>+SUM(E$9:$E39)-SUM(F$9:$F39)</f>
        <v>5130000</v>
      </c>
    </row>
    <row r="40" spans="1:7" ht="28.8" x14ac:dyDescent="0.55000000000000004">
      <c r="A40" s="12"/>
      <c r="B40" s="13"/>
      <c r="C40" s="10"/>
      <c r="D40" s="10"/>
      <c r="E40" s="7">
        <f>+$I$2+(AHGROUP[[#This Row],[QUANTITE]]*AHGROUP[[#This Row],[PRIX UNITAIRE]])</f>
        <v>0</v>
      </c>
      <c r="F40" s="14"/>
      <c r="G40" s="6">
        <f>+SUM(E$9:$E40)-SUM(F$9:$F40)</f>
        <v>5130000</v>
      </c>
    </row>
    <row r="41" spans="1:7" ht="28.8" x14ac:dyDescent="0.55000000000000004">
      <c r="A41" s="12"/>
      <c r="B41" s="13"/>
      <c r="C41" s="10"/>
      <c r="D41" s="10"/>
      <c r="E41" s="7">
        <f>+$I$2+(AHGROUP[[#This Row],[QUANTITE]]*AHGROUP[[#This Row],[PRIX UNITAIRE]])</f>
        <v>0</v>
      </c>
      <c r="F41" s="14"/>
      <c r="G41" s="6">
        <f>+SUM(E$9:$E41)-SUM(F$9:$F41)</f>
        <v>5130000</v>
      </c>
    </row>
    <row r="42" spans="1:7" ht="28.8" x14ac:dyDescent="0.55000000000000004">
      <c r="A42" s="12"/>
      <c r="B42" s="13"/>
      <c r="C42" s="10"/>
      <c r="D42" s="10"/>
      <c r="E42" s="7">
        <f>+$I$2+(AHGROUP[[#This Row],[QUANTITE]]*AHGROUP[[#This Row],[PRIX UNITAIRE]])</f>
        <v>0</v>
      </c>
      <c r="F42" s="14"/>
      <c r="G42" s="6">
        <f>+SUM(E$9:$E42)-SUM(F$9:$F42)</f>
        <v>5130000</v>
      </c>
    </row>
    <row r="43" spans="1:7" ht="28.8" x14ac:dyDescent="0.55000000000000004">
      <c r="A43" s="12"/>
      <c r="B43" s="13"/>
      <c r="C43" s="10"/>
      <c r="D43" s="10"/>
      <c r="E43" s="7">
        <f>+$I$2+(AHGROUP[[#This Row],[QUANTITE]]*AHGROUP[[#This Row],[PRIX UNITAIRE]])</f>
        <v>0</v>
      </c>
      <c r="F43" s="14"/>
      <c r="G43" s="6">
        <f>+SUM(E$9:$E43)-SUM(F$9:$F43)</f>
        <v>5130000</v>
      </c>
    </row>
    <row r="44" spans="1:7" ht="28.8" x14ac:dyDescent="0.55000000000000004">
      <c r="A44" s="12"/>
      <c r="B44" s="13"/>
      <c r="C44" s="10"/>
      <c r="D44" s="10"/>
      <c r="E44" s="7">
        <f>+$I$2+(AHGROUP[[#This Row],[QUANTITE]]*AHGROUP[[#This Row],[PRIX UNITAIRE]])</f>
        <v>0</v>
      </c>
      <c r="F44" s="14"/>
      <c r="G44" s="6">
        <f>+SUM(E$9:$E44)-SUM(F$9:$F44)</f>
        <v>5130000</v>
      </c>
    </row>
    <row r="45" spans="1:7" ht="28.8" x14ac:dyDescent="0.55000000000000004">
      <c r="A45" s="12"/>
      <c r="B45" s="13"/>
      <c r="C45" s="10"/>
      <c r="D45" s="10"/>
      <c r="E45" s="7">
        <f>+$I$2+(AHGROUP[[#This Row],[QUANTITE]]*AHGROUP[[#This Row],[PRIX UNITAIRE]])</f>
        <v>0</v>
      </c>
      <c r="F45" s="14"/>
      <c r="G45" s="6">
        <f>+SUM(E$9:$E45)-SUM(F$9:$F45)</f>
        <v>5130000</v>
      </c>
    </row>
    <row r="46" spans="1:7" ht="28.8" x14ac:dyDescent="0.55000000000000004">
      <c r="A46" s="12"/>
      <c r="B46" s="13"/>
      <c r="C46" s="10"/>
      <c r="D46" s="10"/>
      <c r="E46" s="7">
        <f>+$I$2+(AHGROUP[[#This Row],[QUANTITE]]*AHGROUP[[#This Row],[PRIX UNITAIRE]])</f>
        <v>0</v>
      </c>
      <c r="F46" s="14"/>
      <c r="G46" s="6">
        <f>+SUM(E$9:$E46)-SUM(F$9:$F46)</f>
        <v>5130000</v>
      </c>
    </row>
    <row r="47" spans="1:7" ht="28.8" x14ac:dyDescent="0.55000000000000004">
      <c r="A47" s="12"/>
      <c r="B47" s="13"/>
      <c r="C47" s="10"/>
      <c r="D47" s="10"/>
      <c r="E47" s="7">
        <f>+$I$2+(AHGROUP[[#This Row],[QUANTITE]]*AHGROUP[[#This Row],[PRIX UNITAIRE]])</f>
        <v>0</v>
      </c>
      <c r="F47" s="14"/>
      <c r="G47" s="6">
        <f>+SUM(E$9:$E47)-SUM(F$9:$F47)</f>
        <v>5130000</v>
      </c>
    </row>
    <row r="48" spans="1:7" ht="28.8" x14ac:dyDescent="0.55000000000000004">
      <c r="A48" s="12"/>
      <c r="B48" s="13"/>
      <c r="C48" s="10"/>
      <c r="D48" s="10"/>
      <c r="E48" s="7">
        <f>+$I$2+(AHGROUP[[#This Row],[QUANTITE]]*AHGROUP[[#This Row],[PRIX UNITAIRE]])</f>
        <v>0</v>
      </c>
      <c r="F48" s="14"/>
      <c r="G48" s="6">
        <f>+SUM(E$9:$E48)-SUM(F$9:$F48)</f>
        <v>5130000</v>
      </c>
    </row>
    <row r="49" spans="1:7" ht="28.8" x14ac:dyDescent="0.55000000000000004">
      <c r="A49" s="12"/>
      <c r="B49" s="13"/>
      <c r="C49" s="10"/>
      <c r="D49" s="10"/>
      <c r="E49" s="7">
        <f>+$I$2+(AHGROUP[[#This Row],[QUANTITE]]*AHGROUP[[#This Row],[PRIX UNITAIRE]])</f>
        <v>0</v>
      </c>
      <c r="F49" s="14"/>
      <c r="G49" s="6">
        <f>+SUM(E$9:$E49)-SUM(F$9:$F49)</f>
        <v>5130000</v>
      </c>
    </row>
    <row r="50" spans="1:7" ht="28.8" x14ac:dyDescent="0.55000000000000004">
      <c r="A50" s="12"/>
      <c r="B50" s="13"/>
      <c r="C50" s="10"/>
      <c r="D50" s="10"/>
      <c r="E50" s="7">
        <f>+$I$2+(AHGROUP[[#This Row],[QUANTITE]]*AHGROUP[[#This Row],[PRIX UNITAIRE]])</f>
        <v>0</v>
      </c>
      <c r="F50" s="14"/>
      <c r="G50" s="6">
        <f>+SUM(E$9:$E50)-SUM(F$9:$F50)</f>
        <v>5130000</v>
      </c>
    </row>
    <row r="51" spans="1:7" ht="28.8" x14ac:dyDescent="0.55000000000000004">
      <c r="A51" s="12"/>
      <c r="B51" s="13"/>
      <c r="C51" s="10"/>
      <c r="D51" s="10"/>
      <c r="E51" s="7">
        <f>+$I$2+(AHGROUP[[#This Row],[QUANTITE]]*AHGROUP[[#This Row],[PRIX UNITAIRE]])</f>
        <v>0</v>
      </c>
      <c r="F51" s="14"/>
      <c r="G51" s="6">
        <f>+SUM(E$9:$E51)-SUM(F$9:$F51)</f>
        <v>5130000</v>
      </c>
    </row>
    <row r="52" spans="1:7" ht="28.8" x14ac:dyDescent="0.55000000000000004">
      <c r="A52" s="12"/>
      <c r="B52" s="13"/>
      <c r="C52" s="10"/>
      <c r="D52" s="10"/>
      <c r="E52" s="7">
        <f>+$I$2+(AHGROUP[[#This Row],[QUANTITE]]*AHGROUP[[#This Row],[PRIX UNITAIRE]])</f>
        <v>0</v>
      </c>
      <c r="F52" s="14"/>
      <c r="G52" s="6">
        <f>+SUM(E$9:$E52)-SUM(F$9:$F52)</f>
        <v>5130000</v>
      </c>
    </row>
    <row r="53" spans="1:7" ht="28.8" x14ac:dyDescent="0.55000000000000004">
      <c r="A53" s="12"/>
      <c r="B53" s="13"/>
      <c r="C53" s="10"/>
      <c r="D53" s="10"/>
      <c r="E53" s="7">
        <f>+$I$2+(AHGROUP[[#This Row],[QUANTITE]]*AHGROUP[[#This Row],[PRIX UNITAIRE]])</f>
        <v>0</v>
      </c>
      <c r="F53" s="14"/>
      <c r="G53" s="6">
        <f>+SUM(E$9:$E53)-SUM(F$9:$F53)</f>
        <v>5130000</v>
      </c>
    </row>
    <row r="54" spans="1:7" ht="28.8" x14ac:dyDescent="0.55000000000000004">
      <c r="A54" s="12"/>
      <c r="B54" s="13"/>
      <c r="C54" s="10"/>
      <c r="D54" s="10"/>
      <c r="E54" s="7">
        <f>+$I$2+(AHGROUP[[#This Row],[QUANTITE]]*AHGROUP[[#This Row],[PRIX UNITAIRE]])</f>
        <v>0</v>
      </c>
      <c r="F54" s="14"/>
      <c r="G54" s="6">
        <f>+SUM(E$9:$E54)-SUM(F$9:$F54)</f>
        <v>5130000</v>
      </c>
    </row>
    <row r="55" spans="1:7" ht="28.8" x14ac:dyDescent="0.55000000000000004">
      <c r="A55" s="12"/>
      <c r="B55" s="13"/>
      <c r="C55" s="10"/>
      <c r="D55" s="10"/>
      <c r="E55" s="7">
        <f>+$I$2+(AHGROUP[[#This Row],[QUANTITE]]*AHGROUP[[#This Row],[PRIX UNITAIRE]])</f>
        <v>0</v>
      </c>
      <c r="F55" s="14"/>
      <c r="G55" s="6">
        <f>+SUM(E$9:$E55)-SUM(F$9:$F55)</f>
        <v>5130000</v>
      </c>
    </row>
    <row r="56" spans="1:7" ht="28.8" x14ac:dyDescent="0.55000000000000004">
      <c r="A56" s="12"/>
      <c r="B56" s="13"/>
      <c r="C56" s="10"/>
      <c r="D56" s="10"/>
      <c r="E56" s="7">
        <f>+$I$2+(AHGROUP[[#This Row],[QUANTITE]]*AHGROUP[[#This Row],[PRIX UNITAIRE]])</f>
        <v>0</v>
      </c>
      <c r="F56" s="14"/>
      <c r="G56" s="6">
        <f>+SUM(E$9:$E56)-SUM(F$9:$F56)</f>
        <v>5130000</v>
      </c>
    </row>
    <row r="57" spans="1:7" ht="28.8" x14ac:dyDescent="0.55000000000000004">
      <c r="A57" s="12"/>
      <c r="B57" s="13"/>
      <c r="C57" s="10"/>
      <c r="D57" s="10"/>
      <c r="E57" s="7">
        <f>+$I$2+(AHGROUP[[#This Row],[QUANTITE]]*AHGROUP[[#This Row],[PRIX UNITAIRE]])</f>
        <v>0</v>
      </c>
      <c r="F57" s="14"/>
      <c r="G57" s="6">
        <f>+SUM(E$9:$E57)-SUM(F$9:$F57)</f>
        <v>5130000</v>
      </c>
    </row>
    <row r="58" spans="1:7" ht="28.8" x14ac:dyDescent="0.55000000000000004">
      <c r="A58" s="12"/>
      <c r="B58" s="13"/>
      <c r="C58" s="10"/>
      <c r="D58" s="10"/>
      <c r="E58" s="7">
        <f>+$I$2+(AHGROUP[[#This Row],[QUANTITE]]*AHGROUP[[#This Row],[PRIX UNITAIRE]])</f>
        <v>0</v>
      </c>
      <c r="F58" s="14"/>
      <c r="G58" s="6">
        <f>+SUM(E$9:$E58)-SUM(F$9:$F58)</f>
        <v>5130000</v>
      </c>
    </row>
    <row r="59" spans="1:7" ht="28.8" x14ac:dyDescent="0.55000000000000004">
      <c r="A59" s="12"/>
      <c r="B59" s="13"/>
      <c r="C59" s="10"/>
      <c r="D59" s="10"/>
      <c r="E59" s="7">
        <f>+$I$2+(AHGROUP[[#This Row],[QUANTITE]]*AHGROUP[[#This Row],[PRIX UNITAIRE]])</f>
        <v>0</v>
      </c>
      <c r="F59" s="14"/>
      <c r="G59" s="6">
        <f>+SUM(E$9:$E59)-SUM(F$9:$F59)</f>
        <v>5130000</v>
      </c>
    </row>
    <row r="60" spans="1:7" ht="28.8" x14ac:dyDescent="0.55000000000000004">
      <c r="A60" s="12"/>
      <c r="B60" s="13"/>
      <c r="C60" s="10"/>
      <c r="D60" s="10"/>
      <c r="E60" s="7">
        <f>+$I$2+(AHGROUP[[#This Row],[QUANTITE]]*AHGROUP[[#This Row],[PRIX UNITAIRE]])</f>
        <v>0</v>
      </c>
      <c r="F60" s="14"/>
      <c r="G60" s="6">
        <f>+SUM(E$9:$E60)-SUM(F$9:$F60)</f>
        <v>5130000</v>
      </c>
    </row>
    <row r="61" spans="1:7" ht="28.8" x14ac:dyDescent="0.55000000000000004">
      <c r="A61" s="12"/>
      <c r="B61" s="13"/>
      <c r="C61" s="10"/>
      <c r="D61" s="10"/>
      <c r="E61" s="7">
        <f>+$I$2+(AHGROUP[[#This Row],[QUANTITE]]*AHGROUP[[#This Row],[PRIX UNITAIRE]])</f>
        <v>0</v>
      </c>
      <c r="F61" s="14"/>
      <c r="G61" s="6">
        <f>+SUM(E$9:$E61)-SUM(F$9:$F61)</f>
        <v>5130000</v>
      </c>
    </row>
    <row r="62" spans="1:7" ht="28.8" x14ac:dyDescent="0.55000000000000004">
      <c r="A62" s="12"/>
      <c r="B62" s="13"/>
      <c r="C62" s="10"/>
      <c r="D62" s="10"/>
      <c r="E62" s="7">
        <f>+$I$2+(AHGROUP[[#This Row],[QUANTITE]]*AHGROUP[[#This Row],[PRIX UNITAIRE]])</f>
        <v>0</v>
      </c>
      <c r="F62" s="14"/>
      <c r="G62" s="6">
        <f>+SUM(E$9:$E62)-SUM(F$9:$F62)</f>
        <v>5130000</v>
      </c>
    </row>
    <row r="63" spans="1:7" ht="28.8" x14ac:dyDescent="0.55000000000000004">
      <c r="A63" s="12"/>
      <c r="B63" s="13"/>
      <c r="C63" s="10"/>
      <c r="D63" s="10"/>
      <c r="E63" s="7">
        <f>+$I$2+(AHGROUP[[#This Row],[QUANTITE]]*AHGROUP[[#This Row],[PRIX UNITAIRE]])</f>
        <v>0</v>
      </c>
      <c r="F63" s="14"/>
      <c r="G63" s="6">
        <f>+SUM(E$9:$E63)-SUM(F$9:$F63)</f>
        <v>5130000</v>
      </c>
    </row>
    <row r="64" spans="1:7" ht="28.8" x14ac:dyDescent="0.55000000000000004">
      <c r="A64" s="12"/>
      <c r="B64" s="13"/>
      <c r="C64" s="10"/>
      <c r="D64" s="10"/>
      <c r="E64" s="7">
        <f>+$I$2+(AHGROUP[[#This Row],[QUANTITE]]*AHGROUP[[#This Row],[PRIX UNITAIRE]])</f>
        <v>0</v>
      </c>
      <c r="F64" s="14"/>
      <c r="G64" s="6">
        <f>+SUM(E$9:$E64)-SUM(F$9:$F64)</f>
        <v>5130000</v>
      </c>
    </row>
    <row r="65" spans="1:7" ht="28.8" x14ac:dyDescent="0.55000000000000004">
      <c r="A65" s="12"/>
      <c r="B65" s="13"/>
      <c r="C65" s="10"/>
      <c r="D65" s="10"/>
      <c r="E65" s="7">
        <f>+$I$2+(AHGROUP[[#This Row],[QUANTITE]]*AHGROUP[[#This Row],[PRIX UNITAIRE]])</f>
        <v>0</v>
      </c>
      <c r="F65" s="14"/>
      <c r="G65" s="6">
        <f>+SUM(E$9:$E65)-SUM(F$9:$F65)</f>
        <v>5130000</v>
      </c>
    </row>
    <row r="66" spans="1:7" ht="28.8" x14ac:dyDescent="0.55000000000000004">
      <c r="A66" s="12"/>
      <c r="B66" s="13"/>
      <c r="C66" s="10"/>
      <c r="D66" s="10"/>
      <c r="E66" s="7">
        <f>+$I$2+(AHGROUP[[#This Row],[QUANTITE]]*AHGROUP[[#This Row],[PRIX UNITAIRE]])</f>
        <v>0</v>
      </c>
      <c r="F66" s="14"/>
      <c r="G66" s="6">
        <f>+SUM(E$9:$E66)-SUM(F$9:$F66)</f>
        <v>5130000</v>
      </c>
    </row>
    <row r="67" spans="1:7" ht="28.8" x14ac:dyDescent="0.55000000000000004">
      <c r="A67" s="12"/>
      <c r="B67" s="13"/>
      <c r="C67" s="10"/>
      <c r="D67" s="10"/>
      <c r="E67" s="7">
        <f>+$I$2+(AHGROUP[[#This Row],[QUANTITE]]*AHGROUP[[#This Row],[PRIX UNITAIRE]])</f>
        <v>0</v>
      </c>
      <c r="F67" s="14"/>
      <c r="G67" s="6">
        <f>+SUM(E$9:$E67)-SUM(F$9:$F67)</f>
        <v>5130000</v>
      </c>
    </row>
    <row r="68" spans="1:7" ht="28.8" x14ac:dyDescent="0.55000000000000004">
      <c r="A68" s="12"/>
      <c r="B68" s="13"/>
      <c r="C68" s="10"/>
      <c r="D68" s="10"/>
      <c r="E68" s="7">
        <f>+$I$2+(AHGROUP[[#This Row],[QUANTITE]]*AHGROUP[[#This Row],[PRIX UNITAIRE]])</f>
        <v>0</v>
      </c>
      <c r="F68" s="14"/>
      <c r="G68" s="6">
        <f>+SUM(E$9:$E68)-SUM(F$9:$F68)</f>
        <v>5130000</v>
      </c>
    </row>
    <row r="69" spans="1:7" ht="28.8" x14ac:dyDescent="0.55000000000000004">
      <c r="A69" s="12"/>
      <c r="B69" s="13"/>
      <c r="C69" s="10"/>
      <c r="D69" s="10"/>
      <c r="E69" s="7">
        <f>+$I$2+(AHGROUP[[#This Row],[QUANTITE]]*AHGROUP[[#This Row],[PRIX UNITAIRE]])</f>
        <v>0</v>
      </c>
      <c r="F69" s="14"/>
      <c r="G69" s="6">
        <f>+SUM(E$9:$E69)-SUM(F$9:$F69)</f>
        <v>5130000</v>
      </c>
    </row>
    <row r="70" spans="1:7" ht="28.8" x14ac:dyDescent="0.55000000000000004">
      <c r="A70" s="12"/>
      <c r="B70" s="13"/>
      <c r="C70" s="10"/>
      <c r="D70" s="10"/>
      <c r="E70" s="7">
        <f>+$I$2+(AHGROUP[[#This Row],[QUANTITE]]*AHGROUP[[#This Row],[PRIX UNITAIRE]])</f>
        <v>0</v>
      </c>
      <c r="F70" s="14"/>
      <c r="G70" s="6">
        <f>+SUM(E$9:$E70)-SUM(F$9:$F70)</f>
        <v>5130000</v>
      </c>
    </row>
    <row r="71" spans="1:7" ht="28.8" x14ac:dyDescent="0.55000000000000004">
      <c r="A71" s="12"/>
      <c r="B71" s="13"/>
      <c r="C71" s="10"/>
      <c r="D71" s="10"/>
      <c r="E71" s="7">
        <f>+$I$2+(AHGROUP[[#This Row],[QUANTITE]]*AHGROUP[[#This Row],[PRIX UNITAIRE]])</f>
        <v>0</v>
      </c>
      <c r="F71" s="14"/>
      <c r="G71" s="6">
        <f>+SUM(E$9:$E71)-SUM(F$9:$F71)</f>
        <v>5130000</v>
      </c>
    </row>
    <row r="72" spans="1:7" ht="28.8" x14ac:dyDescent="0.55000000000000004">
      <c r="A72" s="12"/>
      <c r="B72" s="13"/>
      <c r="C72" s="10"/>
      <c r="D72" s="10"/>
      <c r="E72" s="7">
        <f>+$I$2+(AHGROUP[[#This Row],[QUANTITE]]*AHGROUP[[#This Row],[PRIX UNITAIRE]])</f>
        <v>0</v>
      </c>
      <c r="F72" s="14"/>
      <c r="G72" s="6">
        <f>+SUM(E$9:$E72)-SUM(F$9:$F72)</f>
        <v>5130000</v>
      </c>
    </row>
  </sheetData>
  <sheetProtection selectLockedCells="1" autoFilter="0"/>
  <mergeCells count="1">
    <mergeCell ref="B6:C6"/>
  </mergeCells>
  <conditionalFormatting sqref="G4">
    <cfRule type="cellIs" dxfId="346" priority="2" operator="lessThan">
      <formula>0</formula>
    </cfRule>
    <cfRule type="cellIs" dxfId="345" priority="3" operator="greaterThan">
      <formula>0</formula>
    </cfRule>
  </conditionalFormatting>
  <conditionalFormatting sqref="B9:B72">
    <cfRule type="expression" dxfId="344" priority="5">
      <formula>$F9</formula>
    </cfRule>
  </conditionalFormatting>
  <dataValidations count="1">
    <dataValidation type="date" operator="greaterThan" allowBlank="1" showInputMessage="1" showErrorMessage="1" error="VEILLEZ ENTRER UNE DATE VALIDE" sqref="A9:A7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I257"/>
  <sheetViews>
    <sheetView showGridLines="0" zoomScale="60" zoomScaleNormal="60" workbookViewId="0">
      <pane ySplit="8" topLeftCell="A237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8.21875" style="1" bestFit="1" customWidth="1"/>
    <col min="2" max="2" width="63.5546875" style="1" bestFit="1" customWidth="1"/>
    <col min="3" max="3" width="19.77734375" style="1" bestFit="1" customWidth="1"/>
    <col min="4" max="4" width="4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+SUM(WAEL[TOTAL MONTANT])</f>
        <v>12020000</v>
      </c>
      <c r="F4" s="41">
        <f>+SUM(WAEL[VERSEMENT])</f>
        <v>12020000</v>
      </c>
      <c r="G4" s="130">
        <f>+E4-F4</f>
        <v>0</v>
      </c>
    </row>
    <row r="5" spans="1:9" ht="33.6" customHeight="1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833</v>
      </c>
      <c r="C6" s="169"/>
      <c r="D6" s="132"/>
      <c r="E6" s="135" t="b">
        <v>0</v>
      </c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44750</v>
      </c>
      <c r="B9" s="13" t="s">
        <v>838</v>
      </c>
      <c r="C9" s="10">
        <v>2</v>
      </c>
      <c r="D9" s="10">
        <v>80000</v>
      </c>
      <c r="E9" s="7">
        <f>+$I$2+(WAEL[[#This Row],[QUANTITE]]*WAEL[[#This Row],[PRIX UNITAIRE]])</f>
        <v>160000</v>
      </c>
      <c r="F9" s="21"/>
      <c r="G9" s="6">
        <f>+SUM(E$9:$E9)-SUM(F$9:$F9)</f>
        <v>160000</v>
      </c>
    </row>
    <row r="10" spans="1:9" ht="28.8" x14ac:dyDescent="0.55000000000000004">
      <c r="A10" s="12">
        <v>44754</v>
      </c>
      <c r="B10" s="13" t="s">
        <v>839</v>
      </c>
      <c r="C10" s="10">
        <v>2</v>
      </c>
      <c r="D10" s="10">
        <v>20000</v>
      </c>
      <c r="E10" s="7">
        <f>+$I$2+(WAEL[[#This Row],[QUANTITE]]*WAEL[[#This Row],[PRIX UNITAIRE]])</f>
        <v>40000</v>
      </c>
      <c r="F10" s="21"/>
      <c r="G10" s="6">
        <f>+SUM(E$9:$E10)-SUM(F$9:$F10)</f>
        <v>200000</v>
      </c>
    </row>
    <row r="11" spans="1:9" ht="28.8" x14ac:dyDescent="0.55000000000000004">
      <c r="A11" s="12"/>
      <c r="B11" s="13" t="s">
        <v>466</v>
      </c>
      <c r="C11" s="10">
        <v>2</v>
      </c>
      <c r="D11" s="10">
        <v>10000</v>
      </c>
      <c r="E11" s="7">
        <f>+$I$2+(WAEL[[#This Row],[QUANTITE]]*WAEL[[#This Row],[PRIX UNITAIRE]])</f>
        <v>20000</v>
      </c>
      <c r="F11" s="14"/>
      <c r="G11" s="6">
        <f>+SUM(E$9:$E11)-SUM(F$9:$F11)</f>
        <v>220000</v>
      </c>
    </row>
    <row r="12" spans="1:9" ht="28.8" x14ac:dyDescent="0.55000000000000004">
      <c r="A12" s="12"/>
      <c r="B12" s="13" t="s">
        <v>840</v>
      </c>
      <c r="C12" s="10">
        <v>1</v>
      </c>
      <c r="D12" s="10">
        <v>25000</v>
      </c>
      <c r="E12" s="7">
        <f>+$I$2+(WAEL[[#This Row],[QUANTITE]]*WAEL[[#This Row],[PRIX UNITAIRE]])</f>
        <v>25000</v>
      </c>
      <c r="F12" s="14"/>
      <c r="G12" s="6">
        <f>+SUM(E$9:$E12)-SUM(F$9:$F12)</f>
        <v>245000</v>
      </c>
    </row>
    <row r="13" spans="1:9" ht="28.8" x14ac:dyDescent="0.55000000000000004">
      <c r="A13" s="12">
        <v>44758</v>
      </c>
      <c r="B13" s="13" t="s">
        <v>841</v>
      </c>
      <c r="C13" s="10">
        <v>1</v>
      </c>
      <c r="D13" s="10">
        <v>50000</v>
      </c>
      <c r="E13" s="7">
        <f>+$I$2+(WAEL[[#This Row],[QUANTITE]]*WAEL[[#This Row],[PRIX UNITAIRE]])</f>
        <v>50000</v>
      </c>
      <c r="F13" s="14"/>
      <c r="G13" s="6">
        <f>+SUM(E$9:$E13)-SUM(F$9:$F13)</f>
        <v>295000</v>
      </c>
    </row>
    <row r="14" spans="1:9" ht="28.8" x14ac:dyDescent="0.55000000000000004">
      <c r="A14" s="12">
        <v>44764</v>
      </c>
      <c r="B14" s="13" t="s">
        <v>842</v>
      </c>
      <c r="C14" s="10">
        <v>2</v>
      </c>
      <c r="D14" s="10">
        <v>45000</v>
      </c>
      <c r="E14" s="7">
        <f>+$I$2+(WAEL[[#This Row],[QUANTITE]]*WAEL[[#This Row],[PRIX UNITAIRE]])</f>
        <v>90000</v>
      </c>
      <c r="F14" s="14"/>
      <c r="G14" s="6">
        <f>+SUM(E$9:$E14)-SUM(F$9:$F14)</f>
        <v>385000</v>
      </c>
    </row>
    <row r="15" spans="1:9" ht="28.8" x14ac:dyDescent="0.55000000000000004">
      <c r="A15" s="12">
        <v>44765</v>
      </c>
      <c r="B15" s="13" t="s">
        <v>843</v>
      </c>
      <c r="C15" s="10">
        <v>4</v>
      </c>
      <c r="D15" s="10">
        <v>80000</v>
      </c>
      <c r="E15" s="7">
        <f>+$I$2+(WAEL[[#This Row],[QUANTITE]]*WAEL[[#This Row],[PRIX UNITAIRE]])</f>
        <v>320000</v>
      </c>
      <c r="F15" s="14"/>
      <c r="G15" s="6">
        <f>+SUM(E$9:$E15)-SUM(F$9:$F15)</f>
        <v>705000</v>
      </c>
    </row>
    <row r="16" spans="1:9" ht="28.8" x14ac:dyDescent="0.55000000000000004">
      <c r="A16" s="12">
        <v>44778</v>
      </c>
      <c r="B16" s="13" t="s">
        <v>76</v>
      </c>
      <c r="C16" s="10">
        <v>2</v>
      </c>
      <c r="D16" s="10">
        <v>50000</v>
      </c>
      <c r="E16" s="7">
        <f>+$I$2+(WAEL[[#This Row],[QUANTITE]]*WAEL[[#This Row],[PRIX UNITAIRE]])</f>
        <v>100000</v>
      </c>
      <c r="F16" s="14"/>
      <c r="G16" s="6">
        <f>+SUM(E$9:$E16)-SUM(F$9:$F16)</f>
        <v>805000</v>
      </c>
    </row>
    <row r="17" spans="1:7" ht="28.8" x14ac:dyDescent="0.55000000000000004">
      <c r="A17" s="12">
        <v>44791</v>
      </c>
      <c r="B17" s="13" t="s">
        <v>838</v>
      </c>
      <c r="C17" s="10">
        <v>1</v>
      </c>
      <c r="D17" s="10">
        <v>80000</v>
      </c>
      <c r="E17" s="7">
        <f>+$I$2+(WAEL[[#This Row],[QUANTITE]]*WAEL[[#This Row],[PRIX UNITAIRE]])</f>
        <v>80000</v>
      </c>
      <c r="F17" s="14"/>
      <c r="G17" s="6">
        <f>+SUM(E$9:$E17)-SUM(F$9:$F17)</f>
        <v>885000</v>
      </c>
    </row>
    <row r="18" spans="1:7" ht="28.8" x14ac:dyDescent="0.55000000000000004">
      <c r="A18" s="15">
        <v>44819</v>
      </c>
      <c r="B18" s="16" t="s">
        <v>749</v>
      </c>
      <c r="C18" s="11">
        <v>2</v>
      </c>
      <c r="D18" s="11">
        <v>85000</v>
      </c>
      <c r="E18" s="9">
        <f>+$I$2+(WAEL[[#This Row],[QUANTITE]]*WAEL[[#This Row],[PRIX UNITAIRE]])</f>
        <v>170000</v>
      </c>
      <c r="F18" s="17"/>
      <c r="G18" s="8">
        <f>+SUM(E$9:$E18)-SUM(F$9:$F18)</f>
        <v>1055000</v>
      </c>
    </row>
    <row r="19" spans="1:7" ht="28.8" x14ac:dyDescent="0.55000000000000004">
      <c r="A19" s="15">
        <v>44840</v>
      </c>
      <c r="B19" s="16" t="s">
        <v>844</v>
      </c>
      <c r="C19" s="11">
        <v>2</v>
      </c>
      <c r="D19" s="11">
        <v>25000</v>
      </c>
      <c r="E19" s="9">
        <f>+$I$2+(WAEL[[#This Row],[QUANTITE]]*WAEL[[#This Row],[PRIX UNITAIRE]])</f>
        <v>50000</v>
      </c>
      <c r="F19" s="17"/>
      <c r="G19" s="8">
        <f>+SUM(E$9:$E19)-SUM(F$9:$F19)</f>
        <v>1105000</v>
      </c>
    </row>
    <row r="20" spans="1:7" ht="28.8" x14ac:dyDescent="0.55000000000000004">
      <c r="A20" s="15">
        <v>44853</v>
      </c>
      <c r="B20" s="16" t="s">
        <v>841</v>
      </c>
      <c r="C20" s="11">
        <v>2</v>
      </c>
      <c r="D20" s="11">
        <v>50000</v>
      </c>
      <c r="E20" s="9">
        <f>+$I$2+(WAEL[[#This Row],[QUANTITE]]*WAEL[[#This Row],[PRIX UNITAIRE]])</f>
        <v>100000</v>
      </c>
      <c r="F20" s="17"/>
      <c r="G20" s="8">
        <f>+SUM(E$9:$E20)-SUM(F$9:$F20)</f>
        <v>1205000</v>
      </c>
    </row>
    <row r="21" spans="1:7" ht="28.8" x14ac:dyDescent="0.55000000000000004">
      <c r="A21" s="15"/>
      <c r="B21" s="16" t="s">
        <v>845</v>
      </c>
      <c r="C21" s="11">
        <v>1</v>
      </c>
      <c r="D21" s="11">
        <v>20000</v>
      </c>
      <c r="E21" s="9">
        <f>+$I$2+(WAEL[[#This Row],[QUANTITE]]*WAEL[[#This Row],[PRIX UNITAIRE]])</f>
        <v>20000</v>
      </c>
      <c r="F21" s="17"/>
      <c r="G21" s="8">
        <f>+SUM(E$9:$E21)-SUM(F$9:$F21)</f>
        <v>1225000</v>
      </c>
    </row>
    <row r="22" spans="1:7" ht="28.8" x14ac:dyDescent="0.55000000000000004">
      <c r="A22" s="15">
        <v>44859</v>
      </c>
      <c r="B22" s="16" t="s">
        <v>203</v>
      </c>
      <c r="C22" s="11">
        <v>2</v>
      </c>
      <c r="D22" s="11">
        <v>45000</v>
      </c>
      <c r="E22" s="9">
        <f>+$I$2+(WAEL[[#This Row],[QUANTITE]]*WAEL[[#This Row],[PRIX UNITAIRE]])</f>
        <v>90000</v>
      </c>
      <c r="F22" s="17"/>
      <c r="G22" s="8">
        <f>+SUM(E$9:$E22)-SUM(F$9:$F22)</f>
        <v>1315000</v>
      </c>
    </row>
    <row r="23" spans="1:7" ht="28.8" x14ac:dyDescent="0.55000000000000004">
      <c r="A23" s="15">
        <v>44867</v>
      </c>
      <c r="B23" s="16" t="s">
        <v>841</v>
      </c>
      <c r="C23" s="11">
        <v>2</v>
      </c>
      <c r="D23" s="11">
        <v>50000</v>
      </c>
      <c r="E23" s="9">
        <f>+$I$2+(WAEL[[#This Row],[QUANTITE]]*WAEL[[#This Row],[PRIX UNITAIRE]])</f>
        <v>100000</v>
      </c>
      <c r="F23" s="17"/>
      <c r="G23" s="8">
        <f>+SUM(E$9:$E23)-SUM(F$9:$F23)</f>
        <v>1415000</v>
      </c>
    </row>
    <row r="24" spans="1:7" ht="28.8" x14ac:dyDescent="0.55000000000000004">
      <c r="A24" s="15">
        <v>44880</v>
      </c>
      <c r="B24" s="16" t="s">
        <v>841</v>
      </c>
      <c r="C24" s="11">
        <v>2</v>
      </c>
      <c r="D24" s="11">
        <v>50000</v>
      </c>
      <c r="E24" s="9">
        <f>+$I$2+(WAEL[[#This Row],[QUANTITE]]*WAEL[[#This Row],[PRIX UNITAIRE]])</f>
        <v>100000</v>
      </c>
      <c r="F24" s="17"/>
      <c r="G24" s="8">
        <f>+SUM(E$9:$E24)-SUM(F$9:$F24)</f>
        <v>1515000</v>
      </c>
    </row>
    <row r="25" spans="1:7" ht="28.8" x14ac:dyDescent="0.55000000000000004">
      <c r="A25" s="15">
        <v>44900</v>
      </c>
      <c r="B25" s="16" t="s">
        <v>846</v>
      </c>
      <c r="C25" s="11">
        <v>2</v>
      </c>
      <c r="D25" s="11">
        <v>90000</v>
      </c>
      <c r="E25" s="9">
        <f>+$I$2+(WAEL[[#This Row],[QUANTITE]]*WAEL[[#This Row],[PRIX UNITAIRE]])</f>
        <v>180000</v>
      </c>
      <c r="F25" s="17"/>
      <c r="G25" s="8">
        <f>+SUM(E$9:$E25)-SUM(F$9:$F25)</f>
        <v>1695000</v>
      </c>
    </row>
    <row r="26" spans="1:7" ht="28.8" x14ac:dyDescent="0.55000000000000004">
      <c r="A26" s="15">
        <v>44940</v>
      </c>
      <c r="B26" s="16" t="s">
        <v>213</v>
      </c>
      <c r="C26" s="11">
        <v>2</v>
      </c>
      <c r="D26" s="11">
        <v>170000</v>
      </c>
      <c r="E26" s="9">
        <f>+$I$2+(WAEL[[#This Row],[QUANTITE]]*WAEL[[#This Row],[PRIX UNITAIRE]])</f>
        <v>340000</v>
      </c>
      <c r="F26" s="17"/>
      <c r="G26" s="8">
        <f>+SUM(E$9:$E26)-SUM(F$9:$F26)</f>
        <v>2035000</v>
      </c>
    </row>
    <row r="27" spans="1:7" ht="28.8" x14ac:dyDescent="0.55000000000000004">
      <c r="A27" s="15">
        <v>44971</v>
      </c>
      <c r="B27" s="16" t="s">
        <v>847</v>
      </c>
      <c r="C27" s="11">
        <v>1</v>
      </c>
      <c r="D27" s="11">
        <v>50000</v>
      </c>
      <c r="E27" s="9">
        <f>+$I$2+(WAEL[[#This Row],[QUANTITE]]*WAEL[[#This Row],[PRIX UNITAIRE]])</f>
        <v>50000</v>
      </c>
      <c r="F27" s="17"/>
      <c r="G27" s="8">
        <f>+SUM(E$9:$E27)-SUM(F$9:$F27)</f>
        <v>2085000</v>
      </c>
    </row>
    <row r="28" spans="1:7" ht="28.8" x14ac:dyDescent="0.55000000000000004">
      <c r="A28" s="15">
        <v>44979</v>
      </c>
      <c r="B28" s="16" t="s">
        <v>217</v>
      </c>
      <c r="C28" s="11">
        <v>1</v>
      </c>
      <c r="D28" s="11">
        <v>85000</v>
      </c>
      <c r="E28" s="9">
        <f>+$I$2+(WAEL[[#This Row],[QUANTITE]]*WAEL[[#This Row],[PRIX UNITAIRE]])</f>
        <v>85000</v>
      </c>
      <c r="F28" s="17"/>
      <c r="G28" s="8">
        <f>+SUM(E$9:$E28)-SUM(F$9:$F28)</f>
        <v>2170000</v>
      </c>
    </row>
    <row r="29" spans="1:7" ht="28.8" x14ac:dyDescent="0.55000000000000004">
      <c r="A29" s="15"/>
      <c r="B29" s="16" t="s">
        <v>700</v>
      </c>
      <c r="C29" s="11">
        <v>1</v>
      </c>
      <c r="D29" s="11">
        <v>0</v>
      </c>
      <c r="E29" s="9">
        <f>+$I$2+(WAEL[[#This Row],[QUANTITE]]*WAEL[[#This Row],[PRIX UNITAIRE]])</f>
        <v>0</v>
      </c>
      <c r="F29" s="17">
        <v>2170000</v>
      </c>
      <c r="G29" s="8">
        <f>+SUM(E$9:$E29)-SUM(F$9:$F29)</f>
        <v>0</v>
      </c>
    </row>
    <row r="30" spans="1:7" ht="28.8" x14ac:dyDescent="0.55000000000000004">
      <c r="A30" s="15">
        <v>44998</v>
      </c>
      <c r="B30" s="16" t="s">
        <v>240</v>
      </c>
      <c r="C30" s="11">
        <v>1</v>
      </c>
      <c r="D30" s="11">
        <v>50000</v>
      </c>
      <c r="E30" s="9">
        <f>+$I$2+(WAEL[[#This Row],[QUANTITE]]*WAEL[[#This Row],[PRIX UNITAIRE]])</f>
        <v>50000</v>
      </c>
      <c r="F30" s="17"/>
      <c r="G30" s="8">
        <f>+SUM(E$9:$E30)-SUM(F$9:$F30)</f>
        <v>50000</v>
      </c>
    </row>
    <row r="31" spans="1:7" ht="28.8" x14ac:dyDescent="0.55000000000000004">
      <c r="A31" s="15">
        <v>45005</v>
      </c>
      <c r="B31" s="16" t="s">
        <v>213</v>
      </c>
      <c r="C31" s="11">
        <v>1</v>
      </c>
      <c r="D31" s="11">
        <v>170000</v>
      </c>
      <c r="E31" s="9">
        <f>+$I$2+(WAEL[[#This Row],[QUANTITE]]*WAEL[[#This Row],[PRIX UNITAIRE]])</f>
        <v>170000</v>
      </c>
      <c r="F31" s="17"/>
      <c r="G31" s="8">
        <f>+SUM(E$9:$E31)-SUM(F$9:$F31)</f>
        <v>220000</v>
      </c>
    </row>
    <row r="32" spans="1:7" ht="28.8" x14ac:dyDescent="0.55000000000000004">
      <c r="A32" s="15">
        <v>45012</v>
      </c>
      <c r="B32" s="16" t="s">
        <v>836</v>
      </c>
      <c r="C32" s="11">
        <v>1</v>
      </c>
      <c r="D32" s="11">
        <v>30000</v>
      </c>
      <c r="E32" s="9">
        <f>+$I$2+(WAEL[[#This Row],[QUANTITE]]*WAEL[[#This Row],[PRIX UNITAIRE]])</f>
        <v>30000</v>
      </c>
      <c r="F32" s="17"/>
      <c r="G32" s="8">
        <f>+SUM(E$9:$E32)-SUM(F$9:$F32)</f>
        <v>250000</v>
      </c>
    </row>
    <row r="33" spans="1:7" ht="28.8" x14ac:dyDescent="0.55000000000000004">
      <c r="A33" s="15">
        <v>45029</v>
      </c>
      <c r="B33" s="16" t="s">
        <v>240</v>
      </c>
      <c r="C33" s="11">
        <v>1</v>
      </c>
      <c r="D33" s="11">
        <v>50000</v>
      </c>
      <c r="E33" s="9">
        <f>+$I$2+(WAEL[[#This Row],[QUANTITE]]*WAEL[[#This Row],[PRIX UNITAIRE]])</f>
        <v>50000</v>
      </c>
      <c r="F33" s="17"/>
      <c r="G33" s="8">
        <f>+SUM(E$9:$E33)-SUM(F$9:$F33)</f>
        <v>300000</v>
      </c>
    </row>
    <row r="34" spans="1:7" ht="28.8" x14ac:dyDescent="0.55000000000000004">
      <c r="A34" s="15">
        <v>45084</v>
      </c>
      <c r="B34" s="16" t="s">
        <v>848</v>
      </c>
      <c r="C34" s="11">
        <v>1</v>
      </c>
      <c r="D34" s="11">
        <v>80000</v>
      </c>
      <c r="E34" s="9">
        <f>+$I$2+(WAEL[[#This Row],[QUANTITE]]*WAEL[[#This Row],[PRIX UNITAIRE]])</f>
        <v>80000</v>
      </c>
      <c r="F34" s="17"/>
      <c r="G34" s="8">
        <f>+SUM(E$9:$E34)-SUM(F$9:$F34)</f>
        <v>380000</v>
      </c>
    </row>
    <row r="35" spans="1:7" ht="28.8" x14ac:dyDescent="0.55000000000000004">
      <c r="A35" s="15">
        <v>45088</v>
      </c>
      <c r="B35" s="16" t="s">
        <v>213</v>
      </c>
      <c r="C35" s="11">
        <v>1</v>
      </c>
      <c r="D35" s="11">
        <v>170000</v>
      </c>
      <c r="E35" s="9">
        <f>+$I$2+(WAEL[[#This Row],[QUANTITE]]*WAEL[[#This Row],[PRIX UNITAIRE]])</f>
        <v>170000</v>
      </c>
      <c r="F35" s="17"/>
      <c r="G35" s="8">
        <f>+SUM(E$9:$E35)-SUM(F$9:$F35)</f>
        <v>550000</v>
      </c>
    </row>
    <row r="36" spans="1:7" ht="28.8" x14ac:dyDescent="0.55000000000000004">
      <c r="A36" s="15">
        <v>45092</v>
      </c>
      <c r="B36" s="16" t="s">
        <v>849</v>
      </c>
      <c r="C36" s="11">
        <v>1</v>
      </c>
      <c r="D36" s="11">
        <v>85000</v>
      </c>
      <c r="E36" s="9">
        <f>+$I$2+(WAEL[[#This Row],[QUANTITE]]*WAEL[[#This Row],[PRIX UNITAIRE]])</f>
        <v>85000</v>
      </c>
      <c r="F36" s="17"/>
      <c r="G36" s="8">
        <f>+SUM(E$9:$E36)-SUM(F$9:$F36)</f>
        <v>635000</v>
      </c>
    </row>
    <row r="37" spans="1:7" ht="28.8" x14ac:dyDescent="0.55000000000000004">
      <c r="A37" s="15">
        <v>45108</v>
      </c>
      <c r="B37" s="16" t="s">
        <v>240</v>
      </c>
      <c r="C37" s="11">
        <v>1</v>
      </c>
      <c r="D37" s="11">
        <v>50000</v>
      </c>
      <c r="E37" s="9">
        <f>+$I$2+(WAEL[[#This Row],[QUANTITE]]*WAEL[[#This Row],[PRIX UNITAIRE]])</f>
        <v>50000</v>
      </c>
      <c r="F37" s="17"/>
      <c r="G37" s="8">
        <f>+SUM(E$9:$E37)-SUM(F$9:$F37)</f>
        <v>685000</v>
      </c>
    </row>
    <row r="38" spans="1:7" ht="28.8" x14ac:dyDescent="0.55000000000000004">
      <c r="A38" s="15">
        <v>45147</v>
      </c>
      <c r="B38" s="16" t="s">
        <v>789</v>
      </c>
      <c r="C38" s="11">
        <v>2</v>
      </c>
      <c r="D38" s="11">
        <v>50000</v>
      </c>
      <c r="E38" s="9">
        <f>+$I$2+(WAEL[[#This Row],[QUANTITE]]*WAEL[[#This Row],[PRIX UNITAIRE]])</f>
        <v>100000</v>
      </c>
      <c r="F38" s="17"/>
      <c r="G38" s="8">
        <f>+SUM(E$9:$E38)-SUM(F$9:$F38)</f>
        <v>785000</v>
      </c>
    </row>
    <row r="39" spans="1:7" ht="28.8" x14ac:dyDescent="0.55000000000000004">
      <c r="A39" s="15">
        <v>45159</v>
      </c>
      <c r="B39" s="16" t="s">
        <v>850</v>
      </c>
      <c r="C39" s="11">
        <v>1</v>
      </c>
      <c r="D39" s="11">
        <v>85000</v>
      </c>
      <c r="E39" s="9">
        <f>+$I$2+(WAEL[[#This Row],[QUANTITE]]*WAEL[[#This Row],[PRIX UNITAIRE]])</f>
        <v>85000</v>
      </c>
      <c r="F39" s="17"/>
      <c r="G39" s="8">
        <f>+SUM(E$9:$E39)-SUM(F$9:$F39)</f>
        <v>870000</v>
      </c>
    </row>
    <row r="40" spans="1:7" ht="28.8" x14ac:dyDescent="0.55000000000000004">
      <c r="A40" s="15">
        <v>45161</v>
      </c>
      <c r="B40" s="16" t="s">
        <v>213</v>
      </c>
      <c r="C40" s="11">
        <v>2</v>
      </c>
      <c r="D40" s="11">
        <v>170000</v>
      </c>
      <c r="E40" s="9">
        <f>+$I$2+(WAEL[[#This Row],[QUANTITE]]*WAEL[[#This Row],[PRIX UNITAIRE]])</f>
        <v>340000</v>
      </c>
      <c r="F40" s="17"/>
      <c r="G40" s="8">
        <f>+SUM(E$9:$E40)-SUM(F$9:$F40)</f>
        <v>1210000</v>
      </c>
    </row>
    <row r="41" spans="1:7" ht="28.8" x14ac:dyDescent="0.55000000000000004">
      <c r="A41" s="15"/>
      <c r="B41" s="16" t="s">
        <v>849</v>
      </c>
      <c r="C41" s="11">
        <v>1</v>
      </c>
      <c r="D41" s="11">
        <v>85000</v>
      </c>
      <c r="E41" s="9">
        <f>+$I$2+(WAEL[[#This Row],[QUANTITE]]*WAEL[[#This Row],[PRIX UNITAIRE]])</f>
        <v>85000</v>
      </c>
      <c r="F41" s="17"/>
      <c r="G41" s="8">
        <f>+SUM(E$9:$E41)-SUM(F$9:$F41)</f>
        <v>1295000</v>
      </c>
    </row>
    <row r="42" spans="1:7" ht="28.8" x14ac:dyDescent="0.55000000000000004">
      <c r="A42" s="15">
        <v>45180</v>
      </c>
      <c r="B42" s="16" t="s">
        <v>213</v>
      </c>
      <c r="C42" s="11">
        <v>2</v>
      </c>
      <c r="D42" s="11">
        <v>170000</v>
      </c>
      <c r="E42" s="9">
        <f>+$I$2+(WAEL[[#This Row],[QUANTITE]]*WAEL[[#This Row],[PRIX UNITAIRE]])</f>
        <v>340000</v>
      </c>
      <c r="F42" s="17"/>
      <c r="G42" s="8">
        <f>+SUM(E$9:$E42)-SUM(F$9:$F42)</f>
        <v>1635000</v>
      </c>
    </row>
    <row r="43" spans="1:7" ht="28.8" x14ac:dyDescent="0.55000000000000004">
      <c r="A43" s="15">
        <v>45206</v>
      </c>
      <c r="B43" s="16" t="s">
        <v>841</v>
      </c>
      <c r="C43" s="11">
        <v>1</v>
      </c>
      <c r="D43" s="11">
        <v>50000</v>
      </c>
      <c r="E43" s="9">
        <f>+$I$2+(WAEL[[#This Row],[QUANTITE]]*WAEL[[#This Row],[PRIX UNITAIRE]])</f>
        <v>50000</v>
      </c>
      <c r="F43" s="17"/>
      <c r="G43" s="8">
        <f>+SUM(E$9:$E43)-SUM(F$9:$F43)</f>
        <v>1685000</v>
      </c>
    </row>
    <row r="44" spans="1:7" ht="28.8" x14ac:dyDescent="0.55000000000000004">
      <c r="A44" s="15">
        <v>45210</v>
      </c>
      <c r="B44" s="16" t="s">
        <v>217</v>
      </c>
      <c r="C44" s="11">
        <v>1</v>
      </c>
      <c r="D44" s="11">
        <v>85000</v>
      </c>
      <c r="E44" s="9">
        <f>+$I$2+(WAEL[[#This Row],[QUANTITE]]*WAEL[[#This Row],[PRIX UNITAIRE]])</f>
        <v>85000</v>
      </c>
      <c r="F44" s="17"/>
      <c r="G44" s="8">
        <f>+SUM(E$9:$E44)-SUM(F$9:$F44)</f>
        <v>1770000</v>
      </c>
    </row>
    <row r="45" spans="1:7" ht="28.8" x14ac:dyDescent="0.55000000000000004">
      <c r="A45" s="15">
        <v>45244</v>
      </c>
      <c r="B45" s="16" t="s">
        <v>606</v>
      </c>
      <c r="C45" s="11">
        <v>2</v>
      </c>
      <c r="D45" s="11">
        <v>170000</v>
      </c>
      <c r="E45" s="9">
        <f>+$I$2+(WAEL[[#This Row],[QUANTITE]]*WAEL[[#This Row],[PRIX UNITAIRE]])</f>
        <v>340000</v>
      </c>
      <c r="F45" s="17"/>
      <c r="G45" s="8">
        <f>+SUM(E$9:$E45)-SUM(F$9:$F45)</f>
        <v>2110000</v>
      </c>
    </row>
    <row r="46" spans="1:7" ht="28.8" x14ac:dyDescent="0.55000000000000004">
      <c r="A46" s="15">
        <v>45244</v>
      </c>
      <c r="B46" s="16" t="s">
        <v>851</v>
      </c>
      <c r="C46" s="11">
        <v>2</v>
      </c>
      <c r="D46" s="11">
        <v>85000</v>
      </c>
      <c r="E46" s="9">
        <f>+$I$2+(WAEL[[#This Row],[QUANTITE]]*WAEL[[#This Row],[PRIX UNITAIRE]])</f>
        <v>170000</v>
      </c>
      <c r="F46" s="17"/>
      <c r="G46" s="8">
        <f>+SUM(E$9:$E46)-SUM(F$9:$F46)</f>
        <v>2280000</v>
      </c>
    </row>
    <row r="47" spans="1:7" ht="28.8" x14ac:dyDescent="0.55000000000000004">
      <c r="A47" s="15"/>
      <c r="B47" s="16" t="s">
        <v>6</v>
      </c>
      <c r="C47" s="11">
        <v>1</v>
      </c>
      <c r="D47" s="11">
        <v>0</v>
      </c>
      <c r="E47" s="9">
        <f>+$I$2+(WAEL[[#This Row],[QUANTITE]]*WAEL[[#This Row],[PRIX UNITAIRE]])</f>
        <v>0</v>
      </c>
      <c r="F47" s="17">
        <v>2280000</v>
      </c>
      <c r="G47" s="8">
        <f>+SUM(E$9:$E47)-SUM(F$9:$F47)</f>
        <v>0</v>
      </c>
    </row>
    <row r="48" spans="1:7" ht="28.8" x14ac:dyDescent="0.55000000000000004">
      <c r="A48" s="15">
        <v>45387</v>
      </c>
      <c r="B48" s="16" t="s">
        <v>852</v>
      </c>
      <c r="C48" s="11">
        <v>1</v>
      </c>
      <c r="D48" s="11">
        <v>25000</v>
      </c>
      <c r="E48" s="9">
        <f>+$I$2+(WAEL[[#This Row],[QUANTITE]]*WAEL[[#This Row],[PRIX UNITAIRE]])</f>
        <v>25000</v>
      </c>
      <c r="F48" s="17"/>
      <c r="G48" s="8">
        <f>+SUM(E$9:$E48)-SUM(F$9:$F48)</f>
        <v>25000</v>
      </c>
    </row>
    <row r="49" spans="1:7" ht="28.8" x14ac:dyDescent="0.55000000000000004">
      <c r="A49" s="15">
        <v>45388</v>
      </c>
      <c r="B49" s="16" t="s">
        <v>853</v>
      </c>
      <c r="C49" s="11">
        <v>1</v>
      </c>
      <c r="D49" s="11">
        <v>40000</v>
      </c>
      <c r="E49" s="9">
        <f>+$I$2+(WAEL[[#This Row],[QUANTITE]]*WAEL[[#This Row],[PRIX UNITAIRE]])</f>
        <v>40000</v>
      </c>
      <c r="F49" s="17"/>
      <c r="G49" s="8">
        <f>+SUM(E$9:$E49)-SUM(F$9:$F49)</f>
        <v>65000</v>
      </c>
    </row>
    <row r="50" spans="1:7" ht="28.8" x14ac:dyDescent="0.55000000000000004">
      <c r="A50" s="15">
        <v>45390</v>
      </c>
      <c r="B50" s="16" t="s">
        <v>78</v>
      </c>
      <c r="C50" s="11">
        <v>1</v>
      </c>
      <c r="D50" s="11">
        <v>125000</v>
      </c>
      <c r="E50" s="9">
        <f>+$I$2+(WAEL[[#This Row],[QUANTITE]]*WAEL[[#This Row],[PRIX UNITAIRE]])</f>
        <v>125000</v>
      </c>
      <c r="F50" s="17"/>
      <c r="G50" s="8">
        <f>+SUM(E$9:$E50)-SUM(F$9:$F50)</f>
        <v>190000</v>
      </c>
    </row>
    <row r="51" spans="1:7" ht="28.8" x14ac:dyDescent="0.55000000000000004">
      <c r="A51" s="15">
        <v>45406</v>
      </c>
      <c r="B51" s="16" t="s">
        <v>76</v>
      </c>
      <c r="C51" s="11">
        <v>2</v>
      </c>
      <c r="D51" s="11">
        <v>40000</v>
      </c>
      <c r="E51" s="9">
        <f>+$I$2+(WAEL[[#This Row],[QUANTITE]]*WAEL[[#This Row],[PRIX UNITAIRE]])</f>
        <v>80000</v>
      </c>
      <c r="F51" s="17"/>
      <c r="G51" s="8">
        <f>+SUM(E$9:$E51)-SUM(F$9:$F51)</f>
        <v>270000</v>
      </c>
    </row>
    <row r="52" spans="1:7" ht="28.8" x14ac:dyDescent="0.55000000000000004">
      <c r="A52" s="15">
        <v>45411</v>
      </c>
      <c r="B52" s="16" t="s">
        <v>841</v>
      </c>
      <c r="C52" s="11">
        <v>1</v>
      </c>
      <c r="D52" s="11">
        <v>50000</v>
      </c>
      <c r="E52" s="9">
        <f>+$I$2+(WAEL[[#This Row],[QUANTITE]]*WAEL[[#This Row],[PRIX UNITAIRE]])</f>
        <v>50000</v>
      </c>
      <c r="F52" s="17"/>
      <c r="G52" s="8">
        <f>+SUM(E$9:$E52)-SUM(F$9:$F52)</f>
        <v>320000</v>
      </c>
    </row>
    <row r="53" spans="1:7" ht="28.8" x14ac:dyDescent="0.55000000000000004">
      <c r="A53" s="15">
        <v>45411</v>
      </c>
      <c r="B53" s="16" t="s">
        <v>188</v>
      </c>
      <c r="C53" s="11">
        <v>2</v>
      </c>
      <c r="D53" s="11">
        <v>80000</v>
      </c>
      <c r="E53" s="9">
        <f>+$I$2+(WAEL[[#This Row],[QUANTITE]]*WAEL[[#This Row],[PRIX UNITAIRE]])</f>
        <v>160000</v>
      </c>
      <c r="F53" s="17"/>
      <c r="G53" s="8">
        <f>+SUM(E$9:$E53)-SUM(F$9:$F53)</f>
        <v>480000</v>
      </c>
    </row>
    <row r="54" spans="1:7" ht="28.8" x14ac:dyDescent="0.55000000000000004">
      <c r="A54" s="15">
        <v>45416</v>
      </c>
      <c r="B54" s="16" t="s">
        <v>78</v>
      </c>
      <c r="C54" s="11">
        <v>1</v>
      </c>
      <c r="D54" s="11">
        <v>125000</v>
      </c>
      <c r="E54" s="9">
        <f>+$I$2+(WAEL[[#This Row],[QUANTITE]]*WAEL[[#This Row],[PRIX UNITAIRE]])</f>
        <v>125000</v>
      </c>
      <c r="F54" s="17"/>
      <c r="G54" s="8">
        <f>+SUM(E$9:$E54)-SUM(F$9:$F54)</f>
        <v>605000</v>
      </c>
    </row>
    <row r="55" spans="1:7" ht="28.8" x14ac:dyDescent="0.55000000000000004">
      <c r="A55" s="15">
        <v>45418</v>
      </c>
      <c r="B55" s="16" t="s">
        <v>854</v>
      </c>
      <c r="C55" s="11">
        <v>1</v>
      </c>
      <c r="D55" s="11">
        <v>75000</v>
      </c>
      <c r="E55" s="9">
        <f>+$I$2+(WAEL[[#This Row],[QUANTITE]]*WAEL[[#This Row],[PRIX UNITAIRE]])</f>
        <v>75000</v>
      </c>
      <c r="F55" s="17"/>
      <c r="G55" s="8">
        <f>+SUM(E$9:$E55)-SUM(F$9:$F55)</f>
        <v>680000</v>
      </c>
    </row>
    <row r="56" spans="1:7" ht="28.8" x14ac:dyDescent="0.55000000000000004">
      <c r="A56" s="15">
        <v>45418</v>
      </c>
      <c r="B56" s="16" t="s">
        <v>213</v>
      </c>
      <c r="C56" s="11">
        <v>1</v>
      </c>
      <c r="D56" s="11">
        <v>160000</v>
      </c>
      <c r="E56" s="9">
        <f>+$I$2+(WAEL[[#This Row],[QUANTITE]]*WAEL[[#This Row],[PRIX UNITAIRE]])</f>
        <v>160000</v>
      </c>
      <c r="F56" s="17"/>
      <c r="G56" s="8">
        <f>+SUM(E$9:$E56)-SUM(F$9:$F56)</f>
        <v>840000</v>
      </c>
    </row>
    <row r="57" spans="1:7" ht="28.8" x14ac:dyDescent="0.55000000000000004">
      <c r="A57" s="15">
        <v>45422</v>
      </c>
      <c r="B57" s="16" t="s">
        <v>753</v>
      </c>
      <c r="C57" s="11">
        <v>1</v>
      </c>
      <c r="D57" s="11">
        <v>75000</v>
      </c>
      <c r="E57" s="9">
        <f>+$I$2+(WAEL[[#This Row],[QUANTITE]]*WAEL[[#This Row],[PRIX UNITAIRE]])</f>
        <v>75000</v>
      </c>
      <c r="F57" s="17"/>
      <c r="G57" s="8">
        <f>+SUM(E$9:$E57)-SUM(F$9:$F57)</f>
        <v>915000</v>
      </c>
    </row>
    <row r="58" spans="1:7" ht="28.8" x14ac:dyDescent="0.55000000000000004">
      <c r="A58" s="15">
        <v>45425</v>
      </c>
      <c r="B58" s="16" t="s">
        <v>10</v>
      </c>
      <c r="C58" s="11">
        <v>2</v>
      </c>
      <c r="D58" s="11">
        <v>85000</v>
      </c>
      <c r="E58" s="9">
        <f>+$I$2+(WAEL[[#This Row],[QUANTITE]]*WAEL[[#This Row],[PRIX UNITAIRE]])</f>
        <v>170000</v>
      </c>
      <c r="F58" s="17"/>
      <c r="G58" s="8">
        <f>+SUM(E$9:$E58)-SUM(F$9:$F58)</f>
        <v>1085000</v>
      </c>
    </row>
    <row r="59" spans="1:7" ht="28.8" x14ac:dyDescent="0.55000000000000004">
      <c r="A59" s="15">
        <v>45429</v>
      </c>
      <c r="B59" s="16" t="s">
        <v>753</v>
      </c>
      <c r="C59" s="11">
        <v>2</v>
      </c>
      <c r="D59" s="11">
        <v>75000</v>
      </c>
      <c r="E59" s="9">
        <f>+$I$2+(WAEL[[#This Row],[QUANTITE]]*WAEL[[#This Row],[PRIX UNITAIRE]])</f>
        <v>150000</v>
      </c>
      <c r="F59" s="17"/>
      <c r="G59" s="8">
        <f>+SUM(E$9:$E59)-SUM(F$9:$F59)</f>
        <v>1235000</v>
      </c>
    </row>
    <row r="60" spans="1:7" ht="28.8" x14ac:dyDescent="0.55000000000000004">
      <c r="A60" s="15">
        <v>45437</v>
      </c>
      <c r="B60" s="16" t="s">
        <v>217</v>
      </c>
      <c r="C60" s="11">
        <v>2</v>
      </c>
      <c r="D60" s="11">
        <v>80000</v>
      </c>
      <c r="E60" s="9">
        <f>+$I$2+(WAEL[[#This Row],[QUANTITE]]*WAEL[[#This Row],[PRIX UNITAIRE]])</f>
        <v>160000</v>
      </c>
      <c r="F60" s="17"/>
      <c r="G60" s="8">
        <f>+SUM(E$9:$E60)-SUM(F$9:$F60)</f>
        <v>1395000</v>
      </c>
    </row>
    <row r="61" spans="1:7" ht="28.8" x14ac:dyDescent="0.55000000000000004">
      <c r="A61" s="15">
        <v>45443</v>
      </c>
      <c r="B61" s="16" t="s">
        <v>855</v>
      </c>
      <c r="C61" s="11">
        <v>2</v>
      </c>
      <c r="D61" s="11">
        <v>165000</v>
      </c>
      <c r="E61" s="9">
        <f>+$I$2+(WAEL[[#This Row],[QUANTITE]]*WAEL[[#This Row],[PRIX UNITAIRE]])</f>
        <v>330000</v>
      </c>
      <c r="F61" s="17"/>
      <c r="G61" s="8">
        <f>+SUM(E$9:$E61)-SUM(F$9:$F61)</f>
        <v>1725000</v>
      </c>
    </row>
    <row r="62" spans="1:7" ht="28.8" x14ac:dyDescent="0.55000000000000004">
      <c r="A62" s="15">
        <v>45447</v>
      </c>
      <c r="B62" s="16" t="s">
        <v>12</v>
      </c>
      <c r="C62" s="11">
        <v>1</v>
      </c>
      <c r="D62" s="11">
        <v>65000</v>
      </c>
      <c r="E62" s="9">
        <f>+$I$2+(WAEL[[#This Row],[QUANTITE]]*WAEL[[#This Row],[PRIX UNITAIRE]])</f>
        <v>65000</v>
      </c>
      <c r="F62" s="17"/>
      <c r="G62" s="8">
        <f>+SUM(E$9:$E62)-SUM(F$9:$F62)</f>
        <v>1790000</v>
      </c>
    </row>
    <row r="63" spans="1:7" ht="28.8" x14ac:dyDescent="0.55000000000000004">
      <c r="A63" s="15">
        <v>45456</v>
      </c>
      <c r="B63" s="16" t="s">
        <v>213</v>
      </c>
      <c r="C63" s="11">
        <v>1</v>
      </c>
      <c r="D63" s="11">
        <v>160000</v>
      </c>
      <c r="E63" s="9">
        <f>+$I$2+(WAEL[[#This Row],[QUANTITE]]*WAEL[[#This Row],[PRIX UNITAIRE]])</f>
        <v>160000</v>
      </c>
      <c r="F63" s="17"/>
      <c r="G63" s="8">
        <f>+SUM(E$9:$E63)-SUM(F$9:$F63)</f>
        <v>1950000</v>
      </c>
    </row>
    <row r="64" spans="1:7" ht="28.8" x14ac:dyDescent="0.55000000000000004">
      <c r="A64" s="15">
        <v>45463</v>
      </c>
      <c r="B64" s="16" t="s">
        <v>12</v>
      </c>
      <c r="C64" s="11">
        <v>2</v>
      </c>
      <c r="D64" s="11">
        <v>65000</v>
      </c>
      <c r="E64" s="9">
        <f>+$I$2+(WAEL[[#This Row],[QUANTITE]]*WAEL[[#This Row],[PRIX UNITAIRE]])</f>
        <v>130000</v>
      </c>
      <c r="F64" s="17"/>
      <c r="G64" s="8">
        <f>+SUM(E$9:$E64)-SUM(F$9:$F64)</f>
        <v>2080000</v>
      </c>
    </row>
    <row r="65" spans="1:7" ht="28.8" x14ac:dyDescent="0.55000000000000004">
      <c r="A65" s="15">
        <v>45478</v>
      </c>
      <c r="B65" s="16" t="s">
        <v>854</v>
      </c>
      <c r="C65" s="11">
        <v>1</v>
      </c>
      <c r="D65" s="11">
        <v>75000</v>
      </c>
      <c r="E65" s="9">
        <f>+$I$2+(WAEL[[#This Row],[QUANTITE]]*WAEL[[#This Row],[PRIX UNITAIRE]])</f>
        <v>75000</v>
      </c>
      <c r="F65" s="17"/>
      <c r="G65" s="8">
        <f>+SUM(E$9:$E65)-SUM(F$9:$F65)</f>
        <v>2155000</v>
      </c>
    </row>
    <row r="66" spans="1:7" ht="28.8" x14ac:dyDescent="0.55000000000000004">
      <c r="A66" s="15">
        <v>45482</v>
      </c>
      <c r="B66" s="16" t="s">
        <v>78</v>
      </c>
      <c r="C66" s="11">
        <v>1</v>
      </c>
      <c r="D66" s="11">
        <v>125000</v>
      </c>
      <c r="E66" s="9">
        <f>+$I$2+(WAEL[[#This Row],[QUANTITE]]*WAEL[[#This Row],[PRIX UNITAIRE]])</f>
        <v>125000</v>
      </c>
      <c r="F66" s="17"/>
      <c r="G66" s="8">
        <f>+SUM(E$9:$E66)-SUM(F$9:$F66)</f>
        <v>2280000</v>
      </c>
    </row>
    <row r="67" spans="1:7" ht="28.8" x14ac:dyDescent="0.55000000000000004">
      <c r="A67" s="15">
        <v>45485</v>
      </c>
      <c r="B67" s="16" t="s">
        <v>838</v>
      </c>
      <c r="C67" s="11">
        <v>1</v>
      </c>
      <c r="D67" s="11">
        <v>75000</v>
      </c>
      <c r="E67" s="9">
        <f>+$I$2+(WAEL[[#This Row],[QUANTITE]]*WAEL[[#This Row],[PRIX UNITAIRE]])</f>
        <v>75000</v>
      </c>
      <c r="F67" s="17"/>
      <c r="G67" s="8">
        <f>+SUM(E$9:$E67)-SUM(F$9:$F67)</f>
        <v>2355000</v>
      </c>
    </row>
    <row r="68" spans="1:7" ht="28.8" x14ac:dyDescent="0.55000000000000004">
      <c r="A68" s="15">
        <v>45496</v>
      </c>
      <c r="B68" s="16" t="s">
        <v>213</v>
      </c>
      <c r="C68" s="11">
        <v>1</v>
      </c>
      <c r="D68" s="11">
        <v>160000</v>
      </c>
      <c r="E68" s="9">
        <f>+$I$2+(WAEL[[#This Row],[QUANTITE]]*WAEL[[#This Row],[PRIX UNITAIRE]])</f>
        <v>160000</v>
      </c>
      <c r="F68" s="17"/>
      <c r="G68" s="8">
        <f>+SUM(E$9:$E68)-SUM(F$9:$F68)</f>
        <v>2515000</v>
      </c>
    </row>
    <row r="69" spans="1:7" ht="28.8" x14ac:dyDescent="0.55000000000000004">
      <c r="A69" s="15">
        <v>45497</v>
      </c>
      <c r="B69" s="16" t="s">
        <v>856</v>
      </c>
      <c r="C69" s="11">
        <v>1</v>
      </c>
      <c r="D69" s="11">
        <v>0</v>
      </c>
      <c r="E69" s="9">
        <f>+$I$2+(WAEL[[#This Row],[QUANTITE]]*WAEL[[#This Row],[PRIX UNITAIRE]])</f>
        <v>0</v>
      </c>
      <c r="F69" s="17">
        <v>2515000</v>
      </c>
      <c r="G69" s="8">
        <f>+SUM(E$9:$E69)-SUM(F$9:$F69)</f>
        <v>0</v>
      </c>
    </row>
    <row r="70" spans="1:7" ht="28.8" x14ac:dyDescent="0.55000000000000004">
      <c r="A70" s="15">
        <v>45507</v>
      </c>
      <c r="B70" s="16" t="s">
        <v>78</v>
      </c>
      <c r="C70" s="11">
        <v>1</v>
      </c>
      <c r="D70" s="11">
        <v>125000</v>
      </c>
      <c r="E70" s="9">
        <f>+$I$2+(WAEL[[#This Row],[QUANTITE]]*WAEL[[#This Row],[PRIX UNITAIRE]])</f>
        <v>125000</v>
      </c>
      <c r="F70" s="17"/>
      <c r="G70" s="8">
        <f>+SUM(E$9:$E70)-SUM(F$9:$F70)</f>
        <v>125000</v>
      </c>
    </row>
    <row r="71" spans="1:7" ht="28.8" x14ac:dyDescent="0.55000000000000004">
      <c r="A71" s="15">
        <v>45509</v>
      </c>
      <c r="B71" s="16" t="s">
        <v>841</v>
      </c>
      <c r="C71" s="11">
        <v>2</v>
      </c>
      <c r="D71" s="11">
        <v>50000</v>
      </c>
      <c r="E71" s="9">
        <f>+$I$2+(WAEL[[#This Row],[QUANTITE]]*WAEL[[#This Row],[PRIX UNITAIRE]])</f>
        <v>100000</v>
      </c>
      <c r="F71" s="17"/>
      <c r="G71" s="8">
        <f>+SUM(E$9:$E71)-SUM(F$9:$F71)</f>
        <v>225000</v>
      </c>
    </row>
    <row r="72" spans="1:7" ht="28.8" x14ac:dyDescent="0.55000000000000004">
      <c r="A72" s="15">
        <v>45513</v>
      </c>
      <c r="B72" s="16" t="s">
        <v>213</v>
      </c>
      <c r="C72" s="11">
        <v>1</v>
      </c>
      <c r="D72" s="11">
        <v>155000</v>
      </c>
      <c r="E72" s="9">
        <f>+$I$2+(WAEL[[#This Row],[QUANTITE]]*WAEL[[#This Row],[PRIX UNITAIRE]])</f>
        <v>155000</v>
      </c>
      <c r="F72" s="17"/>
      <c r="G72" s="8">
        <f>+SUM(E$9:$E72)-SUM(F$9:$F72)</f>
        <v>380000</v>
      </c>
    </row>
    <row r="73" spans="1:7" ht="28.8" x14ac:dyDescent="0.55000000000000004">
      <c r="A73" s="15"/>
      <c r="B73" s="16" t="s">
        <v>857</v>
      </c>
      <c r="C73" s="11">
        <v>1</v>
      </c>
      <c r="D73" s="11">
        <v>15000</v>
      </c>
      <c r="E73" s="9">
        <f>+$I$2+(WAEL[[#This Row],[QUANTITE]]*WAEL[[#This Row],[PRIX UNITAIRE]])</f>
        <v>15000</v>
      </c>
      <c r="F73" s="17"/>
      <c r="G73" s="8">
        <f>+SUM(E$9:$E73)-SUM(F$9:$F73)</f>
        <v>395000</v>
      </c>
    </row>
    <row r="74" spans="1:7" ht="28.8" x14ac:dyDescent="0.55000000000000004">
      <c r="A74" s="15">
        <v>45517</v>
      </c>
      <c r="B74" s="16" t="s">
        <v>858</v>
      </c>
      <c r="C74" s="11">
        <v>4</v>
      </c>
      <c r="D74" s="11">
        <v>50000</v>
      </c>
      <c r="E74" s="9">
        <f>+$I$2+(WAEL[[#This Row],[QUANTITE]]*WAEL[[#This Row],[PRIX UNITAIRE]])</f>
        <v>200000</v>
      </c>
      <c r="F74" s="17"/>
      <c r="G74" s="8">
        <f>+SUM(E$9:$E74)-SUM(F$9:$F74)</f>
        <v>595000</v>
      </c>
    </row>
    <row r="75" spans="1:7" ht="28.8" x14ac:dyDescent="0.55000000000000004">
      <c r="A75" s="15">
        <v>45520</v>
      </c>
      <c r="B75" s="16" t="s">
        <v>836</v>
      </c>
      <c r="C75" s="11">
        <v>2</v>
      </c>
      <c r="D75" s="11">
        <v>25000</v>
      </c>
      <c r="E75" s="9">
        <f>+$I$2+(WAEL[[#This Row],[QUANTITE]]*WAEL[[#This Row],[PRIX UNITAIRE]])</f>
        <v>50000</v>
      </c>
      <c r="F75" s="17"/>
      <c r="G75" s="8">
        <f>+SUM(E$9:$E75)-SUM(F$9:$F75)</f>
        <v>645000</v>
      </c>
    </row>
    <row r="76" spans="1:7" ht="28.8" x14ac:dyDescent="0.55000000000000004">
      <c r="A76" s="15">
        <v>45534</v>
      </c>
      <c r="B76" s="16" t="s">
        <v>189</v>
      </c>
      <c r="C76" s="11">
        <v>2</v>
      </c>
      <c r="D76" s="11">
        <v>40000</v>
      </c>
      <c r="E76" s="9">
        <f>+$I$2+(WAEL[[#This Row],[QUANTITE]]*WAEL[[#This Row],[PRIX UNITAIRE]])</f>
        <v>80000</v>
      </c>
      <c r="F76" s="17"/>
      <c r="G76" s="8">
        <f>+SUM(E$9:$E76)-SUM(F$9:$F76)</f>
        <v>725000</v>
      </c>
    </row>
    <row r="77" spans="1:7" ht="28.8" x14ac:dyDescent="0.55000000000000004">
      <c r="A77" s="15">
        <v>45540</v>
      </c>
      <c r="B77" s="16" t="s">
        <v>836</v>
      </c>
      <c r="C77" s="11">
        <v>2</v>
      </c>
      <c r="D77" s="11">
        <v>25000</v>
      </c>
      <c r="E77" s="9">
        <f>+$I$2+(WAEL[[#This Row],[QUANTITE]]*WAEL[[#This Row],[PRIX UNITAIRE]])</f>
        <v>50000</v>
      </c>
      <c r="F77" s="17"/>
      <c r="G77" s="8">
        <f>+SUM(E$9:$E77)-SUM(F$9:$F77)</f>
        <v>775000</v>
      </c>
    </row>
    <row r="78" spans="1:7" ht="28.8" x14ac:dyDescent="0.55000000000000004">
      <c r="A78" s="15">
        <v>45552</v>
      </c>
      <c r="B78" s="16" t="s">
        <v>859</v>
      </c>
      <c r="C78" s="11">
        <v>1</v>
      </c>
      <c r="D78" s="11">
        <v>75000</v>
      </c>
      <c r="E78" s="9">
        <f>+$I$2+(WAEL[[#This Row],[QUANTITE]]*WAEL[[#This Row],[PRIX UNITAIRE]])</f>
        <v>75000</v>
      </c>
      <c r="F78" s="17"/>
      <c r="G78" s="8">
        <f>+SUM(E$9:$E78)-SUM(F$9:$F78)</f>
        <v>850000</v>
      </c>
    </row>
    <row r="79" spans="1:7" ht="28.8" x14ac:dyDescent="0.55000000000000004">
      <c r="A79" s="15">
        <v>45559</v>
      </c>
      <c r="B79" s="16" t="s">
        <v>619</v>
      </c>
      <c r="C79" s="11">
        <v>2</v>
      </c>
      <c r="D79" s="11">
        <v>40000</v>
      </c>
      <c r="E79" s="9">
        <f>+$I$2+(WAEL[[#This Row],[QUANTITE]]*WAEL[[#This Row],[PRIX UNITAIRE]])</f>
        <v>80000</v>
      </c>
      <c r="F79" s="17"/>
      <c r="G79" s="8">
        <f>+SUM(E$9:$E79)-SUM(F$9:$F79)</f>
        <v>930000</v>
      </c>
    </row>
    <row r="80" spans="1:7" ht="28.8" x14ac:dyDescent="0.55000000000000004">
      <c r="A80" s="15">
        <v>45552</v>
      </c>
      <c r="B80" s="16" t="s">
        <v>213</v>
      </c>
      <c r="C80" s="11">
        <v>1</v>
      </c>
      <c r="D80" s="11">
        <v>160000</v>
      </c>
      <c r="E80" s="9">
        <f>+$I$2+(WAEL[[#This Row],[QUANTITE]]*WAEL[[#This Row],[PRIX UNITAIRE]])</f>
        <v>160000</v>
      </c>
      <c r="F80" s="17"/>
      <c r="G80" s="8">
        <f>+SUM(E$9:$E80)-SUM(F$9:$F80)</f>
        <v>1090000</v>
      </c>
    </row>
    <row r="81" spans="1:7" ht="28.8" x14ac:dyDescent="0.55000000000000004">
      <c r="A81" s="15">
        <v>45573</v>
      </c>
      <c r="B81" s="16" t="s">
        <v>78</v>
      </c>
      <c r="C81" s="11">
        <v>2</v>
      </c>
      <c r="D81" s="11">
        <v>125000</v>
      </c>
      <c r="E81" s="9">
        <f>+$I$2+(WAEL[[#This Row],[QUANTITE]]*WAEL[[#This Row],[PRIX UNITAIRE]])</f>
        <v>250000</v>
      </c>
      <c r="F81" s="17"/>
      <c r="G81" s="8">
        <f>+SUM(E$9:$E81)-SUM(F$9:$F81)</f>
        <v>1340000</v>
      </c>
    </row>
    <row r="82" spans="1:7" ht="28.8" x14ac:dyDescent="0.55000000000000004">
      <c r="A82" s="15"/>
      <c r="B82" s="16" t="s">
        <v>860</v>
      </c>
      <c r="C82" s="11">
        <v>1</v>
      </c>
      <c r="D82" s="11">
        <v>45000</v>
      </c>
      <c r="E82" s="9">
        <f>+$I$2+(WAEL[[#This Row],[QUANTITE]]*WAEL[[#This Row],[PRIX UNITAIRE]])</f>
        <v>45000</v>
      </c>
      <c r="F82" s="17"/>
      <c r="G82" s="8">
        <f>+SUM(E$9:$E82)-SUM(F$9:$F82)</f>
        <v>1385000</v>
      </c>
    </row>
    <row r="83" spans="1:7" ht="28.8" x14ac:dyDescent="0.55000000000000004">
      <c r="A83" s="15">
        <v>45576</v>
      </c>
      <c r="B83" s="16" t="s">
        <v>78</v>
      </c>
      <c r="C83" s="11">
        <v>1</v>
      </c>
      <c r="D83" s="11">
        <v>125000</v>
      </c>
      <c r="E83" s="9">
        <f>+$I$2+(WAEL[[#This Row],[QUANTITE]]*WAEL[[#This Row],[PRIX UNITAIRE]])</f>
        <v>125000</v>
      </c>
      <c r="F83" s="17"/>
      <c r="G83" s="8">
        <f>+SUM(E$9:$E83)-SUM(F$9:$F83)</f>
        <v>1510000</v>
      </c>
    </row>
    <row r="84" spans="1:7" ht="28.8" x14ac:dyDescent="0.55000000000000004">
      <c r="A84" s="15">
        <v>45594</v>
      </c>
      <c r="B84" s="16" t="s">
        <v>189</v>
      </c>
      <c r="C84" s="11">
        <v>2</v>
      </c>
      <c r="D84" s="11">
        <v>40000</v>
      </c>
      <c r="E84" s="9">
        <f>+$I$2+(WAEL[[#This Row],[QUANTITE]]*WAEL[[#This Row],[PRIX UNITAIRE]])</f>
        <v>80000</v>
      </c>
      <c r="F84" s="17"/>
      <c r="G84" s="8">
        <f>+SUM(E$9:$E84)-SUM(F$9:$F84)</f>
        <v>1590000</v>
      </c>
    </row>
    <row r="85" spans="1:7" ht="28.8" x14ac:dyDescent="0.55000000000000004">
      <c r="A85" s="15">
        <v>45607</v>
      </c>
      <c r="B85" s="16" t="s">
        <v>213</v>
      </c>
      <c r="C85" s="11">
        <v>1</v>
      </c>
      <c r="D85" s="11">
        <v>160000</v>
      </c>
      <c r="E85" s="9">
        <f>+$I$2+(WAEL[[#This Row],[QUANTITE]]*WAEL[[#This Row],[PRIX UNITAIRE]])</f>
        <v>160000</v>
      </c>
      <c r="F85" s="17"/>
      <c r="G85" s="8">
        <f>+SUM(E$9:$E85)-SUM(F$9:$F85)</f>
        <v>1750000</v>
      </c>
    </row>
    <row r="86" spans="1:7" ht="28.8" x14ac:dyDescent="0.55000000000000004">
      <c r="A86" s="15">
        <v>45618</v>
      </c>
      <c r="B86" s="16" t="s">
        <v>836</v>
      </c>
      <c r="C86" s="11">
        <v>2</v>
      </c>
      <c r="D86" s="11">
        <v>25000</v>
      </c>
      <c r="E86" s="9">
        <f>+$I$2+(WAEL[[#This Row],[QUANTITE]]*WAEL[[#This Row],[PRIX UNITAIRE]])</f>
        <v>50000</v>
      </c>
      <c r="F86" s="17"/>
      <c r="G86" s="8">
        <f>+SUM(E$9:$E86)-SUM(F$9:$F86)</f>
        <v>1800000</v>
      </c>
    </row>
    <row r="87" spans="1:7" ht="28.8" x14ac:dyDescent="0.55000000000000004">
      <c r="A87" s="15">
        <v>45618</v>
      </c>
      <c r="B87" s="16" t="s">
        <v>859</v>
      </c>
      <c r="C87" s="11">
        <v>1</v>
      </c>
      <c r="D87" s="11">
        <v>75000</v>
      </c>
      <c r="E87" s="9">
        <f>+$I$2+(WAEL[[#This Row],[QUANTITE]]*WAEL[[#This Row],[PRIX UNITAIRE]])</f>
        <v>75000</v>
      </c>
      <c r="F87" s="17"/>
      <c r="G87" s="8">
        <f>+SUM(E$9:$E87)-SUM(F$9:$F87)</f>
        <v>1875000</v>
      </c>
    </row>
    <row r="88" spans="1:7" ht="28.8" x14ac:dyDescent="0.55000000000000004">
      <c r="A88" s="15">
        <v>45624</v>
      </c>
      <c r="B88" s="16" t="s">
        <v>213</v>
      </c>
      <c r="C88" s="11">
        <v>2</v>
      </c>
      <c r="D88" s="11">
        <v>160000</v>
      </c>
      <c r="E88" s="9">
        <f>+$I$2+(WAEL[[#This Row],[QUANTITE]]*WAEL[[#This Row],[PRIX UNITAIRE]])</f>
        <v>320000</v>
      </c>
      <c r="F88" s="17"/>
      <c r="G88" s="8">
        <f>+SUM(E$9:$E88)-SUM(F$9:$F88)</f>
        <v>2195000</v>
      </c>
    </row>
    <row r="89" spans="1:7" ht="28.8" x14ac:dyDescent="0.55000000000000004">
      <c r="A89" s="15"/>
      <c r="B89" s="16" t="s">
        <v>475</v>
      </c>
      <c r="C89" s="11">
        <v>1</v>
      </c>
      <c r="D89" s="11">
        <v>55000</v>
      </c>
      <c r="E89" s="9">
        <f>+$I$2+(WAEL[[#This Row],[QUANTITE]]*WAEL[[#This Row],[PRIX UNITAIRE]])</f>
        <v>55000</v>
      </c>
      <c r="F89" s="17"/>
      <c r="G89" s="8">
        <f>+SUM(E$9:$E89)-SUM(F$9:$F89)</f>
        <v>2250000</v>
      </c>
    </row>
    <row r="90" spans="1:7" ht="28.8" x14ac:dyDescent="0.55000000000000004">
      <c r="A90" s="15">
        <v>45633</v>
      </c>
      <c r="B90" s="16" t="s">
        <v>217</v>
      </c>
      <c r="C90" s="11">
        <v>1</v>
      </c>
      <c r="D90" s="11">
        <v>85000</v>
      </c>
      <c r="E90" s="9">
        <f>+$I$2+(WAEL[[#This Row],[QUANTITE]]*WAEL[[#This Row],[PRIX UNITAIRE]])</f>
        <v>85000</v>
      </c>
      <c r="F90" s="17"/>
      <c r="G90" s="8">
        <f>+SUM(E$9:$E90)-SUM(F$9:$F90)</f>
        <v>2335000</v>
      </c>
    </row>
    <row r="91" spans="1:7" ht="28.8" x14ac:dyDescent="0.55000000000000004">
      <c r="A91" s="15">
        <v>45694</v>
      </c>
      <c r="B91" s="16" t="s">
        <v>820</v>
      </c>
      <c r="C91" s="11">
        <v>1</v>
      </c>
      <c r="D91" s="11">
        <v>65000</v>
      </c>
      <c r="E91" s="9">
        <f>+$I$2+(WAEL[[#This Row],[QUANTITE]]*WAEL[[#This Row],[PRIX UNITAIRE]])</f>
        <v>65000</v>
      </c>
      <c r="F91" s="17">
        <v>2400000</v>
      </c>
      <c r="G91" s="8">
        <f>+SUM(E$9:$E91)-SUM(F$9:$F91)</f>
        <v>0</v>
      </c>
    </row>
    <row r="92" spans="1:7" ht="28.8" x14ac:dyDescent="0.55000000000000004">
      <c r="A92" s="15">
        <v>45705</v>
      </c>
      <c r="B92" s="16" t="s">
        <v>861</v>
      </c>
      <c r="C92" s="11">
        <v>1</v>
      </c>
      <c r="D92" s="11">
        <v>85000</v>
      </c>
      <c r="E92" s="9">
        <f>+$I$2+(WAEL[[#This Row],[QUANTITE]]*WAEL[[#This Row],[PRIX UNITAIRE]])</f>
        <v>85000</v>
      </c>
      <c r="F92" s="17"/>
      <c r="G92" s="8">
        <f>+SUM(E$9:$E92)-SUM(F$9:$F92)</f>
        <v>85000</v>
      </c>
    </row>
    <row r="93" spans="1:7" ht="28.8" x14ac:dyDescent="0.55000000000000004">
      <c r="A93" s="15">
        <v>45344</v>
      </c>
      <c r="B93" s="16" t="s">
        <v>276</v>
      </c>
      <c r="C93" s="11">
        <v>2</v>
      </c>
      <c r="D93" s="11">
        <v>80000</v>
      </c>
      <c r="E93" s="9">
        <f>+$I$2+(WAEL[[#This Row],[QUANTITE]]*WAEL[[#This Row],[PRIX UNITAIRE]])</f>
        <v>160000</v>
      </c>
      <c r="F93" s="17"/>
      <c r="G93" s="8">
        <f>+SUM(E$9:$E93)-SUM(F$9:$F93)</f>
        <v>245000</v>
      </c>
    </row>
    <row r="94" spans="1:7" ht="28.8" x14ac:dyDescent="0.55000000000000004">
      <c r="A94" s="15">
        <v>45722</v>
      </c>
      <c r="B94" s="16" t="s">
        <v>841</v>
      </c>
      <c r="C94" s="11">
        <v>2</v>
      </c>
      <c r="D94" s="11">
        <v>45000</v>
      </c>
      <c r="E94" s="9">
        <f>+$I$2+(WAEL[[#This Row],[QUANTITE]]*WAEL[[#This Row],[PRIX UNITAIRE]])</f>
        <v>90000</v>
      </c>
      <c r="F94" s="17"/>
      <c r="G94" s="8">
        <f>+SUM(E$9:$E94)-SUM(F$9:$F94)</f>
        <v>335000</v>
      </c>
    </row>
    <row r="95" spans="1:7" ht="28.8" x14ac:dyDescent="0.55000000000000004">
      <c r="A95" s="15">
        <v>45722</v>
      </c>
      <c r="B95" s="16" t="s">
        <v>862</v>
      </c>
      <c r="C95" s="11">
        <v>1</v>
      </c>
      <c r="D95" s="11">
        <v>75000</v>
      </c>
      <c r="E95" s="9">
        <f>+$I$2+(WAEL[[#This Row],[QUANTITE]]*WAEL[[#This Row],[PRIX UNITAIRE]])</f>
        <v>75000</v>
      </c>
      <c r="F95" s="17"/>
      <c r="G95" s="8">
        <f>+SUM(E$9:$E95)-SUM(F$9:$F95)</f>
        <v>410000</v>
      </c>
    </row>
    <row r="96" spans="1:7" ht="28.8" x14ac:dyDescent="0.55000000000000004">
      <c r="A96" s="15">
        <v>45722</v>
      </c>
      <c r="B96" s="16" t="s">
        <v>489</v>
      </c>
      <c r="C96" s="11"/>
      <c r="D96" s="11"/>
      <c r="E96" s="9">
        <f>+$I$2+(WAEL[[#This Row],[QUANTITE]]*WAEL[[#This Row],[PRIX UNITAIRE]])</f>
        <v>0</v>
      </c>
      <c r="F96" s="17">
        <v>410000</v>
      </c>
      <c r="G96" s="8">
        <f>+SUM(E$9:$E96)-SUM(F$9:$F96)</f>
        <v>0</v>
      </c>
    </row>
    <row r="97" spans="1:7" ht="28.8" x14ac:dyDescent="0.55000000000000004">
      <c r="A97" s="15">
        <v>45740</v>
      </c>
      <c r="B97" s="16" t="s">
        <v>863</v>
      </c>
      <c r="C97" s="11">
        <v>1</v>
      </c>
      <c r="D97" s="11">
        <v>55000</v>
      </c>
      <c r="E97" s="9">
        <f>+$I$2+(WAEL[[#This Row],[QUANTITE]]*WAEL[[#This Row],[PRIX UNITAIRE]])</f>
        <v>55000</v>
      </c>
      <c r="F97" s="17"/>
      <c r="G97" s="8">
        <f>+SUM(E$9:$E97)-SUM(F$9:$F97)</f>
        <v>55000</v>
      </c>
    </row>
    <row r="98" spans="1:7" ht="28.8" x14ac:dyDescent="0.55000000000000004">
      <c r="A98" s="15">
        <v>45740</v>
      </c>
      <c r="B98" s="16" t="s">
        <v>834</v>
      </c>
      <c r="C98" s="11">
        <v>1</v>
      </c>
      <c r="D98" s="11">
        <v>50000</v>
      </c>
      <c r="E98" s="9">
        <f>+$I$2+(WAEL[[#This Row],[QUANTITE]]*WAEL[[#This Row],[PRIX UNITAIRE]])</f>
        <v>50000</v>
      </c>
      <c r="F98" s="17"/>
      <c r="G98" s="8">
        <f>+SUM(E$9:$E98)-SUM(F$9:$F98)</f>
        <v>105000</v>
      </c>
    </row>
    <row r="99" spans="1:7" ht="28.8" x14ac:dyDescent="0.55000000000000004">
      <c r="A99" s="15">
        <v>45751</v>
      </c>
      <c r="B99" s="16" t="s">
        <v>835</v>
      </c>
      <c r="C99" s="11">
        <v>1</v>
      </c>
      <c r="D99" s="11">
        <v>75000</v>
      </c>
      <c r="E99" s="9">
        <f>+$I$2+(WAEL[[#This Row],[QUANTITE]]*WAEL[[#This Row],[PRIX UNITAIRE]])</f>
        <v>75000</v>
      </c>
      <c r="F99" s="17"/>
      <c r="G99" s="8">
        <f>+SUM(E$9:$E99)-SUM(F$9:$F99)</f>
        <v>180000</v>
      </c>
    </row>
    <row r="100" spans="1:7" ht="28.8" x14ac:dyDescent="0.55000000000000004">
      <c r="A100" s="15">
        <v>45751</v>
      </c>
      <c r="B100" s="16" t="s">
        <v>213</v>
      </c>
      <c r="C100" s="11">
        <v>1</v>
      </c>
      <c r="D100" s="11">
        <v>160000</v>
      </c>
      <c r="E100" s="9">
        <f>+$I$2+(WAEL[[#This Row],[QUANTITE]]*WAEL[[#This Row],[PRIX UNITAIRE]])</f>
        <v>160000</v>
      </c>
      <c r="F100" s="17"/>
      <c r="G100" s="8">
        <f>+SUM(E$9:$E100)-SUM(F$9:$F100)</f>
        <v>340000</v>
      </c>
    </row>
    <row r="101" spans="1:7" ht="28.8" x14ac:dyDescent="0.55000000000000004">
      <c r="A101" s="15">
        <v>45751</v>
      </c>
      <c r="B101" s="16" t="s">
        <v>433</v>
      </c>
      <c r="C101" s="11"/>
      <c r="D101" s="11"/>
      <c r="E101" s="9">
        <f>+$I$2+(WAEL[[#This Row],[QUANTITE]]*WAEL[[#This Row],[PRIX UNITAIRE]])</f>
        <v>0</v>
      </c>
      <c r="F101" s="17">
        <v>340000</v>
      </c>
      <c r="G101" s="8">
        <f>+SUM(E$9:$E101)-SUM(F$9:$F101)</f>
        <v>0</v>
      </c>
    </row>
    <row r="102" spans="1:7" ht="28.8" x14ac:dyDescent="0.55000000000000004">
      <c r="A102" s="15">
        <v>45784</v>
      </c>
      <c r="B102" s="16" t="s">
        <v>836</v>
      </c>
      <c r="C102" s="11">
        <v>2</v>
      </c>
      <c r="D102" s="11">
        <v>30000</v>
      </c>
      <c r="E102" s="9">
        <f>+$I$2+(WAEL[[#This Row],[QUANTITE]]*WAEL[[#This Row],[PRIX UNITAIRE]])</f>
        <v>60000</v>
      </c>
      <c r="F102" s="17"/>
      <c r="G102" s="8">
        <f>+SUM(E$9:$E102)-SUM(F$9:$F102)</f>
        <v>60000</v>
      </c>
    </row>
    <row r="103" spans="1:7" ht="28.8" x14ac:dyDescent="0.55000000000000004">
      <c r="A103" s="15"/>
      <c r="B103" s="16" t="s">
        <v>259</v>
      </c>
      <c r="C103" s="11"/>
      <c r="D103" s="11"/>
      <c r="E103" s="9">
        <f>+$I$2+(WAEL[[#This Row],[QUANTITE]]*WAEL[[#This Row],[PRIX UNITAIRE]])</f>
        <v>0</v>
      </c>
      <c r="F103" s="17">
        <v>60000</v>
      </c>
      <c r="G103" s="8">
        <f>+SUM(E$9:$E103)-SUM(F$9:$F103)</f>
        <v>0</v>
      </c>
    </row>
    <row r="104" spans="1:7" ht="28.8" x14ac:dyDescent="0.55000000000000004">
      <c r="A104" s="15"/>
      <c r="B104" s="16" t="s">
        <v>606</v>
      </c>
      <c r="C104" s="11">
        <v>1</v>
      </c>
      <c r="D104" s="11">
        <v>130000</v>
      </c>
      <c r="E104" s="9">
        <f>+$I$2+(WAEL[[#This Row],[QUANTITE]]*WAEL[[#This Row],[PRIX UNITAIRE]])</f>
        <v>130000</v>
      </c>
      <c r="F104" s="17"/>
      <c r="G104" s="8">
        <f>+SUM(E$9:$E104)-SUM(F$9:$F104)</f>
        <v>130000</v>
      </c>
    </row>
    <row r="105" spans="1:7" ht="28.8" x14ac:dyDescent="0.55000000000000004">
      <c r="A105" s="15"/>
      <c r="B105" s="16" t="s">
        <v>78</v>
      </c>
      <c r="C105" s="11">
        <v>1</v>
      </c>
      <c r="D105" s="11">
        <v>110000</v>
      </c>
      <c r="E105" s="9">
        <f>+$I$2+(WAEL[[#This Row],[QUANTITE]]*WAEL[[#This Row],[PRIX UNITAIRE]])</f>
        <v>110000</v>
      </c>
      <c r="F105" s="17"/>
      <c r="G105" s="8">
        <f>+SUM(E$9:$E105)-SUM(F$9:$F105)</f>
        <v>240000</v>
      </c>
    </row>
    <row r="106" spans="1:7" ht="28.8" x14ac:dyDescent="0.55000000000000004">
      <c r="A106" s="15"/>
      <c r="B106" s="16" t="s">
        <v>837</v>
      </c>
      <c r="C106" s="11">
        <v>1</v>
      </c>
      <c r="D106" s="11">
        <v>50000</v>
      </c>
      <c r="E106" s="9">
        <f>+$I$2+(WAEL[[#This Row],[QUANTITE]]*WAEL[[#This Row],[PRIX UNITAIRE]])</f>
        <v>50000</v>
      </c>
      <c r="F106" s="17"/>
      <c r="G106" s="8">
        <f>+SUM(E$9:$E106)-SUM(F$9:$F106)</f>
        <v>290000</v>
      </c>
    </row>
    <row r="107" spans="1:7" ht="28.8" x14ac:dyDescent="0.55000000000000004">
      <c r="A107" s="15"/>
      <c r="B107" s="16"/>
      <c r="C107" s="11"/>
      <c r="D107" s="11"/>
      <c r="E107" s="9">
        <f>+$I$2+(WAEL[[#This Row],[QUANTITE]]*WAEL[[#This Row],[PRIX UNITAIRE]])</f>
        <v>0</v>
      </c>
      <c r="F107" s="17">
        <v>290000</v>
      </c>
      <c r="G107" s="8">
        <f>+SUM(E$9:$E107)-SUM(F$9:$F107)</f>
        <v>0</v>
      </c>
    </row>
    <row r="108" spans="1:7" ht="28.8" x14ac:dyDescent="0.55000000000000004">
      <c r="A108" s="12">
        <v>45826</v>
      </c>
      <c r="B108" s="13" t="s">
        <v>859</v>
      </c>
      <c r="C108" s="10">
        <v>1</v>
      </c>
      <c r="D108" s="10">
        <v>75000</v>
      </c>
      <c r="E108" s="7">
        <f>+$I$2+(WAEL[[#This Row],[QUANTITE]]*WAEL[[#This Row],[PRIX UNITAIRE]])</f>
        <v>75000</v>
      </c>
      <c r="F108" s="14"/>
      <c r="G108" s="6">
        <f>+SUM(E$9:$E108)-SUM(F$9:$F108)</f>
        <v>75000</v>
      </c>
    </row>
    <row r="109" spans="1:7" ht="28.8" x14ac:dyDescent="0.55000000000000004">
      <c r="A109" s="12">
        <v>45826</v>
      </c>
      <c r="B109" s="13" t="s">
        <v>861</v>
      </c>
      <c r="C109" s="10">
        <v>1</v>
      </c>
      <c r="D109" s="10">
        <v>80000</v>
      </c>
      <c r="E109" s="7">
        <f>+$I$2+(WAEL[[#This Row],[QUANTITE]]*WAEL[[#This Row],[PRIX UNITAIRE]])</f>
        <v>80000</v>
      </c>
      <c r="F109" s="14"/>
      <c r="G109" s="6">
        <f>+SUM(E$9:$E109)-SUM(F$9:$F109)</f>
        <v>155000</v>
      </c>
    </row>
    <row r="110" spans="1:7" ht="28.8" x14ac:dyDescent="0.55000000000000004">
      <c r="A110" s="12">
        <v>45826</v>
      </c>
      <c r="B110" s="13" t="s">
        <v>411</v>
      </c>
      <c r="C110" s="10">
        <v>2</v>
      </c>
      <c r="D110" s="10">
        <v>80000</v>
      </c>
      <c r="E110" s="7">
        <f>+$I$2+(WAEL[[#This Row],[QUANTITE]]*WAEL[[#This Row],[PRIX UNITAIRE]])</f>
        <v>160000</v>
      </c>
      <c r="F110" s="14"/>
      <c r="G110" s="6">
        <f>+SUM(E$9:$E110)-SUM(F$9:$F110)</f>
        <v>315000</v>
      </c>
    </row>
    <row r="111" spans="1:7" ht="28.8" x14ac:dyDescent="0.55000000000000004">
      <c r="A111" s="12">
        <v>45826</v>
      </c>
      <c r="B111" s="13" t="s">
        <v>835</v>
      </c>
      <c r="C111" s="10">
        <v>1</v>
      </c>
      <c r="D111" s="10">
        <v>75000</v>
      </c>
      <c r="E111" s="7">
        <f>+$I$2+(WAEL[[#This Row],[QUANTITE]]*WAEL[[#This Row],[PRIX UNITAIRE]])</f>
        <v>75000</v>
      </c>
      <c r="F111" s="14"/>
      <c r="G111" s="6">
        <f>+SUM(E$9:$E111)-SUM(F$9:$F111)</f>
        <v>390000</v>
      </c>
    </row>
    <row r="112" spans="1:7" ht="28.8" x14ac:dyDescent="0.55000000000000004">
      <c r="A112" s="12">
        <v>45847</v>
      </c>
      <c r="B112" s="13" t="s">
        <v>435</v>
      </c>
      <c r="C112" s="10">
        <v>2</v>
      </c>
      <c r="D112" s="10">
        <v>150000</v>
      </c>
      <c r="E112" s="7">
        <f>+$I$2+(WAEL[[#This Row],[QUANTITE]]*WAEL[[#This Row],[PRIX UNITAIRE]])</f>
        <v>300000</v>
      </c>
      <c r="F112" s="14"/>
      <c r="G112" s="6">
        <f>+SUM(E$9:$E112)-SUM(F$9:$F112)</f>
        <v>690000</v>
      </c>
    </row>
    <row r="113" spans="1:7" ht="28.8" x14ac:dyDescent="0.55000000000000004">
      <c r="A113" s="12">
        <v>45847</v>
      </c>
      <c r="B113" s="13" t="s">
        <v>887</v>
      </c>
      <c r="C113" s="10">
        <v>2</v>
      </c>
      <c r="D113" s="10">
        <v>125000</v>
      </c>
      <c r="E113" s="7">
        <f>+$I$2+(WAEL[[#This Row],[QUANTITE]]*WAEL[[#This Row],[PRIX UNITAIRE]])</f>
        <v>250000</v>
      </c>
      <c r="F113" s="14"/>
      <c r="G113" s="6">
        <f>+SUM(E$9:$E113)-SUM(F$9:$F113)</f>
        <v>940000</v>
      </c>
    </row>
    <row r="114" spans="1:7" ht="28.8" x14ac:dyDescent="0.55000000000000004">
      <c r="A114" s="12">
        <v>45895</v>
      </c>
      <c r="B114" s="13" t="s">
        <v>397</v>
      </c>
      <c r="C114" s="10">
        <v>1</v>
      </c>
      <c r="D114" s="10">
        <v>125000</v>
      </c>
      <c r="E114" s="7">
        <f>+$I$2+(WAEL[[#This Row],[QUANTITE]]*WAEL[[#This Row],[PRIX UNITAIRE]])</f>
        <v>125000</v>
      </c>
      <c r="F114" s="14"/>
      <c r="G114" s="6">
        <f>+SUM(E$9:$E114)-SUM(F$9:$F114)</f>
        <v>1065000</v>
      </c>
    </row>
    <row r="115" spans="1:7" ht="28.8" x14ac:dyDescent="0.55000000000000004">
      <c r="A115" s="12">
        <v>45895</v>
      </c>
      <c r="B115" s="13" t="s">
        <v>862</v>
      </c>
      <c r="C115" s="10">
        <v>1</v>
      </c>
      <c r="D115" s="10">
        <v>75000</v>
      </c>
      <c r="E115" s="7">
        <f>+$I$2+(WAEL[[#This Row],[QUANTITE]]*WAEL[[#This Row],[PRIX UNITAIRE]])</f>
        <v>75000</v>
      </c>
      <c r="F115" s="14"/>
      <c r="G115" s="6">
        <f>+SUM(E$9:$E115)-SUM(F$9:$F115)</f>
        <v>1140000</v>
      </c>
    </row>
    <row r="116" spans="1:7" ht="28.8" x14ac:dyDescent="0.55000000000000004">
      <c r="A116" s="12">
        <v>45895</v>
      </c>
      <c r="B116" s="13" t="s">
        <v>450</v>
      </c>
      <c r="C116" s="10">
        <v>1</v>
      </c>
      <c r="D116" s="10">
        <v>135000</v>
      </c>
      <c r="E116" s="7">
        <f>+$I$2+(WAEL[[#This Row],[QUANTITE]]*WAEL[[#This Row],[PRIX UNITAIRE]])</f>
        <v>135000</v>
      </c>
      <c r="F116" s="14"/>
      <c r="G116" s="6">
        <f>+SUM(E$9:$E116)-SUM(F$9:$F116)</f>
        <v>1275000</v>
      </c>
    </row>
    <row r="117" spans="1:7" ht="28.8" x14ac:dyDescent="0.55000000000000004">
      <c r="A117" s="12">
        <v>45927</v>
      </c>
      <c r="B117" s="13" t="s">
        <v>420</v>
      </c>
      <c r="C117" s="10">
        <v>2</v>
      </c>
      <c r="D117" s="10">
        <v>75000</v>
      </c>
      <c r="E117" s="7">
        <f>+$I$2+(WAEL[[#This Row],[QUANTITE]]*WAEL[[#This Row],[PRIX UNITAIRE]])</f>
        <v>150000</v>
      </c>
      <c r="F117" s="14"/>
      <c r="G117" s="6">
        <f>+SUM(E$9:$E117)-SUM(F$9:$F117)</f>
        <v>1425000</v>
      </c>
    </row>
    <row r="118" spans="1:7" ht="28.8" x14ac:dyDescent="0.55000000000000004">
      <c r="A118" s="12">
        <v>45936</v>
      </c>
      <c r="B118" s="13" t="s">
        <v>3151</v>
      </c>
      <c r="C118" s="10">
        <v>1</v>
      </c>
      <c r="D118" s="10">
        <v>60000</v>
      </c>
      <c r="E118" s="7">
        <f>+$I$2+(WAEL[[#This Row],[QUANTITE]]*WAEL[[#This Row],[PRIX UNITAIRE]])</f>
        <v>60000</v>
      </c>
      <c r="F118" s="14"/>
      <c r="G118" s="6">
        <f>+SUM(E$9:$E118)-SUM(F$9:$F118)</f>
        <v>1485000</v>
      </c>
    </row>
    <row r="119" spans="1:7" ht="28.8" x14ac:dyDescent="0.55000000000000004">
      <c r="A119" s="12">
        <v>45945</v>
      </c>
      <c r="B119" s="13" t="s">
        <v>234</v>
      </c>
      <c r="C119" s="10">
        <v>2</v>
      </c>
      <c r="D119" s="10">
        <v>35000</v>
      </c>
      <c r="E119" s="7">
        <f>+$I$2+(WAEL[[#This Row],[QUANTITE]]*WAEL[[#This Row],[PRIX UNITAIRE]])</f>
        <v>70000</v>
      </c>
      <c r="F119" s="14"/>
      <c r="G119" s="6">
        <f>+SUM(E$9:$E119)-SUM(F$9:$F119)</f>
        <v>1555000</v>
      </c>
    </row>
    <row r="120" spans="1:7" ht="28.8" x14ac:dyDescent="0.55000000000000004">
      <c r="A120" s="12">
        <v>45945</v>
      </c>
      <c r="B120" s="13" t="s">
        <v>259</v>
      </c>
      <c r="C120" s="10"/>
      <c r="D120" s="10"/>
      <c r="E120" s="7">
        <f>+$I$2+(WAEL[[#This Row],[QUANTITE]]*WAEL[[#This Row],[PRIX UNITAIRE]])</f>
        <v>0</v>
      </c>
      <c r="F120" s="14">
        <v>1555000</v>
      </c>
      <c r="G120" s="6">
        <f>+SUM(E$9:$E120)-SUM(F$9:$F120)</f>
        <v>0</v>
      </c>
    </row>
    <row r="121" spans="1:7" ht="28.8" x14ac:dyDescent="0.55000000000000004">
      <c r="A121" s="12"/>
      <c r="B121" s="13"/>
      <c r="C121" s="10"/>
      <c r="D121" s="10"/>
      <c r="E121" s="7">
        <f>+$I$2+(WAEL[[#This Row],[QUANTITE]]*WAEL[[#This Row],[PRIX UNITAIRE]])</f>
        <v>0</v>
      </c>
      <c r="F121" s="14"/>
      <c r="G121" s="6">
        <f>+SUM(E$9:$E121)-SUM(F$9:$F121)</f>
        <v>0</v>
      </c>
    </row>
    <row r="122" spans="1:7" ht="28.8" x14ac:dyDescent="0.55000000000000004">
      <c r="A122" s="12"/>
      <c r="B122" s="13"/>
      <c r="C122" s="10"/>
      <c r="D122" s="10"/>
      <c r="E122" s="7">
        <f>+$I$2+(WAEL[[#This Row],[QUANTITE]]*WAEL[[#This Row],[PRIX UNITAIRE]])</f>
        <v>0</v>
      </c>
      <c r="F122" s="14"/>
      <c r="G122" s="6">
        <f>+SUM(E$9:$E122)-SUM(F$9:$F122)</f>
        <v>0</v>
      </c>
    </row>
    <row r="123" spans="1:7" ht="28.8" x14ac:dyDescent="0.55000000000000004">
      <c r="A123" s="12"/>
      <c r="B123" s="13"/>
      <c r="C123" s="10"/>
      <c r="D123" s="10"/>
      <c r="E123" s="7">
        <f>+$I$2+(WAEL[[#This Row],[QUANTITE]]*WAEL[[#This Row],[PRIX UNITAIRE]])</f>
        <v>0</v>
      </c>
      <c r="F123" s="14"/>
      <c r="G123" s="6">
        <f>+SUM(E$9:$E123)-SUM(F$9:$F123)</f>
        <v>0</v>
      </c>
    </row>
    <row r="124" spans="1:7" ht="28.8" x14ac:dyDescent="0.55000000000000004">
      <c r="A124" s="12"/>
      <c r="B124" s="13"/>
      <c r="C124" s="10"/>
      <c r="D124" s="10"/>
      <c r="E124" s="7">
        <f>+$I$2+(WAEL[[#This Row],[QUANTITE]]*WAEL[[#This Row],[PRIX UNITAIRE]])</f>
        <v>0</v>
      </c>
      <c r="F124" s="14"/>
      <c r="G124" s="6">
        <f>+SUM(E$9:$E124)-SUM(F$9:$F124)</f>
        <v>0</v>
      </c>
    </row>
    <row r="125" spans="1:7" ht="28.8" x14ac:dyDescent="0.55000000000000004">
      <c r="A125" s="12"/>
      <c r="B125" s="13"/>
      <c r="C125" s="10"/>
      <c r="D125" s="10"/>
      <c r="E125" s="7">
        <f>+$I$2+(WAEL[[#This Row],[QUANTITE]]*WAEL[[#This Row],[PRIX UNITAIRE]])</f>
        <v>0</v>
      </c>
      <c r="F125" s="14"/>
      <c r="G125" s="6">
        <f>+SUM(E$9:$E125)-SUM(F$9:$F125)</f>
        <v>0</v>
      </c>
    </row>
    <row r="126" spans="1:7" ht="28.8" x14ac:dyDescent="0.55000000000000004">
      <c r="A126" s="12"/>
      <c r="B126" s="13"/>
      <c r="C126" s="10"/>
      <c r="D126" s="10"/>
      <c r="E126" s="7">
        <f>+$I$2+(WAEL[[#This Row],[QUANTITE]]*WAEL[[#This Row],[PRIX UNITAIRE]])</f>
        <v>0</v>
      </c>
      <c r="F126" s="14"/>
      <c r="G126" s="6">
        <f>+SUM(E$9:$E126)-SUM(F$9:$F126)</f>
        <v>0</v>
      </c>
    </row>
    <row r="127" spans="1:7" ht="28.8" x14ac:dyDescent="0.55000000000000004">
      <c r="A127" s="12"/>
      <c r="B127" s="13"/>
      <c r="C127" s="10"/>
      <c r="D127" s="10"/>
      <c r="E127" s="7">
        <f>+$I$2+(WAEL[[#This Row],[QUANTITE]]*WAEL[[#This Row],[PRIX UNITAIRE]])</f>
        <v>0</v>
      </c>
      <c r="F127" s="14"/>
      <c r="G127" s="6">
        <f>+SUM(E$9:$E127)-SUM(F$9:$F127)</f>
        <v>0</v>
      </c>
    </row>
    <row r="128" spans="1:7" ht="28.8" x14ac:dyDescent="0.55000000000000004">
      <c r="A128" s="12"/>
      <c r="B128" s="13"/>
      <c r="C128" s="10"/>
      <c r="D128" s="10"/>
      <c r="E128" s="7">
        <f>+$I$2+(WAEL[[#This Row],[QUANTITE]]*WAEL[[#This Row],[PRIX UNITAIRE]])</f>
        <v>0</v>
      </c>
      <c r="F128" s="14"/>
      <c r="G128" s="6">
        <f>+SUM(E$9:$E128)-SUM(F$9:$F128)</f>
        <v>0</v>
      </c>
    </row>
    <row r="129" spans="1:7" ht="28.8" x14ac:dyDescent="0.55000000000000004">
      <c r="A129" s="12"/>
      <c r="B129" s="13"/>
      <c r="C129" s="10"/>
      <c r="D129" s="10"/>
      <c r="E129" s="7">
        <f>+$I$2+(WAEL[[#This Row],[QUANTITE]]*WAEL[[#This Row],[PRIX UNITAIRE]])</f>
        <v>0</v>
      </c>
      <c r="F129" s="14"/>
      <c r="G129" s="6">
        <f>+SUM(E$9:$E129)-SUM(F$9:$F129)</f>
        <v>0</v>
      </c>
    </row>
    <row r="130" spans="1:7" ht="28.8" x14ac:dyDescent="0.55000000000000004">
      <c r="A130" s="12"/>
      <c r="B130" s="13"/>
      <c r="C130" s="10"/>
      <c r="D130" s="10"/>
      <c r="E130" s="7">
        <f>+$I$2+(WAEL[[#This Row],[QUANTITE]]*WAEL[[#This Row],[PRIX UNITAIRE]])</f>
        <v>0</v>
      </c>
      <c r="F130" s="14"/>
      <c r="G130" s="6">
        <f>+SUM(E$9:$E130)-SUM(F$9:$F130)</f>
        <v>0</v>
      </c>
    </row>
    <row r="131" spans="1:7" ht="28.8" x14ac:dyDescent="0.55000000000000004">
      <c r="A131" s="12"/>
      <c r="B131" s="13"/>
      <c r="C131" s="10"/>
      <c r="D131" s="10"/>
      <c r="E131" s="7">
        <f>+$I$2+(WAEL[[#This Row],[QUANTITE]]*WAEL[[#This Row],[PRIX UNITAIRE]])</f>
        <v>0</v>
      </c>
      <c r="F131" s="14"/>
      <c r="G131" s="6">
        <f>+SUM(E$9:$E131)-SUM(F$9:$F131)</f>
        <v>0</v>
      </c>
    </row>
    <row r="132" spans="1:7" ht="28.8" x14ac:dyDescent="0.55000000000000004">
      <c r="A132" s="12"/>
      <c r="B132" s="13"/>
      <c r="C132" s="10"/>
      <c r="D132" s="10"/>
      <c r="E132" s="7">
        <f>+$I$2+(WAEL[[#This Row],[QUANTITE]]*WAEL[[#This Row],[PRIX UNITAIRE]])</f>
        <v>0</v>
      </c>
      <c r="F132" s="14"/>
      <c r="G132" s="6">
        <f>+SUM(E$9:$E132)-SUM(F$9:$F132)</f>
        <v>0</v>
      </c>
    </row>
    <row r="133" spans="1:7" ht="28.8" x14ac:dyDescent="0.55000000000000004">
      <c r="A133" s="12"/>
      <c r="B133" s="13"/>
      <c r="C133" s="10"/>
      <c r="D133" s="10"/>
      <c r="E133" s="7">
        <f>+$I$2+(WAEL[[#This Row],[QUANTITE]]*WAEL[[#This Row],[PRIX UNITAIRE]])</f>
        <v>0</v>
      </c>
      <c r="F133" s="14"/>
      <c r="G133" s="6">
        <f>+SUM(E$9:$E133)-SUM(F$9:$F133)</f>
        <v>0</v>
      </c>
    </row>
    <row r="134" spans="1:7" ht="28.8" x14ac:dyDescent="0.55000000000000004">
      <c r="A134" s="12"/>
      <c r="B134" s="13"/>
      <c r="C134" s="10"/>
      <c r="D134" s="10"/>
      <c r="E134" s="7">
        <f>+$I$2+(WAEL[[#This Row],[QUANTITE]]*WAEL[[#This Row],[PRIX UNITAIRE]])</f>
        <v>0</v>
      </c>
      <c r="F134" s="14"/>
      <c r="G134" s="6">
        <f>+SUM(E$9:$E134)-SUM(F$9:$F134)</f>
        <v>0</v>
      </c>
    </row>
    <row r="135" spans="1:7" ht="28.8" x14ac:dyDescent="0.55000000000000004">
      <c r="A135" s="12"/>
      <c r="B135" s="13"/>
      <c r="C135" s="10"/>
      <c r="D135" s="10"/>
      <c r="E135" s="7">
        <f>+$I$2+(WAEL[[#This Row],[QUANTITE]]*WAEL[[#This Row],[PRIX UNITAIRE]])</f>
        <v>0</v>
      </c>
      <c r="F135" s="14"/>
      <c r="G135" s="6">
        <f>+SUM(E$9:$E135)-SUM(F$9:$F135)</f>
        <v>0</v>
      </c>
    </row>
    <row r="136" spans="1:7" ht="28.8" x14ac:dyDescent="0.55000000000000004">
      <c r="A136" s="12"/>
      <c r="B136" s="13"/>
      <c r="C136" s="10"/>
      <c r="D136" s="10"/>
      <c r="E136" s="7">
        <f>+$I$2+(WAEL[[#This Row],[QUANTITE]]*WAEL[[#This Row],[PRIX UNITAIRE]])</f>
        <v>0</v>
      </c>
      <c r="F136" s="14"/>
      <c r="G136" s="6">
        <f>+SUM(E$9:$E136)-SUM(F$9:$F136)</f>
        <v>0</v>
      </c>
    </row>
    <row r="137" spans="1:7" ht="28.8" x14ac:dyDescent="0.55000000000000004">
      <c r="A137" s="12"/>
      <c r="B137" s="13"/>
      <c r="C137" s="10"/>
      <c r="D137" s="10"/>
      <c r="E137" s="7">
        <f>+$I$2+(WAEL[[#This Row],[QUANTITE]]*WAEL[[#This Row],[PRIX UNITAIRE]])</f>
        <v>0</v>
      </c>
      <c r="F137" s="14"/>
      <c r="G137" s="6">
        <f>+SUM(E$9:$E137)-SUM(F$9:$F137)</f>
        <v>0</v>
      </c>
    </row>
    <row r="138" spans="1:7" ht="28.8" x14ac:dyDescent="0.55000000000000004">
      <c r="A138" s="12"/>
      <c r="B138" s="13"/>
      <c r="C138" s="10"/>
      <c r="D138" s="10"/>
      <c r="E138" s="7">
        <f>+$I$2+(WAEL[[#This Row],[QUANTITE]]*WAEL[[#This Row],[PRIX UNITAIRE]])</f>
        <v>0</v>
      </c>
      <c r="F138" s="14"/>
      <c r="G138" s="6">
        <f>+SUM(E$9:$E138)-SUM(F$9:$F138)</f>
        <v>0</v>
      </c>
    </row>
    <row r="139" spans="1:7" ht="28.8" x14ac:dyDescent="0.55000000000000004">
      <c r="A139" s="12"/>
      <c r="B139" s="13"/>
      <c r="C139" s="10"/>
      <c r="D139" s="10"/>
      <c r="E139" s="7">
        <f>+$I$2+(WAEL[[#This Row],[QUANTITE]]*WAEL[[#This Row],[PRIX UNITAIRE]])</f>
        <v>0</v>
      </c>
      <c r="F139" s="14"/>
      <c r="G139" s="6">
        <f>+SUM(E$9:$E139)-SUM(F$9:$F139)</f>
        <v>0</v>
      </c>
    </row>
    <row r="140" spans="1:7" ht="28.8" x14ac:dyDescent="0.55000000000000004">
      <c r="A140" s="12"/>
      <c r="B140" s="13"/>
      <c r="C140" s="10"/>
      <c r="D140" s="10"/>
      <c r="E140" s="7">
        <f>+$I$2+(WAEL[[#This Row],[QUANTITE]]*WAEL[[#This Row],[PRIX UNITAIRE]])</f>
        <v>0</v>
      </c>
      <c r="F140" s="14"/>
      <c r="G140" s="6">
        <f>+SUM(E$9:$E140)-SUM(F$9:$F140)</f>
        <v>0</v>
      </c>
    </row>
    <row r="141" spans="1:7" ht="28.8" x14ac:dyDescent="0.55000000000000004">
      <c r="A141" s="12"/>
      <c r="B141" s="13"/>
      <c r="C141" s="10"/>
      <c r="D141" s="10"/>
      <c r="E141" s="7">
        <f>+$I$2+(WAEL[[#This Row],[QUANTITE]]*WAEL[[#This Row],[PRIX UNITAIRE]])</f>
        <v>0</v>
      </c>
      <c r="F141" s="14"/>
      <c r="G141" s="6">
        <f>+SUM(E$9:$E141)-SUM(F$9:$F141)</f>
        <v>0</v>
      </c>
    </row>
    <row r="142" spans="1:7" ht="28.8" x14ac:dyDescent="0.55000000000000004">
      <c r="A142" s="12"/>
      <c r="B142" s="13"/>
      <c r="C142" s="10"/>
      <c r="D142" s="10"/>
      <c r="E142" s="7">
        <f>+$I$2+(WAEL[[#This Row],[QUANTITE]]*WAEL[[#This Row],[PRIX UNITAIRE]])</f>
        <v>0</v>
      </c>
      <c r="F142" s="14"/>
      <c r="G142" s="6">
        <f>+SUM(E$9:$E142)-SUM(F$9:$F142)</f>
        <v>0</v>
      </c>
    </row>
    <row r="143" spans="1:7" ht="28.8" x14ac:dyDescent="0.55000000000000004">
      <c r="A143" s="12"/>
      <c r="B143" s="13"/>
      <c r="C143" s="10"/>
      <c r="D143" s="10"/>
      <c r="E143" s="7">
        <f>+$I$2+(WAEL[[#This Row],[QUANTITE]]*WAEL[[#This Row],[PRIX UNITAIRE]])</f>
        <v>0</v>
      </c>
      <c r="F143" s="14"/>
      <c r="G143" s="6">
        <f>+SUM(E$9:$E143)-SUM(F$9:$F143)</f>
        <v>0</v>
      </c>
    </row>
    <row r="144" spans="1:7" ht="28.8" x14ac:dyDescent="0.55000000000000004">
      <c r="A144" s="12"/>
      <c r="B144" s="13"/>
      <c r="C144" s="10"/>
      <c r="D144" s="10"/>
      <c r="E144" s="7">
        <f>+$I$2+(WAEL[[#This Row],[QUANTITE]]*WAEL[[#This Row],[PRIX UNITAIRE]])</f>
        <v>0</v>
      </c>
      <c r="F144" s="14"/>
      <c r="G144" s="6">
        <f>+SUM(E$9:$E144)-SUM(F$9:$F144)</f>
        <v>0</v>
      </c>
    </row>
    <row r="145" spans="1:7" ht="28.8" x14ac:dyDescent="0.55000000000000004">
      <c r="A145" s="12"/>
      <c r="B145" s="13"/>
      <c r="C145" s="10"/>
      <c r="D145" s="10"/>
      <c r="E145" s="7">
        <f>+$I$2+(WAEL[[#This Row],[QUANTITE]]*WAEL[[#This Row],[PRIX UNITAIRE]])</f>
        <v>0</v>
      </c>
      <c r="F145" s="14"/>
      <c r="G145" s="6">
        <f>+SUM(E$9:$E145)-SUM(F$9:$F145)</f>
        <v>0</v>
      </c>
    </row>
    <row r="146" spans="1:7" ht="28.8" x14ac:dyDescent="0.55000000000000004">
      <c r="A146" s="12"/>
      <c r="B146" s="13"/>
      <c r="C146" s="10"/>
      <c r="D146" s="10"/>
      <c r="E146" s="7">
        <f>+$I$2+(WAEL[[#This Row],[QUANTITE]]*WAEL[[#This Row],[PRIX UNITAIRE]])</f>
        <v>0</v>
      </c>
      <c r="F146" s="14"/>
      <c r="G146" s="6">
        <f>+SUM(E$9:$E146)-SUM(F$9:$F146)</f>
        <v>0</v>
      </c>
    </row>
    <row r="147" spans="1:7" ht="28.8" x14ac:dyDescent="0.55000000000000004">
      <c r="A147" s="12"/>
      <c r="B147" s="13"/>
      <c r="C147" s="10"/>
      <c r="D147" s="10"/>
      <c r="E147" s="7">
        <f>+$I$2+(WAEL[[#This Row],[QUANTITE]]*WAEL[[#This Row],[PRIX UNITAIRE]])</f>
        <v>0</v>
      </c>
      <c r="F147" s="14"/>
      <c r="G147" s="6">
        <f>+SUM(E$9:$E147)-SUM(F$9:$F147)</f>
        <v>0</v>
      </c>
    </row>
    <row r="148" spans="1:7" ht="28.8" x14ac:dyDescent="0.55000000000000004">
      <c r="A148" s="12"/>
      <c r="B148" s="13"/>
      <c r="C148" s="10"/>
      <c r="D148" s="10"/>
      <c r="E148" s="7">
        <f>+$I$2+(WAEL[[#This Row],[QUANTITE]]*WAEL[[#This Row],[PRIX UNITAIRE]])</f>
        <v>0</v>
      </c>
      <c r="F148" s="14"/>
      <c r="G148" s="6">
        <f>+SUM(E$9:$E148)-SUM(F$9:$F148)</f>
        <v>0</v>
      </c>
    </row>
    <row r="149" spans="1:7" ht="28.8" x14ac:dyDescent="0.55000000000000004">
      <c r="A149" s="12"/>
      <c r="B149" s="13"/>
      <c r="C149" s="10"/>
      <c r="D149" s="10"/>
      <c r="E149" s="7">
        <f>+$I$2+(WAEL[[#This Row],[QUANTITE]]*WAEL[[#This Row],[PRIX UNITAIRE]])</f>
        <v>0</v>
      </c>
      <c r="F149" s="14"/>
      <c r="G149" s="6">
        <f>+SUM(E$9:$E149)-SUM(F$9:$F149)</f>
        <v>0</v>
      </c>
    </row>
    <row r="150" spans="1:7" ht="28.8" x14ac:dyDescent="0.55000000000000004">
      <c r="A150" s="12"/>
      <c r="B150" s="13"/>
      <c r="C150" s="10"/>
      <c r="D150" s="10"/>
      <c r="E150" s="7">
        <f>+$I$2+(WAEL[[#This Row],[QUANTITE]]*WAEL[[#This Row],[PRIX UNITAIRE]])</f>
        <v>0</v>
      </c>
      <c r="F150" s="14"/>
      <c r="G150" s="6">
        <f>+SUM(E$9:$E150)-SUM(F$9:$F150)</f>
        <v>0</v>
      </c>
    </row>
    <row r="151" spans="1:7" ht="28.8" x14ac:dyDescent="0.55000000000000004">
      <c r="A151" s="12"/>
      <c r="B151" s="13"/>
      <c r="C151" s="10"/>
      <c r="D151" s="10"/>
      <c r="E151" s="7">
        <f>+$I$2+(WAEL[[#This Row],[QUANTITE]]*WAEL[[#This Row],[PRIX UNITAIRE]])</f>
        <v>0</v>
      </c>
      <c r="F151" s="14"/>
      <c r="G151" s="6">
        <f>+SUM(E$9:$E151)-SUM(F$9:$F151)</f>
        <v>0</v>
      </c>
    </row>
    <row r="152" spans="1:7" ht="28.8" x14ac:dyDescent="0.55000000000000004">
      <c r="A152" s="12"/>
      <c r="B152" s="13"/>
      <c r="C152" s="10"/>
      <c r="D152" s="10"/>
      <c r="E152" s="7">
        <f>+$I$2+(WAEL[[#This Row],[QUANTITE]]*WAEL[[#This Row],[PRIX UNITAIRE]])</f>
        <v>0</v>
      </c>
      <c r="F152" s="14"/>
      <c r="G152" s="6">
        <f>+SUM(E$9:$E152)-SUM(F$9:$F152)</f>
        <v>0</v>
      </c>
    </row>
    <row r="153" spans="1:7" ht="28.8" x14ac:dyDescent="0.55000000000000004">
      <c r="A153" s="12"/>
      <c r="B153" s="13"/>
      <c r="C153" s="10"/>
      <c r="D153" s="10"/>
      <c r="E153" s="7">
        <f>+$I$2+(WAEL[[#This Row],[QUANTITE]]*WAEL[[#This Row],[PRIX UNITAIRE]])</f>
        <v>0</v>
      </c>
      <c r="F153" s="14"/>
      <c r="G153" s="6">
        <f>+SUM(E$9:$E153)-SUM(F$9:$F153)</f>
        <v>0</v>
      </c>
    </row>
    <row r="154" spans="1:7" ht="28.8" x14ac:dyDescent="0.55000000000000004">
      <c r="A154" s="12"/>
      <c r="B154" s="13"/>
      <c r="C154" s="10"/>
      <c r="D154" s="10"/>
      <c r="E154" s="7">
        <f>+$I$2+(WAEL[[#This Row],[QUANTITE]]*WAEL[[#This Row],[PRIX UNITAIRE]])</f>
        <v>0</v>
      </c>
      <c r="F154" s="14"/>
      <c r="G154" s="6">
        <f>+SUM(E$9:$E154)-SUM(F$9:$F154)</f>
        <v>0</v>
      </c>
    </row>
    <row r="155" spans="1:7" ht="28.8" x14ac:dyDescent="0.55000000000000004">
      <c r="A155" s="12"/>
      <c r="B155" s="13"/>
      <c r="C155" s="10"/>
      <c r="D155" s="10"/>
      <c r="E155" s="7">
        <f>+$I$2+(WAEL[[#This Row],[QUANTITE]]*WAEL[[#This Row],[PRIX UNITAIRE]])</f>
        <v>0</v>
      </c>
      <c r="F155" s="14"/>
      <c r="G155" s="6">
        <f>+SUM(E$9:$E155)-SUM(F$9:$F155)</f>
        <v>0</v>
      </c>
    </row>
    <row r="156" spans="1:7" ht="28.8" x14ac:dyDescent="0.55000000000000004">
      <c r="A156" s="12"/>
      <c r="B156" s="13"/>
      <c r="C156" s="10"/>
      <c r="D156" s="10"/>
      <c r="E156" s="7">
        <f>+$I$2+(WAEL[[#This Row],[QUANTITE]]*WAEL[[#This Row],[PRIX UNITAIRE]])</f>
        <v>0</v>
      </c>
      <c r="F156" s="14"/>
      <c r="G156" s="6">
        <f>+SUM(E$9:$E156)-SUM(F$9:$F156)</f>
        <v>0</v>
      </c>
    </row>
    <row r="157" spans="1:7" ht="28.8" x14ac:dyDescent="0.55000000000000004">
      <c r="A157" s="12"/>
      <c r="B157" s="13"/>
      <c r="C157" s="10"/>
      <c r="D157" s="10"/>
      <c r="E157" s="7">
        <f>+$I$2+(WAEL[[#This Row],[QUANTITE]]*WAEL[[#This Row],[PRIX UNITAIRE]])</f>
        <v>0</v>
      </c>
      <c r="F157" s="14"/>
      <c r="G157" s="6">
        <f>+SUM(E$9:$E157)-SUM(F$9:$F157)</f>
        <v>0</v>
      </c>
    </row>
    <row r="158" spans="1:7" ht="28.8" x14ac:dyDescent="0.55000000000000004">
      <c r="A158" s="12"/>
      <c r="B158" s="13"/>
      <c r="C158" s="10"/>
      <c r="D158" s="10"/>
      <c r="E158" s="7">
        <f>+$I$2+(WAEL[[#This Row],[QUANTITE]]*WAEL[[#This Row],[PRIX UNITAIRE]])</f>
        <v>0</v>
      </c>
      <c r="F158" s="14"/>
      <c r="G158" s="6">
        <f>+SUM(E$9:$E158)-SUM(F$9:$F158)</f>
        <v>0</v>
      </c>
    </row>
    <row r="159" spans="1:7" ht="28.8" x14ac:dyDescent="0.55000000000000004">
      <c r="A159" s="12"/>
      <c r="B159" s="13"/>
      <c r="C159" s="10"/>
      <c r="D159" s="10"/>
      <c r="E159" s="7">
        <f>+$I$2+(WAEL[[#This Row],[QUANTITE]]*WAEL[[#This Row],[PRIX UNITAIRE]])</f>
        <v>0</v>
      </c>
      <c r="F159" s="14"/>
      <c r="G159" s="6">
        <f>+SUM(E$9:$E159)-SUM(F$9:$F159)</f>
        <v>0</v>
      </c>
    </row>
    <row r="160" spans="1:7" ht="28.8" x14ac:dyDescent="0.55000000000000004">
      <c r="A160" s="12"/>
      <c r="B160" s="13"/>
      <c r="C160" s="10"/>
      <c r="D160" s="10"/>
      <c r="E160" s="7">
        <f>+$I$2+(WAEL[[#This Row],[QUANTITE]]*WAEL[[#This Row],[PRIX UNITAIRE]])</f>
        <v>0</v>
      </c>
      <c r="F160" s="14"/>
      <c r="G160" s="6">
        <f>+SUM(E$9:$E160)-SUM(F$9:$F160)</f>
        <v>0</v>
      </c>
    </row>
    <row r="161" spans="1:7" ht="28.8" x14ac:dyDescent="0.55000000000000004">
      <c r="A161" s="12"/>
      <c r="B161" s="13"/>
      <c r="C161" s="10"/>
      <c r="D161" s="10"/>
      <c r="E161" s="7">
        <f>+$I$2+(WAEL[[#This Row],[QUANTITE]]*WAEL[[#This Row],[PRIX UNITAIRE]])</f>
        <v>0</v>
      </c>
      <c r="F161" s="14"/>
      <c r="G161" s="6">
        <f>+SUM(E$9:$E161)-SUM(F$9:$F161)</f>
        <v>0</v>
      </c>
    </row>
    <row r="162" spans="1:7" ht="28.8" x14ac:dyDescent="0.55000000000000004">
      <c r="A162" s="12"/>
      <c r="B162" s="13"/>
      <c r="C162" s="10"/>
      <c r="D162" s="10"/>
      <c r="E162" s="7">
        <f>+$I$2+(WAEL[[#This Row],[QUANTITE]]*WAEL[[#This Row],[PRIX UNITAIRE]])</f>
        <v>0</v>
      </c>
      <c r="F162" s="14"/>
      <c r="G162" s="6">
        <f>+SUM(E$9:$E162)-SUM(F$9:$F162)</f>
        <v>0</v>
      </c>
    </row>
    <row r="163" spans="1:7" ht="28.8" x14ac:dyDescent="0.55000000000000004">
      <c r="A163" s="12"/>
      <c r="B163" s="13"/>
      <c r="C163" s="10"/>
      <c r="D163" s="10"/>
      <c r="E163" s="7">
        <f>+$I$2+(WAEL[[#This Row],[QUANTITE]]*WAEL[[#This Row],[PRIX UNITAIRE]])</f>
        <v>0</v>
      </c>
      <c r="F163" s="14"/>
      <c r="G163" s="6">
        <f>+SUM(E$9:$E163)-SUM(F$9:$F163)</f>
        <v>0</v>
      </c>
    </row>
    <row r="164" spans="1:7" ht="28.8" x14ac:dyDescent="0.55000000000000004">
      <c r="A164" s="12"/>
      <c r="B164" s="13"/>
      <c r="C164" s="10"/>
      <c r="D164" s="10"/>
      <c r="E164" s="7">
        <f>+$I$2+(WAEL[[#This Row],[QUANTITE]]*WAEL[[#This Row],[PRIX UNITAIRE]])</f>
        <v>0</v>
      </c>
      <c r="F164" s="14"/>
      <c r="G164" s="6">
        <f>+SUM(E$9:$E164)-SUM(F$9:$F164)</f>
        <v>0</v>
      </c>
    </row>
    <row r="165" spans="1:7" ht="28.8" x14ac:dyDescent="0.55000000000000004">
      <c r="A165" s="12"/>
      <c r="B165" s="13"/>
      <c r="C165" s="10"/>
      <c r="D165" s="10"/>
      <c r="E165" s="7">
        <f>+$I$2+(WAEL[[#This Row],[QUANTITE]]*WAEL[[#This Row],[PRIX UNITAIRE]])</f>
        <v>0</v>
      </c>
      <c r="F165" s="14"/>
      <c r="G165" s="6">
        <f>+SUM(E$9:$E165)-SUM(F$9:$F165)</f>
        <v>0</v>
      </c>
    </row>
    <row r="166" spans="1:7" ht="28.8" x14ac:dyDescent="0.55000000000000004">
      <c r="A166" s="12"/>
      <c r="B166" s="13"/>
      <c r="C166" s="10"/>
      <c r="D166" s="10"/>
      <c r="E166" s="7">
        <f>+$I$2+(WAEL[[#This Row],[QUANTITE]]*WAEL[[#This Row],[PRIX UNITAIRE]])</f>
        <v>0</v>
      </c>
      <c r="F166" s="14"/>
      <c r="G166" s="6">
        <f>+SUM(E$9:$E166)-SUM(F$9:$F166)</f>
        <v>0</v>
      </c>
    </row>
    <row r="167" spans="1:7" ht="28.8" x14ac:dyDescent="0.55000000000000004">
      <c r="A167" s="12"/>
      <c r="B167" s="13"/>
      <c r="C167" s="10"/>
      <c r="D167" s="10"/>
      <c r="E167" s="7">
        <f>+$I$2+(WAEL[[#This Row],[QUANTITE]]*WAEL[[#This Row],[PRIX UNITAIRE]])</f>
        <v>0</v>
      </c>
      <c r="F167" s="14"/>
      <c r="G167" s="6">
        <f>+SUM(E$9:$E167)-SUM(F$9:$F167)</f>
        <v>0</v>
      </c>
    </row>
    <row r="168" spans="1:7" ht="28.8" x14ac:dyDescent="0.55000000000000004">
      <c r="A168" s="12"/>
      <c r="B168" s="13"/>
      <c r="C168" s="10"/>
      <c r="D168" s="10"/>
      <c r="E168" s="7">
        <f>+$I$2+(WAEL[[#This Row],[QUANTITE]]*WAEL[[#This Row],[PRIX UNITAIRE]])</f>
        <v>0</v>
      </c>
      <c r="F168" s="14"/>
      <c r="G168" s="6">
        <f>+SUM(E$9:$E168)-SUM(F$9:$F168)</f>
        <v>0</v>
      </c>
    </row>
    <row r="169" spans="1:7" ht="28.8" x14ac:dyDescent="0.55000000000000004">
      <c r="A169" s="12"/>
      <c r="B169" s="13"/>
      <c r="C169" s="10"/>
      <c r="D169" s="10"/>
      <c r="E169" s="7">
        <f>+$I$2+(WAEL[[#This Row],[QUANTITE]]*WAEL[[#This Row],[PRIX UNITAIRE]])</f>
        <v>0</v>
      </c>
      <c r="F169" s="14"/>
      <c r="G169" s="6">
        <f>+SUM(E$9:$E169)-SUM(F$9:$F169)</f>
        <v>0</v>
      </c>
    </row>
    <row r="170" spans="1:7" ht="28.8" x14ac:dyDescent="0.55000000000000004">
      <c r="A170" s="12"/>
      <c r="B170" s="13"/>
      <c r="C170" s="10"/>
      <c r="D170" s="10"/>
      <c r="E170" s="7">
        <f>+$I$2+(WAEL[[#This Row],[QUANTITE]]*WAEL[[#This Row],[PRIX UNITAIRE]])</f>
        <v>0</v>
      </c>
      <c r="F170" s="14"/>
      <c r="G170" s="6">
        <f>+SUM(E$9:$E170)-SUM(F$9:$F170)</f>
        <v>0</v>
      </c>
    </row>
    <row r="171" spans="1:7" ht="28.8" x14ac:dyDescent="0.55000000000000004">
      <c r="A171" s="12"/>
      <c r="B171" s="13"/>
      <c r="C171" s="10"/>
      <c r="D171" s="10"/>
      <c r="E171" s="7">
        <f>+$I$2+(WAEL[[#This Row],[QUANTITE]]*WAEL[[#This Row],[PRIX UNITAIRE]])</f>
        <v>0</v>
      </c>
      <c r="F171" s="14"/>
      <c r="G171" s="6">
        <f>+SUM(E$9:$E171)-SUM(F$9:$F171)</f>
        <v>0</v>
      </c>
    </row>
    <row r="172" spans="1:7" ht="28.8" x14ac:dyDescent="0.55000000000000004">
      <c r="A172" s="12"/>
      <c r="B172" s="13"/>
      <c r="C172" s="10"/>
      <c r="D172" s="10"/>
      <c r="E172" s="7">
        <f>+$I$2+(WAEL[[#This Row],[QUANTITE]]*WAEL[[#This Row],[PRIX UNITAIRE]])</f>
        <v>0</v>
      </c>
      <c r="F172" s="14"/>
      <c r="G172" s="6">
        <f>+SUM(E$9:$E172)-SUM(F$9:$F172)</f>
        <v>0</v>
      </c>
    </row>
    <row r="173" spans="1:7" ht="28.8" x14ac:dyDescent="0.55000000000000004">
      <c r="A173" s="12"/>
      <c r="B173" s="13"/>
      <c r="C173" s="10"/>
      <c r="D173" s="10"/>
      <c r="E173" s="7">
        <f>+$I$2+(WAEL[[#This Row],[QUANTITE]]*WAEL[[#This Row],[PRIX UNITAIRE]])</f>
        <v>0</v>
      </c>
      <c r="F173" s="14"/>
      <c r="G173" s="6">
        <f>+SUM(E$9:$E173)-SUM(F$9:$F173)</f>
        <v>0</v>
      </c>
    </row>
    <row r="174" spans="1:7" ht="28.8" x14ac:dyDescent="0.55000000000000004">
      <c r="A174" s="12"/>
      <c r="B174" s="13"/>
      <c r="C174" s="10"/>
      <c r="D174" s="10"/>
      <c r="E174" s="7">
        <f>+$I$2+(WAEL[[#This Row],[QUANTITE]]*WAEL[[#This Row],[PRIX UNITAIRE]])</f>
        <v>0</v>
      </c>
      <c r="F174" s="14"/>
      <c r="G174" s="6">
        <f>+SUM(E$9:$E174)-SUM(F$9:$F174)</f>
        <v>0</v>
      </c>
    </row>
    <row r="175" spans="1:7" ht="28.8" x14ac:dyDescent="0.55000000000000004">
      <c r="A175" s="12"/>
      <c r="B175" s="13"/>
      <c r="C175" s="10"/>
      <c r="D175" s="10"/>
      <c r="E175" s="7">
        <f>+$I$2+(WAEL[[#This Row],[QUANTITE]]*WAEL[[#This Row],[PRIX UNITAIRE]])</f>
        <v>0</v>
      </c>
      <c r="F175" s="14"/>
      <c r="G175" s="6">
        <f>+SUM(E$9:$E175)-SUM(F$9:$F175)</f>
        <v>0</v>
      </c>
    </row>
    <row r="176" spans="1:7" ht="28.8" x14ac:dyDescent="0.55000000000000004">
      <c r="A176" s="12"/>
      <c r="B176" s="13"/>
      <c r="C176" s="10"/>
      <c r="D176" s="10"/>
      <c r="E176" s="7">
        <f>+$I$2+(WAEL[[#This Row],[QUANTITE]]*WAEL[[#This Row],[PRIX UNITAIRE]])</f>
        <v>0</v>
      </c>
      <c r="F176" s="14"/>
      <c r="G176" s="6">
        <f>+SUM(E$9:$E176)-SUM(F$9:$F176)</f>
        <v>0</v>
      </c>
    </row>
    <row r="177" spans="1:7" ht="28.8" x14ac:dyDescent="0.55000000000000004">
      <c r="A177" s="12"/>
      <c r="B177" s="13"/>
      <c r="C177" s="10"/>
      <c r="D177" s="10"/>
      <c r="E177" s="7">
        <f>+$I$2+(WAEL[[#This Row],[QUANTITE]]*WAEL[[#This Row],[PRIX UNITAIRE]])</f>
        <v>0</v>
      </c>
      <c r="F177" s="14"/>
      <c r="G177" s="6">
        <f>+SUM(E$9:$E177)-SUM(F$9:$F177)</f>
        <v>0</v>
      </c>
    </row>
    <row r="178" spans="1:7" ht="28.8" x14ac:dyDescent="0.55000000000000004">
      <c r="A178" s="12"/>
      <c r="B178" s="13"/>
      <c r="C178" s="10"/>
      <c r="D178" s="10"/>
      <c r="E178" s="7">
        <f>+$I$2+(WAEL[[#This Row],[QUANTITE]]*WAEL[[#This Row],[PRIX UNITAIRE]])</f>
        <v>0</v>
      </c>
      <c r="F178" s="14"/>
      <c r="G178" s="6">
        <f>+SUM(E$9:$E178)-SUM(F$9:$F178)</f>
        <v>0</v>
      </c>
    </row>
    <row r="179" spans="1:7" ht="28.8" x14ac:dyDescent="0.55000000000000004">
      <c r="A179" s="12"/>
      <c r="B179" s="13"/>
      <c r="C179" s="10"/>
      <c r="D179" s="10"/>
      <c r="E179" s="7">
        <f>+$I$2+(WAEL[[#This Row],[QUANTITE]]*WAEL[[#This Row],[PRIX UNITAIRE]])</f>
        <v>0</v>
      </c>
      <c r="F179" s="14"/>
      <c r="G179" s="6">
        <f>+SUM(E$9:$E179)-SUM(F$9:$F179)</f>
        <v>0</v>
      </c>
    </row>
    <row r="180" spans="1:7" ht="28.8" x14ac:dyDescent="0.55000000000000004">
      <c r="A180" s="12"/>
      <c r="B180" s="13"/>
      <c r="C180" s="10"/>
      <c r="D180" s="10"/>
      <c r="E180" s="7">
        <f>+$I$2+(WAEL[[#This Row],[QUANTITE]]*WAEL[[#This Row],[PRIX UNITAIRE]])</f>
        <v>0</v>
      </c>
      <c r="F180" s="14"/>
      <c r="G180" s="6">
        <f>+SUM(E$9:$E180)-SUM(F$9:$F180)</f>
        <v>0</v>
      </c>
    </row>
    <row r="181" spans="1:7" ht="28.8" x14ac:dyDescent="0.55000000000000004">
      <c r="A181" s="12"/>
      <c r="B181" s="13"/>
      <c r="C181" s="10"/>
      <c r="D181" s="10"/>
      <c r="E181" s="7">
        <f>+$I$2+(WAEL[[#This Row],[QUANTITE]]*WAEL[[#This Row],[PRIX UNITAIRE]])</f>
        <v>0</v>
      </c>
      <c r="F181" s="14"/>
      <c r="G181" s="6">
        <f>+SUM(E$9:$E181)-SUM(F$9:$F181)</f>
        <v>0</v>
      </c>
    </row>
    <row r="182" spans="1:7" ht="28.8" x14ac:dyDescent="0.55000000000000004">
      <c r="A182" s="12"/>
      <c r="B182" s="13"/>
      <c r="C182" s="10"/>
      <c r="D182" s="10"/>
      <c r="E182" s="7">
        <f>+$I$2+(WAEL[[#This Row],[QUANTITE]]*WAEL[[#This Row],[PRIX UNITAIRE]])</f>
        <v>0</v>
      </c>
      <c r="F182" s="14"/>
      <c r="G182" s="6">
        <f>+SUM(E$9:$E182)-SUM(F$9:$F182)</f>
        <v>0</v>
      </c>
    </row>
    <row r="183" spans="1:7" ht="28.8" x14ac:dyDescent="0.55000000000000004">
      <c r="A183" s="12"/>
      <c r="B183" s="13"/>
      <c r="C183" s="10"/>
      <c r="D183" s="10"/>
      <c r="E183" s="7">
        <f>+$I$2+(WAEL[[#This Row],[QUANTITE]]*WAEL[[#This Row],[PRIX UNITAIRE]])</f>
        <v>0</v>
      </c>
      <c r="F183" s="14"/>
      <c r="G183" s="6">
        <f>+SUM(E$9:$E183)-SUM(F$9:$F183)</f>
        <v>0</v>
      </c>
    </row>
    <row r="184" spans="1:7" ht="28.8" x14ac:dyDescent="0.55000000000000004">
      <c r="A184" s="12"/>
      <c r="B184" s="13"/>
      <c r="C184" s="10"/>
      <c r="D184" s="10"/>
      <c r="E184" s="7">
        <f>+$I$2+(WAEL[[#This Row],[QUANTITE]]*WAEL[[#This Row],[PRIX UNITAIRE]])</f>
        <v>0</v>
      </c>
      <c r="F184" s="14"/>
      <c r="G184" s="6">
        <f>+SUM(E$9:$E184)-SUM(F$9:$F184)</f>
        <v>0</v>
      </c>
    </row>
    <row r="185" spans="1:7" ht="28.8" x14ac:dyDescent="0.55000000000000004">
      <c r="A185" s="12"/>
      <c r="B185" s="13"/>
      <c r="C185" s="10"/>
      <c r="D185" s="10"/>
      <c r="E185" s="7">
        <f>+$I$2+(WAEL[[#This Row],[QUANTITE]]*WAEL[[#This Row],[PRIX UNITAIRE]])</f>
        <v>0</v>
      </c>
      <c r="F185" s="14"/>
      <c r="G185" s="6">
        <f>+SUM(E$9:$E185)-SUM(F$9:$F185)</f>
        <v>0</v>
      </c>
    </row>
    <row r="186" spans="1:7" ht="28.8" x14ac:dyDescent="0.55000000000000004">
      <c r="A186" s="12"/>
      <c r="B186" s="13"/>
      <c r="C186" s="10"/>
      <c r="D186" s="10"/>
      <c r="E186" s="7">
        <f>+$I$2+(WAEL[[#This Row],[QUANTITE]]*WAEL[[#This Row],[PRIX UNITAIRE]])</f>
        <v>0</v>
      </c>
      <c r="F186" s="14"/>
      <c r="G186" s="6">
        <f>+SUM(E$9:$E186)-SUM(F$9:$F186)</f>
        <v>0</v>
      </c>
    </row>
    <row r="187" spans="1:7" ht="28.8" x14ac:dyDescent="0.55000000000000004">
      <c r="A187" s="12"/>
      <c r="B187" s="13"/>
      <c r="C187" s="10"/>
      <c r="D187" s="10"/>
      <c r="E187" s="7">
        <f>+$I$2+(WAEL[[#This Row],[QUANTITE]]*WAEL[[#This Row],[PRIX UNITAIRE]])</f>
        <v>0</v>
      </c>
      <c r="F187" s="14"/>
      <c r="G187" s="6">
        <f>+SUM(E$9:$E187)-SUM(F$9:$F187)</f>
        <v>0</v>
      </c>
    </row>
    <row r="188" spans="1:7" ht="28.8" x14ac:dyDescent="0.55000000000000004">
      <c r="A188" s="12"/>
      <c r="B188" s="13"/>
      <c r="C188" s="10"/>
      <c r="D188" s="10"/>
      <c r="E188" s="7">
        <f>+$I$2+(WAEL[[#This Row],[QUANTITE]]*WAEL[[#This Row],[PRIX UNITAIRE]])</f>
        <v>0</v>
      </c>
      <c r="F188" s="14"/>
      <c r="G188" s="6">
        <f>+SUM(E$9:$E188)-SUM(F$9:$F188)</f>
        <v>0</v>
      </c>
    </row>
    <row r="189" spans="1:7" ht="28.8" x14ac:dyDescent="0.55000000000000004">
      <c r="A189" s="12"/>
      <c r="B189" s="13"/>
      <c r="C189" s="10"/>
      <c r="D189" s="10"/>
      <c r="E189" s="7">
        <f>+$I$2+(WAEL[[#This Row],[QUANTITE]]*WAEL[[#This Row],[PRIX UNITAIRE]])</f>
        <v>0</v>
      </c>
      <c r="F189" s="14"/>
      <c r="G189" s="6">
        <f>+SUM(E$9:$E189)-SUM(F$9:$F189)</f>
        <v>0</v>
      </c>
    </row>
    <row r="190" spans="1:7" ht="28.8" x14ac:dyDescent="0.55000000000000004">
      <c r="A190" s="12"/>
      <c r="B190" s="13"/>
      <c r="C190" s="10"/>
      <c r="D190" s="10"/>
      <c r="E190" s="7">
        <f>+$I$2+(WAEL[[#This Row],[QUANTITE]]*WAEL[[#This Row],[PRIX UNITAIRE]])</f>
        <v>0</v>
      </c>
      <c r="F190" s="14"/>
      <c r="G190" s="6">
        <f>+SUM(E$9:$E190)-SUM(F$9:$F190)</f>
        <v>0</v>
      </c>
    </row>
    <row r="191" spans="1:7" ht="28.8" x14ac:dyDescent="0.55000000000000004">
      <c r="A191" s="12"/>
      <c r="B191" s="13"/>
      <c r="C191" s="10"/>
      <c r="D191" s="10"/>
      <c r="E191" s="7">
        <f>+$I$2+(WAEL[[#This Row],[QUANTITE]]*WAEL[[#This Row],[PRIX UNITAIRE]])</f>
        <v>0</v>
      </c>
      <c r="F191" s="14"/>
      <c r="G191" s="6">
        <f>+SUM(E$9:$E191)-SUM(F$9:$F191)</f>
        <v>0</v>
      </c>
    </row>
    <row r="192" spans="1:7" ht="28.8" x14ac:dyDescent="0.55000000000000004">
      <c r="A192" s="12"/>
      <c r="B192" s="13"/>
      <c r="C192" s="10"/>
      <c r="D192" s="10"/>
      <c r="E192" s="7">
        <f>+$I$2+(WAEL[[#This Row],[QUANTITE]]*WAEL[[#This Row],[PRIX UNITAIRE]])</f>
        <v>0</v>
      </c>
      <c r="F192" s="14"/>
      <c r="G192" s="6">
        <f>+SUM(E$9:$E192)-SUM(F$9:$F192)</f>
        <v>0</v>
      </c>
    </row>
    <row r="193" spans="1:7" ht="28.8" x14ac:dyDescent="0.55000000000000004">
      <c r="A193" s="12"/>
      <c r="B193" s="13"/>
      <c r="C193" s="10"/>
      <c r="D193" s="10"/>
      <c r="E193" s="7">
        <f>+$I$2+(WAEL[[#This Row],[QUANTITE]]*WAEL[[#This Row],[PRIX UNITAIRE]])</f>
        <v>0</v>
      </c>
      <c r="F193" s="14"/>
      <c r="G193" s="6">
        <f>+SUM(E$9:$E193)-SUM(F$9:$F193)</f>
        <v>0</v>
      </c>
    </row>
    <row r="194" spans="1:7" ht="28.8" x14ac:dyDescent="0.55000000000000004">
      <c r="A194" s="12"/>
      <c r="B194" s="13"/>
      <c r="C194" s="10"/>
      <c r="D194" s="10"/>
      <c r="E194" s="7">
        <f>+$I$2+(WAEL[[#This Row],[QUANTITE]]*WAEL[[#This Row],[PRIX UNITAIRE]])</f>
        <v>0</v>
      </c>
      <c r="F194" s="14"/>
      <c r="G194" s="6">
        <f>+SUM(E$9:$E194)-SUM(F$9:$F194)</f>
        <v>0</v>
      </c>
    </row>
    <row r="195" spans="1:7" ht="28.8" x14ac:dyDescent="0.55000000000000004">
      <c r="A195" s="12"/>
      <c r="B195" s="13"/>
      <c r="C195" s="10"/>
      <c r="D195" s="10"/>
      <c r="E195" s="7">
        <f>+$I$2+(WAEL[[#This Row],[QUANTITE]]*WAEL[[#This Row],[PRIX UNITAIRE]])</f>
        <v>0</v>
      </c>
      <c r="F195" s="14"/>
      <c r="G195" s="6">
        <f>+SUM(E$9:$E195)-SUM(F$9:$F195)</f>
        <v>0</v>
      </c>
    </row>
    <row r="196" spans="1:7" ht="28.8" x14ac:dyDescent="0.55000000000000004">
      <c r="A196" s="12"/>
      <c r="B196" s="13"/>
      <c r="C196" s="10"/>
      <c r="D196" s="10"/>
      <c r="E196" s="7">
        <f>+$I$2+(WAEL[[#This Row],[QUANTITE]]*WAEL[[#This Row],[PRIX UNITAIRE]])</f>
        <v>0</v>
      </c>
      <c r="F196" s="14"/>
      <c r="G196" s="6">
        <f>+SUM(E$9:$E196)-SUM(F$9:$F196)</f>
        <v>0</v>
      </c>
    </row>
    <row r="197" spans="1:7" ht="28.8" x14ac:dyDescent="0.55000000000000004">
      <c r="A197" s="12"/>
      <c r="B197" s="13"/>
      <c r="C197" s="10"/>
      <c r="D197" s="10"/>
      <c r="E197" s="7">
        <f>+$I$2+(WAEL[[#This Row],[QUANTITE]]*WAEL[[#This Row],[PRIX UNITAIRE]])</f>
        <v>0</v>
      </c>
      <c r="F197" s="14"/>
      <c r="G197" s="6">
        <f>+SUM(E$9:$E197)-SUM(F$9:$F197)</f>
        <v>0</v>
      </c>
    </row>
    <row r="198" spans="1:7" ht="28.8" x14ac:dyDescent="0.55000000000000004">
      <c r="A198" s="12"/>
      <c r="B198" s="13"/>
      <c r="C198" s="10"/>
      <c r="D198" s="10"/>
      <c r="E198" s="7">
        <f>+$I$2+(WAEL[[#This Row],[QUANTITE]]*WAEL[[#This Row],[PRIX UNITAIRE]])</f>
        <v>0</v>
      </c>
      <c r="F198" s="14"/>
      <c r="G198" s="6">
        <f>+SUM(E$9:$E198)-SUM(F$9:$F198)</f>
        <v>0</v>
      </c>
    </row>
    <row r="199" spans="1:7" ht="28.8" x14ac:dyDescent="0.55000000000000004">
      <c r="A199" s="12"/>
      <c r="B199" s="13"/>
      <c r="C199" s="10"/>
      <c r="D199" s="10"/>
      <c r="E199" s="7">
        <f>+$I$2+(WAEL[[#This Row],[QUANTITE]]*WAEL[[#This Row],[PRIX UNITAIRE]])</f>
        <v>0</v>
      </c>
      <c r="F199" s="14"/>
      <c r="G199" s="6">
        <f>+SUM(E$9:$E199)-SUM(F$9:$F199)</f>
        <v>0</v>
      </c>
    </row>
    <row r="200" spans="1:7" ht="28.8" x14ac:dyDescent="0.55000000000000004">
      <c r="A200" s="12"/>
      <c r="B200" s="13"/>
      <c r="C200" s="10"/>
      <c r="D200" s="10"/>
      <c r="E200" s="7">
        <f>+$I$2+(WAEL[[#This Row],[QUANTITE]]*WAEL[[#This Row],[PRIX UNITAIRE]])</f>
        <v>0</v>
      </c>
      <c r="F200" s="14"/>
      <c r="G200" s="6">
        <f>+SUM(E$9:$E200)-SUM(F$9:$F200)</f>
        <v>0</v>
      </c>
    </row>
    <row r="201" spans="1:7" ht="28.8" x14ac:dyDescent="0.55000000000000004">
      <c r="A201" s="12"/>
      <c r="B201" s="13"/>
      <c r="C201" s="10"/>
      <c r="D201" s="10"/>
      <c r="E201" s="7">
        <f>+$I$2+(WAEL[[#This Row],[QUANTITE]]*WAEL[[#This Row],[PRIX UNITAIRE]])</f>
        <v>0</v>
      </c>
      <c r="F201" s="14"/>
      <c r="G201" s="6">
        <f>+SUM(E$9:$E201)-SUM(F$9:$F201)</f>
        <v>0</v>
      </c>
    </row>
    <row r="202" spans="1:7" ht="28.8" x14ac:dyDescent="0.55000000000000004">
      <c r="A202" s="12"/>
      <c r="B202" s="13"/>
      <c r="C202" s="10"/>
      <c r="D202" s="10"/>
      <c r="E202" s="7">
        <f>+$I$2+(WAEL[[#This Row],[QUANTITE]]*WAEL[[#This Row],[PRIX UNITAIRE]])</f>
        <v>0</v>
      </c>
      <c r="F202" s="14"/>
      <c r="G202" s="6">
        <f>+SUM(E$9:$E202)-SUM(F$9:$F202)</f>
        <v>0</v>
      </c>
    </row>
    <row r="203" spans="1:7" ht="28.8" x14ac:dyDescent="0.55000000000000004">
      <c r="A203" s="12"/>
      <c r="B203" s="13"/>
      <c r="C203" s="10"/>
      <c r="D203" s="10"/>
      <c r="E203" s="7">
        <f>+$I$2+(WAEL[[#This Row],[QUANTITE]]*WAEL[[#This Row],[PRIX UNITAIRE]])</f>
        <v>0</v>
      </c>
      <c r="F203" s="14"/>
      <c r="G203" s="6">
        <f>+SUM(E$9:$E203)-SUM(F$9:$F203)</f>
        <v>0</v>
      </c>
    </row>
    <row r="204" spans="1:7" ht="28.8" x14ac:dyDescent="0.55000000000000004">
      <c r="A204" s="12"/>
      <c r="B204" s="13"/>
      <c r="C204" s="10"/>
      <c r="D204" s="10"/>
      <c r="E204" s="7">
        <f>+$I$2+(WAEL[[#This Row],[QUANTITE]]*WAEL[[#This Row],[PRIX UNITAIRE]])</f>
        <v>0</v>
      </c>
      <c r="F204" s="14"/>
      <c r="G204" s="6">
        <f>+SUM(E$9:$E204)-SUM(F$9:$F204)</f>
        <v>0</v>
      </c>
    </row>
    <row r="205" spans="1:7" ht="28.8" x14ac:dyDescent="0.55000000000000004">
      <c r="A205" s="12"/>
      <c r="B205" s="13"/>
      <c r="C205" s="10"/>
      <c r="D205" s="10"/>
      <c r="E205" s="7">
        <f>+$I$2+(WAEL[[#This Row],[QUANTITE]]*WAEL[[#This Row],[PRIX UNITAIRE]])</f>
        <v>0</v>
      </c>
      <c r="F205" s="14"/>
      <c r="G205" s="6">
        <f>+SUM(E$9:$E205)-SUM(F$9:$F205)</f>
        <v>0</v>
      </c>
    </row>
    <row r="206" spans="1:7" ht="28.8" x14ac:dyDescent="0.55000000000000004">
      <c r="A206" s="12"/>
      <c r="B206" s="13"/>
      <c r="C206" s="10"/>
      <c r="D206" s="10"/>
      <c r="E206" s="7">
        <f>+$I$2+(WAEL[[#This Row],[QUANTITE]]*WAEL[[#This Row],[PRIX UNITAIRE]])</f>
        <v>0</v>
      </c>
      <c r="F206" s="14"/>
      <c r="G206" s="6">
        <f>+SUM(E$9:$E206)-SUM(F$9:$F206)</f>
        <v>0</v>
      </c>
    </row>
    <row r="207" spans="1:7" ht="28.8" x14ac:dyDescent="0.55000000000000004">
      <c r="A207" s="12"/>
      <c r="B207" s="13"/>
      <c r="C207" s="10"/>
      <c r="D207" s="10"/>
      <c r="E207" s="7">
        <f>+$I$2+(WAEL[[#This Row],[QUANTITE]]*WAEL[[#This Row],[PRIX UNITAIRE]])</f>
        <v>0</v>
      </c>
      <c r="F207" s="14"/>
      <c r="G207" s="6">
        <f>+SUM(E$9:$E207)-SUM(F$9:$F207)</f>
        <v>0</v>
      </c>
    </row>
    <row r="208" spans="1:7" ht="28.8" x14ac:dyDescent="0.55000000000000004">
      <c r="A208" s="12"/>
      <c r="B208" s="13"/>
      <c r="C208" s="10"/>
      <c r="D208" s="10"/>
      <c r="E208" s="7">
        <f>+$I$2+(WAEL[[#This Row],[QUANTITE]]*WAEL[[#This Row],[PRIX UNITAIRE]])</f>
        <v>0</v>
      </c>
      <c r="F208" s="14"/>
      <c r="G208" s="6">
        <f>+SUM(E$9:$E208)-SUM(F$9:$F208)</f>
        <v>0</v>
      </c>
    </row>
    <row r="209" spans="1:7" ht="28.8" x14ac:dyDescent="0.55000000000000004">
      <c r="A209" s="12"/>
      <c r="B209" s="13"/>
      <c r="C209" s="10"/>
      <c r="D209" s="10"/>
      <c r="E209" s="7">
        <f>+$I$2+(WAEL[[#This Row],[QUANTITE]]*WAEL[[#This Row],[PRIX UNITAIRE]])</f>
        <v>0</v>
      </c>
      <c r="F209" s="14"/>
      <c r="G209" s="6">
        <f>+SUM(E$9:$E209)-SUM(F$9:$F209)</f>
        <v>0</v>
      </c>
    </row>
    <row r="210" spans="1:7" ht="28.8" x14ac:dyDescent="0.55000000000000004">
      <c r="A210" s="12"/>
      <c r="B210" s="13"/>
      <c r="C210" s="10"/>
      <c r="D210" s="10"/>
      <c r="E210" s="7">
        <f>+$I$2+(WAEL[[#This Row],[QUANTITE]]*WAEL[[#This Row],[PRIX UNITAIRE]])</f>
        <v>0</v>
      </c>
      <c r="F210" s="14"/>
      <c r="G210" s="6">
        <f>+SUM(E$9:$E210)-SUM(F$9:$F210)</f>
        <v>0</v>
      </c>
    </row>
    <row r="211" spans="1:7" ht="28.8" x14ac:dyDescent="0.55000000000000004">
      <c r="A211" s="12"/>
      <c r="B211" s="13"/>
      <c r="C211" s="10"/>
      <c r="D211" s="10"/>
      <c r="E211" s="7">
        <f>+$I$2+(WAEL[[#This Row],[QUANTITE]]*WAEL[[#This Row],[PRIX UNITAIRE]])</f>
        <v>0</v>
      </c>
      <c r="F211" s="14"/>
      <c r="G211" s="6">
        <f>+SUM(E$9:$E211)-SUM(F$9:$F211)</f>
        <v>0</v>
      </c>
    </row>
    <row r="212" spans="1:7" ht="28.8" x14ac:dyDescent="0.55000000000000004">
      <c r="A212" s="12"/>
      <c r="B212" s="13"/>
      <c r="C212" s="10"/>
      <c r="D212" s="10"/>
      <c r="E212" s="7">
        <f>+$I$2+(WAEL[[#This Row],[QUANTITE]]*WAEL[[#This Row],[PRIX UNITAIRE]])</f>
        <v>0</v>
      </c>
      <c r="F212" s="14"/>
      <c r="G212" s="6">
        <f>+SUM(E$9:$E212)-SUM(F$9:$F212)</f>
        <v>0</v>
      </c>
    </row>
    <row r="213" spans="1:7" ht="28.8" x14ac:dyDescent="0.55000000000000004">
      <c r="A213" s="12"/>
      <c r="B213" s="13"/>
      <c r="C213" s="10"/>
      <c r="D213" s="10"/>
      <c r="E213" s="7">
        <f>+$I$2+(WAEL[[#This Row],[QUANTITE]]*WAEL[[#This Row],[PRIX UNITAIRE]])</f>
        <v>0</v>
      </c>
      <c r="F213" s="14"/>
      <c r="G213" s="6">
        <f>+SUM(E$9:$E213)-SUM(F$9:$F213)</f>
        <v>0</v>
      </c>
    </row>
    <row r="214" spans="1:7" ht="28.8" x14ac:dyDescent="0.55000000000000004">
      <c r="A214" s="12"/>
      <c r="B214" s="13"/>
      <c r="C214" s="10"/>
      <c r="D214" s="10"/>
      <c r="E214" s="7">
        <f>+$I$2+(WAEL[[#This Row],[QUANTITE]]*WAEL[[#This Row],[PRIX UNITAIRE]])</f>
        <v>0</v>
      </c>
      <c r="F214" s="14"/>
      <c r="G214" s="6">
        <f>+SUM(E$9:$E214)-SUM(F$9:$F214)</f>
        <v>0</v>
      </c>
    </row>
    <row r="215" spans="1:7" ht="28.8" x14ac:dyDescent="0.55000000000000004">
      <c r="A215" s="12"/>
      <c r="B215" s="13"/>
      <c r="C215" s="10"/>
      <c r="D215" s="10"/>
      <c r="E215" s="7">
        <f>+$I$2+(WAEL[[#This Row],[QUANTITE]]*WAEL[[#This Row],[PRIX UNITAIRE]])</f>
        <v>0</v>
      </c>
      <c r="F215" s="14"/>
      <c r="G215" s="6">
        <f>+SUM(E$9:$E215)-SUM(F$9:$F215)</f>
        <v>0</v>
      </c>
    </row>
    <row r="216" spans="1:7" ht="28.8" x14ac:dyDescent="0.55000000000000004">
      <c r="A216" s="12"/>
      <c r="B216" s="13"/>
      <c r="C216" s="10"/>
      <c r="D216" s="10"/>
      <c r="E216" s="7">
        <f>+$I$2+(WAEL[[#This Row],[QUANTITE]]*WAEL[[#This Row],[PRIX UNITAIRE]])</f>
        <v>0</v>
      </c>
      <c r="F216" s="14"/>
      <c r="G216" s="6">
        <f>+SUM(E$9:$E216)-SUM(F$9:$F216)</f>
        <v>0</v>
      </c>
    </row>
    <row r="217" spans="1:7" ht="28.8" x14ac:dyDescent="0.55000000000000004">
      <c r="A217" s="12"/>
      <c r="B217" s="13"/>
      <c r="C217" s="10"/>
      <c r="D217" s="10"/>
      <c r="E217" s="7">
        <f>+$I$2+(WAEL[[#This Row],[QUANTITE]]*WAEL[[#This Row],[PRIX UNITAIRE]])</f>
        <v>0</v>
      </c>
      <c r="F217" s="14"/>
      <c r="G217" s="6">
        <f>+SUM(E$9:$E217)-SUM(F$9:$F217)</f>
        <v>0</v>
      </c>
    </row>
    <row r="218" spans="1:7" ht="28.8" x14ac:dyDescent="0.55000000000000004">
      <c r="A218" s="12"/>
      <c r="B218" s="13"/>
      <c r="C218" s="10"/>
      <c r="D218" s="10"/>
      <c r="E218" s="7">
        <f>+$I$2+(WAEL[[#This Row],[QUANTITE]]*WAEL[[#This Row],[PRIX UNITAIRE]])</f>
        <v>0</v>
      </c>
      <c r="F218" s="14"/>
      <c r="G218" s="6">
        <f>+SUM(E$9:$E218)-SUM(F$9:$F218)</f>
        <v>0</v>
      </c>
    </row>
    <row r="219" spans="1:7" ht="28.8" x14ac:dyDescent="0.55000000000000004">
      <c r="A219" s="12"/>
      <c r="B219" s="13"/>
      <c r="C219" s="10"/>
      <c r="D219" s="10"/>
      <c r="E219" s="7">
        <f>+$I$2+(WAEL[[#This Row],[QUANTITE]]*WAEL[[#This Row],[PRIX UNITAIRE]])</f>
        <v>0</v>
      </c>
      <c r="F219" s="14"/>
      <c r="G219" s="6">
        <f>+SUM(E$9:$E219)-SUM(F$9:$F219)</f>
        <v>0</v>
      </c>
    </row>
    <row r="220" spans="1:7" ht="28.8" x14ac:dyDescent="0.55000000000000004">
      <c r="A220" s="12"/>
      <c r="B220" s="13"/>
      <c r="C220" s="10"/>
      <c r="D220" s="10"/>
      <c r="E220" s="7">
        <f>+$I$2+(WAEL[[#This Row],[QUANTITE]]*WAEL[[#This Row],[PRIX UNITAIRE]])</f>
        <v>0</v>
      </c>
      <c r="F220" s="14"/>
      <c r="G220" s="6">
        <f>+SUM(E$9:$E220)-SUM(F$9:$F220)</f>
        <v>0</v>
      </c>
    </row>
    <row r="221" spans="1:7" ht="28.8" x14ac:dyDescent="0.55000000000000004">
      <c r="A221" s="12"/>
      <c r="B221" s="13"/>
      <c r="C221" s="10"/>
      <c r="D221" s="10"/>
      <c r="E221" s="7">
        <f>+$I$2+(WAEL[[#This Row],[QUANTITE]]*WAEL[[#This Row],[PRIX UNITAIRE]])</f>
        <v>0</v>
      </c>
      <c r="F221" s="14"/>
      <c r="G221" s="6">
        <f>+SUM(E$9:$E221)-SUM(F$9:$F221)</f>
        <v>0</v>
      </c>
    </row>
    <row r="222" spans="1:7" ht="28.8" x14ac:dyDescent="0.55000000000000004">
      <c r="A222" s="12"/>
      <c r="B222" s="13"/>
      <c r="C222" s="10"/>
      <c r="D222" s="10"/>
      <c r="E222" s="7">
        <f>+$I$2+(WAEL[[#This Row],[QUANTITE]]*WAEL[[#This Row],[PRIX UNITAIRE]])</f>
        <v>0</v>
      </c>
      <c r="F222" s="14"/>
      <c r="G222" s="6">
        <f>+SUM(E$9:$E222)-SUM(F$9:$F222)</f>
        <v>0</v>
      </c>
    </row>
    <row r="223" spans="1:7" ht="28.8" x14ac:dyDescent="0.55000000000000004">
      <c r="A223" s="12"/>
      <c r="B223" s="13"/>
      <c r="C223" s="10"/>
      <c r="D223" s="10"/>
      <c r="E223" s="7">
        <f>+$I$2+(WAEL[[#This Row],[QUANTITE]]*WAEL[[#This Row],[PRIX UNITAIRE]])</f>
        <v>0</v>
      </c>
      <c r="F223" s="14"/>
      <c r="G223" s="6">
        <f>+SUM(E$9:$E223)-SUM(F$9:$F223)</f>
        <v>0</v>
      </c>
    </row>
    <row r="224" spans="1:7" ht="28.8" x14ac:dyDescent="0.55000000000000004">
      <c r="A224" s="12"/>
      <c r="B224" s="13"/>
      <c r="C224" s="10"/>
      <c r="D224" s="10"/>
      <c r="E224" s="7">
        <f>+$I$2+(WAEL[[#This Row],[QUANTITE]]*WAEL[[#This Row],[PRIX UNITAIRE]])</f>
        <v>0</v>
      </c>
      <c r="F224" s="14"/>
      <c r="G224" s="6">
        <f>+SUM(E$9:$E224)-SUM(F$9:$F224)</f>
        <v>0</v>
      </c>
    </row>
    <row r="225" spans="1:7" ht="28.8" x14ac:dyDescent="0.55000000000000004">
      <c r="A225" s="12"/>
      <c r="B225" s="13"/>
      <c r="C225" s="10"/>
      <c r="D225" s="10"/>
      <c r="E225" s="7">
        <f>+$I$2+(WAEL[[#This Row],[QUANTITE]]*WAEL[[#This Row],[PRIX UNITAIRE]])</f>
        <v>0</v>
      </c>
      <c r="F225" s="14"/>
      <c r="G225" s="6">
        <f>+SUM(E$9:$E225)-SUM(F$9:$F225)</f>
        <v>0</v>
      </c>
    </row>
    <row r="226" spans="1:7" ht="28.8" x14ac:dyDescent="0.55000000000000004">
      <c r="A226" s="12"/>
      <c r="B226" s="13"/>
      <c r="C226" s="10"/>
      <c r="D226" s="10"/>
      <c r="E226" s="7">
        <f>+$I$2+(WAEL[[#This Row],[QUANTITE]]*WAEL[[#This Row],[PRIX UNITAIRE]])</f>
        <v>0</v>
      </c>
      <c r="F226" s="14"/>
      <c r="G226" s="6">
        <f>+SUM(E$9:$E226)-SUM(F$9:$F226)</f>
        <v>0</v>
      </c>
    </row>
    <row r="227" spans="1:7" ht="28.8" x14ac:dyDescent="0.55000000000000004">
      <c r="A227" s="12"/>
      <c r="B227" s="13"/>
      <c r="C227" s="10"/>
      <c r="D227" s="10"/>
      <c r="E227" s="7">
        <f>+$I$2+(WAEL[[#This Row],[QUANTITE]]*WAEL[[#This Row],[PRIX UNITAIRE]])</f>
        <v>0</v>
      </c>
      <c r="F227" s="14"/>
      <c r="G227" s="6">
        <f>+SUM(E$9:$E227)-SUM(F$9:$F227)</f>
        <v>0</v>
      </c>
    </row>
    <row r="228" spans="1:7" ht="28.8" x14ac:dyDescent="0.55000000000000004">
      <c r="A228" s="12"/>
      <c r="B228" s="13"/>
      <c r="C228" s="10"/>
      <c r="D228" s="10"/>
      <c r="E228" s="7">
        <f>+$I$2+(WAEL[[#This Row],[QUANTITE]]*WAEL[[#This Row],[PRIX UNITAIRE]])</f>
        <v>0</v>
      </c>
      <c r="F228" s="14"/>
      <c r="G228" s="6">
        <f>+SUM(E$9:$E228)-SUM(F$9:$F228)</f>
        <v>0</v>
      </c>
    </row>
    <row r="229" spans="1:7" ht="28.8" x14ac:dyDescent="0.55000000000000004">
      <c r="A229" s="12"/>
      <c r="B229" s="13"/>
      <c r="C229" s="10"/>
      <c r="D229" s="10"/>
      <c r="E229" s="7">
        <f>+$I$2+(WAEL[[#This Row],[QUANTITE]]*WAEL[[#This Row],[PRIX UNITAIRE]])</f>
        <v>0</v>
      </c>
      <c r="F229" s="14"/>
      <c r="G229" s="6">
        <f>+SUM(E$9:$E229)-SUM(F$9:$F229)</f>
        <v>0</v>
      </c>
    </row>
    <row r="230" spans="1:7" ht="28.8" x14ac:dyDescent="0.55000000000000004">
      <c r="A230" s="12"/>
      <c r="B230" s="13"/>
      <c r="C230" s="10"/>
      <c r="D230" s="10"/>
      <c r="E230" s="7">
        <f>+$I$2+(WAEL[[#This Row],[QUANTITE]]*WAEL[[#This Row],[PRIX UNITAIRE]])</f>
        <v>0</v>
      </c>
      <c r="F230" s="14"/>
      <c r="G230" s="6">
        <f>+SUM(E$9:$E230)-SUM(F$9:$F230)</f>
        <v>0</v>
      </c>
    </row>
    <row r="231" spans="1:7" ht="28.8" x14ac:dyDescent="0.55000000000000004">
      <c r="A231" s="12"/>
      <c r="B231" s="13"/>
      <c r="C231" s="10"/>
      <c r="D231" s="10"/>
      <c r="E231" s="7">
        <f>+$I$2+(WAEL[[#This Row],[QUANTITE]]*WAEL[[#This Row],[PRIX UNITAIRE]])</f>
        <v>0</v>
      </c>
      <c r="F231" s="14"/>
      <c r="G231" s="6">
        <f>+SUM(E$9:$E231)-SUM(F$9:$F231)</f>
        <v>0</v>
      </c>
    </row>
    <row r="232" spans="1:7" ht="28.8" x14ac:dyDescent="0.55000000000000004">
      <c r="A232" s="12"/>
      <c r="B232" s="13"/>
      <c r="C232" s="10"/>
      <c r="D232" s="10"/>
      <c r="E232" s="7">
        <f>+$I$2+(WAEL[[#This Row],[QUANTITE]]*WAEL[[#This Row],[PRIX UNITAIRE]])</f>
        <v>0</v>
      </c>
      <c r="F232" s="14"/>
      <c r="G232" s="6">
        <f>+SUM(E$9:$E232)-SUM(F$9:$F232)</f>
        <v>0</v>
      </c>
    </row>
    <row r="233" spans="1:7" ht="28.8" x14ac:dyDescent="0.55000000000000004">
      <c r="A233" s="12"/>
      <c r="B233" s="13"/>
      <c r="C233" s="10"/>
      <c r="D233" s="10"/>
      <c r="E233" s="7">
        <f>+$I$2+(WAEL[[#This Row],[QUANTITE]]*WAEL[[#This Row],[PRIX UNITAIRE]])</f>
        <v>0</v>
      </c>
      <c r="F233" s="14"/>
      <c r="G233" s="6">
        <f>+SUM(E$9:$E233)-SUM(F$9:$F233)</f>
        <v>0</v>
      </c>
    </row>
    <row r="234" spans="1:7" ht="28.8" x14ac:dyDescent="0.55000000000000004">
      <c r="A234" s="12"/>
      <c r="B234" s="13"/>
      <c r="C234" s="10"/>
      <c r="D234" s="10"/>
      <c r="E234" s="7">
        <f>+$I$2+(WAEL[[#This Row],[QUANTITE]]*WAEL[[#This Row],[PRIX UNITAIRE]])</f>
        <v>0</v>
      </c>
      <c r="F234" s="14"/>
      <c r="G234" s="6">
        <f>+SUM(E$9:$E234)-SUM(F$9:$F234)</f>
        <v>0</v>
      </c>
    </row>
    <row r="235" spans="1:7" ht="28.8" x14ac:dyDescent="0.55000000000000004">
      <c r="A235" s="12"/>
      <c r="B235" s="13"/>
      <c r="C235" s="10"/>
      <c r="D235" s="10"/>
      <c r="E235" s="7">
        <f>+$I$2+(WAEL[[#This Row],[QUANTITE]]*WAEL[[#This Row],[PRIX UNITAIRE]])</f>
        <v>0</v>
      </c>
      <c r="F235" s="14"/>
      <c r="G235" s="6">
        <f>+SUM(E$9:$E235)-SUM(F$9:$F235)</f>
        <v>0</v>
      </c>
    </row>
    <row r="236" spans="1:7" ht="28.8" x14ac:dyDescent="0.55000000000000004">
      <c r="A236" s="12"/>
      <c r="B236" s="13"/>
      <c r="C236" s="10"/>
      <c r="D236" s="10"/>
      <c r="E236" s="7">
        <f>+$I$2+(WAEL[[#This Row],[QUANTITE]]*WAEL[[#This Row],[PRIX UNITAIRE]])</f>
        <v>0</v>
      </c>
      <c r="F236" s="14"/>
      <c r="G236" s="6">
        <f>+SUM(E$9:$E236)-SUM(F$9:$F236)</f>
        <v>0</v>
      </c>
    </row>
    <row r="237" spans="1:7" ht="28.8" x14ac:dyDescent="0.55000000000000004">
      <c r="A237" s="12"/>
      <c r="B237" s="13"/>
      <c r="C237" s="10"/>
      <c r="D237" s="10"/>
      <c r="E237" s="7">
        <f>+$I$2+(WAEL[[#This Row],[QUANTITE]]*WAEL[[#This Row],[PRIX UNITAIRE]])</f>
        <v>0</v>
      </c>
      <c r="F237" s="14"/>
      <c r="G237" s="6">
        <f>+SUM(E$9:$E237)-SUM(F$9:$F237)</f>
        <v>0</v>
      </c>
    </row>
    <row r="238" spans="1:7" ht="28.8" x14ac:dyDescent="0.55000000000000004">
      <c r="A238" s="12"/>
      <c r="B238" s="13"/>
      <c r="C238" s="10"/>
      <c r="D238" s="10"/>
      <c r="E238" s="7">
        <f>+$I$2+(WAEL[[#This Row],[QUANTITE]]*WAEL[[#This Row],[PRIX UNITAIRE]])</f>
        <v>0</v>
      </c>
      <c r="F238" s="14"/>
      <c r="G238" s="6">
        <f>+SUM(E$9:$E238)-SUM(F$9:$F238)</f>
        <v>0</v>
      </c>
    </row>
    <row r="239" spans="1:7" ht="28.8" x14ac:dyDescent="0.55000000000000004">
      <c r="A239" s="12"/>
      <c r="B239" s="13"/>
      <c r="C239" s="10"/>
      <c r="D239" s="10"/>
      <c r="E239" s="7">
        <f>+$I$2+(WAEL[[#This Row],[QUANTITE]]*WAEL[[#This Row],[PRIX UNITAIRE]])</f>
        <v>0</v>
      </c>
      <c r="F239" s="14"/>
      <c r="G239" s="6">
        <f>+SUM(E$9:$E239)-SUM(F$9:$F239)</f>
        <v>0</v>
      </c>
    </row>
    <row r="240" spans="1:7" ht="28.8" x14ac:dyDescent="0.55000000000000004">
      <c r="A240" s="12"/>
      <c r="B240" s="13"/>
      <c r="C240" s="10"/>
      <c r="D240" s="10"/>
      <c r="E240" s="7">
        <f>+$I$2+(WAEL[[#This Row],[QUANTITE]]*WAEL[[#This Row],[PRIX UNITAIRE]])</f>
        <v>0</v>
      </c>
      <c r="F240" s="14"/>
      <c r="G240" s="6">
        <f>+SUM(E$9:$E240)-SUM(F$9:$F240)</f>
        <v>0</v>
      </c>
    </row>
    <row r="241" spans="1:7" ht="28.8" x14ac:dyDescent="0.55000000000000004">
      <c r="A241" s="12"/>
      <c r="B241" s="13"/>
      <c r="C241" s="10"/>
      <c r="D241" s="10"/>
      <c r="E241" s="7">
        <f>+$I$2+(WAEL[[#This Row],[QUANTITE]]*WAEL[[#This Row],[PRIX UNITAIRE]])</f>
        <v>0</v>
      </c>
      <c r="F241" s="14"/>
      <c r="G241" s="6">
        <f>+SUM(E$9:$E241)-SUM(F$9:$F241)</f>
        <v>0</v>
      </c>
    </row>
    <row r="242" spans="1:7" ht="28.8" x14ac:dyDescent="0.55000000000000004">
      <c r="A242" s="12"/>
      <c r="B242" s="13"/>
      <c r="C242" s="10"/>
      <c r="D242" s="10"/>
      <c r="E242" s="7">
        <f>+$I$2+(WAEL[[#This Row],[QUANTITE]]*WAEL[[#This Row],[PRIX UNITAIRE]])</f>
        <v>0</v>
      </c>
      <c r="F242" s="14"/>
      <c r="G242" s="6">
        <f>+SUM(E$9:$E242)-SUM(F$9:$F242)</f>
        <v>0</v>
      </c>
    </row>
    <row r="243" spans="1:7" ht="28.8" x14ac:dyDescent="0.55000000000000004">
      <c r="A243" s="12"/>
      <c r="B243" s="13"/>
      <c r="C243" s="10"/>
      <c r="D243" s="10"/>
      <c r="E243" s="7">
        <f>+$I$2+(WAEL[[#This Row],[QUANTITE]]*WAEL[[#This Row],[PRIX UNITAIRE]])</f>
        <v>0</v>
      </c>
      <c r="F243" s="14"/>
      <c r="G243" s="6">
        <f>+SUM(E$9:$E243)-SUM(F$9:$F243)</f>
        <v>0</v>
      </c>
    </row>
    <row r="244" spans="1:7" ht="28.8" x14ac:dyDescent="0.55000000000000004">
      <c r="A244" s="12"/>
      <c r="B244" s="13"/>
      <c r="C244" s="10"/>
      <c r="D244" s="10"/>
      <c r="E244" s="7">
        <f>+$I$2+(WAEL[[#This Row],[QUANTITE]]*WAEL[[#This Row],[PRIX UNITAIRE]])</f>
        <v>0</v>
      </c>
      <c r="F244" s="14"/>
      <c r="G244" s="6">
        <f>+SUM(E$9:$E244)-SUM(F$9:$F244)</f>
        <v>0</v>
      </c>
    </row>
    <row r="245" spans="1:7" ht="28.8" x14ac:dyDescent="0.55000000000000004">
      <c r="A245" s="12"/>
      <c r="B245" s="13"/>
      <c r="C245" s="10"/>
      <c r="D245" s="10"/>
      <c r="E245" s="7">
        <f>+$I$2+(WAEL[[#This Row],[QUANTITE]]*WAEL[[#This Row],[PRIX UNITAIRE]])</f>
        <v>0</v>
      </c>
      <c r="F245" s="14"/>
      <c r="G245" s="6">
        <f>+SUM(E$9:$E245)-SUM(F$9:$F245)</f>
        <v>0</v>
      </c>
    </row>
    <row r="246" spans="1:7" ht="28.8" x14ac:dyDescent="0.55000000000000004">
      <c r="A246" s="12"/>
      <c r="B246" s="13"/>
      <c r="C246" s="10"/>
      <c r="D246" s="10"/>
      <c r="E246" s="7">
        <f>+$I$2+(WAEL[[#This Row],[QUANTITE]]*WAEL[[#This Row],[PRIX UNITAIRE]])</f>
        <v>0</v>
      </c>
      <c r="F246" s="14"/>
      <c r="G246" s="6">
        <f>+SUM(E$9:$E246)-SUM(F$9:$F246)</f>
        <v>0</v>
      </c>
    </row>
    <row r="247" spans="1:7" ht="28.8" x14ac:dyDescent="0.55000000000000004">
      <c r="A247" s="12"/>
      <c r="B247" s="13"/>
      <c r="C247" s="10"/>
      <c r="D247" s="10"/>
      <c r="E247" s="7">
        <f>+$I$2+(WAEL[[#This Row],[QUANTITE]]*WAEL[[#This Row],[PRIX UNITAIRE]])</f>
        <v>0</v>
      </c>
      <c r="F247" s="14"/>
      <c r="G247" s="6">
        <f>+SUM(E$9:$E247)-SUM(F$9:$F247)</f>
        <v>0</v>
      </c>
    </row>
    <row r="248" spans="1:7" ht="28.8" x14ac:dyDescent="0.55000000000000004">
      <c r="A248" s="12"/>
      <c r="B248" s="13"/>
      <c r="C248" s="10"/>
      <c r="D248" s="10"/>
      <c r="E248" s="7">
        <f>+$I$2+(WAEL[[#This Row],[QUANTITE]]*WAEL[[#This Row],[PRIX UNITAIRE]])</f>
        <v>0</v>
      </c>
      <c r="F248" s="14"/>
      <c r="G248" s="6">
        <f>+SUM(E$9:$E248)-SUM(F$9:$F248)</f>
        <v>0</v>
      </c>
    </row>
    <row r="249" spans="1:7" ht="28.8" x14ac:dyDescent="0.55000000000000004">
      <c r="A249" s="12"/>
      <c r="B249" s="13"/>
      <c r="C249" s="10"/>
      <c r="D249" s="10"/>
      <c r="E249" s="7">
        <f>+$I$2+(WAEL[[#This Row],[QUANTITE]]*WAEL[[#This Row],[PRIX UNITAIRE]])</f>
        <v>0</v>
      </c>
      <c r="F249" s="14"/>
      <c r="G249" s="6">
        <f>+SUM(E$9:$E249)-SUM(F$9:$F249)</f>
        <v>0</v>
      </c>
    </row>
    <row r="250" spans="1:7" ht="28.8" x14ac:dyDescent="0.55000000000000004">
      <c r="A250" s="12"/>
      <c r="B250" s="13"/>
      <c r="C250" s="10"/>
      <c r="D250" s="10"/>
      <c r="E250" s="7">
        <f>+$I$2+(WAEL[[#This Row],[QUANTITE]]*WAEL[[#This Row],[PRIX UNITAIRE]])</f>
        <v>0</v>
      </c>
      <c r="F250" s="14"/>
      <c r="G250" s="6">
        <f>+SUM(E$9:$E250)-SUM(F$9:$F250)</f>
        <v>0</v>
      </c>
    </row>
    <row r="251" spans="1:7" ht="28.8" x14ac:dyDescent="0.55000000000000004">
      <c r="A251" s="12"/>
      <c r="B251" s="13"/>
      <c r="C251" s="10"/>
      <c r="D251" s="10"/>
      <c r="E251" s="7">
        <f>+$I$2+(WAEL[[#This Row],[QUANTITE]]*WAEL[[#This Row],[PRIX UNITAIRE]])</f>
        <v>0</v>
      </c>
      <c r="F251" s="14"/>
      <c r="G251" s="6">
        <f>+SUM(E$9:$E251)-SUM(F$9:$F251)</f>
        <v>0</v>
      </c>
    </row>
    <row r="252" spans="1:7" ht="28.8" x14ac:dyDescent="0.55000000000000004">
      <c r="A252" s="12"/>
      <c r="B252" s="13"/>
      <c r="C252" s="10"/>
      <c r="D252" s="10"/>
      <c r="E252" s="7">
        <f>+$I$2+(WAEL[[#This Row],[QUANTITE]]*WAEL[[#This Row],[PRIX UNITAIRE]])</f>
        <v>0</v>
      </c>
      <c r="F252" s="14"/>
      <c r="G252" s="6">
        <f>+SUM(E$9:$E252)-SUM(F$9:$F252)</f>
        <v>0</v>
      </c>
    </row>
    <row r="253" spans="1:7" ht="28.8" x14ac:dyDescent="0.55000000000000004">
      <c r="A253" s="12"/>
      <c r="B253" s="13"/>
      <c r="C253" s="10"/>
      <c r="D253" s="10"/>
      <c r="E253" s="7">
        <f>+$I$2+(WAEL[[#This Row],[QUANTITE]]*WAEL[[#This Row],[PRIX UNITAIRE]])</f>
        <v>0</v>
      </c>
      <c r="F253" s="14"/>
      <c r="G253" s="6">
        <f>+SUM(E$9:$E253)-SUM(F$9:$F253)</f>
        <v>0</v>
      </c>
    </row>
    <row r="254" spans="1:7" ht="28.8" x14ac:dyDescent="0.55000000000000004">
      <c r="A254" s="12"/>
      <c r="B254" s="13"/>
      <c r="C254" s="10"/>
      <c r="D254" s="10"/>
      <c r="E254" s="7">
        <f>+$I$2+(WAEL[[#This Row],[QUANTITE]]*WAEL[[#This Row],[PRIX UNITAIRE]])</f>
        <v>0</v>
      </c>
      <c r="F254" s="14"/>
      <c r="G254" s="6">
        <f>+SUM(E$9:$E254)-SUM(F$9:$F254)</f>
        <v>0</v>
      </c>
    </row>
    <row r="255" spans="1:7" ht="28.8" x14ac:dyDescent="0.55000000000000004">
      <c r="A255" s="12"/>
      <c r="B255" s="13"/>
      <c r="C255" s="10"/>
      <c r="D255" s="10"/>
      <c r="E255" s="7">
        <f>+$I$2+(WAEL[[#This Row],[QUANTITE]]*WAEL[[#This Row],[PRIX UNITAIRE]])</f>
        <v>0</v>
      </c>
      <c r="F255" s="14"/>
      <c r="G255" s="6">
        <f>+SUM(E$9:$E255)-SUM(F$9:$F255)</f>
        <v>0</v>
      </c>
    </row>
    <row r="256" spans="1:7" ht="28.8" x14ac:dyDescent="0.55000000000000004">
      <c r="A256" s="12"/>
      <c r="B256" s="13"/>
      <c r="C256" s="10"/>
      <c r="D256" s="10"/>
      <c r="E256" s="7">
        <f>+$I$2+(WAEL[[#This Row],[QUANTITE]]*WAEL[[#This Row],[PRIX UNITAIRE]])</f>
        <v>0</v>
      </c>
      <c r="F256" s="14"/>
      <c r="G256" s="6">
        <f>+SUM(E$9:$E256)-SUM(F$9:$F256)</f>
        <v>0</v>
      </c>
    </row>
    <row r="257" spans="1:7" ht="28.8" x14ac:dyDescent="0.55000000000000004">
      <c r="A257" s="12"/>
      <c r="B257" s="13"/>
      <c r="C257" s="10"/>
      <c r="D257" s="10"/>
      <c r="E257" s="7">
        <f>+$I$2+(WAEL[[#This Row],[QUANTITE]]*WAEL[[#This Row],[PRIX UNITAIRE]])</f>
        <v>0</v>
      </c>
      <c r="F257" s="14"/>
      <c r="G257" s="6">
        <f>+SUM(E$9:$E257)-SUM(F$9:$F257)</f>
        <v>0</v>
      </c>
    </row>
  </sheetData>
  <sheetProtection selectLockedCells="1" autoFilter="0"/>
  <mergeCells count="1">
    <mergeCell ref="B6:C6"/>
  </mergeCells>
  <conditionalFormatting sqref="G4">
    <cfRule type="cellIs" dxfId="327" priority="2" operator="lessThan">
      <formula>0</formula>
    </cfRule>
    <cfRule type="cellIs" dxfId="326" priority="3" operator="greaterThan">
      <formula>0</formula>
    </cfRule>
  </conditionalFormatting>
  <conditionalFormatting sqref="B9:B257">
    <cfRule type="expression" dxfId="325" priority="5">
      <formula>$F9</formula>
    </cfRule>
  </conditionalFormatting>
  <dataValidations count="1">
    <dataValidation type="date" operator="greaterThan" allowBlank="1" showInputMessage="1" showErrorMessage="1" error="VEILLEZ ENTRER UNE DATE VALIDE" sqref="A9:A257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/>
  <dimension ref="A1:I163"/>
  <sheetViews>
    <sheetView showGridLines="0" zoomScale="60" zoomScaleNormal="60" workbookViewId="0">
      <pane ySplit="8" topLeftCell="A5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7.5546875" style="1" customWidth="1"/>
    <col min="2" max="2" width="63.5546875" style="1" bestFit="1" customWidth="1"/>
    <col min="3" max="3" width="19.77734375" style="1" bestFit="1" customWidth="1"/>
    <col min="4" max="4" width="44.21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+SUM(CFAO[TOTAL MONTANT])</f>
        <v>36365000</v>
      </c>
      <c r="F4" s="41">
        <f>+SUM(CFAO[VERSEMENT])</f>
        <v>24384000</v>
      </c>
      <c r="G4" s="130">
        <f>+E4-F4</f>
        <v>11981000</v>
      </c>
    </row>
    <row r="5" spans="1:9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9" ht="37.200000000000003" thickBot="1" x14ac:dyDescent="0.75">
      <c r="A6" s="131"/>
      <c r="B6" s="168" t="s">
        <v>1038</v>
      </c>
      <c r="C6" s="169"/>
      <c r="D6" s="132"/>
      <c r="E6" s="135"/>
      <c r="F6" s="132"/>
      <c r="G6" s="134"/>
    </row>
    <row r="7" spans="1:9" ht="15" thickBot="1" x14ac:dyDescent="0.35">
      <c r="A7" s="136"/>
      <c r="B7" s="137"/>
      <c r="C7" s="137"/>
      <c r="D7" s="137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45609</v>
      </c>
      <c r="B9" s="13" t="s">
        <v>1187</v>
      </c>
      <c r="C9" s="10">
        <v>10</v>
      </c>
      <c r="D9" s="10">
        <v>45000</v>
      </c>
      <c r="E9" s="7">
        <f>+$I$2+(CFAO[[#This Row],[QUANTITE]]*CFAO[[#This Row],[PRIX UNITAIRE]])</f>
        <v>450000</v>
      </c>
      <c r="F9" s="21"/>
      <c r="G9" s="6">
        <f>+SUM(E$9:$E9)-SUM(F$9:$F9)</f>
        <v>450000</v>
      </c>
    </row>
    <row r="10" spans="1:9" ht="28.8" x14ac:dyDescent="0.55000000000000004">
      <c r="A10" s="12">
        <v>45645</v>
      </c>
      <c r="B10" s="13" t="s">
        <v>1188</v>
      </c>
      <c r="C10" s="10">
        <v>1</v>
      </c>
      <c r="D10" s="10">
        <v>250000</v>
      </c>
      <c r="E10" s="7">
        <f>+$I$2+(CFAO[[#This Row],[QUANTITE]]*CFAO[[#This Row],[PRIX UNITAIRE]])</f>
        <v>250000</v>
      </c>
      <c r="F10" s="21"/>
      <c r="G10" s="6">
        <f>+SUM(E$9:$E10)-SUM(F$9:$F10)</f>
        <v>700000</v>
      </c>
    </row>
    <row r="11" spans="1:9" ht="28.8" x14ac:dyDescent="0.55000000000000004">
      <c r="A11" s="12">
        <v>45645</v>
      </c>
      <c r="B11" s="13" t="s">
        <v>1189</v>
      </c>
      <c r="C11" s="10">
        <v>1</v>
      </c>
      <c r="D11" s="10">
        <v>1800000</v>
      </c>
      <c r="E11" s="7">
        <f>+$I$2+(CFAO[[#This Row],[QUANTITE]]*CFAO[[#This Row],[PRIX UNITAIRE]])</f>
        <v>1800000</v>
      </c>
      <c r="F11" s="14"/>
      <c r="G11" s="6">
        <f>+SUM(E$9:$E11)-SUM(F$9:$F11)</f>
        <v>2500000</v>
      </c>
    </row>
    <row r="12" spans="1:9" ht="28.8" x14ac:dyDescent="0.55000000000000004">
      <c r="A12" s="12">
        <v>45652</v>
      </c>
      <c r="B12" s="13" t="s">
        <v>1190</v>
      </c>
      <c r="C12" s="10">
        <v>1</v>
      </c>
      <c r="D12" s="10">
        <v>250000</v>
      </c>
      <c r="E12" s="7">
        <f>+$I$2+(CFAO[[#This Row],[QUANTITE]]*CFAO[[#This Row],[PRIX UNITAIRE]])</f>
        <v>250000</v>
      </c>
      <c r="F12" s="14"/>
      <c r="G12" s="6">
        <f>+SUM(E$9:$E12)-SUM(F$9:$F12)</f>
        <v>2750000</v>
      </c>
    </row>
    <row r="13" spans="1:9" ht="28.8" x14ac:dyDescent="0.55000000000000004">
      <c r="A13" s="12">
        <v>45685</v>
      </c>
      <c r="B13" s="13" t="s">
        <v>1191</v>
      </c>
      <c r="C13" s="10">
        <v>3</v>
      </c>
      <c r="D13" s="10">
        <v>220000</v>
      </c>
      <c r="E13" s="7">
        <f>+$I$2+(CFAO[[#This Row],[QUANTITE]]*CFAO[[#This Row],[PRIX UNITAIRE]])</f>
        <v>660000</v>
      </c>
      <c r="F13" s="14"/>
      <c r="G13" s="6">
        <f>+SUM(E$9:$E13)-SUM(F$9:$F13)</f>
        <v>3410000</v>
      </c>
    </row>
    <row r="14" spans="1:9" ht="28.8" x14ac:dyDescent="0.55000000000000004">
      <c r="A14" s="12">
        <v>45698</v>
      </c>
      <c r="B14" s="13" t="s">
        <v>1192</v>
      </c>
      <c r="C14" s="10">
        <v>1</v>
      </c>
      <c r="D14" s="10">
        <v>350000</v>
      </c>
      <c r="E14" s="7">
        <f>+$I$2+(CFAO[[#This Row],[QUANTITE]]*CFAO[[#This Row],[PRIX UNITAIRE]])</f>
        <v>350000</v>
      </c>
      <c r="F14" s="14"/>
      <c r="G14" s="6">
        <f>+SUM(E$9:$E14)-SUM(F$9:$F14)</f>
        <v>3760000</v>
      </c>
    </row>
    <row r="15" spans="1:9" ht="28.8" x14ac:dyDescent="0.55000000000000004">
      <c r="A15" s="12">
        <v>45705</v>
      </c>
      <c r="B15" s="13" t="s">
        <v>1193</v>
      </c>
      <c r="C15" s="10">
        <v>1</v>
      </c>
      <c r="D15" s="10">
        <v>150000</v>
      </c>
      <c r="E15" s="7">
        <f>+$I$2+(CFAO[[#This Row],[QUANTITE]]*CFAO[[#This Row],[PRIX UNITAIRE]])</f>
        <v>150000</v>
      </c>
      <c r="F15" s="14"/>
      <c r="G15" s="6">
        <f>+SUM(E$9:$E15)-SUM(F$9:$F15)</f>
        <v>3910000</v>
      </c>
    </row>
    <row r="16" spans="1:9" ht="28.8" x14ac:dyDescent="0.55000000000000004">
      <c r="A16" s="12">
        <v>45706</v>
      </c>
      <c r="B16" s="13" t="s">
        <v>1194</v>
      </c>
      <c r="C16" s="10">
        <v>1</v>
      </c>
      <c r="D16" s="10">
        <v>350000</v>
      </c>
      <c r="E16" s="7">
        <f>+$I$2+(CFAO[[#This Row],[QUANTITE]]*CFAO[[#This Row],[PRIX UNITAIRE]])</f>
        <v>350000</v>
      </c>
      <c r="F16" s="14"/>
      <c r="G16" s="6">
        <f>+SUM(E$9:$E16)-SUM(F$9:$F16)</f>
        <v>4260000</v>
      </c>
    </row>
    <row r="17" spans="1:7" ht="28.8" x14ac:dyDescent="0.55000000000000004">
      <c r="A17" s="12">
        <v>45706</v>
      </c>
      <c r="B17" s="13" t="s">
        <v>1195</v>
      </c>
      <c r="C17" s="10">
        <v>1</v>
      </c>
      <c r="D17" s="10">
        <v>220000</v>
      </c>
      <c r="E17" s="7">
        <f>+$I$2+(CFAO[[#This Row],[QUANTITE]]*CFAO[[#This Row],[PRIX UNITAIRE]])</f>
        <v>220000</v>
      </c>
      <c r="F17" s="14"/>
      <c r="G17" s="6">
        <f>+SUM(E$9:$E17)-SUM(F$9:$F17)</f>
        <v>4480000</v>
      </c>
    </row>
    <row r="18" spans="1:7" ht="28.8" x14ac:dyDescent="0.55000000000000004">
      <c r="A18" s="12">
        <v>45713</v>
      </c>
      <c r="B18" s="13" t="s">
        <v>1196</v>
      </c>
      <c r="C18" s="10">
        <v>6</v>
      </c>
      <c r="D18" s="10">
        <v>350000</v>
      </c>
      <c r="E18" s="7">
        <f>+$I$2+(CFAO[[#This Row],[QUANTITE]]*CFAO[[#This Row],[PRIX UNITAIRE]])</f>
        <v>2100000</v>
      </c>
      <c r="F18" s="14"/>
      <c r="G18" s="6">
        <f>+SUM(E$9:$E18)-SUM(F$9:$F18)</f>
        <v>6580000</v>
      </c>
    </row>
    <row r="19" spans="1:7" ht="28.8" x14ac:dyDescent="0.55000000000000004">
      <c r="A19" s="12">
        <v>45713</v>
      </c>
      <c r="B19" s="13" t="s">
        <v>1197</v>
      </c>
      <c r="C19" s="10">
        <v>6</v>
      </c>
      <c r="D19" s="10">
        <v>245000</v>
      </c>
      <c r="E19" s="7">
        <f>+$I$2+(CFAO[[#This Row],[QUANTITE]]*CFAO[[#This Row],[PRIX UNITAIRE]])</f>
        <v>1470000</v>
      </c>
      <c r="F19" s="14"/>
      <c r="G19" s="6">
        <f>+SUM(E$9:$E19)-SUM(F$9:$F19)</f>
        <v>8050000</v>
      </c>
    </row>
    <row r="20" spans="1:7" ht="28.8" x14ac:dyDescent="0.55000000000000004">
      <c r="A20" s="12">
        <v>45713</v>
      </c>
      <c r="B20" s="13" t="s">
        <v>1198</v>
      </c>
      <c r="C20" s="10">
        <v>1</v>
      </c>
      <c r="D20" s="10">
        <v>180000</v>
      </c>
      <c r="E20" s="7">
        <f>+$I$2+(CFAO[[#This Row],[QUANTITE]]*CFAO[[#This Row],[PRIX UNITAIRE]])</f>
        <v>180000</v>
      </c>
      <c r="F20" s="14"/>
      <c r="G20" s="6">
        <f>+SUM(E$9:$E20)-SUM(F$9:$F20)</f>
        <v>8230000</v>
      </c>
    </row>
    <row r="21" spans="1:7" ht="28.8" x14ac:dyDescent="0.55000000000000004">
      <c r="A21" s="12">
        <v>45713</v>
      </c>
      <c r="B21" s="13" t="s">
        <v>1199</v>
      </c>
      <c r="C21" s="10">
        <v>1</v>
      </c>
      <c r="D21" s="10">
        <v>150000</v>
      </c>
      <c r="E21" s="7">
        <f>+$I$2+(CFAO[[#This Row],[QUANTITE]]*CFAO[[#This Row],[PRIX UNITAIRE]])</f>
        <v>150000</v>
      </c>
      <c r="F21" s="14"/>
      <c r="G21" s="6">
        <f>+SUM(E$9:$E21)-SUM(F$9:$F21)</f>
        <v>8380000</v>
      </c>
    </row>
    <row r="22" spans="1:7" ht="28.8" x14ac:dyDescent="0.55000000000000004">
      <c r="A22" s="12">
        <v>45728</v>
      </c>
      <c r="B22" s="13" t="s">
        <v>1200</v>
      </c>
      <c r="C22" s="10">
        <v>1</v>
      </c>
      <c r="D22" s="10">
        <v>220000</v>
      </c>
      <c r="E22" s="7">
        <f>+$I$2+(CFAO[[#This Row],[QUANTITE]]*CFAO[[#This Row],[PRIX UNITAIRE]])</f>
        <v>220000</v>
      </c>
      <c r="F22" s="14"/>
      <c r="G22" s="6">
        <f>+SUM(E$9:$E22)-SUM(F$9:$F22)</f>
        <v>8600000</v>
      </c>
    </row>
    <row r="23" spans="1:7" ht="28.8" x14ac:dyDescent="0.55000000000000004">
      <c r="A23" s="12">
        <v>45754</v>
      </c>
      <c r="B23" s="13" t="s">
        <v>1201</v>
      </c>
      <c r="C23" s="10">
        <v>4</v>
      </c>
      <c r="D23" s="10">
        <v>350000</v>
      </c>
      <c r="E23" s="7">
        <f>+$I$2+(CFAO[[#This Row],[QUANTITE]]*CFAO[[#This Row],[PRIX UNITAIRE]])</f>
        <v>1400000</v>
      </c>
      <c r="F23" s="14"/>
      <c r="G23" s="6">
        <f>+SUM(E$9:$E23)-SUM(F$9:$F23)</f>
        <v>10000000</v>
      </c>
    </row>
    <row r="24" spans="1:7" ht="28.8" x14ac:dyDescent="0.55000000000000004">
      <c r="A24" s="12">
        <v>45754</v>
      </c>
      <c r="B24" s="13" t="s">
        <v>1202</v>
      </c>
      <c r="C24" s="10">
        <v>4</v>
      </c>
      <c r="D24" s="10">
        <v>245000</v>
      </c>
      <c r="E24" s="7">
        <f>+$I$2+(CFAO[[#This Row],[QUANTITE]]*CFAO[[#This Row],[PRIX UNITAIRE]])</f>
        <v>980000</v>
      </c>
      <c r="F24" s="14"/>
      <c r="G24" s="6">
        <f>+SUM(E$9:$E24)-SUM(F$9:$F24)</f>
        <v>10980000</v>
      </c>
    </row>
    <row r="25" spans="1:7" ht="28.8" x14ac:dyDescent="0.55000000000000004">
      <c r="A25" s="12">
        <v>45755</v>
      </c>
      <c r="B25" s="13" t="s">
        <v>1203</v>
      </c>
      <c r="C25" s="10">
        <v>4</v>
      </c>
      <c r="D25" s="10">
        <v>350000</v>
      </c>
      <c r="E25" s="7">
        <f>+$I$2+(CFAO[[#This Row],[QUANTITE]]*CFAO[[#This Row],[PRIX UNITAIRE]])</f>
        <v>1400000</v>
      </c>
      <c r="F25" s="14"/>
      <c r="G25" s="6">
        <f>+SUM(E$9:$E25)-SUM(F$9:$F25)</f>
        <v>12380000</v>
      </c>
    </row>
    <row r="26" spans="1:7" ht="28.8" x14ac:dyDescent="0.55000000000000004">
      <c r="A26" s="12">
        <v>45755</v>
      </c>
      <c r="B26" s="13" t="s">
        <v>1204</v>
      </c>
      <c r="C26" s="10">
        <v>4</v>
      </c>
      <c r="D26" s="10">
        <v>245000</v>
      </c>
      <c r="E26" s="7">
        <f>+$I$2+(CFAO[[#This Row],[QUANTITE]]*CFAO[[#This Row],[PRIX UNITAIRE]])</f>
        <v>980000</v>
      </c>
      <c r="F26" s="14"/>
      <c r="G26" s="6">
        <f>+SUM(E$9:$E26)-SUM(F$9:$F26)</f>
        <v>13360000</v>
      </c>
    </row>
    <row r="27" spans="1:7" ht="28.8" x14ac:dyDescent="0.55000000000000004">
      <c r="A27" s="12">
        <v>45756</v>
      </c>
      <c r="B27" s="13" t="s">
        <v>1205</v>
      </c>
      <c r="C27" s="10">
        <v>4</v>
      </c>
      <c r="D27" s="10">
        <v>350000</v>
      </c>
      <c r="E27" s="7">
        <f>+$I$2+(CFAO[[#This Row],[QUANTITE]]*CFAO[[#This Row],[PRIX UNITAIRE]])</f>
        <v>1400000</v>
      </c>
      <c r="F27" s="14"/>
      <c r="G27" s="6">
        <f>+SUM(E$9:$E27)-SUM(F$9:$F27)</f>
        <v>14760000</v>
      </c>
    </row>
    <row r="28" spans="1:7" ht="28.8" x14ac:dyDescent="0.55000000000000004">
      <c r="A28" s="12">
        <v>45756</v>
      </c>
      <c r="B28" s="13" t="s">
        <v>1206</v>
      </c>
      <c r="C28" s="10">
        <v>4</v>
      </c>
      <c r="D28" s="10">
        <v>245000</v>
      </c>
      <c r="E28" s="7">
        <f>+$I$2+(CFAO[[#This Row],[QUANTITE]]*CFAO[[#This Row],[PRIX UNITAIRE]])</f>
        <v>980000</v>
      </c>
      <c r="F28" s="14"/>
      <c r="G28" s="6">
        <f>+SUM(E$9:$E28)-SUM(F$9:$F28)</f>
        <v>15740000</v>
      </c>
    </row>
    <row r="29" spans="1:7" ht="28.8" x14ac:dyDescent="0.55000000000000004">
      <c r="A29" s="12">
        <v>45757</v>
      </c>
      <c r="B29" s="13" t="s">
        <v>1207</v>
      </c>
      <c r="C29" s="10">
        <v>2</v>
      </c>
      <c r="D29" s="10">
        <v>245000</v>
      </c>
      <c r="E29" s="7">
        <f>+$I$2+(CFAO[[#This Row],[QUANTITE]]*CFAO[[#This Row],[PRIX UNITAIRE]])</f>
        <v>490000</v>
      </c>
      <c r="F29" s="14"/>
      <c r="G29" s="6">
        <f>+SUM(E$9:$E29)-SUM(F$9:$F29)</f>
        <v>16230000</v>
      </c>
    </row>
    <row r="30" spans="1:7" ht="28.8" x14ac:dyDescent="0.55000000000000004">
      <c r="A30" s="12">
        <v>45757</v>
      </c>
      <c r="B30" s="13" t="s">
        <v>1208</v>
      </c>
      <c r="C30" s="10">
        <v>1</v>
      </c>
      <c r="D30" s="10">
        <v>350000</v>
      </c>
      <c r="E30" s="7">
        <f>+$I$2+(CFAO[[#This Row],[QUANTITE]]*CFAO[[#This Row],[PRIX UNITAIRE]])</f>
        <v>350000</v>
      </c>
      <c r="F30" s="14"/>
      <c r="G30" s="6">
        <f>+SUM(E$9:$E30)-SUM(F$9:$F30)</f>
        <v>16580000</v>
      </c>
    </row>
    <row r="31" spans="1:7" ht="28.8" x14ac:dyDescent="0.55000000000000004">
      <c r="A31" s="12">
        <v>45757</v>
      </c>
      <c r="B31" s="13" t="s">
        <v>1209</v>
      </c>
      <c r="C31" s="10">
        <v>1</v>
      </c>
      <c r="D31" s="10">
        <v>245000</v>
      </c>
      <c r="E31" s="7">
        <f>+$I$2+(CFAO[[#This Row],[QUANTITE]]*CFAO[[#This Row],[PRIX UNITAIRE]])</f>
        <v>245000</v>
      </c>
      <c r="F31" s="14"/>
      <c r="G31" s="6">
        <f>+SUM(E$9:$E31)-SUM(F$9:$F31)</f>
        <v>16825000</v>
      </c>
    </row>
    <row r="32" spans="1:7" ht="28.8" x14ac:dyDescent="0.55000000000000004">
      <c r="A32" s="12">
        <v>45758</v>
      </c>
      <c r="B32" s="13" t="s">
        <v>1210</v>
      </c>
      <c r="C32" s="10">
        <v>1</v>
      </c>
      <c r="D32" s="10">
        <v>350000</v>
      </c>
      <c r="E32" s="7">
        <f>+$I$2+(CFAO[[#This Row],[QUANTITE]]*CFAO[[#This Row],[PRIX UNITAIRE]])</f>
        <v>350000</v>
      </c>
      <c r="F32" s="14"/>
      <c r="G32" s="6">
        <f>+SUM(E$9:$E32)-SUM(F$9:$F32)</f>
        <v>17175000</v>
      </c>
    </row>
    <row r="33" spans="1:7" ht="28.8" x14ac:dyDescent="0.55000000000000004">
      <c r="A33" s="12">
        <v>45772</v>
      </c>
      <c r="B33" s="13" t="s">
        <v>1211</v>
      </c>
      <c r="C33" s="10">
        <v>1</v>
      </c>
      <c r="D33" s="10">
        <v>1300000</v>
      </c>
      <c r="E33" s="7">
        <f>+$I$2+(CFAO[[#This Row],[QUANTITE]]*CFAO[[#This Row],[PRIX UNITAIRE]])</f>
        <v>1300000</v>
      </c>
      <c r="F33" s="14"/>
      <c r="G33" s="6">
        <f>+SUM(E$9:$E33)-SUM(F$9:$F33)</f>
        <v>18475000</v>
      </c>
    </row>
    <row r="34" spans="1:7" ht="28.8" x14ac:dyDescent="0.55000000000000004">
      <c r="A34" s="12">
        <v>45772</v>
      </c>
      <c r="B34" s="13" t="s">
        <v>1212</v>
      </c>
      <c r="C34" s="10">
        <v>1</v>
      </c>
      <c r="D34" s="10">
        <v>250000</v>
      </c>
      <c r="E34" s="7">
        <f>+$I$2+(CFAO[[#This Row],[QUANTITE]]*CFAO[[#This Row],[PRIX UNITAIRE]])</f>
        <v>250000</v>
      </c>
      <c r="F34" s="14"/>
      <c r="G34" s="6">
        <f>+SUM(E$9:$E34)-SUM(F$9:$F34)</f>
        <v>18725000</v>
      </c>
    </row>
    <row r="35" spans="1:7" ht="28.8" x14ac:dyDescent="0.55000000000000004">
      <c r="A35" s="12">
        <v>45793</v>
      </c>
      <c r="B35" s="13" t="s">
        <v>1213</v>
      </c>
      <c r="C35" s="10">
        <v>1</v>
      </c>
      <c r="D35" s="10">
        <v>0</v>
      </c>
      <c r="E35" s="7">
        <f>+$I$2+(CFAO[[#This Row],[QUANTITE]]*CFAO[[#This Row],[PRIX UNITAIRE]])</f>
        <v>0</v>
      </c>
      <c r="F35" s="14">
        <v>12811000</v>
      </c>
      <c r="G35" s="6">
        <f>+SUM(E$9:$E35)-SUM(F$9:$F35)</f>
        <v>5914000</v>
      </c>
    </row>
    <row r="36" spans="1:7" ht="28.8" x14ac:dyDescent="0.55000000000000004">
      <c r="A36" s="12">
        <v>45804</v>
      </c>
      <c r="B36" s="13" t="s">
        <v>2726</v>
      </c>
      <c r="C36" s="10">
        <v>4</v>
      </c>
      <c r="D36" s="10">
        <v>62500</v>
      </c>
      <c r="E36" s="7">
        <f>+$I$2+(CFAO[[#This Row],[QUANTITE]]*CFAO[[#This Row],[PRIX UNITAIRE]])</f>
        <v>250000</v>
      </c>
      <c r="F36" s="14"/>
      <c r="G36" s="6">
        <f>+SUM(E$9:$E36)-SUM(F$9:$F36)</f>
        <v>6164000</v>
      </c>
    </row>
    <row r="37" spans="1:7" ht="28.8" x14ac:dyDescent="0.55000000000000004">
      <c r="A37" s="12">
        <v>45821</v>
      </c>
      <c r="B37" s="13" t="s">
        <v>2727</v>
      </c>
      <c r="C37" s="10">
        <v>1</v>
      </c>
      <c r="D37" s="10">
        <v>250000</v>
      </c>
      <c r="E37" s="7">
        <f>+$I$2+(CFAO[[#This Row],[QUANTITE]]*CFAO[[#This Row],[PRIX UNITAIRE]])</f>
        <v>250000</v>
      </c>
      <c r="F37" s="14"/>
      <c r="G37" s="6">
        <f>+SUM(E$9:$E37)-SUM(F$9:$F37)</f>
        <v>6414000</v>
      </c>
    </row>
    <row r="38" spans="1:7" ht="28.8" x14ac:dyDescent="0.55000000000000004">
      <c r="A38" s="12">
        <v>45821</v>
      </c>
      <c r="B38" s="13" t="s">
        <v>2728</v>
      </c>
      <c r="C38" s="10">
        <v>1</v>
      </c>
      <c r="D38" s="10">
        <v>250000</v>
      </c>
      <c r="E38" s="7">
        <f>+$I$2+(CFAO[[#This Row],[QUANTITE]]*CFAO[[#This Row],[PRIX UNITAIRE]])</f>
        <v>250000</v>
      </c>
      <c r="F38" s="14"/>
      <c r="G38" s="6">
        <f>+SUM(E$9:$E38)-SUM(F$9:$F38)</f>
        <v>6664000</v>
      </c>
    </row>
    <row r="39" spans="1:7" ht="28.8" x14ac:dyDescent="0.55000000000000004">
      <c r="A39" s="12">
        <v>45821</v>
      </c>
      <c r="B39" s="13" t="s">
        <v>2729</v>
      </c>
      <c r="C39" s="10">
        <v>1</v>
      </c>
      <c r="D39" s="10">
        <v>180000</v>
      </c>
      <c r="E39" s="7">
        <f>+$I$2+(CFAO[[#This Row],[QUANTITE]]*CFAO[[#This Row],[PRIX UNITAIRE]])</f>
        <v>180000</v>
      </c>
      <c r="F39" s="14"/>
      <c r="G39" s="6">
        <f>+SUM(E$9:$E39)-SUM(F$9:$F39)</f>
        <v>6844000</v>
      </c>
    </row>
    <row r="40" spans="1:7" ht="28.8" x14ac:dyDescent="0.55000000000000004">
      <c r="A40" s="12">
        <v>45861</v>
      </c>
      <c r="B40" s="13" t="s">
        <v>2728</v>
      </c>
      <c r="C40" s="10">
        <v>1</v>
      </c>
      <c r="D40" s="10">
        <v>250000</v>
      </c>
      <c r="E40" s="7">
        <f>+$I$2+(CFAO[[#This Row],[QUANTITE]]*CFAO[[#This Row],[PRIX UNITAIRE]])</f>
        <v>250000</v>
      </c>
      <c r="F40" s="14"/>
      <c r="G40" s="6">
        <f>+SUM(E$9:$E40)-SUM(F$9:$F40)</f>
        <v>7094000</v>
      </c>
    </row>
    <row r="41" spans="1:7" ht="28.8" x14ac:dyDescent="0.55000000000000004">
      <c r="A41" s="12">
        <v>45861</v>
      </c>
      <c r="B41" s="13" t="s">
        <v>2773</v>
      </c>
      <c r="C41" s="10">
        <v>1</v>
      </c>
      <c r="D41" s="10">
        <v>1300000</v>
      </c>
      <c r="E41" s="7">
        <f>+$I$2+(CFAO[[#This Row],[QUANTITE]]*CFAO[[#This Row],[PRIX UNITAIRE]])</f>
        <v>1300000</v>
      </c>
      <c r="F41" s="14"/>
      <c r="G41" s="6">
        <f>+SUM(E$9:$E41)-SUM(F$9:$F41)</f>
        <v>8394000</v>
      </c>
    </row>
    <row r="42" spans="1:7" ht="28.8" x14ac:dyDescent="0.55000000000000004">
      <c r="A42" s="12">
        <v>45861</v>
      </c>
      <c r="B42" s="13" t="s">
        <v>2774</v>
      </c>
      <c r="C42" s="10">
        <v>1</v>
      </c>
      <c r="D42" s="10">
        <v>650000</v>
      </c>
      <c r="E42" s="7">
        <f>+$I$2+(CFAO[[#This Row],[QUANTITE]]*CFAO[[#This Row],[PRIX UNITAIRE]])</f>
        <v>650000</v>
      </c>
      <c r="F42" s="14"/>
      <c r="G42" s="6">
        <f>+SUM(E$9:$E42)-SUM(F$9:$F42)</f>
        <v>9044000</v>
      </c>
    </row>
    <row r="43" spans="1:7" ht="28.8" x14ac:dyDescent="0.55000000000000004">
      <c r="A43" s="12">
        <v>45861</v>
      </c>
      <c r="B43" s="13" t="s">
        <v>2775</v>
      </c>
      <c r="C43" s="10">
        <v>1</v>
      </c>
      <c r="D43" s="10">
        <v>150000</v>
      </c>
      <c r="E43" s="7">
        <f>+$I$2+(CFAO[[#This Row],[QUANTITE]]*CFAO[[#This Row],[PRIX UNITAIRE]])</f>
        <v>150000</v>
      </c>
      <c r="F43" s="14"/>
      <c r="G43" s="6">
        <f>+SUM(E$9:$E43)-SUM(F$9:$F43)</f>
        <v>9194000</v>
      </c>
    </row>
    <row r="44" spans="1:7" ht="28.8" x14ac:dyDescent="0.55000000000000004">
      <c r="A44" s="12">
        <v>45861</v>
      </c>
      <c r="B44" s="13" t="s">
        <v>2776</v>
      </c>
      <c r="C44" s="10">
        <v>1</v>
      </c>
      <c r="D44" s="10">
        <v>150000</v>
      </c>
      <c r="E44" s="7">
        <f>+$I$2+(CFAO[[#This Row],[QUANTITE]]*CFAO[[#This Row],[PRIX UNITAIRE]])</f>
        <v>150000</v>
      </c>
      <c r="F44" s="14"/>
      <c r="G44" s="6">
        <f>+SUM(E$9:$E44)-SUM(F$9:$F44)</f>
        <v>9344000</v>
      </c>
    </row>
    <row r="45" spans="1:7" ht="28.8" x14ac:dyDescent="0.55000000000000004">
      <c r="A45" s="12">
        <v>45866</v>
      </c>
      <c r="B45" s="13" t="s">
        <v>2787</v>
      </c>
      <c r="C45" s="10">
        <v>1</v>
      </c>
      <c r="D45" s="10">
        <v>250000</v>
      </c>
      <c r="E45" s="7">
        <f>+$I$2+(CFAO[[#This Row],[QUANTITE]]*CFAO[[#This Row],[PRIX UNITAIRE]])</f>
        <v>250000</v>
      </c>
      <c r="F45" s="14"/>
      <c r="G45" s="6">
        <f>+SUM(E$9:$E45)-SUM(F$9:$F45)</f>
        <v>9594000</v>
      </c>
    </row>
    <row r="46" spans="1:7" ht="28.8" x14ac:dyDescent="0.55000000000000004">
      <c r="A46" s="12">
        <v>45897</v>
      </c>
      <c r="B46" s="13" t="s">
        <v>2974</v>
      </c>
      <c r="C46" s="10">
        <v>1</v>
      </c>
      <c r="D46" s="10">
        <v>250000</v>
      </c>
      <c r="E46" s="7">
        <f>+$I$2+(CFAO[[#This Row],[QUANTITE]]*CFAO[[#This Row],[PRIX UNITAIRE]])</f>
        <v>250000</v>
      </c>
      <c r="F46" s="14"/>
      <c r="G46" s="6">
        <f>+SUM(E$9:$E46)-SUM(F$9:$F46)</f>
        <v>9844000</v>
      </c>
    </row>
    <row r="47" spans="1:7" ht="28.8" x14ac:dyDescent="0.55000000000000004">
      <c r="A47" s="12">
        <v>45897</v>
      </c>
      <c r="B47" s="13" t="s">
        <v>2728</v>
      </c>
      <c r="C47" s="10">
        <v>1</v>
      </c>
      <c r="D47" s="10">
        <v>250000</v>
      </c>
      <c r="E47" s="7">
        <f>+$I$2+(CFAO[[#This Row],[QUANTITE]]*CFAO[[#This Row],[PRIX UNITAIRE]])</f>
        <v>250000</v>
      </c>
      <c r="F47" s="14"/>
      <c r="G47" s="6">
        <f>+SUM(E$9:$E47)-SUM(F$9:$F47)</f>
        <v>10094000</v>
      </c>
    </row>
    <row r="48" spans="1:7" ht="28.8" x14ac:dyDescent="0.55000000000000004">
      <c r="A48" s="12">
        <v>45897</v>
      </c>
      <c r="B48" s="13" t="s">
        <v>2773</v>
      </c>
      <c r="C48" s="10">
        <v>1</v>
      </c>
      <c r="D48" s="10">
        <v>1300000</v>
      </c>
      <c r="E48" s="7">
        <f>+$I$2+(CFAO[[#This Row],[QUANTITE]]*CFAO[[#This Row],[PRIX UNITAIRE]])</f>
        <v>1300000</v>
      </c>
      <c r="F48" s="14"/>
      <c r="G48" s="6">
        <f>+SUM(E$9:$E48)-SUM(F$9:$F48)</f>
        <v>11394000</v>
      </c>
    </row>
    <row r="49" spans="1:7" ht="28.8" x14ac:dyDescent="0.55000000000000004">
      <c r="A49" s="12">
        <v>45897</v>
      </c>
      <c r="B49" s="13" t="s">
        <v>2975</v>
      </c>
      <c r="C49" s="10">
        <v>1</v>
      </c>
      <c r="D49" s="10">
        <v>650000</v>
      </c>
      <c r="E49" s="7">
        <f>+$I$2+(CFAO[[#This Row],[QUANTITE]]*CFAO[[#This Row],[PRIX UNITAIRE]])</f>
        <v>650000</v>
      </c>
      <c r="F49" s="14"/>
      <c r="G49" s="6">
        <f>+SUM(E$9:$E49)-SUM(F$9:$F49)</f>
        <v>12044000</v>
      </c>
    </row>
    <row r="50" spans="1:7" ht="28.8" x14ac:dyDescent="0.55000000000000004">
      <c r="A50" s="12">
        <v>45901</v>
      </c>
      <c r="B50" s="13" t="s">
        <v>2994</v>
      </c>
      <c r="C50" s="10">
        <v>1</v>
      </c>
      <c r="D50" s="10">
        <v>1300000</v>
      </c>
      <c r="E50" s="7">
        <f>+$I$2+(CFAO[[#This Row],[QUANTITE]]*CFAO[[#This Row],[PRIX UNITAIRE]])</f>
        <v>1300000</v>
      </c>
      <c r="F50" s="14"/>
      <c r="G50" s="6">
        <f>+SUM(E$9:$E50)-SUM(F$9:$F50)</f>
        <v>13344000</v>
      </c>
    </row>
    <row r="51" spans="1:7" ht="28.8" x14ac:dyDescent="0.55000000000000004">
      <c r="A51" s="12">
        <v>45901</v>
      </c>
      <c r="B51" s="13" t="s">
        <v>2975</v>
      </c>
      <c r="C51" s="10">
        <v>1</v>
      </c>
      <c r="D51" s="10">
        <v>650000</v>
      </c>
      <c r="E51" s="7">
        <f>+$I$2+(CFAO[[#This Row],[QUANTITE]]*CFAO[[#This Row],[PRIX UNITAIRE]])</f>
        <v>650000</v>
      </c>
      <c r="F51" s="14"/>
      <c r="G51" s="6">
        <f>+SUM(E$9:$E51)-SUM(F$9:$F51)</f>
        <v>13994000</v>
      </c>
    </row>
    <row r="52" spans="1:7" ht="28.8" x14ac:dyDescent="0.55000000000000004">
      <c r="A52" s="12">
        <v>45915</v>
      </c>
      <c r="B52" s="13" t="s">
        <v>1244</v>
      </c>
      <c r="C52" s="10"/>
      <c r="D52" s="10"/>
      <c r="E52" s="7">
        <f>+$I$2+(CFAO[[#This Row],[QUANTITE]]*CFAO[[#This Row],[PRIX UNITAIRE]])</f>
        <v>0</v>
      </c>
      <c r="F52" s="14">
        <v>6016400</v>
      </c>
      <c r="G52" s="6">
        <f>+SUM(E$9:$E52)-SUM(F$9:$F52)</f>
        <v>7977600</v>
      </c>
    </row>
    <row r="53" spans="1:7" ht="28.8" x14ac:dyDescent="0.55000000000000004">
      <c r="A53" s="12">
        <v>45917</v>
      </c>
      <c r="B53" s="13" t="s">
        <v>3045</v>
      </c>
      <c r="C53" s="10">
        <v>1</v>
      </c>
      <c r="D53" s="10">
        <v>250000</v>
      </c>
      <c r="E53" s="7">
        <f>+$I$2+(CFAO[[#This Row],[QUANTITE]]*CFAO[[#This Row],[PRIX UNITAIRE]])</f>
        <v>250000</v>
      </c>
      <c r="F53" s="14"/>
      <c r="G53" s="6">
        <f>+SUM(E$9:$E53)-SUM(F$9:$F53)</f>
        <v>8227600</v>
      </c>
    </row>
    <row r="54" spans="1:7" ht="28.8" x14ac:dyDescent="0.55000000000000004">
      <c r="A54" s="12">
        <v>45917</v>
      </c>
      <c r="B54" s="13" t="s">
        <v>3046</v>
      </c>
      <c r="C54" s="10">
        <v>1</v>
      </c>
      <c r="D54" s="10">
        <v>650000</v>
      </c>
      <c r="E54" s="7">
        <f>+$I$2+(CFAO[[#This Row],[QUANTITE]]*CFAO[[#This Row],[PRIX UNITAIRE]])</f>
        <v>650000</v>
      </c>
      <c r="F54" s="14"/>
      <c r="G54" s="6">
        <f>+SUM(E$9:$E54)-SUM(F$9:$F54)</f>
        <v>8877600</v>
      </c>
    </row>
    <row r="55" spans="1:7" ht="28.8" x14ac:dyDescent="0.55000000000000004">
      <c r="A55" s="12">
        <v>45917</v>
      </c>
      <c r="B55" s="13" t="s">
        <v>3047</v>
      </c>
      <c r="C55" s="10">
        <v>1</v>
      </c>
      <c r="D55" s="10">
        <v>1300000</v>
      </c>
      <c r="E55" s="7">
        <f>+$I$2+(CFAO[[#This Row],[QUANTITE]]*CFAO[[#This Row],[PRIX UNITAIRE]])</f>
        <v>1300000</v>
      </c>
      <c r="F55" s="14"/>
      <c r="G55" s="6">
        <f>+SUM(E$9:$E55)-SUM(F$9:$F55)</f>
        <v>10177600</v>
      </c>
    </row>
    <row r="56" spans="1:7" ht="28.8" x14ac:dyDescent="0.55000000000000004">
      <c r="A56" s="12">
        <v>45919</v>
      </c>
      <c r="B56" s="13" t="s">
        <v>3064</v>
      </c>
      <c r="C56" s="10">
        <v>1</v>
      </c>
      <c r="D56" s="10">
        <v>350000</v>
      </c>
      <c r="E56" s="7">
        <f>+$I$2+(CFAO[[#This Row],[QUANTITE]]*CFAO[[#This Row],[PRIX UNITAIRE]])</f>
        <v>350000</v>
      </c>
      <c r="F56" s="14"/>
      <c r="G56" s="6">
        <f>+SUM(E$9:$E56)-SUM(F$9:$F56)</f>
        <v>10527600</v>
      </c>
    </row>
    <row r="57" spans="1:7" ht="28.8" x14ac:dyDescent="0.55000000000000004">
      <c r="A57" s="12">
        <v>45925</v>
      </c>
      <c r="B57" s="13" t="s">
        <v>3111</v>
      </c>
      <c r="C57" s="10">
        <v>1</v>
      </c>
      <c r="D57" s="10">
        <v>350000</v>
      </c>
      <c r="E57" s="7">
        <f>+$I$2+(CFAO[[#This Row],[QUANTITE]]*CFAO[[#This Row],[PRIX UNITAIRE]])</f>
        <v>350000</v>
      </c>
      <c r="F57" s="14"/>
      <c r="G57" s="6">
        <f>+SUM(E$9:$E57)-SUM(F$9:$F57)</f>
        <v>10877600</v>
      </c>
    </row>
    <row r="58" spans="1:7" ht="28.8" x14ac:dyDescent="0.55000000000000004">
      <c r="A58" s="12">
        <v>45973</v>
      </c>
      <c r="B58" s="13" t="s">
        <v>3221</v>
      </c>
      <c r="C58" s="10">
        <v>1</v>
      </c>
      <c r="D58" s="10">
        <v>250000</v>
      </c>
      <c r="E58" s="7">
        <f>+$I$2+(CFAO[[#This Row],[QUANTITE]]*CFAO[[#This Row],[PRIX UNITAIRE]])</f>
        <v>250000</v>
      </c>
      <c r="F58" s="14"/>
      <c r="G58" s="6">
        <f>+SUM(E$9:$E58)-SUM(F$9:$F58)</f>
        <v>11127600</v>
      </c>
    </row>
    <row r="59" spans="1:7" ht="28.8" x14ac:dyDescent="0.55000000000000004">
      <c r="A59" s="12">
        <v>45973</v>
      </c>
      <c r="B59" s="13" t="s">
        <v>3222</v>
      </c>
      <c r="C59" s="10">
        <v>1</v>
      </c>
      <c r="D59" s="10">
        <v>1300000</v>
      </c>
      <c r="E59" s="7">
        <f>+$I$2+(CFAO[[#This Row],[QUANTITE]]*CFAO[[#This Row],[PRIX UNITAIRE]])</f>
        <v>1300000</v>
      </c>
      <c r="F59" s="14"/>
      <c r="G59" s="6">
        <f>+SUM(E$9:$E59)-SUM(F$9:$F59)</f>
        <v>12427600</v>
      </c>
    </row>
    <row r="60" spans="1:7" ht="28.8" x14ac:dyDescent="0.55000000000000004">
      <c r="A60" s="12">
        <v>45973</v>
      </c>
      <c r="B60" s="13" t="s">
        <v>3223</v>
      </c>
      <c r="C60" s="10">
        <v>1</v>
      </c>
      <c r="D60" s="10">
        <v>220000</v>
      </c>
      <c r="E60" s="7">
        <f>+$I$2+(CFAO[[#This Row],[QUANTITE]]*CFAO[[#This Row],[PRIX UNITAIRE]])</f>
        <v>220000</v>
      </c>
      <c r="F60" s="14"/>
      <c r="G60" s="6">
        <f>+SUM(E$9:$E60)-SUM(F$9:$F60)</f>
        <v>12647600</v>
      </c>
    </row>
    <row r="61" spans="1:7" ht="28.8" x14ac:dyDescent="0.55000000000000004">
      <c r="A61" s="12">
        <v>45975</v>
      </c>
      <c r="B61" s="13" t="s">
        <v>3262</v>
      </c>
      <c r="C61" s="10">
        <v>1</v>
      </c>
      <c r="D61" s="10">
        <v>250000</v>
      </c>
      <c r="E61" s="7">
        <f>+$I$2+(CFAO[[#This Row],[QUANTITE]]*CFAO[[#This Row],[PRIX UNITAIRE]])</f>
        <v>250000</v>
      </c>
      <c r="F61" s="14"/>
      <c r="G61" s="6">
        <f>+SUM(E$9:$E61)-SUM(F$9:$F61)</f>
        <v>12897600</v>
      </c>
    </row>
    <row r="62" spans="1:7" ht="28.8" x14ac:dyDescent="0.55000000000000004">
      <c r="A62" s="12">
        <v>45975</v>
      </c>
      <c r="B62" s="13" t="s">
        <v>3263</v>
      </c>
      <c r="C62" s="10">
        <v>1</v>
      </c>
      <c r="D62" s="10">
        <v>220000</v>
      </c>
      <c r="E62" s="7">
        <f>+$I$2+(CFAO[[#This Row],[QUANTITE]]*CFAO[[#This Row],[PRIX UNITAIRE]])</f>
        <v>220000</v>
      </c>
      <c r="F62" s="14"/>
      <c r="G62" s="6">
        <f>+SUM(E$9:$E62)-SUM(F$9:$F62)</f>
        <v>13117600</v>
      </c>
    </row>
    <row r="63" spans="1:7" ht="28.8" x14ac:dyDescent="0.55000000000000004">
      <c r="A63" s="12">
        <v>45975</v>
      </c>
      <c r="B63" s="13" t="s">
        <v>3264</v>
      </c>
      <c r="C63" s="10">
        <v>1</v>
      </c>
      <c r="D63" s="10">
        <v>180000</v>
      </c>
      <c r="E63" s="7">
        <f>+$I$2+(CFAO[[#This Row],[QUANTITE]]*CFAO[[#This Row],[PRIX UNITAIRE]])</f>
        <v>180000</v>
      </c>
      <c r="F63" s="14"/>
      <c r="G63" s="6">
        <f>+SUM(E$9:$E63)-SUM(F$9:$F63)</f>
        <v>13297600</v>
      </c>
    </row>
    <row r="64" spans="1:7" ht="28.8" x14ac:dyDescent="0.55000000000000004">
      <c r="A64" s="12">
        <v>45993</v>
      </c>
      <c r="B64" s="13" t="s">
        <v>3269</v>
      </c>
      <c r="C64" s="10">
        <v>1</v>
      </c>
      <c r="D64" s="10">
        <v>0</v>
      </c>
      <c r="E64" s="7">
        <f>+$I$2+(CFAO[[#This Row],[QUANTITE]]*CFAO[[#This Row],[PRIX UNITAIRE]])</f>
        <v>0</v>
      </c>
      <c r="F64" s="14">
        <v>5556600</v>
      </c>
      <c r="G64" s="6">
        <f>+SUM(E$9:$E64)-SUM(F$9:$F64)</f>
        <v>7741000</v>
      </c>
    </row>
    <row r="65" spans="1:7" ht="28.8" x14ac:dyDescent="0.55000000000000004">
      <c r="A65" s="12">
        <v>46034</v>
      </c>
      <c r="B65" s="13" t="s">
        <v>3361</v>
      </c>
      <c r="C65" s="10">
        <v>1</v>
      </c>
      <c r="D65" s="10">
        <v>1300000</v>
      </c>
      <c r="E65" s="7">
        <f>+$I$2+(CFAO[[#This Row],[QUANTITE]]*CFAO[[#This Row],[PRIX UNITAIRE]])</f>
        <v>1300000</v>
      </c>
      <c r="F65" s="14"/>
      <c r="G65" s="6">
        <f>+SUM(E$9:$E65)-SUM(F$9:$F65)</f>
        <v>9041000</v>
      </c>
    </row>
    <row r="66" spans="1:7" ht="28.8" x14ac:dyDescent="0.55000000000000004">
      <c r="A66" s="12">
        <v>46034</v>
      </c>
      <c r="B66" s="13" t="s">
        <v>3362</v>
      </c>
      <c r="C66" s="10">
        <v>1</v>
      </c>
      <c r="D66" s="10">
        <v>250000</v>
      </c>
      <c r="E66" s="7">
        <f>+$I$2+(CFAO[[#This Row],[QUANTITE]]*CFAO[[#This Row],[PRIX UNITAIRE]])</f>
        <v>250000</v>
      </c>
      <c r="F66" s="14"/>
      <c r="G66" s="6">
        <f>+SUM(E$9:$E66)-SUM(F$9:$F66)</f>
        <v>9291000</v>
      </c>
    </row>
    <row r="67" spans="1:7" ht="28.8" x14ac:dyDescent="0.55000000000000004">
      <c r="A67" s="12">
        <v>46057</v>
      </c>
      <c r="B67" s="13" t="s">
        <v>3409</v>
      </c>
      <c r="C67" s="10">
        <v>1</v>
      </c>
      <c r="D67" s="10">
        <v>350000</v>
      </c>
      <c r="E67" s="7">
        <f>+$I$2+(CFAO[[#This Row],[QUANTITE]]*CFAO[[#This Row],[PRIX UNITAIRE]])</f>
        <v>350000</v>
      </c>
      <c r="F67" s="14"/>
      <c r="G67" s="6">
        <f>+SUM(E$9:$E67)-SUM(F$9:$F67)</f>
        <v>9641000</v>
      </c>
    </row>
    <row r="68" spans="1:7" ht="28.8" x14ac:dyDescent="0.55000000000000004">
      <c r="A68" s="12">
        <v>46064</v>
      </c>
      <c r="B68" s="13" t="s">
        <v>3431</v>
      </c>
      <c r="C68" s="10">
        <v>1</v>
      </c>
      <c r="D68" s="10">
        <v>220000</v>
      </c>
      <c r="E68" s="7">
        <f>+$I$2+(CFAO[[#This Row],[QUANTITE]]*CFAO[[#This Row],[PRIX UNITAIRE]])</f>
        <v>220000</v>
      </c>
      <c r="F68" s="14"/>
      <c r="G68" s="6">
        <f>+SUM(E$9:$E68)-SUM(F$9:$F68)</f>
        <v>9861000</v>
      </c>
    </row>
    <row r="69" spans="1:7" ht="28.8" x14ac:dyDescent="0.55000000000000004">
      <c r="A69" s="12">
        <v>46064</v>
      </c>
      <c r="B69" s="13" t="s">
        <v>3432</v>
      </c>
      <c r="C69" s="10">
        <v>1</v>
      </c>
      <c r="D69" s="10">
        <v>350000</v>
      </c>
      <c r="E69" s="7">
        <f>+$I$2+(CFAO[[#This Row],[QUANTITE]]*CFAO[[#This Row],[PRIX UNITAIRE]])</f>
        <v>350000</v>
      </c>
      <c r="F69" s="14"/>
      <c r="G69" s="6">
        <f>+SUM(E$9:$E69)-SUM(F$9:$F69)</f>
        <v>10211000</v>
      </c>
    </row>
    <row r="70" spans="1:7" ht="28.8" x14ac:dyDescent="0.55000000000000004">
      <c r="A70" s="12">
        <v>46064</v>
      </c>
      <c r="B70" s="13" t="s">
        <v>3433</v>
      </c>
      <c r="C70" s="10">
        <v>1</v>
      </c>
      <c r="D70" s="10">
        <v>250000</v>
      </c>
      <c r="E70" s="7">
        <f>+$I$2+(CFAO[[#This Row],[QUANTITE]]*CFAO[[#This Row],[PRIX UNITAIRE]])</f>
        <v>250000</v>
      </c>
      <c r="F70" s="14"/>
      <c r="G70" s="6">
        <f>+SUM(E$9:$E70)-SUM(F$9:$F70)</f>
        <v>10461000</v>
      </c>
    </row>
    <row r="71" spans="1:7" ht="28.8" x14ac:dyDescent="0.55000000000000004">
      <c r="A71" s="12">
        <v>46064</v>
      </c>
      <c r="B71" s="13" t="s">
        <v>3434</v>
      </c>
      <c r="C71" s="10">
        <v>1</v>
      </c>
      <c r="D71" s="10">
        <v>220000</v>
      </c>
      <c r="E71" s="7">
        <f>+$I$2+(CFAO[[#This Row],[QUANTITE]]*CFAO[[#This Row],[PRIX UNITAIRE]])</f>
        <v>220000</v>
      </c>
      <c r="F71" s="14"/>
      <c r="G71" s="6">
        <f>+SUM(E$9:$E71)-SUM(F$9:$F71)</f>
        <v>10681000</v>
      </c>
    </row>
    <row r="72" spans="1:7" ht="28.8" x14ac:dyDescent="0.55000000000000004">
      <c r="A72" s="12">
        <v>46077</v>
      </c>
      <c r="B72" s="13" t="s">
        <v>3477</v>
      </c>
      <c r="C72" s="10">
        <v>1</v>
      </c>
      <c r="D72" s="10">
        <v>1300000</v>
      </c>
      <c r="E72" s="7">
        <f>+$I$2+(CFAO[[#This Row],[QUANTITE]]*CFAO[[#This Row],[PRIX UNITAIRE]])</f>
        <v>1300000</v>
      </c>
      <c r="F72" s="14"/>
      <c r="G72" s="6">
        <f>+SUM(E$9:$E72)-SUM(F$9:$F72)</f>
        <v>11981000</v>
      </c>
    </row>
    <row r="73" spans="1:7" ht="28.8" x14ac:dyDescent="0.55000000000000004">
      <c r="A73" s="12"/>
      <c r="B73" s="13"/>
      <c r="C73" s="10"/>
      <c r="D73" s="10"/>
      <c r="E73" s="7">
        <f>+$I$2+(CFAO[[#This Row],[QUANTITE]]*CFAO[[#This Row],[PRIX UNITAIRE]])</f>
        <v>0</v>
      </c>
      <c r="F73" s="14"/>
      <c r="G73" s="6">
        <f>+SUM(E$9:$E73)-SUM(F$9:$F73)</f>
        <v>11981000</v>
      </c>
    </row>
    <row r="74" spans="1:7" ht="28.8" x14ac:dyDescent="0.55000000000000004">
      <c r="A74" s="12"/>
      <c r="B74" s="13"/>
      <c r="C74" s="10"/>
      <c r="D74" s="10"/>
      <c r="E74" s="7">
        <f>+$I$2+(CFAO[[#This Row],[QUANTITE]]*CFAO[[#This Row],[PRIX UNITAIRE]])</f>
        <v>0</v>
      </c>
      <c r="F74" s="14"/>
      <c r="G74" s="6">
        <f>+SUM(E$9:$E74)-SUM(F$9:$F74)</f>
        <v>11981000</v>
      </c>
    </row>
    <row r="75" spans="1:7" ht="28.8" x14ac:dyDescent="0.55000000000000004">
      <c r="A75" s="12"/>
      <c r="B75" s="13"/>
      <c r="C75" s="10"/>
      <c r="D75" s="10"/>
      <c r="E75" s="7">
        <f>+$I$2+(CFAO[[#This Row],[QUANTITE]]*CFAO[[#This Row],[PRIX UNITAIRE]])</f>
        <v>0</v>
      </c>
      <c r="F75" s="14"/>
      <c r="G75" s="6">
        <f>+SUM(E$9:$E75)-SUM(F$9:$F75)</f>
        <v>11981000</v>
      </c>
    </row>
    <row r="76" spans="1:7" ht="28.8" x14ac:dyDescent="0.55000000000000004">
      <c r="A76" s="12"/>
      <c r="B76" s="13"/>
      <c r="C76" s="10"/>
      <c r="D76" s="10"/>
      <c r="E76" s="7">
        <f>+$I$2+(CFAO[[#This Row],[QUANTITE]]*CFAO[[#This Row],[PRIX UNITAIRE]])</f>
        <v>0</v>
      </c>
      <c r="F76" s="14"/>
      <c r="G76" s="6">
        <f>+SUM(E$9:$E76)-SUM(F$9:$F76)</f>
        <v>11981000</v>
      </c>
    </row>
    <row r="77" spans="1:7" ht="28.8" x14ac:dyDescent="0.55000000000000004">
      <c r="A77" s="12"/>
      <c r="B77" s="13"/>
      <c r="C77" s="10"/>
      <c r="D77" s="10"/>
      <c r="E77" s="7">
        <f>+$I$2+(CFAO[[#This Row],[QUANTITE]]*CFAO[[#This Row],[PRIX UNITAIRE]])</f>
        <v>0</v>
      </c>
      <c r="F77" s="14"/>
      <c r="G77" s="6">
        <f>+SUM(E$9:$E77)-SUM(F$9:$F77)</f>
        <v>11981000</v>
      </c>
    </row>
    <row r="78" spans="1:7" ht="28.8" x14ac:dyDescent="0.55000000000000004">
      <c r="A78" s="12"/>
      <c r="B78" s="13"/>
      <c r="C78" s="10"/>
      <c r="D78" s="10"/>
      <c r="E78" s="7">
        <f>+$I$2+(CFAO[[#This Row],[QUANTITE]]*CFAO[[#This Row],[PRIX UNITAIRE]])</f>
        <v>0</v>
      </c>
      <c r="F78" s="14"/>
      <c r="G78" s="6">
        <f>+SUM(E$9:$E78)-SUM(F$9:$F78)</f>
        <v>11981000</v>
      </c>
    </row>
    <row r="79" spans="1:7" ht="28.8" x14ac:dyDescent="0.55000000000000004">
      <c r="A79" s="12"/>
      <c r="B79" s="13"/>
      <c r="C79" s="10"/>
      <c r="D79" s="10"/>
      <c r="E79" s="7">
        <f>+$I$2+(CFAO[[#This Row],[QUANTITE]]*CFAO[[#This Row],[PRIX UNITAIRE]])</f>
        <v>0</v>
      </c>
      <c r="F79" s="14"/>
      <c r="G79" s="6">
        <f>+SUM(E$9:$E79)-SUM(F$9:$F79)</f>
        <v>11981000</v>
      </c>
    </row>
    <row r="80" spans="1:7" ht="28.8" x14ac:dyDescent="0.55000000000000004">
      <c r="A80" s="12"/>
      <c r="B80" s="13"/>
      <c r="C80" s="10"/>
      <c r="D80" s="10"/>
      <c r="E80" s="7">
        <f>+$I$2+(CFAO[[#This Row],[QUANTITE]]*CFAO[[#This Row],[PRIX UNITAIRE]])</f>
        <v>0</v>
      </c>
      <c r="F80" s="14"/>
      <c r="G80" s="6">
        <f>+SUM(E$9:$E80)-SUM(F$9:$F80)</f>
        <v>11981000</v>
      </c>
    </row>
    <row r="81" spans="1:7" ht="28.8" x14ac:dyDescent="0.55000000000000004">
      <c r="A81" s="12"/>
      <c r="B81" s="13"/>
      <c r="C81" s="10"/>
      <c r="D81" s="10"/>
      <c r="E81" s="7">
        <f>+$I$2+(CFAO[[#This Row],[QUANTITE]]*CFAO[[#This Row],[PRIX UNITAIRE]])</f>
        <v>0</v>
      </c>
      <c r="F81" s="14"/>
      <c r="G81" s="6">
        <f>+SUM(E$9:$E81)-SUM(F$9:$F81)</f>
        <v>11981000</v>
      </c>
    </row>
    <row r="82" spans="1:7" ht="28.8" x14ac:dyDescent="0.55000000000000004">
      <c r="A82" s="12"/>
      <c r="B82" s="13"/>
      <c r="C82" s="10"/>
      <c r="D82" s="10"/>
      <c r="E82" s="7">
        <f>+$I$2+(CFAO[[#This Row],[QUANTITE]]*CFAO[[#This Row],[PRIX UNITAIRE]])</f>
        <v>0</v>
      </c>
      <c r="F82" s="14"/>
      <c r="G82" s="6">
        <f>+SUM(E$9:$E82)-SUM(F$9:$F82)</f>
        <v>11981000</v>
      </c>
    </row>
    <row r="83" spans="1:7" ht="28.8" x14ac:dyDescent="0.55000000000000004">
      <c r="A83" s="12"/>
      <c r="B83" s="13"/>
      <c r="C83" s="10"/>
      <c r="D83" s="10"/>
      <c r="E83" s="7">
        <f>+$I$2+(CFAO[[#This Row],[QUANTITE]]*CFAO[[#This Row],[PRIX UNITAIRE]])</f>
        <v>0</v>
      </c>
      <c r="F83" s="14"/>
      <c r="G83" s="6">
        <f>+SUM(E$9:$E83)-SUM(F$9:$F83)</f>
        <v>11981000</v>
      </c>
    </row>
    <row r="84" spans="1:7" ht="28.8" x14ac:dyDescent="0.55000000000000004">
      <c r="A84" s="12"/>
      <c r="B84" s="13"/>
      <c r="C84" s="10"/>
      <c r="D84" s="10"/>
      <c r="E84" s="7">
        <f>+$I$2+(CFAO[[#This Row],[QUANTITE]]*CFAO[[#This Row],[PRIX UNITAIRE]])</f>
        <v>0</v>
      </c>
      <c r="F84" s="14"/>
      <c r="G84" s="6">
        <f>+SUM(E$9:$E84)-SUM(F$9:$F84)</f>
        <v>11981000</v>
      </c>
    </row>
    <row r="85" spans="1:7" ht="28.8" x14ac:dyDescent="0.55000000000000004">
      <c r="A85" s="12"/>
      <c r="B85" s="13"/>
      <c r="C85" s="10"/>
      <c r="D85" s="10"/>
      <c r="E85" s="7">
        <f>+$I$2+(CFAO[[#This Row],[QUANTITE]]*CFAO[[#This Row],[PRIX UNITAIRE]])</f>
        <v>0</v>
      </c>
      <c r="F85" s="14"/>
      <c r="G85" s="6">
        <f>+SUM(E$9:$E85)-SUM(F$9:$F85)</f>
        <v>11981000</v>
      </c>
    </row>
    <row r="86" spans="1:7" ht="28.8" x14ac:dyDescent="0.55000000000000004">
      <c r="A86" s="12"/>
      <c r="B86" s="13"/>
      <c r="C86" s="10"/>
      <c r="D86" s="10"/>
      <c r="E86" s="7">
        <f>+$I$2+(CFAO[[#This Row],[QUANTITE]]*CFAO[[#This Row],[PRIX UNITAIRE]])</f>
        <v>0</v>
      </c>
      <c r="F86" s="14"/>
      <c r="G86" s="6">
        <f>+SUM(E$9:$E86)-SUM(F$9:$F86)</f>
        <v>11981000</v>
      </c>
    </row>
    <row r="87" spans="1:7" ht="28.8" x14ac:dyDescent="0.55000000000000004">
      <c r="A87" s="12"/>
      <c r="B87" s="13"/>
      <c r="C87" s="10"/>
      <c r="D87" s="10"/>
      <c r="E87" s="7">
        <f>+$I$2+(CFAO[[#This Row],[QUANTITE]]*CFAO[[#This Row],[PRIX UNITAIRE]])</f>
        <v>0</v>
      </c>
      <c r="F87" s="14"/>
      <c r="G87" s="6">
        <f>+SUM(E$9:$E87)-SUM(F$9:$F87)</f>
        <v>11981000</v>
      </c>
    </row>
    <row r="88" spans="1:7" ht="28.8" x14ac:dyDescent="0.55000000000000004">
      <c r="A88" s="12"/>
      <c r="B88" s="13"/>
      <c r="C88" s="10"/>
      <c r="D88" s="10"/>
      <c r="E88" s="7">
        <f>+$I$2+(CFAO[[#This Row],[QUANTITE]]*CFAO[[#This Row],[PRIX UNITAIRE]])</f>
        <v>0</v>
      </c>
      <c r="F88" s="14"/>
      <c r="G88" s="6">
        <f>+SUM(E$9:$E88)-SUM(F$9:$F88)</f>
        <v>11981000</v>
      </c>
    </row>
    <row r="89" spans="1:7" ht="28.8" x14ac:dyDescent="0.55000000000000004">
      <c r="A89" s="12"/>
      <c r="B89" s="13"/>
      <c r="C89" s="10"/>
      <c r="D89" s="10"/>
      <c r="E89" s="7">
        <f>+$I$2+(CFAO[[#This Row],[QUANTITE]]*CFAO[[#This Row],[PRIX UNITAIRE]])</f>
        <v>0</v>
      </c>
      <c r="F89" s="14"/>
      <c r="G89" s="6">
        <f>+SUM(E$9:$E89)-SUM(F$9:$F89)</f>
        <v>11981000</v>
      </c>
    </row>
    <row r="90" spans="1:7" ht="28.8" x14ac:dyDescent="0.55000000000000004">
      <c r="A90" s="12"/>
      <c r="B90" s="13"/>
      <c r="C90" s="10"/>
      <c r="D90" s="10"/>
      <c r="E90" s="7">
        <f>+$I$2+(CFAO[[#This Row],[QUANTITE]]*CFAO[[#This Row],[PRIX UNITAIRE]])</f>
        <v>0</v>
      </c>
      <c r="F90" s="14"/>
      <c r="G90" s="6">
        <f>+SUM(E$9:$E90)-SUM(F$9:$F90)</f>
        <v>11981000</v>
      </c>
    </row>
    <row r="91" spans="1:7" ht="28.8" x14ac:dyDescent="0.55000000000000004">
      <c r="A91" s="12"/>
      <c r="B91" s="13"/>
      <c r="C91" s="10"/>
      <c r="D91" s="10"/>
      <c r="E91" s="7">
        <f>+$I$2+(CFAO[[#This Row],[QUANTITE]]*CFAO[[#This Row],[PRIX UNITAIRE]])</f>
        <v>0</v>
      </c>
      <c r="F91" s="14"/>
      <c r="G91" s="6">
        <f>+SUM(E$9:$E91)-SUM(F$9:$F91)</f>
        <v>11981000</v>
      </c>
    </row>
    <row r="92" spans="1:7" ht="28.8" x14ac:dyDescent="0.55000000000000004">
      <c r="A92" s="12"/>
      <c r="B92" s="13"/>
      <c r="C92" s="10"/>
      <c r="D92" s="10"/>
      <c r="E92" s="7">
        <f>+$I$2+(CFAO[[#This Row],[QUANTITE]]*CFAO[[#This Row],[PRIX UNITAIRE]])</f>
        <v>0</v>
      </c>
      <c r="F92" s="14"/>
      <c r="G92" s="6">
        <f>+SUM(E$9:$E92)-SUM(F$9:$F92)</f>
        <v>11981000</v>
      </c>
    </row>
    <row r="93" spans="1:7" ht="28.8" x14ac:dyDescent="0.55000000000000004">
      <c r="A93" s="12"/>
      <c r="B93" s="13"/>
      <c r="C93" s="10"/>
      <c r="D93" s="10"/>
      <c r="E93" s="7">
        <f>+$I$2+(CFAO[[#This Row],[QUANTITE]]*CFAO[[#This Row],[PRIX UNITAIRE]])</f>
        <v>0</v>
      </c>
      <c r="F93" s="14"/>
      <c r="G93" s="6">
        <f>+SUM(E$9:$E93)-SUM(F$9:$F93)</f>
        <v>11981000</v>
      </c>
    </row>
    <row r="94" spans="1:7" ht="28.8" x14ac:dyDescent="0.55000000000000004">
      <c r="A94" s="12"/>
      <c r="B94" s="13"/>
      <c r="C94" s="10"/>
      <c r="D94" s="10"/>
      <c r="E94" s="7">
        <f>+$I$2+(CFAO[[#This Row],[QUANTITE]]*CFAO[[#This Row],[PRIX UNITAIRE]])</f>
        <v>0</v>
      </c>
      <c r="F94" s="14"/>
      <c r="G94" s="6">
        <f>+SUM(E$9:$E94)-SUM(F$9:$F94)</f>
        <v>11981000</v>
      </c>
    </row>
    <row r="95" spans="1:7" ht="28.8" x14ac:dyDescent="0.55000000000000004">
      <c r="A95" s="12"/>
      <c r="B95" s="13"/>
      <c r="C95" s="10"/>
      <c r="D95" s="10"/>
      <c r="E95" s="7">
        <f>+$I$2+(CFAO[[#This Row],[QUANTITE]]*CFAO[[#This Row],[PRIX UNITAIRE]])</f>
        <v>0</v>
      </c>
      <c r="F95" s="14"/>
      <c r="G95" s="6">
        <f>+SUM(E$9:$E95)-SUM(F$9:$F95)</f>
        <v>11981000</v>
      </c>
    </row>
    <row r="96" spans="1:7" ht="28.8" x14ac:dyDescent="0.55000000000000004">
      <c r="A96" s="12"/>
      <c r="B96" s="13"/>
      <c r="C96" s="10"/>
      <c r="D96" s="10"/>
      <c r="E96" s="7">
        <f>+$I$2+(CFAO[[#This Row],[QUANTITE]]*CFAO[[#This Row],[PRIX UNITAIRE]])</f>
        <v>0</v>
      </c>
      <c r="F96" s="14"/>
      <c r="G96" s="6">
        <f>+SUM(E$9:$E96)-SUM(F$9:$F96)</f>
        <v>11981000</v>
      </c>
    </row>
    <row r="97" spans="1:7" ht="28.8" x14ac:dyDescent="0.55000000000000004">
      <c r="A97" s="12"/>
      <c r="B97" s="13"/>
      <c r="C97" s="10"/>
      <c r="D97" s="10"/>
      <c r="E97" s="7">
        <f>+$I$2+(CFAO[[#This Row],[QUANTITE]]*CFAO[[#This Row],[PRIX UNITAIRE]])</f>
        <v>0</v>
      </c>
      <c r="F97" s="14"/>
      <c r="G97" s="6">
        <f>+SUM(E$9:$E97)-SUM(F$9:$F97)</f>
        <v>11981000</v>
      </c>
    </row>
    <row r="98" spans="1:7" ht="28.8" x14ac:dyDescent="0.55000000000000004">
      <c r="A98" s="12"/>
      <c r="B98" s="13"/>
      <c r="C98" s="10"/>
      <c r="D98" s="10"/>
      <c r="E98" s="7">
        <f>+$I$2+(CFAO[[#This Row],[QUANTITE]]*CFAO[[#This Row],[PRIX UNITAIRE]])</f>
        <v>0</v>
      </c>
      <c r="F98" s="14"/>
      <c r="G98" s="6">
        <f>+SUM(E$9:$E98)-SUM(F$9:$F98)</f>
        <v>11981000</v>
      </c>
    </row>
    <row r="99" spans="1:7" ht="28.8" x14ac:dyDescent="0.55000000000000004">
      <c r="A99" s="12"/>
      <c r="B99" s="13"/>
      <c r="C99" s="10"/>
      <c r="D99" s="10"/>
      <c r="E99" s="7">
        <f>+$I$2+(CFAO[[#This Row],[QUANTITE]]*CFAO[[#This Row],[PRIX UNITAIRE]])</f>
        <v>0</v>
      </c>
      <c r="F99" s="14"/>
      <c r="G99" s="6">
        <f>+SUM(E$9:$E99)-SUM(F$9:$F99)</f>
        <v>11981000</v>
      </c>
    </row>
    <row r="100" spans="1:7" ht="28.8" x14ac:dyDescent="0.55000000000000004">
      <c r="A100" s="12"/>
      <c r="B100" s="13"/>
      <c r="C100" s="10"/>
      <c r="D100" s="10"/>
      <c r="E100" s="7">
        <f>+$I$2+(CFAO[[#This Row],[QUANTITE]]*CFAO[[#This Row],[PRIX UNITAIRE]])</f>
        <v>0</v>
      </c>
      <c r="F100" s="14"/>
      <c r="G100" s="6">
        <f>+SUM(E$9:$E100)-SUM(F$9:$F100)</f>
        <v>11981000</v>
      </c>
    </row>
    <row r="101" spans="1:7" ht="28.8" x14ac:dyDescent="0.55000000000000004">
      <c r="A101" s="12"/>
      <c r="B101" s="13"/>
      <c r="C101" s="10"/>
      <c r="D101" s="10"/>
      <c r="E101" s="7">
        <f>+$I$2+(CFAO[[#This Row],[QUANTITE]]*CFAO[[#This Row],[PRIX UNITAIRE]])</f>
        <v>0</v>
      </c>
      <c r="F101" s="14"/>
      <c r="G101" s="6">
        <f>+SUM(E$9:$E101)-SUM(F$9:$F101)</f>
        <v>11981000</v>
      </c>
    </row>
    <row r="102" spans="1:7" ht="28.8" x14ac:dyDescent="0.55000000000000004">
      <c r="A102" s="12"/>
      <c r="B102" s="13"/>
      <c r="C102" s="10"/>
      <c r="D102" s="10"/>
      <c r="E102" s="7">
        <f>+$I$2+(CFAO[[#This Row],[QUANTITE]]*CFAO[[#This Row],[PRIX UNITAIRE]])</f>
        <v>0</v>
      </c>
      <c r="F102" s="14"/>
      <c r="G102" s="6">
        <f>+SUM(E$9:$E102)-SUM(F$9:$F102)</f>
        <v>11981000</v>
      </c>
    </row>
    <row r="103" spans="1:7" ht="28.8" x14ac:dyDescent="0.55000000000000004">
      <c r="A103" s="12"/>
      <c r="B103" s="13"/>
      <c r="C103" s="10"/>
      <c r="D103" s="10"/>
      <c r="E103" s="7">
        <f>+$I$2+(CFAO[[#This Row],[QUANTITE]]*CFAO[[#This Row],[PRIX UNITAIRE]])</f>
        <v>0</v>
      </c>
      <c r="F103" s="14"/>
      <c r="G103" s="6">
        <f>+SUM(E$9:$E103)-SUM(F$9:$F103)</f>
        <v>11981000</v>
      </c>
    </row>
    <row r="104" spans="1:7" ht="28.8" x14ac:dyDescent="0.55000000000000004">
      <c r="A104" s="12"/>
      <c r="B104" s="13"/>
      <c r="C104" s="10"/>
      <c r="D104" s="10"/>
      <c r="E104" s="7">
        <f>+$I$2+(CFAO[[#This Row],[QUANTITE]]*CFAO[[#This Row],[PRIX UNITAIRE]])</f>
        <v>0</v>
      </c>
      <c r="F104" s="14"/>
      <c r="G104" s="6">
        <f>+SUM(E$9:$E104)-SUM(F$9:$F104)</f>
        <v>11981000</v>
      </c>
    </row>
    <row r="105" spans="1:7" ht="28.8" x14ac:dyDescent="0.55000000000000004">
      <c r="A105" s="12"/>
      <c r="B105" s="13"/>
      <c r="C105" s="10"/>
      <c r="D105" s="10"/>
      <c r="E105" s="7">
        <f>+$I$2+(CFAO[[#This Row],[QUANTITE]]*CFAO[[#This Row],[PRIX UNITAIRE]])</f>
        <v>0</v>
      </c>
      <c r="F105" s="14"/>
      <c r="G105" s="6">
        <f>+SUM(E$9:$E105)-SUM(F$9:$F105)</f>
        <v>11981000</v>
      </c>
    </row>
    <row r="106" spans="1:7" ht="28.8" x14ac:dyDescent="0.55000000000000004">
      <c r="A106" s="12"/>
      <c r="B106" s="13"/>
      <c r="C106" s="10"/>
      <c r="D106" s="10"/>
      <c r="E106" s="7">
        <f>+$I$2+(CFAO[[#This Row],[QUANTITE]]*CFAO[[#This Row],[PRIX UNITAIRE]])</f>
        <v>0</v>
      </c>
      <c r="F106" s="14"/>
      <c r="G106" s="6">
        <f>+SUM(E$9:$E106)-SUM(F$9:$F106)</f>
        <v>11981000</v>
      </c>
    </row>
    <row r="107" spans="1:7" ht="28.8" x14ac:dyDescent="0.55000000000000004">
      <c r="A107" s="12"/>
      <c r="B107" s="13"/>
      <c r="C107" s="10"/>
      <c r="D107" s="10"/>
      <c r="E107" s="7">
        <f>+$I$2+(CFAO[[#This Row],[QUANTITE]]*CFAO[[#This Row],[PRIX UNITAIRE]])</f>
        <v>0</v>
      </c>
      <c r="F107" s="14"/>
      <c r="G107" s="6">
        <f>+SUM(E$9:$E107)-SUM(F$9:$F107)</f>
        <v>11981000</v>
      </c>
    </row>
    <row r="108" spans="1:7" ht="28.8" x14ac:dyDescent="0.55000000000000004">
      <c r="A108" s="12"/>
      <c r="B108" s="13"/>
      <c r="C108" s="10"/>
      <c r="D108" s="10"/>
      <c r="E108" s="7">
        <f>+$I$2+(CFAO[[#This Row],[QUANTITE]]*CFAO[[#This Row],[PRIX UNITAIRE]])</f>
        <v>0</v>
      </c>
      <c r="F108" s="14"/>
      <c r="G108" s="6">
        <f>+SUM(E$9:$E108)-SUM(F$9:$F108)</f>
        <v>11981000</v>
      </c>
    </row>
    <row r="109" spans="1:7" ht="28.8" x14ac:dyDescent="0.55000000000000004">
      <c r="A109" s="12"/>
      <c r="B109" s="13"/>
      <c r="C109" s="10"/>
      <c r="D109" s="10"/>
      <c r="E109" s="7">
        <f>+$I$2+(CFAO[[#This Row],[QUANTITE]]*CFAO[[#This Row],[PRIX UNITAIRE]])</f>
        <v>0</v>
      </c>
      <c r="F109" s="14"/>
      <c r="G109" s="6">
        <f>+SUM(E$9:$E109)-SUM(F$9:$F109)</f>
        <v>11981000</v>
      </c>
    </row>
    <row r="110" spans="1:7" ht="28.8" x14ac:dyDescent="0.55000000000000004">
      <c r="A110" s="12"/>
      <c r="B110" s="13"/>
      <c r="C110" s="10"/>
      <c r="D110" s="10"/>
      <c r="E110" s="7">
        <f>+$I$2+(CFAO[[#This Row],[QUANTITE]]*CFAO[[#This Row],[PRIX UNITAIRE]])</f>
        <v>0</v>
      </c>
      <c r="F110" s="14"/>
      <c r="G110" s="6">
        <f>+SUM(E$9:$E110)-SUM(F$9:$F110)</f>
        <v>11981000</v>
      </c>
    </row>
    <row r="111" spans="1:7" ht="28.8" x14ac:dyDescent="0.55000000000000004">
      <c r="A111" s="12"/>
      <c r="B111" s="13"/>
      <c r="C111" s="10"/>
      <c r="D111" s="10"/>
      <c r="E111" s="7">
        <f>+$I$2+(CFAO[[#This Row],[QUANTITE]]*CFAO[[#This Row],[PRIX UNITAIRE]])</f>
        <v>0</v>
      </c>
      <c r="F111" s="14"/>
      <c r="G111" s="6">
        <f>+SUM(E$9:$E111)-SUM(F$9:$F111)</f>
        <v>11981000</v>
      </c>
    </row>
    <row r="112" spans="1:7" ht="28.8" x14ac:dyDescent="0.55000000000000004">
      <c r="A112" s="12"/>
      <c r="B112" s="13"/>
      <c r="C112" s="10"/>
      <c r="D112" s="10"/>
      <c r="E112" s="7">
        <f>+$I$2+(CFAO[[#This Row],[QUANTITE]]*CFAO[[#This Row],[PRIX UNITAIRE]])</f>
        <v>0</v>
      </c>
      <c r="F112" s="14"/>
      <c r="G112" s="6">
        <f>+SUM(E$9:$E112)-SUM(F$9:$F112)</f>
        <v>11981000</v>
      </c>
    </row>
    <row r="113" spans="1:7" ht="28.8" x14ac:dyDescent="0.55000000000000004">
      <c r="A113" s="12"/>
      <c r="B113" s="13"/>
      <c r="C113" s="10"/>
      <c r="D113" s="10"/>
      <c r="E113" s="7">
        <f>+$I$2+(CFAO[[#This Row],[QUANTITE]]*CFAO[[#This Row],[PRIX UNITAIRE]])</f>
        <v>0</v>
      </c>
      <c r="F113" s="14"/>
      <c r="G113" s="6">
        <f>+SUM(E$9:$E113)-SUM(F$9:$F113)</f>
        <v>11981000</v>
      </c>
    </row>
    <row r="114" spans="1:7" ht="28.8" x14ac:dyDescent="0.55000000000000004">
      <c r="A114" s="12"/>
      <c r="B114" s="13"/>
      <c r="C114" s="10"/>
      <c r="D114" s="10"/>
      <c r="E114" s="7">
        <f>+$I$2+(CFAO[[#This Row],[QUANTITE]]*CFAO[[#This Row],[PRIX UNITAIRE]])</f>
        <v>0</v>
      </c>
      <c r="F114" s="14"/>
      <c r="G114" s="6">
        <f>+SUM(E$9:$E114)-SUM(F$9:$F114)</f>
        <v>11981000</v>
      </c>
    </row>
    <row r="115" spans="1:7" ht="28.8" x14ac:dyDescent="0.55000000000000004">
      <c r="A115" s="12"/>
      <c r="B115" s="13"/>
      <c r="C115" s="10"/>
      <c r="D115" s="10"/>
      <c r="E115" s="7">
        <f>+$I$2+(CFAO[[#This Row],[QUANTITE]]*CFAO[[#This Row],[PRIX UNITAIRE]])</f>
        <v>0</v>
      </c>
      <c r="F115" s="14"/>
      <c r="G115" s="6">
        <f>+SUM(E$9:$E115)-SUM(F$9:$F115)</f>
        <v>11981000</v>
      </c>
    </row>
    <row r="116" spans="1:7" ht="28.8" x14ac:dyDescent="0.55000000000000004">
      <c r="A116" s="12"/>
      <c r="B116" s="13"/>
      <c r="C116" s="10"/>
      <c r="D116" s="10"/>
      <c r="E116" s="7">
        <f>+$I$2+(CFAO[[#This Row],[QUANTITE]]*CFAO[[#This Row],[PRIX UNITAIRE]])</f>
        <v>0</v>
      </c>
      <c r="F116" s="14"/>
      <c r="G116" s="6">
        <f>+SUM(E$9:$E116)-SUM(F$9:$F116)</f>
        <v>11981000</v>
      </c>
    </row>
    <row r="117" spans="1:7" ht="28.8" x14ac:dyDescent="0.55000000000000004">
      <c r="A117" s="12"/>
      <c r="B117" s="13"/>
      <c r="C117" s="10"/>
      <c r="D117" s="10"/>
      <c r="E117" s="7">
        <f>+$I$2+(CFAO[[#This Row],[QUANTITE]]*CFAO[[#This Row],[PRIX UNITAIRE]])</f>
        <v>0</v>
      </c>
      <c r="F117" s="14"/>
      <c r="G117" s="6">
        <f>+SUM(E$9:$E117)-SUM(F$9:$F117)</f>
        <v>11981000</v>
      </c>
    </row>
    <row r="118" spans="1:7" ht="28.8" x14ac:dyDescent="0.55000000000000004">
      <c r="A118" s="12"/>
      <c r="B118" s="13"/>
      <c r="C118" s="10"/>
      <c r="D118" s="10"/>
      <c r="E118" s="7">
        <f>+$I$2+(CFAO[[#This Row],[QUANTITE]]*CFAO[[#This Row],[PRIX UNITAIRE]])</f>
        <v>0</v>
      </c>
      <c r="F118" s="14"/>
      <c r="G118" s="6">
        <f>+SUM(E$9:$E118)-SUM(F$9:$F118)</f>
        <v>11981000</v>
      </c>
    </row>
    <row r="119" spans="1:7" ht="28.8" x14ac:dyDescent="0.55000000000000004">
      <c r="A119" s="12"/>
      <c r="B119" s="13"/>
      <c r="C119" s="10"/>
      <c r="D119" s="10"/>
      <c r="E119" s="7">
        <f>+$I$2+(CFAO[[#This Row],[QUANTITE]]*CFAO[[#This Row],[PRIX UNITAIRE]])</f>
        <v>0</v>
      </c>
      <c r="F119" s="14"/>
      <c r="G119" s="6">
        <f>+SUM(E$9:$E119)-SUM(F$9:$F119)</f>
        <v>11981000</v>
      </c>
    </row>
    <row r="120" spans="1:7" ht="28.8" x14ac:dyDescent="0.55000000000000004">
      <c r="A120" s="12"/>
      <c r="B120" s="13"/>
      <c r="C120" s="10"/>
      <c r="D120" s="10"/>
      <c r="E120" s="7">
        <f>+$I$2+(CFAO[[#This Row],[QUANTITE]]*CFAO[[#This Row],[PRIX UNITAIRE]])</f>
        <v>0</v>
      </c>
      <c r="F120" s="14"/>
      <c r="G120" s="6">
        <f>+SUM(E$9:$E120)-SUM(F$9:$F120)</f>
        <v>11981000</v>
      </c>
    </row>
    <row r="121" spans="1:7" ht="28.8" x14ac:dyDescent="0.55000000000000004">
      <c r="A121" s="12"/>
      <c r="B121" s="13"/>
      <c r="C121" s="10"/>
      <c r="D121" s="10"/>
      <c r="E121" s="7">
        <f>+$I$2+(CFAO[[#This Row],[QUANTITE]]*CFAO[[#This Row],[PRIX UNITAIRE]])</f>
        <v>0</v>
      </c>
      <c r="F121" s="14"/>
      <c r="G121" s="6">
        <f>+SUM(E$9:$E121)-SUM(F$9:$F121)</f>
        <v>11981000</v>
      </c>
    </row>
    <row r="122" spans="1:7" ht="28.8" x14ac:dyDescent="0.55000000000000004">
      <c r="A122" s="12"/>
      <c r="B122" s="13"/>
      <c r="C122" s="10"/>
      <c r="D122" s="10"/>
      <c r="E122" s="7">
        <f>+$I$2+(CFAO[[#This Row],[QUANTITE]]*CFAO[[#This Row],[PRIX UNITAIRE]])</f>
        <v>0</v>
      </c>
      <c r="F122" s="14"/>
      <c r="G122" s="6">
        <f>+SUM(E$9:$E122)-SUM(F$9:$F122)</f>
        <v>11981000</v>
      </c>
    </row>
    <row r="123" spans="1:7" ht="28.8" x14ac:dyDescent="0.55000000000000004">
      <c r="A123" s="12"/>
      <c r="B123" s="13"/>
      <c r="C123" s="10"/>
      <c r="D123" s="10"/>
      <c r="E123" s="7">
        <f>+$I$2+(CFAO[[#This Row],[QUANTITE]]*CFAO[[#This Row],[PRIX UNITAIRE]])</f>
        <v>0</v>
      </c>
      <c r="F123" s="14"/>
      <c r="G123" s="6">
        <f>+SUM(E$9:$E123)-SUM(F$9:$F123)</f>
        <v>11981000</v>
      </c>
    </row>
    <row r="124" spans="1:7" ht="28.8" x14ac:dyDescent="0.55000000000000004">
      <c r="A124" s="12"/>
      <c r="B124" s="13"/>
      <c r="C124" s="10"/>
      <c r="D124" s="10"/>
      <c r="E124" s="7">
        <f>+$I$2+(CFAO[[#This Row],[QUANTITE]]*CFAO[[#This Row],[PRIX UNITAIRE]])</f>
        <v>0</v>
      </c>
      <c r="F124" s="14"/>
      <c r="G124" s="6">
        <f>+SUM(E$9:$E124)-SUM(F$9:$F124)</f>
        <v>11981000</v>
      </c>
    </row>
    <row r="125" spans="1:7" ht="28.8" x14ac:dyDescent="0.55000000000000004">
      <c r="A125" s="12"/>
      <c r="B125" s="13"/>
      <c r="C125" s="10"/>
      <c r="D125" s="10"/>
      <c r="E125" s="7">
        <f>+$I$2+(CFAO[[#This Row],[QUANTITE]]*CFAO[[#This Row],[PRIX UNITAIRE]])</f>
        <v>0</v>
      </c>
      <c r="F125" s="14"/>
      <c r="G125" s="6">
        <f>+SUM(E$9:$E125)-SUM(F$9:$F125)</f>
        <v>11981000</v>
      </c>
    </row>
    <row r="126" spans="1:7" ht="28.8" x14ac:dyDescent="0.55000000000000004">
      <c r="A126" s="12"/>
      <c r="B126" s="13"/>
      <c r="C126" s="10"/>
      <c r="D126" s="10"/>
      <c r="E126" s="7">
        <f>+$I$2+(CFAO[[#This Row],[QUANTITE]]*CFAO[[#This Row],[PRIX UNITAIRE]])</f>
        <v>0</v>
      </c>
      <c r="F126" s="14"/>
      <c r="G126" s="6">
        <f>+SUM(E$9:$E126)-SUM(F$9:$F126)</f>
        <v>11981000</v>
      </c>
    </row>
    <row r="127" spans="1:7" ht="28.8" x14ac:dyDescent="0.55000000000000004">
      <c r="A127" s="12"/>
      <c r="B127" s="13"/>
      <c r="C127" s="10"/>
      <c r="D127" s="10"/>
      <c r="E127" s="7">
        <f>+$I$2+(CFAO[[#This Row],[QUANTITE]]*CFAO[[#This Row],[PRIX UNITAIRE]])</f>
        <v>0</v>
      </c>
      <c r="F127" s="14"/>
      <c r="G127" s="6">
        <f>+SUM(E$9:$E127)-SUM(F$9:$F127)</f>
        <v>11981000</v>
      </c>
    </row>
    <row r="128" spans="1:7" ht="28.8" x14ac:dyDescent="0.55000000000000004">
      <c r="A128" s="12"/>
      <c r="B128" s="13"/>
      <c r="C128" s="10"/>
      <c r="D128" s="10"/>
      <c r="E128" s="7">
        <f>+$I$2+(CFAO[[#This Row],[QUANTITE]]*CFAO[[#This Row],[PRIX UNITAIRE]])</f>
        <v>0</v>
      </c>
      <c r="F128" s="14"/>
      <c r="G128" s="6">
        <f>+SUM(E$9:$E128)-SUM(F$9:$F128)</f>
        <v>11981000</v>
      </c>
    </row>
    <row r="129" spans="1:7" ht="28.8" x14ac:dyDescent="0.55000000000000004">
      <c r="A129" s="12"/>
      <c r="B129" s="13"/>
      <c r="C129" s="10"/>
      <c r="D129" s="10"/>
      <c r="E129" s="7">
        <f>+$I$2+(CFAO[[#This Row],[QUANTITE]]*CFAO[[#This Row],[PRIX UNITAIRE]])</f>
        <v>0</v>
      </c>
      <c r="F129" s="14"/>
      <c r="G129" s="6">
        <f>+SUM(E$9:$E129)-SUM(F$9:$F129)</f>
        <v>11981000</v>
      </c>
    </row>
    <row r="130" spans="1:7" ht="28.8" x14ac:dyDescent="0.55000000000000004">
      <c r="A130" s="12"/>
      <c r="B130" s="13"/>
      <c r="C130" s="10"/>
      <c r="D130" s="10"/>
      <c r="E130" s="7">
        <f>+$I$2+(CFAO[[#This Row],[QUANTITE]]*CFAO[[#This Row],[PRIX UNITAIRE]])</f>
        <v>0</v>
      </c>
      <c r="F130" s="14"/>
      <c r="G130" s="6">
        <f>+SUM(E$9:$E130)-SUM(F$9:$F130)</f>
        <v>11981000</v>
      </c>
    </row>
    <row r="131" spans="1:7" ht="28.8" x14ac:dyDescent="0.55000000000000004">
      <c r="A131" s="12"/>
      <c r="B131" s="13"/>
      <c r="C131" s="10"/>
      <c r="D131" s="10"/>
      <c r="E131" s="7">
        <f>+$I$2+(CFAO[[#This Row],[QUANTITE]]*CFAO[[#This Row],[PRIX UNITAIRE]])</f>
        <v>0</v>
      </c>
      <c r="F131" s="14"/>
      <c r="G131" s="6">
        <f>+SUM(E$9:$E131)-SUM(F$9:$F131)</f>
        <v>11981000</v>
      </c>
    </row>
    <row r="132" spans="1:7" ht="28.8" x14ac:dyDescent="0.55000000000000004">
      <c r="A132" s="12"/>
      <c r="B132" s="13"/>
      <c r="C132" s="10"/>
      <c r="D132" s="10"/>
      <c r="E132" s="7">
        <f>+$I$2+(CFAO[[#This Row],[QUANTITE]]*CFAO[[#This Row],[PRIX UNITAIRE]])</f>
        <v>0</v>
      </c>
      <c r="F132" s="14"/>
      <c r="G132" s="6">
        <f>+SUM(E$9:$E132)-SUM(F$9:$F132)</f>
        <v>11981000</v>
      </c>
    </row>
    <row r="133" spans="1:7" ht="28.8" x14ac:dyDescent="0.55000000000000004">
      <c r="A133" s="12"/>
      <c r="B133" s="13"/>
      <c r="C133" s="10"/>
      <c r="D133" s="10"/>
      <c r="E133" s="7">
        <f>+$I$2+(CFAO[[#This Row],[QUANTITE]]*CFAO[[#This Row],[PRIX UNITAIRE]])</f>
        <v>0</v>
      </c>
      <c r="F133" s="14"/>
      <c r="G133" s="6">
        <f>+SUM(E$9:$E133)-SUM(F$9:$F133)</f>
        <v>11981000</v>
      </c>
    </row>
    <row r="134" spans="1:7" ht="28.8" x14ac:dyDescent="0.55000000000000004">
      <c r="A134" s="12"/>
      <c r="B134" s="13"/>
      <c r="C134" s="10"/>
      <c r="D134" s="10"/>
      <c r="E134" s="7">
        <f>+$I$2+(CFAO[[#This Row],[QUANTITE]]*CFAO[[#This Row],[PRIX UNITAIRE]])</f>
        <v>0</v>
      </c>
      <c r="F134" s="14"/>
      <c r="G134" s="6">
        <f>+SUM(E$9:$E134)-SUM(F$9:$F134)</f>
        <v>11981000</v>
      </c>
    </row>
    <row r="135" spans="1:7" ht="28.8" x14ac:dyDescent="0.55000000000000004">
      <c r="A135" s="12"/>
      <c r="B135" s="13"/>
      <c r="C135" s="10"/>
      <c r="D135" s="10"/>
      <c r="E135" s="7">
        <f>+$I$2+(CFAO[[#This Row],[QUANTITE]]*CFAO[[#This Row],[PRIX UNITAIRE]])</f>
        <v>0</v>
      </c>
      <c r="F135" s="14"/>
      <c r="G135" s="6">
        <f>+SUM(E$9:$E135)-SUM(F$9:$F135)</f>
        <v>11981000</v>
      </c>
    </row>
    <row r="136" spans="1:7" ht="28.8" x14ac:dyDescent="0.55000000000000004">
      <c r="A136" s="12"/>
      <c r="B136" s="13"/>
      <c r="C136" s="10"/>
      <c r="D136" s="10"/>
      <c r="E136" s="7">
        <f>+$I$2+(CFAO[[#This Row],[QUANTITE]]*CFAO[[#This Row],[PRIX UNITAIRE]])</f>
        <v>0</v>
      </c>
      <c r="F136" s="14"/>
      <c r="G136" s="6">
        <f>+SUM(E$9:$E136)-SUM(F$9:$F136)</f>
        <v>11981000</v>
      </c>
    </row>
    <row r="137" spans="1:7" ht="28.8" x14ac:dyDescent="0.55000000000000004">
      <c r="A137" s="12"/>
      <c r="B137" s="13"/>
      <c r="C137" s="10"/>
      <c r="D137" s="10"/>
      <c r="E137" s="7">
        <f>+$I$2+(CFAO[[#This Row],[QUANTITE]]*CFAO[[#This Row],[PRIX UNITAIRE]])</f>
        <v>0</v>
      </c>
      <c r="F137" s="14"/>
      <c r="G137" s="6">
        <f>+SUM(E$9:$E137)-SUM(F$9:$F137)</f>
        <v>11981000</v>
      </c>
    </row>
    <row r="138" spans="1:7" ht="28.8" x14ac:dyDescent="0.55000000000000004">
      <c r="A138" s="12"/>
      <c r="B138" s="13"/>
      <c r="C138" s="10"/>
      <c r="D138" s="10"/>
      <c r="E138" s="7">
        <f>+$I$2+(CFAO[[#This Row],[QUANTITE]]*CFAO[[#This Row],[PRIX UNITAIRE]])</f>
        <v>0</v>
      </c>
      <c r="F138" s="14"/>
      <c r="G138" s="6">
        <f>+SUM(E$9:$E138)-SUM(F$9:$F138)</f>
        <v>11981000</v>
      </c>
    </row>
    <row r="139" spans="1:7" ht="28.8" x14ac:dyDescent="0.55000000000000004">
      <c r="A139" s="12"/>
      <c r="B139" s="13"/>
      <c r="C139" s="10"/>
      <c r="D139" s="10"/>
      <c r="E139" s="7">
        <f>+$I$2+(CFAO[[#This Row],[QUANTITE]]*CFAO[[#This Row],[PRIX UNITAIRE]])</f>
        <v>0</v>
      </c>
      <c r="F139" s="14"/>
      <c r="G139" s="6">
        <f>+SUM(E$9:$E139)-SUM(F$9:$F139)</f>
        <v>11981000</v>
      </c>
    </row>
    <row r="140" spans="1:7" ht="28.8" x14ac:dyDescent="0.55000000000000004">
      <c r="A140" s="12"/>
      <c r="B140" s="13"/>
      <c r="C140" s="10"/>
      <c r="D140" s="10"/>
      <c r="E140" s="7">
        <f>+$I$2+(CFAO[[#This Row],[QUANTITE]]*CFAO[[#This Row],[PRIX UNITAIRE]])</f>
        <v>0</v>
      </c>
      <c r="F140" s="14"/>
      <c r="G140" s="6">
        <f>+SUM(E$9:$E140)-SUM(F$9:$F140)</f>
        <v>11981000</v>
      </c>
    </row>
    <row r="141" spans="1:7" ht="28.8" x14ac:dyDescent="0.55000000000000004">
      <c r="A141" s="12"/>
      <c r="B141" s="13"/>
      <c r="C141" s="10"/>
      <c r="D141" s="10"/>
      <c r="E141" s="7">
        <f>+$I$2+(CFAO[[#This Row],[QUANTITE]]*CFAO[[#This Row],[PRIX UNITAIRE]])</f>
        <v>0</v>
      </c>
      <c r="F141" s="14"/>
      <c r="G141" s="6">
        <f>+SUM(E$9:$E141)-SUM(F$9:$F141)</f>
        <v>11981000</v>
      </c>
    </row>
    <row r="142" spans="1:7" ht="28.8" x14ac:dyDescent="0.55000000000000004">
      <c r="A142" s="12"/>
      <c r="B142" s="13"/>
      <c r="C142" s="10"/>
      <c r="D142" s="10"/>
      <c r="E142" s="7">
        <f>+$I$2+(CFAO[[#This Row],[QUANTITE]]*CFAO[[#This Row],[PRIX UNITAIRE]])</f>
        <v>0</v>
      </c>
      <c r="F142" s="14"/>
      <c r="G142" s="6">
        <f>+SUM(E$9:$E142)-SUM(F$9:$F142)</f>
        <v>11981000</v>
      </c>
    </row>
    <row r="143" spans="1:7" ht="28.8" x14ac:dyDescent="0.55000000000000004">
      <c r="A143" s="12"/>
      <c r="B143" s="13"/>
      <c r="C143" s="10"/>
      <c r="D143" s="10"/>
      <c r="E143" s="7">
        <f>+$I$2+(CFAO[[#This Row],[QUANTITE]]*CFAO[[#This Row],[PRIX UNITAIRE]])</f>
        <v>0</v>
      </c>
      <c r="F143" s="14"/>
      <c r="G143" s="6">
        <f>+SUM(E$9:$E143)-SUM(F$9:$F143)</f>
        <v>11981000</v>
      </c>
    </row>
    <row r="144" spans="1:7" ht="28.8" x14ac:dyDescent="0.55000000000000004">
      <c r="A144" s="12"/>
      <c r="B144" s="13"/>
      <c r="C144" s="10"/>
      <c r="D144" s="10"/>
      <c r="E144" s="7">
        <f>+$I$2+(CFAO[[#This Row],[QUANTITE]]*CFAO[[#This Row],[PRIX UNITAIRE]])</f>
        <v>0</v>
      </c>
      <c r="F144" s="14"/>
      <c r="G144" s="6">
        <f>+SUM(E$9:$E144)-SUM(F$9:$F144)</f>
        <v>11981000</v>
      </c>
    </row>
    <row r="145" spans="1:7" ht="28.8" x14ac:dyDescent="0.55000000000000004">
      <c r="A145" s="12"/>
      <c r="B145" s="13"/>
      <c r="C145" s="10"/>
      <c r="D145" s="10"/>
      <c r="E145" s="7">
        <f>+$I$2+(CFAO[[#This Row],[QUANTITE]]*CFAO[[#This Row],[PRIX UNITAIRE]])</f>
        <v>0</v>
      </c>
      <c r="F145" s="14"/>
      <c r="G145" s="6">
        <f>+SUM(E$9:$E145)-SUM(F$9:$F145)</f>
        <v>11981000</v>
      </c>
    </row>
    <row r="146" spans="1:7" ht="28.8" x14ac:dyDescent="0.55000000000000004">
      <c r="A146" s="12"/>
      <c r="B146" s="13"/>
      <c r="C146" s="10"/>
      <c r="D146" s="10"/>
      <c r="E146" s="7">
        <f>+$I$2+(CFAO[[#This Row],[QUANTITE]]*CFAO[[#This Row],[PRIX UNITAIRE]])</f>
        <v>0</v>
      </c>
      <c r="F146" s="14"/>
      <c r="G146" s="6">
        <f>+SUM(E$9:$E146)-SUM(F$9:$F146)</f>
        <v>11981000</v>
      </c>
    </row>
    <row r="147" spans="1:7" ht="28.8" x14ac:dyDescent="0.55000000000000004">
      <c r="A147" s="12"/>
      <c r="B147" s="13"/>
      <c r="C147" s="10"/>
      <c r="D147" s="10"/>
      <c r="E147" s="7">
        <f>+$I$2+(CFAO[[#This Row],[QUANTITE]]*CFAO[[#This Row],[PRIX UNITAIRE]])</f>
        <v>0</v>
      </c>
      <c r="F147" s="14"/>
      <c r="G147" s="6">
        <f>+SUM(E$9:$E147)-SUM(F$9:$F147)</f>
        <v>11981000</v>
      </c>
    </row>
    <row r="148" spans="1:7" ht="28.8" x14ac:dyDescent="0.55000000000000004">
      <c r="A148" s="12"/>
      <c r="B148" s="13"/>
      <c r="C148" s="10"/>
      <c r="D148" s="10"/>
      <c r="E148" s="7">
        <f>+$I$2+(CFAO[[#This Row],[QUANTITE]]*CFAO[[#This Row],[PRIX UNITAIRE]])</f>
        <v>0</v>
      </c>
      <c r="F148" s="14"/>
      <c r="G148" s="6">
        <f>+SUM(E$9:$E148)-SUM(F$9:$F148)</f>
        <v>11981000</v>
      </c>
    </row>
    <row r="149" spans="1:7" ht="28.8" x14ac:dyDescent="0.55000000000000004">
      <c r="A149" s="12"/>
      <c r="B149" s="13"/>
      <c r="C149" s="10"/>
      <c r="D149" s="10"/>
      <c r="E149" s="7">
        <f>+$I$2+(CFAO[[#This Row],[QUANTITE]]*CFAO[[#This Row],[PRIX UNITAIRE]])</f>
        <v>0</v>
      </c>
      <c r="F149" s="14"/>
      <c r="G149" s="6">
        <f>+SUM(E$9:$E149)-SUM(F$9:$F149)</f>
        <v>11981000</v>
      </c>
    </row>
    <row r="150" spans="1:7" ht="28.8" x14ac:dyDescent="0.55000000000000004">
      <c r="A150" s="12"/>
      <c r="B150" s="13"/>
      <c r="C150" s="10"/>
      <c r="D150" s="10"/>
      <c r="E150" s="7">
        <f>+$I$2+(CFAO[[#This Row],[QUANTITE]]*CFAO[[#This Row],[PRIX UNITAIRE]])</f>
        <v>0</v>
      </c>
      <c r="F150" s="14"/>
      <c r="G150" s="6">
        <f>+SUM(E$9:$E150)-SUM(F$9:$F150)</f>
        <v>11981000</v>
      </c>
    </row>
    <row r="151" spans="1:7" ht="28.8" x14ac:dyDescent="0.55000000000000004">
      <c r="A151" s="12"/>
      <c r="B151" s="13"/>
      <c r="C151" s="10"/>
      <c r="D151" s="10"/>
      <c r="E151" s="7">
        <f>+$I$2+(CFAO[[#This Row],[QUANTITE]]*CFAO[[#This Row],[PRIX UNITAIRE]])</f>
        <v>0</v>
      </c>
      <c r="F151" s="14"/>
      <c r="G151" s="6">
        <f>+SUM(E$9:$E151)-SUM(F$9:$F151)</f>
        <v>11981000</v>
      </c>
    </row>
    <row r="152" spans="1:7" ht="28.8" x14ac:dyDescent="0.55000000000000004">
      <c r="A152" s="12"/>
      <c r="B152" s="13"/>
      <c r="C152" s="10"/>
      <c r="D152" s="10"/>
      <c r="E152" s="7">
        <f>+$I$2+(CFAO[[#This Row],[QUANTITE]]*CFAO[[#This Row],[PRIX UNITAIRE]])</f>
        <v>0</v>
      </c>
      <c r="F152" s="14"/>
      <c r="G152" s="6">
        <f>+SUM(E$9:$E152)-SUM(F$9:$F152)</f>
        <v>11981000</v>
      </c>
    </row>
    <row r="153" spans="1:7" ht="28.8" x14ac:dyDescent="0.55000000000000004">
      <c r="A153" s="12"/>
      <c r="B153" s="13"/>
      <c r="C153" s="10"/>
      <c r="D153" s="10"/>
      <c r="E153" s="7">
        <f>+$I$2+(CFAO[[#This Row],[QUANTITE]]*CFAO[[#This Row],[PRIX UNITAIRE]])</f>
        <v>0</v>
      </c>
      <c r="F153" s="14"/>
      <c r="G153" s="6">
        <f>+SUM(E$9:$E153)-SUM(F$9:$F153)</f>
        <v>11981000</v>
      </c>
    </row>
    <row r="154" spans="1:7" ht="28.8" x14ac:dyDescent="0.55000000000000004">
      <c r="A154" s="12"/>
      <c r="B154" s="13"/>
      <c r="C154" s="10"/>
      <c r="D154" s="10"/>
      <c r="E154" s="7">
        <f>+$I$2+(CFAO[[#This Row],[QUANTITE]]*CFAO[[#This Row],[PRIX UNITAIRE]])</f>
        <v>0</v>
      </c>
      <c r="F154" s="14"/>
      <c r="G154" s="6">
        <f>+SUM(E$9:$E154)-SUM(F$9:$F154)</f>
        <v>11981000</v>
      </c>
    </row>
    <row r="155" spans="1:7" ht="28.8" x14ac:dyDescent="0.55000000000000004">
      <c r="A155" s="12"/>
      <c r="B155" s="13"/>
      <c r="C155" s="10"/>
      <c r="D155" s="10"/>
      <c r="E155" s="7">
        <f>+$I$2+(CFAO[[#This Row],[QUANTITE]]*CFAO[[#This Row],[PRIX UNITAIRE]])</f>
        <v>0</v>
      </c>
      <c r="F155" s="14"/>
      <c r="G155" s="6">
        <f>+SUM(E$9:$E155)-SUM(F$9:$F155)</f>
        <v>11981000</v>
      </c>
    </row>
    <row r="156" spans="1:7" ht="28.8" x14ac:dyDescent="0.55000000000000004">
      <c r="A156" s="12"/>
      <c r="B156" s="13"/>
      <c r="C156" s="10"/>
      <c r="D156" s="10"/>
      <c r="E156" s="7">
        <f>+$I$2+(CFAO[[#This Row],[QUANTITE]]*CFAO[[#This Row],[PRIX UNITAIRE]])</f>
        <v>0</v>
      </c>
      <c r="F156" s="14"/>
      <c r="G156" s="6">
        <f>+SUM(E$9:$E156)-SUM(F$9:$F156)</f>
        <v>11981000</v>
      </c>
    </row>
    <row r="157" spans="1:7" ht="28.8" x14ac:dyDescent="0.55000000000000004">
      <c r="A157" s="12"/>
      <c r="B157" s="13"/>
      <c r="C157" s="10"/>
      <c r="D157" s="10"/>
      <c r="E157" s="7">
        <f>+$I$2+(CFAO[[#This Row],[QUANTITE]]*CFAO[[#This Row],[PRIX UNITAIRE]])</f>
        <v>0</v>
      </c>
      <c r="F157" s="14"/>
      <c r="G157" s="6">
        <f>+SUM(E$9:$E157)-SUM(F$9:$F157)</f>
        <v>11981000</v>
      </c>
    </row>
    <row r="158" spans="1:7" ht="28.8" x14ac:dyDescent="0.55000000000000004">
      <c r="A158" s="12"/>
      <c r="B158" s="13"/>
      <c r="C158" s="10"/>
      <c r="D158" s="10"/>
      <c r="E158" s="7">
        <f>+$I$2+(CFAO[[#This Row],[QUANTITE]]*CFAO[[#This Row],[PRIX UNITAIRE]])</f>
        <v>0</v>
      </c>
      <c r="F158" s="14"/>
      <c r="G158" s="6">
        <f>+SUM(E$9:$E158)-SUM(F$9:$F158)</f>
        <v>11981000</v>
      </c>
    </row>
    <row r="159" spans="1:7" ht="28.8" x14ac:dyDescent="0.55000000000000004">
      <c r="A159" s="12"/>
      <c r="B159" s="13"/>
      <c r="C159" s="10"/>
      <c r="D159" s="10"/>
      <c r="E159" s="7">
        <f>+$I$2+(CFAO[[#This Row],[QUANTITE]]*CFAO[[#This Row],[PRIX UNITAIRE]])</f>
        <v>0</v>
      </c>
      <c r="F159" s="14"/>
      <c r="G159" s="6">
        <f>+SUM(E$9:$E159)-SUM(F$9:$F159)</f>
        <v>11981000</v>
      </c>
    </row>
    <row r="160" spans="1:7" ht="28.8" x14ac:dyDescent="0.55000000000000004">
      <c r="A160" s="12"/>
      <c r="B160" s="13"/>
      <c r="C160" s="10"/>
      <c r="D160" s="10"/>
      <c r="E160" s="7">
        <f>+$I$2+(CFAO[[#This Row],[QUANTITE]]*CFAO[[#This Row],[PRIX UNITAIRE]])</f>
        <v>0</v>
      </c>
      <c r="F160" s="14"/>
      <c r="G160" s="6">
        <f>+SUM(E$9:$E160)-SUM(F$9:$F160)</f>
        <v>11981000</v>
      </c>
    </row>
    <row r="161" spans="1:7" ht="28.8" x14ac:dyDescent="0.55000000000000004">
      <c r="A161" s="12"/>
      <c r="B161" s="13"/>
      <c r="C161" s="10"/>
      <c r="D161" s="10"/>
      <c r="E161" s="7">
        <f>+$I$2+(CFAO[[#This Row],[QUANTITE]]*CFAO[[#This Row],[PRIX UNITAIRE]])</f>
        <v>0</v>
      </c>
      <c r="F161" s="14"/>
      <c r="G161" s="6">
        <f>+SUM(E$9:$E161)-SUM(F$9:$F161)</f>
        <v>11981000</v>
      </c>
    </row>
    <row r="162" spans="1:7" ht="28.8" x14ac:dyDescent="0.55000000000000004">
      <c r="A162" s="12"/>
      <c r="B162" s="13"/>
      <c r="C162" s="10"/>
      <c r="D162" s="10"/>
      <c r="E162" s="7">
        <f>+$I$2+(CFAO[[#This Row],[QUANTITE]]*CFAO[[#This Row],[PRIX UNITAIRE]])</f>
        <v>0</v>
      </c>
      <c r="F162" s="14"/>
      <c r="G162" s="6">
        <f>+SUM(E$9:$E162)-SUM(F$9:$F162)</f>
        <v>11981000</v>
      </c>
    </row>
    <row r="163" spans="1:7" ht="28.8" x14ac:dyDescent="0.55000000000000004">
      <c r="A163" s="12"/>
      <c r="B163" s="13"/>
      <c r="C163" s="10"/>
      <c r="D163" s="10"/>
      <c r="E163" s="7">
        <f>+$I$2+(CFAO[[#This Row],[QUANTITE]]*CFAO[[#This Row],[PRIX UNITAIRE]])</f>
        <v>0</v>
      </c>
      <c r="F163" s="14"/>
      <c r="G163" s="6">
        <f>+SUM(E$9:$E163)-SUM(F$9:$F163)</f>
        <v>11981000</v>
      </c>
    </row>
  </sheetData>
  <sheetProtection selectLockedCells="1" autoFilter="0"/>
  <mergeCells count="1">
    <mergeCell ref="B6:C6"/>
  </mergeCells>
  <conditionalFormatting sqref="G4">
    <cfRule type="cellIs" dxfId="308" priority="2" operator="lessThan">
      <formula>0</formula>
    </cfRule>
    <cfRule type="cellIs" dxfId="307" priority="3" operator="greaterThan">
      <formula>0</formula>
    </cfRule>
  </conditionalFormatting>
  <conditionalFormatting sqref="B9:B163">
    <cfRule type="expression" dxfId="306" priority="5">
      <formula>$F9</formula>
    </cfRule>
  </conditionalFormatting>
  <dataValidations count="1">
    <dataValidation type="date" operator="greaterThan" allowBlank="1" showInputMessage="1" showErrorMessage="1" error="VEILLEZ ENTRER UNE DATE VALIDE" sqref="A9:A163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/>
  <dimension ref="A1:I477"/>
  <sheetViews>
    <sheetView showGridLines="0" zoomScale="60" zoomScaleNormal="60" workbookViewId="0">
      <pane ySplit="8" topLeftCell="A384" activePane="bottomLeft" state="frozen"/>
      <selection activeCell="L10" sqref="L10"/>
      <selection pane="bottomLeft" activeCell="A392" sqref="A392"/>
    </sheetView>
  </sheetViews>
  <sheetFormatPr baseColWidth="10" defaultColWidth="11.5546875" defaultRowHeight="14.4" x14ac:dyDescent="0.3"/>
  <cols>
    <col min="1" max="1" width="22.5546875" style="1" customWidth="1"/>
    <col min="2" max="2" width="63.5546875" style="1" bestFit="1" customWidth="1"/>
    <col min="3" max="3" width="19.77734375" style="1" bestFit="1" customWidth="1"/>
    <col min="4" max="4" width="44.21875" style="1" bestFit="1" customWidth="1"/>
    <col min="5" max="5" width="33.77734375" bestFit="1" customWidth="1"/>
    <col min="6" max="6" width="38.44140625" style="1" customWidth="1"/>
    <col min="7" max="7" width="32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 t="s">
        <v>3465</v>
      </c>
      <c r="B1" s="123"/>
      <c r="C1" s="123"/>
      <c r="D1" s="124"/>
      <c r="E1" s="125"/>
      <c r="F1" s="124"/>
      <c r="G1" s="126"/>
      <c r="H1" s="32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H2" s="32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  <c r="H3" s="32"/>
    </row>
    <row r="4" spans="1:9" ht="31.2" x14ac:dyDescent="0.6">
      <c r="A4" s="127"/>
      <c r="B4" s="128"/>
      <c r="C4" s="128"/>
      <c r="D4" s="38" t="s">
        <v>1224</v>
      </c>
      <c r="E4" s="41">
        <f>+SUM(CABF[TOTAL MONTANT])</f>
        <v>214629000</v>
      </c>
      <c r="F4" s="41">
        <f>+SUM(CABF[VERSEMENT])</f>
        <v>175070000</v>
      </c>
      <c r="G4" s="130">
        <f>+E4-F4</f>
        <v>39559000</v>
      </c>
      <c r="H4" s="32"/>
    </row>
    <row r="5" spans="1:9" ht="29.4" thickBot="1" x14ac:dyDescent="0.35">
      <c r="A5" s="127"/>
      <c r="B5" s="3" t="s">
        <v>7</v>
      </c>
      <c r="C5" s="128"/>
      <c r="D5" s="128"/>
      <c r="E5" s="128"/>
      <c r="F5" s="128"/>
      <c r="G5" s="129"/>
      <c r="H5" s="32"/>
    </row>
    <row r="6" spans="1:9" ht="37.200000000000003" thickBot="1" x14ac:dyDescent="0.75">
      <c r="A6" s="127"/>
      <c r="B6" s="168" t="s">
        <v>864</v>
      </c>
      <c r="C6" s="169"/>
      <c r="D6" s="128"/>
      <c r="E6" s="151" t="b">
        <v>1</v>
      </c>
      <c r="F6" s="128"/>
      <c r="G6" s="129"/>
      <c r="H6" s="32"/>
    </row>
    <row r="7" spans="1:9" ht="15" thickBot="1" x14ac:dyDescent="0.35">
      <c r="A7" s="147"/>
      <c r="B7" s="148"/>
      <c r="C7" s="148"/>
      <c r="D7" s="148"/>
      <c r="E7" s="148"/>
      <c r="F7" s="148"/>
      <c r="G7" s="152"/>
      <c r="H7" s="32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43921</v>
      </c>
      <c r="B9" s="13" t="s">
        <v>866</v>
      </c>
      <c r="C9" s="10">
        <v>2</v>
      </c>
      <c r="D9" s="10">
        <v>100000</v>
      </c>
      <c r="E9" s="7">
        <f>+$I$2+(CABF[[#This Row],[QUANTITE]]*CABF[[#This Row],[PRIX UNITAIRE]])</f>
        <v>200000</v>
      </c>
      <c r="F9" s="30">
        <v>0</v>
      </c>
      <c r="G9" s="6">
        <f>+SUM(E$9:$E9)-SUM(F$9:$F9)</f>
        <v>200000</v>
      </c>
    </row>
    <row r="10" spans="1:9" ht="28.8" x14ac:dyDescent="0.55000000000000004">
      <c r="A10" s="12">
        <v>44007</v>
      </c>
      <c r="B10" s="13" t="s">
        <v>78</v>
      </c>
      <c r="C10" s="10">
        <v>13</v>
      </c>
      <c r="D10" s="10">
        <v>125000</v>
      </c>
      <c r="E10" s="7">
        <f>+$I$2+(CABF[[#This Row],[QUANTITE]]*CABF[[#This Row],[PRIX UNITAIRE]])</f>
        <v>1625000</v>
      </c>
      <c r="F10" s="30">
        <v>0</v>
      </c>
      <c r="G10" s="6">
        <f>+SUM(E$9:$E10)-SUM(F$9:$F10)</f>
        <v>1825000</v>
      </c>
    </row>
    <row r="11" spans="1:9" ht="28.8" x14ac:dyDescent="0.55000000000000004">
      <c r="A11" s="12">
        <v>44007</v>
      </c>
      <c r="B11" s="13" t="s">
        <v>865</v>
      </c>
      <c r="C11" s="10">
        <v>5</v>
      </c>
      <c r="D11" s="10">
        <v>160000</v>
      </c>
      <c r="E11" s="7">
        <f>+$I$2+(CABF[[#This Row],[QUANTITE]]*CABF[[#This Row],[PRIX UNITAIRE]])</f>
        <v>800000</v>
      </c>
      <c r="F11" s="30">
        <v>0</v>
      </c>
      <c r="G11" s="6">
        <f>+SUM(E$9:$E11)-SUM(F$9:$F11)</f>
        <v>2625000</v>
      </c>
    </row>
    <row r="12" spans="1:9" ht="28.8" x14ac:dyDescent="0.55000000000000004">
      <c r="A12" s="12">
        <v>44007</v>
      </c>
      <c r="B12" s="13" t="s">
        <v>867</v>
      </c>
      <c r="C12" s="10">
        <v>2</v>
      </c>
      <c r="D12" s="10">
        <v>7500</v>
      </c>
      <c r="E12" s="7">
        <f>+$I$2+(CABF[[#This Row],[QUANTITE]]*CABF[[#This Row],[PRIX UNITAIRE]])</f>
        <v>15000</v>
      </c>
      <c r="F12" s="30">
        <v>0</v>
      </c>
      <c r="G12" s="6">
        <f>+SUM(E$9:$E12)-SUM(F$9:$F12)</f>
        <v>2640000</v>
      </c>
    </row>
    <row r="13" spans="1:9" ht="28.8" x14ac:dyDescent="0.55000000000000004">
      <c r="A13" s="12">
        <v>44033</v>
      </c>
      <c r="B13" s="13" t="s">
        <v>451</v>
      </c>
      <c r="C13" s="10">
        <v>1</v>
      </c>
      <c r="D13" s="10">
        <v>0</v>
      </c>
      <c r="E13" s="7">
        <f>+$I$2+(CABF[[#This Row],[QUANTITE]]*CABF[[#This Row],[PRIX UNITAIRE]])</f>
        <v>0</v>
      </c>
      <c r="F13" s="30">
        <v>0</v>
      </c>
      <c r="G13" s="6">
        <f>+SUM(E$9:$E13)-SUM(F$9:$F13)</f>
        <v>2640000</v>
      </c>
    </row>
    <row r="14" spans="1:9" ht="28.8" x14ac:dyDescent="0.55000000000000004">
      <c r="A14" s="12">
        <v>44077</v>
      </c>
      <c r="B14" s="13" t="s">
        <v>78</v>
      </c>
      <c r="C14" s="10">
        <v>12</v>
      </c>
      <c r="D14" s="10">
        <v>125000</v>
      </c>
      <c r="E14" s="7">
        <f>+$I$2+(CABF[[#This Row],[QUANTITE]]*CABF[[#This Row],[PRIX UNITAIRE]])</f>
        <v>1500000</v>
      </c>
      <c r="F14" s="30">
        <v>1500000</v>
      </c>
      <c r="G14" s="6">
        <f>+SUM(E$9:$E14)-SUM(F$9:$F14)</f>
        <v>2640000</v>
      </c>
    </row>
    <row r="15" spans="1:9" ht="28.8" x14ac:dyDescent="0.55000000000000004">
      <c r="A15" s="12">
        <v>44077</v>
      </c>
      <c r="B15" s="13" t="s">
        <v>865</v>
      </c>
      <c r="C15" s="10">
        <v>2</v>
      </c>
      <c r="D15" s="10">
        <v>160000</v>
      </c>
      <c r="E15" s="7">
        <f>+$I$2+(CABF[[#This Row],[QUANTITE]]*CABF[[#This Row],[PRIX UNITAIRE]])</f>
        <v>320000</v>
      </c>
      <c r="F15" s="30">
        <v>0</v>
      </c>
      <c r="G15" s="6">
        <f>+SUM(E$9:$E15)-SUM(F$9:$F15)</f>
        <v>2960000</v>
      </c>
    </row>
    <row r="16" spans="1:9" ht="28.8" x14ac:dyDescent="0.55000000000000004">
      <c r="A16" s="12">
        <v>44077</v>
      </c>
      <c r="B16" s="13" t="s">
        <v>868</v>
      </c>
      <c r="C16" s="10">
        <v>4</v>
      </c>
      <c r="D16" s="10">
        <v>135000</v>
      </c>
      <c r="E16" s="7">
        <f>+$I$2+(CABF[[#This Row],[QUANTITE]]*CABF[[#This Row],[PRIX UNITAIRE]])</f>
        <v>540000</v>
      </c>
      <c r="F16" s="30">
        <v>0</v>
      </c>
      <c r="G16" s="6">
        <f>+SUM(E$9:$E16)-SUM(F$9:$F16)</f>
        <v>3500000</v>
      </c>
    </row>
    <row r="17" spans="1:7" ht="28.8" x14ac:dyDescent="0.55000000000000004">
      <c r="A17" s="12">
        <v>44139</v>
      </c>
      <c r="B17" s="13" t="s">
        <v>869</v>
      </c>
      <c r="C17" s="10">
        <v>1</v>
      </c>
      <c r="D17" s="10">
        <v>0</v>
      </c>
      <c r="E17" s="7">
        <f>+$I$2+(CABF[[#This Row],[QUANTITE]]*CABF[[#This Row],[PRIX UNITAIRE]])</f>
        <v>0</v>
      </c>
      <c r="F17" s="30">
        <v>0</v>
      </c>
      <c r="G17" s="6">
        <f>+SUM(E$9:$E17)-SUM(F$9:$F17)</f>
        <v>3500000</v>
      </c>
    </row>
    <row r="18" spans="1:7" ht="28.8" x14ac:dyDescent="0.55000000000000004">
      <c r="A18" s="12">
        <v>44139</v>
      </c>
      <c r="B18" s="13" t="s">
        <v>865</v>
      </c>
      <c r="C18" s="10">
        <v>5</v>
      </c>
      <c r="D18" s="10">
        <v>160000</v>
      </c>
      <c r="E18" s="7">
        <f>+$I$2+(CABF[[#This Row],[QUANTITE]]*CABF[[#This Row],[PRIX UNITAIRE]])</f>
        <v>800000</v>
      </c>
      <c r="F18" s="30">
        <v>2000000</v>
      </c>
      <c r="G18" s="6">
        <f>+SUM(E$9:$E18)-SUM(F$9:$F18)</f>
        <v>2300000</v>
      </c>
    </row>
    <row r="19" spans="1:7" ht="28.8" x14ac:dyDescent="0.55000000000000004">
      <c r="A19" s="12">
        <v>44145</v>
      </c>
      <c r="B19" s="13" t="s">
        <v>78</v>
      </c>
      <c r="C19" s="10">
        <v>6</v>
      </c>
      <c r="D19" s="10">
        <v>125000</v>
      </c>
      <c r="E19" s="7">
        <f>+$I$2+(CABF[[#This Row],[QUANTITE]]*CABF[[#This Row],[PRIX UNITAIRE]])</f>
        <v>750000</v>
      </c>
      <c r="F19" s="30">
        <v>0</v>
      </c>
      <c r="G19" s="6">
        <f>+SUM(E$9:$E19)-SUM(F$9:$F19)</f>
        <v>3050000</v>
      </c>
    </row>
    <row r="20" spans="1:7" ht="28.8" x14ac:dyDescent="0.55000000000000004">
      <c r="A20" s="12">
        <v>44145</v>
      </c>
      <c r="B20" s="13" t="s">
        <v>870</v>
      </c>
      <c r="C20" s="10">
        <v>2</v>
      </c>
      <c r="D20" s="10">
        <v>100000</v>
      </c>
      <c r="E20" s="7">
        <f>+$I$2+(CABF[[#This Row],[QUANTITE]]*CABF[[#This Row],[PRIX UNITAIRE]])</f>
        <v>200000</v>
      </c>
      <c r="F20" s="30">
        <v>0</v>
      </c>
      <c r="G20" s="6">
        <f>+SUM(E$9:$E20)-SUM(F$9:$F20)</f>
        <v>3250000</v>
      </c>
    </row>
    <row r="21" spans="1:7" ht="28.8" x14ac:dyDescent="0.55000000000000004">
      <c r="A21" s="12">
        <v>44146</v>
      </c>
      <c r="B21" s="13" t="s">
        <v>865</v>
      </c>
      <c r="C21" s="10">
        <v>4</v>
      </c>
      <c r="D21" s="10">
        <v>160000</v>
      </c>
      <c r="E21" s="7">
        <f>+$I$2+(CABF[[#This Row],[QUANTITE]]*CABF[[#This Row],[PRIX UNITAIRE]])</f>
        <v>640000</v>
      </c>
      <c r="F21" s="30">
        <v>0</v>
      </c>
      <c r="G21" s="6">
        <f>+SUM(E$9:$E21)-SUM(F$9:$F21)</f>
        <v>3890000</v>
      </c>
    </row>
    <row r="22" spans="1:7" ht="28.8" x14ac:dyDescent="0.55000000000000004">
      <c r="A22" s="12">
        <v>44152</v>
      </c>
      <c r="B22" s="13" t="s">
        <v>871</v>
      </c>
      <c r="C22" s="10">
        <v>2</v>
      </c>
      <c r="D22" s="10">
        <v>80000</v>
      </c>
      <c r="E22" s="7">
        <f>+$I$2+(CABF[[#This Row],[QUANTITE]]*CABF[[#This Row],[PRIX UNITAIRE]])</f>
        <v>160000</v>
      </c>
      <c r="F22" s="30">
        <v>0</v>
      </c>
      <c r="G22" s="6">
        <f>+SUM(E$9:$E22)-SUM(F$9:$F22)</f>
        <v>4050000</v>
      </c>
    </row>
    <row r="23" spans="1:7" ht="28.8" x14ac:dyDescent="0.55000000000000004">
      <c r="A23" s="12">
        <v>44162</v>
      </c>
      <c r="B23" s="13" t="s">
        <v>872</v>
      </c>
      <c r="C23" s="10">
        <v>1</v>
      </c>
      <c r="D23" s="10">
        <v>0</v>
      </c>
      <c r="E23" s="7">
        <f>+$I$2+(CABF[[#This Row],[QUANTITE]]*CABF[[#This Row],[PRIX UNITAIRE]])</f>
        <v>0</v>
      </c>
      <c r="F23" s="30">
        <v>0</v>
      </c>
      <c r="G23" s="6">
        <f>+SUM(E$9:$E23)-SUM(F$9:$F23)</f>
        <v>4050000</v>
      </c>
    </row>
    <row r="24" spans="1:7" ht="28.8" x14ac:dyDescent="0.55000000000000004">
      <c r="A24" s="12">
        <v>44175</v>
      </c>
      <c r="B24" s="13" t="s">
        <v>238</v>
      </c>
      <c r="C24" s="10">
        <v>2</v>
      </c>
      <c r="D24" s="10">
        <v>170000</v>
      </c>
      <c r="E24" s="7">
        <f>+$I$2+(CABF[[#This Row],[QUANTITE]]*CABF[[#This Row],[PRIX UNITAIRE]])</f>
        <v>340000</v>
      </c>
      <c r="F24" s="30">
        <v>2000000</v>
      </c>
      <c r="G24" s="6">
        <f>+SUM(E$9:$E24)-SUM(F$9:$F24)</f>
        <v>2390000</v>
      </c>
    </row>
    <row r="25" spans="1:7" ht="28.8" x14ac:dyDescent="0.55000000000000004">
      <c r="A25" s="12">
        <v>44188</v>
      </c>
      <c r="B25" s="13" t="s">
        <v>873</v>
      </c>
      <c r="C25" s="10">
        <v>4</v>
      </c>
      <c r="D25" s="10">
        <v>120000</v>
      </c>
      <c r="E25" s="7">
        <f>+$I$2+(CABF[[#This Row],[QUANTITE]]*CABF[[#This Row],[PRIX UNITAIRE]])</f>
        <v>480000</v>
      </c>
      <c r="F25" s="30">
        <v>0</v>
      </c>
      <c r="G25" s="6">
        <f>+SUM(E$9:$E25)-SUM(F$9:$F25)</f>
        <v>2870000</v>
      </c>
    </row>
    <row r="26" spans="1:7" ht="28.8" x14ac:dyDescent="0.55000000000000004">
      <c r="A26" s="12">
        <v>44203</v>
      </c>
      <c r="B26" s="13" t="s">
        <v>874</v>
      </c>
      <c r="C26" s="10">
        <v>4</v>
      </c>
      <c r="D26" s="10">
        <v>60000</v>
      </c>
      <c r="E26" s="7">
        <f>+$I$2+(CABF[[#This Row],[QUANTITE]]*CABF[[#This Row],[PRIX UNITAIRE]])</f>
        <v>240000</v>
      </c>
      <c r="F26" s="30">
        <v>0</v>
      </c>
      <c r="G26" s="6">
        <f>+SUM(E$9:$E26)-SUM(F$9:$F26)</f>
        <v>3110000</v>
      </c>
    </row>
    <row r="27" spans="1:7" ht="28.8" x14ac:dyDescent="0.55000000000000004">
      <c r="A27" s="12">
        <v>44205</v>
      </c>
      <c r="B27" s="13" t="s">
        <v>875</v>
      </c>
      <c r="C27" s="10">
        <v>1</v>
      </c>
      <c r="D27" s="10">
        <v>130000</v>
      </c>
      <c r="E27" s="7">
        <f>+$I$2+(CABF[[#This Row],[QUANTITE]]*CABF[[#This Row],[PRIX UNITAIRE]])</f>
        <v>130000</v>
      </c>
      <c r="F27" s="30">
        <v>0</v>
      </c>
      <c r="G27" s="6">
        <f>+SUM(E$9:$E27)-SUM(F$9:$F27)</f>
        <v>3240000</v>
      </c>
    </row>
    <row r="28" spans="1:7" ht="28.8" x14ac:dyDescent="0.55000000000000004">
      <c r="A28" s="12">
        <v>44249</v>
      </c>
      <c r="B28" s="13" t="s">
        <v>876</v>
      </c>
      <c r="C28" s="10">
        <v>1</v>
      </c>
      <c r="D28" s="10">
        <v>0</v>
      </c>
      <c r="E28" s="7">
        <f>+$I$2+(CABF[[#This Row],[QUANTITE]]*CABF[[#This Row],[PRIX UNITAIRE]])</f>
        <v>0</v>
      </c>
      <c r="F28" s="30">
        <v>0</v>
      </c>
      <c r="G28" s="6">
        <f>+SUM(E$9:$E28)-SUM(F$9:$F28)</f>
        <v>3240000</v>
      </c>
    </row>
    <row r="29" spans="1:7" ht="28.8" x14ac:dyDescent="0.55000000000000004">
      <c r="A29" s="12">
        <v>44250</v>
      </c>
      <c r="B29" s="13" t="s">
        <v>877</v>
      </c>
      <c r="C29" s="10">
        <v>2</v>
      </c>
      <c r="D29" s="10">
        <v>340000</v>
      </c>
      <c r="E29" s="7">
        <f>+$I$2+(CABF[[#This Row],[QUANTITE]]*CABF[[#This Row],[PRIX UNITAIRE]])</f>
        <v>680000</v>
      </c>
      <c r="F29" s="30">
        <v>3000000</v>
      </c>
      <c r="G29" s="6">
        <f>+SUM(E$9:$E29)-SUM(F$9:$F29)</f>
        <v>920000</v>
      </c>
    </row>
    <row r="30" spans="1:7" ht="28.8" x14ac:dyDescent="0.55000000000000004">
      <c r="A30" s="12">
        <v>44250</v>
      </c>
      <c r="B30" s="13" t="s">
        <v>78</v>
      </c>
      <c r="C30" s="10">
        <v>22</v>
      </c>
      <c r="D30" s="10">
        <v>125000</v>
      </c>
      <c r="E30" s="7">
        <f>+$I$2+(CABF[[#This Row],[QUANTITE]]*CABF[[#This Row],[PRIX UNITAIRE]])</f>
        <v>2750000</v>
      </c>
      <c r="F30" s="30">
        <v>0</v>
      </c>
      <c r="G30" s="6">
        <f>+SUM(E$9:$E30)-SUM(F$9:$F30)</f>
        <v>3670000</v>
      </c>
    </row>
    <row r="31" spans="1:7" ht="28.8" x14ac:dyDescent="0.55000000000000004">
      <c r="A31" s="12">
        <v>44250</v>
      </c>
      <c r="B31" s="13" t="s">
        <v>865</v>
      </c>
      <c r="C31" s="10">
        <v>33</v>
      </c>
      <c r="D31" s="10">
        <v>160000</v>
      </c>
      <c r="E31" s="7">
        <f>+$I$2+(CABF[[#This Row],[QUANTITE]]*CABF[[#This Row],[PRIX UNITAIRE]])</f>
        <v>5280000</v>
      </c>
      <c r="F31" s="30">
        <v>0</v>
      </c>
      <c r="G31" s="6">
        <f>+SUM(E$9:$E31)-SUM(F$9:$F31)</f>
        <v>8950000</v>
      </c>
    </row>
    <row r="32" spans="1:7" ht="28.8" x14ac:dyDescent="0.55000000000000004">
      <c r="A32" s="12">
        <v>44250</v>
      </c>
      <c r="B32" s="13" t="s">
        <v>878</v>
      </c>
      <c r="C32" s="10">
        <v>2</v>
      </c>
      <c r="D32" s="10">
        <v>100000</v>
      </c>
      <c r="E32" s="7">
        <f>+$I$2+(CABF[[#This Row],[QUANTITE]]*CABF[[#This Row],[PRIX UNITAIRE]])</f>
        <v>200000</v>
      </c>
      <c r="F32" s="30">
        <v>0</v>
      </c>
      <c r="G32" s="6">
        <f>+SUM(E$9:$E32)-SUM(F$9:$F32)</f>
        <v>9150000</v>
      </c>
    </row>
    <row r="33" spans="1:7" ht="28.8" x14ac:dyDescent="0.55000000000000004">
      <c r="A33" s="12">
        <v>44265</v>
      </c>
      <c r="B33" s="13" t="s">
        <v>879</v>
      </c>
      <c r="C33" s="10">
        <v>2</v>
      </c>
      <c r="D33" s="10">
        <v>130000</v>
      </c>
      <c r="E33" s="7">
        <f>+$I$2+(CABF[[#This Row],[QUANTITE]]*CABF[[#This Row],[PRIX UNITAIRE]])</f>
        <v>260000</v>
      </c>
      <c r="F33" s="30">
        <v>0</v>
      </c>
      <c r="G33" s="6">
        <f>+SUM(E$9:$E33)-SUM(F$9:$F33)</f>
        <v>9410000</v>
      </c>
    </row>
    <row r="34" spans="1:7" ht="28.8" x14ac:dyDescent="0.55000000000000004">
      <c r="A34" s="12">
        <v>44278</v>
      </c>
      <c r="B34" s="13" t="s">
        <v>238</v>
      </c>
      <c r="C34" s="10">
        <v>4</v>
      </c>
      <c r="D34" s="10">
        <v>170000</v>
      </c>
      <c r="E34" s="7">
        <f>+$I$2+(CABF[[#This Row],[QUANTITE]]*CABF[[#This Row],[PRIX UNITAIRE]])</f>
        <v>680000</v>
      </c>
      <c r="F34" s="30">
        <v>0</v>
      </c>
      <c r="G34" s="6">
        <f>+SUM(E$9:$E34)-SUM(F$9:$F34)</f>
        <v>10090000</v>
      </c>
    </row>
    <row r="35" spans="1:7" ht="28.8" x14ac:dyDescent="0.55000000000000004">
      <c r="A35" s="12">
        <v>44285</v>
      </c>
      <c r="B35" s="13" t="s">
        <v>451</v>
      </c>
      <c r="C35" s="10">
        <v>1</v>
      </c>
      <c r="D35" s="10">
        <v>0</v>
      </c>
      <c r="E35" s="7">
        <f>+$I$2+(CABF[[#This Row],[QUANTITE]]*CABF[[#This Row],[PRIX UNITAIRE]])</f>
        <v>0</v>
      </c>
      <c r="F35" s="30">
        <v>0</v>
      </c>
      <c r="G35" s="6">
        <f>+SUM(E$9:$E35)-SUM(F$9:$F35)</f>
        <v>10090000</v>
      </c>
    </row>
    <row r="36" spans="1:7" ht="28.8" x14ac:dyDescent="0.55000000000000004">
      <c r="A36" s="12">
        <v>44301</v>
      </c>
      <c r="B36" s="13" t="s">
        <v>738</v>
      </c>
      <c r="C36" s="10">
        <v>2</v>
      </c>
      <c r="D36" s="10">
        <v>85000</v>
      </c>
      <c r="E36" s="7">
        <f>+$I$2+(CABF[[#This Row],[QUANTITE]]*CABF[[#This Row],[PRIX UNITAIRE]])</f>
        <v>170000</v>
      </c>
      <c r="F36" s="30">
        <v>4000000</v>
      </c>
      <c r="G36" s="6">
        <f>+SUM(E$9:$E36)-SUM(F$9:$F36)</f>
        <v>6260000</v>
      </c>
    </row>
    <row r="37" spans="1:7" ht="28.8" x14ac:dyDescent="0.55000000000000004">
      <c r="A37" s="12">
        <v>44349</v>
      </c>
      <c r="B37" s="13" t="s">
        <v>238</v>
      </c>
      <c r="C37" s="10">
        <v>6</v>
      </c>
      <c r="D37" s="10">
        <v>170000</v>
      </c>
      <c r="E37" s="7">
        <f>+$I$2+(CABF[[#This Row],[QUANTITE]]*CABF[[#This Row],[PRIX UNITAIRE]])</f>
        <v>1020000</v>
      </c>
      <c r="F37" s="30">
        <v>0</v>
      </c>
      <c r="G37" s="6">
        <f>+SUM(E$9:$E37)-SUM(F$9:$F37)</f>
        <v>7280000</v>
      </c>
    </row>
    <row r="38" spans="1:7" ht="28.8" x14ac:dyDescent="0.55000000000000004">
      <c r="A38" s="12">
        <v>44349</v>
      </c>
      <c r="B38" s="13" t="s">
        <v>880</v>
      </c>
      <c r="C38" s="10">
        <v>4</v>
      </c>
      <c r="D38" s="10">
        <v>150000</v>
      </c>
      <c r="E38" s="7">
        <f>+$I$2+(CABF[[#This Row],[QUANTITE]]*CABF[[#This Row],[PRIX UNITAIRE]])</f>
        <v>600000</v>
      </c>
      <c r="F38" s="30">
        <v>0</v>
      </c>
      <c r="G38" s="6">
        <f>+SUM(E$9:$E38)-SUM(F$9:$F38)</f>
        <v>7880000</v>
      </c>
    </row>
    <row r="39" spans="1:7" ht="28.8" x14ac:dyDescent="0.55000000000000004">
      <c r="A39" s="12">
        <v>44349</v>
      </c>
      <c r="B39" s="13" t="s">
        <v>881</v>
      </c>
      <c r="C39" s="10">
        <v>1</v>
      </c>
      <c r="D39" s="10">
        <v>65000</v>
      </c>
      <c r="E39" s="7">
        <f>+$I$2+(CABF[[#This Row],[QUANTITE]]*CABF[[#This Row],[PRIX UNITAIRE]])</f>
        <v>65000</v>
      </c>
      <c r="F39" s="30">
        <v>0</v>
      </c>
      <c r="G39" s="6">
        <f>+SUM(E$9:$E39)-SUM(F$9:$F39)</f>
        <v>7945000</v>
      </c>
    </row>
    <row r="40" spans="1:7" ht="28.8" x14ac:dyDescent="0.55000000000000004">
      <c r="A40" s="12">
        <v>44372</v>
      </c>
      <c r="B40" s="13" t="s">
        <v>882</v>
      </c>
      <c r="C40" s="10">
        <v>6</v>
      </c>
      <c r="D40" s="10">
        <v>175000</v>
      </c>
      <c r="E40" s="7">
        <f>+$I$2+(CABF[[#This Row],[QUANTITE]]*CABF[[#This Row],[PRIX UNITAIRE]])</f>
        <v>1050000</v>
      </c>
      <c r="F40" s="30">
        <v>0</v>
      </c>
      <c r="G40" s="6">
        <f>+SUM(E$9:$E40)-SUM(F$9:$F40)</f>
        <v>8995000</v>
      </c>
    </row>
    <row r="41" spans="1:7" ht="28.8" x14ac:dyDescent="0.55000000000000004">
      <c r="A41" s="12">
        <v>44372</v>
      </c>
      <c r="B41" s="13" t="s">
        <v>883</v>
      </c>
      <c r="C41" s="10">
        <v>1</v>
      </c>
      <c r="D41" s="10">
        <v>5000</v>
      </c>
      <c r="E41" s="7">
        <f>+$I$2+(CABF[[#This Row],[QUANTITE]]*CABF[[#This Row],[PRIX UNITAIRE]])</f>
        <v>5000</v>
      </c>
      <c r="F41" s="30">
        <v>0</v>
      </c>
      <c r="G41" s="6">
        <f>+SUM(E$9:$E41)-SUM(F$9:$F41)</f>
        <v>9000000</v>
      </c>
    </row>
    <row r="42" spans="1:7" ht="28.8" x14ac:dyDescent="0.55000000000000004">
      <c r="A42" s="12">
        <v>44342</v>
      </c>
      <c r="B42" s="13" t="s">
        <v>884</v>
      </c>
      <c r="C42" s="10">
        <v>4</v>
      </c>
      <c r="D42" s="10">
        <v>125000</v>
      </c>
      <c r="E42" s="7">
        <f>+$I$2+(CABF[[#This Row],[QUANTITE]]*CABF[[#This Row],[PRIX UNITAIRE]])</f>
        <v>500000</v>
      </c>
      <c r="F42" s="30">
        <v>0</v>
      </c>
      <c r="G42" s="6">
        <f>+SUM(E$9:$E42)-SUM(F$9:$F42)</f>
        <v>9500000</v>
      </c>
    </row>
    <row r="43" spans="1:7" ht="28.8" x14ac:dyDescent="0.55000000000000004">
      <c r="A43" s="12">
        <v>44411</v>
      </c>
      <c r="B43" s="13" t="s">
        <v>700</v>
      </c>
      <c r="C43" s="10">
        <v>1</v>
      </c>
      <c r="D43" s="10">
        <v>0</v>
      </c>
      <c r="E43" s="7">
        <f>+$I$2+(CABF[[#This Row],[QUANTITE]]*CABF[[#This Row],[PRIX UNITAIRE]])</f>
        <v>0</v>
      </c>
      <c r="F43" s="30">
        <v>0</v>
      </c>
      <c r="G43" s="6">
        <f>+SUM(E$9:$E43)-SUM(F$9:$F43)</f>
        <v>9500000</v>
      </c>
    </row>
    <row r="44" spans="1:7" ht="28.8" x14ac:dyDescent="0.55000000000000004">
      <c r="A44" s="12">
        <v>44411</v>
      </c>
      <c r="B44" s="13" t="s">
        <v>885</v>
      </c>
      <c r="C44" s="10">
        <v>2</v>
      </c>
      <c r="D44" s="10">
        <v>130000</v>
      </c>
      <c r="E44" s="7">
        <f>+$I$2+(CABF[[#This Row],[QUANTITE]]*CABF[[#This Row],[PRIX UNITAIRE]])</f>
        <v>260000</v>
      </c>
      <c r="F44" s="30">
        <v>3000000</v>
      </c>
      <c r="G44" s="6">
        <f>+SUM(E$9:$E44)-SUM(F$9:$F44)</f>
        <v>6760000</v>
      </c>
    </row>
    <row r="45" spans="1:7" ht="28.8" x14ac:dyDescent="0.55000000000000004">
      <c r="A45" s="12">
        <v>44412</v>
      </c>
      <c r="B45" s="13" t="s">
        <v>881</v>
      </c>
      <c r="C45" s="10">
        <v>1</v>
      </c>
      <c r="D45" s="10">
        <v>65000</v>
      </c>
      <c r="E45" s="7">
        <f>+$I$2+(CABF[[#This Row],[QUANTITE]]*CABF[[#This Row],[PRIX UNITAIRE]])</f>
        <v>65000</v>
      </c>
      <c r="F45" s="30">
        <v>0</v>
      </c>
      <c r="G45" s="6">
        <f>+SUM(E$9:$E45)-SUM(F$9:$F45)</f>
        <v>6825000</v>
      </c>
    </row>
    <row r="46" spans="1:7" ht="28.8" x14ac:dyDescent="0.55000000000000004">
      <c r="A46" s="12">
        <v>44412</v>
      </c>
      <c r="B46" s="13" t="s">
        <v>886</v>
      </c>
      <c r="C46" s="10">
        <v>2</v>
      </c>
      <c r="D46" s="10">
        <v>100000</v>
      </c>
      <c r="E46" s="7">
        <f>+$I$2+(CABF[[#This Row],[QUANTITE]]*CABF[[#This Row],[PRIX UNITAIRE]])</f>
        <v>200000</v>
      </c>
      <c r="F46" s="30">
        <v>0</v>
      </c>
      <c r="G46" s="6">
        <f>+SUM(E$9:$E46)-SUM(F$9:$F46)</f>
        <v>7025000</v>
      </c>
    </row>
    <row r="47" spans="1:7" ht="28.8" x14ac:dyDescent="0.55000000000000004">
      <c r="A47" s="12">
        <v>44419</v>
      </c>
      <c r="B47" s="13" t="s">
        <v>887</v>
      </c>
      <c r="C47" s="10">
        <v>6</v>
      </c>
      <c r="D47" s="10">
        <v>150000</v>
      </c>
      <c r="E47" s="7">
        <f>+$I$2+(CABF[[#This Row],[QUANTITE]]*CABF[[#This Row],[PRIX UNITAIRE]])</f>
        <v>900000</v>
      </c>
      <c r="F47" s="30">
        <v>0</v>
      </c>
      <c r="G47" s="6">
        <f>+SUM(E$9:$E47)-SUM(F$9:$F47)</f>
        <v>7925000</v>
      </c>
    </row>
    <row r="48" spans="1:7" ht="28.8" x14ac:dyDescent="0.55000000000000004">
      <c r="A48" s="12">
        <v>44443</v>
      </c>
      <c r="B48" s="13" t="s">
        <v>888</v>
      </c>
      <c r="C48" s="10">
        <v>4</v>
      </c>
      <c r="D48" s="10">
        <v>130000</v>
      </c>
      <c r="E48" s="7">
        <f>+$I$2+(CABF[[#This Row],[QUANTITE]]*CABF[[#This Row],[PRIX UNITAIRE]])</f>
        <v>520000</v>
      </c>
      <c r="F48" s="30">
        <v>0</v>
      </c>
      <c r="G48" s="6">
        <f>+SUM(E$9:$E48)-SUM(F$9:$F48)</f>
        <v>8445000</v>
      </c>
    </row>
    <row r="49" spans="1:7" ht="28.8" x14ac:dyDescent="0.55000000000000004">
      <c r="A49" s="12">
        <v>44445</v>
      </c>
      <c r="B49" s="13" t="s">
        <v>889</v>
      </c>
      <c r="C49" s="10">
        <v>4</v>
      </c>
      <c r="D49" s="10">
        <v>30000</v>
      </c>
      <c r="E49" s="7">
        <f>+$I$2+(CABF[[#This Row],[QUANTITE]]*CABF[[#This Row],[PRIX UNITAIRE]])</f>
        <v>120000</v>
      </c>
      <c r="F49" s="30">
        <v>0</v>
      </c>
      <c r="G49" s="6">
        <f>+SUM(E$9:$E49)-SUM(F$9:$F49)</f>
        <v>8565000</v>
      </c>
    </row>
    <row r="50" spans="1:7" ht="28.8" x14ac:dyDescent="0.55000000000000004">
      <c r="A50" s="12">
        <v>44449</v>
      </c>
      <c r="B50" s="13" t="s">
        <v>249</v>
      </c>
      <c r="C50" s="10">
        <v>2</v>
      </c>
      <c r="D50" s="10">
        <v>125000</v>
      </c>
      <c r="E50" s="7">
        <f>+$I$2+(CABF[[#This Row],[QUANTITE]]*CABF[[#This Row],[PRIX UNITAIRE]])</f>
        <v>250000</v>
      </c>
      <c r="F50" s="30">
        <v>0</v>
      </c>
      <c r="G50" s="6">
        <f>+SUM(E$9:$E50)-SUM(F$9:$F50)</f>
        <v>8815000</v>
      </c>
    </row>
    <row r="51" spans="1:7" ht="28.8" x14ac:dyDescent="0.55000000000000004">
      <c r="A51" s="12">
        <v>44450</v>
      </c>
      <c r="B51" s="13" t="s">
        <v>890</v>
      </c>
      <c r="C51" s="10">
        <v>2</v>
      </c>
      <c r="D51" s="10">
        <v>175000</v>
      </c>
      <c r="E51" s="7">
        <f>+$I$2+(CABF[[#This Row],[QUANTITE]]*CABF[[#This Row],[PRIX UNITAIRE]])</f>
        <v>350000</v>
      </c>
      <c r="F51" s="30">
        <v>0</v>
      </c>
      <c r="G51" s="6">
        <f>+SUM(E$9:$E51)-SUM(F$9:$F51)</f>
        <v>9165000</v>
      </c>
    </row>
    <row r="52" spans="1:7" ht="28.8" x14ac:dyDescent="0.55000000000000004">
      <c r="A52" s="12">
        <v>44411</v>
      </c>
      <c r="B52" s="13" t="s">
        <v>700</v>
      </c>
      <c r="C52" s="10">
        <v>1</v>
      </c>
      <c r="D52" s="10">
        <v>0</v>
      </c>
      <c r="E52" s="7">
        <f>+$I$2+(CABF[[#This Row],[QUANTITE]]*CABF[[#This Row],[PRIX UNITAIRE]])</f>
        <v>0</v>
      </c>
      <c r="F52" s="30">
        <v>0</v>
      </c>
      <c r="G52" s="6">
        <f>+SUM(E$9:$E52)-SUM(F$9:$F52)</f>
        <v>9165000</v>
      </c>
    </row>
    <row r="53" spans="1:7" ht="28.8" x14ac:dyDescent="0.55000000000000004">
      <c r="A53" s="12">
        <v>44467</v>
      </c>
      <c r="B53" s="13" t="s">
        <v>249</v>
      </c>
      <c r="C53" s="10">
        <v>4</v>
      </c>
      <c r="D53" s="10">
        <v>125000</v>
      </c>
      <c r="E53" s="7">
        <f>+$I$2+(CABF[[#This Row],[QUANTITE]]*CABF[[#This Row],[PRIX UNITAIRE]])</f>
        <v>500000</v>
      </c>
      <c r="F53" s="30">
        <v>3000000</v>
      </c>
      <c r="G53" s="6">
        <f>+SUM(E$9:$E53)-SUM(F$9:$F53)</f>
        <v>6665000</v>
      </c>
    </row>
    <row r="54" spans="1:7" ht="28.8" x14ac:dyDescent="0.55000000000000004">
      <c r="A54" s="12"/>
      <c r="B54" s="13" t="s">
        <v>891</v>
      </c>
      <c r="C54" s="10">
        <v>4</v>
      </c>
      <c r="D54" s="10">
        <v>150000</v>
      </c>
      <c r="E54" s="7">
        <f>+$I$2+(CABF[[#This Row],[QUANTITE]]*CABF[[#This Row],[PRIX UNITAIRE]])</f>
        <v>600000</v>
      </c>
      <c r="F54" s="30">
        <v>0</v>
      </c>
      <c r="G54" s="6">
        <f>+SUM(E$9:$E54)-SUM(F$9:$F54)</f>
        <v>7265000</v>
      </c>
    </row>
    <row r="55" spans="1:7" ht="28.8" x14ac:dyDescent="0.55000000000000004">
      <c r="A55" s="12">
        <v>44474</v>
      </c>
      <c r="B55" s="13" t="s">
        <v>892</v>
      </c>
      <c r="C55" s="10">
        <v>3</v>
      </c>
      <c r="D55" s="10">
        <v>60000</v>
      </c>
      <c r="E55" s="7">
        <f>+$I$2+(CABF[[#This Row],[QUANTITE]]*CABF[[#This Row],[PRIX UNITAIRE]])</f>
        <v>180000</v>
      </c>
      <c r="F55" s="30">
        <v>0</v>
      </c>
      <c r="G55" s="6">
        <f>+SUM(E$9:$E55)-SUM(F$9:$F55)</f>
        <v>7445000</v>
      </c>
    </row>
    <row r="56" spans="1:7" ht="28.8" x14ac:dyDescent="0.55000000000000004">
      <c r="A56" s="12">
        <v>44488</v>
      </c>
      <c r="B56" s="13" t="s">
        <v>893</v>
      </c>
      <c r="C56" s="10">
        <v>1</v>
      </c>
      <c r="D56" s="10">
        <v>45000</v>
      </c>
      <c r="E56" s="7">
        <f>+$I$2+(CABF[[#This Row],[QUANTITE]]*CABF[[#This Row],[PRIX UNITAIRE]])</f>
        <v>45000</v>
      </c>
      <c r="F56" s="30">
        <v>0</v>
      </c>
      <c r="G56" s="6">
        <f>+SUM(E$9:$E56)-SUM(F$9:$F56)</f>
        <v>7490000</v>
      </c>
    </row>
    <row r="57" spans="1:7" ht="28.8" x14ac:dyDescent="0.55000000000000004">
      <c r="A57" s="12">
        <v>44497</v>
      </c>
      <c r="B57" s="13" t="s">
        <v>249</v>
      </c>
      <c r="C57" s="10">
        <v>6</v>
      </c>
      <c r="D57" s="10">
        <v>135000</v>
      </c>
      <c r="E57" s="7">
        <f>+$I$2+(CABF[[#This Row],[QUANTITE]]*CABF[[#This Row],[PRIX UNITAIRE]])</f>
        <v>810000</v>
      </c>
      <c r="F57" s="30">
        <v>0</v>
      </c>
      <c r="G57" s="6">
        <f>+SUM(E$9:$E57)-SUM(F$9:$F57)</f>
        <v>8300000</v>
      </c>
    </row>
    <row r="58" spans="1:7" ht="28.8" x14ac:dyDescent="0.55000000000000004">
      <c r="A58" s="12">
        <v>44498</v>
      </c>
      <c r="B58" s="13" t="s">
        <v>249</v>
      </c>
      <c r="C58" s="10">
        <v>2</v>
      </c>
      <c r="D58" s="10">
        <v>135000</v>
      </c>
      <c r="E58" s="7">
        <f>+$I$2+(CABF[[#This Row],[QUANTITE]]*CABF[[#This Row],[PRIX UNITAIRE]])</f>
        <v>270000</v>
      </c>
      <c r="F58" s="30">
        <v>0</v>
      </c>
      <c r="G58" s="6">
        <f>+SUM(E$9:$E58)-SUM(F$9:$F58)</f>
        <v>8570000</v>
      </c>
    </row>
    <row r="59" spans="1:7" ht="28.8" x14ac:dyDescent="0.55000000000000004">
      <c r="A59" s="12"/>
      <c r="B59" s="13" t="s">
        <v>894</v>
      </c>
      <c r="C59" s="10">
        <v>3</v>
      </c>
      <c r="D59" s="10">
        <v>160000</v>
      </c>
      <c r="E59" s="7">
        <f>+$I$2+(CABF[[#This Row],[QUANTITE]]*CABF[[#This Row],[PRIX UNITAIRE]])</f>
        <v>480000</v>
      </c>
      <c r="F59" s="30">
        <v>0</v>
      </c>
      <c r="G59" s="6">
        <f>+SUM(E$9:$E59)-SUM(F$9:$F59)</f>
        <v>9050000</v>
      </c>
    </row>
    <row r="60" spans="1:7" ht="28.8" x14ac:dyDescent="0.55000000000000004">
      <c r="A60" s="12">
        <v>44505</v>
      </c>
      <c r="B60" s="13" t="s">
        <v>882</v>
      </c>
      <c r="C60" s="10">
        <v>2</v>
      </c>
      <c r="D60" s="10">
        <v>190000</v>
      </c>
      <c r="E60" s="7">
        <f>+$I$2+(CABF[[#This Row],[QUANTITE]]*CABF[[#This Row],[PRIX UNITAIRE]])</f>
        <v>380000</v>
      </c>
      <c r="F60" s="14">
        <v>0</v>
      </c>
      <c r="G60" s="6">
        <f>+SUM(E$9:$E60)-SUM(F$9:$F60)</f>
        <v>9430000</v>
      </c>
    </row>
    <row r="61" spans="1:7" ht="28.8" x14ac:dyDescent="0.55000000000000004">
      <c r="A61" s="12">
        <v>44507</v>
      </c>
      <c r="B61" s="13" t="s">
        <v>238</v>
      </c>
      <c r="C61" s="10">
        <v>2</v>
      </c>
      <c r="D61" s="10">
        <v>175000</v>
      </c>
      <c r="E61" s="7">
        <f>+$I$2+(CABF[[#This Row],[QUANTITE]]*CABF[[#This Row],[PRIX UNITAIRE]])</f>
        <v>350000</v>
      </c>
      <c r="F61" s="14">
        <v>0</v>
      </c>
      <c r="G61" s="6">
        <f>+SUM(E$9:$E61)-SUM(F$9:$F61)</f>
        <v>9780000</v>
      </c>
    </row>
    <row r="62" spans="1:7" ht="28.8" x14ac:dyDescent="0.55000000000000004">
      <c r="A62" s="12">
        <v>44507</v>
      </c>
      <c r="B62" s="13" t="s">
        <v>213</v>
      </c>
      <c r="C62" s="10">
        <v>2</v>
      </c>
      <c r="D62" s="10">
        <v>165000</v>
      </c>
      <c r="E62" s="7">
        <f>+$I$2+(CABF[[#This Row],[QUANTITE]]*CABF[[#This Row],[PRIX UNITAIRE]])</f>
        <v>330000</v>
      </c>
      <c r="F62" s="14">
        <v>0</v>
      </c>
      <c r="G62" s="6">
        <f>+SUM(E$9:$E62)-SUM(F$9:$F62)</f>
        <v>10110000</v>
      </c>
    </row>
    <row r="63" spans="1:7" ht="28.8" x14ac:dyDescent="0.55000000000000004">
      <c r="A63" s="12">
        <v>44507</v>
      </c>
      <c r="B63" s="13" t="s">
        <v>78</v>
      </c>
      <c r="C63" s="10">
        <v>2</v>
      </c>
      <c r="D63" s="10">
        <v>135000</v>
      </c>
      <c r="E63" s="7">
        <f>+$I$2+(CABF[[#This Row],[QUANTITE]]*CABF[[#This Row],[PRIX UNITAIRE]])</f>
        <v>270000</v>
      </c>
      <c r="F63" s="14">
        <v>0</v>
      </c>
      <c r="G63" s="6">
        <f>+SUM(E$9:$E63)-SUM(F$9:$F63)</f>
        <v>10380000</v>
      </c>
    </row>
    <row r="64" spans="1:7" ht="28.8" x14ac:dyDescent="0.55000000000000004">
      <c r="A64" s="12">
        <v>44532</v>
      </c>
      <c r="B64" s="13" t="s">
        <v>895</v>
      </c>
      <c r="C64" s="10">
        <v>4</v>
      </c>
      <c r="D64" s="10">
        <v>40000</v>
      </c>
      <c r="E64" s="7">
        <f>+$I$2+(CABF[[#This Row],[QUANTITE]]*CABF[[#This Row],[PRIX UNITAIRE]])</f>
        <v>160000</v>
      </c>
      <c r="F64" s="14">
        <v>0</v>
      </c>
      <c r="G64" s="6">
        <f>+SUM(E$9:$E64)-SUM(F$9:$F64)</f>
        <v>10540000</v>
      </c>
    </row>
    <row r="65" spans="1:7" ht="28.8" x14ac:dyDescent="0.55000000000000004">
      <c r="A65" s="12">
        <v>44547</v>
      </c>
      <c r="B65" s="13" t="s">
        <v>238</v>
      </c>
      <c r="C65" s="10">
        <v>2</v>
      </c>
      <c r="D65" s="10">
        <v>185000</v>
      </c>
      <c r="E65" s="7">
        <f>+$I$2+(CABF[[#This Row],[QUANTITE]]*CABF[[#This Row],[PRIX UNITAIRE]])</f>
        <v>370000</v>
      </c>
      <c r="F65" s="14">
        <v>0</v>
      </c>
      <c r="G65" s="6">
        <f>+SUM(E$9:$E65)-SUM(F$9:$F65)</f>
        <v>10910000</v>
      </c>
    </row>
    <row r="66" spans="1:7" ht="28.8" x14ac:dyDescent="0.55000000000000004">
      <c r="A66" s="12">
        <v>44547</v>
      </c>
      <c r="B66" s="13" t="s">
        <v>896</v>
      </c>
      <c r="C66" s="10">
        <v>2</v>
      </c>
      <c r="D66" s="10">
        <v>60000</v>
      </c>
      <c r="E66" s="7">
        <f>+$I$2+(CABF[[#This Row],[QUANTITE]]*CABF[[#This Row],[PRIX UNITAIRE]])</f>
        <v>120000</v>
      </c>
      <c r="F66" s="14">
        <v>0</v>
      </c>
      <c r="G66" s="6">
        <f>+SUM(E$9:$E66)-SUM(F$9:$F66)</f>
        <v>11030000</v>
      </c>
    </row>
    <row r="67" spans="1:7" ht="28.8" x14ac:dyDescent="0.55000000000000004">
      <c r="A67" s="12"/>
      <c r="B67" s="13" t="s">
        <v>897</v>
      </c>
      <c r="C67" s="10">
        <v>4</v>
      </c>
      <c r="D67" s="10">
        <v>115000</v>
      </c>
      <c r="E67" s="7">
        <f>+$I$2+(CABF[[#This Row],[QUANTITE]]*CABF[[#This Row],[PRIX UNITAIRE]])</f>
        <v>460000</v>
      </c>
      <c r="F67" s="14">
        <v>0</v>
      </c>
      <c r="G67" s="6">
        <f>+SUM(E$9:$E67)-SUM(F$9:$F67)</f>
        <v>11490000</v>
      </c>
    </row>
    <row r="68" spans="1:7" ht="28.8" x14ac:dyDescent="0.55000000000000004">
      <c r="A68" s="12"/>
      <c r="B68" s="13" t="s">
        <v>427</v>
      </c>
      <c r="C68" s="10">
        <v>1</v>
      </c>
      <c r="D68" s="10">
        <v>20000</v>
      </c>
      <c r="E68" s="7">
        <f>+$I$2+(CABF[[#This Row],[QUANTITE]]*CABF[[#This Row],[PRIX UNITAIRE]])</f>
        <v>20000</v>
      </c>
      <c r="F68" s="14">
        <v>0</v>
      </c>
      <c r="G68" s="6">
        <f>+SUM(E$9:$E68)-SUM(F$9:$F68)</f>
        <v>11510000</v>
      </c>
    </row>
    <row r="69" spans="1:7" ht="28.8" x14ac:dyDescent="0.55000000000000004">
      <c r="A69" s="12">
        <v>44555</v>
      </c>
      <c r="B69" s="13" t="s">
        <v>898</v>
      </c>
      <c r="C69" s="10">
        <v>1</v>
      </c>
      <c r="D69" s="10">
        <v>0</v>
      </c>
      <c r="E69" s="7">
        <f>+$I$2+(CABF[[#This Row],[QUANTITE]]*CABF[[#This Row],[PRIX UNITAIRE]])</f>
        <v>0</v>
      </c>
      <c r="F69" s="14">
        <v>0</v>
      </c>
      <c r="G69" s="6">
        <f>+SUM(E$9:$E69)-SUM(F$9:$F69)</f>
        <v>11510000</v>
      </c>
    </row>
    <row r="70" spans="1:7" ht="28.8" x14ac:dyDescent="0.55000000000000004">
      <c r="A70" s="12">
        <v>44557</v>
      </c>
      <c r="B70" s="13" t="s">
        <v>899</v>
      </c>
      <c r="C70" s="10">
        <v>1</v>
      </c>
      <c r="D70" s="10">
        <v>849000</v>
      </c>
      <c r="E70" s="7">
        <f>+$I$2+(CABF[[#This Row],[QUANTITE]]*CABF[[#This Row],[PRIX UNITAIRE]])</f>
        <v>849000</v>
      </c>
      <c r="F70" s="14">
        <v>5000000</v>
      </c>
      <c r="G70" s="6">
        <f>+SUM(E$9:$E70)-SUM(F$9:$F70)</f>
        <v>7359000</v>
      </c>
    </row>
    <row r="71" spans="1:7" ht="28.8" x14ac:dyDescent="0.55000000000000004">
      <c r="A71" s="12">
        <v>44572</v>
      </c>
      <c r="B71" s="13" t="s">
        <v>900</v>
      </c>
      <c r="C71" s="10">
        <v>2</v>
      </c>
      <c r="D71" s="10">
        <v>22500</v>
      </c>
      <c r="E71" s="7">
        <f>+$I$2+(CABF[[#This Row],[QUANTITE]]*CABF[[#This Row],[PRIX UNITAIRE]])</f>
        <v>45000</v>
      </c>
      <c r="F71" s="14">
        <v>0</v>
      </c>
      <c r="G71" s="6">
        <f>+SUM(E$9:$E71)-SUM(F$9:$F71)</f>
        <v>7404000</v>
      </c>
    </row>
    <row r="72" spans="1:7" ht="28.8" x14ac:dyDescent="0.55000000000000004">
      <c r="A72" s="12"/>
      <c r="B72" s="13" t="s">
        <v>901</v>
      </c>
      <c r="C72" s="10">
        <v>24</v>
      </c>
      <c r="D72" s="10">
        <v>1500</v>
      </c>
      <c r="E72" s="7">
        <f>+$I$2+(CABF[[#This Row],[QUANTITE]]*CABF[[#This Row],[PRIX UNITAIRE]])</f>
        <v>36000</v>
      </c>
      <c r="F72" s="14">
        <v>0</v>
      </c>
      <c r="G72" s="6">
        <f>+SUM(E$9:$E72)-SUM(F$9:$F72)</f>
        <v>7440000</v>
      </c>
    </row>
    <row r="73" spans="1:7" ht="28.8" x14ac:dyDescent="0.55000000000000004">
      <c r="A73" s="12">
        <v>44581</v>
      </c>
      <c r="B73" s="13" t="s">
        <v>78</v>
      </c>
      <c r="C73" s="10">
        <v>6</v>
      </c>
      <c r="D73" s="10">
        <v>150000</v>
      </c>
      <c r="E73" s="7">
        <f>+$I$2+(CABF[[#This Row],[QUANTITE]]*CABF[[#This Row],[PRIX UNITAIRE]])</f>
        <v>900000</v>
      </c>
      <c r="F73" s="14">
        <v>0</v>
      </c>
      <c r="G73" s="6">
        <f>+SUM(E$9:$E73)-SUM(F$9:$F73)</f>
        <v>8340000</v>
      </c>
    </row>
    <row r="74" spans="1:7" ht="28.8" x14ac:dyDescent="0.55000000000000004">
      <c r="A74" s="12"/>
      <c r="B74" s="13" t="s">
        <v>890</v>
      </c>
      <c r="C74" s="10">
        <v>2</v>
      </c>
      <c r="D74" s="10">
        <v>175000</v>
      </c>
      <c r="E74" s="7">
        <f>+$I$2+(CABF[[#This Row],[QUANTITE]]*CABF[[#This Row],[PRIX UNITAIRE]])</f>
        <v>350000</v>
      </c>
      <c r="F74" s="14">
        <v>0</v>
      </c>
      <c r="G74" s="6">
        <f>+SUM(E$9:$E74)-SUM(F$9:$F74)</f>
        <v>8690000</v>
      </c>
    </row>
    <row r="75" spans="1:7" ht="28.8" x14ac:dyDescent="0.55000000000000004">
      <c r="A75" s="12">
        <v>44588</v>
      </c>
      <c r="B75" s="13" t="s">
        <v>882</v>
      </c>
      <c r="C75" s="10">
        <v>4</v>
      </c>
      <c r="D75" s="10">
        <v>190000</v>
      </c>
      <c r="E75" s="7">
        <f>+$I$2+(CABF[[#This Row],[QUANTITE]]*CABF[[#This Row],[PRIX UNITAIRE]])</f>
        <v>760000</v>
      </c>
      <c r="F75" s="14">
        <v>0</v>
      </c>
      <c r="G75" s="6">
        <f>+SUM(E$9:$E75)-SUM(F$9:$F75)</f>
        <v>9450000</v>
      </c>
    </row>
    <row r="76" spans="1:7" ht="28.8" x14ac:dyDescent="0.55000000000000004">
      <c r="A76" s="12"/>
      <c r="B76" s="13" t="s">
        <v>902</v>
      </c>
      <c r="C76" s="10">
        <v>2</v>
      </c>
      <c r="D76" s="10">
        <v>260000</v>
      </c>
      <c r="E76" s="7">
        <f>+$I$2+(CABF[[#This Row],[QUANTITE]]*CABF[[#This Row],[PRIX UNITAIRE]])</f>
        <v>520000</v>
      </c>
      <c r="F76" s="14">
        <v>0</v>
      </c>
      <c r="G76" s="6">
        <f>+SUM(E$9:$E76)-SUM(F$9:$F76)</f>
        <v>9970000</v>
      </c>
    </row>
    <row r="77" spans="1:7" ht="28.8" x14ac:dyDescent="0.55000000000000004">
      <c r="A77" s="12"/>
      <c r="B77" s="13" t="s">
        <v>903</v>
      </c>
      <c r="C77" s="10">
        <v>1</v>
      </c>
      <c r="D77" s="10">
        <v>65000</v>
      </c>
      <c r="E77" s="7">
        <f>+$I$2+(CABF[[#This Row],[QUANTITE]]*CABF[[#This Row],[PRIX UNITAIRE]])</f>
        <v>65000</v>
      </c>
      <c r="F77" s="14">
        <v>0</v>
      </c>
      <c r="G77" s="6">
        <f>+SUM(E$9:$E77)-SUM(F$9:$F77)</f>
        <v>10035000</v>
      </c>
    </row>
    <row r="78" spans="1:7" ht="28.8" x14ac:dyDescent="0.55000000000000004">
      <c r="A78" s="12"/>
      <c r="B78" s="13" t="s">
        <v>904</v>
      </c>
      <c r="C78" s="10">
        <v>1</v>
      </c>
      <c r="D78" s="10">
        <v>5000</v>
      </c>
      <c r="E78" s="7">
        <f>+$I$2+(CABF[[#This Row],[QUANTITE]]*CABF[[#This Row],[PRIX UNITAIRE]])</f>
        <v>5000</v>
      </c>
      <c r="F78" s="14">
        <v>0</v>
      </c>
      <c r="G78" s="6">
        <f>+SUM(E$9:$E78)-SUM(F$9:$F78)</f>
        <v>10040000</v>
      </c>
    </row>
    <row r="79" spans="1:7" ht="28.8" x14ac:dyDescent="0.55000000000000004">
      <c r="A79" s="12">
        <v>44590</v>
      </c>
      <c r="B79" s="13" t="s">
        <v>905</v>
      </c>
      <c r="C79" s="10">
        <v>2</v>
      </c>
      <c r="D79" s="10">
        <v>145000</v>
      </c>
      <c r="E79" s="7">
        <f>+$I$2+(CABF[[#This Row],[QUANTITE]]*CABF[[#This Row],[PRIX UNITAIRE]])</f>
        <v>290000</v>
      </c>
      <c r="F79" s="14">
        <v>0</v>
      </c>
      <c r="G79" s="6">
        <f>+SUM(E$9:$E79)-SUM(F$9:$F79)</f>
        <v>10330000</v>
      </c>
    </row>
    <row r="80" spans="1:7" ht="28.8" x14ac:dyDescent="0.55000000000000004">
      <c r="A80" s="12">
        <v>44599</v>
      </c>
      <c r="B80" s="13" t="s">
        <v>595</v>
      </c>
      <c r="C80" s="10">
        <v>2</v>
      </c>
      <c r="D80" s="10">
        <v>170000</v>
      </c>
      <c r="E80" s="7">
        <f>+$I$2+(CABF[[#This Row],[QUANTITE]]*CABF[[#This Row],[PRIX UNITAIRE]])</f>
        <v>340000</v>
      </c>
      <c r="F80" s="14">
        <v>0</v>
      </c>
      <c r="G80" s="6">
        <f>+SUM(E$9:$E80)-SUM(F$9:$F80)</f>
        <v>10670000</v>
      </c>
    </row>
    <row r="81" spans="1:7" ht="28.8" x14ac:dyDescent="0.55000000000000004">
      <c r="A81" s="12"/>
      <c r="B81" s="13" t="s">
        <v>906</v>
      </c>
      <c r="C81" s="10">
        <v>2</v>
      </c>
      <c r="D81" s="10">
        <v>95000</v>
      </c>
      <c r="E81" s="7">
        <f>+$I$2+(CABF[[#This Row],[QUANTITE]]*CABF[[#This Row],[PRIX UNITAIRE]])</f>
        <v>190000</v>
      </c>
      <c r="F81" s="14">
        <v>0</v>
      </c>
      <c r="G81" s="6">
        <f>+SUM(E$9:$E81)-SUM(F$9:$F81)</f>
        <v>10860000</v>
      </c>
    </row>
    <row r="82" spans="1:7" ht="28.8" x14ac:dyDescent="0.55000000000000004">
      <c r="A82" s="12"/>
      <c r="B82" s="13" t="s">
        <v>425</v>
      </c>
      <c r="C82" s="10">
        <v>1</v>
      </c>
      <c r="D82" s="10">
        <v>60000</v>
      </c>
      <c r="E82" s="7">
        <f>+$I$2+(CABF[[#This Row],[QUANTITE]]*CABF[[#This Row],[PRIX UNITAIRE]])</f>
        <v>60000</v>
      </c>
      <c r="F82" s="14">
        <v>0</v>
      </c>
      <c r="G82" s="6">
        <f>+SUM(E$9:$E82)-SUM(F$9:$F82)</f>
        <v>10920000</v>
      </c>
    </row>
    <row r="83" spans="1:7" ht="28.8" x14ac:dyDescent="0.55000000000000004">
      <c r="A83" s="12">
        <v>44614</v>
      </c>
      <c r="B83" s="13" t="s">
        <v>907</v>
      </c>
      <c r="C83" s="10">
        <v>4</v>
      </c>
      <c r="D83" s="10">
        <v>85000</v>
      </c>
      <c r="E83" s="7">
        <f>+$I$2+(CABF[[#This Row],[QUANTITE]]*CABF[[#This Row],[PRIX UNITAIRE]])</f>
        <v>340000</v>
      </c>
      <c r="F83" s="14">
        <v>0</v>
      </c>
      <c r="G83" s="6">
        <f>+SUM(E$9:$E83)-SUM(F$9:$F83)</f>
        <v>11260000</v>
      </c>
    </row>
    <row r="84" spans="1:7" ht="28.8" x14ac:dyDescent="0.55000000000000004">
      <c r="A84" s="12">
        <v>44614</v>
      </c>
      <c r="B84" s="13" t="s">
        <v>908</v>
      </c>
      <c r="C84" s="10">
        <v>4</v>
      </c>
      <c r="D84" s="10">
        <v>1000000</v>
      </c>
      <c r="E84" s="7">
        <f>+$I$2+(CABF[[#This Row],[QUANTITE]]*CABF[[#This Row],[PRIX UNITAIRE]])</f>
        <v>4000000</v>
      </c>
      <c r="F84" s="14">
        <v>0</v>
      </c>
      <c r="G84" s="6">
        <f>+SUM(E$9:$E84)-SUM(F$9:$F84)</f>
        <v>15260000</v>
      </c>
    </row>
    <row r="85" spans="1:7" ht="28.8" x14ac:dyDescent="0.55000000000000004">
      <c r="A85" s="12">
        <v>44635</v>
      </c>
      <c r="B85" s="13" t="s">
        <v>909</v>
      </c>
      <c r="C85" s="10">
        <v>2</v>
      </c>
      <c r="D85" s="10">
        <v>340000</v>
      </c>
      <c r="E85" s="7">
        <f>+$I$2+(CABF[[#This Row],[QUANTITE]]*CABF[[#This Row],[PRIX UNITAIRE]])</f>
        <v>680000</v>
      </c>
      <c r="F85" s="14">
        <v>0</v>
      </c>
      <c r="G85" s="6">
        <f>+SUM(E$9:$E85)-SUM(F$9:$F85)</f>
        <v>15940000</v>
      </c>
    </row>
    <row r="86" spans="1:7" ht="28.8" x14ac:dyDescent="0.55000000000000004">
      <c r="A86" s="12"/>
      <c r="B86" s="13" t="s">
        <v>606</v>
      </c>
      <c r="C86" s="10">
        <v>8</v>
      </c>
      <c r="D86" s="10">
        <v>185000</v>
      </c>
      <c r="E86" s="7">
        <f>+$I$2+(CABF[[#This Row],[QUANTITE]]*CABF[[#This Row],[PRIX UNITAIRE]])</f>
        <v>1480000</v>
      </c>
      <c r="F86" s="14">
        <v>0</v>
      </c>
      <c r="G86" s="6">
        <f>+SUM(E$9:$E86)-SUM(F$9:$F86)</f>
        <v>17420000</v>
      </c>
    </row>
    <row r="87" spans="1:7" ht="28.8" x14ac:dyDescent="0.55000000000000004">
      <c r="A87" s="12"/>
      <c r="B87" s="13" t="s">
        <v>78</v>
      </c>
      <c r="C87" s="10">
        <v>8</v>
      </c>
      <c r="D87" s="10">
        <v>150000</v>
      </c>
      <c r="E87" s="7">
        <f>+$I$2+(CABF[[#This Row],[QUANTITE]]*CABF[[#This Row],[PRIX UNITAIRE]])</f>
        <v>1200000</v>
      </c>
      <c r="F87" s="14">
        <v>0</v>
      </c>
      <c r="G87" s="6">
        <f>+SUM(E$9:$E87)-SUM(F$9:$F87)</f>
        <v>18620000</v>
      </c>
    </row>
    <row r="88" spans="1:7" ht="28.8" x14ac:dyDescent="0.55000000000000004">
      <c r="A88" s="12">
        <v>44642</v>
      </c>
      <c r="B88" s="13" t="s">
        <v>905</v>
      </c>
      <c r="C88" s="10">
        <v>2</v>
      </c>
      <c r="D88" s="10">
        <v>145000</v>
      </c>
      <c r="E88" s="7">
        <f>+$I$2+(CABF[[#This Row],[QUANTITE]]*CABF[[#This Row],[PRIX UNITAIRE]])</f>
        <v>290000</v>
      </c>
      <c r="F88" s="14">
        <v>0</v>
      </c>
      <c r="G88" s="6">
        <f>+SUM(E$9:$E88)-SUM(F$9:$F88)</f>
        <v>18910000</v>
      </c>
    </row>
    <row r="89" spans="1:7" ht="28.8" x14ac:dyDescent="0.55000000000000004">
      <c r="A89" s="12">
        <v>44643</v>
      </c>
      <c r="B89" s="13" t="s">
        <v>238</v>
      </c>
      <c r="C89" s="10">
        <v>6</v>
      </c>
      <c r="D89" s="10">
        <v>200000</v>
      </c>
      <c r="E89" s="7">
        <f>+$I$2+(CABF[[#This Row],[QUANTITE]]*CABF[[#This Row],[PRIX UNITAIRE]])</f>
        <v>1200000</v>
      </c>
      <c r="F89" s="14">
        <v>0</v>
      </c>
      <c r="G89" s="6">
        <f>+SUM(E$9:$E89)-SUM(F$9:$F89)</f>
        <v>20110000</v>
      </c>
    </row>
    <row r="90" spans="1:7" ht="28.8" x14ac:dyDescent="0.55000000000000004">
      <c r="A90" s="12">
        <v>44644</v>
      </c>
      <c r="B90" s="13" t="s">
        <v>700</v>
      </c>
      <c r="C90" s="10">
        <v>1</v>
      </c>
      <c r="D90" s="10">
        <v>0</v>
      </c>
      <c r="E90" s="7">
        <f>+$I$2+(CABF[[#This Row],[QUANTITE]]*CABF[[#This Row],[PRIX UNITAIRE]])</f>
        <v>0</v>
      </c>
      <c r="F90" s="14">
        <v>0</v>
      </c>
      <c r="G90" s="6">
        <f>+SUM(E$9:$E90)-SUM(F$9:$F90)</f>
        <v>20110000</v>
      </c>
    </row>
    <row r="91" spans="1:7" ht="28.8" x14ac:dyDescent="0.55000000000000004">
      <c r="A91" s="12">
        <v>44652</v>
      </c>
      <c r="B91" s="13" t="s">
        <v>882</v>
      </c>
      <c r="C91" s="10">
        <v>2</v>
      </c>
      <c r="D91" s="10">
        <v>190000</v>
      </c>
      <c r="E91" s="7">
        <f>+$I$2+(CABF[[#This Row],[QUANTITE]]*CABF[[#This Row],[PRIX UNITAIRE]])</f>
        <v>380000</v>
      </c>
      <c r="F91" s="14">
        <v>5000000</v>
      </c>
      <c r="G91" s="6">
        <f>+SUM(E$9:$E91)-SUM(F$9:$F91)</f>
        <v>15490000</v>
      </c>
    </row>
    <row r="92" spans="1:7" ht="28.8" x14ac:dyDescent="0.55000000000000004">
      <c r="A92" s="12"/>
      <c r="B92" s="13" t="s">
        <v>905</v>
      </c>
      <c r="C92" s="10">
        <v>2</v>
      </c>
      <c r="D92" s="10">
        <v>145000</v>
      </c>
      <c r="E92" s="7">
        <f>+$I$2+(CABF[[#This Row],[QUANTITE]]*CABF[[#This Row],[PRIX UNITAIRE]])</f>
        <v>290000</v>
      </c>
      <c r="F92" s="14">
        <v>0</v>
      </c>
      <c r="G92" s="6">
        <f>+SUM(E$9:$E92)-SUM(F$9:$F92)</f>
        <v>15780000</v>
      </c>
    </row>
    <row r="93" spans="1:7" ht="28.8" x14ac:dyDescent="0.55000000000000004">
      <c r="A93" s="12"/>
      <c r="B93" s="13" t="s">
        <v>910</v>
      </c>
      <c r="C93" s="10">
        <v>1</v>
      </c>
      <c r="D93" s="10">
        <v>60000</v>
      </c>
      <c r="E93" s="7">
        <f>+$I$2+(CABF[[#This Row],[QUANTITE]]*CABF[[#This Row],[PRIX UNITAIRE]])</f>
        <v>60000</v>
      </c>
      <c r="F93" s="14">
        <v>0</v>
      </c>
      <c r="G93" s="6">
        <f>+SUM(E$9:$E93)-SUM(F$9:$F93)</f>
        <v>15840000</v>
      </c>
    </row>
    <row r="94" spans="1:7" ht="28.8" x14ac:dyDescent="0.55000000000000004">
      <c r="A94" s="12">
        <v>44670</v>
      </c>
      <c r="B94" s="13" t="s">
        <v>910</v>
      </c>
      <c r="C94" s="10">
        <v>2</v>
      </c>
      <c r="D94" s="10">
        <v>60000</v>
      </c>
      <c r="E94" s="7">
        <f>+$I$2+(CABF[[#This Row],[QUANTITE]]*CABF[[#This Row],[PRIX UNITAIRE]])</f>
        <v>120000</v>
      </c>
      <c r="F94" s="14">
        <v>0</v>
      </c>
      <c r="G94" s="6">
        <f>+SUM(E$9:$E94)-SUM(F$9:$F94)</f>
        <v>15960000</v>
      </c>
    </row>
    <row r="95" spans="1:7" ht="28.8" x14ac:dyDescent="0.55000000000000004">
      <c r="A95" s="12"/>
      <c r="B95" s="13" t="s">
        <v>911</v>
      </c>
      <c r="C95" s="10">
        <v>17</v>
      </c>
      <c r="D95" s="10">
        <v>2000</v>
      </c>
      <c r="E95" s="7">
        <f>+$I$2+(CABF[[#This Row],[QUANTITE]]*CABF[[#This Row],[PRIX UNITAIRE]])</f>
        <v>34000</v>
      </c>
      <c r="F95" s="14">
        <v>0</v>
      </c>
      <c r="G95" s="6">
        <f>+SUM(E$9:$E95)-SUM(F$9:$F95)</f>
        <v>15994000</v>
      </c>
    </row>
    <row r="96" spans="1:7" ht="28.8" x14ac:dyDescent="0.55000000000000004">
      <c r="A96" s="12"/>
      <c r="B96" s="13" t="s">
        <v>912</v>
      </c>
      <c r="C96" s="10">
        <v>2</v>
      </c>
      <c r="D96" s="10">
        <v>5000</v>
      </c>
      <c r="E96" s="7">
        <f>+$I$2+(CABF[[#This Row],[QUANTITE]]*CABF[[#This Row],[PRIX UNITAIRE]])</f>
        <v>10000</v>
      </c>
      <c r="F96" s="14">
        <v>0</v>
      </c>
      <c r="G96" s="6">
        <f>+SUM(E$9:$E96)-SUM(F$9:$F96)</f>
        <v>16004000</v>
      </c>
    </row>
    <row r="97" spans="1:7" ht="28.8" x14ac:dyDescent="0.55000000000000004">
      <c r="A97" s="12">
        <v>44676</v>
      </c>
      <c r="B97" s="13" t="s">
        <v>890</v>
      </c>
      <c r="C97" s="10">
        <v>2</v>
      </c>
      <c r="D97" s="10">
        <v>175000</v>
      </c>
      <c r="E97" s="7">
        <f>+$I$2+(CABF[[#This Row],[QUANTITE]]*CABF[[#This Row],[PRIX UNITAIRE]])</f>
        <v>350000</v>
      </c>
      <c r="F97" s="14">
        <v>0</v>
      </c>
      <c r="G97" s="6">
        <f>+SUM(E$9:$E97)-SUM(F$9:$F97)</f>
        <v>16354000</v>
      </c>
    </row>
    <row r="98" spans="1:7" ht="28.8" x14ac:dyDescent="0.55000000000000004">
      <c r="A98" s="12">
        <v>44697</v>
      </c>
      <c r="B98" s="13" t="s">
        <v>913</v>
      </c>
      <c r="C98" s="10">
        <v>1</v>
      </c>
      <c r="D98" s="10">
        <v>60000</v>
      </c>
      <c r="E98" s="7">
        <f>+$I$2+(CABF[[#This Row],[QUANTITE]]*CABF[[#This Row],[PRIX UNITAIRE]])</f>
        <v>60000</v>
      </c>
      <c r="F98" s="14">
        <v>0</v>
      </c>
      <c r="G98" s="6">
        <f>+SUM(E$9:$E98)-SUM(F$9:$F98)</f>
        <v>16414000</v>
      </c>
    </row>
    <row r="99" spans="1:7" ht="28.8" x14ac:dyDescent="0.55000000000000004">
      <c r="A99" s="12"/>
      <c r="B99" s="13" t="s">
        <v>914</v>
      </c>
      <c r="C99" s="10">
        <v>1</v>
      </c>
      <c r="D99" s="10">
        <v>10000</v>
      </c>
      <c r="E99" s="7">
        <f>+$I$2+(CABF[[#This Row],[QUANTITE]]*CABF[[#This Row],[PRIX UNITAIRE]])</f>
        <v>10000</v>
      </c>
      <c r="F99" s="14">
        <v>0</v>
      </c>
      <c r="G99" s="6">
        <f>+SUM(E$9:$E99)-SUM(F$9:$F99)</f>
        <v>16424000</v>
      </c>
    </row>
    <row r="100" spans="1:7" ht="28.8" x14ac:dyDescent="0.55000000000000004">
      <c r="A100" s="12">
        <v>44720</v>
      </c>
      <c r="B100" s="13" t="s">
        <v>700</v>
      </c>
      <c r="C100" s="10">
        <v>1</v>
      </c>
      <c r="D100" s="10">
        <v>0</v>
      </c>
      <c r="E100" s="7">
        <f>+$I$2+(CABF[[#This Row],[QUANTITE]]*CABF[[#This Row],[PRIX UNITAIRE]])</f>
        <v>0</v>
      </c>
      <c r="F100" s="14">
        <v>0</v>
      </c>
      <c r="G100" s="6">
        <f>+SUM(E$9:$E100)-SUM(F$9:$F100)</f>
        <v>16424000</v>
      </c>
    </row>
    <row r="101" spans="1:7" ht="28.8" x14ac:dyDescent="0.55000000000000004">
      <c r="A101" s="12">
        <v>44721</v>
      </c>
      <c r="B101" s="13" t="s">
        <v>78</v>
      </c>
      <c r="C101" s="10">
        <v>10</v>
      </c>
      <c r="D101" s="10">
        <v>150000</v>
      </c>
      <c r="E101" s="7">
        <f>+$I$2+(CABF[[#This Row],[QUANTITE]]*CABF[[#This Row],[PRIX UNITAIRE]])</f>
        <v>1500000</v>
      </c>
      <c r="F101" s="14">
        <v>6000000</v>
      </c>
      <c r="G101" s="6">
        <f>+SUM(E$9:$E101)-SUM(F$9:$F101)</f>
        <v>11924000</v>
      </c>
    </row>
    <row r="102" spans="1:7" ht="28.8" x14ac:dyDescent="0.55000000000000004">
      <c r="A102" s="12"/>
      <c r="B102" s="13" t="s">
        <v>606</v>
      </c>
      <c r="C102" s="10">
        <v>10</v>
      </c>
      <c r="D102" s="10">
        <v>190000</v>
      </c>
      <c r="E102" s="7">
        <f>+$I$2+(CABF[[#This Row],[QUANTITE]]*CABF[[#This Row],[PRIX UNITAIRE]])</f>
        <v>1900000</v>
      </c>
      <c r="F102" s="14">
        <v>0</v>
      </c>
      <c r="G102" s="6">
        <f>+SUM(E$9:$E102)-SUM(F$9:$F102)</f>
        <v>13824000</v>
      </c>
    </row>
    <row r="103" spans="1:7" ht="28.8" x14ac:dyDescent="0.55000000000000004">
      <c r="A103" s="12"/>
      <c r="B103" s="13" t="s">
        <v>882</v>
      </c>
      <c r="C103" s="10">
        <v>4</v>
      </c>
      <c r="D103" s="10">
        <v>190000</v>
      </c>
      <c r="E103" s="7">
        <f>+$I$2+(CABF[[#This Row],[QUANTITE]]*CABF[[#This Row],[PRIX UNITAIRE]])</f>
        <v>760000</v>
      </c>
      <c r="F103" s="14">
        <v>0</v>
      </c>
      <c r="G103" s="6">
        <f>+SUM(E$9:$E103)-SUM(F$9:$F103)</f>
        <v>14584000</v>
      </c>
    </row>
    <row r="104" spans="1:7" ht="28.8" x14ac:dyDescent="0.55000000000000004">
      <c r="A104" s="12">
        <v>44729</v>
      </c>
      <c r="B104" s="13" t="s">
        <v>905</v>
      </c>
      <c r="C104" s="10">
        <v>2</v>
      </c>
      <c r="D104" s="10">
        <v>145000</v>
      </c>
      <c r="E104" s="7">
        <f>+$I$2+(CABF[[#This Row],[QUANTITE]]*CABF[[#This Row],[PRIX UNITAIRE]])</f>
        <v>290000</v>
      </c>
      <c r="F104" s="14">
        <v>0</v>
      </c>
      <c r="G104" s="6">
        <f>+SUM(E$9:$E104)-SUM(F$9:$F104)</f>
        <v>14874000</v>
      </c>
    </row>
    <row r="105" spans="1:7" ht="28.8" x14ac:dyDescent="0.55000000000000004">
      <c r="A105" s="12"/>
      <c r="B105" s="13" t="s">
        <v>915</v>
      </c>
      <c r="C105" s="10">
        <v>1</v>
      </c>
      <c r="D105" s="10">
        <v>90000</v>
      </c>
      <c r="E105" s="7">
        <f>+$I$2+(CABF[[#This Row],[QUANTITE]]*CABF[[#This Row],[PRIX UNITAIRE]])</f>
        <v>90000</v>
      </c>
      <c r="F105" s="14">
        <v>0</v>
      </c>
      <c r="G105" s="6">
        <f>+SUM(E$9:$E105)-SUM(F$9:$F105)</f>
        <v>14964000</v>
      </c>
    </row>
    <row r="106" spans="1:7" ht="28.8" x14ac:dyDescent="0.55000000000000004">
      <c r="A106" s="12">
        <v>44733</v>
      </c>
      <c r="B106" s="13" t="s">
        <v>916</v>
      </c>
      <c r="C106" s="10">
        <v>4</v>
      </c>
      <c r="D106" s="10">
        <v>85000</v>
      </c>
      <c r="E106" s="7">
        <f>+$I$2+(CABF[[#This Row],[QUANTITE]]*CABF[[#This Row],[PRIX UNITAIRE]])</f>
        <v>340000</v>
      </c>
      <c r="F106" s="14">
        <v>0</v>
      </c>
      <c r="G106" s="6">
        <f>+SUM(E$9:$E106)-SUM(F$9:$F106)</f>
        <v>15304000</v>
      </c>
    </row>
    <row r="107" spans="1:7" ht="28.8" x14ac:dyDescent="0.55000000000000004">
      <c r="A107" s="12">
        <v>44748</v>
      </c>
      <c r="B107" s="13" t="s">
        <v>78</v>
      </c>
      <c r="C107" s="10">
        <v>2</v>
      </c>
      <c r="D107" s="10">
        <v>150000</v>
      </c>
      <c r="E107" s="7">
        <f>+$I$2+(CABF[[#This Row],[QUANTITE]]*CABF[[#This Row],[PRIX UNITAIRE]])</f>
        <v>300000</v>
      </c>
      <c r="F107" s="14">
        <v>0</v>
      </c>
      <c r="G107" s="6">
        <f>+SUM(E$9:$E107)-SUM(F$9:$F107)</f>
        <v>15604000</v>
      </c>
    </row>
    <row r="108" spans="1:7" ht="28.8" x14ac:dyDescent="0.55000000000000004">
      <c r="A108" s="12"/>
      <c r="B108" s="13" t="s">
        <v>917</v>
      </c>
      <c r="C108" s="10">
        <v>2</v>
      </c>
      <c r="D108" s="10">
        <v>145000</v>
      </c>
      <c r="E108" s="7">
        <f>+$I$2+(CABF[[#This Row],[QUANTITE]]*CABF[[#This Row],[PRIX UNITAIRE]])</f>
        <v>290000</v>
      </c>
      <c r="F108" s="14">
        <v>0</v>
      </c>
      <c r="G108" s="6">
        <f>+SUM(E$9:$E108)-SUM(F$9:$F108)</f>
        <v>15894000</v>
      </c>
    </row>
    <row r="109" spans="1:7" ht="28.8" x14ac:dyDescent="0.55000000000000004">
      <c r="A109" s="12">
        <v>44749</v>
      </c>
      <c r="B109" s="13" t="s">
        <v>899</v>
      </c>
      <c r="C109" s="10">
        <v>1</v>
      </c>
      <c r="D109" s="10">
        <v>2775000</v>
      </c>
      <c r="E109" s="7">
        <f>+$I$2+(CABF[[#This Row],[QUANTITE]]*CABF[[#This Row],[PRIX UNITAIRE]])</f>
        <v>2775000</v>
      </c>
      <c r="F109" s="14">
        <v>0</v>
      </c>
      <c r="G109" s="6">
        <f>+SUM(E$9:$E109)-SUM(F$9:$F109)</f>
        <v>18669000</v>
      </c>
    </row>
    <row r="110" spans="1:7" ht="28.8" x14ac:dyDescent="0.55000000000000004">
      <c r="A110" s="12">
        <v>44749</v>
      </c>
      <c r="B110" s="13" t="s">
        <v>918</v>
      </c>
      <c r="C110" s="10">
        <v>1</v>
      </c>
      <c r="D110" s="10">
        <v>200000</v>
      </c>
      <c r="E110" s="7">
        <f>+$I$2+(CABF[[#This Row],[QUANTITE]]*CABF[[#This Row],[PRIX UNITAIRE]])</f>
        <v>200000</v>
      </c>
      <c r="F110" s="14">
        <v>0</v>
      </c>
      <c r="G110" s="6">
        <f>+SUM(E$9:$E110)-SUM(F$9:$F110)</f>
        <v>18869000</v>
      </c>
    </row>
    <row r="111" spans="1:7" ht="28.8" x14ac:dyDescent="0.55000000000000004">
      <c r="A111" s="12">
        <v>44755</v>
      </c>
      <c r="B111" s="13" t="s">
        <v>882</v>
      </c>
      <c r="C111" s="10">
        <v>4</v>
      </c>
      <c r="D111" s="10">
        <v>190000</v>
      </c>
      <c r="E111" s="7">
        <f>+$I$2+(CABF[[#This Row],[QUANTITE]]*CABF[[#This Row],[PRIX UNITAIRE]])</f>
        <v>760000</v>
      </c>
      <c r="F111" s="14">
        <v>0</v>
      </c>
      <c r="G111" s="6">
        <f>+SUM(E$9:$E111)-SUM(F$9:$F111)</f>
        <v>19629000</v>
      </c>
    </row>
    <row r="112" spans="1:7" ht="28.8" x14ac:dyDescent="0.55000000000000004">
      <c r="A112" s="12"/>
      <c r="B112" s="13" t="s">
        <v>890</v>
      </c>
      <c r="C112" s="10">
        <v>2</v>
      </c>
      <c r="D112" s="10">
        <v>175000</v>
      </c>
      <c r="E112" s="7">
        <f>+$I$2+(CABF[[#This Row],[QUANTITE]]*CABF[[#This Row],[PRIX UNITAIRE]])</f>
        <v>350000</v>
      </c>
      <c r="F112" s="14">
        <v>0</v>
      </c>
      <c r="G112" s="6">
        <f>+SUM(E$9:$E112)-SUM(F$9:$F112)</f>
        <v>19979000</v>
      </c>
    </row>
    <row r="113" spans="1:7" ht="28.8" x14ac:dyDescent="0.55000000000000004">
      <c r="A113" s="12"/>
      <c r="B113" s="13" t="s">
        <v>917</v>
      </c>
      <c r="C113" s="10">
        <v>2</v>
      </c>
      <c r="D113" s="10">
        <v>145000</v>
      </c>
      <c r="E113" s="7">
        <f>+$I$2+(CABF[[#This Row],[QUANTITE]]*CABF[[#This Row],[PRIX UNITAIRE]])</f>
        <v>290000</v>
      </c>
      <c r="F113" s="14">
        <v>0</v>
      </c>
      <c r="G113" s="6">
        <f>+SUM(E$9:$E113)-SUM(F$9:$F113)</f>
        <v>20269000</v>
      </c>
    </row>
    <row r="114" spans="1:7" ht="28.8" x14ac:dyDescent="0.55000000000000004">
      <c r="A114" s="12">
        <v>44755</v>
      </c>
      <c r="B114" s="13" t="s">
        <v>451</v>
      </c>
      <c r="C114" s="10">
        <v>1</v>
      </c>
      <c r="D114" s="10">
        <v>0</v>
      </c>
      <c r="E114" s="7">
        <f>+$I$2+(CABF[[#This Row],[QUANTITE]]*CABF[[#This Row],[PRIX UNITAIRE]])</f>
        <v>0</v>
      </c>
      <c r="F114" s="14">
        <v>0</v>
      </c>
      <c r="G114" s="6">
        <f>+SUM(E$9:$E114)-SUM(F$9:$F114)</f>
        <v>20269000</v>
      </c>
    </row>
    <row r="115" spans="1:7" ht="28.8" x14ac:dyDescent="0.55000000000000004">
      <c r="A115" s="12">
        <v>44757</v>
      </c>
      <c r="B115" s="13" t="s">
        <v>919</v>
      </c>
      <c r="C115" s="10">
        <v>2</v>
      </c>
      <c r="D115" s="10">
        <v>100000</v>
      </c>
      <c r="E115" s="7">
        <f>+$I$2+(CABF[[#This Row],[QUANTITE]]*CABF[[#This Row],[PRIX UNITAIRE]])</f>
        <v>200000</v>
      </c>
      <c r="F115" s="14">
        <v>5000000</v>
      </c>
      <c r="G115" s="6">
        <f>+SUM(E$9:$E115)-SUM(F$9:$F115)</f>
        <v>15469000</v>
      </c>
    </row>
    <row r="116" spans="1:7" ht="28.8" x14ac:dyDescent="0.55000000000000004">
      <c r="A116" s="12">
        <v>44767</v>
      </c>
      <c r="B116" s="13" t="s">
        <v>889</v>
      </c>
      <c r="C116" s="10">
        <v>1</v>
      </c>
      <c r="D116" s="10">
        <v>30000</v>
      </c>
      <c r="E116" s="7">
        <f>+$I$2+(CABF[[#This Row],[QUANTITE]]*CABF[[#This Row],[PRIX UNITAIRE]])</f>
        <v>30000</v>
      </c>
      <c r="F116" s="14">
        <v>0</v>
      </c>
      <c r="G116" s="6">
        <f>+SUM(E$9:$E116)-SUM(F$9:$F116)</f>
        <v>15499000</v>
      </c>
    </row>
    <row r="117" spans="1:7" ht="28.8" x14ac:dyDescent="0.55000000000000004">
      <c r="A117" s="12">
        <v>44776</v>
      </c>
      <c r="B117" s="13" t="s">
        <v>78</v>
      </c>
      <c r="C117" s="10">
        <v>15</v>
      </c>
      <c r="D117" s="10">
        <v>150000</v>
      </c>
      <c r="E117" s="7">
        <f>+$I$2+(CABF[[#This Row],[QUANTITE]]*CABF[[#This Row],[PRIX UNITAIRE]])</f>
        <v>2250000</v>
      </c>
      <c r="F117" s="14">
        <v>0</v>
      </c>
      <c r="G117" s="6">
        <f>+SUM(E$9:$E117)-SUM(F$9:$F117)</f>
        <v>17749000</v>
      </c>
    </row>
    <row r="118" spans="1:7" ht="28.8" x14ac:dyDescent="0.55000000000000004">
      <c r="A118" s="12"/>
      <c r="B118" s="13" t="s">
        <v>920</v>
      </c>
      <c r="C118" s="10">
        <v>4</v>
      </c>
      <c r="D118" s="10">
        <v>185000</v>
      </c>
      <c r="E118" s="7">
        <f>+$I$2+(CABF[[#This Row],[QUANTITE]]*CABF[[#This Row],[PRIX UNITAIRE]])</f>
        <v>740000</v>
      </c>
      <c r="F118" s="14">
        <v>0</v>
      </c>
      <c r="G118" s="6">
        <f>+SUM(E$9:$E118)-SUM(F$9:$F118)</f>
        <v>18489000</v>
      </c>
    </row>
    <row r="119" spans="1:7" ht="28.8" x14ac:dyDescent="0.55000000000000004">
      <c r="A119" s="12"/>
      <c r="B119" s="13" t="s">
        <v>909</v>
      </c>
      <c r="C119" s="10">
        <v>4</v>
      </c>
      <c r="D119" s="10">
        <v>340000</v>
      </c>
      <c r="E119" s="7">
        <f>+$I$2+(CABF[[#This Row],[QUANTITE]]*CABF[[#This Row],[PRIX UNITAIRE]])</f>
        <v>1360000</v>
      </c>
      <c r="F119" s="14">
        <v>0</v>
      </c>
      <c r="G119" s="6">
        <f>+SUM(E$9:$E119)-SUM(F$9:$F119)</f>
        <v>19849000</v>
      </c>
    </row>
    <row r="120" spans="1:7" ht="28.8" x14ac:dyDescent="0.55000000000000004">
      <c r="A120" s="12">
        <v>44776</v>
      </c>
      <c r="B120" s="13" t="s">
        <v>700</v>
      </c>
      <c r="C120" s="10">
        <v>1</v>
      </c>
      <c r="D120" s="10">
        <v>0</v>
      </c>
      <c r="E120" s="7">
        <f>+$I$2+(CABF[[#This Row],[QUANTITE]]*CABF[[#This Row],[PRIX UNITAIRE]])</f>
        <v>0</v>
      </c>
      <c r="F120" s="14">
        <v>0</v>
      </c>
      <c r="G120" s="6">
        <f>+SUM(E$9:$E120)-SUM(F$9:$F120)</f>
        <v>19849000</v>
      </c>
    </row>
    <row r="121" spans="1:7" ht="28.8" x14ac:dyDescent="0.55000000000000004">
      <c r="A121" s="12">
        <v>44782</v>
      </c>
      <c r="B121" s="13" t="s">
        <v>921</v>
      </c>
      <c r="C121" s="10">
        <v>2</v>
      </c>
      <c r="D121" s="10">
        <v>100000</v>
      </c>
      <c r="E121" s="7">
        <f>+$I$2+(CABF[[#This Row],[QUANTITE]]*CABF[[#This Row],[PRIX UNITAIRE]])</f>
        <v>200000</v>
      </c>
      <c r="F121" s="14">
        <v>7000000</v>
      </c>
      <c r="G121" s="6">
        <f>+SUM(E$9:$E121)-SUM(F$9:$F121)</f>
        <v>13049000</v>
      </c>
    </row>
    <row r="122" spans="1:7" ht="28.8" x14ac:dyDescent="0.55000000000000004">
      <c r="A122" s="12">
        <v>44791</v>
      </c>
      <c r="B122" s="13" t="s">
        <v>917</v>
      </c>
      <c r="C122" s="10">
        <v>2</v>
      </c>
      <c r="D122" s="10">
        <v>145000</v>
      </c>
      <c r="E122" s="7">
        <f>+$I$2+(CABF[[#This Row],[QUANTITE]]*CABF[[#This Row],[PRIX UNITAIRE]])</f>
        <v>290000</v>
      </c>
      <c r="F122" s="14">
        <v>0</v>
      </c>
      <c r="G122" s="6">
        <f>+SUM(E$9:$E122)-SUM(F$9:$F122)</f>
        <v>13339000</v>
      </c>
    </row>
    <row r="123" spans="1:7" ht="28.8" x14ac:dyDescent="0.55000000000000004">
      <c r="A123" s="12"/>
      <c r="B123" s="13" t="s">
        <v>867</v>
      </c>
      <c r="C123" s="10">
        <v>2</v>
      </c>
      <c r="D123" s="10">
        <v>10000</v>
      </c>
      <c r="E123" s="7">
        <f>+$I$2+(CABF[[#This Row],[QUANTITE]]*CABF[[#This Row],[PRIX UNITAIRE]])</f>
        <v>20000</v>
      </c>
      <c r="F123" s="14">
        <v>0</v>
      </c>
      <c r="G123" s="6">
        <f>+SUM(E$9:$E123)-SUM(F$9:$F123)</f>
        <v>13359000</v>
      </c>
    </row>
    <row r="124" spans="1:7" ht="28.8" x14ac:dyDescent="0.55000000000000004">
      <c r="A124" s="12">
        <v>44792</v>
      </c>
      <c r="B124" s="13" t="s">
        <v>78</v>
      </c>
      <c r="C124" s="10">
        <v>30</v>
      </c>
      <c r="D124" s="10">
        <v>150000</v>
      </c>
      <c r="E124" s="7">
        <f>+$I$2+(CABF[[#This Row],[QUANTITE]]*CABF[[#This Row],[PRIX UNITAIRE]])</f>
        <v>4500000</v>
      </c>
      <c r="F124" s="14">
        <v>0</v>
      </c>
      <c r="G124" s="6">
        <f>+SUM(E$9:$E124)-SUM(F$9:$F124)</f>
        <v>17859000</v>
      </c>
    </row>
    <row r="125" spans="1:7" ht="28.8" x14ac:dyDescent="0.55000000000000004">
      <c r="A125" s="12"/>
      <c r="B125" s="13" t="s">
        <v>909</v>
      </c>
      <c r="C125" s="10">
        <v>2</v>
      </c>
      <c r="D125" s="10">
        <v>340000</v>
      </c>
      <c r="E125" s="7">
        <f>+$I$2+(CABF[[#This Row],[QUANTITE]]*CABF[[#This Row],[PRIX UNITAIRE]])</f>
        <v>680000</v>
      </c>
      <c r="F125" s="14">
        <v>0</v>
      </c>
      <c r="G125" s="6">
        <f>+SUM(E$9:$E125)-SUM(F$9:$F125)</f>
        <v>18539000</v>
      </c>
    </row>
    <row r="126" spans="1:7" ht="28.8" x14ac:dyDescent="0.55000000000000004">
      <c r="A126" s="12">
        <v>44797</v>
      </c>
      <c r="B126" s="13" t="s">
        <v>917</v>
      </c>
      <c r="C126" s="10">
        <v>4</v>
      </c>
      <c r="D126" s="10">
        <v>145000</v>
      </c>
      <c r="E126" s="7">
        <f>+$I$2+(CABF[[#This Row],[QUANTITE]]*CABF[[#This Row],[PRIX UNITAIRE]])</f>
        <v>580000</v>
      </c>
      <c r="F126" s="14">
        <v>0</v>
      </c>
      <c r="G126" s="6">
        <f>+SUM(E$9:$E126)-SUM(F$9:$F126)</f>
        <v>19119000</v>
      </c>
    </row>
    <row r="127" spans="1:7" ht="28.8" x14ac:dyDescent="0.55000000000000004">
      <c r="A127" s="12"/>
      <c r="B127" s="13" t="s">
        <v>922</v>
      </c>
      <c r="C127" s="10">
        <v>2</v>
      </c>
      <c r="D127" s="10">
        <v>115000</v>
      </c>
      <c r="E127" s="7">
        <f>+$I$2+(CABF[[#This Row],[QUANTITE]]*CABF[[#This Row],[PRIX UNITAIRE]])</f>
        <v>230000</v>
      </c>
      <c r="F127" s="14">
        <v>0</v>
      </c>
      <c r="G127" s="6">
        <f>+SUM(E$9:$E127)-SUM(F$9:$F127)</f>
        <v>19349000</v>
      </c>
    </row>
    <row r="128" spans="1:7" ht="28.8" x14ac:dyDescent="0.55000000000000004">
      <c r="A128" s="12">
        <v>44802</v>
      </c>
      <c r="B128" s="13" t="s">
        <v>847</v>
      </c>
      <c r="C128" s="10">
        <v>2</v>
      </c>
      <c r="D128" s="10">
        <v>60000</v>
      </c>
      <c r="E128" s="7">
        <f>+$I$2+(CABF[[#This Row],[QUANTITE]]*CABF[[#This Row],[PRIX UNITAIRE]])</f>
        <v>120000</v>
      </c>
      <c r="F128" s="14">
        <v>0</v>
      </c>
      <c r="G128" s="6">
        <f>+SUM(E$9:$E128)-SUM(F$9:$F128)</f>
        <v>19469000</v>
      </c>
    </row>
    <row r="129" spans="1:7" ht="28.8" x14ac:dyDescent="0.55000000000000004">
      <c r="A129" s="12">
        <v>44803</v>
      </c>
      <c r="B129" s="13" t="s">
        <v>923</v>
      </c>
      <c r="C129" s="10">
        <v>1</v>
      </c>
      <c r="D129" s="10">
        <v>1250000</v>
      </c>
      <c r="E129" s="7">
        <f>+$I$2+(CABF[[#This Row],[QUANTITE]]*CABF[[#This Row],[PRIX UNITAIRE]])</f>
        <v>1250000</v>
      </c>
      <c r="F129" s="14">
        <v>0</v>
      </c>
      <c r="G129" s="6">
        <f>+SUM(E$9:$E129)-SUM(F$9:$F129)</f>
        <v>20719000</v>
      </c>
    </row>
    <row r="130" spans="1:7" ht="28.8" x14ac:dyDescent="0.55000000000000004">
      <c r="A130" s="12">
        <v>44810</v>
      </c>
      <c r="B130" s="13" t="s">
        <v>213</v>
      </c>
      <c r="C130" s="10">
        <v>4</v>
      </c>
      <c r="D130" s="10">
        <v>185000</v>
      </c>
      <c r="E130" s="7">
        <f>+$I$2+(CABF[[#This Row],[QUANTITE]]*CABF[[#This Row],[PRIX UNITAIRE]])</f>
        <v>740000</v>
      </c>
      <c r="F130" s="14">
        <v>0</v>
      </c>
      <c r="G130" s="6">
        <f>+SUM(E$9:$E130)-SUM(F$9:$F130)</f>
        <v>21459000</v>
      </c>
    </row>
    <row r="131" spans="1:7" ht="28.8" x14ac:dyDescent="0.55000000000000004">
      <c r="A131" s="12">
        <v>44823</v>
      </c>
      <c r="B131" s="13" t="s">
        <v>924</v>
      </c>
      <c r="C131" s="10">
        <v>4</v>
      </c>
      <c r="D131" s="10">
        <v>145000</v>
      </c>
      <c r="E131" s="7">
        <f>+$I$2+(CABF[[#This Row],[QUANTITE]]*CABF[[#This Row],[PRIX UNITAIRE]])</f>
        <v>580000</v>
      </c>
      <c r="F131" s="14">
        <v>0</v>
      </c>
      <c r="G131" s="6">
        <f>+SUM(E$9:$E131)-SUM(F$9:$F131)</f>
        <v>22039000</v>
      </c>
    </row>
    <row r="132" spans="1:7" ht="28.8" x14ac:dyDescent="0.55000000000000004">
      <c r="A132" s="12">
        <v>44837</v>
      </c>
      <c r="B132" s="13" t="s">
        <v>925</v>
      </c>
      <c r="C132" s="10">
        <v>2</v>
      </c>
      <c r="D132" s="10">
        <v>120000</v>
      </c>
      <c r="E132" s="7">
        <f>+$I$2+(CABF[[#This Row],[QUANTITE]]*CABF[[#This Row],[PRIX UNITAIRE]])</f>
        <v>240000</v>
      </c>
      <c r="F132" s="14">
        <v>0</v>
      </c>
      <c r="G132" s="6">
        <f>+SUM(E$9:$E132)-SUM(F$9:$F132)</f>
        <v>22279000</v>
      </c>
    </row>
    <row r="133" spans="1:7" ht="28.8" x14ac:dyDescent="0.55000000000000004">
      <c r="A133" s="12"/>
      <c r="B133" s="13" t="s">
        <v>926</v>
      </c>
      <c r="C133" s="10">
        <v>1</v>
      </c>
      <c r="D133" s="10">
        <v>20000</v>
      </c>
      <c r="E133" s="7">
        <f>+$I$2+(CABF[[#This Row],[QUANTITE]]*CABF[[#This Row],[PRIX UNITAIRE]])</f>
        <v>20000</v>
      </c>
      <c r="F133" s="14">
        <v>0</v>
      </c>
      <c r="G133" s="6">
        <f>+SUM(E$9:$E133)-SUM(F$9:$F133)</f>
        <v>22299000</v>
      </c>
    </row>
    <row r="134" spans="1:7" ht="28.8" x14ac:dyDescent="0.55000000000000004">
      <c r="A134" s="12">
        <v>44839</v>
      </c>
      <c r="B134" s="13" t="s">
        <v>927</v>
      </c>
      <c r="C134" s="10">
        <v>2</v>
      </c>
      <c r="D134" s="10">
        <v>1250000</v>
      </c>
      <c r="E134" s="7">
        <f>+$I$2+(CABF[[#This Row],[QUANTITE]]*CABF[[#This Row],[PRIX UNITAIRE]])</f>
        <v>2500000</v>
      </c>
      <c r="F134" s="14">
        <v>0</v>
      </c>
      <c r="G134" s="6">
        <f>+SUM(E$9:$E134)-SUM(F$9:$F134)</f>
        <v>24799000</v>
      </c>
    </row>
    <row r="135" spans="1:7" ht="28.8" x14ac:dyDescent="0.55000000000000004">
      <c r="A135" s="12">
        <v>44847</v>
      </c>
      <c r="B135" s="13" t="s">
        <v>11</v>
      </c>
      <c r="C135" s="10">
        <v>2</v>
      </c>
      <c r="D135" s="10">
        <v>90000</v>
      </c>
      <c r="E135" s="7">
        <f>+$I$2+(CABF[[#This Row],[QUANTITE]]*CABF[[#This Row],[PRIX UNITAIRE]])</f>
        <v>180000</v>
      </c>
      <c r="F135" s="14">
        <v>0</v>
      </c>
      <c r="G135" s="6">
        <f>+SUM(E$9:$E135)-SUM(F$9:$F135)</f>
        <v>24979000</v>
      </c>
    </row>
    <row r="136" spans="1:7" ht="28.8" x14ac:dyDescent="0.55000000000000004">
      <c r="A136" s="12">
        <v>44862</v>
      </c>
      <c r="B136" s="13" t="s">
        <v>451</v>
      </c>
      <c r="C136" s="10">
        <v>1</v>
      </c>
      <c r="D136" s="10">
        <v>0</v>
      </c>
      <c r="E136" s="7">
        <f>+$I$2+(CABF[[#This Row],[QUANTITE]]*CABF[[#This Row],[PRIX UNITAIRE]])</f>
        <v>0</v>
      </c>
      <c r="F136" s="14">
        <v>0</v>
      </c>
      <c r="G136" s="6">
        <f>+SUM(E$9:$E136)-SUM(F$9:$F136)</f>
        <v>24979000</v>
      </c>
    </row>
    <row r="137" spans="1:7" ht="28.8" x14ac:dyDescent="0.55000000000000004">
      <c r="A137" s="12">
        <v>44867</v>
      </c>
      <c r="B137" s="13" t="s">
        <v>928</v>
      </c>
      <c r="C137" s="10">
        <v>20</v>
      </c>
      <c r="D137" s="10">
        <v>190000</v>
      </c>
      <c r="E137" s="7">
        <f>+$I$2+(CABF[[#This Row],[QUANTITE]]*CABF[[#This Row],[PRIX UNITAIRE]])</f>
        <v>3800000</v>
      </c>
      <c r="F137" s="14">
        <v>8000000</v>
      </c>
      <c r="G137" s="6">
        <f>+SUM(E$9:$E137)-SUM(F$9:$F137)</f>
        <v>20779000</v>
      </c>
    </row>
    <row r="138" spans="1:7" ht="28.8" x14ac:dyDescent="0.55000000000000004">
      <c r="A138" s="12"/>
      <c r="B138" s="13" t="s">
        <v>825</v>
      </c>
      <c r="C138" s="10">
        <v>10</v>
      </c>
      <c r="D138" s="10">
        <v>185000</v>
      </c>
      <c r="E138" s="7">
        <f>+$I$2+(CABF[[#This Row],[QUANTITE]]*CABF[[#This Row],[PRIX UNITAIRE]])</f>
        <v>1850000</v>
      </c>
      <c r="F138" s="14">
        <v>0</v>
      </c>
      <c r="G138" s="6">
        <f>+SUM(E$9:$E138)-SUM(F$9:$F138)</f>
        <v>22629000</v>
      </c>
    </row>
    <row r="139" spans="1:7" ht="28.8" x14ac:dyDescent="0.55000000000000004">
      <c r="A139" s="12">
        <v>44887</v>
      </c>
      <c r="B139" s="13" t="s">
        <v>213</v>
      </c>
      <c r="C139" s="10">
        <v>4</v>
      </c>
      <c r="D139" s="10">
        <v>185000</v>
      </c>
      <c r="E139" s="7">
        <f>+$I$2+(CABF[[#This Row],[QUANTITE]]*CABF[[#This Row],[PRIX UNITAIRE]])</f>
        <v>740000</v>
      </c>
      <c r="F139" s="14">
        <v>0</v>
      </c>
      <c r="G139" s="6">
        <f>+SUM(E$9:$E139)-SUM(F$9:$F139)</f>
        <v>23369000</v>
      </c>
    </row>
    <row r="140" spans="1:7" ht="28.8" x14ac:dyDescent="0.55000000000000004">
      <c r="A140" s="12"/>
      <c r="B140" s="13" t="s">
        <v>929</v>
      </c>
      <c r="C140" s="10">
        <v>2</v>
      </c>
      <c r="D140" s="10">
        <v>135000</v>
      </c>
      <c r="E140" s="7">
        <f>+$I$2+(CABF[[#This Row],[QUANTITE]]*CABF[[#This Row],[PRIX UNITAIRE]])</f>
        <v>270000</v>
      </c>
      <c r="F140" s="14">
        <v>0</v>
      </c>
      <c r="G140" s="6">
        <f>+SUM(E$9:$E140)-SUM(F$9:$F140)</f>
        <v>23639000</v>
      </c>
    </row>
    <row r="141" spans="1:7" ht="28.8" x14ac:dyDescent="0.55000000000000004">
      <c r="A141" s="12"/>
      <c r="B141" s="13" t="s">
        <v>913</v>
      </c>
      <c r="C141" s="10">
        <v>1</v>
      </c>
      <c r="D141" s="10">
        <v>75000</v>
      </c>
      <c r="E141" s="7">
        <f>+$I$2+(CABF[[#This Row],[QUANTITE]]*CABF[[#This Row],[PRIX UNITAIRE]])</f>
        <v>75000</v>
      </c>
      <c r="F141" s="14">
        <v>0</v>
      </c>
      <c r="G141" s="6">
        <f>+SUM(E$9:$E141)-SUM(F$9:$F141)</f>
        <v>23714000</v>
      </c>
    </row>
    <row r="142" spans="1:7" ht="28.8" x14ac:dyDescent="0.55000000000000004">
      <c r="A142" s="12"/>
      <c r="B142" s="13" t="s">
        <v>930</v>
      </c>
      <c r="C142" s="10">
        <v>1</v>
      </c>
      <c r="D142" s="10">
        <v>45000</v>
      </c>
      <c r="E142" s="7">
        <f>+$I$2+(CABF[[#This Row],[QUANTITE]]*CABF[[#This Row],[PRIX UNITAIRE]])</f>
        <v>45000</v>
      </c>
      <c r="F142" s="14">
        <v>0</v>
      </c>
      <c r="G142" s="6">
        <f>+SUM(E$9:$E142)-SUM(F$9:$F142)</f>
        <v>23759000</v>
      </c>
    </row>
    <row r="143" spans="1:7" ht="28.8" x14ac:dyDescent="0.55000000000000004">
      <c r="A143" s="12">
        <v>44887</v>
      </c>
      <c r="B143" s="13" t="s">
        <v>542</v>
      </c>
      <c r="C143" s="10">
        <v>2</v>
      </c>
      <c r="D143" s="10">
        <v>140000</v>
      </c>
      <c r="E143" s="7">
        <f>+$I$2+(CABF[[#This Row],[QUANTITE]]*CABF[[#This Row],[PRIX UNITAIRE]])</f>
        <v>280000</v>
      </c>
      <c r="F143" s="14">
        <v>0</v>
      </c>
      <c r="G143" s="6">
        <f>+SUM(E$9:$E143)-SUM(F$9:$F143)</f>
        <v>24039000</v>
      </c>
    </row>
    <row r="144" spans="1:7" ht="28.8" x14ac:dyDescent="0.55000000000000004">
      <c r="A144" s="12"/>
      <c r="B144" s="13" t="s">
        <v>931</v>
      </c>
      <c r="C144" s="10">
        <v>2</v>
      </c>
      <c r="D144" s="10">
        <v>12500</v>
      </c>
      <c r="E144" s="7">
        <f>+$I$2+(CABF[[#This Row],[QUANTITE]]*CABF[[#This Row],[PRIX UNITAIRE]])</f>
        <v>25000</v>
      </c>
      <c r="F144" s="14">
        <v>0</v>
      </c>
      <c r="G144" s="6">
        <f>+SUM(E$9:$E144)-SUM(F$9:$F144)</f>
        <v>24064000</v>
      </c>
    </row>
    <row r="145" spans="1:7" ht="28.8" x14ac:dyDescent="0.55000000000000004">
      <c r="A145" s="12">
        <v>44889</v>
      </c>
      <c r="B145" s="13" t="s">
        <v>932</v>
      </c>
      <c r="C145" s="10">
        <v>4</v>
      </c>
      <c r="D145" s="10">
        <v>335000</v>
      </c>
      <c r="E145" s="7">
        <f>+$I$2+(CABF[[#This Row],[QUANTITE]]*CABF[[#This Row],[PRIX UNITAIRE]])</f>
        <v>1340000</v>
      </c>
      <c r="F145" s="14">
        <v>0</v>
      </c>
      <c r="G145" s="6">
        <f>+SUM(E$9:$E145)-SUM(F$9:$F145)</f>
        <v>25404000</v>
      </c>
    </row>
    <row r="146" spans="1:7" ht="28.8" x14ac:dyDescent="0.55000000000000004">
      <c r="A146" s="12"/>
      <c r="B146" s="13" t="s">
        <v>78</v>
      </c>
      <c r="C146" s="10">
        <v>6</v>
      </c>
      <c r="D146" s="10">
        <v>150000</v>
      </c>
      <c r="E146" s="7">
        <f>+$I$2+(CABF[[#This Row],[QUANTITE]]*CABF[[#This Row],[PRIX UNITAIRE]])</f>
        <v>900000</v>
      </c>
      <c r="F146" s="14">
        <v>0</v>
      </c>
      <c r="G146" s="6">
        <f>+SUM(E$9:$E146)-SUM(F$9:$F146)</f>
        <v>26304000</v>
      </c>
    </row>
    <row r="147" spans="1:7" ht="28.8" x14ac:dyDescent="0.55000000000000004">
      <c r="A147" s="12"/>
      <c r="B147" s="13" t="s">
        <v>928</v>
      </c>
      <c r="C147" s="10">
        <v>10</v>
      </c>
      <c r="D147" s="10">
        <v>190000</v>
      </c>
      <c r="E147" s="7">
        <f>+$I$2+(CABF[[#This Row],[QUANTITE]]*CABF[[#This Row],[PRIX UNITAIRE]])</f>
        <v>1900000</v>
      </c>
      <c r="F147" s="14">
        <v>0</v>
      </c>
      <c r="G147" s="6">
        <f>+SUM(E$9:$E147)-SUM(F$9:$F147)</f>
        <v>28204000</v>
      </c>
    </row>
    <row r="148" spans="1:7" ht="28.8" x14ac:dyDescent="0.55000000000000004">
      <c r="A148" s="12"/>
      <c r="B148" s="13" t="s">
        <v>882</v>
      </c>
      <c r="C148" s="10">
        <v>8</v>
      </c>
      <c r="D148" s="10">
        <v>190000</v>
      </c>
      <c r="E148" s="7">
        <f>+$I$2+(CABF[[#This Row],[QUANTITE]]*CABF[[#This Row],[PRIX UNITAIRE]])</f>
        <v>1520000</v>
      </c>
      <c r="F148" s="14">
        <v>0</v>
      </c>
      <c r="G148" s="6">
        <f>+SUM(E$9:$E148)-SUM(F$9:$F148)</f>
        <v>29724000</v>
      </c>
    </row>
    <row r="149" spans="1:7" ht="28.8" x14ac:dyDescent="0.55000000000000004">
      <c r="A149" s="12"/>
      <c r="B149" s="13" t="s">
        <v>890</v>
      </c>
      <c r="C149" s="10">
        <v>2</v>
      </c>
      <c r="D149" s="10">
        <v>175000</v>
      </c>
      <c r="E149" s="7">
        <f>+$I$2+(CABF[[#This Row],[QUANTITE]]*CABF[[#This Row],[PRIX UNITAIRE]])</f>
        <v>350000</v>
      </c>
      <c r="F149" s="14">
        <v>0</v>
      </c>
      <c r="G149" s="6">
        <f>+SUM(E$9:$E149)-SUM(F$9:$F149)</f>
        <v>30074000</v>
      </c>
    </row>
    <row r="150" spans="1:7" ht="28.8" x14ac:dyDescent="0.55000000000000004">
      <c r="A150" s="12"/>
      <c r="B150" s="13" t="s">
        <v>902</v>
      </c>
      <c r="C150" s="10">
        <v>2</v>
      </c>
      <c r="D150" s="10">
        <v>260000</v>
      </c>
      <c r="E150" s="7">
        <f>+$I$2+(CABF[[#This Row],[QUANTITE]]*CABF[[#This Row],[PRIX UNITAIRE]])</f>
        <v>520000</v>
      </c>
      <c r="F150" s="14">
        <v>0</v>
      </c>
      <c r="G150" s="6">
        <f>+SUM(E$9:$E150)-SUM(F$9:$F150)</f>
        <v>30594000</v>
      </c>
    </row>
    <row r="151" spans="1:7" ht="28.8" x14ac:dyDescent="0.55000000000000004">
      <c r="A151" s="12">
        <v>44893</v>
      </c>
      <c r="B151" s="13" t="s">
        <v>919</v>
      </c>
      <c r="C151" s="10">
        <v>4</v>
      </c>
      <c r="D151" s="10">
        <v>100000</v>
      </c>
      <c r="E151" s="7">
        <f>+$I$2+(CABF[[#This Row],[QUANTITE]]*CABF[[#This Row],[PRIX UNITAIRE]])</f>
        <v>400000</v>
      </c>
      <c r="F151" s="14">
        <v>0</v>
      </c>
      <c r="G151" s="6">
        <f>+SUM(E$9:$E151)-SUM(F$9:$F151)</f>
        <v>30994000</v>
      </c>
    </row>
    <row r="152" spans="1:7" ht="28.8" x14ac:dyDescent="0.55000000000000004">
      <c r="A152" s="12">
        <v>44914</v>
      </c>
      <c r="B152" s="13" t="s">
        <v>240</v>
      </c>
      <c r="C152" s="10">
        <v>2</v>
      </c>
      <c r="D152" s="10">
        <v>60000</v>
      </c>
      <c r="E152" s="7">
        <f>+$I$2+(CABF[[#This Row],[QUANTITE]]*CABF[[#This Row],[PRIX UNITAIRE]])</f>
        <v>120000</v>
      </c>
      <c r="F152" s="14">
        <v>0</v>
      </c>
      <c r="G152" s="6">
        <f>+SUM(E$9:$E152)-SUM(F$9:$F152)</f>
        <v>31114000</v>
      </c>
    </row>
    <row r="153" spans="1:7" ht="28.8" x14ac:dyDescent="0.55000000000000004">
      <c r="A153" s="12">
        <v>44900</v>
      </c>
      <c r="B153" s="13" t="s">
        <v>758</v>
      </c>
      <c r="C153" s="10">
        <v>2</v>
      </c>
      <c r="D153" s="10">
        <v>10000</v>
      </c>
      <c r="E153" s="7">
        <f>+$I$2+(CABF[[#This Row],[QUANTITE]]*CABF[[#This Row],[PRIX UNITAIRE]])</f>
        <v>20000</v>
      </c>
      <c r="F153" s="14">
        <v>0</v>
      </c>
      <c r="G153" s="6">
        <f>+SUM(E$9:$E153)-SUM(F$9:$F153)</f>
        <v>31134000</v>
      </c>
    </row>
    <row r="154" spans="1:7" ht="28.8" x14ac:dyDescent="0.55000000000000004">
      <c r="A154" s="12">
        <v>44918</v>
      </c>
      <c r="B154" s="13" t="s">
        <v>884</v>
      </c>
      <c r="C154" s="10">
        <v>1</v>
      </c>
      <c r="D154" s="10">
        <v>140000</v>
      </c>
      <c r="E154" s="7">
        <f>+$I$2+(CABF[[#This Row],[QUANTITE]]*CABF[[#This Row],[PRIX UNITAIRE]])</f>
        <v>140000</v>
      </c>
      <c r="F154" s="14">
        <v>0</v>
      </c>
      <c r="G154" s="6">
        <f>+SUM(E$9:$E154)-SUM(F$9:$F154)</f>
        <v>31274000</v>
      </c>
    </row>
    <row r="155" spans="1:7" ht="28.8" x14ac:dyDescent="0.55000000000000004">
      <c r="A155" s="12"/>
      <c r="B155" s="13" t="s">
        <v>933</v>
      </c>
      <c r="C155" s="10">
        <v>1</v>
      </c>
      <c r="D155" s="10">
        <v>75000</v>
      </c>
      <c r="E155" s="7">
        <f>+$I$2+(CABF[[#This Row],[QUANTITE]]*CABF[[#This Row],[PRIX UNITAIRE]])</f>
        <v>75000</v>
      </c>
      <c r="F155" s="14">
        <v>0</v>
      </c>
      <c r="G155" s="6">
        <f>+SUM(E$9:$E155)-SUM(F$9:$F155)</f>
        <v>31349000</v>
      </c>
    </row>
    <row r="156" spans="1:7" ht="28.8" x14ac:dyDescent="0.55000000000000004">
      <c r="A156" s="12">
        <v>44919</v>
      </c>
      <c r="B156" s="13" t="s">
        <v>934</v>
      </c>
      <c r="C156" s="10">
        <v>1</v>
      </c>
      <c r="D156" s="10">
        <v>45000</v>
      </c>
      <c r="E156" s="7">
        <f>+$I$2+(CABF[[#This Row],[QUANTITE]]*CABF[[#This Row],[PRIX UNITAIRE]])</f>
        <v>45000</v>
      </c>
      <c r="F156" s="14">
        <v>0</v>
      </c>
      <c r="G156" s="6">
        <f>+SUM(E$9:$E156)-SUM(F$9:$F156)</f>
        <v>31394000</v>
      </c>
    </row>
    <row r="157" spans="1:7" ht="28.8" x14ac:dyDescent="0.55000000000000004">
      <c r="A157" s="12">
        <v>44931</v>
      </c>
      <c r="B157" s="13" t="s">
        <v>606</v>
      </c>
      <c r="C157" s="10">
        <v>12</v>
      </c>
      <c r="D157" s="10">
        <v>190000</v>
      </c>
      <c r="E157" s="7">
        <f>+$I$2+(CABF[[#This Row],[QUANTITE]]*CABF[[#This Row],[PRIX UNITAIRE]])</f>
        <v>2280000</v>
      </c>
      <c r="F157" s="14">
        <v>0</v>
      </c>
      <c r="G157" s="6">
        <f>+SUM(E$9:$E157)-SUM(F$9:$F157)</f>
        <v>33674000</v>
      </c>
    </row>
    <row r="158" spans="1:7" ht="28.8" x14ac:dyDescent="0.55000000000000004">
      <c r="A158" s="12"/>
      <c r="B158" s="13" t="s">
        <v>78</v>
      </c>
      <c r="C158" s="10">
        <v>15</v>
      </c>
      <c r="D158" s="10">
        <v>150000</v>
      </c>
      <c r="E158" s="7">
        <f>+$I$2+(CABF[[#This Row],[QUANTITE]]*CABF[[#This Row],[PRIX UNITAIRE]])</f>
        <v>2250000</v>
      </c>
      <c r="F158" s="14">
        <v>0</v>
      </c>
      <c r="G158" s="6">
        <f>+SUM(E$9:$E158)-SUM(F$9:$F158)</f>
        <v>35924000</v>
      </c>
    </row>
    <row r="159" spans="1:7" ht="28.8" x14ac:dyDescent="0.55000000000000004">
      <c r="A159" s="12"/>
      <c r="B159" s="13" t="s">
        <v>213</v>
      </c>
      <c r="C159" s="10">
        <v>3</v>
      </c>
      <c r="D159" s="10">
        <v>185000</v>
      </c>
      <c r="E159" s="7">
        <f>+$I$2+(CABF[[#This Row],[QUANTITE]]*CABF[[#This Row],[PRIX UNITAIRE]])</f>
        <v>555000</v>
      </c>
      <c r="F159" s="14">
        <v>0</v>
      </c>
      <c r="G159" s="6">
        <f>+SUM(E$9:$E159)-SUM(F$9:$F159)</f>
        <v>36479000</v>
      </c>
    </row>
    <row r="160" spans="1:7" ht="28.8" x14ac:dyDescent="0.55000000000000004">
      <c r="A160" s="12">
        <v>44936</v>
      </c>
      <c r="B160" s="13" t="s">
        <v>541</v>
      </c>
      <c r="C160" s="10">
        <v>2</v>
      </c>
      <c r="D160" s="10">
        <v>175000</v>
      </c>
      <c r="E160" s="7">
        <f>+$I$2+(CABF[[#This Row],[QUANTITE]]*CABF[[#This Row],[PRIX UNITAIRE]])</f>
        <v>350000</v>
      </c>
      <c r="F160" s="14">
        <v>0</v>
      </c>
      <c r="G160" s="6">
        <f>+SUM(E$9:$E160)-SUM(F$9:$F160)</f>
        <v>36829000</v>
      </c>
    </row>
    <row r="161" spans="1:7" ht="28.8" x14ac:dyDescent="0.55000000000000004">
      <c r="A161" s="12">
        <v>44938</v>
      </c>
      <c r="B161" s="13" t="s">
        <v>935</v>
      </c>
      <c r="C161" s="10">
        <v>1</v>
      </c>
      <c r="D161" s="10">
        <v>0</v>
      </c>
      <c r="E161" s="7">
        <f>+$I$2+(CABF[[#This Row],[QUANTITE]]*CABF[[#This Row],[PRIX UNITAIRE]])</f>
        <v>0</v>
      </c>
      <c r="F161" s="14">
        <v>0</v>
      </c>
      <c r="G161" s="6">
        <f>+SUM(E$9:$E161)-SUM(F$9:$F161)</f>
        <v>36829000</v>
      </c>
    </row>
    <row r="162" spans="1:7" ht="28.8" x14ac:dyDescent="0.55000000000000004">
      <c r="A162" s="12">
        <v>44944</v>
      </c>
      <c r="B162" s="13" t="s">
        <v>936</v>
      </c>
      <c r="C162" s="10">
        <v>4</v>
      </c>
      <c r="D162" s="10">
        <v>185000</v>
      </c>
      <c r="E162" s="7">
        <f>+$I$2+(CABF[[#This Row],[QUANTITE]]*CABF[[#This Row],[PRIX UNITAIRE]])</f>
        <v>740000</v>
      </c>
      <c r="F162" s="14">
        <v>10000000</v>
      </c>
      <c r="G162" s="6">
        <f>+SUM(E$9:$E162)-SUM(F$9:$F162)</f>
        <v>27569000</v>
      </c>
    </row>
    <row r="163" spans="1:7" ht="28.8" x14ac:dyDescent="0.55000000000000004">
      <c r="A163" s="12"/>
      <c r="B163" s="13" t="s">
        <v>937</v>
      </c>
      <c r="C163" s="10">
        <v>2</v>
      </c>
      <c r="D163" s="10">
        <v>100000</v>
      </c>
      <c r="E163" s="7">
        <f>+$I$2+(CABF[[#This Row],[QUANTITE]]*CABF[[#This Row],[PRIX UNITAIRE]])</f>
        <v>200000</v>
      </c>
      <c r="F163" s="14">
        <v>0</v>
      </c>
      <c r="G163" s="6">
        <f>+SUM(E$9:$E163)-SUM(F$9:$F163)</f>
        <v>27769000</v>
      </c>
    </row>
    <row r="164" spans="1:7" ht="28.8" x14ac:dyDescent="0.55000000000000004">
      <c r="A164" s="12">
        <v>44945</v>
      </c>
      <c r="B164" s="13" t="s">
        <v>938</v>
      </c>
      <c r="C164" s="10">
        <v>1</v>
      </c>
      <c r="D164" s="10">
        <v>590000</v>
      </c>
      <c r="E164" s="7">
        <f>+$I$2+(CABF[[#This Row],[QUANTITE]]*CABF[[#This Row],[PRIX UNITAIRE]])</f>
        <v>590000</v>
      </c>
      <c r="F164" s="14">
        <v>0</v>
      </c>
      <c r="G164" s="6">
        <f>+SUM(E$9:$E164)-SUM(F$9:$F164)</f>
        <v>28359000</v>
      </c>
    </row>
    <row r="165" spans="1:7" ht="28.8" x14ac:dyDescent="0.55000000000000004">
      <c r="A165" s="12">
        <v>44952</v>
      </c>
      <c r="B165" s="13" t="s">
        <v>936</v>
      </c>
      <c r="C165" s="10">
        <v>2</v>
      </c>
      <c r="D165" s="10">
        <v>185000</v>
      </c>
      <c r="E165" s="7">
        <f>+$I$2+(CABF[[#This Row],[QUANTITE]]*CABF[[#This Row],[PRIX UNITAIRE]])</f>
        <v>370000</v>
      </c>
      <c r="F165" s="14">
        <v>0</v>
      </c>
      <c r="G165" s="6">
        <f>+SUM(E$9:$E165)-SUM(F$9:$F165)</f>
        <v>28729000</v>
      </c>
    </row>
    <row r="166" spans="1:7" ht="28.8" x14ac:dyDescent="0.55000000000000004">
      <c r="A166" s="12">
        <v>44952</v>
      </c>
      <c r="B166" s="13" t="s">
        <v>939</v>
      </c>
      <c r="C166" s="10">
        <v>2</v>
      </c>
      <c r="D166" s="10">
        <v>100000</v>
      </c>
      <c r="E166" s="7">
        <f>+$I$2+(CABF[[#This Row],[QUANTITE]]*CABF[[#This Row],[PRIX UNITAIRE]])</f>
        <v>200000</v>
      </c>
      <c r="F166" s="14">
        <v>0</v>
      </c>
      <c r="G166" s="6">
        <f>+SUM(E$9:$E166)-SUM(F$9:$F166)</f>
        <v>28929000</v>
      </c>
    </row>
    <row r="167" spans="1:7" ht="28.8" x14ac:dyDescent="0.55000000000000004">
      <c r="A167" s="12">
        <v>44953</v>
      </c>
      <c r="B167" s="13" t="s">
        <v>940</v>
      </c>
      <c r="C167" s="10">
        <v>5</v>
      </c>
      <c r="D167" s="10">
        <v>75000</v>
      </c>
      <c r="E167" s="7">
        <f>+$I$2+(CABF[[#This Row],[QUANTITE]]*CABF[[#This Row],[PRIX UNITAIRE]])</f>
        <v>375000</v>
      </c>
      <c r="F167" s="14">
        <v>0</v>
      </c>
      <c r="G167" s="6">
        <f>+SUM(E$9:$E167)-SUM(F$9:$F167)</f>
        <v>29304000</v>
      </c>
    </row>
    <row r="168" spans="1:7" ht="28.8" x14ac:dyDescent="0.55000000000000004">
      <c r="A168" s="12">
        <v>44972</v>
      </c>
      <c r="B168" s="13" t="s">
        <v>941</v>
      </c>
      <c r="C168" s="10">
        <v>1</v>
      </c>
      <c r="D168" s="10">
        <v>0</v>
      </c>
      <c r="E168" s="7">
        <f>+$I$2+(CABF[[#This Row],[QUANTITE]]*CABF[[#This Row],[PRIX UNITAIRE]])</f>
        <v>0</v>
      </c>
      <c r="F168" s="14">
        <v>0</v>
      </c>
      <c r="G168" s="6">
        <f>+SUM(E$9:$E168)-SUM(F$9:$F168)</f>
        <v>29304000</v>
      </c>
    </row>
    <row r="169" spans="1:7" ht="28.8" x14ac:dyDescent="0.55000000000000004">
      <c r="A169" s="12">
        <v>44973</v>
      </c>
      <c r="B169" s="13" t="s">
        <v>882</v>
      </c>
      <c r="C169" s="10">
        <v>4</v>
      </c>
      <c r="D169" s="10">
        <v>190000</v>
      </c>
      <c r="E169" s="7">
        <f>+$I$2+(CABF[[#This Row],[QUANTITE]]*CABF[[#This Row],[PRIX UNITAIRE]])</f>
        <v>760000</v>
      </c>
      <c r="F169" s="14">
        <v>10000000</v>
      </c>
      <c r="G169" s="6">
        <f>+SUM(E$9:$E169)-SUM(F$9:$F169)</f>
        <v>20064000</v>
      </c>
    </row>
    <row r="170" spans="1:7" ht="28.8" x14ac:dyDescent="0.55000000000000004">
      <c r="A170" s="12"/>
      <c r="B170" s="13" t="s">
        <v>890</v>
      </c>
      <c r="C170" s="10">
        <v>2</v>
      </c>
      <c r="D170" s="10">
        <v>175000</v>
      </c>
      <c r="E170" s="7">
        <f>+$I$2+(CABF[[#This Row],[QUANTITE]]*CABF[[#This Row],[PRIX UNITAIRE]])</f>
        <v>350000</v>
      </c>
      <c r="F170" s="14">
        <v>0</v>
      </c>
      <c r="G170" s="6">
        <f>+SUM(E$9:$E170)-SUM(F$9:$F170)</f>
        <v>20414000</v>
      </c>
    </row>
    <row r="171" spans="1:7" ht="28.8" x14ac:dyDescent="0.55000000000000004">
      <c r="A171" s="12">
        <v>44966</v>
      </c>
      <c r="B171" s="13" t="s">
        <v>942</v>
      </c>
      <c r="C171" s="10">
        <v>1</v>
      </c>
      <c r="D171" s="10">
        <v>2250000</v>
      </c>
      <c r="E171" s="7">
        <f>+$I$2+(CABF[[#This Row],[QUANTITE]]*CABF[[#This Row],[PRIX UNITAIRE]])</f>
        <v>2250000</v>
      </c>
      <c r="F171" s="14">
        <v>0</v>
      </c>
      <c r="G171" s="6">
        <f>+SUM(E$9:$E171)-SUM(F$9:$F171)</f>
        <v>22664000</v>
      </c>
    </row>
    <row r="172" spans="1:7" ht="28.8" x14ac:dyDescent="0.55000000000000004">
      <c r="A172" s="12">
        <v>44980</v>
      </c>
      <c r="B172" s="13" t="s">
        <v>943</v>
      </c>
      <c r="C172" s="10">
        <v>2</v>
      </c>
      <c r="D172" s="10">
        <v>100000</v>
      </c>
      <c r="E172" s="7">
        <f>+$I$2+(CABF[[#This Row],[QUANTITE]]*CABF[[#This Row],[PRIX UNITAIRE]])</f>
        <v>200000</v>
      </c>
      <c r="F172" s="14">
        <v>0</v>
      </c>
      <c r="G172" s="6">
        <f>+SUM(E$9:$E172)-SUM(F$9:$F172)</f>
        <v>22864000</v>
      </c>
    </row>
    <row r="173" spans="1:7" ht="28.8" x14ac:dyDescent="0.55000000000000004">
      <c r="A173" s="12">
        <v>44981</v>
      </c>
      <c r="B173" s="13" t="s">
        <v>78</v>
      </c>
      <c r="C173" s="10">
        <v>8</v>
      </c>
      <c r="D173" s="10">
        <v>150000</v>
      </c>
      <c r="E173" s="7">
        <f>+$I$2+(CABF[[#This Row],[QUANTITE]]*CABF[[#This Row],[PRIX UNITAIRE]])</f>
        <v>1200000</v>
      </c>
      <c r="F173" s="14">
        <v>0</v>
      </c>
      <c r="G173" s="6">
        <f>+SUM(E$9:$E173)-SUM(F$9:$F173)</f>
        <v>24064000</v>
      </c>
    </row>
    <row r="174" spans="1:7" ht="28.8" x14ac:dyDescent="0.55000000000000004">
      <c r="A174" s="12"/>
      <c r="B174" s="13" t="s">
        <v>944</v>
      </c>
      <c r="C174" s="10">
        <v>2</v>
      </c>
      <c r="D174" s="10">
        <v>365000</v>
      </c>
      <c r="E174" s="7">
        <f>+$I$2+(CABF[[#This Row],[QUANTITE]]*CABF[[#This Row],[PRIX UNITAIRE]])</f>
        <v>730000</v>
      </c>
      <c r="F174" s="14">
        <v>0</v>
      </c>
      <c r="G174" s="6">
        <f>+SUM(E$9:$E174)-SUM(F$9:$F174)</f>
        <v>24794000</v>
      </c>
    </row>
    <row r="175" spans="1:7" ht="28.8" x14ac:dyDescent="0.55000000000000004">
      <c r="A175" s="12">
        <v>44995</v>
      </c>
      <c r="B175" s="13" t="s">
        <v>240</v>
      </c>
      <c r="C175" s="10">
        <v>1</v>
      </c>
      <c r="D175" s="10">
        <v>60000</v>
      </c>
      <c r="E175" s="7">
        <f>+$I$2+(CABF[[#This Row],[QUANTITE]]*CABF[[#This Row],[PRIX UNITAIRE]])</f>
        <v>60000</v>
      </c>
      <c r="F175" s="14">
        <v>0</v>
      </c>
      <c r="G175" s="6">
        <f>+SUM(E$9:$E175)-SUM(F$9:$F175)</f>
        <v>24854000</v>
      </c>
    </row>
    <row r="176" spans="1:7" ht="28.8" x14ac:dyDescent="0.55000000000000004">
      <c r="A176" s="12">
        <v>45003</v>
      </c>
      <c r="B176" s="13" t="s">
        <v>882</v>
      </c>
      <c r="C176" s="10">
        <v>4</v>
      </c>
      <c r="D176" s="10">
        <v>190000</v>
      </c>
      <c r="E176" s="7">
        <f>+$I$2+(CABF[[#This Row],[QUANTITE]]*CABF[[#This Row],[PRIX UNITAIRE]])</f>
        <v>760000</v>
      </c>
      <c r="F176" s="14">
        <v>0</v>
      </c>
      <c r="G176" s="6">
        <f>+SUM(E$9:$E176)-SUM(F$9:$F176)</f>
        <v>25614000</v>
      </c>
    </row>
    <row r="177" spans="1:7" ht="28.8" x14ac:dyDescent="0.55000000000000004">
      <c r="A177" s="12"/>
      <c r="B177" s="13" t="s">
        <v>945</v>
      </c>
      <c r="C177" s="10">
        <v>2</v>
      </c>
      <c r="D177" s="10">
        <v>90000</v>
      </c>
      <c r="E177" s="7">
        <f>+$I$2+(CABF[[#This Row],[QUANTITE]]*CABF[[#This Row],[PRIX UNITAIRE]])</f>
        <v>180000</v>
      </c>
      <c r="F177" s="14">
        <v>0</v>
      </c>
      <c r="G177" s="6">
        <f>+SUM(E$9:$E177)-SUM(F$9:$F177)</f>
        <v>25794000</v>
      </c>
    </row>
    <row r="178" spans="1:7" ht="28.8" x14ac:dyDescent="0.55000000000000004">
      <c r="A178" s="12"/>
      <c r="B178" s="13" t="s">
        <v>902</v>
      </c>
      <c r="C178" s="10">
        <v>2</v>
      </c>
      <c r="D178" s="10">
        <v>260000</v>
      </c>
      <c r="E178" s="7">
        <f>+$I$2+(CABF[[#This Row],[QUANTITE]]*CABF[[#This Row],[PRIX UNITAIRE]])</f>
        <v>520000</v>
      </c>
      <c r="F178" s="14">
        <v>0</v>
      </c>
      <c r="G178" s="6">
        <f>+SUM(E$9:$E178)-SUM(F$9:$F178)</f>
        <v>26314000</v>
      </c>
    </row>
    <row r="179" spans="1:7" ht="28.8" x14ac:dyDescent="0.55000000000000004">
      <c r="A179" s="12">
        <v>45005</v>
      </c>
      <c r="B179" s="13" t="s">
        <v>882</v>
      </c>
      <c r="C179" s="10">
        <v>1</v>
      </c>
      <c r="D179" s="10">
        <v>190000</v>
      </c>
      <c r="E179" s="7">
        <f>+$I$2+(CABF[[#This Row],[QUANTITE]]*CABF[[#This Row],[PRIX UNITAIRE]])</f>
        <v>190000</v>
      </c>
      <c r="F179" s="14">
        <v>0</v>
      </c>
      <c r="G179" s="6">
        <f>+SUM(E$9:$E179)-SUM(F$9:$F179)</f>
        <v>26504000</v>
      </c>
    </row>
    <row r="180" spans="1:7" ht="28.8" x14ac:dyDescent="0.55000000000000004">
      <c r="A180" s="12">
        <v>45008</v>
      </c>
      <c r="B180" s="13" t="s">
        <v>939</v>
      </c>
      <c r="C180" s="10">
        <v>2</v>
      </c>
      <c r="D180" s="10">
        <v>100000</v>
      </c>
      <c r="E180" s="7">
        <f>+$I$2+(CABF[[#This Row],[QUANTITE]]*CABF[[#This Row],[PRIX UNITAIRE]])</f>
        <v>200000</v>
      </c>
      <c r="F180" s="14">
        <v>0</v>
      </c>
      <c r="G180" s="6">
        <f>+SUM(E$9:$E180)-SUM(F$9:$F180)</f>
        <v>26704000</v>
      </c>
    </row>
    <row r="181" spans="1:7" ht="28.8" x14ac:dyDescent="0.55000000000000004">
      <c r="A181" s="12">
        <v>45008</v>
      </c>
      <c r="B181" s="13" t="s">
        <v>946</v>
      </c>
      <c r="C181" s="10">
        <v>1</v>
      </c>
      <c r="D181" s="10">
        <v>45000</v>
      </c>
      <c r="E181" s="7">
        <f>+$I$2+(CABF[[#This Row],[QUANTITE]]*CABF[[#This Row],[PRIX UNITAIRE]])</f>
        <v>45000</v>
      </c>
      <c r="F181" s="14">
        <v>0</v>
      </c>
      <c r="G181" s="6">
        <f>+SUM(E$9:$E181)-SUM(F$9:$F181)</f>
        <v>26749000</v>
      </c>
    </row>
    <row r="182" spans="1:7" ht="28.8" x14ac:dyDescent="0.55000000000000004">
      <c r="A182" s="12"/>
      <c r="B182" s="13" t="s">
        <v>883</v>
      </c>
      <c r="C182" s="10">
        <v>1</v>
      </c>
      <c r="D182" s="10">
        <v>5000</v>
      </c>
      <c r="E182" s="7">
        <f>+$I$2+(CABF[[#This Row],[QUANTITE]]*CABF[[#This Row],[PRIX UNITAIRE]])</f>
        <v>5000</v>
      </c>
      <c r="F182" s="14">
        <v>0</v>
      </c>
      <c r="G182" s="6">
        <f>+SUM(E$9:$E182)-SUM(F$9:$F182)</f>
        <v>26754000</v>
      </c>
    </row>
    <row r="183" spans="1:7" ht="28.8" x14ac:dyDescent="0.55000000000000004">
      <c r="A183" s="12"/>
      <c r="B183" s="13" t="s">
        <v>947</v>
      </c>
      <c r="C183" s="10">
        <v>1</v>
      </c>
      <c r="D183" s="10">
        <v>15000</v>
      </c>
      <c r="E183" s="7">
        <f>+$I$2+(CABF[[#This Row],[QUANTITE]]*CABF[[#This Row],[PRIX UNITAIRE]])</f>
        <v>15000</v>
      </c>
      <c r="F183" s="14">
        <v>0</v>
      </c>
      <c r="G183" s="6">
        <f>+SUM(E$9:$E183)-SUM(F$9:$F183)</f>
        <v>26769000</v>
      </c>
    </row>
    <row r="184" spans="1:7" ht="28.8" x14ac:dyDescent="0.55000000000000004">
      <c r="A184" s="12"/>
      <c r="B184" s="13" t="s">
        <v>425</v>
      </c>
      <c r="C184" s="10">
        <v>1</v>
      </c>
      <c r="D184" s="10">
        <v>10000</v>
      </c>
      <c r="E184" s="7">
        <f>+$I$2+(CABF[[#This Row],[QUANTITE]]*CABF[[#This Row],[PRIX UNITAIRE]])</f>
        <v>10000</v>
      </c>
      <c r="F184" s="14">
        <v>0</v>
      </c>
      <c r="G184" s="6">
        <f>+SUM(E$9:$E184)-SUM(F$9:$F184)</f>
        <v>26779000</v>
      </c>
    </row>
    <row r="185" spans="1:7" ht="28.8" x14ac:dyDescent="0.55000000000000004">
      <c r="A185" s="12">
        <v>45012</v>
      </c>
      <c r="B185" s="13" t="s">
        <v>936</v>
      </c>
      <c r="C185" s="10">
        <v>2</v>
      </c>
      <c r="D185" s="10">
        <v>185000</v>
      </c>
      <c r="E185" s="7">
        <f>+$I$2+(CABF[[#This Row],[QUANTITE]]*CABF[[#This Row],[PRIX UNITAIRE]])</f>
        <v>370000</v>
      </c>
      <c r="F185" s="14">
        <v>0</v>
      </c>
      <c r="G185" s="6">
        <f>+SUM(E$9:$E185)-SUM(F$9:$F185)</f>
        <v>27149000</v>
      </c>
    </row>
    <row r="186" spans="1:7" ht="28.8" x14ac:dyDescent="0.55000000000000004">
      <c r="A186" s="12"/>
      <c r="B186" s="13" t="s">
        <v>948</v>
      </c>
      <c r="C186" s="10">
        <v>2</v>
      </c>
      <c r="D186" s="10">
        <v>135000</v>
      </c>
      <c r="E186" s="7">
        <f>+$I$2+(CABF[[#This Row],[QUANTITE]]*CABF[[#This Row],[PRIX UNITAIRE]])</f>
        <v>270000</v>
      </c>
      <c r="F186" s="14">
        <v>0</v>
      </c>
      <c r="G186" s="6">
        <f>+SUM(E$9:$E186)-SUM(F$9:$F186)</f>
        <v>27419000</v>
      </c>
    </row>
    <row r="187" spans="1:7" ht="28.8" x14ac:dyDescent="0.55000000000000004">
      <c r="A187" s="12"/>
      <c r="B187" s="13" t="s">
        <v>908</v>
      </c>
      <c r="C187" s="10">
        <v>4</v>
      </c>
      <c r="D187" s="10">
        <v>1250000</v>
      </c>
      <c r="E187" s="7">
        <f>+$I$2+(CABF[[#This Row],[QUANTITE]]*CABF[[#This Row],[PRIX UNITAIRE]])</f>
        <v>5000000</v>
      </c>
      <c r="F187" s="14">
        <v>0</v>
      </c>
      <c r="G187" s="6">
        <f>+SUM(E$9:$E187)-SUM(F$9:$F187)</f>
        <v>32419000</v>
      </c>
    </row>
    <row r="188" spans="1:7" ht="28.8" x14ac:dyDescent="0.55000000000000004">
      <c r="A188" s="12">
        <v>45019</v>
      </c>
      <c r="B188" s="13" t="s">
        <v>944</v>
      </c>
      <c r="C188" s="10">
        <v>2</v>
      </c>
      <c r="D188" s="10">
        <v>365000</v>
      </c>
      <c r="E188" s="7">
        <f>+$I$2+(CABF[[#This Row],[QUANTITE]]*CABF[[#This Row],[PRIX UNITAIRE]])</f>
        <v>730000</v>
      </c>
      <c r="F188" s="14">
        <v>0</v>
      </c>
      <c r="G188" s="6">
        <f>+SUM(E$9:$E188)-SUM(F$9:$F188)</f>
        <v>33149000</v>
      </c>
    </row>
    <row r="189" spans="1:7" ht="28.8" x14ac:dyDescent="0.55000000000000004">
      <c r="A189" s="12"/>
      <c r="B189" s="13" t="s">
        <v>945</v>
      </c>
      <c r="C189" s="10">
        <v>2</v>
      </c>
      <c r="D189" s="10">
        <v>90000</v>
      </c>
      <c r="E189" s="7">
        <f>+$I$2+(CABF[[#This Row],[QUANTITE]]*CABF[[#This Row],[PRIX UNITAIRE]])</f>
        <v>180000</v>
      </c>
      <c r="F189" s="14">
        <v>0</v>
      </c>
      <c r="G189" s="6">
        <f>+SUM(E$9:$E189)-SUM(F$9:$F189)</f>
        <v>33329000</v>
      </c>
    </row>
    <row r="190" spans="1:7" ht="28.8" x14ac:dyDescent="0.55000000000000004">
      <c r="A190" s="12">
        <v>45020</v>
      </c>
      <c r="B190" s="13" t="s">
        <v>899</v>
      </c>
      <c r="C190" s="10">
        <v>1</v>
      </c>
      <c r="D190" s="10">
        <v>2200000</v>
      </c>
      <c r="E190" s="7">
        <f>+$I$2+(CABF[[#This Row],[QUANTITE]]*CABF[[#This Row],[PRIX UNITAIRE]])</f>
        <v>2200000</v>
      </c>
      <c r="F190" s="14">
        <v>0</v>
      </c>
      <c r="G190" s="6">
        <f>+SUM(E$9:$E190)-SUM(F$9:$F190)</f>
        <v>35529000</v>
      </c>
    </row>
    <row r="191" spans="1:7" ht="28.8" x14ac:dyDescent="0.55000000000000004">
      <c r="A191" s="12">
        <v>45030</v>
      </c>
      <c r="B191" s="13" t="s">
        <v>78</v>
      </c>
      <c r="C191" s="10">
        <v>6</v>
      </c>
      <c r="D191" s="10">
        <v>150000</v>
      </c>
      <c r="E191" s="7">
        <f>+$I$2+(CABF[[#This Row],[QUANTITE]]*CABF[[#This Row],[PRIX UNITAIRE]])</f>
        <v>900000</v>
      </c>
      <c r="F191" s="14">
        <v>0</v>
      </c>
      <c r="G191" s="6">
        <f>+SUM(E$9:$E191)-SUM(F$9:$F191)</f>
        <v>36429000</v>
      </c>
    </row>
    <row r="192" spans="1:7" ht="28.8" x14ac:dyDescent="0.55000000000000004">
      <c r="A192" s="12"/>
      <c r="B192" s="13" t="s">
        <v>949</v>
      </c>
      <c r="C192" s="10">
        <v>1</v>
      </c>
      <c r="D192" s="10">
        <v>90000</v>
      </c>
      <c r="E192" s="7">
        <f>+$I$2+(CABF[[#This Row],[QUANTITE]]*CABF[[#This Row],[PRIX UNITAIRE]])</f>
        <v>90000</v>
      </c>
      <c r="F192" s="14">
        <v>0</v>
      </c>
      <c r="G192" s="6">
        <f>+SUM(E$9:$E192)-SUM(F$9:$F192)</f>
        <v>36519000</v>
      </c>
    </row>
    <row r="193" spans="1:7" ht="28.8" x14ac:dyDescent="0.55000000000000004">
      <c r="A193" s="12">
        <v>45036</v>
      </c>
      <c r="B193" s="13" t="s">
        <v>240</v>
      </c>
      <c r="C193" s="10">
        <v>1</v>
      </c>
      <c r="D193" s="10">
        <v>60000</v>
      </c>
      <c r="E193" s="7">
        <f>+$I$2+(CABF[[#This Row],[QUANTITE]]*CABF[[#This Row],[PRIX UNITAIRE]])</f>
        <v>60000</v>
      </c>
      <c r="F193" s="14">
        <v>0</v>
      </c>
      <c r="G193" s="6">
        <f>+SUM(E$9:$E193)-SUM(F$9:$F193)</f>
        <v>36579000</v>
      </c>
    </row>
    <row r="194" spans="1:7" ht="28.8" x14ac:dyDescent="0.55000000000000004">
      <c r="A194" s="12">
        <v>45042</v>
      </c>
      <c r="B194" s="13" t="s">
        <v>78</v>
      </c>
      <c r="C194" s="10">
        <v>2</v>
      </c>
      <c r="D194" s="10">
        <v>150000</v>
      </c>
      <c r="E194" s="7">
        <f>+$I$2+(CABF[[#This Row],[QUANTITE]]*CABF[[#This Row],[PRIX UNITAIRE]])</f>
        <v>300000</v>
      </c>
      <c r="F194" s="14">
        <v>0</v>
      </c>
      <c r="G194" s="6">
        <f>+SUM(E$9:$E194)-SUM(F$9:$F194)</f>
        <v>36879000</v>
      </c>
    </row>
    <row r="195" spans="1:7" ht="28.8" x14ac:dyDescent="0.55000000000000004">
      <c r="A195" s="12"/>
      <c r="B195" s="13" t="s">
        <v>945</v>
      </c>
      <c r="C195" s="10">
        <v>2</v>
      </c>
      <c r="D195" s="10">
        <v>90000</v>
      </c>
      <c r="E195" s="7">
        <f>+$I$2+(CABF[[#This Row],[QUANTITE]]*CABF[[#This Row],[PRIX UNITAIRE]])</f>
        <v>180000</v>
      </c>
      <c r="F195" s="14">
        <v>0</v>
      </c>
      <c r="G195" s="6">
        <f>+SUM(E$9:$E195)-SUM(F$9:$F195)</f>
        <v>37059000</v>
      </c>
    </row>
    <row r="196" spans="1:7" ht="28.8" x14ac:dyDescent="0.55000000000000004">
      <c r="A196" s="12"/>
      <c r="B196" s="13" t="s">
        <v>950</v>
      </c>
      <c r="C196" s="10">
        <v>1</v>
      </c>
      <c r="D196" s="10">
        <v>100000</v>
      </c>
      <c r="E196" s="7">
        <f>+$I$2+(CABF[[#This Row],[QUANTITE]]*CABF[[#This Row],[PRIX UNITAIRE]])</f>
        <v>100000</v>
      </c>
      <c r="F196" s="14">
        <v>0</v>
      </c>
      <c r="G196" s="6">
        <f>+SUM(E$9:$E196)-SUM(F$9:$F196)</f>
        <v>37159000</v>
      </c>
    </row>
    <row r="197" spans="1:7" ht="28.8" x14ac:dyDescent="0.55000000000000004">
      <c r="A197" s="12">
        <v>45021</v>
      </c>
      <c r="B197" s="13" t="s">
        <v>951</v>
      </c>
      <c r="C197" s="10">
        <v>1</v>
      </c>
      <c r="D197" s="10">
        <v>0</v>
      </c>
      <c r="E197" s="7">
        <f>+$I$2+(CABF[[#This Row],[QUANTITE]]*CABF[[#This Row],[PRIX UNITAIRE]])</f>
        <v>0</v>
      </c>
      <c r="F197" s="14">
        <v>0</v>
      </c>
      <c r="G197" s="6">
        <f>+SUM(E$9:$E197)-SUM(F$9:$F197)</f>
        <v>37159000</v>
      </c>
    </row>
    <row r="198" spans="1:7" ht="28.8" x14ac:dyDescent="0.55000000000000004">
      <c r="A198" s="12">
        <v>45055</v>
      </c>
      <c r="B198" s="13" t="s">
        <v>78</v>
      </c>
      <c r="C198" s="10">
        <v>6</v>
      </c>
      <c r="D198" s="10">
        <v>150000</v>
      </c>
      <c r="E198" s="7">
        <f>+$I$2+(CABF[[#This Row],[QUANTITE]]*CABF[[#This Row],[PRIX UNITAIRE]])</f>
        <v>900000</v>
      </c>
      <c r="F198" s="14">
        <v>10000000</v>
      </c>
      <c r="G198" s="6">
        <f>+SUM(E$9:$E198)-SUM(F$9:$F198)</f>
        <v>28059000</v>
      </c>
    </row>
    <row r="199" spans="1:7" ht="28.8" x14ac:dyDescent="0.55000000000000004">
      <c r="A199" s="12">
        <v>45055</v>
      </c>
      <c r="B199" s="13" t="s">
        <v>950</v>
      </c>
      <c r="C199" s="10">
        <v>1</v>
      </c>
      <c r="D199" s="10">
        <v>110000</v>
      </c>
      <c r="E199" s="7">
        <f>+$I$2+(CABF[[#This Row],[QUANTITE]]*CABF[[#This Row],[PRIX UNITAIRE]])</f>
        <v>110000</v>
      </c>
      <c r="F199" s="14">
        <v>0</v>
      </c>
      <c r="G199" s="6">
        <f>+SUM(E$9:$E199)-SUM(F$9:$F199)</f>
        <v>28169000</v>
      </c>
    </row>
    <row r="200" spans="1:7" ht="28.8" x14ac:dyDescent="0.55000000000000004">
      <c r="A200" s="12">
        <v>45056</v>
      </c>
      <c r="B200" s="13" t="s">
        <v>952</v>
      </c>
      <c r="C200" s="10">
        <v>2</v>
      </c>
      <c r="D200" s="10">
        <v>320000</v>
      </c>
      <c r="E200" s="7">
        <f>+$I$2+(CABF[[#This Row],[QUANTITE]]*CABF[[#This Row],[PRIX UNITAIRE]])</f>
        <v>640000</v>
      </c>
      <c r="F200" s="14">
        <v>0</v>
      </c>
      <c r="G200" s="6">
        <f>+SUM(E$9:$E200)-SUM(F$9:$F200)</f>
        <v>28809000</v>
      </c>
    </row>
    <row r="201" spans="1:7" ht="28.8" x14ac:dyDescent="0.55000000000000004">
      <c r="A201" s="12"/>
      <c r="B201" s="13" t="s">
        <v>78</v>
      </c>
      <c r="C201" s="10">
        <v>2</v>
      </c>
      <c r="D201" s="10">
        <v>150000</v>
      </c>
      <c r="E201" s="7">
        <f>+$I$2+(CABF[[#This Row],[QUANTITE]]*CABF[[#This Row],[PRIX UNITAIRE]])</f>
        <v>300000</v>
      </c>
      <c r="F201" s="14">
        <v>0</v>
      </c>
      <c r="G201" s="6">
        <f>+SUM(E$9:$E201)-SUM(F$9:$F201)</f>
        <v>29109000</v>
      </c>
    </row>
    <row r="202" spans="1:7" ht="28.8" x14ac:dyDescent="0.55000000000000004">
      <c r="A202" s="12">
        <v>45049</v>
      </c>
      <c r="B202" s="13" t="s">
        <v>953</v>
      </c>
      <c r="C202" s="10">
        <v>1</v>
      </c>
      <c r="D202" s="10">
        <v>470000</v>
      </c>
      <c r="E202" s="7">
        <f>+$I$2+(CABF[[#This Row],[QUANTITE]]*CABF[[#This Row],[PRIX UNITAIRE]])</f>
        <v>470000</v>
      </c>
      <c r="F202" s="14">
        <v>0</v>
      </c>
      <c r="G202" s="6">
        <f>+SUM(E$9:$E202)-SUM(F$9:$F202)</f>
        <v>29579000</v>
      </c>
    </row>
    <row r="203" spans="1:7" ht="28.8" x14ac:dyDescent="0.55000000000000004">
      <c r="A203" s="12">
        <v>45058</v>
      </c>
      <c r="B203" s="13" t="s">
        <v>954</v>
      </c>
      <c r="C203" s="10">
        <v>4</v>
      </c>
      <c r="D203" s="10">
        <v>62500</v>
      </c>
      <c r="E203" s="7">
        <f>+$I$2+(CABF[[#This Row],[QUANTITE]]*CABF[[#This Row],[PRIX UNITAIRE]])</f>
        <v>250000</v>
      </c>
      <c r="F203" s="14">
        <v>0</v>
      </c>
      <c r="G203" s="6">
        <f>+SUM(E$9:$E203)-SUM(F$9:$F203)</f>
        <v>29829000</v>
      </c>
    </row>
    <row r="204" spans="1:7" ht="28.8" x14ac:dyDescent="0.55000000000000004">
      <c r="A204" s="12">
        <v>45065</v>
      </c>
      <c r="B204" s="13" t="s">
        <v>955</v>
      </c>
      <c r="C204" s="10">
        <v>1</v>
      </c>
      <c r="D204" s="10">
        <v>600000</v>
      </c>
      <c r="E204" s="7">
        <f>+$I$2+(CABF[[#This Row],[QUANTITE]]*CABF[[#This Row],[PRIX UNITAIRE]])</f>
        <v>600000</v>
      </c>
      <c r="F204" s="14">
        <v>0</v>
      </c>
      <c r="G204" s="6">
        <f>+SUM(E$9:$E204)-SUM(F$9:$F204)</f>
        <v>30429000</v>
      </c>
    </row>
    <row r="205" spans="1:7" ht="28.8" x14ac:dyDescent="0.55000000000000004">
      <c r="A205" s="12">
        <v>45065</v>
      </c>
      <c r="B205" s="13" t="s">
        <v>882</v>
      </c>
      <c r="C205" s="10">
        <v>6</v>
      </c>
      <c r="D205" s="10">
        <v>190000</v>
      </c>
      <c r="E205" s="7">
        <f>+$I$2+(CABF[[#This Row],[QUANTITE]]*CABF[[#This Row],[PRIX UNITAIRE]])</f>
        <v>1140000</v>
      </c>
      <c r="F205" s="14">
        <v>0</v>
      </c>
      <c r="G205" s="6">
        <f>+SUM(E$9:$E205)-SUM(F$9:$F205)</f>
        <v>31569000</v>
      </c>
    </row>
    <row r="206" spans="1:7" ht="28.8" x14ac:dyDescent="0.55000000000000004">
      <c r="A206" s="12">
        <v>45066</v>
      </c>
      <c r="B206" s="13" t="s">
        <v>952</v>
      </c>
      <c r="C206" s="10">
        <v>4</v>
      </c>
      <c r="D206" s="10">
        <v>320000</v>
      </c>
      <c r="E206" s="7">
        <f>+$I$2+(CABF[[#This Row],[QUANTITE]]*CABF[[#This Row],[PRIX UNITAIRE]])</f>
        <v>1280000</v>
      </c>
      <c r="F206" s="14">
        <v>0</v>
      </c>
      <c r="G206" s="6">
        <f>+SUM(E$9:$E206)-SUM(F$9:$F206)</f>
        <v>32849000</v>
      </c>
    </row>
    <row r="207" spans="1:7" ht="28.8" x14ac:dyDescent="0.55000000000000004">
      <c r="A207" s="12">
        <v>45068</v>
      </c>
      <c r="B207" s="13" t="s">
        <v>882</v>
      </c>
      <c r="C207" s="10">
        <v>6</v>
      </c>
      <c r="D207" s="10">
        <v>190000</v>
      </c>
      <c r="E207" s="7">
        <f>+$I$2+(CABF[[#This Row],[QUANTITE]]*CABF[[#This Row],[PRIX UNITAIRE]])</f>
        <v>1140000</v>
      </c>
      <c r="F207" s="14">
        <v>0</v>
      </c>
      <c r="G207" s="6">
        <f>+SUM(E$9:$E207)-SUM(F$9:$F207)</f>
        <v>33989000</v>
      </c>
    </row>
    <row r="208" spans="1:7" ht="28.8" x14ac:dyDescent="0.55000000000000004">
      <c r="A208" s="12"/>
      <c r="B208" s="13" t="s">
        <v>890</v>
      </c>
      <c r="C208" s="10">
        <v>2</v>
      </c>
      <c r="D208" s="10">
        <v>175000</v>
      </c>
      <c r="E208" s="7">
        <f>+$I$2+(CABF[[#This Row],[QUANTITE]]*CABF[[#This Row],[PRIX UNITAIRE]])</f>
        <v>350000</v>
      </c>
      <c r="F208" s="14">
        <v>0</v>
      </c>
      <c r="G208" s="6">
        <f>+SUM(E$9:$E208)-SUM(F$9:$F208)</f>
        <v>34339000</v>
      </c>
    </row>
    <row r="209" spans="1:7" ht="28.8" x14ac:dyDescent="0.55000000000000004">
      <c r="A209" s="12">
        <v>45080</v>
      </c>
      <c r="B209" s="13" t="s">
        <v>956</v>
      </c>
      <c r="C209" s="10">
        <v>2</v>
      </c>
      <c r="D209" s="10">
        <v>60000</v>
      </c>
      <c r="E209" s="7">
        <f>+$I$2+(CABF[[#This Row],[QUANTITE]]*CABF[[#This Row],[PRIX UNITAIRE]])</f>
        <v>120000</v>
      </c>
      <c r="F209" s="14">
        <v>0</v>
      </c>
      <c r="G209" s="6">
        <f>+SUM(E$9:$E209)-SUM(F$9:$F209)</f>
        <v>34459000</v>
      </c>
    </row>
    <row r="210" spans="1:7" ht="28.8" x14ac:dyDescent="0.55000000000000004">
      <c r="A210" s="12">
        <v>45085</v>
      </c>
      <c r="B210" s="13" t="s">
        <v>890</v>
      </c>
      <c r="C210" s="10">
        <v>2</v>
      </c>
      <c r="D210" s="10">
        <v>175000</v>
      </c>
      <c r="E210" s="7">
        <f>+$I$2+(CABF[[#This Row],[QUANTITE]]*CABF[[#This Row],[PRIX UNITAIRE]])</f>
        <v>350000</v>
      </c>
      <c r="F210" s="14">
        <v>0</v>
      </c>
      <c r="G210" s="6">
        <f>+SUM(E$9:$E210)-SUM(F$9:$F210)</f>
        <v>34809000</v>
      </c>
    </row>
    <row r="211" spans="1:7" ht="28.8" x14ac:dyDescent="0.55000000000000004">
      <c r="A211" s="12">
        <v>45086</v>
      </c>
      <c r="B211" s="13" t="s">
        <v>940</v>
      </c>
      <c r="C211" s="10">
        <v>4</v>
      </c>
      <c r="D211" s="10">
        <v>75000</v>
      </c>
      <c r="E211" s="7">
        <f>+$I$2+(CABF[[#This Row],[QUANTITE]]*CABF[[#This Row],[PRIX UNITAIRE]])</f>
        <v>300000</v>
      </c>
      <c r="F211" s="14">
        <v>0</v>
      </c>
      <c r="G211" s="6">
        <f>+SUM(E$9:$E211)-SUM(F$9:$F211)</f>
        <v>35109000</v>
      </c>
    </row>
    <row r="212" spans="1:7" ht="28.8" x14ac:dyDescent="0.55000000000000004">
      <c r="A212" s="12"/>
      <c r="B212" s="13" t="s">
        <v>957</v>
      </c>
      <c r="C212" s="10">
        <v>1</v>
      </c>
      <c r="D212" s="10">
        <v>8000</v>
      </c>
      <c r="E212" s="7">
        <f>+$I$2+(CABF[[#This Row],[QUANTITE]]*CABF[[#This Row],[PRIX UNITAIRE]])</f>
        <v>8000</v>
      </c>
      <c r="F212" s="14">
        <v>0</v>
      </c>
      <c r="G212" s="6">
        <f>+SUM(E$9:$E212)-SUM(F$9:$F212)</f>
        <v>35117000</v>
      </c>
    </row>
    <row r="213" spans="1:7" ht="28.8" x14ac:dyDescent="0.55000000000000004">
      <c r="A213" s="12">
        <v>45089</v>
      </c>
      <c r="B213" s="13" t="s">
        <v>958</v>
      </c>
      <c r="C213" s="10">
        <v>2</v>
      </c>
      <c r="D213" s="10">
        <v>75000</v>
      </c>
      <c r="E213" s="7">
        <f>+$I$2+(CABF[[#This Row],[QUANTITE]]*CABF[[#This Row],[PRIX UNITAIRE]])</f>
        <v>150000</v>
      </c>
      <c r="F213" s="14">
        <v>0</v>
      </c>
      <c r="G213" s="6">
        <f>+SUM(E$9:$E213)-SUM(F$9:$F213)</f>
        <v>35267000</v>
      </c>
    </row>
    <row r="214" spans="1:7" ht="28.8" x14ac:dyDescent="0.55000000000000004">
      <c r="A214" s="12">
        <v>45092</v>
      </c>
      <c r="B214" s="13" t="s">
        <v>959</v>
      </c>
      <c r="C214" s="10">
        <v>2</v>
      </c>
      <c r="D214" s="10">
        <v>225000</v>
      </c>
      <c r="E214" s="7">
        <f>+$I$2+(CABF[[#This Row],[QUANTITE]]*CABF[[#This Row],[PRIX UNITAIRE]])</f>
        <v>450000</v>
      </c>
      <c r="F214" s="14">
        <v>0</v>
      </c>
      <c r="G214" s="6">
        <f>+SUM(E$9:$E214)-SUM(F$9:$F214)</f>
        <v>35717000</v>
      </c>
    </row>
    <row r="215" spans="1:7" ht="28.8" x14ac:dyDescent="0.55000000000000004">
      <c r="A215" s="12">
        <v>45104</v>
      </c>
      <c r="B215" s="13" t="s">
        <v>960</v>
      </c>
      <c r="C215" s="10">
        <v>1</v>
      </c>
      <c r="D215" s="10">
        <v>0</v>
      </c>
      <c r="E215" s="7">
        <f>+$I$2+(CABF[[#This Row],[QUANTITE]]*CABF[[#This Row],[PRIX UNITAIRE]])</f>
        <v>0</v>
      </c>
      <c r="F215" s="14">
        <v>0</v>
      </c>
      <c r="G215" s="6">
        <f>+SUM(E$9:$E215)-SUM(F$9:$F215)</f>
        <v>35717000</v>
      </c>
    </row>
    <row r="216" spans="1:7" ht="28.8" x14ac:dyDescent="0.55000000000000004">
      <c r="A216" s="12">
        <v>45093</v>
      </c>
      <c r="B216" s="13" t="s">
        <v>500</v>
      </c>
      <c r="C216" s="10">
        <v>4</v>
      </c>
      <c r="D216" s="10">
        <v>100000</v>
      </c>
      <c r="E216" s="7">
        <f>+$I$2+(CABF[[#This Row],[QUANTITE]]*CABF[[#This Row],[PRIX UNITAIRE]])</f>
        <v>400000</v>
      </c>
      <c r="F216" s="14">
        <v>5000000</v>
      </c>
      <c r="G216" s="6">
        <f>+SUM(E$9:$E216)-SUM(F$9:$F216)</f>
        <v>31117000</v>
      </c>
    </row>
    <row r="217" spans="1:7" ht="28.8" x14ac:dyDescent="0.55000000000000004">
      <c r="A217" s="12"/>
      <c r="B217" s="13" t="s">
        <v>961</v>
      </c>
      <c r="C217" s="10">
        <v>2</v>
      </c>
      <c r="D217" s="10">
        <v>100000</v>
      </c>
      <c r="E217" s="7">
        <f>+$I$2+(CABF[[#This Row],[QUANTITE]]*CABF[[#This Row],[PRIX UNITAIRE]])</f>
        <v>200000</v>
      </c>
      <c r="F217" s="14">
        <v>0</v>
      </c>
      <c r="G217" s="6">
        <f>+SUM(E$9:$E217)-SUM(F$9:$F217)</f>
        <v>31317000</v>
      </c>
    </row>
    <row r="218" spans="1:7" ht="28.8" x14ac:dyDescent="0.55000000000000004">
      <c r="A218" s="12">
        <v>45097</v>
      </c>
      <c r="B218" s="13" t="s">
        <v>956</v>
      </c>
      <c r="C218" s="10">
        <v>2</v>
      </c>
      <c r="D218" s="10">
        <v>60000</v>
      </c>
      <c r="E218" s="7">
        <f>+$I$2+(CABF[[#This Row],[QUANTITE]]*CABF[[#This Row],[PRIX UNITAIRE]])</f>
        <v>120000</v>
      </c>
      <c r="F218" s="14">
        <v>0</v>
      </c>
      <c r="G218" s="6">
        <f>+SUM(E$9:$E218)-SUM(F$9:$F218)</f>
        <v>31437000</v>
      </c>
    </row>
    <row r="219" spans="1:7" ht="28.8" x14ac:dyDescent="0.55000000000000004">
      <c r="A219" s="12">
        <v>45098</v>
      </c>
      <c r="B219" s="13" t="s">
        <v>962</v>
      </c>
      <c r="C219" s="10">
        <v>2</v>
      </c>
      <c r="D219" s="10">
        <v>145000</v>
      </c>
      <c r="E219" s="7">
        <f>+$I$2+(CABF[[#This Row],[QUANTITE]]*CABF[[#This Row],[PRIX UNITAIRE]])</f>
        <v>290000</v>
      </c>
      <c r="F219" s="14">
        <v>0</v>
      </c>
      <c r="G219" s="6">
        <f>+SUM(E$9:$E219)-SUM(F$9:$F219)</f>
        <v>31727000</v>
      </c>
    </row>
    <row r="220" spans="1:7" ht="28.8" x14ac:dyDescent="0.55000000000000004">
      <c r="A220" s="12"/>
      <c r="B220" s="13" t="s">
        <v>787</v>
      </c>
      <c r="C220" s="10">
        <v>1</v>
      </c>
      <c r="D220" s="10">
        <v>40000</v>
      </c>
      <c r="E220" s="7">
        <f>+$I$2+(CABF[[#This Row],[QUANTITE]]*CABF[[#This Row],[PRIX UNITAIRE]])</f>
        <v>40000</v>
      </c>
      <c r="F220" s="14">
        <v>0</v>
      </c>
      <c r="G220" s="6">
        <f>+SUM(E$9:$E220)-SUM(F$9:$F220)</f>
        <v>31767000</v>
      </c>
    </row>
    <row r="221" spans="1:7" ht="28.8" x14ac:dyDescent="0.55000000000000004">
      <c r="A221" s="12"/>
      <c r="B221" s="13" t="s">
        <v>963</v>
      </c>
      <c r="C221" s="10">
        <v>1</v>
      </c>
      <c r="D221" s="10">
        <v>20000</v>
      </c>
      <c r="E221" s="7">
        <f>+$I$2+(CABF[[#This Row],[QUANTITE]]*CABF[[#This Row],[PRIX UNITAIRE]])</f>
        <v>20000</v>
      </c>
      <c r="F221" s="14">
        <v>0</v>
      </c>
      <c r="G221" s="6">
        <f>+SUM(E$9:$E221)-SUM(F$9:$F221)</f>
        <v>31787000</v>
      </c>
    </row>
    <row r="222" spans="1:7" ht="28.8" x14ac:dyDescent="0.55000000000000004">
      <c r="A222" s="12">
        <v>45099</v>
      </c>
      <c r="B222" s="13" t="s">
        <v>964</v>
      </c>
      <c r="C222" s="10">
        <v>4</v>
      </c>
      <c r="D222" s="10">
        <v>185000</v>
      </c>
      <c r="E222" s="7">
        <f>+$I$2+(CABF[[#This Row],[QUANTITE]]*CABF[[#This Row],[PRIX UNITAIRE]])</f>
        <v>740000</v>
      </c>
      <c r="F222" s="14">
        <v>0</v>
      </c>
      <c r="G222" s="6">
        <f>+SUM(E$9:$E222)-SUM(F$9:$F222)</f>
        <v>32527000</v>
      </c>
    </row>
    <row r="223" spans="1:7" ht="28.8" x14ac:dyDescent="0.55000000000000004">
      <c r="A223" s="12"/>
      <c r="B223" s="13" t="s">
        <v>271</v>
      </c>
      <c r="C223" s="10">
        <v>2</v>
      </c>
      <c r="D223" s="10">
        <v>180000</v>
      </c>
      <c r="E223" s="7">
        <f>+$I$2+(CABF[[#This Row],[QUANTITE]]*CABF[[#This Row],[PRIX UNITAIRE]])</f>
        <v>360000</v>
      </c>
      <c r="F223" s="14">
        <v>0</v>
      </c>
      <c r="G223" s="6">
        <f>+SUM(E$9:$E223)-SUM(F$9:$F223)</f>
        <v>32887000</v>
      </c>
    </row>
    <row r="224" spans="1:7" ht="28.8" x14ac:dyDescent="0.55000000000000004">
      <c r="A224" s="12">
        <v>45100</v>
      </c>
      <c r="B224" s="13" t="s">
        <v>961</v>
      </c>
      <c r="C224" s="10">
        <v>2</v>
      </c>
      <c r="D224" s="10">
        <v>100000</v>
      </c>
      <c r="E224" s="7">
        <f>+$I$2+(CABF[[#This Row],[QUANTITE]]*CABF[[#This Row],[PRIX UNITAIRE]])</f>
        <v>200000</v>
      </c>
      <c r="F224" s="14">
        <v>0</v>
      </c>
      <c r="G224" s="6">
        <f>+SUM(E$9:$E224)-SUM(F$9:$F224)</f>
        <v>33087000</v>
      </c>
    </row>
    <row r="225" spans="1:7" ht="28.8" x14ac:dyDescent="0.55000000000000004">
      <c r="A225" s="12">
        <v>45101</v>
      </c>
      <c r="B225" s="13" t="s">
        <v>965</v>
      </c>
      <c r="C225" s="10">
        <v>1</v>
      </c>
      <c r="D225" s="10">
        <v>40000</v>
      </c>
      <c r="E225" s="7">
        <f>+$I$2+(CABF[[#This Row],[QUANTITE]]*CABF[[#This Row],[PRIX UNITAIRE]])</f>
        <v>40000</v>
      </c>
      <c r="F225" s="14">
        <v>0</v>
      </c>
      <c r="G225" s="6">
        <f>+SUM(E$9:$E225)-SUM(F$9:$F225)</f>
        <v>33127000</v>
      </c>
    </row>
    <row r="226" spans="1:7" ht="28.8" x14ac:dyDescent="0.55000000000000004">
      <c r="A226" s="12">
        <v>45122</v>
      </c>
      <c r="B226" s="13" t="s">
        <v>895</v>
      </c>
      <c r="C226" s="10">
        <v>1</v>
      </c>
      <c r="D226" s="10">
        <v>40000</v>
      </c>
      <c r="E226" s="7">
        <f>+$I$2+(CABF[[#This Row],[QUANTITE]]*CABF[[#This Row],[PRIX UNITAIRE]])</f>
        <v>40000</v>
      </c>
      <c r="F226" s="14">
        <v>0</v>
      </c>
      <c r="G226" s="6">
        <f>+SUM(E$9:$E226)-SUM(F$9:$F226)</f>
        <v>33167000</v>
      </c>
    </row>
    <row r="227" spans="1:7" ht="28.8" x14ac:dyDescent="0.55000000000000004">
      <c r="A227" s="12">
        <v>45126</v>
      </c>
      <c r="B227" s="13" t="s">
        <v>249</v>
      </c>
      <c r="C227" s="10">
        <v>5</v>
      </c>
      <c r="D227" s="10">
        <v>150000</v>
      </c>
      <c r="E227" s="7">
        <f>+$I$2+(CABF[[#This Row],[QUANTITE]]*CABF[[#This Row],[PRIX UNITAIRE]])</f>
        <v>750000</v>
      </c>
      <c r="F227" s="14">
        <v>0</v>
      </c>
      <c r="G227" s="6">
        <f>+SUM(E$9:$E227)-SUM(F$9:$F227)</f>
        <v>33917000</v>
      </c>
    </row>
    <row r="228" spans="1:7" ht="28.8" x14ac:dyDescent="0.55000000000000004">
      <c r="A228" s="12">
        <v>45127</v>
      </c>
      <c r="B228" s="13" t="s">
        <v>249</v>
      </c>
      <c r="C228" s="10">
        <v>4</v>
      </c>
      <c r="D228" s="10">
        <v>150000</v>
      </c>
      <c r="E228" s="7">
        <f>+$I$2+(CABF[[#This Row],[QUANTITE]]*CABF[[#This Row],[PRIX UNITAIRE]])</f>
        <v>600000</v>
      </c>
      <c r="F228" s="14">
        <v>0</v>
      </c>
      <c r="G228" s="6">
        <f>+SUM(E$9:$E228)-SUM(F$9:$F228)</f>
        <v>34517000</v>
      </c>
    </row>
    <row r="229" spans="1:7" ht="28.8" x14ac:dyDescent="0.55000000000000004">
      <c r="A229" s="12"/>
      <c r="B229" s="13" t="s">
        <v>924</v>
      </c>
      <c r="C229" s="10">
        <v>3</v>
      </c>
      <c r="D229" s="10">
        <v>145000</v>
      </c>
      <c r="E229" s="7">
        <f>+$I$2+(CABF[[#This Row],[QUANTITE]]*CABF[[#This Row],[PRIX UNITAIRE]])</f>
        <v>435000</v>
      </c>
      <c r="F229" s="14">
        <v>0</v>
      </c>
      <c r="G229" s="6">
        <f>+SUM(E$9:$E229)-SUM(F$9:$F229)</f>
        <v>34952000</v>
      </c>
    </row>
    <row r="230" spans="1:7" ht="28.8" x14ac:dyDescent="0.55000000000000004">
      <c r="A230" s="12"/>
      <c r="B230" s="13" t="s">
        <v>962</v>
      </c>
      <c r="C230" s="10">
        <v>5</v>
      </c>
      <c r="D230" s="10">
        <v>145000</v>
      </c>
      <c r="E230" s="7">
        <f>+$I$2+(CABF[[#This Row],[QUANTITE]]*CABF[[#This Row],[PRIX UNITAIRE]])</f>
        <v>725000</v>
      </c>
      <c r="F230" s="14">
        <v>0</v>
      </c>
      <c r="G230" s="6">
        <f>+SUM(E$9:$E230)-SUM(F$9:$F230)</f>
        <v>35677000</v>
      </c>
    </row>
    <row r="231" spans="1:7" ht="28.8" x14ac:dyDescent="0.55000000000000004">
      <c r="A231" s="12"/>
      <c r="B231" s="13" t="s">
        <v>966</v>
      </c>
      <c r="C231" s="10">
        <v>2</v>
      </c>
      <c r="D231" s="10">
        <v>100000</v>
      </c>
      <c r="E231" s="7">
        <f>+$I$2+(CABF[[#This Row],[QUANTITE]]*CABF[[#This Row],[PRIX UNITAIRE]])</f>
        <v>200000</v>
      </c>
      <c r="F231" s="14">
        <v>0</v>
      </c>
      <c r="G231" s="6">
        <f>+SUM(E$9:$E231)-SUM(F$9:$F231)</f>
        <v>35877000</v>
      </c>
    </row>
    <row r="232" spans="1:7" ht="28.8" x14ac:dyDescent="0.55000000000000004">
      <c r="A232" s="12"/>
      <c r="B232" s="13" t="s">
        <v>967</v>
      </c>
      <c r="C232" s="10">
        <v>2</v>
      </c>
      <c r="D232" s="10">
        <v>175000</v>
      </c>
      <c r="E232" s="7">
        <f>+$I$2+(CABF[[#This Row],[QUANTITE]]*CABF[[#This Row],[PRIX UNITAIRE]])</f>
        <v>350000</v>
      </c>
      <c r="F232" s="14">
        <v>0</v>
      </c>
      <c r="G232" s="6">
        <f>+SUM(E$9:$E232)-SUM(F$9:$F232)</f>
        <v>36227000</v>
      </c>
    </row>
    <row r="233" spans="1:7" ht="28.8" x14ac:dyDescent="0.55000000000000004">
      <c r="A233" s="12">
        <v>45133</v>
      </c>
      <c r="B233" s="13" t="s">
        <v>968</v>
      </c>
      <c r="C233" s="10">
        <v>5</v>
      </c>
      <c r="D233" s="10">
        <v>185000</v>
      </c>
      <c r="E233" s="7">
        <f>+$I$2+(CABF[[#This Row],[QUANTITE]]*CABF[[#This Row],[PRIX UNITAIRE]])</f>
        <v>925000</v>
      </c>
      <c r="F233" s="14">
        <v>0</v>
      </c>
      <c r="G233" s="6">
        <f>+SUM(E$9:$E233)-SUM(F$9:$F233)</f>
        <v>37152000</v>
      </c>
    </row>
    <row r="234" spans="1:7" ht="28.8" x14ac:dyDescent="0.55000000000000004">
      <c r="A234" s="12"/>
      <c r="B234" s="13" t="s">
        <v>969</v>
      </c>
      <c r="C234" s="10">
        <v>4</v>
      </c>
      <c r="D234" s="10">
        <v>100000</v>
      </c>
      <c r="E234" s="7">
        <f>+$I$2+(CABF[[#This Row],[QUANTITE]]*CABF[[#This Row],[PRIX UNITAIRE]])</f>
        <v>400000</v>
      </c>
      <c r="F234" s="14">
        <v>0</v>
      </c>
      <c r="G234" s="6">
        <f>+SUM(E$9:$E234)-SUM(F$9:$F234)</f>
        <v>37552000</v>
      </c>
    </row>
    <row r="235" spans="1:7" ht="28.8" x14ac:dyDescent="0.55000000000000004">
      <c r="A235" s="12"/>
      <c r="B235" s="13" t="s">
        <v>590</v>
      </c>
      <c r="C235" s="10">
        <v>1</v>
      </c>
      <c r="D235" s="10">
        <v>0</v>
      </c>
      <c r="E235" s="7">
        <f>+$I$2+(CABF[[#This Row],[QUANTITE]]*CABF[[#This Row],[PRIX UNITAIRE]])</f>
        <v>0</v>
      </c>
      <c r="F235" s="14">
        <v>0</v>
      </c>
      <c r="G235" s="6">
        <f>+SUM(E$9:$E235)-SUM(F$9:$F235)</f>
        <v>37552000</v>
      </c>
    </row>
    <row r="236" spans="1:7" ht="28.8" x14ac:dyDescent="0.55000000000000004">
      <c r="A236" s="12">
        <v>45096</v>
      </c>
      <c r="B236" s="13" t="s">
        <v>895</v>
      </c>
      <c r="C236" s="10">
        <v>1</v>
      </c>
      <c r="D236" s="10">
        <v>40000</v>
      </c>
      <c r="E236" s="7">
        <f>+$I$2+(CABF[[#This Row],[QUANTITE]]*CABF[[#This Row],[PRIX UNITAIRE]])</f>
        <v>40000</v>
      </c>
      <c r="F236" s="14">
        <v>10000000</v>
      </c>
      <c r="G236" s="6">
        <f>+SUM(E$9:$E236)-SUM(F$9:$F236)</f>
        <v>27592000</v>
      </c>
    </row>
    <row r="237" spans="1:7" ht="28.8" x14ac:dyDescent="0.55000000000000004">
      <c r="A237" s="12">
        <v>45154</v>
      </c>
      <c r="B237" s="13" t="s">
        <v>970</v>
      </c>
      <c r="C237" s="10">
        <v>2</v>
      </c>
      <c r="D237" s="10">
        <v>75000</v>
      </c>
      <c r="E237" s="7">
        <f>+$I$2+(CABF[[#This Row],[QUANTITE]]*CABF[[#This Row],[PRIX UNITAIRE]])</f>
        <v>150000</v>
      </c>
      <c r="F237" s="14">
        <v>0</v>
      </c>
      <c r="G237" s="6">
        <f>+SUM(E$9:$E237)-SUM(F$9:$F237)</f>
        <v>27742000</v>
      </c>
    </row>
    <row r="238" spans="1:7" ht="28.8" x14ac:dyDescent="0.55000000000000004">
      <c r="A238" s="12">
        <v>45154</v>
      </c>
      <c r="B238" s="13" t="s">
        <v>971</v>
      </c>
      <c r="C238" s="10">
        <v>4</v>
      </c>
      <c r="D238" s="10">
        <v>145000</v>
      </c>
      <c r="E238" s="7">
        <f>+$I$2+(CABF[[#This Row],[QUANTITE]]*CABF[[#This Row],[PRIX UNITAIRE]])</f>
        <v>580000</v>
      </c>
      <c r="F238" s="14">
        <v>0</v>
      </c>
      <c r="G238" s="6">
        <f>+SUM(E$9:$E238)-SUM(F$9:$F238)</f>
        <v>28322000</v>
      </c>
    </row>
    <row r="239" spans="1:7" ht="28.8" x14ac:dyDescent="0.55000000000000004">
      <c r="A239" s="12">
        <v>45167</v>
      </c>
      <c r="B239" s="13" t="s">
        <v>972</v>
      </c>
      <c r="C239" s="10">
        <v>4</v>
      </c>
      <c r="D239" s="10">
        <v>320000</v>
      </c>
      <c r="E239" s="7">
        <f>+$I$2+(CABF[[#This Row],[QUANTITE]]*CABF[[#This Row],[PRIX UNITAIRE]])</f>
        <v>1280000</v>
      </c>
      <c r="F239" s="14">
        <v>0</v>
      </c>
      <c r="G239" s="6">
        <f>+SUM(E$9:$E239)-SUM(F$9:$F239)</f>
        <v>29602000</v>
      </c>
    </row>
    <row r="240" spans="1:7" ht="28.8" x14ac:dyDescent="0.55000000000000004">
      <c r="A240" s="12"/>
      <c r="B240" s="13" t="s">
        <v>620</v>
      </c>
      <c r="C240" s="10">
        <v>4</v>
      </c>
      <c r="D240" s="10">
        <v>185000</v>
      </c>
      <c r="E240" s="7">
        <f>+$I$2+(CABF[[#This Row],[QUANTITE]]*CABF[[#This Row],[PRIX UNITAIRE]])</f>
        <v>740000</v>
      </c>
      <c r="F240" s="14">
        <v>0</v>
      </c>
      <c r="G240" s="6">
        <f>+SUM(E$9:$E240)-SUM(F$9:$F240)</f>
        <v>30342000</v>
      </c>
    </row>
    <row r="241" spans="1:7" ht="28.8" x14ac:dyDescent="0.55000000000000004">
      <c r="A241" s="12"/>
      <c r="B241" s="13" t="s">
        <v>249</v>
      </c>
      <c r="C241" s="10">
        <v>12</v>
      </c>
      <c r="D241" s="10">
        <v>150000</v>
      </c>
      <c r="E241" s="7">
        <f>+$I$2+(CABF[[#This Row],[QUANTITE]]*CABF[[#This Row],[PRIX UNITAIRE]])</f>
        <v>1800000</v>
      </c>
      <c r="F241" s="14">
        <v>0</v>
      </c>
      <c r="G241" s="6">
        <f>+SUM(E$9:$E241)-SUM(F$9:$F241)</f>
        <v>32142000</v>
      </c>
    </row>
    <row r="242" spans="1:7" ht="28.8" x14ac:dyDescent="0.55000000000000004">
      <c r="A242" s="12"/>
      <c r="B242" s="13" t="s">
        <v>940</v>
      </c>
      <c r="C242" s="10">
        <v>4</v>
      </c>
      <c r="D242" s="10">
        <v>75000</v>
      </c>
      <c r="E242" s="7">
        <f>+$I$2+(CABF[[#This Row],[QUANTITE]]*CABF[[#This Row],[PRIX UNITAIRE]])</f>
        <v>300000</v>
      </c>
      <c r="F242" s="14">
        <v>0</v>
      </c>
      <c r="G242" s="6">
        <f>+SUM(E$9:$E242)-SUM(F$9:$F242)</f>
        <v>32442000</v>
      </c>
    </row>
    <row r="243" spans="1:7" ht="28.8" x14ac:dyDescent="0.55000000000000004">
      <c r="A243" s="12">
        <v>45175</v>
      </c>
      <c r="B243" s="13" t="s">
        <v>211</v>
      </c>
      <c r="C243" s="10">
        <v>1</v>
      </c>
      <c r="D243" s="10">
        <v>110000</v>
      </c>
      <c r="E243" s="7">
        <f>+$I$2+(CABF[[#This Row],[QUANTITE]]*CABF[[#This Row],[PRIX UNITAIRE]])</f>
        <v>110000</v>
      </c>
      <c r="F243" s="14">
        <v>0</v>
      </c>
      <c r="G243" s="6">
        <f>+SUM(E$9:$E243)-SUM(F$9:$F243)</f>
        <v>32552000</v>
      </c>
    </row>
    <row r="244" spans="1:7" ht="28.8" x14ac:dyDescent="0.55000000000000004">
      <c r="A244" s="12">
        <v>45175</v>
      </c>
      <c r="B244" s="13" t="s">
        <v>971</v>
      </c>
      <c r="C244" s="10">
        <v>4</v>
      </c>
      <c r="D244" s="10">
        <v>145000</v>
      </c>
      <c r="E244" s="7">
        <f>+$I$2+(CABF[[#This Row],[QUANTITE]]*CABF[[#This Row],[PRIX UNITAIRE]])</f>
        <v>580000</v>
      </c>
      <c r="F244" s="14">
        <v>0</v>
      </c>
      <c r="G244" s="6">
        <f>+SUM(E$9:$E244)-SUM(F$9:$F244)</f>
        <v>33132000</v>
      </c>
    </row>
    <row r="245" spans="1:7" ht="28.8" x14ac:dyDescent="0.55000000000000004">
      <c r="A245" s="12">
        <v>45176</v>
      </c>
      <c r="B245" s="13" t="s">
        <v>504</v>
      </c>
      <c r="C245" s="10">
        <v>6</v>
      </c>
      <c r="D245" s="10">
        <v>365000</v>
      </c>
      <c r="E245" s="7">
        <f>+$I$2+(CABF[[#This Row],[QUANTITE]]*CABF[[#This Row],[PRIX UNITAIRE]])</f>
        <v>2190000</v>
      </c>
      <c r="F245" s="14">
        <v>0</v>
      </c>
      <c r="G245" s="6">
        <f>+SUM(E$9:$E245)-SUM(F$9:$F245)</f>
        <v>35322000</v>
      </c>
    </row>
    <row r="246" spans="1:7" ht="28.8" x14ac:dyDescent="0.55000000000000004">
      <c r="A246" s="12">
        <v>45177</v>
      </c>
      <c r="B246" s="13" t="s">
        <v>973</v>
      </c>
      <c r="C246" s="10">
        <v>2</v>
      </c>
      <c r="D246" s="10">
        <v>10000</v>
      </c>
      <c r="E246" s="7">
        <f>+$I$2+(CABF[[#This Row],[QUANTITE]]*CABF[[#This Row],[PRIX UNITAIRE]])</f>
        <v>20000</v>
      </c>
      <c r="F246" s="14">
        <v>0</v>
      </c>
      <c r="G246" s="6">
        <f>+SUM(E$9:$E246)-SUM(F$9:$F246)</f>
        <v>35342000</v>
      </c>
    </row>
    <row r="247" spans="1:7" ht="28.8" x14ac:dyDescent="0.55000000000000004">
      <c r="A247" s="12"/>
      <c r="B247" s="13" t="s">
        <v>974</v>
      </c>
      <c r="C247" s="10">
        <v>1</v>
      </c>
      <c r="D247" s="10">
        <v>7000</v>
      </c>
      <c r="E247" s="7">
        <f>+$I$2+(CABF[[#This Row],[QUANTITE]]*CABF[[#This Row],[PRIX UNITAIRE]])</f>
        <v>7000</v>
      </c>
      <c r="F247" s="14">
        <v>0</v>
      </c>
      <c r="G247" s="6">
        <f>+SUM(E$9:$E247)-SUM(F$9:$F247)</f>
        <v>35349000</v>
      </c>
    </row>
    <row r="248" spans="1:7" ht="28.8" x14ac:dyDescent="0.55000000000000004">
      <c r="A248" s="12">
        <v>45063</v>
      </c>
      <c r="B248" s="13" t="s">
        <v>975</v>
      </c>
      <c r="C248" s="10">
        <v>1</v>
      </c>
      <c r="D248" s="10">
        <v>300000</v>
      </c>
      <c r="E248" s="7">
        <f>+$I$2+(CABF[[#This Row],[QUANTITE]]*CABF[[#This Row],[PRIX UNITAIRE]])</f>
        <v>300000</v>
      </c>
      <c r="F248" s="14">
        <v>0</v>
      </c>
      <c r="G248" s="6">
        <f>+SUM(E$9:$E248)-SUM(F$9:$F248)</f>
        <v>35649000</v>
      </c>
    </row>
    <row r="249" spans="1:7" ht="28.8" x14ac:dyDescent="0.55000000000000004">
      <c r="A249" s="12">
        <v>45098</v>
      </c>
      <c r="B249" s="13" t="s">
        <v>975</v>
      </c>
      <c r="C249" s="10">
        <v>1</v>
      </c>
      <c r="D249" s="10">
        <v>200000</v>
      </c>
      <c r="E249" s="7">
        <f>+$I$2+(CABF[[#This Row],[QUANTITE]]*CABF[[#This Row],[PRIX UNITAIRE]])</f>
        <v>200000</v>
      </c>
      <c r="F249" s="14">
        <v>0</v>
      </c>
      <c r="G249" s="6">
        <f>+SUM(E$9:$E249)-SUM(F$9:$F249)</f>
        <v>35849000</v>
      </c>
    </row>
    <row r="250" spans="1:7" ht="28.8" x14ac:dyDescent="0.55000000000000004">
      <c r="A250" s="12">
        <v>45127</v>
      </c>
      <c r="B250" s="13" t="s">
        <v>976</v>
      </c>
      <c r="C250" s="10">
        <v>1</v>
      </c>
      <c r="D250" s="10">
        <v>400000</v>
      </c>
      <c r="E250" s="7">
        <f>+$I$2+(CABF[[#This Row],[QUANTITE]]*CABF[[#This Row],[PRIX UNITAIRE]])</f>
        <v>400000</v>
      </c>
      <c r="F250" s="14">
        <v>0</v>
      </c>
      <c r="G250" s="6">
        <f>+SUM(E$9:$E250)-SUM(F$9:$F250)</f>
        <v>36249000</v>
      </c>
    </row>
    <row r="251" spans="1:7" ht="28.8" x14ac:dyDescent="0.55000000000000004">
      <c r="A251" s="12">
        <v>45159</v>
      </c>
      <c r="B251" s="13" t="s">
        <v>977</v>
      </c>
      <c r="C251" s="10">
        <v>1</v>
      </c>
      <c r="D251" s="10">
        <v>500000</v>
      </c>
      <c r="E251" s="7">
        <f>+$I$2+(CABF[[#This Row],[QUANTITE]]*CABF[[#This Row],[PRIX UNITAIRE]])</f>
        <v>500000</v>
      </c>
      <c r="F251" s="14">
        <v>0</v>
      </c>
      <c r="G251" s="6">
        <f>+SUM(E$9:$E251)-SUM(F$9:$F251)</f>
        <v>36749000</v>
      </c>
    </row>
    <row r="252" spans="1:7" ht="28.8" x14ac:dyDescent="0.55000000000000004">
      <c r="A252" s="12">
        <v>45129</v>
      </c>
      <c r="B252" s="13" t="s">
        <v>978</v>
      </c>
      <c r="C252" s="10">
        <v>1</v>
      </c>
      <c r="D252" s="10">
        <v>80000</v>
      </c>
      <c r="E252" s="7">
        <f>+$I$2+(CABF[[#This Row],[QUANTITE]]*CABF[[#This Row],[PRIX UNITAIRE]])</f>
        <v>80000</v>
      </c>
      <c r="F252" s="14">
        <v>0</v>
      </c>
      <c r="G252" s="6">
        <f>+SUM(E$9:$E252)-SUM(F$9:$F252)</f>
        <v>36829000</v>
      </c>
    </row>
    <row r="253" spans="1:7" ht="28.8" x14ac:dyDescent="0.55000000000000004">
      <c r="A253" s="12">
        <v>45133</v>
      </c>
      <c r="B253" s="13" t="s">
        <v>249</v>
      </c>
      <c r="C253" s="10">
        <v>4</v>
      </c>
      <c r="D253" s="10">
        <v>150000</v>
      </c>
      <c r="E253" s="7">
        <f>+$I$2+(CABF[[#This Row],[QUANTITE]]*CABF[[#This Row],[PRIX UNITAIRE]])</f>
        <v>600000</v>
      </c>
      <c r="F253" s="14">
        <v>0</v>
      </c>
      <c r="G253" s="6">
        <f>+SUM(E$9:$E253)-SUM(F$9:$F253)</f>
        <v>37429000</v>
      </c>
    </row>
    <row r="254" spans="1:7" ht="28.8" x14ac:dyDescent="0.55000000000000004">
      <c r="A254" s="12"/>
      <c r="B254" s="13" t="s">
        <v>879</v>
      </c>
      <c r="C254" s="10">
        <v>2</v>
      </c>
      <c r="D254" s="10">
        <v>145000</v>
      </c>
      <c r="E254" s="7">
        <f>+$I$2+(CABF[[#This Row],[QUANTITE]]*CABF[[#This Row],[PRIX UNITAIRE]])</f>
        <v>290000</v>
      </c>
      <c r="F254" s="14">
        <v>0</v>
      </c>
      <c r="G254" s="6">
        <f>+SUM(E$9:$E254)-SUM(F$9:$F254)</f>
        <v>37719000</v>
      </c>
    </row>
    <row r="255" spans="1:7" ht="28.8" x14ac:dyDescent="0.55000000000000004">
      <c r="A255" s="12">
        <v>45197</v>
      </c>
      <c r="B255" s="13" t="s">
        <v>249</v>
      </c>
      <c r="C255" s="10">
        <v>8</v>
      </c>
      <c r="D255" s="10">
        <v>150000</v>
      </c>
      <c r="E255" s="7">
        <f>+$I$2+(CABF[[#This Row],[QUANTITE]]*CABF[[#This Row],[PRIX UNITAIRE]])</f>
        <v>1200000</v>
      </c>
      <c r="F255" s="14">
        <v>0</v>
      </c>
      <c r="G255" s="6">
        <f>+SUM(E$9:$E255)-SUM(F$9:$F255)</f>
        <v>38919000</v>
      </c>
    </row>
    <row r="256" spans="1:7" ht="28.8" x14ac:dyDescent="0.55000000000000004">
      <c r="A256" s="12"/>
      <c r="B256" s="13" t="s">
        <v>979</v>
      </c>
      <c r="C256" s="10">
        <v>3</v>
      </c>
      <c r="D256" s="10">
        <v>175000</v>
      </c>
      <c r="E256" s="7">
        <f>+$I$2+(CABF[[#This Row],[QUANTITE]]*CABF[[#This Row],[PRIX UNITAIRE]])</f>
        <v>525000</v>
      </c>
      <c r="F256" s="14">
        <v>0</v>
      </c>
      <c r="G256" s="6">
        <f>+SUM(E$9:$E256)-SUM(F$9:$F256)</f>
        <v>39444000</v>
      </c>
    </row>
    <row r="257" spans="1:7" ht="28.8" x14ac:dyDescent="0.55000000000000004">
      <c r="A257" s="12"/>
      <c r="B257" s="13" t="s">
        <v>889</v>
      </c>
      <c r="C257" s="10">
        <v>2</v>
      </c>
      <c r="D257" s="10">
        <v>30000</v>
      </c>
      <c r="E257" s="7">
        <f>+$I$2+(CABF[[#This Row],[QUANTITE]]*CABF[[#This Row],[PRIX UNITAIRE]])</f>
        <v>60000</v>
      </c>
      <c r="F257" s="14">
        <v>0</v>
      </c>
      <c r="G257" s="6">
        <f>+SUM(E$9:$E257)-SUM(F$9:$F257)</f>
        <v>39504000</v>
      </c>
    </row>
    <row r="258" spans="1:7" ht="28.8" x14ac:dyDescent="0.55000000000000004">
      <c r="A258" s="12">
        <v>45211</v>
      </c>
      <c r="B258" s="13" t="s">
        <v>943</v>
      </c>
      <c r="C258" s="10">
        <v>2</v>
      </c>
      <c r="D258" s="10">
        <v>100000</v>
      </c>
      <c r="E258" s="7">
        <f>+$I$2+(CABF[[#This Row],[QUANTITE]]*CABF[[#This Row],[PRIX UNITAIRE]])</f>
        <v>200000</v>
      </c>
      <c r="F258" s="14">
        <v>0</v>
      </c>
      <c r="G258" s="6">
        <f>+SUM(E$9:$E258)-SUM(F$9:$F258)</f>
        <v>39704000</v>
      </c>
    </row>
    <row r="259" spans="1:7" ht="28.8" x14ac:dyDescent="0.55000000000000004">
      <c r="A259" s="12">
        <v>45219</v>
      </c>
      <c r="B259" s="13" t="s">
        <v>980</v>
      </c>
      <c r="C259" s="10">
        <v>1</v>
      </c>
      <c r="D259" s="10">
        <v>335000</v>
      </c>
      <c r="E259" s="7">
        <f>+$I$2+(CABF[[#This Row],[QUANTITE]]*CABF[[#This Row],[PRIX UNITAIRE]])</f>
        <v>335000</v>
      </c>
      <c r="F259" s="14">
        <v>0</v>
      </c>
      <c r="G259" s="6">
        <f>+SUM(E$9:$E259)-SUM(F$9:$F259)</f>
        <v>40039000</v>
      </c>
    </row>
    <row r="260" spans="1:7" ht="28.8" x14ac:dyDescent="0.55000000000000004">
      <c r="A260" s="12"/>
      <c r="B260" s="13" t="s">
        <v>78</v>
      </c>
      <c r="C260" s="10">
        <v>2</v>
      </c>
      <c r="D260" s="10">
        <v>150000</v>
      </c>
      <c r="E260" s="7">
        <f>+$I$2+(CABF[[#This Row],[QUANTITE]]*CABF[[#This Row],[PRIX UNITAIRE]])</f>
        <v>300000</v>
      </c>
      <c r="F260" s="14">
        <v>0</v>
      </c>
      <c r="G260" s="6">
        <f>+SUM(E$9:$E260)-SUM(F$9:$F260)</f>
        <v>40339000</v>
      </c>
    </row>
    <row r="261" spans="1:7" ht="28.8" x14ac:dyDescent="0.55000000000000004">
      <c r="A261" s="12">
        <v>45219</v>
      </c>
      <c r="B261" s="13" t="s">
        <v>981</v>
      </c>
      <c r="C261" s="10">
        <v>4</v>
      </c>
      <c r="D261" s="10">
        <v>280000</v>
      </c>
      <c r="E261" s="7">
        <f>+$I$2+(CABF[[#This Row],[QUANTITE]]*CABF[[#This Row],[PRIX UNITAIRE]])</f>
        <v>1120000</v>
      </c>
      <c r="F261" s="14">
        <v>0</v>
      </c>
      <c r="G261" s="6">
        <f>+SUM(E$9:$E261)-SUM(F$9:$F261)</f>
        <v>41459000</v>
      </c>
    </row>
    <row r="262" spans="1:7" ht="28.8" x14ac:dyDescent="0.55000000000000004">
      <c r="A262" s="12"/>
      <c r="B262" s="13" t="s">
        <v>982</v>
      </c>
      <c r="C262" s="10">
        <v>2</v>
      </c>
      <c r="D262" s="10">
        <v>220000</v>
      </c>
      <c r="E262" s="7">
        <f>+$I$2+(CABF[[#This Row],[QUANTITE]]*CABF[[#This Row],[PRIX UNITAIRE]])</f>
        <v>440000</v>
      </c>
      <c r="F262" s="14">
        <v>0</v>
      </c>
      <c r="G262" s="6">
        <f>+SUM(E$9:$E262)-SUM(F$9:$F262)</f>
        <v>41899000</v>
      </c>
    </row>
    <row r="263" spans="1:7" ht="28.8" x14ac:dyDescent="0.55000000000000004">
      <c r="A263" s="12"/>
      <c r="B263" s="13" t="s">
        <v>12</v>
      </c>
      <c r="C263" s="10">
        <v>2</v>
      </c>
      <c r="D263" s="10">
        <v>90000</v>
      </c>
      <c r="E263" s="7">
        <f>+$I$2+(CABF[[#This Row],[QUANTITE]]*CABF[[#This Row],[PRIX UNITAIRE]])</f>
        <v>180000</v>
      </c>
      <c r="F263" s="14">
        <v>0</v>
      </c>
      <c r="G263" s="6">
        <f>+SUM(E$9:$E263)-SUM(F$9:$F263)</f>
        <v>42079000</v>
      </c>
    </row>
    <row r="264" spans="1:7" ht="28.8" x14ac:dyDescent="0.55000000000000004">
      <c r="A264" s="12">
        <v>45154</v>
      </c>
      <c r="B264" s="13" t="s">
        <v>908</v>
      </c>
      <c r="C264" s="10">
        <v>4</v>
      </c>
      <c r="D264" s="10">
        <v>1200000</v>
      </c>
      <c r="E264" s="7">
        <f>+$I$2+(CABF[[#This Row],[QUANTITE]]*CABF[[#This Row],[PRIX UNITAIRE]])</f>
        <v>4800000</v>
      </c>
      <c r="F264" s="14">
        <v>0</v>
      </c>
      <c r="G264" s="6">
        <f>+SUM(E$9:$E264)-SUM(F$9:$F264)</f>
        <v>46879000</v>
      </c>
    </row>
    <row r="265" spans="1:7" ht="28.8" x14ac:dyDescent="0.55000000000000004">
      <c r="A265" s="12"/>
      <c r="B265" s="13" t="s">
        <v>902</v>
      </c>
      <c r="C265" s="10">
        <v>2</v>
      </c>
      <c r="D265" s="10">
        <v>260000</v>
      </c>
      <c r="E265" s="7">
        <f>+$I$2+(CABF[[#This Row],[QUANTITE]]*CABF[[#This Row],[PRIX UNITAIRE]])</f>
        <v>520000</v>
      </c>
      <c r="F265" s="14">
        <v>0</v>
      </c>
      <c r="G265" s="6">
        <f>+SUM(E$9:$E265)-SUM(F$9:$F265)</f>
        <v>47399000</v>
      </c>
    </row>
    <row r="266" spans="1:7" ht="28.8" x14ac:dyDescent="0.55000000000000004">
      <c r="A266" s="12">
        <v>45157</v>
      </c>
      <c r="B266" s="13" t="s">
        <v>213</v>
      </c>
      <c r="C266" s="10">
        <v>4</v>
      </c>
      <c r="D266" s="10">
        <v>185000</v>
      </c>
      <c r="E266" s="7">
        <f>+$I$2+(CABF[[#This Row],[QUANTITE]]*CABF[[#This Row],[PRIX UNITAIRE]])</f>
        <v>740000</v>
      </c>
      <c r="F266" s="14">
        <v>0</v>
      </c>
      <c r="G266" s="6">
        <f>+SUM(E$9:$E266)-SUM(F$9:$F266)</f>
        <v>48139000</v>
      </c>
    </row>
    <row r="267" spans="1:7" ht="28.8" x14ac:dyDescent="0.55000000000000004">
      <c r="A267" s="12">
        <v>45167</v>
      </c>
      <c r="B267" s="13" t="s">
        <v>78</v>
      </c>
      <c r="C267" s="10">
        <v>6</v>
      </c>
      <c r="D267" s="10">
        <v>150000</v>
      </c>
      <c r="E267" s="7">
        <f>+$I$2+(CABF[[#This Row],[QUANTITE]]*CABF[[#This Row],[PRIX UNITAIRE]])</f>
        <v>900000</v>
      </c>
      <c r="F267" s="14">
        <v>0</v>
      </c>
      <c r="G267" s="6">
        <f>+SUM(E$9:$E267)-SUM(F$9:$F267)</f>
        <v>49039000</v>
      </c>
    </row>
    <row r="268" spans="1:7" ht="28.8" x14ac:dyDescent="0.55000000000000004">
      <c r="A268" s="12"/>
      <c r="B268" s="13" t="s">
        <v>983</v>
      </c>
      <c r="C268" s="10">
        <v>1</v>
      </c>
      <c r="D268" s="10">
        <v>320000</v>
      </c>
      <c r="E268" s="7">
        <f>+$I$2+(CABF[[#This Row],[QUANTITE]]*CABF[[#This Row],[PRIX UNITAIRE]])</f>
        <v>320000</v>
      </c>
      <c r="F268" s="14">
        <v>0</v>
      </c>
      <c r="G268" s="6">
        <f>+SUM(E$9:$E268)-SUM(F$9:$F268)</f>
        <v>49359000</v>
      </c>
    </row>
    <row r="269" spans="1:7" ht="28.8" x14ac:dyDescent="0.55000000000000004">
      <c r="A269" s="12">
        <v>45170</v>
      </c>
      <c r="B269" s="13" t="s">
        <v>78</v>
      </c>
      <c r="C269" s="10">
        <v>4</v>
      </c>
      <c r="D269" s="10">
        <v>150000</v>
      </c>
      <c r="E269" s="7">
        <f>+$I$2+(CABF[[#This Row],[QUANTITE]]*CABF[[#This Row],[PRIX UNITAIRE]])</f>
        <v>600000</v>
      </c>
      <c r="F269" s="14">
        <v>0</v>
      </c>
      <c r="G269" s="6">
        <f>+SUM(E$9:$E269)-SUM(F$9:$F269)</f>
        <v>49959000</v>
      </c>
    </row>
    <row r="270" spans="1:7" ht="28.8" x14ac:dyDescent="0.55000000000000004">
      <c r="A270" s="12">
        <v>45181</v>
      </c>
      <c r="B270" s="13" t="s">
        <v>984</v>
      </c>
      <c r="C270" s="10">
        <v>2</v>
      </c>
      <c r="D270" s="10">
        <v>185000</v>
      </c>
      <c r="E270" s="7">
        <f>+$I$2+(CABF[[#This Row],[QUANTITE]]*CABF[[#This Row],[PRIX UNITAIRE]])</f>
        <v>370000</v>
      </c>
      <c r="F270" s="14">
        <v>0</v>
      </c>
      <c r="G270" s="6">
        <f>+SUM(E$9:$E270)-SUM(F$9:$F270)</f>
        <v>50329000</v>
      </c>
    </row>
    <row r="271" spans="1:7" ht="28.8" x14ac:dyDescent="0.55000000000000004">
      <c r="A271" s="12"/>
      <c r="B271" s="13" t="s">
        <v>985</v>
      </c>
      <c r="C271" s="10">
        <v>2</v>
      </c>
      <c r="D271" s="10">
        <v>145000</v>
      </c>
      <c r="E271" s="7">
        <f>+$I$2+(CABF[[#This Row],[QUANTITE]]*CABF[[#This Row],[PRIX UNITAIRE]])</f>
        <v>290000</v>
      </c>
      <c r="F271" s="14">
        <v>0</v>
      </c>
      <c r="G271" s="6">
        <f>+SUM(E$9:$E271)-SUM(F$9:$F271)</f>
        <v>50619000</v>
      </c>
    </row>
    <row r="272" spans="1:7" ht="28.8" x14ac:dyDescent="0.55000000000000004">
      <c r="A272" s="12">
        <v>45238</v>
      </c>
      <c r="B272" s="13" t="s">
        <v>986</v>
      </c>
      <c r="C272" s="10">
        <v>2</v>
      </c>
      <c r="D272" s="10">
        <v>65000</v>
      </c>
      <c r="E272" s="7">
        <f>+$I$2+(CABF[[#This Row],[QUANTITE]]*CABF[[#This Row],[PRIX UNITAIRE]])</f>
        <v>130000</v>
      </c>
      <c r="F272" s="14">
        <v>0</v>
      </c>
      <c r="G272" s="6">
        <f>+SUM(E$9:$E272)-SUM(F$9:$F272)</f>
        <v>50749000</v>
      </c>
    </row>
    <row r="273" spans="1:7" ht="28.8" x14ac:dyDescent="0.55000000000000004">
      <c r="A273" s="12">
        <v>45229</v>
      </c>
      <c r="B273" s="13" t="s">
        <v>895</v>
      </c>
      <c r="C273" s="10">
        <v>3</v>
      </c>
      <c r="D273" s="10">
        <v>30000</v>
      </c>
      <c r="E273" s="7">
        <f>+$I$2+(CABF[[#This Row],[QUANTITE]]*CABF[[#This Row],[PRIX UNITAIRE]])</f>
        <v>90000</v>
      </c>
      <c r="F273" s="14">
        <v>0</v>
      </c>
      <c r="G273" s="6">
        <f>+SUM(E$9:$E273)-SUM(F$9:$F273)</f>
        <v>50839000</v>
      </c>
    </row>
    <row r="274" spans="1:7" ht="28.8" x14ac:dyDescent="0.55000000000000004">
      <c r="A274" s="12">
        <v>45230</v>
      </c>
      <c r="B274" s="13" t="s">
        <v>78</v>
      </c>
      <c r="C274" s="10">
        <v>5</v>
      </c>
      <c r="D274" s="10">
        <v>145000</v>
      </c>
      <c r="E274" s="7">
        <f>+$I$2+(CABF[[#This Row],[QUANTITE]]*CABF[[#This Row],[PRIX UNITAIRE]])</f>
        <v>725000</v>
      </c>
      <c r="F274" s="14">
        <v>0</v>
      </c>
      <c r="G274" s="6">
        <f>+SUM(E$9:$E274)-SUM(F$9:$F274)</f>
        <v>51564000</v>
      </c>
    </row>
    <row r="275" spans="1:7" ht="28.8" x14ac:dyDescent="0.55000000000000004">
      <c r="A275" s="12"/>
      <c r="B275" s="13" t="s">
        <v>980</v>
      </c>
      <c r="C275" s="10">
        <v>1</v>
      </c>
      <c r="D275" s="10">
        <v>320000</v>
      </c>
      <c r="E275" s="7">
        <f>+$I$2+(CABF[[#This Row],[QUANTITE]]*CABF[[#This Row],[PRIX UNITAIRE]])</f>
        <v>320000</v>
      </c>
      <c r="F275" s="14">
        <v>0</v>
      </c>
      <c r="G275" s="6">
        <f>+SUM(E$9:$E275)-SUM(F$9:$F275)</f>
        <v>51884000</v>
      </c>
    </row>
    <row r="276" spans="1:7" ht="28.8" x14ac:dyDescent="0.55000000000000004">
      <c r="A276" s="12">
        <v>45244</v>
      </c>
      <c r="B276" s="13" t="s">
        <v>987</v>
      </c>
      <c r="C276" s="10">
        <v>2</v>
      </c>
      <c r="D276" s="10">
        <v>70000</v>
      </c>
      <c r="E276" s="7">
        <f>+$I$2+(CABF[[#This Row],[QUANTITE]]*CABF[[#This Row],[PRIX UNITAIRE]])</f>
        <v>140000</v>
      </c>
      <c r="F276" s="14">
        <v>0</v>
      </c>
      <c r="G276" s="6">
        <f>+SUM(E$9:$E276)-SUM(F$9:$F276)</f>
        <v>52024000</v>
      </c>
    </row>
    <row r="277" spans="1:7" ht="28.8" x14ac:dyDescent="0.55000000000000004">
      <c r="A277" s="12">
        <v>45247</v>
      </c>
      <c r="B277" s="13" t="s">
        <v>606</v>
      </c>
      <c r="C277" s="10">
        <v>5</v>
      </c>
      <c r="D277" s="10">
        <v>185000</v>
      </c>
      <c r="E277" s="7">
        <f>+$I$2+(CABF[[#This Row],[QUANTITE]]*CABF[[#This Row],[PRIX UNITAIRE]])</f>
        <v>925000</v>
      </c>
      <c r="F277" s="14">
        <v>0</v>
      </c>
      <c r="G277" s="6">
        <f>+SUM(E$9:$E277)-SUM(F$9:$F277)</f>
        <v>52949000</v>
      </c>
    </row>
    <row r="278" spans="1:7" ht="28.8" x14ac:dyDescent="0.55000000000000004">
      <c r="A278" s="12"/>
      <c r="B278" s="13" t="s">
        <v>500</v>
      </c>
      <c r="C278" s="10">
        <v>4</v>
      </c>
      <c r="D278" s="10">
        <v>95000</v>
      </c>
      <c r="E278" s="7">
        <f>+$I$2+(CABF[[#This Row],[QUANTITE]]*CABF[[#This Row],[PRIX UNITAIRE]])</f>
        <v>380000</v>
      </c>
      <c r="F278" s="14">
        <v>0</v>
      </c>
      <c r="G278" s="6">
        <f>+SUM(E$9:$E278)-SUM(F$9:$F278)</f>
        <v>53329000</v>
      </c>
    </row>
    <row r="279" spans="1:7" ht="28.8" x14ac:dyDescent="0.55000000000000004">
      <c r="A279" s="12"/>
      <c r="B279" s="13" t="s">
        <v>961</v>
      </c>
      <c r="C279" s="10">
        <v>2</v>
      </c>
      <c r="D279" s="10">
        <v>95000</v>
      </c>
      <c r="E279" s="7">
        <f>+$I$2+(CABF[[#This Row],[QUANTITE]]*CABF[[#This Row],[PRIX UNITAIRE]])</f>
        <v>190000</v>
      </c>
      <c r="F279" s="14">
        <v>0</v>
      </c>
      <c r="G279" s="6">
        <f>+SUM(E$9:$E279)-SUM(F$9:$F279)</f>
        <v>53519000</v>
      </c>
    </row>
    <row r="280" spans="1:7" ht="28.8" x14ac:dyDescent="0.55000000000000004">
      <c r="A280" s="12">
        <v>45251</v>
      </c>
      <c r="B280" s="13" t="s">
        <v>988</v>
      </c>
      <c r="C280" s="10">
        <v>2</v>
      </c>
      <c r="D280" s="10">
        <v>65000</v>
      </c>
      <c r="E280" s="7">
        <f>+$I$2+(CABF[[#This Row],[QUANTITE]]*CABF[[#This Row],[PRIX UNITAIRE]])</f>
        <v>130000</v>
      </c>
      <c r="F280" s="14">
        <v>0</v>
      </c>
      <c r="G280" s="6">
        <f>+SUM(E$9:$E280)-SUM(F$9:$F280)</f>
        <v>53649000</v>
      </c>
    </row>
    <row r="281" spans="1:7" ht="28.8" x14ac:dyDescent="0.55000000000000004">
      <c r="A281" s="12"/>
      <c r="B281" s="13" t="s">
        <v>989</v>
      </c>
      <c r="C281" s="10">
        <v>1</v>
      </c>
      <c r="D281" s="10">
        <v>20000</v>
      </c>
      <c r="E281" s="7">
        <f>+$I$2+(CABF[[#This Row],[QUANTITE]]*CABF[[#This Row],[PRIX UNITAIRE]])</f>
        <v>20000</v>
      </c>
      <c r="F281" s="14">
        <v>0</v>
      </c>
      <c r="G281" s="6">
        <f>+SUM(E$9:$E281)-SUM(F$9:$F281)</f>
        <v>53669000</v>
      </c>
    </row>
    <row r="282" spans="1:7" ht="28.8" x14ac:dyDescent="0.55000000000000004">
      <c r="A282" s="12">
        <v>45279</v>
      </c>
      <c r="B282" s="13" t="s">
        <v>990</v>
      </c>
      <c r="C282" s="10">
        <v>8</v>
      </c>
      <c r="D282" s="10">
        <v>280000</v>
      </c>
      <c r="E282" s="7">
        <f>+$I$2+(CABF[[#This Row],[QUANTITE]]*CABF[[#This Row],[PRIX UNITAIRE]])</f>
        <v>2240000</v>
      </c>
      <c r="F282" s="14">
        <v>0</v>
      </c>
      <c r="G282" s="6">
        <f>+SUM(E$9:$E282)-SUM(F$9:$F282)</f>
        <v>55909000</v>
      </c>
    </row>
    <row r="283" spans="1:7" ht="28.8" x14ac:dyDescent="0.55000000000000004">
      <c r="A283" s="12"/>
      <c r="B283" s="13" t="s">
        <v>982</v>
      </c>
      <c r="C283" s="10">
        <v>2</v>
      </c>
      <c r="D283" s="10">
        <v>195000</v>
      </c>
      <c r="E283" s="7">
        <f>+$I$2+(CABF[[#This Row],[QUANTITE]]*CABF[[#This Row],[PRIX UNITAIRE]])</f>
        <v>390000</v>
      </c>
      <c r="F283" s="14">
        <v>0</v>
      </c>
      <c r="G283" s="6">
        <f>+SUM(E$9:$E283)-SUM(F$9:$F283)</f>
        <v>56299000</v>
      </c>
    </row>
    <row r="284" spans="1:7" ht="28.8" x14ac:dyDescent="0.55000000000000004">
      <c r="A284" s="12"/>
      <c r="B284" s="13" t="s">
        <v>991</v>
      </c>
      <c r="C284" s="10">
        <v>2</v>
      </c>
      <c r="D284" s="10">
        <v>385000</v>
      </c>
      <c r="E284" s="7">
        <f>+$I$2+(CABF[[#This Row],[QUANTITE]]*CABF[[#This Row],[PRIX UNITAIRE]])</f>
        <v>770000</v>
      </c>
      <c r="F284" s="14">
        <v>0</v>
      </c>
      <c r="G284" s="6">
        <f>+SUM(E$9:$E284)-SUM(F$9:$F284)</f>
        <v>57069000</v>
      </c>
    </row>
    <row r="285" spans="1:7" ht="28.8" x14ac:dyDescent="0.55000000000000004">
      <c r="A285" s="12"/>
      <c r="B285" s="13" t="s">
        <v>992</v>
      </c>
      <c r="C285" s="10">
        <v>2</v>
      </c>
      <c r="D285" s="10">
        <v>55000</v>
      </c>
      <c r="E285" s="7">
        <f>+$I$2+(CABF[[#This Row],[QUANTITE]]*CABF[[#This Row],[PRIX UNITAIRE]])</f>
        <v>110000</v>
      </c>
      <c r="F285" s="14">
        <v>0</v>
      </c>
      <c r="G285" s="6">
        <f>+SUM(E$9:$E285)-SUM(F$9:$F285)</f>
        <v>57179000</v>
      </c>
    </row>
    <row r="286" spans="1:7" ht="28.8" x14ac:dyDescent="0.55000000000000004">
      <c r="A286" s="12">
        <v>45282</v>
      </c>
      <c r="B286" s="13" t="s">
        <v>993</v>
      </c>
      <c r="C286" s="10">
        <v>4</v>
      </c>
      <c r="D286" s="10">
        <v>1450000</v>
      </c>
      <c r="E286" s="7">
        <f>+$I$2+(CABF[[#This Row],[QUANTITE]]*CABF[[#This Row],[PRIX UNITAIRE]])</f>
        <v>5800000</v>
      </c>
      <c r="F286" s="14">
        <v>0</v>
      </c>
      <c r="G286" s="6">
        <f>+SUM(E$9:$E286)-SUM(F$9:$F286)</f>
        <v>62979000</v>
      </c>
    </row>
    <row r="287" spans="1:7" ht="28.8" x14ac:dyDescent="0.55000000000000004">
      <c r="A287" s="12">
        <v>45308</v>
      </c>
      <c r="B287" s="13" t="s">
        <v>994</v>
      </c>
      <c r="C287" s="10">
        <v>1</v>
      </c>
      <c r="D287" s="10">
        <v>90000</v>
      </c>
      <c r="E287" s="7">
        <f>+$I$2+(CABF[[#This Row],[QUANTITE]]*CABF[[#This Row],[PRIX UNITAIRE]])</f>
        <v>90000</v>
      </c>
      <c r="F287" s="14">
        <v>0</v>
      </c>
      <c r="G287" s="6">
        <f>+SUM(E$9:$E287)-SUM(F$9:$F287)</f>
        <v>63069000</v>
      </c>
    </row>
    <row r="288" spans="1:7" ht="28.8" x14ac:dyDescent="0.55000000000000004">
      <c r="A288" s="12">
        <v>45308</v>
      </c>
      <c r="B288" s="13" t="s">
        <v>995</v>
      </c>
      <c r="C288" s="10">
        <v>4</v>
      </c>
      <c r="D288" s="10">
        <v>90000</v>
      </c>
      <c r="E288" s="7">
        <f>+$I$2+(CABF[[#This Row],[QUANTITE]]*CABF[[#This Row],[PRIX UNITAIRE]])</f>
        <v>360000</v>
      </c>
      <c r="F288" s="14">
        <v>0</v>
      </c>
      <c r="G288" s="6">
        <f>+SUM(E$9:$E288)-SUM(F$9:$F288)</f>
        <v>63429000</v>
      </c>
    </row>
    <row r="289" spans="1:7" ht="28.8" x14ac:dyDescent="0.55000000000000004">
      <c r="A289" s="12">
        <v>45308</v>
      </c>
      <c r="B289" s="13" t="s">
        <v>217</v>
      </c>
      <c r="C289" s="10">
        <v>2</v>
      </c>
      <c r="D289" s="10">
        <v>100000</v>
      </c>
      <c r="E289" s="7">
        <f>+$I$2+(CABF[[#This Row],[QUANTITE]]*CABF[[#This Row],[PRIX UNITAIRE]])</f>
        <v>200000</v>
      </c>
      <c r="F289" s="14">
        <v>0</v>
      </c>
      <c r="G289" s="6">
        <f>+SUM(E$9:$E289)-SUM(F$9:$F289)</f>
        <v>63629000</v>
      </c>
    </row>
    <row r="290" spans="1:7" ht="28.8" x14ac:dyDescent="0.55000000000000004">
      <c r="A290" s="12">
        <v>45313</v>
      </c>
      <c r="B290" s="13" t="s">
        <v>996</v>
      </c>
      <c r="C290" s="10">
        <v>1</v>
      </c>
      <c r="D290" s="10">
        <v>0</v>
      </c>
      <c r="E290" s="7">
        <f>+$I$2+(CABF[[#This Row],[QUANTITE]]*CABF[[#This Row],[PRIX UNITAIRE]])</f>
        <v>0</v>
      </c>
      <c r="F290" s="14">
        <v>0</v>
      </c>
      <c r="G290" s="6">
        <f>+SUM(E$9:$E290)-SUM(F$9:$F290)</f>
        <v>63629000</v>
      </c>
    </row>
    <row r="291" spans="1:7" ht="28.8" x14ac:dyDescent="0.55000000000000004">
      <c r="A291" s="12">
        <v>45324</v>
      </c>
      <c r="B291" s="13" t="s">
        <v>997</v>
      </c>
      <c r="C291" s="10">
        <v>4</v>
      </c>
      <c r="D291" s="10">
        <v>220000</v>
      </c>
      <c r="E291" s="7">
        <f>+$I$2+(CABF[[#This Row],[QUANTITE]]*CABF[[#This Row],[PRIX UNITAIRE]])</f>
        <v>880000</v>
      </c>
      <c r="F291" s="14">
        <v>7000000</v>
      </c>
      <c r="G291" s="6">
        <f>+SUM(E$9:$E291)-SUM(F$9:$F291)</f>
        <v>57509000</v>
      </c>
    </row>
    <row r="292" spans="1:7" ht="28.8" x14ac:dyDescent="0.55000000000000004">
      <c r="A292" s="12">
        <v>45330</v>
      </c>
      <c r="B292" s="13" t="s">
        <v>595</v>
      </c>
      <c r="C292" s="10">
        <v>2</v>
      </c>
      <c r="D292" s="10">
        <v>185000</v>
      </c>
      <c r="E292" s="7">
        <f>+$I$2+(CABF[[#This Row],[QUANTITE]]*CABF[[#This Row],[PRIX UNITAIRE]])</f>
        <v>370000</v>
      </c>
      <c r="F292" s="14">
        <v>0</v>
      </c>
      <c r="G292" s="6">
        <f>+SUM(E$9:$E292)-SUM(F$9:$F292)</f>
        <v>57879000</v>
      </c>
    </row>
    <row r="293" spans="1:7" ht="28.8" x14ac:dyDescent="0.55000000000000004">
      <c r="A293" s="12">
        <v>45335</v>
      </c>
      <c r="B293" s="13" t="s">
        <v>998</v>
      </c>
      <c r="C293" s="10">
        <v>1</v>
      </c>
      <c r="D293" s="10">
        <v>55000</v>
      </c>
      <c r="E293" s="7">
        <f>+$I$2+(CABF[[#This Row],[QUANTITE]]*CABF[[#This Row],[PRIX UNITAIRE]])</f>
        <v>55000</v>
      </c>
      <c r="F293" s="14">
        <v>0</v>
      </c>
      <c r="G293" s="6">
        <f>+SUM(E$9:$E293)-SUM(F$9:$F293)</f>
        <v>57934000</v>
      </c>
    </row>
    <row r="294" spans="1:7" ht="28.8" x14ac:dyDescent="0.55000000000000004">
      <c r="A294" s="12"/>
      <c r="B294" s="13" t="s">
        <v>999</v>
      </c>
      <c r="C294" s="10">
        <v>1</v>
      </c>
      <c r="D294" s="10">
        <v>50000</v>
      </c>
      <c r="E294" s="7">
        <f>+$I$2+(CABF[[#This Row],[QUANTITE]]*CABF[[#This Row],[PRIX UNITAIRE]])</f>
        <v>50000</v>
      </c>
      <c r="F294" s="14">
        <v>0</v>
      </c>
      <c r="G294" s="6">
        <f>+SUM(E$9:$E294)-SUM(F$9:$F294)</f>
        <v>57984000</v>
      </c>
    </row>
    <row r="295" spans="1:7" ht="28.8" x14ac:dyDescent="0.55000000000000004">
      <c r="A295" s="12"/>
      <c r="B295" s="13" t="s">
        <v>1000</v>
      </c>
      <c r="C295" s="10">
        <v>1</v>
      </c>
      <c r="D295" s="10">
        <v>5000</v>
      </c>
      <c r="E295" s="7">
        <f>+$I$2+(CABF[[#This Row],[QUANTITE]]*CABF[[#This Row],[PRIX UNITAIRE]])</f>
        <v>5000</v>
      </c>
      <c r="F295" s="14">
        <v>0</v>
      </c>
      <c r="G295" s="6">
        <f>+SUM(E$9:$E295)-SUM(F$9:$F295)</f>
        <v>57989000</v>
      </c>
    </row>
    <row r="296" spans="1:7" ht="28.8" x14ac:dyDescent="0.55000000000000004">
      <c r="A296" s="12">
        <v>45339</v>
      </c>
      <c r="B296" s="13" t="s">
        <v>1001</v>
      </c>
      <c r="C296" s="10">
        <v>4</v>
      </c>
      <c r="D296" s="10">
        <v>135000</v>
      </c>
      <c r="E296" s="7">
        <f>+$I$2+(CABF[[#This Row],[QUANTITE]]*CABF[[#This Row],[PRIX UNITAIRE]])</f>
        <v>540000</v>
      </c>
      <c r="F296" s="14">
        <v>0</v>
      </c>
      <c r="G296" s="6">
        <f>+SUM(E$9:$E296)-SUM(F$9:$F296)</f>
        <v>58529000</v>
      </c>
    </row>
    <row r="297" spans="1:7" ht="28.8" x14ac:dyDescent="0.55000000000000004">
      <c r="A297" s="12"/>
      <c r="B297" s="13" t="s">
        <v>1002</v>
      </c>
      <c r="C297" s="10">
        <v>1</v>
      </c>
      <c r="D297" s="10">
        <v>70000</v>
      </c>
      <c r="E297" s="7">
        <f>+$I$2+(CABF[[#This Row],[QUANTITE]]*CABF[[#This Row],[PRIX UNITAIRE]])</f>
        <v>70000</v>
      </c>
      <c r="F297" s="14">
        <v>0</v>
      </c>
      <c r="G297" s="6">
        <f>+SUM(E$9:$E297)-SUM(F$9:$F297)</f>
        <v>58599000</v>
      </c>
    </row>
    <row r="298" spans="1:7" ht="28.8" x14ac:dyDescent="0.55000000000000004">
      <c r="A298" s="12">
        <v>45343</v>
      </c>
      <c r="B298" s="13" t="s">
        <v>952</v>
      </c>
      <c r="C298" s="10">
        <v>2</v>
      </c>
      <c r="D298" s="10">
        <v>320000</v>
      </c>
      <c r="E298" s="7">
        <f>+$I$2+(CABF[[#This Row],[QUANTITE]]*CABF[[#This Row],[PRIX UNITAIRE]])</f>
        <v>640000</v>
      </c>
      <c r="F298" s="14">
        <v>0</v>
      </c>
      <c r="G298" s="6">
        <f>+SUM(E$9:$E298)-SUM(F$9:$F298)</f>
        <v>59239000</v>
      </c>
    </row>
    <row r="299" spans="1:7" ht="28.8" x14ac:dyDescent="0.55000000000000004">
      <c r="A299" s="12"/>
      <c r="B299" s="13" t="s">
        <v>78</v>
      </c>
      <c r="C299" s="10">
        <v>4</v>
      </c>
      <c r="D299" s="10">
        <v>150000</v>
      </c>
      <c r="E299" s="7">
        <f>+$I$2+(CABF[[#This Row],[QUANTITE]]*CABF[[#This Row],[PRIX UNITAIRE]])</f>
        <v>600000</v>
      </c>
      <c r="F299" s="14">
        <v>0</v>
      </c>
      <c r="G299" s="6">
        <f>+SUM(E$9:$E299)-SUM(F$9:$F299)</f>
        <v>59839000</v>
      </c>
    </row>
    <row r="300" spans="1:7" ht="28.8" x14ac:dyDescent="0.55000000000000004">
      <c r="A300" s="12">
        <v>45345</v>
      </c>
      <c r="B300" s="13" t="s">
        <v>954</v>
      </c>
      <c r="C300" s="10">
        <v>2</v>
      </c>
      <c r="D300" s="10">
        <v>70000</v>
      </c>
      <c r="E300" s="7">
        <f>+$I$2+(CABF[[#This Row],[QUANTITE]]*CABF[[#This Row],[PRIX UNITAIRE]])</f>
        <v>140000</v>
      </c>
      <c r="F300" s="14">
        <v>0</v>
      </c>
      <c r="G300" s="6">
        <f>+SUM(E$9:$E300)-SUM(F$9:$F300)</f>
        <v>59979000</v>
      </c>
    </row>
    <row r="301" spans="1:7" ht="28.8" x14ac:dyDescent="0.55000000000000004">
      <c r="A301" s="12">
        <v>45352</v>
      </c>
      <c r="B301" s="13" t="s">
        <v>213</v>
      </c>
      <c r="C301" s="10">
        <v>8</v>
      </c>
      <c r="D301" s="10">
        <v>180000</v>
      </c>
      <c r="E301" s="7">
        <f>+$I$2+(CABF[[#This Row],[QUANTITE]]*CABF[[#This Row],[PRIX UNITAIRE]])</f>
        <v>1440000</v>
      </c>
      <c r="F301" s="14">
        <v>0</v>
      </c>
      <c r="G301" s="6">
        <f>+SUM(E$9:$E301)-SUM(F$9:$F301)</f>
        <v>61419000</v>
      </c>
    </row>
    <row r="302" spans="1:7" ht="28.8" x14ac:dyDescent="0.55000000000000004">
      <c r="A302" s="12"/>
      <c r="B302" s="13" t="s">
        <v>1003</v>
      </c>
      <c r="C302" s="10">
        <v>2</v>
      </c>
      <c r="D302" s="10">
        <v>350000</v>
      </c>
      <c r="E302" s="7">
        <f>+$I$2+(CABF[[#This Row],[QUANTITE]]*CABF[[#This Row],[PRIX UNITAIRE]])</f>
        <v>700000</v>
      </c>
      <c r="F302" s="14">
        <v>0</v>
      </c>
      <c r="G302" s="6">
        <f>+SUM(E$9:$E302)-SUM(F$9:$F302)</f>
        <v>62119000</v>
      </c>
    </row>
    <row r="303" spans="1:7" ht="28.8" x14ac:dyDescent="0.55000000000000004">
      <c r="A303" s="12">
        <v>45356</v>
      </c>
      <c r="B303" s="13" t="s">
        <v>217</v>
      </c>
      <c r="C303" s="10">
        <v>2</v>
      </c>
      <c r="D303" s="10">
        <v>95000</v>
      </c>
      <c r="E303" s="7">
        <f>+$I$2+(CABF[[#This Row],[QUANTITE]]*CABF[[#This Row],[PRIX UNITAIRE]])</f>
        <v>190000</v>
      </c>
      <c r="F303" s="14">
        <v>0</v>
      </c>
      <c r="G303" s="6">
        <f>+SUM(E$9:$E303)-SUM(F$9:$F303)</f>
        <v>62309000</v>
      </c>
    </row>
    <row r="304" spans="1:7" ht="28.8" x14ac:dyDescent="0.55000000000000004">
      <c r="A304" s="12">
        <v>45356</v>
      </c>
      <c r="B304" s="13" t="s">
        <v>1004</v>
      </c>
      <c r="C304" s="10">
        <v>1</v>
      </c>
      <c r="D304" s="10">
        <v>0</v>
      </c>
      <c r="E304" s="7">
        <f>+$I$2+(CABF[[#This Row],[QUANTITE]]*CABF[[#This Row],[PRIX UNITAIRE]])</f>
        <v>0</v>
      </c>
      <c r="F304" s="14">
        <v>0</v>
      </c>
      <c r="G304" s="6">
        <f>+SUM(E$9:$E304)-SUM(F$9:$F304)</f>
        <v>62309000</v>
      </c>
    </row>
    <row r="305" spans="1:7" ht="28.8" x14ac:dyDescent="0.55000000000000004">
      <c r="A305" s="12">
        <v>45369</v>
      </c>
      <c r="B305" s="13" t="s">
        <v>1005</v>
      </c>
      <c r="C305" s="10">
        <v>2</v>
      </c>
      <c r="D305" s="10">
        <v>85000</v>
      </c>
      <c r="E305" s="7">
        <f>+$I$2+(CABF[[#This Row],[QUANTITE]]*CABF[[#This Row],[PRIX UNITAIRE]])</f>
        <v>170000</v>
      </c>
      <c r="F305" s="14">
        <v>10000000</v>
      </c>
      <c r="G305" s="6">
        <f>+SUM(E$9:$E305)-SUM(F$9:$F305)</f>
        <v>52479000</v>
      </c>
    </row>
    <row r="306" spans="1:7" ht="28.8" x14ac:dyDescent="0.55000000000000004">
      <c r="A306" s="12">
        <v>45374</v>
      </c>
      <c r="B306" s="13" t="s">
        <v>1006</v>
      </c>
      <c r="C306" s="10">
        <v>1</v>
      </c>
      <c r="D306" s="10">
        <v>380000</v>
      </c>
      <c r="E306" s="7">
        <f>+$I$2+(CABF[[#This Row],[QUANTITE]]*CABF[[#This Row],[PRIX UNITAIRE]])</f>
        <v>380000</v>
      </c>
      <c r="F306" s="14">
        <v>0</v>
      </c>
      <c r="G306" s="6">
        <f>+SUM(E$9:$E306)-SUM(F$9:$F306)</f>
        <v>52859000</v>
      </c>
    </row>
    <row r="307" spans="1:7" ht="28.8" x14ac:dyDescent="0.55000000000000004">
      <c r="A307" s="12"/>
      <c r="B307" s="13" t="s">
        <v>1007</v>
      </c>
      <c r="C307" s="10">
        <v>1</v>
      </c>
      <c r="D307" s="10">
        <v>575000</v>
      </c>
      <c r="E307" s="7">
        <f>+$I$2+(CABF[[#This Row],[QUANTITE]]*CABF[[#This Row],[PRIX UNITAIRE]])</f>
        <v>575000</v>
      </c>
      <c r="F307" s="14">
        <v>0</v>
      </c>
      <c r="G307" s="6">
        <f>+SUM(E$9:$E307)-SUM(F$9:$F307)</f>
        <v>53434000</v>
      </c>
    </row>
    <row r="308" spans="1:7" ht="28.8" x14ac:dyDescent="0.55000000000000004">
      <c r="A308" s="12">
        <v>45386</v>
      </c>
      <c r="B308" s="13" t="s">
        <v>1008</v>
      </c>
      <c r="C308" s="10">
        <v>4</v>
      </c>
      <c r="D308" s="10">
        <v>380000</v>
      </c>
      <c r="E308" s="7">
        <f>+$I$2+(CABF[[#This Row],[QUANTITE]]*CABF[[#This Row],[PRIX UNITAIRE]])</f>
        <v>1520000</v>
      </c>
      <c r="F308" s="14">
        <v>0</v>
      </c>
      <c r="G308" s="6">
        <f>+SUM(E$9:$E308)-SUM(F$9:$F308)</f>
        <v>54954000</v>
      </c>
    </row>
    <row r="309" spans="1:7" ht="28.8" x14ac:dyDescent="0.55000000000000004">
      <c r="A309" s="12">
        <v>45404</v>
      </c>
      <c r="B309" s="13" t="s">
        <v>1009</v>
      </c>
      <c r="C309" s="10">
        <v>4</v>
      </c>
      <c r="D309" s="10">
        <v>35000</v>
      </c>
      <c r="E309" s="7">
        <f>+$I$2+(CABF[[#This Row],[QUANTITE]]*CABF[[#This Row],[PRIX UNITAIRE]])</f>
        <v>140000</v>
      </c>
      <c r="F309" s="14">
        <v>0</v>
      </c>
      <c r="G309" s="6">
        <f>+SUM(E$9:$E309)-SUM(F$9:$F309)</f>
        <v>55094000</v>
      </c>
    </row>
    <row r="310" spans="1:7" ht="28.8" x14ac:dyDescent="0.55000000000000004">
      <c r="A310" s="12">
        <v>45428</v>
      </c>
      <c r="B310" s="13" t="s">
        <v>1010</v>
      </c>
      <c r="C310" s="10">
        <v>2</v>
      </c>
      <c r="D310" s="10">
        <v>125000</v>
      </c>
      <c r="E310" s="7">
        <f>+$I$2+(CABF[[#This Row],[QUANTITE]]*CABF[[#This Row],[PRIX UNITAIRE]])</f>
        <v>250000</v>
      </c>
      <c r="F310" s="14">
        <v>0</v>
      </c>
      <c r="G310" s="6">
        <f>+SUM(E$9:$E310)-SUM(F$9:$F310)</f>
        <v>55344000</v>
      </c>
    </row>
    <row r="311" spans="1:7" ht="28.8" x14ac:dyDescent="0.55000000000000004">
      <c r="A311" s="12"/>
      <c r="B311" s="13" t="s">
        <v>994</v>
      </c>
      <c r="C311" s="10">
        <v>1</v>
      </c>
      <c r="D311" s="10">
        <v>90000</v>
      </c>
      <c r="E311" s="7">
        <f>+$I$2+(CABF[[#This Row],[QUANTITE]]*CABF[[#This Row],[PRIX UNITAIRE]])</f>
        <v>90000</v>
      </c>
      <c r="F311" s="14">
        <v>0</v>
      </c>
      <c r="G311" s="6">
        <f>+SUM(E$9:$E311)-SUM(F$9:$F311)</f>
        <v>55434000</v>
      </c>
    </row>
    <row r="312" spans="1:7" ht="28.8" x14ac:dyDescent="0.55000000000000004">
      <c r="A312" s="12">
        <v>45461</v>
      </c>
      <c r="B312" s="13" t="s">
        <v>1011</v>
      </c>
      <c r="C312" s="10">
        <v>2</v>
      </c>
      <c r="D312" s="10">
        <v>100000</v>
      </c>
      <c r="E312" s="7">
        <f>+$I$2+(CABF[[#This Row],[QUANTITE]]*CABF[[#This Row],[PRIX UNITAIRE]])</f>
        <v>200000</v>
      </c>
      <c r="F312" s="14">
        <v>0</v>
      </c>
      <c r="G312" s="6">
        <f>+SUM(E$9:$E312)-SUM(F$9:$F312)</f>
        <v>55634000</v>
      </c>
    </row>
    <row r="313" spans="1:7" ht="28.8" x14ac:dyDescent="0.55000000000000004">
      <c r="A313" s="12"/>
      <c r="B313" s="13" t="s">
        <v>1008</v>
      </c>
      <c r="C313" s="10">
        <v>4</v>
      </c>
      <c r="D313" s="10">
        <v>380000</v>
      </c>
      <c r="E313" s="7">
        <f>+$I$2+(CABF[[#This Row],[QUANTITE]]*CABF[[#This Row],[PRIX UNITAIRE]])</f>
        <v>1520000</v>
      </c>
      <c r="F313" s="14">
        <v>0</v>
      </c>
      <c r="G313" s="6">
        <f>+SUM(E$9:$E313)-SUM(F$9:$F313)</f>
        <v>57154000</v>
      </c>
    </row>
    <row r="314" spans="1:7" ht="28.8" x14ac:dyDescent="0.55000000000000004">
      <c r="A314" s="12">
        <v>45464</v>
      </c>
      <c r="B314" s="13" t="s">
        <v>1006</v>
      </c>
      <c r="C314" s="10">
        <v>2</v>
      </c>
      <c r="D314" s="10">
        <v>380000</v>
      </c>
      <c r="E314" s="7">
        <f>+$I$2+(CABF[[#This Row],[QUANTITE]]*CABF[[#This Row],[PRIX UNITAIRE]])</f>
        <v>760000</v>
      </c>
      <c r="F314" s="14">
        <v>0</v>
      </c>
      <c r="G314" s="6">
        <f>+SUM(E$9:$E314)-SUM(F$9:$F314)</f>
        <v>57914000</v>
      </c>
    </row>
    <row r="315" spans="1:7" ht="28.8" x14ac:dyDescent="0.55000000000000004">
      <c r="A315" s="12">
        <v>45465</v>
      </c>
      <c r="B315" s="13" t="s">
        <v>1012</v>
      </c>
      <c r="C315" s="10">
        <v>1</v>
      </c>
      <c r="D315" s="10">
        <v>10000</v>
      </c>
      <c r="E315" s="7">
        <f>+$I$2+(CABF[[#This Row],[QUANTITE]]*CABF[[#This Row],[PRIX UNITAIRE]])</f>
        <v>10000</v>
      </c>
      <c r="F315" s="14">
        <v>0</v>
      </c>
      <c r="G315" s="6">
        <f>+SUM(E$9:$E315)-SUM(F$9:$F315)</f>
        <v>57924000</v>
      </c>
    </row>
    <row r="316" spans="1:7" ht="28.8" x14ac:dyDescent="0.55000000000000004">
      <c r="A316" s="12">
        <v>45475</v>
      </c>
      <c r="B316" s="13" t="s">
        <v>1013</v>
      </c>
      <c r="C316" s="10">
        <v>4</v>
      </c>
      <c r="D316" s="10">
        <v>80000</v>
      </c>
      <c r="E316" s="7">
        <f>+$I$2+(CABF[[#This Row],[QUANTITE]]*CABF[[#This Row],[PRIX UNITAIRE]])</f>
        <v>320000</v>
      </c>
      <c r="F316" s="14">
        <v>0</v>
      </c>
      <c r="G316" s="6">
        <f>+SUM(E$9:$E316)-SUM(F$9:$F316)</f>
        <v>58244000</v>
      </c>
    </row>
    <row r="317" spans="1:7" ht="28.8" x14ac:dyDescent="0.55000000000000004">
      <c r="A317" s="12"/>
      <c r="B317" s="13" t="s">
        <v>486</v>
      </c>
      <c r="C317" s="10">
        <v>1</v>
      </c>
      <c r="D317" s="10">
        <v>10000</v>
      </c>
      <c r="E317" s="7">
        <f>+$I$2+(CABF[[#This Row],[QUANTITE]]*CABF[[#This Row],[PRIX UNITAIRE]])</f>
        <v>10000</v>
      </c>
      <c r="F317" s="14">
        <v>0</v>
      </c>
      <c r="G317" s="6">
        <f>+SUM(E$9:$E317)-SUM(F$9:$F317)</f>
        <v>58254000</v>
      </c>
    </row>
    <row r="318" spans="1:7" ht="28.8" x14ac:dyDescent="0.55000000000000004">
      <c r="A318" s="12">
        <v>45476</v>
      </c>
      <c r="B318" s="13" t="s">
        <v>12</v>
      </c>
      <c r="C318" s="10">
        <v>1</v>
      </c>
      <c r="D318" s="10">
        <v>75000</v>
      </c>
      <c r="E318" s="7">
        <f>+$I$2+(CABF[[#This Row],[QUANTITE]]*CABF[[#This Row],[PRIX UNITAIRE]])</f>
        <v>75000</v>
      </c>
      <c r="F318" s="14">
        <v>0</v>
      </c>
      <c r="G318" s="6">
        <f>+SUM(E$9:$E318)-SUM(F$9:$F318)</f>
        <v>58329000</v>
      </c>
    </row>
    <row r="319" spans="1:7" ht="28.8" x14ac:dyDescent="0.55000000000000004">
      <c r="A319" s="12">
        <v>45483</v>
      </c>
      <c r="B319" s="13" t="s">
        <v>1014</v>
      </c>
      <c r="C319" s="10">
        <v>1</v>
      </c>
      <c r="D319" s="10">
        <v>520000</v>
      </c>
      <c r="E319" s="7">
        <f>+$I$2+(CABF[[#This Row],[QUANTITE]]*CABF[[#This Row],[PRIX UNITAIRE]])</f>
        <v>520000</v>
      </c>
      <c r="F319" s="14">
        <v>0</v>
      </c>
      <c r="G319" s="6">
        <f>+SUM(E$9:$E319)-SUM(F$9:$F319)</f>
        <v>58849000</v>
      </c>
    </row>
    <row r="320" spans="1:7" ht="28.8" x14ac:dyDescent="0.55000000000000004">
      <c r="A320" s="12"/>
      <c r="B320" s="13" t="s">
        <v>1015</v>
      </c>
      <c r="C320" s="10">
        <v>1</v>
      </c>
      <c r="D320" s="10">
        <v>575000</v>
      </c>
      <c r="E320" s="7">
        <f>+$I$2+(CABF[[#This Row],[QUANTITE]]*CABF[[#This Row],[PRIX UNITAIRE]])</f>
        <v>575000</v>
      </c>
      <c r="F320" s="14">
        <v>0</v>
      </c>
      <c r="G320" s="6">
        <f>+SUM(E$9:$E320)-SUM(F$9:$F320)</f>
        <v>59424000</v>
      </c>
    </row>
    <row r="321" spans="1:7" ht="28.8" x14ac:dyDescent="0.55000000000000004">
      <c r="A321" s="12">
        <v>45509</v>
      </c>
      <c r="B321" s="13" t="s">
        <v>1016</v>
      </c>
      <c r="C321" s="10">
        <v>1</v>
      </c>
      <c r="D321" s="10">
        <v>0</v>
      </c>
      <c r="E321" s="7">
        <f>+$I$2+(CABF[[#This Row],[QUANTITE]]*CABF[[#This Row],[PRIX UNITAIRE]])</f>
        <v>0</v>
      </c>
      <c r="F321" s="14">
        <v>0</v>
      </c>
      <c r="G321" s="6">
        <f>+SUM(E$9:$E321)-SUM(F$9:$F321)</f>
        <v>59424000</v>
      </c>
    </row>
    <row r="322" spans="1:7" ht="28.8" x14ac:dyDescent="0.55000000000000004">
      <c r="A322" s="12">
        <v>45509</v>
      </c>
      <c r="B322" s="13" t="s">
        <v>1017</v>
      </c>
      <c r="C322" s="10">
        <v>4</v>
      </c>
      <c r="D322" s="10">
        <v>1150000</v>
      </c>
      <c r="E322" s="7">
        <f>+$I$2+(CABF[[#This Row],[QUANTITE]]*CABF[[#This Row],[PRIX UNITAIRE]])</f>
        <v>4600000</v>
      </c>
      <c r="F322" s="14">
        <v>5000000</v>
      </c>
      <c r="G322" s="6">
        <f>+SUM(E$9:$E322)-SUM(F$9:$F322)</f>
        <v>59024000</v>
      </c>
    </row>
    <row r="323" spans="1:7" ht="28.8" x14ac:dyDescent="0.55000000000000004">
      <c r="A323" s="12">
        <v>45518</v>
      </c>
      <c r="B323" s="13" t="s">
        <v>619</v>
      </c>
      <c r="C323" s="10">
        <v>1</v>
      </c>
      <c r="D323" s="10">
        <v>50000</v>
      </c>
      <c r="E323" s="7">
        <f>+$I$2+(CABF[[#This Row],[QUANTITE]]*CABF[[#This Row],[PRIX UNITAIRE]])</f>
        <v>50000</v>
      </c>
      <c r="F323" s="14">
        <v>0</v>
      </c>
      <c r="G323" s="6">
        <f>+SUM(E$9:$E323)-SUM(F$9:$F323)</f>
        <v>59074000</v>
      </c>
    </row>
    <row r="324" spans="1:7" ht="28.8" x14ac:dyDescent="0.55000000000000004">
      <c r="A324" s="12">
        <v>45526</v>
      </c>
      <c r="B324" s="13" t="s">
        <v>217</v>
      </c>
      <c r="C324" s="10">
        <v>2</v>
      </c>
      <c r="D324" s="10">
        <v>80000</v>
      </c>
      <c r="E324" s="7">
        <f>+$I$2+(CABF[[#This Row],[QUANTITE]]*CABF[[#This Row],[PRIX UNITAIRE]])</f>
        <v>160000</v>
      </c>
      <c r="F324" s="14">
        <v>0</v>
      </c>
      <c r="G324" s="6">
        <f>+SUM(E$9:$E324)-SUM(F$9:$F324)</f>
        <v>59234000</v>
      </c>
    </row>
    <row r="325" spans="1:7" ht="28.8" x14ac:dyDescent="0.55000000000000004">
      <c r="A325" s="12">
        <v>45533</v>
      </c>
      <c r="B325" s="13" t="s">
        <v>619</v>
      </c>
      <c r="C325" s="10">
        <v>2</v>
      </c>
      <c r="D325" s="10">
        <v>50000</v>
      </c>
      <c r="E325" s="7">
        <f>+$I$2+(CABF[[#This Row],[QUANTITE]]*CABF[[#This Row],[PRIX UNITAIRE]])</f>
        <v>100000</v>
      </c>
      <c r="F325" s="14">
        <v>0</v>
      </c>
      <c r="G325" s="6">
        <f>+SUM(E$9:$E325)-SUM(F$9:$F325)</f>
        <v>59334000</v>
      </c>
    </row>
    <row r="326" spans="1:7" ht="28.8" x14ac:dyDescent="0.55000000000000004">
      <c r="A326" s="12">
        <v>45534</v>
      </c>
      <c r="B326" s="13" t="s">
        <v>832</v>
      </c>
      <c r="C326" s="10">
        <v>2</v>
      </c>
      <c r="D326" s="10">
        <v>380000</v>
      </c>
      <c r="E326" s="7">
        <f>+$I$2+(CABF[[#This Row],[QUANTITE]]*CABF[[#This Row],[PRIX UNITAIRE]])</f>
        <v>760000</v>
      </c>
      <c r="F326" s="14">
        <v>0</v>
      </c>
      <c r="G326" s="6">
        <f>+SUM(E$9:$E326)-SUM(F$9:$F326)</f>
        <v>60094000</v>
      </c>
    </row>
    <row r="327" spans="1:7" ht="28.8" x14ac:dyDescent="0.55000000000000004">
      <c r="A327" s="12">
        <v>45555</v>
      </c>
      <c r="B327" s="13" t="s">
        <v>1018</v>
      </c>
      <c r="C327" s="10">
        <v>2</v>
      </c>
      <c r="D327" s="10">
        <v>85000</v>
      </c>
      <c r="E327" s="7">
        <f>+$I$2+(CABF[[#This Row],[QUANTITE]]*CABF[[#This Row],[PRIX UNITAIRE]])</f>
        <v>170000</v>
      </c>
      <c r="F327" s="14">
        <v>0</v>
      </c>
      <c r="G327" s="6">
        <f>+SUM(E$9:$E327)-SUM(F$9:$F327)</f>
        <v>60264000</v>
      </c>
    </row>
    <row r="328" spans="1:7" ht="28.8" x14ac:dyDescent="0.55000000000000004">
      <c r="A328" s="12">
        <v>45568</v>
      </c>
      <c r="B328" s="13" t="s">
        <v>78</v>
      </c>
      <c r="C328" s="10">
        <v>20</v>
      </c>
      <c r="D328" s="10">
        <v>135000</v>
      </c>
      <c r="E328" s="7">
        <f>+$I$2+(CABF[[#This Row],[QUANTITE]]*CABF[[#This Row],[PRIX UNITAIRE]])</f>
        <v>2700000</v>
      </c>
      <c r="F328" s="14">
        <v>0</v>
      </c>
      <c r="G328" s="6">
        <f>+SUM(E$9:$E328)-SUM(F$9:$F328)</f>
        <v>62964000</v>
      </c>
    </row>
    <row r="329" spans="1:7" ht="28.8" x14ac:dyDescent="0.55000000000000004">
      <c r="A329" s="12"/>
      <c r="B329" s="13" t="s">
        <v>825</v>
      </c>
      <c r="C329" s="10">
        <v>8</v>
      </c>
      <c r="D329" s="10">
        <v>140000</v>
      </c>
      <c r="E329" s="7">
        <f>+$I$2+(CABF[[#This Row],[QUANTITE]]*CABF[[#This Row],[PRIX UNITAIRE]])</f>
        <v>1120000</v>
      </c>
      <c r="F329" s="14">
        <v>0</v>
      </c>
      <c r="G329" s="6">
        <f>+SUM(E$9:$E329)-SUM(F$9:$F329)</f>
        <v>64084000</v>
      </c>
    </row>
    <row r="330" spans="1:7" ht="28.8" x14ac:dyDescent="0.55000000000000004">
      <c r="A330" s="12"/>
      <c r="B330" s="13" t="s">
        <v>690</v>
      </c>
      <c r="C330" s="10">
        <v>14</v>
      </c>
      <c r="D330" s="10">
        <v>170000</v>
      </c>
      <c r="E330" s="7">
        <f>+$I$2+(CABF[[#This Row],[QUANTITE]]*CABF[[#This Row],[PRIX UNITAIRE]])</f>
        <v>2380000</v>
      </c>
      <c r="F330" s="14">
        <v>0</v>
      </c>
      <c r="G330" s="6">
        <f>+SUM(E$9:$E330)-SUM(F$9:$F330)</f>
        <v>66464000</v>
      </c>
    </row>
    <row r="331" spans="1:7" ht="28.8" x14ac:dyDescent="0.55000000000000004">
      <c r="A331" s="12"/>
      <c r="B331" s="13" t="s">
        <v>879</v>
      </c>
      <c r="C331" s="10">
        <v>6</v>
      </c>
      <c r="D331" s="10">
        <v>130000</v>
      </c>
      <c r="E331" s="7">
        <f>+$I$2+(CABF[[#This Row],[QUANTITE]]*CABF[[#This Row],[PRIX UNITAIRE]])</f>
        <v>780000</v>
      </c>
      <c r="F331" s="14">
        <v>0</v>
      </c>
      <c r="G331" s="6">
        <f>+SUM(E$9:$E331)-SUM(F$9:$F331)</f>
        <v>67244000</v>
      </c>
    </row>
    <row r="332" spans="1:7" ht="28.8" x14ac:dyDescent="0.55000000000000004">
      <c r="A332" s="12"/>
      <c r="B332" s="13" t="s">
        <v>1018</v>
      </c>
      <c r="C332" s="10">
        <v>2</v>
      </c>
      <c r="D332" s="10">
        <v>85000</v>
      </c>
      <c r="E332" s="7">
        <f>+$I$2+(CABF[[#This Row],[QUANTITE]]*CABF[[#This Row],[PRIX UNITAIRE]])</f>
        <v>170000</v>
      </c>
      <c r="F332" s="14">
        <v>0</v>
      </c>
      <c r="G332" s="6">
        <f>+SUM(E$9:$E332)-SUM(F$9:$F332)</f>
        <v>67414000</v>
      </c>
    </row>
    <row r="333" spans="1:7" ht="28.8" x14ac:dyDescent="0.55000000000000004">
      <c r="A333" s="12">
        <v>45568</v>
      </c>
      <c r="B333" s="13" t="s">
        <v>1019</v>
      </c>
      <c r="C333" s="10">
        <v>6</v>
      </c>
      <c r="D333" s="10">
        <v>300000</v>
      </c>
      <c r="E333" s="7">
        <f>+$I$2+(CABF[[#This Row],[QUANTITE]]*CABF[[#This Row],[PRIX UNITAIRE]])</f>
        <v>1800000</v>
      </c>
      <c r="F333" s="14">
        <v>0</v>
      </c>
      <c r="G333" s="6">
        <f>+SUM(E$9:$E333)-SUM(F$9:$F333)</f>
        <v>69214000</v>
      </c>
    </row>
    <row r="334" spans="1:7" ht="28.8" x14ac:dyDescent="0.55000000000000004">
      <c r="A334" s="12"/>
      <c r="B334" s="13" t="s">
        <v>1020</v>
      </c>
      <c r="C334" s="10">
        <v>2</v>
      </c>
      <c r="D334" s="10">
        <v>280000</v>
      </c>
      <c r="E334" s="7">
        <f>+$I$2+(CABF[[#This Row],[QUANTITE]]*CABF[[#This Row],[PRIX UNITAIRE]])</f>
        <v>560000</v>
      </c>
      <c r="F334" s="14">
        <v>0</v>
      </c>
      <c r="G334" s="6">
        <f>+SUM(E$9:$E334)-SUM(F$9:$F334)</f>
        <v>69774000</v>
      </c>
    </row>
    <row r="335" spans="1:7" ht="28.8" x14ac:dyDescent="0.55000000000000004">
      <c r="A335" s="12">
        <v>45568</v>
      </c>
      <c r="B335" s="13" t="s">
        <v>1021</v>
      </c>
      <c r="C335" s="10">
        <v>1</v>
      </c>
      <c r="D335" s="10">
        <v>0</v>
      </c>
      <c r="E335" s="7">
        <f>+$I$2+(CABF[[#This Row],[QUANTITE]]*CABF[[#This Row],[PRIX UNITAIRE]])</f>
        <v>0</v>
      </c>
      <c r="F335" s="14">
        <v>0</v>
      </c>
      <c r="G335" s="6">
        <f>+SUM(E$9:$E335)-SUM(F$9:$F335)</f>
        <v>69774000</v>
      </c>
    </row>
    <row r="336" spans="1:7" ht="28.8" x14ac:dyDescent="0.55000000000000004">
      <c r="A336" s="12">
        <v>45582</v>
      </c>
      <c r="B336" s="13" t="s">
        <v>992</v>
      </c>
      <c r="C336" s="10">
        <v>2</v>
      </c>
      <c r="D336" s="10">
        <v>55000</v>
      </c>
      <c r="E336" s="7">
        <f>+$I$2+(CABF[[#This Row],[QUANTITE]]*CABF[[#This Row],[PRIX UNITAIRE]])</f>
        <v>110000</v>
      </c>
      <c r="F336" s="14">
        <v>10000000</v>
      </c>
      <c r="G336" s="6">
        <f>+SUM(E$9:$E336)-SUM(F$9:$F336)</f>
        <v>59884000</v>
      </c>
    </row>
    <row r="337" spans="1:7" ht="28.8" x14ac:dyDescent="0.55000000000000004">
      <c r="A337" s="12"/>
      <c r="B337" s="13" t="s">
        <v>1022</v>
      </c>
      <c r="C337" s="10">
        <v>2</v>
      </c>
      <c r="D337" s="10">
        <v>60000</v>
      </c>
      <c r="E337" s="7">
        <f>+$I$2+(CABF[[#This Row],[QUANTITE]]*CABF[[#This Row],[PRIX UNITAIRE]])</f>
        <v>120000</v>
      </c>
      <c r="F337" s="14">
        <v>0</v>
      </c>
      <c r="G337" s="6">
        <f>+SUM(E$9:$E337)-SUM(F$9:$F337)</f>
        <v>60004000</v>
      </c>
    </row>
    <row r="338" spans="1:7" ht="28.8" x14ac:dyDescent="0.55000000000000004">
      <c r="A338" s="12"/>
      <c r="B338" s="13" t="s">
        <v>1023</v>
      </c>
      <c r="C338" s="10">
        <v>1</v>
      </c>
      <c r="D338" s="10">
        <v>60000</v>
      </c>
      <c r="E338" s="7">
        <f>+$I$2+(CABF[[#This Row],[QUANTITE]]*CABF[[#This Row],[PRIX UNITAIRE]])</f>
        <v>60000</v>
      </c>
      <c r="F338" s="14">
        <v>0</v>
      </c>
      <c r="G338" s="6">
        <f>+SUM(E$9:$E338)-SUM(F$9:$F338)</f>
        <v>60064000</v>
      </c>
    </row>
    <row r="339" spans="1:7" ht="28.8" x14ac:dyDescent="0.55000000000000004">
      <c r="A339" s="12">
        <v>45584</v>
      </c>
      <c r="B339" s="13" t="s">
        <v>1008</v>
      </c>
      <c r="C339" s="10">
        <v>3</v>
      </c>
      <c r="D339" s="10">
        <v>380000</v>
      </c>
      <c r="E339" s="7">
        <f>+$I$2+(CABF[[#This Row],[QUANTITE]]*CABF[[#This Row],[PRIX UNITAIRE]])</f>
        <v>1140000</v>
      </c>
      <c r="F339" s="14">
        <v>0</v>
      </c>
      <c r="G339" s="6">
        <f>+SUM(E$9:$E339)-SUM(F$9:$F339)</f>
        <v>61204000</v>
      </c>
    </row>
    <row r="340" spans="1:7" ht="28.8" x14ac:dyDescent="0.55000000000000004">
      <c r="A340" s="12">
        <v>45595</v>
      </c>
      <c r="B340" s="13" t="s">
        <v>1006</v>
      </c>
      <c r="C340" s="10">
        <v>2</v>
      </c>
      <c r="D340" s="10">
        <v>380000</v>
      </c>
      <c r="E340" s="7">
        <f>+$I$2+(CABF[[#This Row],[QUANTITE]]*CABF[[#This Row],[PRIX UNITAIRE]])</f>
        <v>760000</v>
      </c>
      <c r="F340" s="14">
        <v>0</v>
      </c>
      <c r="G340" s="6">
        <f>+SUM(E$9:$E340)-SUM(F$9:$F340)</f>
        <v>61964000</v>
      </c>
    </row>
    <row r="341" spans="1:7" ht="28.8" x14ac:dyDescent="0.55000000000000004">
      <c r="A341" s="12">
        <v>45600</v>
      </c>
      <c r="B341" s="13" t="s">
        <v>1015</v>
      </c>
      <c r="C341" s="10">
        <v>1</v>
      </c>
      <c r="D341" s="10">
        <v>575000</v>
      </c>
      <c r="E341" s="7">
        <f>+$I$2+(CABF[[#This Row],[QUANTITE]]*CABF[[#This Row],[PRIX UNITAIRE]])</f>
        <v>575000</v>
      </c>
      <c r="F341" s="14">
        <v>0</v>
      </c>
      <c r="G341" s="6">
        <f>+SUM(E$9:$E341)-SUM(F$9:$F341)</f>
        <v>62539000</v>
      </c>
    </row>
    <row r="342" spans="1:7" ht="28.8" x14ac:dyDescent="0.55000000000000004">
      <c r="A342" s="12"/>
      <c r="B342" s="13" t="s">
        <v>1014</v>
      </c>
      <c r="C342" s="10">
        <v>1</v>
      </c>
      <c r="D342" s="10">
        <v>520000</v>
      </c>
      <c r="E342" s="7">
        <f>+$I$2+(CABF[[#This Row],[QUANTITE]]*CABF[[#This Row],[PRIX UNITAIRE]])</f>
        <v>520000</v>
      </c>
      <c r="F342" s="14">
        <v>0</v>
      </c>
      <c r="G342" s="6">
        <f>+SUM(E$9:$E342)-SUM(F$9:$F342)</f>
        <v>63059000</v>
      </c>
    </row>
    <row r="343" spans="1:7" ht="28.8" x14ac:dyDescent="0.55000000000000004">
      <c r="A343" s="12">
        <v>45607</v>
      </c>
      <c r="B343" s="13" t="s">
        <v>1006</v>
      </c>
      <c r="C343" s="10">
        <v>1</v>
      </c>
      <c r="D343" s="10">
        <v>380000</v>
      </c>
      <c r="E343" s="7">
        <f>+$I$2+(CABF[[#This Row],[QUANTITE]]*CABF[[#This Row],[PRIX UNITAIRE]])</f>
        <v>380000</v>
      </c>
      <c r="F343" s="14">
        <v>0</v>
      </c>
      <c r="G343" s="6">
        <f>+SUM(E$9:$E343)-SUM(F$9:$F343)</f>
        <v>63439000</v>
      </c>
    </row>
    <row r="344" spans="1:7" ht="28.8" x14ac:dyDescent="0.55000000000000004">
      <c r="A344" s="12">
        <v>45623</v>
      </c>
      <c r="B344" s="13" t="s">
        <v>1024</v>
      </c>
      <c r="C344" s="10">
        <v>2</v>
      </c>
      <c r="D344" s="10">
        <v>350000</v>
      </c>
      <c r="E344" s="7">
        <f>+$I$2+(CABF[[#This Row],[QUANTITE]]*CABF[[#This Row],[PRIX UNITAIRE]])</f>
        <v>700000</v>
      </c>
      <c r="F344" s="14">
        <v>0</v>
      </c>
      <c r="G344" s="6">
        <f>+SUM(E$9:$E344)-SUM(F$9:$F344)</f>
        <v>64139000</v>
      </c>
    </row>
    <row r="345" spans="1:7" ht="28.8" x14ac:dyDescent="0.55000000000000004">
      <c r="A345" s="12">
        <v>45623</v>
      </c>
      <c r="B345" s="13" t="s">
        <v>982</v>
      </c>
      <c r="C345" s="10">
        <v>2</v>
      </c>
      <c r="D345" s="10">
        <v>195000</v>
      </c>
      <c r="E345" s="7">
        <f>+$I$2+(CABF[[#This Row],[QUANTITE]]*CABF[[#This Row],[PRIX UNITAIRE]])</f>
        <v>390000</v>
      </c>
      <c r="F345" s="14">
        <v>0</v>
      </c>
      <c r="G345" s="6">
        <f>+SUM(E$9:$E345)-SUM(F$9:$F345)</f>
        <v>64529000</v>
      </c>
    </row>
    <row r="346" spans="1:7" ht="28.8" x14ac:dyDescent="0.55000000000000004">
      <c r="A346" s="12">
        <v>45636</v>
      </c>
      <c r="B346" s="13" t="s">
        <v>690</v>
      </c>
      <c r="C346" s="10">
        <v>30</v>
      </c>
      <c r="D346" s="10">
        <v>170000</v>
      </c>
      <c r="E346" s="7">
        <f>+$I$2+(CABF[[#This Row],[QUANTITE]]*CABF[[#This Row],[PRIX UNITAIRE]])</f>
        <v>5100000</v>
      </c>
      <c r="F346" s="14"/>
      <c r="G346" s="6">
        <f>+SUM(E$9:$E346)-SUM(F$9:$F346)</f>
        <v>69629000</v>
      </c>
    </row>
    <row r="347" spans="1:7" ht="28.8" x14ac:dyDescent="0.55000000000000004">
      <c r="A347" s="12">
        <v>45643</v>
      </c>
      <c r="B347" s="13" t="s">
        <v>1025</v>
      </c>
      <c r="C347" s="10">
        <v>2</v>
      </c>
      <c r="D347" s="10">
        <v>575000</v>
      </c>
      <c r="E347" s="7">
        <f>+$I$2+(CABF[[#This Row],[QUANTITE]]*CABF[[#This Row],[PRIX UNITAIRE]])</f>
        <v>1150000</v>
      </c>
      <c r="F347" s="14"/>
      <c r="G347" s="6">
        <f>+SUM(E$9:$E347)-SUM(F$9:$F347)</f>
        <v>70779000</v>
      </c>
    </row>
    <row r="348" spans="1:7" ht="28.8" x14ac:dyDescent="0.55000000000000004">
      <c r="A348" s="12">
        <v>45643</v>
      </c>
      <c r="B348" s="13" t="s">
        <v>78</v>
      </c>
      <c r="C348" s="10">
        <v>6</v>
      </c>
      <c r="D348" s="10">
        <v>150000</v>
      </c>
      <c r="E348" s="7">
        <f>+$I$2+(CABF[[#This Row],[QUANTITE]]*CABF[[#This Row],[PRIX UNITAIRE]])</f>
        <v>900000</v>
      </c>
      <c r="F348" s="14"/>
      <c r="G348" s="6">
        <f>+SUM(E$9:$E348)-SUM(F$9:$F348)</f>
        <v>71679000</v>
      </c>
    </row>
    <row r="349" spans="1:7" ht="28.8" x14ac:dyDescent="0.55000000000000004">
      <c r="A349" s="12">
        <v>45643</v>
      </c>
      <c r="B349" s="13" t="s">
        <v>217</v>
      </c>
      <c r="C349" s="10">
        <v>4</v>
      </c>
      <c r="D349" s="10">
        <v>100000</v>
      </c>
      <c r="E349" s="7">
        <f>+$I$2+(CABF[[#This Row],[QUANTITE]]*CABF[[#This Row],[PRIX UNITAIRE]])</f>
        <v>400000</v>
      </c>
      <c r="F349" s="14"/>
      <c r="G349" s="6">
        <f>+SUM(E$9:$E349)-SUM(F$9:$F349)</f>
        <v>72079000</v>
      </c>
    </row>
    <row r="350" spans="1:7" ht="28.8" x14ac:dyDescent="0.55000000000000004">
      <c r="A350" s="12">
        <v>45643</v>
      </c>
      <c r="B350" s="13" t="s">
        <v>1026</v>
      </c>
      <c r="C350" s="10">
        <v>4</v>
      </c>
      <c r="D350" s="10">
        <v>30000</v>
      </c>
      <c r="E350" s="7">
        <f>+$I$2+(CABF[[#This Row],[QUANTITE]]*CABF[[#This Row],[PRIX UNITAIRE]])</f>
        <v>120000</v>
      </c>
      <c r="F350" s="14"/>
      <c r="G350" s="6">
        <f>+SUM(E$9:$E350)-SUM(F$9:$F350)</f>
        <v>72199000</v>
      </c>
    </row>
    <row r="351" spans="1:7" ht="28.8" x14ac:dyDescent="0.55000000000000004">
      <c r="A351" s="12">
        <v>45643</v>
      </c>
      <c r="B351" s="13" t="s">
        <v>597</v>
      </c>
      <c r="C351" s="10">
        <v>4</v>
      </c>
      <c r="D351" s="10">
        <v>70000</v>
      </c>
      <c r="E351" s="7">
        <f>+$I$2+(CABF[[#This Row],[QUANTITE]]*CABF[[#This Row],[PRIX UNITAIRE]])</f>
        <v>280000</v>
      </c>
      <c r="F351" s="14"/>
      <c r="G351" s="6">
        <f>+SUM(E$9:$E351)-SUM(F$9:$F351)</f>
        <v>72479000</v>
      </c>
    </row>
    <row r="352" spans="1:7" ht="28.8" x14ac:dyDescent="0.55000000000000004">
      <c r="A352" s="12">
        <v>45643</v>
      </c>
      <c r="B352" s="13" t="s">
        <v>1022</v>
      </c>
      <c r="C352" s="10">
        <v>2</v>
      </c>
      <c r="D352" s="10">
        <v>60000</v>
      </c>
      <c r="E352" s="7">
        <f>+$I$2+(CABF[[#This Row],[QUANTITE]]*CABF[[#This Row],[PRIX UNITAIRE]])</f>
        <v>120000</v>
      </c>
      <c r="F352" s="14"/>
      <c r="G352" s="6">
        <f>+SUM(E$9:$E352)-SUM(F$9:$F352)</f>
        <v>72599000</v>
      </c>
    </row>
    <row r="353" spans="1:7" ht="28.8" x14ac:dyDescent="0.55000000000000004">
      <c r="A353" s="12">
        <v>45652</v>
      </c>
      <c r="B353" s="13" t="s">
        <v>700</v>
      </c>
      <c r="C353" s="10"/>
      <c r="D353" s="10"/>
      <c r="E353" s="7">
        <f>+$I$2+(CABF[[#This Row],[QUANTITE]]*CABF[[#This Row],[PRIX UNITAIRE]])</f>
        <v>0</v>
      </c>
      <c r="F353" s="14"/>
      <c r="G353" s="6">
        <f>+SUM(E$9:$E353)-SUM(F$9:$F353)</f>
        <v>72599000</v>
      </c>
    </row>
    <row r="354" spans="1:7" ht="28.8" x14ac:dyDescent="0.55000000000000004">
      <c r="A354" s="12">
        <v>45663</v>
      </c>
      <c r="B354" s="13" t="s">
        <v>1027</v>
      </c>
      <c r="C354" s="10">
        <v>1</v>
      </c>
      <c r="D354" s="10">
        <v>575000</v>
      </c>
      <c r="E354" s="7">
        <f>+$I$2+(CABF[[#This Row],[QUANTITE]]*CABF[[#This Row],[PRIX UNITAIRE]])</f>
        <v>575000</v>
      </c>
      <c r="F354" s="14"/>
      <c r="G354" s="6">
        <f>+SUM(E$9:$E354)-SUM(F$9:$F354)</f>
        <v>73174000</v>
      </c>
    </row>
    <row r="355" spans="1:7" ht="28.8" x14ac:dyDescent="0.55000000000000004">
      <c r="A355" s="12">
        <v>45663</v>
      </c>
      <c r="B355" s="13" t="s">
        <v>694</v>
      </c>
      <c r="C355" s="10">
        <v>14</v>
      </c>
      <c r="D355" s="10">
        <v>170000</v>
      </c>
      <c r="E355" s="7">
        <f>+$I$2+(CABF[[#This Row],[QUANTITE]]*CABF[[#This Row],[PRIX UNITAIRE]])</f>
        <v>2380000</v>
      </c>
      <c r="F355" s="14">
        <v>5000000</v>
      </c>
      <c r="G355" s="6">
        <f>+SUM(E$9:$E355)-SUM(F$9:$F355)</f>
        <v>70554000</v>
      </c>
    </row>
    <row r="356" spans="1:7" ht="28.8" x14ac:dyDescent="0.55000000000000004">
      <c r="A356" s="12">
        <v>45663</v>
      </c>
      <c r="B356" s="13" t="s">
        <v>1028</v>
      </c>
      <c r="C356" s="10">
        <v>4</v>
      </c>
      <c r="D356" s="10">
        <v>145000</v>
      </c>
      <c r="E356" s="7">
        <f>+$I$2+(CABF[[#This Row],[QUANTITE]]*CABF[[#This Row],[PRIX UNITAIRE]])</f>
        <v>580000</v>
      </c>
      <c r="F356" s="14"/>
      <c r="G356" s="6">
        <f>+SUM(E$9:$E356)-SUM(F$9:$F356)</f>
        <v>71134000</v>
      </c>
    </row>
    <row r="357" spans="1:7" ht="28.8" x14ac:dyDescent="0.55000000000000004">
      <c r="A357" s="12">
        <v>45663</v>
      </c>
      <c r="B357" s="13" t="s">
        <v>1029</v>
      </c>
      <c r="C357" s="10">
        <v>2</v>
      </c>
      <c r="D357" s="10">
        <v>65000</v>
      </c>
      <c r="E357" s="7">
        <f>+$I$2+(CABF[[#This Row],[QUANTITE]]*CABF[[#This Row],[PRIX UNITAIRE]])</f>
        <v>130000</v>
      </c>
      <c r="F357" s="14"/>
      <c r="G357" s="6">
        <f>+SUM(E$9:$E357)-SUM(F$9:$F357)</f>
        <v>71264000</v>
      </c>
    </row>
    <row r="358" spans="1:7" ht="28.8" x14ac:dyDescent="0.55000000000000004">
      <c r="A358" s="12">
        <v>45663</v>
      </c>
      <c r="B358" s="13" t="s">
        <v>715</v>
      </c>
      <c r="C358" s="10">
        <v>2</v>
      </c>
      <c r="D358" s="10">
        <v>45000</v>
      </c>
      <c r="E358" s="7">
        <f>+$I$2+(CABF[[#This Row],[QUANTITE]]*CABF[[#This Row],[PRIX UNITAIRE]])</f>
        <v>90000</v>
      </c>
      <c r="F358" s="14"/>
      <c r="G358" s="6">
        <f>+SUM(E$9:$E358)-SUM(F$9:$F358)</f>
        <v>71354000</v>
      </c>
    </row>
    <row r="359" spans="1:7" ht="28.8" x14ac:dyDescent="0.55000000000000004">
      <c r="A359" s="12">
        <v>45687</v>
      </c>
      <c r="B359" s="13" t="s">
        <v>1030</v>
      </c>
      <c r="C359" s="10">
        <v>8</v>
      </c>
      <c r="D359" s="10">
        <v>55000</v>
      </c>
      <c r="E359" s="7">
        <f>+$I$2+(CABF[[#This Row],[QUANTITE]]*CABF[[#This Row],[PRIX UNITAIRE]])</f>
        <v>440000</v>
      </c>
      <c r="F359" s="14"/>
      <c r="G359" s="6">
        <f>+SUM(E$9:$E359)-SUM(F$9:$F359)</f>
        <v>71794000</v>
      </c>
    </row>
    <row r="360" spans="1:7" ht="28.8" x14ac:dyDescent="0.55000000000000004">
      <c r="A360" s="12">
        <v>45687</v>
      </c>
      <c r="B360" s="13" t="s">
        <v>1031</v>
      </c>
      <c r="C360" s="10">
        <v>2</v>
      </c>
      <c r="D360" s="10">
        <v>110000</v>
      </c>
      <c r="E360" s="7">
        <f>+$I$2+(CABF[[#This Row],[QUANTITE]]*CABF[[#This Row],[PRIX UNITAIRE]])</f>
        <v>220000</v>
      </c>
      <c r="F360" s="14"/>
      <c r="G360" s="6">
        <f>+SUM(E$9:$E360)-SUM(F$9:$F360)</f>
        <v>72014000</v>
      </c>
    </row>
    <row r="361" spans="1:7" ht="28.8" x14ac:dyDescent="0.55000000000000004">
      <c r="A361" s="12">
        <v>45678</v>
      </c>
      <c r="B361" s="13" t="s">
        <v>1032</v>
      </c>
      <c r="C361" s="10">
        <v>1</v>
      </c>
      <c r="D361" s="10">
        <v>45000</v>
      </c>
      <c r="E361" s="7">
        <f>+$I$2+(CABF[[#This Row],[QUANTITE]]*CABF[[#This Row],[PRIX UNITAIRE]])</f>
        <v>45000</v>
      </c>
      <c r="F361" s="14"/>
      <c r="G361" s="6">
        <f>+SUM(E$9:$E361)-SUM(F$9:$F361)</f>
        <v>72059000</v>
      </c>
    </row>
    <row r="362" spans="1:7" ht="28.8" x14ac:dyDescent="0.55000000000000004">
      <c r="A362" s="12">
        <v>45736</v>
      </c>
      <c r="B362" s="13" t="s">
        <v>1033</v>
      </c>
      <c r="C362" s="10">
        <v>2</v>
      </c>
      <c r="D362" s="10">
        <v>100000</v>
      </c>
      <c r="E362" s="7">
        <f>+$I$2+(CABF[[#This Row],[QUANTITE]]*CABF[[#This Row],[PRIX UNITAIRE]])</f>
        <v>200000</v>
      </c>
      <c r="F362" s="14"/>
      <c r="G362" s="6">
        <f>+SUM(E$9:$E362)-SUM(F$9:$F362)</f>
        <v>72259000</v>
      </c>
    </row>
    <row r="363" spans="1:7" ht="28.8" x14ac:dyDescent="0.55000000000000004">
      <c r="A363" s="12">
        <v>45736</v>
      </c>
      <c r="B363" s="13" t="s">
        <v>1034</v>
      </c>
      <c r="C363" s="10">
        <v>2</v>
      </c>
      <c r="D363" s="10">
        <v>135000</v>
      </c>
      <c r="E363" s="7">
        <f>+$I$2+(CABF[[#This Row],[QUANTITE]]*CABF[[#This Row],[PRIX UNITAIRE]])</f>
        <v>270000</v>
      </c>
      <c r="F363" s="14"/>
      <c r="G363" s="6">
        <f>+SUM(E$9:$E363)-SUM(F$9:$F363)</f>
        <v>72529000</v>
      </c>
    </row>
    <row r="364" spans="1:7" ht="28.8" x14ac:dyDescent="0.55000000000000004">
      <c r="A364" s="12">
        <v>45779</v>
      </c>
      <c r="B364" s="13" t="s">
        <v>1214</v>
      </c>
      <c r="C364" s="10">
        <v>1</v>
      </c>
      <c r="D364" s="10">
        <v>0</v>
      </c>
      <c r="E364" s="7">
        <f>+$I$2+(CABF[[#This Row],[QUANTITE]]*CABF[[#This Row],[PRIX UNITAIRE]])</f>
        <v>0</v>
      </c>
      <c r="F364" s="14"/>
      <c r="G364" s="6">
        <f>+SUM(E$9:$E364)-SUM(F$9:$F364)</f>
        <v>72529000</v>
      </c>
    </row>
    <row r="365" spans="1:7" ht="28.8" x14ac:dyDescent="0.55000000000000004">
      <c r="A365" s="12">
        <v>45779</v>
      </c>
      <c r="B365" s="13" t="s">
        <v>540</v>
      </c>
      <c r="C365" s="10">
        <v>1</v>
      </c>
      <c r="D365" s="10">
        <v>0</v>
      </c>
      <c r="E365" s="7">
        <f>+$I$2+(CABF[[#This Row],[QUANTITE]]*CABF[[#This Row],[PRIX UNITAIRE]])</f>
        <v>0</v>
      </c>
      <c r="F365" s="14">
        <v>3570000</v>
      </c>
      <c r="G365" s="6">
        <f>+SUM(E$9:$E365)-SUM(F$9:$F365)</f>
        <v>68959000</v>
      </c>
    </row>
    <row r="366" spans="1:7" ht="28.8" x14ac:dyDescent="0.55000000000000004">
      <c r="A366" s="12">
        <v>45797</v>
      </c>
      <c r="B366" s="13" t="s">
        <v>1215</v>
      </c>
      <c r="C366" s="10">
        <v>2</v>
      </c>
      <c r="D366" s="10">
        <v>100000</v>
      </c>
      <c r="E366" s="7">
        <f>+$I$2+(CABF[[#This Row],[QUANTITE]]*CABF[[#This Row],[PRIX UNITAIRE]])</f>
        <v>200000</v>
      </c>
      <c r="F366" s="14">
        <v>5000000</v>
      </c>
      <c r="G366" s="6">
        <f>+SUM(E$9:$E366)-SUM(F$9:$F366)</f>
        <v>64159000</v>
      </c>
    </row>
    <row r="367" spans="1:7" ht="28.8" x14ac:dyDescent="0.55000000000000004">
      <c r="A367" s="12">
        <v>45818</v>
      </c>
      <c r="B367" s="13" t="s">
        <v>1215</v>
      </c>
      <c r="C367" s="10">
        <v>2</v>
      </c>
      <c r="D367" s="10">
        <v>100000</v>
      </c>
      <c r="E367" s="7">
        <f>+$I$2+(CABF[[#This Row],[QUANTITE]]*CABF[[#This Row],[PRIX UNITAIRE]])</f>
        <v>200000</v>
      </c>
      <c r="F367" s="14"/>
      <c r="G367" s="6">
        <f>+SUM(E$9:$E367)-SUM(F$9:$F367)</f>
        <v>64359000</v>
      </c>
    </row>
    <row r="368" spans="1:7" ht="28.8" x14ac:dyDescent="0.55000000000000004">
      <c r="A368" s="12">
        <v>45820</v>
      </c>
      <c r="B368" s="13" t="s">
        <v>1216</v>
      </c>
      <c r="C368" s="10">
        <v>1</v>
      </c>
      <c r="D368" s="10">
        <v>60000</v>
      </c>
      <c r="E368" s="7">
        <f>+$I$2+(CABF[[#This Row],[QUANTITE]]*CABF[[#This Row],[PRIX UNITAIRE]])</f>
        <v>60000</v>
      </c>
      <c r="F368" s="14"/>
      <c r="G368" s="6">
        <f>+SUM(E$9:$E368)-SUM(F$9:$F368)</f>
        <v>64419000</v>
      </c>
    </row>
    <row r="369" spans="1:7" ht="28.8" x14ac:dyDescent="0.55000000000000004">
      <c r="A369" s="12">
        <v>45842</v>
      </c>
      <c r="B369" s="13" t="s">
        <v>540</v>
      </c>
      <c r="C369" s="10"/>
      <c r="D369" s="10"/>
      <c r="E369" s="7">
        <f>+$I$2+(CABF[[#This Row],[QUANTITE]]*CABF[[#This Row],[PRIX UNITAIRE]])</f>
        <v>0</v>
      </c>
      <c r="F369" s="14">
        <v>5000000</v>
      </c>
      <c r="G369" s="6">
        <f>+SUM(E$9:$E369)-SUM(F$9:$F369)</f>
        <v>59419000</v>
      </c>
    </row>
    <row r="370" spans="1:7" ht="28.8" x14ac:dyDescent="0.55000000000000004">
      <c r="A370" s="24">
        <v>45931</v>
      </c>
      <c r="B370" s="13" t="s">
        <v>3115</v>
      </c>
      <c r="C370" s="26"/>
      <c r="D370" s="26"/>
      <c r="E370" s="7">
        <f>+$I$2+(CABF[[#This Row],[QUANTITE]]*CABF[[#This Row],[PRIX UNITAIRE]])</f>
        <v>0</v>
      </c>
      <c r="F370" s="28">
        <v>5000000</v>
      </c>
      <c r="G370" s="6">
        <f>+SUM(E$9:$E370)-SUM(F$9:$F370)</f>
        <v>54419000</v>
      </c>
    </row>
    <row r="371" spans="1:7" ht="28.8" x14ac:dyDescent="0.55000000000000004">
      <c r="A371" s="24">
        <v>45931</v>
      </c>
      <c r="B371" s="13" t="s">
        <v>1244</v>
      </c>
      <c r="C371" s="26">
        <v>1</v>
      </c>
      <c r="D371" s="26"/>
      <c r="E371" s="7">
        <f>+$I$2+(CABF[[#This Row],[QUANTITE]]*CABF[[#This Row],[PRIX UNITAIRE]])</f>
        <v>0</v>
      </c>
      <c r="F371" s="28">
        <v>5000000</v>
      </c>
      <c r="G371" s="6">
        <f>+SUM(E$9:$E371)-SUM(F$9:$F371)</f>
        <v>49419000</v>
      </c>
    </row>
    <row r="372" spans="1:7" ht="28.8" x14ac:dyDescent="0.55000000000000004">
      <c r="A372" s="24">
        <v>45929</v>
      </c>
      <c r="B372" s="13" t="s">
        <v>3116</v>
      </c>
      <c r="C372" s="26">
        <v>6</v>
      </c>
      <c r="D372" s="26">
        <v>280000</v>
      </c>
      <c r="E372" s="7">
        <f>+$I$2+(CABF[[#This Row],[QUANTITE]]*CABF[[#This Row],[PRIX UNITAIRE]])</f>
        <v>1680000</v>
      </c>
      <c r="F372" s="28"/>
      <c r="G372" s="6">
        <f>+SUM(E$9:$E372)-SUM(F$9:$F372)</f>
        <v>51099000</v>
      </c>
    </row>
    <row r="373" spans="1:7" ht="28.8" x14ac:dyDescent="0.55000000000000004">
      <c r="A373" s="24">
        <v>45946</v>
      </c>
      <c r="B373" s="13" t="s">
        <v>3176</v>
      </c>
      <c r="C373" s="26">
        <v>1</v>
      </c>
      <c r="D373" s="26">
        <v>185000</v>
      </c>
      <c r="E373" s="7">
        <f>+$I$2+(CABF[[#This Row],[QUANTITE]]*CABF[[#This Row],[PRIX UNITAIRE]])</f>
        <v>185000</v>
      </c>
      <c r="F373" s="28"/>
      <c r="G373" s="6">
        <f>+SUM(E$9:$E373)-SUM(F$9:$F373)</f>
        <v>51284000</v>
      </c>
    </row>
    <row r="374" spans="1:7" ht="28.8" x14ac:dyDescent="0.55000000000000004">
      <c r="A374" s="24">
        <v>45946</v>
      </c>
      <c r="B374" s="13" t="s">
        <v>3177</v>
      </c>
      <c r="C374" s="26">
        <v>1</v>
      </c>
      <c r="D374" s="26">
        <v>95000</v>
      </c>
      <c r="E374" s="7">
        <f>+$I$2+(CABF[[#This Row],[QUANTITE]]*CABF[[#This Row],[PRIX UNITAIRE]])</f>
        <v>95000</v>
      </c>
      <c r="F374" s="28"/>
      <c r="G374" s="6">
        <f>+SUM(E$9:$E374)-SUM(F$9:$F374)</f>
        <v>51379000</v>
      </c>
    </row>
    <row r="375" spans="1:7" ht="28.8" x14ac:dyDescent="0.55000000000000004">
      <c r="A375" s="24">
        <v>45946</v>
      </c>
      <c r="B375" s="13" t="s">
        <v>3178</v>
      </c>
      <c r="C375" s="26">
        <v>4</v>
      </c>
      <c r="D375" s="26">
        <v>75000</v>
      </c>
      <c r="E375" s="7">
        <f>+$I$2+(CABF[[#This Row],[QUANTITE]]*CABF[[#This Row],[PRIX UNITAIRE]])</f>
        <v>300000</v>
      </c>
      <c r="F375" s="28"/>
      <c r="G375" s="6">
        <f>+SUM(E$9:$E375)-SUM(F$9:$F375)</f>
        <v>51679000</v>
      </c>
    </row>
    <row r="376" spans="1:7" ht="28.8" x14ac:dyDescent="0.55000000000000004">
      <c r="A376" s="24">
        <v>46001</v>
      </c>
      <c r="B376" s="13" t="s">
        <v>3289</v>
      </c>
      <c r="C376" s="26">
        <v>4</v>
      </c>
      <c r="D376" s="26">
        <v>190000</v>
      </c>
      <c r="E376" s="7">
        <f>+$I$2+(CABF[[#This Row],[QUANTITE]]*CABF[[#This Row],[PRIX UNITAIRE]])</f>
        <v>760000</v>
      </c>
      <c r="F376" s="28"/>
      <c r="G376" s="6">
        <f>+SUM(E$9:$E376)-SUM(F$9:$F376)</f>
        <v>52439000</v>
      </c>
    </row>
    <row r="377" spans="1:7" ht="28.8" x14ac:dyDescent="0.55000000000000004">
      <c r="A377" s="24">
        <v>46037</v>
      </c>
      <c r="B377" s="13" t="s">
        <v>451</v>
      </c>
      <c r="C377" s="26">
        <v>1</v>
      </c>
      <c r="D377" s="26"/>
      <c r="E377" s="7">
        <f>+$I$2+(CABF[[#This Row],[QUANTITE]]*CABF[[#This Row],[PRIX UNITAIRE]])</f>
        <v>0</v>
      </c>
      <c r="F377" s="28">
        <v>5000000</v>
      </c>
      <c r="G377" s="6">
        <f>+SUM(E$9:$E377)-SUM(F$9:$F377)</f>
        <v>47439000</v>
      </c>
    </row>
    <row r="378" spans="1:7" ht="28.8" x14ac:dyDescent="0.55000000000000004">
      <c r="A378" s="12">
        <v>46044</v>
      </c>
      <c r="B378" s="13" t="s">
        <v>1050</v>
      </c>
      <c r="C378" s="10">
        <v>2</v>
      </c>
      <c r="D378" s="10">
        <v>135000</v>
      </c>
      <c r="E378" s="7">
        <f>+$I$2+(CABF[[#This Row],[QUANTITE]]*CABF[[#This Row],[PRIX UNITAIRE]])</f>
        <v>270000</v>
      </c>
      <c r="F378" s="14"/>
      <c r="G378" s="6">
        <f>+SUM(E$9:$E378)-SUM(F$9:$F378)</f>
        <v>47709000</v>
      </c>
    </row>
    <row r="379" spans="1:7" ht="28.8" x14ac:dyDescent="0.55000000000000004">
      <c r="A379" s="12">
        <v>46052</v>
      </c>
      <c r="B379" s="13" t="s">
        <v>3402</v>
      </c>
      <c r="C379" s="10">
        <v>4</v>
      </c>
      <c r="D379" s="10">
        <v>185000</v>
      </c>
      <c r="E379" s="7">
        <f>+$I$2+(CABF[[#This Row],[QUANTITE]]*CABF[[#This Row],[PRIX UNITAIRE]])</f>
        <v>740000</v>
      </c>
      <c r="F379" s="14"/>
      <c r="G379" s="6">
        <f>+SUM(E$9:$E379)-SUM(F$9:$F379)</f>
        <v>48449000</v>
      </c>
    </row>
    <row r="380" spans="1:7" ht="28.8" x14ac:dyDescent="0.55000000000000004">
      <c r="A380" s="12">
        <v>46052</v>
      </c>
      <c r="B380" s="13" t="s">
        <v>3401</v>
      </c>
      <c r="C380" s="10">
        <v>1</v>
      </c>
      <c r="D380" s="10">
        <v>10000</v>
      </c>
      <c r="E380" s="7">
        <f>+$I$2+(CABF[[#This Row],[QUANTITE]]*CABF[[#This Row],[PRIX UNITAIRE]])</f>
        <v>10000</v>
      </c>
      <c r="F380" s="14"/>
      <c r="G380" s="6">
        <f>+SUM(E$9:$E380)-SUM(F$9:$F380)</f>
        <v>48459000</v>
      </c>
    </row>
    <row r="381" spans="1:7" ht="28.8" x14ac:dyDescent="0.55000000000000004">
      <c r="A381" s="12">
        <v>46076</v>
      </c>
      <c r="B381" s="13" t="s">
        <v>3466</v>
      </c>
      <c r="C381" s="10">
        <v>2</v>
      </c>
      <c r="D381" s="10">
        <v>50000</v>
      </c>
      <c r="E381" s="7">
        <f>+$I$2+(CABF[[#This Row],[QUANTITE]]*CABF[[#This Row],[PRIX UNITAIRE]])</f>
        <v>100000</v>
      </c>
      <c r="F381" s="14"/>
      <c r="G381" s="6">
        <f>+SUM(E$9:$E381)-SUM(F$9:$F381)</f>
        <v>48559000</v>
      </c>
    </row>
    <row r="382" spans="1:7" ht="28.8" x14ac:dyDescent="0.55000000000000004">
      <c r="A382" s="12">
        <v>46076</v>
      </c>
      <c r="B382" s="13" t="s">
        <v>3467</v>
      </c>
      <c r="C382" s="10">
        <v>2</v>
      </c>
      <c r="D382" s="10">
        <v>52500</v>
      </c>
      <c r="E382" s="7">
        <f>+$I$2+(CABF[[#This Row],[QUANTITE]]*CABF[[#This Row],[PRIX UNITAIRE]])</f>
        <v>105000</v>
      </c>
      <c r="F382" s="14"/>
      <c r="G382" s="6">
        <f>+SUM(E$9:$E382)-SUM(F$9:$F382)</f>
        <v>48664000</v>
      </c>
    </row>
    <row r="383" spans="1:7" ht="28.8" x14ac:dyDescent="0.55000000000000004">
      <c r="A383" s="12">
        <v>46076</v>
      </c>
      <c r="B383" s="13" t="s">
        <v>3468</v>
      </c>
      <c r="C383" s="10">
        <v>2</v>
      </c>
      <c r="D383" s="10">
        <v>50000</v>
      </c>
      <c r="E383" s="7">
        <f>+$I$2+(CABF[[#This Row],[QUANTITE]]*CABF[[#This Row],[PRIX UNITAIRE]])</f>
        <v>100000</v>
      </c>
      <c r="F383" s="14"/>
      <c r="G383" s="6">
        <f>+SUM(E$9:$E383)-SUM(F$9:$F383)</f>
        <v>48764000</v>
      </c>
    </row>
    <row r="384" spans="1:7" ht="28.8" x14ac:dyDescent="0.55000000000000004">
      <c r="A384" s="12">
        <v>46076</v>
      </c>
      <c r="B384" s="13" t="s">
        <v>3469</v>
      </c>
      <c r="C384" s="10">
        <v>2</v>
      </c>
      <c r="D384" s="10">
        <v>40000</v>
      </c>
      <c r="E384" s="7">
        <f>+$I$2+(CABF[[#This Row],[QUANTITE]]*CABF[[#This Row],[PRIX UNITAIRE]])</f>
        <v>80000</v>
      </c>
      <c r="F384" s="14"/>
      <c r="G384" s="6">
        <f>+SUM(E$9:$E384)-SUM(F$9:$F384)</f>
        <v>48844000</v>
      </c>
    </row>
    <row r="385" spans="1:7" ht="28.8" x14ac:dyDescent="0.55000000000000004">
      <c r="A385" s="12">
        <v>46076</v>
      </c>
      <c r="B385" s="13" t="s">
        <v>3470</v>
      </c>
      <c r="C385" s="10">
        <v>2</v>
      </c>
      <c r="D385" s="10">
        <v>5000</v>
      </c>
      <c r="E385" s="7">
        <f>+$I$2+(CABF[[#This Row],[QUANTITE]]*CABF[[#This Row],[PRIX UNITAIRE]])</f>
        <v>10000</v>
      </c>
      <c r="F385" s="14"/>
      <c r="G385" s="6">
        <f>+SUM(E$9:$E385)-SUM(F$9:$F385)</f>
        <v>48854000</v>
      </c>
    </row>
    <row r="386" spans="1:7" ht="28.8" x14ac:dyDescent="0.55000000000000004">
      <c r="A386" s="12">
        <v>46076</v>
      </c>
      <c r="B386" s="13" t="s">
        <v>3471</v>
      </c>
      <c r="C386" s="10">
        <v>1</v>
      </c>
      <c r="D386" s="10">
        <v>20000</v>
      </c>
      <c r="E386" s="7">
        <f>+$I$2+(CABF[[#This Row],[QUANTITE]]*CABF[[#This Row],[PRIX UNITAIRE]])</f>
        <v>20000</v>
      </c>
      <c r="F386" s="14"/>
      <c r="G386" s="6">
        <f>+SUM(E$9:$E386)-SUM(F$9:$F386)</f>
        <v>48874000</v>
      </c>
    </row>
    <row r="387" spans="1:7" ht="28.8" x14ac:dyDescent="0.55000000000000004">
      <c r="A387" s="12">
        <v>46076</v>
      </c>
      <c r="B387" s="13" t="s">
        <v>3472</v>
      </c>
      <c r="C387" s="10">
        <v>2</v>
      </c>
      <c r="D387" s="10">
        <v>60000</v>
      </c>
      <c r="E387" s="7">
        <f>+$I$2+(CABF[[#This Row],[QUANTITE]]*CABF[[#This Row],[PRIX UNITAIRE]])</f>
        <v>120000</v>
      </c>
      <c r="F387" s="14"/>
      <c r="G387" s="6">
        <f>+SUM(E$9:$E387)-SUM(F$9:$F387)</f>
        <v>48994000</v>
      </c>
    </row>
    <row r="388" spans="1:7" ht="28.8" x14ac:dyDescent="0.55000000000000004">
      <c r="A388" s="12">
        <v>46076</v>
      </c>
      <c r="B388" s="13" t="s">
        <v>3473</v>
      </c>
      <c r="C388" s="10">
        <v>1</v>
      </c>
      <c r="D388" s="10">
        <v>15000</v>
      </c>
      <c r="E388" s="7">
        <f>+$I$2+(CABF[[#This Row],[QUANTITE]]*CABF[[#This Row],[PRIX UNITAIRE]])</f>
        <v>15000</v>
      </c>
      <c r="F388" s="14"/>
      <c r="G388" s="6">
        <f>+SUM(E$9:$E388)-SUM(F$9:$F388)</f>
        <v>49009000</v>
      </c>
    </row>
    <row r="389" spans="1:7" ht="28.8" x14ac:dyDescent="0.55000000000000004">
      <c r="A389" s="12">
        <v>46076</v>
      </c>
      <c r="B389" s="13" t="s">
        <v>3474</v>
      </c>
      <c r="C389" s="10">
        <v>1</v>
      </c>
      <c r="D389" s="10">
        <v>50000</v>
      </c>
      <c r="E389" s="7">
        <f>+$I$2+(CABF[[#This Row],[QUANTITE]]*CABF[[#This Row],[PRIX UNITAIRE]])</f>
        <v>50000</v>
      </c>
      <c r="F389" s="14"/>
      <c r="G389" s="6">
        <f>+SUM(E$9:$E389)-SUM(F$9:$F389)</f>
        <v>49059000</v>
      </c>
    </row>
    <row r="390" spans="1:7" ht="28.8" x14ac:dyDescent="0.55000000000000004">
      <c r="A390" s="12">
        <v>46078</v>
      </c>
      <c r="B390" s="13" t="s">
        <v>1244</v>
      </c>
      <c r="C390" s="10">
        <v>1</v>
      </c>
      <c r="D390" s="10"/>
      <c r="E390" s="7">
        <f>+$I$2+(CABF[[#This Row],[QUANTITE]]*CABF[[#This Row],[PRIX UNITAIRE]])</f>
        <v>0</v>
      </c>
      <c r="F390" s="14">
        <v>10000000</v>
      </c>
      <c r="G390" s="6">
        <f>+SUM(E$9:$E390)-SUM(F$9:$F390)</f>
        <v>39059000</v>
      </c>
    </row>
    <row r="391" spans="1:7" ht="28.8" x14ac:dyDescent="0.55000000000000004">
      <c r="A391" s="12">
        <v>46100</v>
      </c>
      <c r="B391" s="13" t="s">
        <v>3549</v>
      </c>
      <c r="C391" s="10">
        <v>2</v>
      </c>
      <c r="D391" s="10">
        <v>250000</v>
      </c>
      <c r="E391" s="7">
        <f>+$I$2+(CABF[[#This Row],[QUANTITE]]*CABF[[#This Row],[PRIX UNITAIRE]])</f>
        <v>500000</v>
      </c>
      <c r="F391" s="14"/>
      <c r="G391" s="6">
        <f>+SUM(E$9:$E391)-SUM(F$9:$F391)</f>
        <v>39559000</v>
      </c>
    </row>
    <row r="392" spans="1:7" ht="28.8" x14ac:dyDescent="0.55000000000000004">
      <c r="A392" s="12"/>
      <c r="B392" s="13"/>
      <c r="C392" s="10"/>
      <c r="D392" s="10"/>
      <c r="E392" s="7">
        <f>+$I$2+(CABF[[#This Row],[QUANTITE]]*CABF[[#This Row],[PRIX UNITAIRE]])</f>
        <v>0</v>
      </c>
      <c r="F392" s="14"/>
      <c r="G392" s="6">
        <f>+SUM(E$9:$E392)-SUM(F$9:$F392)</f>
        <v>39559000</v>
      </c>
    </row>
    <row r="393" spans="1:7" ht="28.8" x14ac:dyDescent="0.55000000000000004">
      <c r="A393" s="12"/>
      <c r="B393" s="13"/>
      <c r="C393" s="10"/>
      <c r="D393" s="10"/>
      <c r="E393" s="7">
        <f>+$I$2+(CABF[[#This Row],[QUANTITE]]*CABF[[#This Row],[PRIX UNITAIRE]])</f>
        <v>0</v>
      </c>
      <c r="F393" s="14"/>
      <c r="G393" s="6">
        <f>+SUM(E$9:$E393)-SUM(F$9:$F393)</f>
        <v>39559000</v>
      </c>
    </row>
    <row r="394" spans="1:7" ht="28.8" x14ac:dyDescent="0.55000000000000004">
      <c r="A394" s="12"/>
      <c r="B394" s="13"/>
      <c r="C394" s="10"/>
      <c r="D394" s="10"/>
      <c r="E394" s="7">
        <f>+$I$2+(CABF[[#This Row],[QUANTITE]]*CABF[[#This Row],[PRIX UNITAIRE]])</f>
        <v>0</v>
      </c>
      <c r="F394" s="14"/>
      <c r="G394" s="6">
        <f>+SUM(E$9:$E394)-SUM(F$9:$F394)</f>
        <v>39559000</v>
      </c>
    </row>
    <row r="395" spans="1:7" ht="28.8" x14ac:dyDescent="0.55000000000000004">
      <c r="A395" s="12"/>
      <c r="B395" s="13"/>
      <c r="C395" s="10"/>
      <c r="D395" s="10"/>
      <c r="E395" s="7">
        <f>+$I$2+(CABF[[#This Row],[QUANTITE]]*CABF[[#This Row],[PRIX UNITAIRE]])</f>
        <v>0</v>
      </c>
      <c r="F395" s="14"/>
      <c r="G395" s="6">
        <f>+SUM(E$9:$E395)-SUM(F$9:$F395)</f>
        <v>39559000</v>
      </c>
    </row>
    <row r="396" spans="1:7" ht="28.8" x14ac:dyDescent="0.55000000000000004">
      <c r="A396" s="12"/>
      <c r="B396" s="13"/>
      <c r="C396" s="10"/>
      <c r="D396" s="10"/>
      <c r="E396" s="7">
        <f>+$I$2+(CABF[[#This Row],[QUANTITE]]*CABF[[#This Row],[PRIX UNITAIRE]])</f>
        <v>0</v>
      </c>
      <c r="F396" s="14"/>
      <c r="G396" s="6">
        <f>+SUM(E$9:$E396)-SUM(F$9:$F396)</f>
        <v>39559000</v>
      </c>
    </row>
    <row r="397" spans="1:7" ht="28.8" x14ac:dyDescent="0.55000000000000004">
      <c r="A397" s="12"/>
      <c r="B397" s="13"/>
      <c r="C397" s="10"/>
      <c r="D397" s="10"/>
      <c r="E397" s="7">
        <f>+$I$2+(CABF[[#This Row],[QUANTITE]]*CABF[[#This Row],[PRIX UNITAIRE]])</f>
        <v>0</v>
      </c>
      <c r="F397" s="14"/>
      <c r="G397" s="6">
        <f>+SUM(E$9:$E397)-SUM(F$9:$F397)</f>
        <v>39559000</v>
      </c>
    </row>
    <row r="398" spans="1:7" ht="28.8" x14ac:dyDescent="0.55000000000000004">
      <c r="A398" s="12"/>
      <c r="B398" s="13"/>
      <c r="C398" s="10"/>
      <c r="D398" s="10"/>
      <c r="E398" s="7">
        <f>+$I$2+(CABF[[#This Row],[QUANTITE]]*CABF[[#This Row],[PRIX UNITAIRE]])</f>
        <v>0</v>
      </c>
      <c r="F398" s="14"/>
      <c r="G398" s="6">
        <f>+SUM(E$9:$E398)-SUM(F$9:$F398)</f>
        <v>39559000</v>
      </c>
    </row>
    <row r="399" spans="1:7" ht="28.8" x14ac:dyDescent="0.55000000000000004">
      <c r="A399" s="12"/>
      <c r="B399" s="13"/>
      <c r="C399" s="10"/>
      <c r="D399" s="10"/>
      <c r="E399" s="7">
        <f>+$I$2+(CABF[[#This Row],[QUANTITE]]*CABF[[#This Row],[PRIX UNITAIRE]])</f>
        <v>0</v>
      </c>
      <c r="F399" s="14"/>
      <c r="G399" s="6">
        <f>+SUM(E$9:$E399)-SUM(F$9:$F399)</f>
        <v>39559000</v>
      </c>
    </row>
    <row r="400" spans="1:7" ht="28.8" x14ac:dyDescent="0.55000000000000004">
      <c r="A400" s="12"/>
      <c r="B400" s="13"/>
      <c r="C400" s="10"/>
      <c r="D400" s="10"/>
      <c r="E400" s="7">
        <f>+$I$2+(CABF[[#This Row],[QUANTITE]]*CABF[[#This Row],[PRIX UNITAIRE]])</f>
        <v>0</v>
      </c>
      <c r="F400" s="14"/>
      <c r="G400" s="6">
        <f>+SUM(E$9:$E400)-SUM(F$9:$F400)</f>
        <v>39559000</v>
      </c>
    </row>
    <row r="401" spans="1:7" ht="28.8" x14ac:dyDescent="0.55000000000000004">
      <c r="A401" s="12"/>
      <c r="B401" s="13"/>
      <c r="C401" s="10"/>
      <c r="D401" s="10"/>
      <c r="E401" s="7">
        <f>+$I$2+(CABF[[#This Row],[QUANTITE]]*CABF[[#This Row],[PRIX UNITAIRE]])</f>
        <v>0</v>
      </c>
      <c r="F401" s="14"/>
      <c r="G401" s="6">
        <f>+SUM(E$9:$E401)-SUM(F$9:$F401)</f>
        <v>39559000</v>
      </c>
    </row>
    <row r="402" spans="1:7" ht="28.8" x14ac:dyDescent="0.55000000000000004">
      <c r="A402" s="12"/>
      <c r="B402" s="13"/>
      <c r="C402" s="10"/>
      <c r="D402" s="10"/>
      <c r="E402" s="7">
        <f>+$I$2+(CABF[[#This Row],[QUANTITE]]*CABF[[#This Row],[PRIX UNITAIRE]])</f>
        <v>0</v>
      </c>
      <c r="F402" s="14"/>
      <c r="G402" s="6">
        <f>+SUM(E$9:$E402)-SUM(F$9:$F402)</f>
        <v>39559000</v>
      </c>
    </row>
    <row r="403" spans="1:7" ht="28.8" x14ac:dyDescent="0.55000000000000004">
      <c r="A403" s="12"/>
      <c r="B403" s="13"/>
      <c r="C403" s="10"/>
      <c r="D403" s="10"/>
      <c r="E403" s="7">
        <f>+$I$2+(CABF[[#This Row],[QUANTITE]]*CABF[[#This Row],[PRIX UNITAIRE]])</f>
        <v>0</v>
      </c>
      <c r="F403" s="14"/>
      <c r="G403" s="6">
        <f>+SUM(E$9:$E403)-SUM(F$9:$F403)</f>
        <v>39559000</v>
      </c>
    </row>
    <row r="404" spans="1:7" ht="28.8" x14ac:dyDescent="0.55000000000000004">
      <c r="A404" s="12"/>
      <c r="B404" s="13"/>
      <c r="C404" s="10"/>
      <c r="D404" s="10"/>
      <c r="E404" s="7">
        <f>+$I$2+(CABF[[#This Row],[QUANTITE]]*CABF[[#This Row],[PRIX UNITAIRE]])</f>
        <v>0</v>
      </c>
      <c r="F404" s="14"/>
      <c r="G404" s="6">
        <f>+SUM(E$9:$E404)-SUM(F$9:$F404)</f>
        <v>39559000</v>
      </c>
    </row>
    <row r="405" spans="1:7" ht="28.8" x14ac:dyDescent="0.55000000000000004">
      <c r="A405" s="12"/>
      <c r="B405" s="13"/>
      <c r="C405" s="10"/>
      <c r="D405" s="10"/>
      <c r="E405" s="7">
        <f>+$I$2+(CABF[[#This Row],[QUANTITE]]*CABF[[#This Row],[PRIX UNITAIRE]])</f>
        <v>0</v>
      </c>
      <c r="F405" s="14"/>
      <c r="G405" s="6">
        <f>+SUM(E$9:$E405)-SUM(F$9:$F405)</f>
        <v>39559000</v>
      </c>
    </row>
    <row r="406" spans="1:7" ht="28.8" x14ac:dyDescent="0.55000000000000004">
      <c r="A406" s="12"/>
      <c r="B406" s="13"/>
      <c r="C406" s="10"/>
      <c r="D406" s="10"/>
      <c r="E406" s="7">
        <f>+$I$2+(CABF[[#This Row],[QUANTITE]]*CABF[[#This Row],[PRIX UNITAIRE]])</f>
        <v>0</v>
      </c>
      <c r="F406" s="14"/>
      <c r="G406" s="6">
        <f>+SUM(E$9:$E406)-SUM(F$9:$F406)</f>
        <v>39559000</v>
      </c>
    </row>
    <row r="407" spans="1:7" ht="28.8" x14ac:dyDescent="0.55000000000000004">
      <c r="A407" s="12"/>
      <c r="B407" s="13"/>
      <c r="C407" s="10"/>
      <c r="D407" s="10"/>
      <c r="E407" s="7">
        <f>+$I$2+(CABF[[#This Row],[QUANTITE]]*CABF[[#This Row],[PRIX UNITAIRE]])</f>
        <v>0</v>
      </c>
      <c r="F407" s="14"/>
      <c r="G407" s="6">
        <f>+SUM(E$9:$E407)-SUM(F$9:$F407)</f>
        <v>39559000</v>
      </c>
    </row>
    <row r="408" spans="1:7" ht="28.8" x14ac:dyDescent="0.55000000000000004">
      <c r="A408" s="12"/>
      <c r="B408" s="13"/>
      <c r="C408" s="10"/>
      <c r="D408" s="10"/>
      <c r="E408" s="7">
        <f>+$I$2+(CABF[[#This Row],[QUANTITE]]*CABF[[#This Row],[PRIX UNITAIRE]])</f>
        <v>0</v>
      </c>
      <c r="F408" s="14"/>
      <c r="G408" s="6">
        <f>+SUM(E$9:$E408)-SUM(F$9:$F408)</f>
        <v>39559000</v>
      </c>
    </row>
    <row r="409" spans="1:7" ht="28.8" x14ac:dyDescent="0.55000000000000004">
      <c r="A409" s="12"/>
      <c r="B409" s="13"/>
      <c r="C409" s="10"/>
      <c r="D409" s="10"/>
      <c r="E409" s="7">
        <f>+$I$2+(CABF[[#This Row],[QUANTITE]]*CABF[[#This Row],[PRIX UNITAIRE]])</f>
        <v>0</v>
      </c>
      <c r="F409" s="14"/>
      <c r="G409" s="6">
        <f>+SUM(E$9:$E409)-SUM(F$9:$F409)</f>
        <v>39559000</v>
      </c>
    </row>
    <row r="410" spans="1:7" ht="28.8" x14ac:dyDescent="0.55000000000000004">
      <c r="A410" s="12"/>
      <c r="B410" s="13"/>
      <c r="C410" s="10"/>
      <c r="D410" s="10"/>
      <c r="E410" s="7">
        <f>+$I$2+(CABF[[#This Row],[QUANTITE]]*CABF[[#This Row],[PRIX UNITAIRE]])</f>
        <v>0</v>
      </c>
      <c r="F410" s="14"/>
      <c r="G410" s="6">
        <f>+SUM(E$9:$E410)-SUM(F$9:$F410)</f>
        <v>39559000</v>
      </c>
    </row>
    <row r="411" spans="1:7" ht="28.8" x14ac:dyDescent="0.55000000000000004">
      <c r="A411" s="12"/>
      <c r="B411" s="13"/>
      <c r="C411" s="10"/>
      <c r="D411" s="10"/>
      <c r="E411" s="7">
        <f>+$I$2+(CABF[[#This Row],[QUANTITE]]*CABF[[#This Row],[PRIX UNITAIRE]])</f>
        <v>0</v>
      </c>
      <c r="F411" s="14"/>
      <c r="G411" s="6">
        <f>+SUM(E$9:$E411)-SUM(F$9:$F411)</f>
        <v>39559000</v>
      </c>
    </row>
    <row r="412" spans="1:7" ht="28.8" x14ac:dyDescent="0.55000000000000004">
      <c r="A412" s="12"/>
      <c r="B412" s="13"/>
      <c r="C412" s="10"/>
      <c r="D412" s="10"/>
      <c r="E412" s="7">
        <f>+$I$2+(CABF[[#This Row],[QUANTITE]]*CABF[[#This Row],[PRIX UNITAIRE]])</f>
        <v>0</v>
      </c>
      <c r="F412" s="14"/>
      <c r="G412" s="6">
        <f>+SUM(E$9:$E412)-SUM(F$9:$F412)</f>
        <v>39559000</v>
      </c>
    </row>
    <row r="413" spans="1:7" ht="28.8" x14ac:dyDescent="0.55000000000000004">
      <c r="A413" s="12"/>
      <c r="B413" s="13"/>
      <c r="C413" s="10"/>
      <c r="D413" s="10"/>
      <c r="E413" s="7">
        <f>+$I$2+(CABF[[#This Row],[QUANTITE]]*CABF[[#This Row],[PRIX UNITAIRE]])</f>
        <v>0</v>
      </c>
      <c r="F413" s="14"/>
      <c r="G413" s="6">
        <f>+SUM(E$9:$E413)-SUM(F$9:$F413)</f>
        <v>39559000</v>
      </c>
    </row>
    <row r="414" spans="1:7" ht="28.8" x14ac:dyDescent="0.55000000000000004">
      <c r="A414" s="12"/>
      <c r="B414" s="13"/>
      <c r="C414" s="10"/>
      <c r="D414" s="10"/>
      <c r="E414" s="7">
        <f>+$I$2+(CABF[[#This Row],[QUANTITE]]*CABF[[#This Row],[PRIX UNITAIRE]])</f>
        <v>0</v>
      </c>
      <c r="F414" s="14"/>
      <c r="G414" s="6">
        <f>+SUM(E$9:$E414)-SUM(F$9:$F414)</f>
        <v>39559000</v>
      </c>
    </row>
    <row r="415" spans="1:7" ht="28.8" x14ac:dyDescent="0.55000000000000004">
      <c r="A415" s="12"/>
      <c r="B415" s="13"/>
      <c r="C415" s="10"/>
      <c r="D415" s="10"/>
      <c r="E415" s="7">
        <f>+$I$2+(CABF[[#This Row],[QUANTITE]]*CABF[[#This Row],[PRIX UNITAIRE]])</f>
        <v>0</v>
      </c>
      <c r="F415" s="14"/>
      <c r="G415" s="6">
        <f>+SUM(E$9:$E415)-SUM(F$9:$F415)</f>
        <v>39559000</v>
      </c>
    </row>
    <row r="416" spans="1:7" ht="28.8" x14ac:dyDescent="0.55000000000000004">
      <c r="A416" s="12"/>
      <c r="B416" s="13"/>
      <c r="C416" s="10"/>
      <c r="D416" s="10"/>
      <c r="E416" s="7">
        <f>+$I$2+(CABF[[#This Row],[QUANTITE]]*CABF[[#This Row],[PRIX UNITAIRE]])</f>
        <v>0</v>
      </c>
      <c r="F416" s="14"/>
      <c r="G416" s="6">
        <f>+SUM(E$9:$E416)-SUM(F$9:$F416)</f>
        <v>39559000</v>
      </c>
    </row>
    <row r="417" spans="1:7" ht="28.8" x14ac:dyDescent="0.55000000000000004">
      <c r="A417" s="12"/>
      <c r="B417" s="13"/>
      <c r="C417" s="10"/>
      <c r="D417" s="10"/>
      <c r="E417" s="7">
        <f>+$I$2+(CABF[[#This Row],[QUANTITE]]*CABF[[#This Row],[PRIX UNITAIRE]])</f>
        <v>0</v>
      </c>
      <c r="F417" s="14"/>
      <c r="G417" s="6">
        <f>+SUM(E$9:$E417)-SUM(F$9:$F417)</f>
        <v>39559000</v>
      </c>
    </row>
    <row r="418" spans="1:7" ht="28.8" x14ac:dyDescent="0.55000000000000004">
      <c r="A418" s="12"/>
      <c r="B418" s="13"/>
      <c r="C418" s="10"/>
      <c r="D418" s="10"/>
      <c r="E418" s="7">
        <f>+$I$2+(CABF[[#This Row],[QUANTITE]]*CABF[[#This Row],[PRIX UNITAIRE]])</f>
        <v>0</v>
      </c>
      <c r="F418" s="14"/>
      <c r="G418" s="6">
        <f>+SUM(E$9:$E418)-SUM(F$9:$F418)</f>
        <v>39559000</v>
      </c>
    </row>
    <row r="419" spans="1:7" ht="28.8" x14ac:dyDescent="0.55000000000000004">
      <c r="A419" s="12"/>
      <c r="B419" s="13"/>
      <c r="C419" s="10"/>
      <c r="D419" s="10"/>
      <c r="E419" s="7">
        <f>+$I$2+(CABF[[#This Row],[QUANTITE]]*CABF[[#This Row],[PRIX UNITAIRE]])</f>
        <v>0</v>
      </c>
      <c r="F419" s="14"/>
      <c r="G419" s="6">
        <f>+SUM(E$9:$E419)-SUM(F$9:$F419)</f>
        <v>39559000</v>
      </c>
    </row>
    <row r="420" spans="1:7" ht="28.8" x14ac:dyDescent="0.55000000000000004">
      <c r="A420" s="12"/>
      <c r="B420" s="13"/>
      <c r="C420" s="10"/>
      <c r="D420" s="10"/>
      <c r="E420" s="7">
        <f>+$I$2+(CABF[[#This Row],[QUANTITE]]*CABF[[#This Row],[PRIX UNITAIRE]])</f>
        <v>0</v>
      </c>
      <c r="F420" s="14"/>
      <c r="G420" s="6">
        <f>+SUM(E$9:$E420)-SUM(F$9:$F420)</f>
        <v>39559000</v>
      </c>
    </row>
    <row r="421" spans="1:7" ht="28.8" x14ac:dyDescent="0.55000000000000004">
      <c r="A421" s="12"/>
      <c r="B421" s="13"/>
      <c r="C421" s="10"/>
      <c r="D421" s="10"/>
      <c r="E421" s="7">
        <f>+$I$2+(CABF[[#This Row],[QUANTITE]]*CABF[[#This Row],[PRIX UNITAIRE]])</f>
        <v>0</v>
      </c>
      <c r="F421" s="14"/>
      <c r="G421" s="6">
        <f>+SUM(E$9:$E421)-SUM(F$9:$F421)</f>
        <v>39559000</v>
      </c>
    </row>
    <row r="422" spans="1:7" ht="28.8" x14ac:dyDescent="0.55000000000000004">
      <c r="A422" s="12"/>
      <c r="B422" s="13"/>
      <c r="C422" s="10"/>
      <c r="D422" s="10"/>
      <c r="E422" s="7">
        <f>+$I$2+(CABF[[#This Row],[QUANTITE]]*CABF[[#This Row],[PRIX UNITAIRE]])</f>
        <v>0</v>
      </c>
      <c r="F422" s="14"/>
      <c r="G422" s="6">
        <f>+SUM(E$9:$E422)-SUM(F$9:$F422)</f>
        <v>39559000</v>
      </c>
    </row>
    <row r="423" spans="1:7" ht="28.8" x14ac:dyDescent="0.55000000000000004">
      <c r="A423" s="12"/>
      <c r="B423" s="13"/>
      <c r="C423" s="10"/>
      <c r="D423" s="10"/>
      <c r="E423" s="7">
        <f>+$I$2+(CABF[[#This Row],[QUANTITE]]*CABF[[#This Row],[PRIX UNITAIRE]])</f>
        <v>0</v>
      </c>
      <c r="F423" s="14"/>
      <c r="G423" s="6">
        <f>+SUM(E$9:$E423)-SUM(F$9:$F423)</f>
        <v>39559000</v>
      </c>
    </row>
    <row r="424" spans="1:7" ht="28.8" x14ac:dyDescent="0.55000000000000004">
      <c r="A424" s="12"/>
      <c r="B424" s="13"/>
      <c r="C424" s="10"/>
      <c r="D424" s="10"/>
      <c r="E424" s="7">
        <f>+$I$2+(CABF[[#This Row],[QUANTITE]]*CABF[[#This Row],[PRIX UNITAIRE]])</f>
        <v>0</v>
      </c>
      <c r="F424" s="14"/>
      <c r="G424" s="6">
        <f>+SUM(E$9:$E424)-SUM(F$9:$F424)</f>
        <v>39559000</v>
      </c>
    </row>
    <row r="425" spans="1:7" ht="28.8" x14ac:dyDescent="0.55000000000000004">
      <c r="A425" s="12"/>
      <c r="B425" s="13"/>
      <c r="C425" s="10"/>
      <c r="D425" s="10"/>
      <c r="E425" s="7">
        <f>+$I$2+(CABF[[#This Row],[QUANTITE]]*CABF[[#This Row],[PRIX UNITAIRE]])</f>
        <v>0</v>
      </c>
      <c r="F425" s="14"/>
      <c r="G425" s="6">
        <f>+SUM(E$9:$E425)-SUM(F$9:$F425)</f>
        <v>39559000</v>
      </c>
    </row>
    <row r="426" spans="1:7" ht="28.8" x14ac:dyDescent="0.55000000000000004">
      <c r="A426" s="12"/>
      <c r="B426" s="13"/>
      <c r="C426" s="10"/>
      <c r="D426" s="10"/>
      <c r="E426" s="7">
        <f>+$I$2+(CABF[[#This Row],[QUANTITE]]*CABF[[#This Row],[PRIX UNITAIRE]])</f>
        <v>0</v>
      </c>
      <c r="F426" s="14"/>
      <c r="G426" s="6">
        <f>+SUM(E$9:$E426)-SUM(F$9:$F426)</f>
        <v>39559000</v>
      </c>
    </row>
    <row r="427" spans="1:7" ht="28.8" x14ac:dyDescent="0.55000000000000004">
      <c r="A427" s="12"/>
      <c r="B427" s="13"/>
      <c r="C427" s="10"/>
      <c r="D427" s="10"/>
      <c r="E427" s="7">
        <f>+$I$2+(CABF[[#This Row],[QUANTITE]]*CABF[[#This Row],[PRIX UNITAIRE]])</f>
        <v>0</v>
      </c>
      <c r="F427" s="14"/>
      <c r="G427" s="6">
        <f>+SUM(E$9:$E427)-SUM(F$9:$F427)</f>
        <v>39559000</v>
      </c>
    </row>
    <row r="428" spans="1:7" ht="28.8" x14ac:dyDescent="0.55000000000000004">
      <c r="A428" s="12"/>
      <c r="B428" s="13"/>
      <c r="C428" s="10"/>
      <c r="D428" s="10"/>
      <c r="E428" s="7">
        <f>+$I$2+(CABF[[#This Row],[QUANTITE]]*CABF[[#This Row],[PRIX UNITAIRE]])</f>
        <v>0</v>
      </c>
      <c r="F428" s="14"/>
      <c r="G428" s="6">
        <f>+SUM(E$9:$E428)-SUM(F$9:$F428)</f>
        <v>39559000</v>
      </c>
    </row>
    <row r="429" spans="1:7" ht="28.8" x14ac:dyDescent="0.55000000000000004">
      <c r="A429" s="12"/>
      <c r="B429" s="13"/>
      <c r="C429" s="10"/>
      <c r="D429" s="10"/>
      <c r="E429" s="7">
        <f>+$I$2+(CABF[[#This Row],[QUANTITE]]*CABF[[#This Row],[PRIX UNITAIRE]])</f>
        <v>0</v>
      </c>
      <c r="F429" s="14"/>
      <c r="G429" s="6">
        <f>+SUM(E$9:$E429)-SUM(F$9:$F429)</f>
        <v>39559000</v>
      </c>
    </row>
    <row r="430" spans="1:7" ht="28.8" x14ac:dyDescent="0.55000000000000004">
      <c r="A430" s="12"/>
      <c r="B430" s="13"/>
      <c r="C430" s="10"/>
      <c r="D430" s="10"/>
      <c r="E430" s="7">
        <f>+$I$2+(CABF[[#This Row],[QUANTITE]]*CABF[[#This Row],[PRIX UNITAIRE]])</f>
        <v>0</v>
      </c>
      <c r="F430" s="14"/>
      <c r="G430" s="6">
        <f>+SUM(E$9:$E430)-SUM(F$9:$F430)</f>
        <v>39559000</v>
      </c>
    </row>
    <row r="431" spans="1:7" ht="28.8" x14ac:dyDescent="0.55000000000000004">
      <c r="A431" s="12"/>
      <c r="B431" s="13"/>
      <c r="C431" s="10"/>
      <c r="D431" s="10"/>
      <c r="E431" s="7">
        <f>+$I$2+(CABF[[#This Row],[QUANTITE]]*CABF[[#This Row],[PRIX UNITAIRE]])</f>
        <v>0</v>
      </c>
      <c r="F431" s="14"/>
      <c r="G431" s="6">
        <f>+SUM(E$9:$E431)-SUM(F$9:$F431)</f>
        <v>39559000</v>
      </c>
    </row>
    <row r="432" spans="1:7" ht="28.8" x14ac:dyDescent="0.55000000000000004">
      <c r="A432" s="12"/>
      <c r="B432" s="13"/>
      <c r="C432" s="10"/>
      <c r="D432" s="10"/>
      <c r="E432" s="7">
        <f>+$I$2+(CABF[[#This Row],[QUANTITE]]*CABF[[#This Row],[PRIX UNITAIRE]])</f>
        <v>0</v>
      </c>
      <c r="F432" s="14"/>
      <c r="G432" s="6">
        <f>+SUM(E$9:$E432)-SUM(F$9:$F432)</f>
        <v>39559000</v>
      </c>
    </row>
    <row r="433" spans="1:7" ht="28.8" x14ac:dyDescent="0.55000000000000004">
      <c r="A433" s="12"/>
      <c r="B433" s="13"/>
      <c r="C433" s="10"/>
      <c r="D433" s="10"/>
      <c r="E433" s="7">
        <f>+$I$2+(CABF[[#This Row],[QUANTITE]]*CABF[[#This Row],[PRIX UNITAIRE]])</f>
        <v>0</v>
      </c>
      <c r="F433" s="14"/>
      <c r="G433" s="6">
        <f>+SUM(E$9:$E433)-SUM(F$9:$F433)</f>
        <v>39559000</v>
      </c>
    </row>
    <row r="434" spans="1:7" ht="28.8" x14ac:dyDescent="0.55000000000000004">
      <c r="A434" s="12"/>
      <c r="B434" s="13"/>
      <c r="C434" s="10"/>
      <c r="D434" s="10"/>
      <c r="E434" s="7">
        <f>+$I$2+(CABF[[#This Row],[QUANTITE]]*CABF[[#This Row],[PRIX UNITAIRE]])</f>
        <v>0</v>
      </c>
      <c r="F434" s="14"/>
      <c r="G434" s="6">
        <f>+SUM(E$9:$E434)-SUM(F$9:$F434)</f>
        <v>39559000</v>
      </c>
    </row>
    <row r="435" spans="1:7" ht="28.8" x14ac:dyDescent="0.55000000000000004">
      <c r="A435" s="12"/>
      <c r="B435" s="13"/>
      <c r="C435" s="10"/>
      <c r="D435" s="10"/>
      <c r="E435" s="7">
        <f>+$I$2+(CABF[[#This Row],[QUANTITE]]*CABF[[#This Row],[PRIX UNITAIRE]])</f>
        <v>0</v>
      </c>
      <c r="F435" s="14"/>
      <c r="G435" s="6">
        <f>+SUM(E$9:$E435)-SUM(F$9:$F435)</f>
        <v>39559000</v>
      </c>
    </row>
    <row r="436" spans="1:7" ht="28.8" x14ac:dyDescent="0.55000000000000004">
      <c r="A436" s="12"/>
      <c r="B436" s="13"/>
      <c r="C436" s="10"/>
      <c r="D436" s="10"/>
      <c r="E436" s="7">
        <f>+$I$2+(CABF[[#This Row],[QUANTITE]]*CABF[[#This Row],[PRIX UNITAIRE]])</f>
        <v>0</v>
      </c>
      <c r="F436" s="14"/>
      <c r="G436" s="6">
        <f>+SUM(E$9:$E436)-SUM(F$9:$F436)</f>
        <v>39559000</v>
      </c>
    </row>
    <row r="437" spans="1:7" ht="28.8" x14ac:dyDescent="0.55000000000000004">
      <c r="A437" s="12"/>
      <c r="B437" s="13"/>
      <c r="C437" s="10"/>
      <c r="D437" s="10"/>
      <c r="E437" s="7">
        <f>+$I$2+(CABF[[#This Row],[QUANTITE]]*CABF[[#This Row],[PRIX UNITAIRE]])</f>
        <v>0</v>
      </c>
      <c r="F437" s="14"/>
      <c r="G437" s="6">
        <f>+SUM(E$9:$E437)-SUM(F$9:$F437)</f>
        <v>39559000</v>
      </c>
    </row>
    <row r="438" spans="1:7" ht="28.8" x14ac:dyDescent="0.55000000000000004">
      <c r="A438" s="12"/>
      <c r="B438" s="13"/>
      <c r="C438" s="10"/>
      <c r="D438" s="10"/>
      <c r="E438" s="7">
        <f>+$I$2+(CABF[[#This Row],[QUANTITE]]*CABF[[#This Row],[PRIX UNITAIRE]])</f>
        <v>0</v>
      </c>
      <c r="F438" s="14"/>
      <c r="G438" s="6">
        <f>+SUM(E$9:$E438)-SUM(F$9:$F438)</f>
        <v>39559000</v>
      </c>
    </row>
    <row r="439" spans="1:7" ht="28.8" x14ac:dyDescent="0.55000000000000004">
      <c r="A439" s="12"/>
      <c r="B439" s="13"/>
      <c r="C439" s="10"/>
      <c r="D439" s="10"/>
      <c r="E439" s="7">
        <f>+$I$2+(CABF[[#This Row],[QUANTITE]]*CABF[[#This Row],[PRIX UNITAIRE]])</f>
        <v>0</v>
      </c>
      <c r="F439" s="14"/>
      <c r="G439" s="6">
        <f>+SUM(E$9:$E439)-SUM(F$9:$F439)</f>
        <v>39559000</v>
      </c>
    </row>
    <row r="440" spans="1:7" ht="28.8" x14ac:dyDescent="0.55000000000000004">
      <c r="A440" s="12"/>
      <c r="B440" s="13"/>
      <c r="C440" s="10"/>
      <c r="D440" s="10"/>
      <c r="E440" s="7">
        <f>+$I$2+(CABF[[#This Row],[QUANTITE]]*CABF[[#This Row],[PRIX UNITAIRE]])</f>
        <v>0</v>
      </c>
      <c r="F440" s="14"/>
      <c r="G440" s="6">
        <f>+SUM(E$9:$E440)-SUM(F$9:$F440)</f>
        <v>39559000</v>
      </c>
    </row>
    <row r="441" spans="1:7" ht="28.8" x14ac:dyDescent="0.55000000000000004">
      <c r="A441" s="12"/>
      <c r="B441" s="13"/>
      <c r="C441" s="10"/>
      <c r="D441" s="10"/>
      <c r="E441" s="7">
        <f>+$I$2+(CABF[[#This Row],[QUANTITE]]*CABF[[#This Row],[PRIX UNITAIRE]])</f>
        <v>0</v>
      </c>
      <c r="F441" s="14"/>
      <c r="G441" s="6">
        <f>+SUM(E$9:$E441)-SUM(F$9:$F441)</f>
        <v>39559000</v>
      </c>
    </row>
    <row r="442" spans="1:7" ht="28.8" x14ac:dyDescent="0.55000000000000004">
      <c r="A442" s="12"/>
      <c r="B442" s="13"/>
      <c r="C442" s="10"/>
      <c r="D442" s="10"/>
      <c r="E442" s="7">
        <f>+$I$2+(CABF[[#This Row],[QUANTITE]]*CABF[[#This Row],[PRIX UNITAIRE]])</f>
        <v>0</v>
      </c>
      <c r="F442" s="14"/>
      <c r="G442" s="6">
        <f>+SUM(E$9:$E442)-SUM(F$9:$F442)</f>
        <v>39559000</v>
      </c>
    </row>
    <row r="443" spans="1:7" ht="28.8" x14ac:dyDescent="0.55000000000000004">
      <c r="A443" s="12"/>
      <c r="B443" s="13"/>
      <c r="C443" s="10"/>
      <c r="D443" s="10"/>
      <c r="E443" s="7">
        <f>+$I$2+(CABF[[#This Row],[QUANTITE]]*CABF[[#This Row],[PRIX UNITAIRE]])</f>
        <v>0</v>
      </c>
      <c r="F443" s="14"/>
      <c r="G443" s="6">
        <f>+SUM(E$9:$E443)-SUM(F$9:$F443)</f>
        <v>39559000</v>
      </c>
    </row>
    <row r="444" spans="1:7" ht="28.8" x14ac:dyDescent="0.55000000000000004">
      <c r="A444" s="12"/>
      <c r="B444" s="13"/>
      <c r="C444" s="10"/>
      <c r="D444" s="10"/>
      <c r="E444" s="7">
        <f>+$I$2+(CABF[[#This Row],[QUANTITE]]*CABF[[#This Row],[PRIX UNITAIRE]])</f>
        <v>0</v>
      </c>
      <c r="F444" s="14"/>
      <c r="G444" s="6">
        <f>+SUM(E$9:$E444)-SUM(F$9:$F444)</f>
        <v>39559000</v>
      </c>
    </row>
    <row r="445" spans="1:7" ht="28.8" x14ac:dyDescent="0.55000000000000004">
      <c r="A445" s="12"/>
      <c r="B445" s="13"/>
      <c r="C445" s="10"/>
      <c r="D445" s="10"/>
      <c r="E445" s="7">
        <f>+$I$2+(CABF[[#This Row],[QUANTITE]]*CABF[[#This Row],[PRIX UNITAIRE]])</f>
        <v>0</v>
      </c>
      <c r="F445" s="14"/>
      <c r="G445" s="6">
        <f>+SUM(E$9:$E445)-SUM(F$9:$F445)</f>
        <v>39559000</v>
      </c>
    </row>
    <row r="446" spans="1:7" ht="28.8" x14ac:dyDescent="0.55000000000000004">
      <c r="A446" s="12"/>
      <c r="B446" s="13"/>
      <c r="C446" s="10"/>
      <c r="D446" s="10"/>
      <c r="E446" s="7">
        <f>+$I$2+(CABF[[#This Row],[QUANTITE]]*CABF[[#This Row],[PRIX UNITAIRE]])</f>
        <v>0</v>
      </c>
      <c r="F446" s="14"/>
      <c r="G446" s="6">
        <f>+SUM(E$9:$E446)-SUM(F$9:$F446)</f>
        <v>39559000</v>
      </c>
    </row>
    <row r="447" spans="1:7" ht="28.8" x14ac:dyDescent="0.55000000000000004">
      <c r="A447" s="12"/>
      <c r="B447" s="13"/>
      <c r="C447" s="10"/>
      <c r="D447" s="10"/>
      <c r="E447" s="7">
        <f>+$I$2+(CABF[[#This Row],[QUANTITE]]*CABF[[#This Row],[PRIX UNITAIRE]])</f>
        <v>0</v>
      </c>
      <c r="F447" s="14"/>
      <c r="G447" s="6">
        <f>+SUM(E$9:$E447)-SUM(F$9:$F447)</f>
        <v>39559000</v>
      </c>
    </row>
    <row r="448" spans="1:7" ht="28.8" x14ac:dyDescent="0.55000000000000004">
      <c r="A448" s="12"/>
      <c r="B448" s="13"/>
      <c r="C448" s="10"/>
      <c r="D448" s="10"/>
      <c r="E448" s="7">
        <f>+$I$2+(CABF[[#This Row],[QUANTITE]]*CABF[[#This Row],[PRIX UNITAIRE]])</f>
        <v>0</v>
      </c>
      <c r="F448" s="14"/>
      <c r="G448" s="6">
        <f>+SUM(E$9:$E448)-SUM(F$9:$F448)</f>
        <v>39559000</v>
      </c>
    </row>
    <row r="449" spans="1:7" ht="28.8" x14ac:dyDescent="0.55000000000000004">
      <c r="A449" s="12"/>
      <c r="B449" s="13"/>
      <c r="C449" s="10"/>
      <c r="D449" s="10"/>
      <c r="E449" s="7">
        <f>+$I$2+(CABF[[#This Row],[QUANTITE]]*CABF[[#This Row],[PRIX UNITAIRE]])</f>
        <v>0</v>
      </c>
      <c r="F449" s="14"/>
      <c r="G449" s="6">
        <f>+SUM(E$9:$E449)-SUM(F$9:$F449)</f>
        <v>39559000</v>
      </c>
    </row>
    <row r="450" spans="1:7" ht="28.8" x14ac:dyDescent="0.55000000000000004">
      <c r="A450" s="12"/>
      <c r="B450" s="13"/>
      <c r="C450" s="10"/>
      <c r="D450" s="10"/>
      <c r="E450" s="7">
        <f>+$I$2+(CABF[[#This Row],[QUANTITE]]*CABF[[#This Row],[PRIX UNITAIRE]])</f>
        <v>0</v>
      </c>
      <c r="F450" s="14"/>
      <c r="G450" s="6">
        <f>+SUM(E$9:$E450)-SUM(F$9:$F450)</f>
        <v>39559000</v>
      </c>
    </row>
    <row r="451" spans="1:7" ht="28.8" x14ac:dyDescent="0.55000000000000004">
      <c r="A451" s="12"/>
      <c r="B451" s="13"/>
      <c r="C451" s="10"/>
      <c r="D451" s="10"/>
      <c r="E451" s="7">
        <f>+$I$2+(CABF[[#This Row],[QUANTITE]]*CABF[[#This Row],[PRIX UNITAIRE]])</f>
        <v>0</v>
      </c>
      <c r="F451" s="14"/>
      <c r="G451" s="6">
        <f>+SUM(E$9:$E451)-SUM(F$9:$F451)</f>
        <v>39559000</v>
      </c>
    </row>
    <row r="452" spans="1:7" ht="28.8" x14ac:dyDescent="0.55000000000000004">
      <c r="A452" s="12"/>
      <c r="B452" s="13"/>
      <c r="C452" s="10"/>
      <c r="D452" s="10"/>
      <c r="E452" s="7">
        <f>+$I$2+(CABF[[#This Row],[QUANTITE]]*CABF[[#This Row],[PRIX UNITAIRE]])</f>
        <v>0</v>
      </c>
      <c r="F452" s="14"/>
      <c r="G452" s="6">
        <f>+SUM(E$9:$E452)-SUM(F$9:$F452)</f>
        <v>39559000</v>
      </c>
    </row>
    <row r="453" spans="1:7" ht="28.8" x14ac:dyDescent="0.55000000000000004">
      <c r="A453" s="12"/>
      <c r="B453" s="13"/>
      <c r="C453" s="10"/>
      <c r="D453" s="10"/>
      <c r="E453" s="7">
        <f>+$I$2+(CABF[[#This Row],[QUANTITE]]*CABF[[#This Row],[PRIX UNITAIRE]])</f>
        <v>0</v>
      </c>
      <c r="F453" s="14"/>
      <c r="G453" s="6">
        <f>+SUM(E$9:$E453)-SUM(F$9:$F453)</f>
        <v>39559000</v>
      </c>
    </row>
    <row r="454" spans="1:7" ht="28.8" x14ac:dyDescent="0.55000000000000004">
      <c r="A454" s="12"/>
      <c r="B454" s="13"/>
      <c r="C454" s="10"/>
      <c r="D454" s="10"/>
      <c r="E454" s="7">
        <f>+$I$2+(CABF[[#This Row],[QUANTITE]]*CABF[[#This Row],[PRIX UNITAIRE]])</f>
        <v>0</v>
      </c>
      <c r="F454" s="14"/>
      <c r="G454" s="6">
        <f>+SUM(E$9:$E454)-SUM(F$9:$F454)</f>
        <v>39559000</v>
      </c>
    </row>
    <row r="455" spans="1:7" ht="28.8" x14ac:dyDescent="0.55000000000000004">
      <c r="A455" s="12"/>
      <c r="B455" s="13"/>
      <c r="C455" s="10"/>
      <c r="D455" s="10"/>
      <c r="E455" s="7">
        <f>+$I$2+(CABF[[#This Row],[QUANTITE]]*CABF[[#This Row],[PRIX UNITAIRE]])</f>
        <v>0</v>
      </c>
      <c r="F455" s="14"/>
      <c r="G455" s="6">
        <f>+SUM(E$9:$E455)-SUM(F$9:$F455)</f>
        <v>39559000</v>
      </c>
    </row>
    <row r="456" spans="1:7" ht="28.8" x14ac:dyDescent="0.55000000000000004">
      <c r="A456" s="12"/>
      <c r="B456" s="13"/>
      <c r="C456" s="10"/>
      <c r="D456" s="10"/>
      <c r="E456" s="7">
        <f>+$I$2+(CABF[[#This Row],[QUANTITE]]*CABF[[#This Row],[PRIX UNITAIRE]])</f>
        <v>0</v>
      </c>
      <c r="F456" s="14"/>
      <c r="G456" s="6">
        <f>+SUM(E$9:$E456)-SUM(F$9:$F456)</f>
        <v>39559000</v>
      </c>
    </row>
    <row r="457" spans="1:7" ht="28.8" x14ac:dyDescent="0.55000000000000004">
      <c r="A457" s="12"/>
      <c r="B457" s="13"/>
      <c r="C457" s="10"/>
      <c r="D457" s="10"/>
      <c r="E457" s="7">
        <f>+$I$2+(CABF[[#This Row],[QUANTITE]]*CABF[[#This Row],[PRIX UNITAIRE]])</f>
        <v>0</v>
      </c>
      <c r="F457" s="14"/>
      <c r="G457" s="6">
        <f>+SUM(E$9:$E457)-SUM(F$9:$F457)</f>
        <v>39559000</v>
      </c>
    </row>
    <row r="458" spans="1:7" ht="28.8" x14ac:dyDescent="0.55000000000000004">
      <c r="A458" s="12"/>
      <c r="B458" s="13"/>
      <c r="C458" s="10"/>
      <c r="D458" s="10"/>
      <c r="E458" s="7">
        <f>+$I$2+(CABF[[#This Row],[QUANTITE]]*CABF[[#This Row],[PRIX UNITAIRE]])</f>
        <v>0</v>
      </c>
      <c r="F458" s="14"/>
      <c r="G458" s="6">
        <f>+SUM(E$9:$E458)-SUM(F$9:$F458)</f>
        <v>39559000</v>
      </c>
    </row>
    <row r="459" spans="1:7" ht="28.8" x14ac:dyDescent="0.55000000000000004">
      <c r="A459" s="12"/>
      <c r="B459" s="13"/>
      <c r="C459" s="10"/>
      <c r="D459" s="10"/>
      <c r="E459" s="7">
        <f>+$I$2+(CABF[[#This Row],[QUANTITE]]*CABF[[#This Row],[PRIX UNITAIRE]])</f>
        <v>0</v>
      </c>
      <c r="F459" s="14"/>
      <c r="G459" s="6">
        <f>+SUM(E$9:$E459)-SUM(F$9:$F459)</f>
        <v>39559000</v>
      </c>
    </row>
    <row r="460" spans="1:7" ht="28.8" x14ac:dyDescent="0.55000000000000004">
      <c r="A460" s="12"/>
      <c r="B460" s="13"/>
      <c r="C460" s="10"/>
      <c r="D460" s="10"/>
      <c r="E460" s="7">
        <f>+$I$2+(CABF[[#This Row],[QUANTITE]]*CABF[[#This Row],[PRIX UNITAIRE]])</f>
        <v>0</v>
      </c>
      <c r="F460" s="14"/>
      <c r="G460" s="6">
        <f>+SUM(E$9:$E460)-SUM(F$9:$F460)</f>
        <v>39559000</v>
      </c>
    </row>
    <row r="461" spans="1:7" ht="28.8" x14ac:dyDescent="0.55000000000000004">
      <c r="A461" s="12"/>
      <c r="B461" s="13"/>
      <c r="C461" s="10"/>
      <c r="D461" s="10"/>
      <c r="E461" s="7">
        <f>+$I$2+(CABF[[#This Row],[QUANTITE]]*CABF[[#This Row],[PRIX UNITAIRE]])</f>
        <v>0</v>
      </c>
      <c r="F461" s="14"/>
      <c r="G461" s="6">
        <f>+SUM(E$9:$E461)-SUM(F$9:$F461)</f>
        <v>39559000</v>
      </c>
    </row>
    <row r="462" spans="1:7" ht="28.8" x14ac:dyDescent="0.55000000000000004">
      <c r="A462" s="12"/>
      <c r="B462" s="13"/>
      <c r="C462" s="10"/>
      <c r="D462" s="10"/>
      <c r="E462" s="7">
        <f>+$I$2+(CABF[[#This Row],[QUANTITE]]*CABF[[#This Row],[PRIX UNITAIRE]])</f>
        <v>0</v>
      </c>
      <c r="F462" s="14"/>
      <c r="G462" s="6">
        <f>+SUM(E$9:$E462)-SUM(F$9:$F462)</f>
        <v>39559000</v>
      </c>
    </row>
    <row r="463" spans="1:7" ht="28.8" x14ac:dyDescent="0.55000000000000004">
      <c r="A463" s="12"/>
      <c r="B463" s="13"/>
      <c r="C463" s="10"/>
      <c r="D463" s="10"/>
      <c r="E463" s="7">
        <f>+$I$2+(CABF[[#This Row],[QUANTITE]]*CABF[[#This Row],[PRIX UNITAIRE]])</f>
        <v>0</v>
      </c>
      <c r="F463" s="14"/>
      <c r="G463" s="6">
        <f>+SUM(E$9:$E463)-SUM(F$9:$F463)</f>
        <v>39559000</v>
      </c>
    </row>
    <row r="464" spans="1:7" ht="28.8" x14ac:dyDescent="0.55000000000000004">
      <c r="A464" s="12"/>
      <c r="B464" s="13"/>
      <c r="C464" s="10"/>
      <c r="D464" s="10"/>
      <c r="E464" s="7">
        <f>+$I$2+(CABF[[#This Row],[QUANTITE]]*CABF[[#This Row],[PRIX UNITAIRE]])</f>
        <v>0</v>
      </c>
      <c r="F464" s="14"/>
      <c r="G464" s="6">
        <f>+SUM(E$9:$E464)-SUM(F$9:$F464)</f>
        <v>39559000</v>
      </c>
    </row>
    <row r="465" spans="1:7" ht="28.8" x14ac:dyDescent="0.55000000000000004">
      <c r="A465" s="12"/>
      <c r="B465" s="13"/>
      <c r="C465" s="10"/>
      <c r="D465" s="10"/>
      <c r="E465" s="7">
        <f>+$I$2+(CABF[[#This Row],[QUANTITE]]*CABF[[#This Row],[PRIX UNITAIRE]])</f>
        <v>0</v>
      </c>
      <c r="F465" s="14"/>
      <c r="G465" s="6">
        <f>+SUM(E$9:$E465)-SUM(F$9:$F465)</f>
        <v>39559000</v>
      </c>
    </row>
    <row r="466" spans="1:7" ht="28.8" x14ac:dyDescent="0.55000000000000004">
      <c r="A466" s="12"/>
      <c r="B466" s="13"/>
      <c r="C466" s="10"/>
      <c r="D466" s="10"/>
      <c r="E466" s="7">
        <f>+$I$2+(CABF[[#This Row],[QUANTITE]]*CABF[[#This Row],[PRIX UNITAIRE]])</f>
        <v>0</v>
      </c>
      <c r="F466" s="14"/>
      <c r="G466" s="6">
        <f>+SUM(E$9:$E466)-SUM(F$9:$F466)</f>
        <v>39559000</v>
      </c>
    </row>
    <row r="467" spans="1:7" ht="28.8" x14ac:dyDescent="0.55000000000000004">
      <c r="A467" s="12"/>
      <c r="B467" s="13"/>
      <c r="C467" s="10"/>
      <c r="D467" s="10"/>
      <c r="E467" s="7">
        <f>+$I$2+(CABF[[#This Row],[QUANTITE]]*CABF[[#This Row],[PRIX UNITAIRE]])</f>
        <v>0</v>
      </c>
      <c r="F467" s="14"/>
      <c r="G467" s="6">
        <f>+SUM(E$9:$E467)-SUM(F$9:$F467)</f>
        <v>39559000</v>
      </c>
    </row>
    <row r="468" spans="1:7" ht="28.8" x14ac:dyDescent="0.55000000000000004">
      <c r="A468" s="12"/>
      <c r="B468" s="13"/>
      <c r="C468" s="10"/>
      <c r="D468" s="10"/>
      <c r="E468" s="7">
        <f>+$I$2+(CABF[[#This Row],[QUANTITE]]*CABF[[#This Row],[PRIX UNITAIRE]])</f>
        <v>0</v>
      </c>
      <c r="F468" s="14"/>
      <c r="G468" s="6">
        <f>+SUM(E$9:$E468)-SUM(F$9:$F468)</f>
        <v>39559000</v>
      </c>
    </row>
    <row r="469" spans="1:7" ht="28.8" x14ac:dyDescent="0.55000000000000004">
      <c r="A469" s="12"/>
      <c r="B469" s="13"/>
      <c r="C469" s="10"/>
      <c r="D469" s="10"/>
      <c r="E469" s="7">
        <f>+$I$2+(CABF[[#This Row],[QUANTITE]]*CABF[[#This Row],[PRIX UNITAIRE]])</f>
        <v>0</v>
      </c>
      <c r="F469" s="14"/>
      <c r="G469" s="6">
        <f>+SUM(E$9:$E469)-SUM(F$9:$F469)</f>
        <v>39559000</v>
      </c>
    </row>
    <row r="470" spans="1:7" ht="28.8" x14ac:dyDescent="0.55000000000000004">
      <c r="A470" s="12"/>
      <c r="B470" s="13"/>
      <c r="C470" s="10"/>
      <c r="D470" s="10"/>
      <c r="E470" s="7">
        <f>+$I$2+(CABF[[#This Row],[QUANTITE]]*CABF[[#This Row],[PRIX UNITAIRE]])</f>
        <v>0</v>
      </c>
      <c r="F470" s="14"/>
      <c r="G470" s="6">
        <f>+SUM(E$9:$E470)-SUM(F$9:$F470)</f>
        <v>39559000</v>
      </c>
    </row>
    <row r="471" spans="1:7" ht="28.8" x14ac:dyDescent="0.55000000000000004">
      <c r="A471" s="12"/>
      <c r="B471" s="13"/>
      <c r="C471" s="10"/>
      <c r="D471" s="10"/>
      <c r="E471" s="7">
        <f>+$I$2+(CABF[[#This Row],[QUANTITE]]*CABF[[#This Row],[PRIX UNITAIRE]])</f>
        <v>0</v>
      </c>
      <c r="F471" s="14"/>
      <c r="G471" s="6">
        <f>+SUM(E$9:$E471)-SUM(F$9:$F471)</f>
        <v>39559000</v>
      </c>
    </row>
    <row r="472" spans="1:7" ht="28.8" x14ac:dyDescent="0.55000000000000004">
      <c r="A472" s="12"/>
      <c r="B472" s="13"/>
      <c r="C472" s="10"/>
      <c r="D472" s="10"/>
      <c r="E472" s="7">
        <f>+$I$2+(CABF[[#This Row],[QUANTITE]]*CABF[[#This Row],[PRIX UNITAIRE]])</f>
        <v>0</v>
      </c>
      <c r="F472" s="14"/>
      <c r="G472" s="6">
        <f>+SUM(E$9:$E472)-SUM(F$9:$F472)</f>
        <v>39559000</v>
      </c>
    </row>
    <row r="473" spans="1:7" ht="28.8" x14ac:dyDescent="0.55000000000000004">
      <c r="A473" s="12"/>
      <c r="B473" s="13"/>
      <c r="C473" s="10"/>
      <c r="D473" s="10"/>
      <c r="E473" s="7">
        <f>+$I$2+(CABF[[#This Row],[QUANTITE]]*CABF[[#This Row],[PRIX UNITAIRE]])</f>
        <v>0</v>
      </c>
      <c r="F473" s="14"/>
      <c r="G473" s="6">
        <f>+SUM(E$9:$E473)-SUM(F$9:$F473)</f>
        <v>39559000</v>
      </c>
    </row>
    <row r="474" spans="1:7" ht="28.8" x14ac:dyDescent="0.55000000000000004">
      <c r="A474" s="12"/>
      <c r="B474" s="13"/>
      <c r="C474" s="10"/>
      <c r="D474" s="10"/>
      <c r="E474" s="7">
        <f>+$I$2+(CABF[[#This Row],[QUANTITE]]*CABF[[#This Row],[PRIX UNITAIRE]])</f>
        <v>0</v>
      </c>
      <c r="F474" s="14"/>
      <c r="G474" s="6">
        <f>+SUM(E$9:$E474)-SUM(F$9:$F474)</f>
        <v>39559000</v>
      </c>
    </row>
    <row r="475" spans="1:7" ht="28.8" x14ac:dyDescent="0.55000000000000004">
      <c r="A475" s="12"/>
      <c r="B475" s="13"/>
      <c r="C475" s="10"/>
      <c r="D475" s="10"/>
      <c r="E475" s="7">
        <f>+$I$2+(CABF[[#This Row],[QUANTITE]]*CABF[[#This Row],[PRIX UNITAIRE]])</f>
        <v>0</v>
      </c>
      <c r="F475" s="14"/>
      <c r="G475" s="6">
        <f>+SUM(E$9:$E475)-SUM(F$9:$F475)</f>
        <v>39559000</v>
      </c>
    </row>
    <row r="476" spans="1:7" ht="28.8" x14ac:dyDescent="0.55000000000000004">
      <c r="A476" s="12"/>
      <c r="B476" s="13"/>
      <c r="C476" s="10"/>
      <c r="D476" s="10"/>
      <c r="E476" s="7">
        <f>+$I$2+(CABF[[#This Row],[QUANTITE]]*CABF[[#This Row],[PRIX UNITAIRE]])</f>
        <v>0</v>
      </c>
      <c r="F476" s="14"/>
      <c r="G476" s="6">
        <f>+SUM(E$9:$E476)-SUM(F$9:$F476)</f>
        <v>39559000</v>
      </c>
    </row>
    <row r="477" spans="1:7" ht="28.8" x14ac:dyDescent="0.55000000000000004">
      <c r="A477" s="12"/>
      <c r="B477" s="13"/>
      <c r="C477" s="10"/>
      <c r="D477" s="10"/>
      <c r="E477" s="7">
        <f>+$I$2+(CABF[[#This Row],[QUANTITE]]*CABF[[#This Row],[PRIX UNITAIRE]])</f>
        <v>0</v>
      </c>
      <c r="F477" s="14"/>
      <c r="G477" s="6">
        <f>+SUM(E$9:$E477)-SUM(F$9:$F477)</f>
        <v>39559000</v>
      </c>
    </row>
  </sheetData>
  <sheetProtection selectLockedCells="1" autoFilter="0"/>
  <mergeCells count="1">
    <mergeCell ref="B6:C6"/>
  </mergeCells>
  <conditionalFormatting sqref="B9:B477">
    <cfRule type="expression" dxfId="289" priority="5">
      <formula>$F9</formula>
    </cfRule>
  </conditionalFormatting>
  <conditionalFormatting sqref="G4">
    <cfRule type="cellIs" dxfId="288" priority="2" operator="lessThan">
      <formula>0</formula>
    </cfRule>
    <cfRule type="cellIs" dxfId="287" priority="3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477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/>
  <dimension ref="A1:M1779"/>
  <sheetViews>
    <sheetView showGridLines="0" zoomScale="60" zoomScaleNormal="60" workbookViewId="0">
      <pane ySplit="8" topLeftCell="A295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24.77734375" style="32" customWidth="1"/>
    <col min="2" max="2" width="27.88671875" style="32" customWidth="1"/>
    <col min="3" max="3" width="40.5546875" style="32" customWidth="1"/>
    <col min="4" max="4" width="23.21875" style="32" bestFit="1" customWidth="1"/>
    <col min="5" max="5" width="31.77734375" style="33" customWidth="1"/>
    <col min="6" max="6" width="33.77734375" style="32" customWidth="1"/>
    <col min="7" max="7" width="34.77734375" style="33" bestFit="1" customWidth="1"/>
    <col min="8" max="8" width="33.44140625" style="32" bestFit="1" customWidth="1"/>
    <col min="9" max="9" width="11.5546875" style="32" hidden="1" customWidth="1"/>
    <col min="10" max="11" width="11.5546875" style="32"/>
    <col min="12" max="13" width="23" style="32" bestFit="1" customWidth="1"/>
    <col min="14" max="16384" width="11.5546875" style="32"/>
  </cols>
  <sheetData>
    <row r="1" spans="1:13" ht="15" thickBot="1" x14ac:dyDescent="0.35">
      <c r="A1" s="122" t="s">
        <v>3247</v>
      </c>
      <c r="B1" s="123"/>
      <c r="C1" s="141"/>
      <c r="D1" s="123"/>
      <c r="E1" s="141"/>
      <c r="F1" s="123"/>
      <c r="G1" s="142"/>
      <c r="H1" s="142"/>
      <c r="M1" s="42">
        <f ca="1">+NOW()</f>
        <v>46102.571020717594</v>
      </c>
    </row>
    <row r="2" spans="1:13" ht="34.200000000000003" thickBot="1" x14ac:dyDescent="0.45">
      <c r="A2" s="127"/>
      <c r="B2" s="143"/>
      <c r="C2" s="144"/>
      <c r="D2" s="128"/>
      <c r="E2" s="109"/>
      <c r="F2" s="40"/>
      <c r="G2" s="140"/>
      <c r="H2" s="142"/>
    </row>
    <row r="3" spans="1:13" ht="31.8" thickBot="1" x14ac:dyDescent="0.35">
      <c r="A3" s="127"/>
      <c r="B3" s="128"/>
      <c r="C3" s="144"/>
      <c r="D3" s="128"/>
      <c r="E3" s="34" t="s">
        <v>1223</v>
      </c>
      <c r="F3" s="35" t="s">
        <v>1221</v>
      </c>
      <c r="G3" s="36" t="s">
        <v>8</v>
      </c>
      <c r="H3" s="37" t="s">
        <v>6</v>
      </c>
    </row>
    <row r="4" spans="1:13" ht="36" customHeight="1" x14ac:dyDescent="0.3">
      <c r="A4" s="127"/>
      <c r="B4" s="128"/>
      <c r="C4" s="128"/>
      <c r="D4" s="128"/>
      <c r="E4" s="155" t="s">
        <v>1224</v>
      </c>
      <c r="F4" s="41">
        <f>+SUM(CLIENT[TOTAL MONTANT])</f>
        <v>286587000</v>
      </c>
      <c r="G4" s="41">
        <f>+SUM(CLIENT[VERSEMENT])</f>
        <v>213990000</v>
      </c>
      <c r="H4" s="41">
        <f>+F4-G4</f>
        <v>72597000</v>
      </c>
      <c r="I4" s="32">
        <v>0</v>
      </c>
    </row>
    <row r="5" spans="1:13" ht="29.4" thickBot="1" x14ac:dyDescent="0.35">
      <c r="A5" s="127"/>
      <c r="B5" s="3" t="s">
        <v>7</v>
      </c>
      <c r="C5" s="128"/>
      <c r="D5" s="128"/>
      <c r="E5" s="144"/>
      <c r="F5" s="128"/>
      <c r="G5" s="145"/>
    </row>
    <row r="6" spans="1:13" ht="37.200000000000003" thickBot="1" x14ac:dyDescent="0.75">
      <c r="A6" s="127"/>
      <c r="B6" s="168" t="s">
        <v>1036</v>
      </c>
      <c r="C6" s="169"/>
      <c r="D6" s="128"/>
      <c r="E6" s="146"/>
      <c r="F6" s="128"/>
      <c r="G6" s="145"/>
    </row>
    <row r="7" spans="1:13" ht="15" thickBot="1" x14ac:dyDescent="0.35">
      <c r="A7" s="147"/>
      <c r="B7" s="148"/>
      <c r="C7" s="148"/>
      <c r="D7" s="148"/>
      <c r="E7" s="149"/>
      <c r="F7" s="148"/>
      <c r="G7" s="150"/>
    </row>
    <row r="8" spans="1:13" ht="28.8" x14ac:dyDescent="0.55000000000000004">
      <c r="A8" s="2" t="s">
        <v>0</v>
      </c>
      <c r="B8" s="2" t="s">
        <v>1222</v>
      </c>
      <c r="C8" s="2" t="s">
        <v>1</v>
      </c>
      <c r="D8" s="2" t="s">
        <v>2</v>
      </c>
      <c r="E8" s="2" t="s">
        <v>3</v>
      </c>
      <c r="F8" s="5" t="s">
        <v>4</v>
      </c>
      <c r="G8" s="2" t="s">
        <v>5</v>
      </c>
      <c r="H8" s="4" t="s">
        <v>6</v>
      </c>
    </row>
    <row r="9" spans="1:13" ht="28.8" x14ac:dyDescent="0.55000000000000004">
      <c r="A9" s="43">
        <v>43811</v>
      </c>
      <c r="B9" s="43" t="s">
        <v>1290</v>
      </c>
      <c r="C9" s="44" t="s">
        <v>1291</v>
      </c>
      <c r="D9" s="45">
        <v>8</v>
      </c>
      <c r="E9" s="46">
        <v>250000</v>
      </c>
      <c r="F9" s="47">
        <f>+$I$4+(CLIENT[[#This Row],[QUANTITE]]*CLIENT[[#This Row],[PRIX UNITAIRE]])</f>
        <v>2000000</v>
      </c>
      <c r="G9" s="48"/>
      <c r="H9" s="49">
        <f>+SUM($F$9:F9)-SUM($G$9:G9)</f>
        <v>2000000</v>
      </c>
    </row>
    <row r="10" spans="1:13" ht="28.8" x14ac:dyDescent="0.55000000000000004">
      <c r="A10" s="43">
        <v>43815</v>
      </c>
      <c r="B10" s="43" t="s">
        <v>1292</v>
      </c>
      <c r="C10" s="44" t="s">
        <v>1293</v>
      </c>
      <c r="D10" s="45">
        <v>2</v>
      </c>
      <c r="E10" s="46">
        <v>280000</v>
      </c>
      <c r="F10" s="47">
        <f>+$I$4+(CLIENT[[#This Row],[QUANTITE]]*CLIENT[[#This Row],[PRIX UNITAIRE]])</f>
        <v>560000</v>
      </c>
      <c r="G10" s="48"/>
      <c r="H10" s="49">
        <f>+SUM($F$9:F10)-SUM($G$9:G10)</f>
        <v>2560000</v>
      </c>
    </row>
    <row r="11" spans="1:13" ht="28.8" x14ac:dyDescent="0.55000000000000004">
      <c r="A11" s="43">
        <v>43811</v>
      </c>
      <c r="B11" s="43"/>
      <c r="C11" s="44" t="s">
        <v>1294</v>
      </c>
      <c r="D11" s="45">
        <v>1</v>
      </c>
      <c r="E11" s="46">
        <v>0</v>
      </c>
      <c r="F11" s="47">
        <f>+$I$4+(CLIENT[[#This Row],[QUANTITE]]*CLIENT[[#This Row],[PRIX UNITAIRE]])</f>
        <v>0</v>
      </c>
      <c r="G11" s="48">
        <v>400000</v>
      </c>
      <c r="H11" s="49">
        <f>+SUM($F$9:F11)-SUM($G$9:G11)</f>
        <v>2160000</v>
      </c>
    </row>
    <row r="12" spans="1:13" ht="28.8" x14ac:dyDescent="0.55000000000000004">
      <c r="A12" s="43">
        <v>43816</v>
      </c>
      <c r="B12" s="43" t="s">
        <v>1295</v>
      </c>
      <c r="C12" s="44" t="s">
        <v>1296</v>
      </c>
      <c r="D12" s="45">
        <v>1</v>
      </c>
      <c r="E12" s="46">
        <v>280000</v>
      </c>
      <c r="F12" s="47">
        <f>+$I$4+(CLIENT[[#This Row],[QUANTITE]]*CLIENT[[#This Row],[PRIX UNITAIRE]])</f>
        <v>280000</v>
      </c>
      <c r="G12" s="48"/>
      <c r="H12" s="49">
        <f>+SUM($F$9:F12)-SUM($G$9:G12)</f>
        <v>2440000</v>
      </c>
    </row>
    <row r="13" spans="1:13" ht="28.8" x14ac:dyDescent="0.55000000000000004">
      <c r="A13" s="43">
        <v>43840</v>
      </c>
      <c r="B13" s="43"/>
      <c r="C13" s="44" t="s">
        <v>1297</v>
      </c>
      <c r="D13" s="45">
        <v>1</v>
      </c>
      <c r="E13" s="46">
        <v>0</v>
      </c>
      <c r="F13" s="47">
        <f>+$I$4+(CLIENT[[#This Row],[QUANTITE]]*CLIENT[[#This Row],[PRIX UNITAIRE]])</f>
        <v>0</v>
      </c>
      <c r="G13" s="48">
        <v>2160000</v>
      </c>
      <c r="H13" s="49">
        <f>+SUM($F$9:F13)-SUM($G$9:G13)</f>
        <v>280000</v>
      </c>
    </row>
    <row r="14" spans="1:13" ht="28.8" x14ac:dyDescent="0.55000000000000004">
      <c r="A14" s="43">
        <v>43840</v>
      </c>
      <c r="B14" s="43" t="s">
        <v>1298</v>
      </c>
      <c r="C14" s="44" t="s">
        <v>1299</v>
      </c>
      <c r="D14" s="45">
        <v>2</v>
      </c>
      <c r="E14" s="46">
        <v>160000</v>
      </c>
      <c r="F14" s="47">
        <f>+$I$4+(CLIENT[[#This Row],[QUANTITE]]*CLIENT[[#This Row],[PRIX UNITAIRE]])</f>
        <v>320000</v>
      </c>
      <c r="G14" s="48"/>
      <c r="H14" s="49">
        <f>+SUM($F$9:F14)-SUM($G$9:G14)</f>
        <v>600000</v>
      </c>
    </row>
    <row r="15" spans="1:13" ht="28.8" x14ac:dyDescent="0.55000000000000004">
      <c r="A15" s="43">
        <v>43841</v>
      </c>
      <c r="B15" s="43" t="s">
        <v>1300</v>
      </c>
      <c r="C15" s="44" t="s">
        <v>1301</v>
      </c>
      <c r="D15" s="45">
        <v>1</v>
      </c>
      <c r="E15" s="46">
        <v>250000</v>
      </c>
      <c r="F15" s="47">
        <f>+$I$4+(CLIENT[[#This Row],[QUANTITE]]*CLIENT[[#This Row],[PRIX UNITAIRE]])</f>
        <v>250000</v>
      </c>
      <c r="G15" s="48"/>
      <c r="H15" s="49">
        <f>+SUM($F$9:F15)-SUM($G$9:G15)</f>
        <v>850000</v>
      </c>
    </row>
    <row r="16" spans="1:13" ht="28.8" x14ac:dyDescent="0.55000000000000004">
      <c r="A16" s="43">
        <v>43845</v>
      </c>
      <c r="B16" s="43" t="s">
        <v>1302</v>
      </c>
      <c r="C16" s="44" t="s">
        <v>1303</v>
      </c>
      <c r="D16" s="45">
        <v>1</v>
      </c>
      <c r="E16" s="46">
        <v>280000</v>
      </c>
      <c r="F16" s="47">
        <f>+$I$4+(CLIENT[[#This Row],[QUANTITE]]*CLIENT[[#This Row],[PRIX UNITAIRE]])</f>
        <v>280000</v>
      </c>
      <c r="G16" s="48"/>
      <c r="H16" s="49">
        <f>+SUM($F$9:F16)-SUM($G$9:G16)</f>
        <v>1130000</v>
      </c>
    </row>
    <row r="17" spans="1:8" ht="28.8" x14ac:dyDescent="0.55000000000000004">
      <c r="A17" s="43">
        <v>43847</v>
      </c>
      <c r="B17" s="43" t="s">
        <v>1304</v>
      </c>
      <c r="C17" s="44" t="s">
        <v>1305</v>
      </c>
      <c r="D17" s="45">
        <v>1</v>
      </c>
      <c r="E17" s="46">
        <v>280000</v>
      </c>
      <c r="F17" s="47">
        <f>+$I$4+(CLIENT[[#This Row],[QUANTITE]]*CLIENT[[#This Row],[PRIX UNITAIRE]])</f>
        <v>280000</v>
      </c>
      <c r="G17" s="48"/>
      <c r="H17" s="49">
        <f>+SUM($F$9:F17)-SUM($G$9:G17)</f>
        <v>1410000</v>
      </c>
    </row>
    <row r="18" spans="1:8" ht="28.8" x14ac:dyDescent="0.55000000000000004">
      <c r="A18" s="43">
        <v>43847</v>
      </c>
      <c r="B18" s="43" t="s">
        <v>1304</v>
      </c>
      <c r="C18" s="44" t="s">
        <v>1306</v>
      </c>
      <c r="D18" s="45">
        <v>1</v>
      </c>
      <c r="E18" s="46">
        <v>250000</v>
      </c>
      <c r="F18" s="47">
        <f>+$I$4+(CLIENT[[#This Row],[QUANTITE]]*CLIENT[[#This Row],[PRIX UNITAIRE]])</f>
        <v>250000</v>
      </c>
      <c r="G18" s="48"/>
      <c r="H18" s="49">
        <f>+SUM($F$9:F18)-SUM($G$9:G18)</f>
        <v>1660000</v>
      </c>
    </row>
    <row r="19" spans="1:8" ht="28.8" x14ac:dyDescent="0.55000000000000004">
      <c r="A19" s="43">
        <v>43853</v>
      </c>
      <c r="B19" s="43" t="s">
        <v>1307</v>
      </c>
      <c r="C19" s="44" t="s">
        <v>1308</v>
      </c>
      <c r="D19" s="45">
        <v>2</v>
      </c>
      <c r="E19" s="46">
        <v>130000</v>
      </c>
      <c r="F19" s="47">
        <f>+$I$4+(CLIENT[[#This Row],[QUANTITE]]*CLIENT[[#This Row],[PRIX UNITAIRE]])</f>
        <v>260000</v>
      </c>
      <c r="G19" s="48"/>
      <c r="H19" s="49">
        <f>+SUM($F$9:F19)-SUM($G$9:G19)</f>
        <v>1920000</v>
      </c>
    </row>
    <row r="20" spans="1:8" ht="28.8" x14ac:dyDescent="0.55000000000000004">
      <c r="A20" s="43">
        <v>43853</v>
      </c>
      <c r="B20" s="43" t="s">
        <v>1309</v>
      </c>
      <c r="C20" s="44" t="s">
        <v>1310</v>
      </c>
      <c r="D20" s="45">
        <v>1</v>
      </c>
      <c r="E20" s="46">
        <v>280000</v>
      </c>
      <c r="F20" s="47">
        <f>+$I$4+(CLIENT[[#This Row],[QUANTITE]]*CLIENT[[#This Row],[PRIX UNITAIRE]])</f>
        <v>280000</v>
      </c>
      <c r="G20" s="48"/>
      <c r="H20" s="49">
        <f>+SUM($F$9:F20)-SUM($G$9:G20)</f>
        <v>2200000</v>
      </c>
    </row>
    <row r="21" spans="1:8" ht="28.8" x14ac:dyDescent="0.55000000000000004">
      <c r="A21" s="43">
        <v>43853</v>
      </c>
      <c r="B21" s="43" t="s">
        <v>1311</v>
      </c>
      <c r="C21" s="44" t="s">
        <v>1312</v>
      </c>
      <c r="D21" s="45">
        <v>1</v>
      </c>
      <c r="E21" s="46">
        <v>280000</v>
      </c>
      <c r="F21" s="47">
        <f>+$I$4+(CLIENT[[#This Row],[QUANTITE]]*CLIENT[[#This Row],[PRIX UNITAIRE]])</f>
        <v>280000</v>
      </c>
      <c r="G21" s="48"/>
      <c r="H21" s="49">
        <f>+SUM($F$9:F21)-SUM($G$9:G21)</f>
        <v>2480000</v>
      </c>
    </row>
    <row r="22" spans="1:8" ht="28.8" x14ac:dyDescent="0.55000000000000004">
      <c r="A22" s="43">
        <v>43855</v>
      </c>
      <c r="B22" s="43" t="s">
        <v>1313</v>
      </c>
      <c r="C22" s="44" t="s">
        <v>1314</v>
      </c>
      <c r="D22" s="45">
        <v>1</v>
      </c>
      <c r="E22" s="46">
        <v>280000</v>
      </c>
      <c r="F22" s="47">
        <f>+$I$4+(CLIENT[[#This Row],[QUANTITE]]*CLIENT[[#This Row],[PRIX UNITAIRE]])</f>
        <v>280000</v>
      </c>
      <c r="G22" s="48"/>
      <c r="H22" s="49">
        <f>+SUM($F$9:F22)-SUM($G$9:G22)</f>
        <v>2760000</v>
      </c>
    </row>
    <row r="23" spans="1:8" ht="28.8" x14ac:dyDescent="0.55000000000000004">
      <c r="A23" s="43">
        <v>43855</v>
      </c>
      <c r="B23" s="43" t="s">
        <v>1315</v>
      </c>
      <c r="C23" s="44" t="s">
        <v>1308</v>
      </c>
      <c r="D23" s="45">
        <v>2</v>
      </c>
      <c r="E23" s="46">
        <v>130000</v>
      </c>
      <c r="F23" s="47">
        <f>+$I$4+(CLIENT[[#This Row],[QUANTITE]]*CLIENT[[#This Row],[PRIX UNITAIRE]])</f>
        <v>260000</v>
      </c>
      <c r="G23" s="48"/>
      <c r="H23" s="49">
        <f>+SUM($F$9:F23)-SUM($G$9:G23)</f>
        <v>3020000</v>
      </c>
    </row>
    <row r="24" spans="1:8" ht="28.8" x14ac:dyDescent="0.55000000000000004">
      <c r="A24" s="43">
        <v>43857</v>
      </c>
      <c r="B24" s="43" t="s">
        <v>1307</v>
      </c>
      <c r="C24" s="44" t="s">
        <v>1316</v>
      </c>
      <c r="D24" s="45">
        <v>1</v>
      </c>
      <c r="E24" s="46">
        <v>280000</v>
      </c>
      <c r="F24" s="47">
        <f>+$I$4+(CLIENT[[#This Row],[QUANTITE]]*CLIENT[[#This Row],[PRIX UNITAIRE]])</f>
        <v>280000</v>
      </c>
      <c r="G24" s="48"/>
      <c r="H24" s="49">
        <f>+SUM($F$9:F24)-SUM($G$9:G24)</f>
        <v>3300000</v>
      </c>
    </row>
    <row r="25" spans="1:8" ht="28.8" x14ac:dyDescent="0.55000000000000004">
      <c r="A25" s="43">
        <v>43857</v>
      </c>
      <c r="B25" s="43" t="s">
        <v>1317</v>
      </c>
      <c r="C25" s="44" t="s">
        <v>1318</v>
      </c>
      <c r="D25" s="45">
        <v>1</v>
      </c>
      <c r="E25" s="46">
        <v>280000</v>
      </c>
      <c r="F25" s="47">
        <f>+$I$4+(CLIENT[[#This Row],[QUANTITE]]*CLIENT[[#This Row],[PRIX UNITAIRE]])</f>
        <v>280000</v>
      </c>
      <c r="G25" s="48"/>
      <c r="H25" s="49">
        <f>+SUM($F$9:F25)-SUM($G$9:G25)</f>
        <v>3580000</v>
      </c>
    </row>
    <row r="26" spans="1:8" ht="28.8" x14ac:dyDescent="0.55000000000000004">
      <c r="A26" s="43">
        <v>43858</v>
      </c>
      <c r="B26" s="43" t="s">
        <v>1319</v>
      </c>
      <c r="C26" s="44" t="s">
        <v>1320</v>
      </c>
      <c r="D26" s="45">
        <v>2</v>
      </c>
      <c r="E26" s="46">
        <v>280000</v>
      </c>
      <c r="F26" s="47">
        <f>+$I$4+(CLIENT[[#This Row],[QUANTITE]]*CLIENT[[#This Row],[PRIX UNITAIRE]])</f>
        <v>560000</v>
      </c>
      <c r="G26" s="48"/>
      <c r="H26" s="49">
        <f>+SUM($F$9:F26)-SUM($G$9:G26)</f>
        <v>4140000</v>
      </c>
    </row>
    <row r="27" spans="1:8" ht="28.8" x14ac:dyDescent="0.55000000000000004">
      <c r="A27" s="43">
        <v>43858</v>
      </c>
      <c r="B27" s="43" t="s">
        <v>1321</v>
      </c>
      <c r="C27" s="44" t="s">
        <v>1322</v>
      </c>
      <c r="D27" s="45">
        <v>1</v>
      </c>
      <c r="E27" s="46">
        <v>280000</v>
      </c>
      <c r="F27" s="47">
        <f>+$I$4+(CLIENT[[#This Row],[QUANTITE]]*CLIENT[[#This Row],[PRIX UNITAIRE]])</f>
        <v>280000</v>
      </c>
      <c r="G27" s="48"/>
      <c r="H27" s="49">
        <f>+SUM($F$9:F27)-SUM($G$9:G27)</f>
        <v>4420000</v>
      </c>
    </row>
    <row r="28" spans="1:8" ht="28.8" x14ac:dyDescent="0.55000000000000004">
      <c r="A28" s="43">
        <v>43858</v>
      </c>
      <c r="B28" s="43" t="s">
        <v>1290</v>
      </c>
      <c r="C28" s="44" t="s">
        <v>1323</v>
      </c>
      <c r="D28" s="45">
        <v>1</v>
      </c>
      <c r="E28" s="46">
        <v>280000</v>
      </c>
      <c r="F28" s="47">
        <f>+$I$4+(CLIENT[[#This Row],[QUANTITE]]*CLIENT[[#This Row],[PRIX UNITAIRE]])</f>
        <v>280000</v>
      </c>
      <c r="G28" s="48"/>
      <c r="H28" s="49">
        <f>+SUM($F$9:F28)-SUM($G$9:G28)</f>
        <v>4700000</v>
      </c>
    </row>
    <row r="29" spans="1:8" ht="28.8" x14ac:dyDescent="0.55000000000000004">
      <c r="A29" s="43">
        <v>43862</v>
      </c>
      <c r="B29" s="43" t="s">
        <v>1324</v>
      </c>
      <c r="C29" s="44" t="s">
        <v>1325</v>
      </c>
      <c r="D29" s="45">
        <v>2</v>
      </c>
      <c r="E29" s="46">
        <v>280000</v>
      </c>
      <c r="F29" s="47">
        <f>+$I$4+(CLIENT[[#This Row],[QUANTITE]]*CLIENT[[#This Row],[PRIX UNITAIRE]])</f>
        <v>560000</v>
      </c>
      <c r="G29" s="48"/>
      <c r="H29" s="49">
        <f>+SUM($F$9:F29)-SUM($G$9:G29)</f>
        <v>5260000</v>
      </c>
    </row>
    <row r="30" spans="1:8" ht="28.8" x14ac:dyDescent="0.55000000000000004">
      <c r="A30" s="43">
        <v>43862</v>
      </c>
      <c r="B30" s="43" t="s">
        <v>1321</v>
      </c>
      <c r="C30" s="44" t="s">
        <v>1326</v>
      </c>
      <c r="D30" s="45">
        <v>1</v>
      </c>
      <c r="E30" s="46">
        <v>280000</v>
      </c>
      <c r="F30" s="47">
        <f>+$I$4+(CLIENT[[#This Row],[QUANTITE]]*CLIENT[[#This Row],[PRIX UNITAIRE]])</f>
        <v>280000</v>
      </c>
      <c r="G30" s="48"/>
      <c r="H30" s="49">
        <f>+SUM($F$9:F30)-SUM($G$9:G30)</f>
        <v>5540000</v>
      </c>
    </row>
    <row r="31" spans="1:8" ht="28.8" x14ac:dyDescent="0.55000000000000004">
      <c r="A31" s="43">
        <v>43862</v>
      </c>
      <c r="B31" s="43" t="s">
        <v>1327</v>
      </c>
      <c r="C31" s="44" t="s">
        <v>1308</v>
      </c>
      <c r="D31" s="45">
        <v>2</v>
      </c>
      <c r="E31" s="46">
        <v>130000</v>
      </c>
      <c r="F31" s="47">
        <f>+$I$4+(CLIENT[[#This Row],[QUANTITE]]*CLIENT[[#This Row],[PRIX UNITAIRE]])</f>
        <v>260000</v>
      </c>
      <c r="G31" s="48"/>
      <c r="H31" s="49">
        <f>+SUM($F$9:F31)-SUM($G$9:G31)</f>
        <v>5800000</v>
      </c>
    </row>
    <row r="32" spans="1:8" ht="28.8" x14ac:dyDescent="0.55000000000000004">
      <c r="A32" s="43">
        <v>43862</v>
      </c>
      <c r="B32" s="43" t="s">
        <v>1315</v>
      </c>
      <c r="C32" s="44" t="s">
        <v>1328</v>
      </c>
      <c r="D32" s="45">
        <v>1</v>
      </c>
      <c r="E32" s="46">
        <v>280000</v>
      </c>
      <c r="F32" s="47">
        <f>+$I$4+(CLIENT[[#This Row],[QUANTITE]]*CLIENT[[#This Row],[PRIX UNITAIRE]])</f>
        <v>280000</v>
      </c>
      <c r="G32" s="48"/>
      <c r="H32" s="49">
        <f>+SUM($F$9:F32)-SUM($G$9:G32)</f>
        <v>6080000</v>
      </c>
    </row>
    <row r="33" spans="1:8" ht="28.8" x14ac:dyDescent="0.55000000000000004">
      <c r="A33" s="43">
        <v>43864</v>
      </c>
      <c r="B33" s="43" t="s">
        <v>1290</v>
      </c>
      <c r="C33" s="44" t="s">
        <v>1329</v>
      </c>
      <c r="D33" s="45">
        <v>1</v>
      </c>
      <c r="E33" s="46">
        <v>280000</v>
      </c>
      <c r="F33" s="47">
        <f>+$I$4+(CLIENT[[#This Row],[QUANTITE]]*CLIENT[[#This Row],[PRIX UNITAIRE]])</f>
        <v>280000</v>
      </c>
      <c r="G33" s="48"/>
      <c r="H33" s="49">
        <f>+SUM($F$9:F33)-SUM($G$9:G33)</f>
        <v>6360000</v>
      </c>
    </row>
    <row r="34" spans="1:8" ht="28.8" x14ac:dyDescent="0.55000000000000004">
      <c r="A34" s="43">
        <v>43864</v>
      </c>
      <c r="B34" s="43" t="s">
        <v>1330</v>
      </c>
      <c r="C34" s="44" t="s">
        <v>1331</v>
      </c>
      <c r="D34" s="45">
        <v>1</v>
      </c>
      <c r="E34" s="46">
        <v>280000</v>
      </c>
      <c r="F34" s="47">
        <f>+$I$4+(CLIENT[[#This Row],[QUANTITE]]*CLIENT[[#This Row],[PRIX UNITAIRE]])</f>
        <v>280000</v>
      </c>
      <c r="G34" s="48"/>
      <c r="H34" s="49">
        <f>+SUM($F$9:F34)-SUM($G$9:G34)</f>
        <v>6640000</v>
      </c>
    </row>
    <row r="35" spans="1:8" ht="28.8" x14ac:dyDescent="0.55000000000000004">
      <c r="A35" s="43">
        <v>43868</v>
      </c>
      <c r="B35" s="43"/>
      <c r="C35" s="44" t="s">
        <v>1332</v>
      </c>
      <c r="D35" s="45">
        <v>1</v>
      </c>
      <c r="E35" s="46">
        <v>0</v>
      </c>
      <c r="F35" s="47">
        <f>+$I$4+(CLIENT[[#This Row],[QUANTITE]]*CLIENT[[#This Row],[PRIX UNITAIRE]])</f>
        <v>0</v>
      </c>
      <c r="G35" s="48">
        <v>6640000</v>
      </c>
      <c r="H35" s="49">
        <f>+SUM($F$9:F35)-SUM($G$9:G35)</f>
        <v>0</v>
      </c>
    </row>
    <row r="36" spans="1:8" ht="28.8" x14ac:dyDescent="0.55000000000000004">
      <c r="A36" s="43">
        <v>43868</v>
      </c>
      <c r="B36" s="43" t="s">
        <v>1333</v>
      </c>
      <c r="C36" s="44" t="s">
        <v>1334</v>
      </c>
      <c r="D36" s="45">
        <v>1</v>
      </c>
      <c r="E36" s="46">
        <v>280000</v>
      </c>
      <c r="F36" s="47">
        <f>+$I$4+(CLIENT[[#This Row],[QUANTITE]]*CLIENT[[#This Row],[PRIX UNITAIRE]])</f>
        <v>280000</v>
      </c>
      <c r="G36" s="48"/>
      <c r="H36" s="49">
        <f>+SUM($F$9:F36)-SUM($G$9:G36)</f>
        <v>280000</v>
      </c>
    </row>
    <row r="37" spans="1:8" ht="28.8" x14ac:dyDescent="0.55000000000000004">
      <c r="A37" s="43">
        <v>43869</v>
      </c>
      <c r="B37" s="43" t="s">
        <v>1321</v>
      </c>
      <c r="C37" s="44" t="s">
        <v>1335</v>
      </c>
      <c r="D37" s="45">
        <v>1</v>
      </c>
      <c r="E37" s="46">
        <v>280000</v>
      </c>
      <c r="F37" s="47">
        <f>+$I$4+(CLIENT[[#This Row],[QUANTITE]]*CLIENT[[#This Row],[PRIX UNITAIRE]])</f>
        <v>280000</v>
      </c>
      <c r="G37" s="48"/>
      <c r="H37" s="49">
        <f>+SUM($F$9:F37)-SUM($G$9:G37)</f>
        <v>560000</v>
      </c>
    </row>
    <row r="38" spans="1:8" ht="28.8" x14ac:dyDescent="0.55000000000000004">
      <c r="A38" s="43">
        <v>43869</v>
      </c>
      <c r="B38" s="43"/>
      <c r="C38" s="44" t="s">
        <v>1336</v>
      </c>
      <c r="D38" s="45">
        <v>1</v>
      </c>
      <c r="E38" s="46">
        <v>40000</v>
      </c>
      <c r="F38" s="47">
        <f>+$I$4+(CLIENT[[#This Row],[QUANTITE]]*CLIENT[[#This Row],[PRIX UNITAIRE]])</f>
        <v>40000</v>
      </c>
      <c r="G38" s="48"/>
      <c r="H38" s="49">
        <f>+SUM($F$9:F38)-SUM($G$9:G38)</f>
        <v>600000</v>
      </c>
    </row>
    <row r="39" spans="1:8" ht="28.8" x14ac:dyDescent="0.55000000000000004">
      <c r="A39" s="43">
        <v>43871</v>
      </c>
      <c r="B39" s="43" t="s">
        <v>1337</v>
      </c>
      <c r="C39" s="44" t="s">
        <v>1338</v>
      </c>
      <c r="D39" s="45">
        <v>1</v>
      </c>
      <c r="E39" s="46">
        <v>280000</v>
      </c>
      <c r="F39" s="47">
        <f>+$I$4+(CLIENT[[#This Row],[QUANTITE]]*CLIENT[[#This Row],[PRIX UNITAIRE]])</f>
        <v>280000</v>
      </c>
      <c r="G39" s="48"/>
      <c r="H39" s="49">
        <f>+SUM($F$9:F39)-SUM($G$9:G39)</f>
        <v>880000</v>
      </c>
    </row>
    <row r="40" spans="1:8" ht="28.8" x14ac:dyDescent="0.55000000000000004">
      <c r="A40" s="43">
        <v>43872</v>
      </c>
      <c r="B40" s="43" t="s">
        <v>1327</v>
      </c>
      <c r="C40" s="44" t="s">
        <v>1339</v>
      </c>
      <c r="D40" s="45">
        <v>1</v>
      </c>
      <c r="E40" s="46">
        <v>370000</v>
      </c>
      <c r="F40" s="47">
        <f>+$I$4+(CLIENT[[#This Row],[QUANTITE]]*CLIENT[[#This Row],[PRIX UNITAIRE]])</f>
        <v>370000</v>
      </c>
      <c r="G40" s="48"/>
      <c r="H40" s="49">
        <f>+SUM($F$9:F40)-SUM($G$9:G40)</f>
        <v>1250000</v>
      </c>
    </row>
    <row r="41" spans="1:8" ht="28.8" x14ac:dyDescent="0.55000000000000004">
      <c r="A41" s="43">
        <v>43883</v>
      </c>
      <c r="B41" s="43" t="s">
        <v>1327</v>
      </c>
      <c r="C41" s="44" t="s">
        <v>1340</v>
      </c>
      <c r="D41" s="45">
        <v>1</v>
      </c>
      <c r="E41" s="46">
        <v>370000</v>
      </c>
      <c r="F41" s="47">
        <f>+$I$4+(CLIENT[[#This Row],[QUANTITE]]*CLIENT[[#This Row],[PRIX UNITAIRE]])</f>
        <v>370000</v>
      </c>
      <c r="G41" s="48"/>
      <c r="H41" s="49">
        <f>+SUM($F$9:F41)-SUM($G$9:G41)</f>
        <v>1620000</v>
      </c>
    </row>
    <row r="42" spans="1:8" ht="28.8" x14ac:dyDescent="0.55000000000000004">
      <c r="A42" s="43" t="s">
        <v>1341</v>
      </c>
      <c r="B42" s="43" t="s">
        <v>1327</v>
      </c>
      <c r="C42" s="44" t="s">
        <v>1342</v>
      </c>
      <c r="D42" s="45">
        <v>1</v>
      </c>
      <c r="E42" s="46">
        <v>370000</v>
      </c>
      <c r="F42" s="47">
        <f>+$I$4+(CLIENT[[#This Row],[QUANTITE]]*CLIENT[[#This Row],[PRIX UNITAIRE]])</f>
        <v>370000</v>
      </c>
      <c r="G42" s="48"/>
      <c r="H42" s="49">
        <f>+SUM($F$9:F42)-SUM($G$9:G42)</f>
        <v>1990000</v>
      </c>
    </row>
    <row r="43" spans="1:8" ht="28.8" x14ac:dyDescent="0.55000000000000004">
      <c r="A43" s="43">
        <v>43885</v>
      </c>
      <c r="B43" s="43" t="s">
        <v>1343</v>
      </c>
      <c r="C43" s="44" t="s">
        <v>1344</v>
      </c>
      <c r="D43" s="45">
        <v>1</v>
      </c>
      <c r="E43" s="46">
        <v>265000</v>
      </c>
      <c r="F43" s="47">
        <f>+$I$4+(CLIENT[[#This Row],[QUANTITE]]*CLIENT[[#This Row],[PRIX UNITAIRE]])</f>
        <v>265000</v>
      </c>
      <c r="G43" s="48"/>
      <c r="H43" s="49">
        <f>+SUM($F$9:F43)-SUM($G$9:G43)</f>
        <v>2255000</v>
      </c>
    </row>
    <row r="44" spans="1:8" ht="28.8" x14ac:dyDescent="0.55000000000000004">
      <c r="A44" s="43">
        <v>43887</v>
      </c>
      <c r="B44" s="43" t="s">
        <v>1333</v>
      </c>
      <c r="C44" s="44" t="s">
        <v>1345</v>
      </c>
      <c r="D44" s="45">
        <v>1</v>
      </c>
      <c r="E44" s="46">
        <v>250000</v>
      </c>
      <c r="F44" s="47">
        <f>+$I$4+(CLIENT[[#This Row],[QUANTITE]]*CLIENT[[#This Row],[PRIX UNITAIRE]])</f>
        <v>250000</v>
      </c>
      <c r="G44" s="48"/>
      <c r="H44" s="49">
        <f>+SUM($F$9:F44)-SUM($G$9:G44)</f>
        <v>2505000</v>
      </c>
    </row>
    <row r="45" spans="1:8" ht="28.8" x14ac:dyDescent="0.55000000000000004">
      <c r="A45" s="43">
        <v>43887</v>
      </c>
      <c r="B45" s="43" t="s">
        <v>1317</v>
      </c>
      <c r="C45" s="44" t="s">
        <v>1346</v>
      </c>
      <c r="D45" s="45">
        <v>1</v>
      </c>
      <c r="E45" s="46">
        <v>280000</v>
      </c>
      <c r="F45" s="47">
        <f>+$I$4+(CLIENT[[#This Row],[QUANTITE]]*CLIENT[[#This Row],[PRIX UNITAIRE]])</f>
        <v>280000</v>
      </c>
      <c r="G45" s="48"/>
      <c r="H45" s="49">
        <f>+SUM($F$9:F45)-SUM($G$9:G45)</f>
        <v>2785000</v>
      </c>
    </row>
    <row r="46" spans="1:8" ht="28.8" x14ac:dyDescent="0.55000000000000004">
      <c r="A46" s="43">
        <v>43888</v>
      </c>
      <c r="B46" s="43" t="s">
        <v>1327</v>
      </c>
      <c r="C46" s="44" t="s">
        <v>1347</v>
      </c>
      <c r="D46" s="45">
        <v>1</v>
      </c>
      <c r="E46" s="46">
        <v>370000</v>
      </c>
      <c r="F46" s="47">
        <f>+$I$4+(CLIENT[[#This Row],[QUANTITE]]*CLIENT[[#This Row],[PRIX UNITAIRE]])</f>
        <v>370000</v>
      </c>
      <c r="G46" s="48"/>
      <c r="H46" s="49">
        <f>+SUM($F$9:F46)-SUM($G$9:G46)</f>
        <v>3155000</v>
      </c>
    </row>
    <row r="47" spans="1:8" ht="28.8" x14ac:dyDescent="0.55000000000000004">
      <c r="A47" s="43">
        <v>43888</v>
      </c>
      <c r="B47" s="43" t="s">
        <v>1321</v>
      </c>
      <c r="C47" s="44" t="s">
        <v>1348</v>
      </c>
      <c r="D47" s="45">
        <v>2</v>
      </c>
      <c r="E47" s="46">
        <v>250000</v>
      </c>
      <c r="F47" s="47">
        <f>+$I$4+(CLIENT[[#This Row],[QUANTITE]]*CLIENT[[#This Row],[PRIX UNITAIRE]])</f>
        <v>500000</v>
      </c>
      <c r="G47" s="48"/>
      <c r="H47" s="49">
        <f>+SUM($F$9:F47)-SUM($G$9:G47)</f>
        <v>3655000</v>
      </c>
    </row>
    <row r="48" spans="1:8" ht="28.8" x14ac:dyDescent="0.55000000000000004">
      <c r="A48" s="43">
        <v>43889</v>
      </c>
      <c r="B48" s="43" t="s">
        <v>1307</v>
      </c>
      <c r="C48" s="44" t="s">
        <v>1349</v>
      </c>
      <c r="D48" s="45">
        <v>1</v>
      </c>
      <c r="E48" s="46">
        <v>280000</v>
      </c>
      <c r="F48" s="47">
        <f>+$I$4+(CLIENT[[#This Row],[QUANTITE]]*CLIENT[[#This Row],[PRIX UNITAIRE]])</f>
        <v>280000</v>
      </c>
      <c r="G48" s="48"/>
      <c r="H48" s="49">
        <f>+SUM($F$9:F48)-SUM($G$9:G48)</f>
        <v>3935000</v>
      </c>
    </row>
    <row r="49" spans="1:8" ht="28.8" x14ac:dyDescent="0.55000000000000004">
      <c r="A49" s="43">
        <v>43890</v>
      </c>
      <c r="B49" s="43" t="s">
        <v>1350</v>
      </c>
      <c r="C49" s="44" t="s">
        <v>1351</v>
      </c>
      <c r="D49" s="45">
        <v>1</v>
      </c>
      <c r="E49" s="46">
        <v>280000</v>
      </c>
      <c r="F49" s="47">
        <f>+$I$4+(CLIENT[[#This Row],[QUANTITE]]*CLIENT[[#This Row],[PRIX UNITAIRE]])</f>
        <v>280000</v>
      </c>
      <c r="G49" s="48"/>
      <c r="H49" s="49">
        <f>+SUM($F$9:F49)-SUM($G$9:G49)</f>
        <v>4215000</v>
      </c>
    </row>
    <row r="50" spans="1:8" ht="28.8" x14ac:dyDescent="0.55000000000000004">
      <c r="A50" s="43">
        <v>43895</v>
      </c>
      <c r="B50" s="43" t="s">
        <v>1315</v>
      </c>
      <c r="C50" s="44" t="s">
        <v>1352</v>
      </c>
      <c r="D50" s="45">
        <v>1</v>
      </c>
      <c r="E50" s="46">
        <v>280000</v>
      </c>
      <c r="F50" s="47">
        <f>+$I$4+(CLIENT[[#This Row],[QUANTITE]]*CLIENT[[#This Row],[PRIX UNITAIRE]])</f>
        <v>280000</v>
      </c>
      <c r="G50" s="48"/>
      <c r="H50" s="49">
        <f>+SUM($F$9:F50)-SUM($G$9:G50)</f>
        <v>4495000</v>
      </c>
    </row>
    <row r="51" spans="1:8" ht="28.8" x14ac:dyDescent="0.55000000000000004">
      <c r="A51" s="43">
        <v>43896</v>
      </c>
      <c r="B51" s="43" t="s">
        <v>1307</v>
      </c>
      <c r="C51" s="44" t="s">
        <v>1353</v>
      </c>
      <c r="D51" s="45">
        <v>1</v>
      </c>
      <c r="E51" s="46">
        <v>250000</v>
      </c>
      <c r="F51" s="47">
        <f>+$I$4+(CLIENT[[#This Row],[QUANTITE]]*CLIENT[[#This Row],[PRIX UNITAIRE]])</f>
        <v>250000</v>
      </c>
      <c r="G51" s="48"/>
      <c r="H51" s="49">
        <f>+SUM($F$9:F51)-SUM($G$9:G51)</f>
        <v>4745000</v>
      </c>
    </row>
    <row r="52" spans="1:8" ht="28.8" x14ac:dyDescent="0.55000000000000004">
      <c r="A52" s="43">
        <v>43897</v>
      </c>
      <c r="B52" s="43" t="s">
        <v>1300</v>
      </c>
      <c r="C52" s="44" t="s">
        <v>1354</v>
      </c>
      <c r="D52" s="45">
        <v>1</v>
      </c>
      <c r="E52" s="46">
        <v>280000</v>
      </c>
      <c r="F52" s="47">
        <f>+$I$4+(CLIENT[[#This Row],[QUANTITE]]*CLIENT[[#This Row],[PRIX UNITAIRE]])</f>
        <v>280000</v>
      </c>
      <c r="G52" s="48"/>
      <c r="H52" s="49">
        <f>+SUM($F$9:F52)-SUM($G$9:G52)</f>
        <v>5025000</v>
      </c>
    </row>
    <row r="53" spans="1:8" ht="28.8" x14ac:dyDescent="0.55000000000000004">
      <c r="A53" s="43">
        <v>43899</v>
      </c>
      <c r="B53" s="43" t="s">
        <v>1355</v>
      </c>
      <c r="C53" s="44" t="s">
        <v>1356</v>
      </c>
      <c r="D53" s="45">
        <v>1</v>
      </c>
      <c r="E53" s="46">
        <v>250000</v>
      </c>
      <c r="F53" s="47">
        <f>+$I$4+(CLIENT[[#This Row],[QUANTITE]]*CLIENT[[#This Row],[PRIX UNITAIRE]])</f>
        <v>250000</v>
      </c>
      <c r="G53" s="48"/>
      <c r="H53" s="49">
        <f>+SUM($F$9:F53)-SUM($G$9:G53)</f>
        <v>5275000</v>
      </c>
    </row>
    <row r="54" spans="1:8" ht="28.8" x14ac:dyDescent="0.55000000000000004">
      <c r="A54" s="43">
        <v>43900</v>
      </c>
      <c r="B54" s="43" t="s">
        <v>1355</v>
      </c>
      <c r="C54" s="44" t="s">
        <v>1357</v>
      </c>
      <c r="D54" s="45">
        <v>1</v>
      </c>
      <c r="E54" s="46">
        <v>280000</v>
      </c>
      <c r="F54" s="47">
        <f>+$I$4+(CLIENT[[#This Row],[QUANTITE]]*CLIENT[[#This Row],[PRIX UNITAIRE]])</f>
        <v>280000</v>
      </c>
      <c r="G54" s="48"/>
      <c r="H54" s="49">
        <f>+SUM($F$9:F54)-SUM($G$9:G54)</f>
        <v>5555000</v>
      </c>
    </row>
    <row r="55" spans="1:8" ht="28.8" x14ac:dyDescent="0.55000000000000004">
      <c r="A55" s="43">
        <v>43910</v>
      </c>
      <c r="B55" s="43" t="s">
        <v>1327</v>
      </c>
      <c r="C55" s="44" t="s">
        <v>1358</v>
      </c>
      <c r="D55" s="45">
        <v>1</v>
      </c>
      <c r="E55" s="46">
        <v>370000</v>
      </c>
      <c r="F55" s="47">
        <f>+$I$4+(CLIENT[[#This Row],[QUANTITE]]*CLIENT[[#This Row],[PRIX UNITAIRE]])</f>
        <v>370000</v>
      </c>
      <c r="G55" s="48"/>
      <c r="H55" s="49">
        <f>+SUM($F$9:F55)-SUM($G$9:G55)</f>
        <v>5925000</v>
      </c>
    </row>
    <row r="56" spans="1:8" ht="28.8" x14ac:dyDescent="0.55000000000000004">
      <c r="A56" s="43">
        <v>43910</v>
      </c>
      <c r="B56" s="43" t="s">
        <v>1359</v>
      </c>
      <c r="C56" s="44" t="s">
        <v>1360</v>
      </c>
      <c r="D56" s="45">
        <v>1</v>
      </c>
      <c r="E56" s="46">
        <v>250000</v>
      </c>
      <c r="F56" s="47">
        <f>+$I$4+(CLIENT[[#This Row],[QUANTITE]]*CLIENT[[#This Row],[PRIX UNITAIRE]])</f>
        <v>250000</v>
      </c>
      <c r="G56" s="48"/>
      <c r="H56" s="49">
        <f>+SUM($F$9:F56)-SUM($G$9:G56)</f>
        <v>6175000</v>
      </c>
    </row>
    <row r="57" spans="1:8" ht="28.8" x14ac:dyDescent="0.55000000000000004">
      <c r="A57" s="43">
        <v>43910</v>
      </c>
      <c r="B57" s="43" t="s">
        <v>1361</v>
      </c>
      <c r="C57" s="44" t="s">
        <v>1362</v>
      </c>
      <c r="D57" s="45">
        <v>1</v>
      </c>
      <c r="E57" s="46">
        <v>280000</v>
      </c>
      <c r="F57" s="47">
        <f>+$I$4+(CLIENT[[#This Row],[QUANTITE]]*CLIENT[[#This Row],[PRIX UNITAIRE]])</f>
        <v>280000</v>
      </c>
      <c r="G57" s="48"/>
      <c r="H57" s="49">
        <f>+SUM($F$9:F57)-SUM($G$9:G57)</f>
        <v>6455000</v>
      </c>
    </row>
    <row r="58" spans="1:8" ht="28.8" x14ac:dyDescent="0.55000000000000004">
      <c r="A58" s="43">
        <v>43913</v>
      </c>
      <c r="B58" s="43" t="s">
        <v>1333</v>
      </c>
      <c r="C58" s="44" t="s">
        <v>1363</v>
      </c>
      <c r="D58" s="45">
        <v>1</v>
      </c>
      <c r="E58" s="46">
        <v>250000</v>
      </c>
      <c r="F58" s="47">
        <f>+$I$4+(CLIENT[[#This Row],[QUANTITE]]*CLIENT[[#This Row],[PRIX UNITAIRE]])</f>
        <v>250000</v>
      </c>
      <c r="G58" s="48"/>
      <c r="H58" s="49">
        <f>+SUM($F$9:F58)-SUM($G$9:G58)</f>
        <v>6705000</v>
      </c>
    </row>
    <row r="59" spans="1:8" ht="28.8" x14ac:dyDescent="0.55000000000000004">
      <c r="A59" s="43">
        <v>43917</v>
      </c>
      <c r="B59" s="43" t="s">
        <v>1324</v>
      </c>
      <c r="C59" s="44" t="s">
        <v>1364</v>
      </c>
      <c r="D59" s="45">
        <v>1</v>
      </c>
      <c r="E59" s="46">
        <v>280000</v>
      </c>
      <c r="F59" s="47">
        <f>+$I$4+(CLIENT[[#This Row],[QUANTITE]]*CLIENT[[#This Row],[PRIX UNITAIRE]])</f>
        <v>280000</v>
      </c>
      <c r="G59" s="48"/>
      <c r="H59" s="49">
        <f>+SUM($F$9:F59)-SUM($G$9:G59)</f>
        <v>6985000</v>
      </c>
    </row>
    <row r="60" spans="1:8" ht="28.8" x14ac:dyDescent="0.55000000000000004">
      <c r="A60" s="43">
        <v>43917</v>
      </c>
      <c r="B60" s="43" t="s">
        <v>1307</v>
      </c>
      <c r="C60" s="44" t="s">
        <v>1365</v>
      </c>
      <c r="D60" s="45">
        <v>1</v>
      </c>
      <c r="E60" s="46">
        <v>280000</v>
      </c>
      <c r="F60" s="47">
        <f>+$I$4+(CLIENT[[#This Row],[QUANTITE]]*CLIENT[[#This Row],[PRIX UNITAIRE]])</f>
        <v>280000</v>
      </c>
      <c r="G60" s="48"/>
      <c r="H60" s="49">
        <f>+SUM($F$9:F60)-SUM($G$9:G60)</f>
        <v>7265000</v>
      </c>
    </row>
    <row r="61" spans="1:8" ht="28.8" x14ac:dyDescent="0.55000000000000004">
      <c r="A61" s="43">
        <v>43920</v>
      </c>
      <c r="B61" s="43" t="s">
        <v>1366</v>
      </c>
      <c r="C61" s="44" t="s">
        <v>1367</v>
      </c>
      <c r="D61" s="45">
        <v>1</v>
      </c>
      <c r="E61" s="46">
        <v>0</v>
      </c>
      <c r="F61" s="47">
        <f>+$I$4+(CLIENT[[#This Row],[QUANTITE]]*CLIENT[[#This Row],[PRIX UNITAIRE]])</f>
        <v>0</v>
      </c>
      <c r="G61" s="48">
        <v>7266000</v>
      </c>
      <c r="H61" s="49">
        <f>+SUM($F$9:F61)-SUM($G$9:G61)</f>
        <v>-1000</v>
      </c>
    </row>
    <row r="62" spans="1:8" ht="28.8" x14ac:dyDescent="0.55000000000000004">
      <c r="A62" s="43">
        <v>43920</v>
      </c>
      <c r="B62" s="43" t="s">
        <v>1327</v>
      </c>
      <c r="C62" s="44" t="s">
        <v>1368</v>
      </c>
      <c r="D62" s="45">
        <v>1</v>
      </c>
      <c r="E62" s="46">
        <v>370000</v>
      </c>
      <c r="F62" s="47">
        <f>+$I$4+(CLIENT[[#This Row],[QUANTITE]]*CLIENT[[#This Row],[PRIX UNITAIRE]])</f>
        <v>370000</v>
      </c>
      <c r="G62" s="48"/>
      <c r="H62" s="49">
        <f>+SUM($F$9:F62)-SUM($G$9:G62)</f>
        <v>369000</v>
      </c>
    </row>
    <row r="63" spans="1:8" ht="28.8" x14ac:dyDescent="0.55000000000000004">
      <c r="A63" s="43">
        <v>43920</v>
      </c>
      <c r="B63" s="43" t="s">
        <v>1369</v>
      </c>
      <c r="C63" s="44" t="s">
        <v>1370</v>
      </c>
      <c r="D63" s="45">
        <v>1</v>
      </c>
      <c r="E63" s="46">
        <v>280000</v>
      </c>
      <c r="F63" s="47">
        <f>+$I$4+(CLIENT[[#This Row],[QUANTITE]]*CLIENT[[#This Row],[PRIX UNITAIRE]])</f>
        <v>280000</v>
      </c>
      <c r="G63" s="48"/>
      <c r="H63" s="49">
        <f>+SUM($F$9:F63)-SUM($G$9:G63)</f>
        <v>649000</v>
      </c>
    </row>
    <row r="64" spans="1:8" ht="28.8" x14ac:dyDescent="0.55000000000000004">
      <c r="A64" s="43">
        <v>43921</v>
      </c>
      <c r="B64" s="43" t="s">
        <v>1371</v>
      </c>
      <c r="C64" s="44" t="s">
        <v>1372</v>
      </c>
      <c r="D64" s="45">
        <v>2</v>
      </c>
      <c r="E64" s="46">
        <v>130000</v>
      </c>
      <c r="F64" s="47">
        <f>+$I$4+(CLIENT[[#This Row],[QUANTITE]]*CLIENT[[#This Row],[PRIX UNITAIRE]])</f>
        <v>260000</v>
      </c>
      <c r="G64" s="48"/>
      <c r="H64" s="49">
        <f>+SUM($F$9:F64)-SUM($G$9:G64)</f>
        <v>909000</v>
      </c>
    </row>
    <row r="65" spans="1:8" ht="28.8" x14ac:dyDescent="0.55000000000000004">
      <c r="A65" s="43">
        <v>43924</v>
      </c>
      <c r="B65" s="43" t="s">
        <v>1290</v>
      </c>
      <c r="C65" s="44" t="s">
        <v>1373</v>
      </c>
      <c r="D65" s="45">
        <v>1</v>
      </c>
      <c r="E65" s="46">
        <v>250000</v>
      </c>
      <c r="F65" s="47">
        <f>+$I$4+(CLIENT[[#This Row],[QUANTITE]]*CLIENT[[#This Row],[PRIX UNITAIRE]])</f>
        <v>250000</v>
      </c>
      <c r="G65" s="48"/>
      <c r="H65" s="49">
        <f>+SUM($F$9:F65)-SUM($G$9:G65)</f>
        <v>1159000</v>
      </c>
    </row>
    <row r="66" spans="1:8" ht="28.8" x14ac:dyDescent="0.55000000000000004">
      <c r="A66" s="43">
        <v>43924</v>
      </c>
      <c r="B66" s="43" t="s">
        <v>1359</v>
      </c>
      <c r="C66" s="44" t="s">
        <v>1374</v>
      </c>
      <c r="D66" s="45">
        <v>1</v>
      </c>
      <c r="E66" s="46">
        <v>250000</v>
      </c>
      <c r="F66" s="47">
        <f>+$I$4+(CLIENT[[#This Row],[QUANTITE]]*CLIENT[[#This Row],[PRIX UNITAIRE]])</f>
        <v>250000</v>
      </c>
      <c r="G66" s="48"/>
      <c r="H66" s="49">
        <f>+SUM($F$9:F66)-SUM($G$9:G66)</f>
        <v>1409000</v>
      </c>
    </row>
    <row r="67" spans="1:8" ht="28.8" x14ac:dyDescent="0.55000000000000004">
      <c r="A67" s="43">
        <v>43925</v>
      </c>
      <c r="B67" s="43" t="s">
        <v>1375</v>
      </c>
      <c r="C67" s="44" t="s">
        <v>1376</v>
      </c>
      <c r="D67" s="45">
        <v>1</v>
      </c>
      <c r="E67" s="46">
        <v>280000</v>
      </c>
      <c r="F67" s="47">
        <f>+$I$4+(CLIENT[[#This Row],[QUANTITE]]*CLIENT[[#This Row],[PRIX UNITAIRE]])</f>
        <v>280000</v>
      </c>
      <c r="G67" s="48"/>
      <c r="H67" s="49">
        <f>+SUM($F$9:F67)-SUM($G$9:G67)</f>
        <v>1689000</v>
      </c>
    </row>
    <row r="68" spans="1:8" ht="28.8" x14ac:dyDescent="0.55000000000000004">
      <c r="A68" s="43">
        <v>43925</v>
      </c>
      <c r="B68" s="43" t="s">
        <v>1377</v>
      </c>
      <c r="C68" s="44" t="s">
        <v>1378</v>
      </c>
      <c r="D68" s="45">
        <v>1</v>
      </c>
      <c r="E68" s="46">
        <v>280000</v>
      </c>
      <c r="F68" s="47">
        <f>+$I$4+(CLIENT[[#This Row],[QUANTITE]]*CLIENT[[#This Row],[PRIX UNITAIRE]])</f>
        <v>280000</v>
      </c>
      <c r="G68" s="48"/>
      <c r="H68" s="49">
        <f>+SUM($F$9:F68)-SUM($G$9:G68)</f>
        <v>1969000</v>
      </c>
    </row>
    <row r="69" spans="1:8" ht="28.8" x14ac:dyDescent="0.55000000000000004">
      <c r="A69" s="43">
        <v>43928</v>
      </c>
      <c r="B69" s="43" t="s">
        <v>1379</v>
      </c>
      <c r="C69" s="44" t="s">
        <v>1380</v>
      </c>
      <c r="D69" s="45">
        <v>2</v>
      </c>
      <c r="E69" s="46">
        <v>130000</v>
      </c>
      <c r="F69" s="47">
        <f>+$I$4+(CLIENT[[#This Row],[QUANTITE]]*CLIENT[[#This Row],[PRIX UNITAIRE]])</f>
        <v>260000</v>
      </c>
      <c r="G69" s="48"/>
      <c r="H69" s="49">
        <f>+SUM($F$9:F69)-SUM($G$9:G69)</f>
        <v>2229000</v>
      </c>
    </row>
    <row r="70" spans="1:8" ht="28.8" x14ac:dyDescent="0.55000000000000004">
      <c r="A70" s="43">
        <v>43928</v>
      </c>
      <c r="B70" s="43" t="s">
        <v>1379</v>
      </c>
      <c r="C70" s="44" t="s">
        <v>1381</v>
      </c>
      <c r="D70" s="45">
        <v>1</v>
      </c>
      <c r="E70" s="46">
        <v>180000</v>
      </c>
      <c r="F70" s="47">
        <f>+$I$4+(CLIENT[[#This Row],[QUANTITE]]*CLIENT[[#This Row],[PRIX UNITAIRE]])</f>
        <v>180000</v>
      </c>
      <c r="G70" s="48"/>
      <c r="H70" s="49">
        <f>+SUM($F$9:F70)-SUM($G$9:G70)</f>
        <v>2409000</v>
      </c>
    </row>
    <row r="71" spans="1:8" ht="28.8" x14ac:dyDescent="0.55000000000000004">
      <c r="A71" s="43">
        <v>43928</v>
      </c>
      <c r="B71" s="43" t="s">
        <v>1382</v>
      </c>
      <c r="C71" s="44" t="s">
        <v>1383</v>
      </c>
      <c r="D71" s="45">
        <v>1</v>
      </c>
      <c r="E71" s="46">
        <v>250000</v>
      </c>
      <c r="F71" s="47">
        <f>+$I$4+(CLIENT[[#This Row],[QUANTITE]]*CLIENT[[#This Row],[PRIX UNITAIRE]])</f>
        <v>250000</v>
      </c>
      <c r="G71" s="48"/>
      <c r="H71" s="49">
        <f>+SUM($F$9:F71)-SUM($G$9:G71)</f>
        <v>2659000</v>
      </c>
    </row>
    <row r="72" spans="1:8" ht="28.8" x14ac:dyDescent="0.55000000000000004">
      <c r="A72" s="43">
        <v>43928</v>
      </c>
      <c r="B72" s="43" t="s">
        <v>1382</v>
      </c>
      <c r="C72" s="44" t="s">
        <v>1308</v>
      </c>
      <c r="D72" s="45">
        <v>2</v>
      </c>
      <c r="E72" s="46">
        <v>130000</v>
      </c>
      <c r="F72" s="47">
        <f>+$I$4+(CLIENT[[#This Row],[QUANTITE]]*CLIENT[[#This Row],[PRIX UNITAIRE]])</f>
        <v>260000</v>
      </c>
      <c r="G72" s="48"/>
      <c r="H72" s="49">
        <f>+SUM($F$9:F72)-SUM($G$9:G72)</f>
        <v>2919000</v>
      </c>
    </row>
    <row r="73" spans="1:8" ht="28.8" x14ac:dyDescent="0.55000000000000004">
      <c r="A73" s="43">
        <v>43930</v>
      </c>
      <c r="B73" s="43" t="s">
        <v>1319</v>
      </c>
      <c r="C73" s="44" t="s">
        <v>1384</v>
      </c>
      <c r="D73" s="45">
        <v>1</v>
      </c>
      <c r="E73" s="46">
        <v>290000</v>
      </c>
      <c r="F73" s="47">
        <f>+$I$4+(CLIENT[[#This Row],[QUANTITE]]*CLIENT[[#This Row],[PRIX UNITAIRE]])</f>
        <v>290000</v>
      </c>
      <c r="G73" s="48"/>
      <c r="H73" s="49">
        <f>+SUM($F$9:F73)-SUM($G$9:G73)</f>
        <v>3209000</v>
      </c>
    </row>
    <row r="74" spans="1:8" ht="28.8" x14ac:dyDescent="0.55000000000000004">
      <c r="A74" s="43">
        <v>43932</v>
      </c>
      <c r="B74" s="43" t="s">
        <v>1385</v>
      </c>
      <c r="C74" s="44" t="s">
        <v>1386</v>
      </c>
      <c r="D74" s="45">
        <v>1</v>
      </c>
      <c r="E74" s="46">
        <v>275000</v>
      </c>
      <c r="F74" s="47">
        <f>+$I$4+(CLIENT[[#This Row],[QUANTITE]]*CLIENT[[#This Row],[PRIX UNITAIRE]])</f>
        <v>275000</v>
      </c>
      <c r="G74" s="48"/>
      <c r="H74" s="49">
        <f>+SUM($F$9:F74)-SUM($G$9:G74)</f>
        <v>3484000</v>
      </c>
    </row>
    <row r="75" spans="1:8" ht="28.8" x14ac:dyDescent="0.55000000000000004">
      <c r="A75" s="43">
        <v>43941</v>
      </c>
      <c r="B75" s="43" t="s">
        <v>1315</v>
      </c>
      <c r="C75" s="44" t="s">
        <v>1387</v>
      </c>
      <c r="D75" s="45">
        <v>1</v>
      </c>
      <c r="E75" s="46">
        <v>290000</v>
      </c>
      <c r="F75" s="47">
        <f>+$I$4+(CLIENT[[#This Row],[QUANTITE]]*CLIENT[[#This Row],[PRIX UNITAIRE]])</f>
        <v>290000</v>
      </c>
      <c r="G75" s="48"/>
      <c r="H75" s="49">
        <f>+SUM($F$9:F75)-SUM($G$9:G75)</f>
        <v>3774000</v>
      </c>
    </row>
    <row r="76" spans="1:8" ht="28.8" x14ac:dyDescent="0.55000000000000004">
      <c r="A76" s="43">
        <v>43941</v>
      </c>
      <c r="B76" s="43" t="s">
        <v>1388</v>
      </c>
      <c r="C76" s="44" t="s">
        <v>1389</v>
      </c>
      <c r="D76" s="45">
        <v>1</v>
      </c>
      <c r="E76" s="46">
        <v>260000</v>
      </c>
      <c r="F76" s="47">
        <f>+$I$4+(CLIENT[[#This Row],[QUANTITE]]*CLIENT[[#This Row],[PRIX UNITAIRE]])</f>
        <v>260000</v>
      </c>
      <c r="G76" s="48"/>
      <c r="H76" s="49">
        <f>+SUM($F$9:F76)-SUM($G$9:G76)</f>
        <v>4034000</v>
      </c>
    </row>
    <row r="77" spans="1:8" ht="28.8" x14ac:dyDescent="0.55000000000000004">
      <c r="A77" s="43">
        <v>43941</v>
      </c>
      <c r="B77" s="43" t="s">
        <v>1390</v>
      </c>
      <c r="C77" s="44" t="s">
        <v>1391</v>
      </c>
      <c r="D77" s="45">
        <v>1</v>
      </c>
      <c r="E77" s="46">
        <v>275000</v>
      </c>
      <c r="F77" s="47">
        <f>+$I$4+(CLIENT[[#This Row],[QUANTITE]]*CLIENT[[#This Row],[PRIX UNITAIRE]])</f>
        <v>275000</v>
      </c>
      <c r="G77" s="48"/>
      <c r="H77" s="49">
        <f>+SUM($F$9:F77)-SUM($G$9:G77)</f>
        <v>4309000</v>
      </c>
    </row>
    <row r="78" spans="1:8" ht="28.8" x14ac:dyDescent="0.55000000000000004">
      <c r="A78" s="43">
        <v>43942</v>
      </c>
      <c r="B78" s="43" t="s">
        <v>1307</v>
      </c>
      <c r="C78" s="44" t="s">
        <v>1392</v>
      </c>
      <c r="D78" s="45">
        <v>2</v>
      </c>
      <c r="E78" s="46">
        <v>130000</v>
      </c>
      <c r="F78" s="47">
        <f>+$I$4+(CLIENT[[#This Row],[QUANTITE]]*CLIENT[[#This Row],[PRIX UNITAIRE]])</f>
        <v>260000</v>
      </c>
      <c r="G78" s="48"/>
      <c r="H78" s="49">
        <f>+SUM($F$9:F78)-SUM($G$9:G78)</f>
        <v>4569000</v>
      </c>
    </row>
    <row r="79" spans="1:8" ht="28.8" x14ac:dyDescent="0.55000000000000004">
      <c r="A79" s="43">
        <v>43944</v>
      </c>
      <c r="B79" s="43" t="s">
        <v>1393</v>
      </c>
      <c r="C79" s="44" t="s">
        <v>1394</v>
      </c>
      <c r="D79" s="45">
        <v>1</v>
      </c>
      <c r="E79" s="46">
        <v>290000</v>
      </c>
      <c r="F79" s="47">
        <f>+$I$4+(CLIENT[[#This Row],[QUANTITE]]*CLIENT[[#This Row],[PRIX UNITAIRE]])</f>
        <v>290000</v>
      </c>
      <c r="G79" s="48"/>
      <c r="H79" s="49">
        <f>+SUM($F$9:F79)-SUM($G$9:G79)</f>
        <v>4859000</v>
      </c>
    </row>
    <row r="80" spans="1:8" ht="28.8" x14ac:dyDescent="0.55000000000000004">
      <c r="A80" s="43">
        <v>43944</v>
      </c>
      <c r="B80" s="43" t="s">
        <v>1385</v>
      </c>
      <c r="C80" s="44" t="s">
        <v>1395</v>
      </c>
      <c r="D80" s="45">
        <v>1</v>
      </c>
      <c r="E80" s="46">
        <v>110000</v>
      </c>
      <c r="F80" s="47">
        <f>+$I$4+(CLIENT[[#This Row],[QUANTITE]]*CLIENT[[#This Row],[PRIX UNITAIRE]])</f>
        <v>110000</v>
      </c>
      <c r="G80" s="48"/>
      <c r="H80" s="49">
        <f>+SUM($F$9:F80)-SUM($G$9:G80)</f>
        <v>4969000</v>
      </c>
    </row>
    <row r="81" spans="1:8" ht="28.8" x14ac:dyDescent="0.55000000000000004">
      <c r="A81" s="43">
        <v>43946</v>
      </c>
      <c r="B81" s="43" t="s">
        <v>1144</v>
      </c>
      <c r="C81" s="44" t="s">
        <v>1396</v>
      </c>
      <c r="D81" s="45">
        <v>2</v>
      </c>
      <c r="E81" s="46">
        <v>110000</v>
      </c>
      <c r="F81" s="47">
        <f>+$I$4+(CLIENT[[#This Row],[QUANTITE]]*CLIENT[[#This Row],[PRIX UNITAIRE]])</f>
        <v>220000</v>
      </c>
      <c r="G81" s="48"/>
      <c r="H81" s="49">
        <f>+SUM($F$9:F81)-SUM($G$9:G81)</f>
        <v>5189000</v>
      </c>
    </row>
    <row r="82" spans="1:8" ht="28.8" x14ac:dyDescent="0.55000000000000004">
      <c r="A82" s="43">
        <v>43948</v>
      </c>
      <c r="B82" s="43" t="s">
        <v>1397</v>
      </c>
      <c r="C82" s="44" t="s">
        <v>1398</v>
      </c>
      <c r="D82" s="45">
        <v>1</v>
      </c>
      <c r="E82" s="46">
        <v>290000</v>
      </c>
      <c r="F82" s="47">
        <f>+$I$4+(CLIENT[[#This Row],[QUANTITE]]*CLIENT[[#This Row],[PRIX UNITAIRE]])</f>
        <v>290000</v>
      </c>
      <c r="G82" s="48"/>
      <c r="H82" s="49">
        <f>+SUM($F$9:F82)-SUM($G$9:G82)</f>
        <v>5479000</v>
      </c>
    </row>
    <row r="83" spans="1:8" ht="28.8" x14ac:dyDescent="0.55000000000000004">
      <c r="A83" s="43">
        <v>43951</v>
      </c>
      <c r="B83" s="43" t="s">
        <v>1399</v>
      </c>
      <c r="C83" s="44" t="s">
        <v>1400</v>
      </c>
      <c r="D83" s="45">
        <v>1</v>
      </c>
      <c r="E83" s="46">
        <v>290000</v>
      </c>
      <c r="F83" s="47">
        <f>+$I$4+(CLIENT[[#This Row],[QUANTITE]]*CLIENT[[#This Row],[PRIX UNITAIRE]])</f>
        <v>290000</v>
      </c>
      <c r="G83" s="48"/>
      <c r="H83" s="49">
        <f>+SUM($F$9:F83)-SUM($G$9:G83)</f>
        <v>5769000</v>
      </c>
    </row>
    <row r="84" spans="1:8" ht="28.8" x14ac:dyDescent="0.55000000000000004">
      <c r="A84" s="43">
        <v>43957</v>
      </c>
      <c r="B84" s="43" t="s">
        <v>1238</v>
      </c>
      <c r="C84" s="44" t="s">
        <v>1401</v>
      </c>
      <c r="D84" s="45">
        <v>1</v>
      </c>
      <c r="E84" s="46">
        <v>275000</v>
      </c>
      <c r="F84" s="47">
        <f>+$I$4+(CLIENT[[#This Row],[QUANTITE]]*CLIENT[[#This Row],[PRIX UNITAIRE]])</f>
        <v>275000</v>
      </c>
      <c r="G84" s="48"/>
      <c r="H84" s="49">
        <f>+SUM($F$9:F84)-SUM($G$9:G84)</f>
        <v>6044000</v>
      </c>
    </row>
    <row r="85" spans="1:8" ht="28.8" x14ac:dyDescent="0.55000000000000004">
      <c r="A85" s="43">
        <v>43958</v>
      </c>
      <c r="B85" s="43" t="s">
        <v>1402</v>
      </c>
      <c r="C85" s="44" t="s">
        <v>1403</v>
      </c>
      <c r="D85" s="45">
        <v>1</v>
      </c>
      <c r="E85" s="46">
        <v>290000</v>
      </c>
      <c r="F85" s="47">
        <f>+$I$4+(CLIENT[[#This Row],[QUANTITE]]*CLIENT[[#This Row],[PRIX UNITAIRE]])</f>
        <v>290000</v>
      </c>
      <c r="G85" s="48"/>
      <c r="H85" s="49">
        <f>+SUM($F$9:F85)-SUM($G$9:G85)</f>
        <v>6334000</v>
      </c>
    </row>
    <row r="86" spans="1:8" ht="28.8" x14ac:dyDescent="0.55000000000000004">
      <c r="A86" s="43">
        <v>43959</v>
      </c>
      <c r="B86" s="43" t="s">
        <v>1404</v>
      </c>
      <c r="C86" s="44" t="s">
        <v>1405</v>
      </c>
      <c r="D86" s="45">
        <v>1</v>
      </c>
      <c r="E86" s="46">
        <v>290000</v>
      </c>
      <c r="F86" s="47">
        <f>+$I$4+(CLIENT[[#This Row],[QUANTITE]]*CLIENT[[#This Row],[PRIX UNITAIRE]])</f>
        <v>290000</v>
      </c>
      <c r="G86" s="48"/>
      <c r="H86" s="49">
        <f>+SUM($F$9:F86)-SUM($G$9:G86)</f>
        <v>6624000</v>
      </c>
    </row>
    <row r="87" spans="1:8" ht="28.8" x14ac:dyDescent="0.55000000000000004">
      <c r="A87" s="43">
        <v>43962</v>
      </c>
      <c r="B87" s="43" t="s">
        <v>1406</v>
      </c>
      <c r="C87" s="44" t="s">
        <v>1407</v>
      </c>
      <c r="D87" s="45">
        <v>1</v>
      </c>
      <c r="E87" s="46">
        <v>290000</v>
      </c>
      <c r="F87" s="47">
        <f>+$I$4+(CLIENT[[#This Row],[QUANTITE]]*CLIENT[[#This Row],[PRIX UNITAIRE]])</f>
        <v>290000</v>
      </c>
      <c r="G87" s="48"/>
      <c r="H87" s="49">
        <f>+SUM($F$9:F87)-SUM($G$9:G87)</f>
        <v>6914000</v>
      </c>
    </row>
    <row r="88" spans="1:8" ht="28.8" x14ac:dyDescent="0.55000000000000004">
      <c r="A88" s="43">
        <v>43963</v>
      </c>
      <c r="B88" s="43" t="s">
        <v>1408</v>
      </c>
      <c r="C88" s="44" t="s">
        <v>1409</v>
      </c>
      <c r="D88" s="45">
        <v>1</v>
      </c>
      <c r="E88" s="46">
        <v>290000</v>
      </c>
      <c r="F88" s="47">
        <f>+$I$4+(CLIENT[[#This Row],[QUANTITE]]*CLIENT[[#This Row],[PRIX UNITAIRE]])</f>
        <v>290000</v>
      </c>
      <c r="G88" s="48"/>
      <c r="H88" s="49">
        <f>+SUM($F$9:F88)-SUM($G$9:G88)</f>
        <v>7204000</v>
      </c>
    </row>
    <row r="89" spans="1:8" ht="28.8" x14ac:dyDescent="0.55000000000000004">
      <c r="A89" s="43">
        <v>43963</v>
      </c>
      <c r="B89" s="43" t="s">
        <v>1410</v>
      </c>
      <c r="C89" s="44" t="s">
        <v>1411</v>
      </c>
      <c r="D89" s="45">
        <v>1</v>
      </c>
      <c r="E89" s="46">
        <v>275000</v>
      </c>
      <c r="F89" s="47">
        <f>+$I$4+(CLIENT[[#This Row],[QUANTITE]]*CLIENT[[#This Row],[PRIX UNITAIRE]])</f>
        <v>275000</v>
      </c>
      <c r="G89" s="48"/>
      <c r="H89" s="49">
        <f>+SUM($F$9:F89)-SUM($G$9:G89)</f>
        <v>7479000</v>
      </c>
    </row>
    <row r="90" spans="1:8" ht="28.8" x14ac:dyDescent="0.55000000000000004">
      <c r="A90" s="43">
        <v>43963</v>
      </c>
      <c r="B90" s="43" t="s">
        <v>259</v>
      </c>
      <c r="C90" s="44" t="s">
        <v>1412</v>
      </c>
      <c r="D90" s="45">
        <v>1</v>
      </c>
      <c r="E90" s="46">
        <v>0</v>
      </c>
      <c r="F90" s="47">
        <f>+$I$4+(CLIENT[[#This Row],[QUANTITE]]*CLIENT[[#This Row],[PRIX UNITAIRE]])</f>
        <v>0</v>
      </c>
      <c r="G90" s="48">
        <v>6000000</v>
      </c>
      <c r="H90" s="49">
        <f>+SUM($F$9:F90)-SUM($G$9:G90)</f>
        <v>1479000</v>
      </c>
    </row>
    <row r="91" spans="1:8" ht="28.8" x14ac:dyDescent="0.55000000000000004">
      <c r="A91" s="43">
        <v>43965</v>
      </c>
      <c r="B91" s="43" t="s">
        <v>1333</v>
      </c>
      <c r="C91" s="44" t="s">
        <v>1413</v>
      </c>
      <c r="D91" s="45">
        <v>1</v>
      </c>
      <c r="E91" s="46">
        <v>275000</v>
      </c>
      <c r="F91" s="47">
        <f>+$I$4+(CLIENT[[#This Row],[QUANTITE]]*CLIENT[[#This Row],[PRIX UNITAIRE]])</f>
        <v>275000</v>
      </c>
      <c r="G91" s="48"/>
      <c r="H91" s="49">
        <f>+SUM($F$9:F91)-SUM($G$9:G91)</f>
        <v>1754000</v>
      </c>
    </row>
    <row r="92" spans="1:8" ht="28.8" x14ac:dyDescent="0.55000000000000004">
      <c r="A92" s="43">
        <v>43966</v>
      </c>
      <c r="B92" s="43" t="s">
        <v>1414</v>
      </c>
      <c r="C92" s="44" t="s">
        <v>1366</v>
      </c>
      <c r="D92" s="45">
        <v>1</v>
      </c>
      <c r="E92" s="46">
        <v>290000</v>
      </c>
      <c r="F92" s="47">
        <f>+$I$4+(CLIENT[[#This Row],[QUANTITE]]*CLIENT[[#This Row],[PRIX UNITAIRE]])</f>
        <v>290000</v>
      </c>
      <c r="G92" s="48"/>
      <c r="H92" s="49">
        <f>+SUM($F$9:F92)-SUM($G$9:G92)</f>
        <v>2044000</v>
      </c>
    </row>
    <row r="93" spans="1:8" ht="28.8" x14ac:dyDescent="0.55000000000000004">
      <c r="A93" s="43">
        <v>43967</v>
      </c>
      <c r="B93" s="43" t="s">
        <v>1406</v>
      </c>
      <c r="C93" s="44" t="s">
        <v>1415</v>
      </c>
      <c r="D93" s="45">
        <v>1</v>
      </c>
      <c r="E93" s="46">
        <v>290000</v>
      </c>
      <c r="F93" s="47">
        <f>+$I$4+(CLIENT[[#This Row],[QUANTITE]]*CLIENT[[#This Row],[PRIX UNITAIRE]])</f>
        <v>290000</v>
      </c>
      <c r="G93" s="48"/>
      <c r="H93" s="49">
        <f>+SUM($F$9:F93)-SUM($G$9:G93)</f>
        <v>2334000</v>
      </c>
    </row>
    <row r="94" spans="1:8" ht="28.8" x14ac:dyDescent="0.55000000000000004">
      <c r="A94" s="43">
        <v>43968</v>
      </c>
      <c r="B94" s="43" t="s">
        <v>1149</v>
      </c>
      <c r="C94" s="44" t="s">
        <v>1416</v>
      </c>
      <c r="D94" s="45">
        <v>2</v>
      </c>
      <c r="E94" s="46">
        <v>110000</v>
      </c>
      <c r="F94" s="47">
        <f>+$I$4+(CLIENT[[#This Row],[QUANTITE]]*CLIENT[[#This Row],[PRIX UNITAIRE]])</f>
        <v>220000</v>
      </c>
      <c r="G94" s="48"/>
      <c r="H94" s="49">
        <f>+SUM($F$9:F94)-SUM($G$9:G94)</f>
        <v>2554000</v>
      </c>
    </row>
    <row r="95" spans="1:8" ht="28.8" x14ac:dyDescent="0.55000000000000004">
      <c r="A95" s="43">
        <v>43967</v>
      </c>
      <c r="B95" s="43" t="s">
        <v>1327</v>
      </c>
      <c r="C95" s="44" t="s">
        <v>1417</v>
      </c>
      <c r="D95" s="45">
        <v>2</v>
      </c>
      <c r="E95" s="46">
        <v>110000</v>
      </c>
      <c r="F95" s="47">
        <f>+$I$4+(CLIENT[[#This Row],[QUANTITE]]*CLIENT[[#This Row],[PRIX UNITAIRE]])</f>
        <v>220000</v>
      </c>
      <c r="G95" s="48"/>
      <c r="H95" s="49">
        <f>+SUM($F$9:F95)-SUM($G$9:G95)</f>
        <v>2774000</v>
      </c>
    </row>
    <row r="96" spans="1:8" ht="28.8" x14ac:dyDescent="0.55000000000000004">
      <c r="A96" s="43">
        <v>43972</v>
      </c>
      <c r="B96" s="43" t="s">
        <v>1418</v>
      </c>
      <c r="C96" s="44" t="s">
        <v>1419</v>
      </c>
      <c r="D96" s="45">
        <v>1</v>
      </c>
      <c r="E96" s="46">
        <v>290000</v>
      </c>
      <c r="F96" s="47">
        <f>+$I$4+(CLIENT[[#This Row],[QUANTITE]]*CLIENT[[#This Row],[PRIX UNITAIRE]])</f>
        <v>290000</v>
      </c>
      <c r="G96" s="48"/>
      <c r="H96" s="49">
        <f>+SUM($F$9:F96)-SUM($G$9:G96)</f>
        <v>3064000</v>
      </c>
    </row>
    <row r="97" spans="1:8" ht="28.8" x14ac:dyDescent="0.55000000000000004">
      <c r="A97" s="43">
        <v>43972</v>
      </c>
      <c r="B97" s="43" t="s">
        <v>1420</v>
      </c>
      <c r="C97" s="44" t="s">
        <v>1421</v>
      </c>
      <c r="D97" s="45">
        <v>1</v>
      </c>
      <c r="E97" s="46">
        <v>290000</v>
      </c>
      <c r="F97" s="47">
        <f>+$I$4+(CLIENT[[#This Row],[QUANTITE]]*CLIENT[[#This Row],[PRIX UNITAIRE]])</f>
        <v>290000</v>
      </c>
      <c r="G97" s="48"/>
      <c r="H97" s="49">
        <f>+SUM($F$9:F97)-SUM($G$9:G97)</f>
        <v>3354000</v>
      </c>
    </row>
    <row r="98" spans="1:8" ht="28.8" x14ac:dyDescent="0.55000000000000004">
      <c r="A98" s="43">
        <v>43973</v>
      </c>
      <c r="B98" s="43" t="s">
        <v>1302</v>
      </c>
      <c r="C98" s="44" t="s">
        <v>1422</v>
      </c>
      <c r="D98" s="45">
        <v>1</v>
      </c>
      <c r="E98" s="46">
        <v>275000</v>
      </c>
      <c r="F98" s="47">
        <f>+$I$4+(CLIENT[[#This Row],[QUANTITE]]*CLIENT[[#This Row],[PRIX UNITAIRE]])</f>
        <v>275000</v>
      </c>
      <c r="G98" s="48"/>
      <c r="H98" s="49">
        <f>+SUM($F$9:F98)-SUM($G$9:G98)</f>
        <v>3629000</v>
      </c>
    </row>
    <row r="99" spans="1:8" ht="28.8" x14ac:dyDescent="0.55000000000000004">
      <c r="A99" s="43">
        <v>43981</v>
      </c>
      <c r="B99" s="43" t="s">
        <v>1298</v>
      </c>
      <c r="C99" s="44" t="s">
        <v>1423</v>
      </c>
      <c r="D99" s="45">
        <v>1</v>
      </c>
      <c r="E99" s="46">
        <v>290000</v>
      </c>
      <c r="F99" s="47">
        <f>+$I$4+(CLIENT[[#This Row],[QUANTITE]]*CLIENT[[#This Row],[PRIX UNITAIRE]])</f>
        <v>290000</v>
      </c>
      <c r="G99" s="48"/>
      <c r="H99" s="49">
        <f>+SUM($F$9:F99)-SUM($G$9:G99)</f>
        <v>3919000</v>
      </c>
    </row>
    <row r="100" spans="1:8" ht="28.8" x14ac:dyDescent="0.55000000000000004">
      <c r="A100" s="43">
        <v>43981</v>
      </c>
      <c r="B100" s="43" t="s">
        <v>1424</v>
      </c>
      <c r="C100" s="44" t="s">
        <v>1425</v>
      </c>
      <c r="D100" s="45">
        <v>2</v>
      </c>
      <c r="E100" s="46">
        <v>110000</v>
      </c>
      <c r="F100" s="47">
        <f>+$I$4+(CLIENT[[#This Row],[QUANTITE]]*CLIENT[[#This Row],[PRIX UNITAIRE]])</f>
        <v>220000</v>
      </c>
      <c r="G100" s="48"/>
      <c r="H100" s="49">
        <f>+SUM($F$9:F100)-SUM($G$9:G100)</f>
        <v>4139000</v>
      </c>
    </row>
    <row r="101" spans="1:8" ht="28.8" x14ac:dyDescent="0.55000000000000004">
      <c r="A101" s="43">
        <v>43981</v>
      </c>
      <c r="B101" s="43" t="s">
        <v>1424</v>
      </c>
      <c r="C101" s="44" t="s">
        <v>1426</v>
      </c>
      <c r="D101" s="45">
        <v>1</v>
      </c>
      <c r="E101" s="46">
        <v>10000</v>
      </c>
      <c r="F101" s="47">
        <f>+$I$4+(CLIENT[[#This Row],[QUANTITE]]*CLIENT[[#This Row],[PRIX UNITAIRE]])</f>
        <v>10000</v>
      </c>
      <c r="G101" s="48"/>
      <c r="H101" s="49">
        <f>+SUM($F$9:F101)-SUM($G$9:G101)</f>
        <v>4149000</v>
      </c>
    </row>
    <row r="102" spans="1:8" ht="28.8" x14ac:dyDescent="0.55000000000000004">
      <c r="A102" s="43">
        <v>43983</v>
      </c>
      <c r="B102" s="43" t="s">
        <v>1382</v>
      </c>
      <c r="C102" s="44" t="s">
        <v>1427</v>
      </c>
      <c r="D102" s="45">
        <v>1</v>
      </c>
      <c r="E102" s="46">
        <v>290000</v>
      </c>
      <c r="F102" s="47">
        <f>+$I$4+(CLIENT[[#This Row],[QUANTITE]]*CLIENT[[#This Row],[PRIX UNITAIRE]])</f>
        <v>290000</v>
      </c>
      <c r="G102" s="48"/>
      <c r="H102" s="49">
        <f>+SUM($F$9:F102)-SUM($G$9:G102)</f>
        <v>4439000</v>
      </c>
    </row>
    <row r="103" spans="1:8" ht="28.8" x14ac:dyDescent="0.55000000000000004">
      <c r="A103" s="43">
        <v>43990</v>
      </c>
      <c r="B103" s="43" t="s">
        <v>1424</v>
      </c>
      <c r="C103" s="44" t="s">
        <v>1428</v>
      </c>
      <c r="D103" s="45">
        <v>1</v>
      </c>
      <c r="E103" s="46">
        <v>275000</v>
      </c>
      <c r="F103" s="47">
        <f>+$I$4+(CLIENT[[#This Row],[QUANTITE]]*CLIENT[[#This Row],[PRIX UNITAIRE]])</f>
        <v>275000</v>
      </c>
      <c r="G103" s="48"/>
      <c r="H103" s="49">
        <f>+SUM($F$9:F103)-SUM($G$9:G103)</f>
        <v>4714000</v>
      </c>
    </row>
    <row r="104" spans="1:8" ht="28.8" x14ac:dyDescent="0.55000000000000004">
      <c r="A104" s="43">
        <v>43990</v>
      </c>
      <c r="B104" s="43" t="s">
        <v>1330</v>
      </c>
      <c r="C104" s="44" t="s">
        <v>1429</v>
      </c>
      <c r="D104" s="45">
        <v>1</v>
      </c>
      <c r="E104" s="46">
        <v>260000</v>
      </c>
      <c r="F104" s="47">
        <f>+$I$4+(CLIENT[[#This Row],[QUANTITE]]*CLIENT[[#This Row],[PRIX UNITAIRE]])</f>
        <v>260000</v>
      </c>
      <c r="G104" s="48"/>
      <c r="H104" s="49">
        <f>+SUM($F$9:F104)-SUM($G$9:G104)</f>
        <v>4974000</v>
      </c>
    </row>
    <row r="105" spans="1:8" ht="28.8" x14ac:dyDescent="0.55000000000000004">
      <c r="A105" s="43">
        <v>43990</v>
      </c>
      <c r="B105" s="43" t="s">
        <v>1330</v>
      </c>
      <c r="C105" s="44" t="s">
        <v>1430</v>
      </c>
      <c r="D105" s="45">
        <v>1</v>
      </c>
      <c r="E105" s="46">
        <v>250000</v>
      </c>
      <c r="F105" s="47">
        <f>+$I$4+(CLIENT[[#This Row],[QUANTITE]]*CLIENT[[#This Row],[PRIX UNITAIRE]])</f>
        <v>250000</v>
      </c>
      <c r="G105" s="22"/>
      <c r="H105" s="49">
        <f>+SUM($F$9:F105)-SUM($G$9:G105)</f>
        <v>5224000</v>
      </c>
    </row>
    <row r="106" spans="1:8" ht="28.8" x14ac:dyDescent="0.55000000000000004">
      <c r="A106" s="43">
        <v>43991</v>
      </c>
      <c r="B106" s="43" t="s">
        <v>1302</v>
      </c>
      <c r="C106" s="44" t="s">
        <v>1431</v>
      </c>
      <c r="D106" s="45">
        <v>1</v>
      </c>
      <c r="E106" s="46">
        <v>290000</v>
      </c>
      <c r="F106" s="47">
        <f>+$I$4+(CLIENT[[#This Row],[QUANTITE]]*CLIENT[[#This Row],[PRIX UNITAIRE]])</f>
        <v>290000</v>
      </c>
      <c r="G106" s="48"/>
      <c r="H106" s="49">
        <f>+SUM($F$9:F106)-SUM($G$9:G106)</f>
        <v>5514000</v>
      </c>
    </row>
    <row r="107" spans="1:8" ht="28.8" x14ac:dyDescent="0.55000000000000004">
      <c r="A107" s="43">
        <v>43998</v>
      </c>
      <c r="B107" s="43" t="s">
        <v>1144</v>
      </c>
      <c r="C107" s="44" t="s">
        <v>1432</v>
      </c>
      <c r="D107" s="45">
        <v>1</v>
      </c>
      <c r="E107" s="46">
        <v>275000</v>
      </c>
      <c r="F107" s="47">
        <f>+$I$4+(CLIENT[[#This Row],[QUANTITE]]*CLIENT[[#This Row],[PRIX UNITAIRE]])</f>
        <v>275000</v>
      </c>
      <c r="G107" s="48"/>
      <c r="H107" s="49">
        <f>+SUM($F$9:F107)-SUM($G$9:G107)</f>
        <v>5789000</v>
      </c>
    </row>
    <row r="108" spans="1:8" ht="28.8" x14ac:dyDescent="0.55000000000000004">
      <c r="A108" s="43">
        <v>43998</v>
      </c>
      <c r="B108" s="43" t="s">
        <v>1144</v>
      </c>
      <c r="C108" s="44" t="s">
        <v>1433</v>
      </c>
      <c r="D108" s="45">
        <v>1</v>
      </c>
      <c r="E108" s="46">
        <v>275000</v>
      </c>
      <c r="F108" s="47">
        <f>+$I$4+(CLIENT[[#This Row],[QUANTITE]]*CLIENT[[#This Row],[PRIX UNITAIRE]])</f>
        <v>275000</v>
      </c>
      <c r="G108" s="48"/>
      <c r="H108" s="49">
        <f>+SUM($F$9:F108)-SUM($G$9:G108)</f>
        <v>6064000</v>
      </c>
    </row>
    <row r="109" spans="1:8" ht="28.8" x14ac:dyDescent="0.55000000000000004">
      <c r="A109" s="43">
        <v>44012</v>
      </c>
      <c r="B109" s="43" t="s">
        <v>1330</v>
      </c>
      <c r="C109" s="44" t="s">
        <v>1434</v>
      </c>
      <c r="D109" s="45">
        <v>1</v>
      </c>
      <c r="E109" s="46">
        <v>290000</v>
      </c>
      <c r="F109" s="47">
        <f>+$I$4+(CLIENT[[#This Row],[QUANTITE]]*CLIENT[[#This Row],[PRIX UNITAIRE]])</f>
        <v>290000</v>
      </c>
      <c r="G109" s="48"/>
      <c r="H109" s="49">
        <f>+SUM($F$9:F109)-SUM($G$9:G109)</f>
        <v>6354000</v>
      </c>
    </row>
    <row r="110" spans="1:8" ht="28.8" x14ac:dyDescent="0.55000000000000004">
      <c r="A110" s="43">
        <v>44014</v>
      </c>
      <c r="B110" s="43" t="s">
        <v>1319</v>
      </c>
      <c r="C110" s="44" t="s">
        <v>1435</v>
      </c>
      <c r="D110" s="45">
        <v>1</v>
      </c>
      <c r="E110" s="46">
        <v>290000</v>
      </c>
      <c r="F110" s="47">
        <f>+$I$4+(CLIENT[[#This Row],[QUANTITE]]*CLIENT[[#This Row],[PRIX UNITAIRE]])</f>
        <v>290000</v>
      </c>
      <c r="G110" s="48"/>
      <c r="H110" s="49">
        <f>+SUM($F$9:F110)-SUM($G$9:G110)</f>
        <v>6644000</v>
      </c>
    </row>
    <row r="111" spans="1:8" ht="28.8" x14ac:dyDescent="0.55000000000000004">
      <c r="A111" s="43">
        <v>44015</v>
      </c>
      <c r="B111" s="43" t="s">
        <v>1385</v>
      </c>
      <c r="C111" s="44" t="s">
        <v>1436</v>
      </c>
      <c r="D111" s="45">
        <v>1</v>
      </c>
      <c r="E111" s="46">
        <v>275000</v>
      </c>
      <c r="F111" s="47">
        <f>+$I$4+(CLIENT[[#This Row],[QUANTITE]]*CLIENT[[#This Row],[PRIX UNITAIRE]])</f>
        <v>275000</v>
      </c>
      <c r="G111" s="48"/>
      <c r="H111" s="49">
        <f>+SUM($F$9:F111)-SUM($G$9:G111)</f>
        <v>6919000</v>
      </c>
    </row>
    <row r="112" spans="1:8" ht="28.8" x14ac:dyDescent="0.55000000000000004">
      <c r="A112" s="43">
        <v>44018</v>
      </c>
      <c r="B112" s="43" t="s">
        <v>1238</v>
      </c>
      <c r="C112" s="44" t="s">
        <v>1437</v>
      </c>
      <c r="D112" s="45">
        <v>1</v>
      </c>
      <c r="E112" s="46">
        <v>290000</v>
      </c>
      <c r="F112" s="47">
        <f>+$I$4+(CLIENT[[#This Row],[QUANTITE]]*CLIENT[[#This Row],[PRIX UNITAIRE]])</f>
        <v>290000</v>
      </c>
      <c r="G112" s="48"/>
      <c r="H112" s="49">
        <f>+SUM($F$9:F112)-SUM($G$9:G112)</f>
        <v>7209000</v>
      </c>
    </row>
    <row r="113" spans="1:8" ht="28.8" x14ac:dyDescent="0.55000000000000004">
      <c r="A113" s="43">
        <v>44019</v>
      </c>
      <c r="B113" s="43" t="s">
        <v>1290</v>
      </c>
      <c r="C113" s="44" t="s">
        <v>1438</v>
      </c>
      <c r="D113" s="45">
        <v>1</v>
      </c>
      <c r="E113" s="46">
        <v>275000</v>
      </c>
      <c r="F113" s="47">
        <f>+$I$4+(CLIENT[[#This Row],[QUANTITE]]*CLIENT[[#This Row],[PRIX UNITAIRE]])</f>
        <v>275000</v>
      </c>
      <c r="G113" s="48"/>
      <c r="H113" s="49">
        <f>+SUM($F$9:F113)-SUM($G$9:G113)</f>
        <v>7484000</v>
      </c>
    </row>
    <row r="114" spans="1:8" ht="28.8" x14ac:dyDescent="0.55000000000000004">
      <c r="A114" s="43">
        <v>44020</v>
      </c>
      <c r="B114" s="43" t="s">
        <v>1144</v>
      </c>
      <c r="C114" s="44" t="s">
        <v>1439</v>
      </c>
      <c r="D114" s="45">
        <v>1</v>
      </c>
      <c r="E114" s="46">
        <v>290000</v>
      </c>
      <c r="F114" s="47">
        <f>+$I$4+(CLIENT[[#This Row],[QUANTITE]]*CLIENT[[#This Row],[PRIX UNITAIRE]])</f>
        <v>290000</v>
      </c>
      <c r="G114" s="48"/>
      <c r="H114" s="49">
        <f>+SUM($F$9:F114)-SUM($G$9:G114)</f>
        <v>7774000</v>
      </c>
    </row>
    <row r="115" spans="1:8" ht="28.8" x14ac:dyDescent="0.55000000000000004">
      <c r="A115" s="43">
        <v>44026</v>
      </c>
      <c r="B115" s="43" t="s">
        <v>259</v>
      </c>
      <c r="C115" s="44" t="s">
        <v>1440</v>
      </c>
      <c r="D115" s="45">
        <v>1</v>
      </c>
      <c r="E115" s="46">
        <v>0</v>
      </c>
      <c r="F115" s="47">
        <f>+$I$4+(CLIENT[[#This Row],[QUANTITE]]*CLIENT[[#This Row],[PRIX UNITAIRE]])</f>
        <v>0</v>
      </c>
      <c r="G115" s="48">
        <v>8000000</v>
      </c>
      <c r="H115" s="49">
        <f>+SUM($F$9:F115)-SUM($G$9:G115)</f>
        <v>-226000</v>
      </c>
    </row>
    <row r="116" spans="1:8" ht="28.8" x14ac:dyDescent="0.55000000000000004">
      <c r="A116" s="43">
        <v>44028</v>
      </c>
      <c r="B116" s="43"/>
      <c r="C116" s="44" t="s">
        <v>1441</v>
      </c>
      <c r="D116" s="45">
        <v>1</v>
      </c>
      <c r="E116" s="46">
        <v>575000</v>
      </c>
      <c r="F116" s="47">
        <f>+$I$4+(CLIENT[[#This Row],[QUANTITE]]*CLIENT[[#This Row],[PRIX UNITAIRE]])</f>
        <v>575000</v>
      </c>
      <c r="G116" s="48"/>
      <c r="H116" s="49">
        <f>+SUM($F$9:F116)-SUM($G$9:G116)</f>
        <v>349000</v>
      </c>
    </row>
    <row r="117" spans="1:8" ht="28.8" x14ac:dyDescent="0.55000000000000004">
      <c r="A117" s="43">
        <v>44029</v>
      </c>
      <c r="B117" s="43" t="s">
        <v>1442</v>
      </c>
      <c r="C117" s="44" t="s">
        <v>1443</v>
      </c>
      <c r="D117" s="45">
        <v>2</v>
      </c>
      <c r="E117" s="46">
        <v>180000</v>
      </c>
      <c r="F117" s="47">
        <f>+$I$4+(CLIENT[[#This Row],[QUANTITE]]*CLIENT[[#This Row],[PRIX UNITAIRE]])</f>
        <v>360000</v>
      </c>
      <c r="G117" s="48"/>
      <c r="H117" s="49">
        <f>+SUM($F$9:F117)-SUM($G$9:G117)</f>
        <v>709000</v>
      </c>
    </row>
    <row r="118" spans="1:8" ht="28.8" x14ac:dyDescent="0.55000000000000004">
      <c r="A118" s="43">
        <v>44029</v>
      </c>
      <c r="B118" s="43" t="s">
        <v>1144</v>
      </c>
      <c r="C118" s="44" t="s">
        <v>1444</v>
      </c>
      <c r="D118" s="45">
        <v>1</v>
      </c>
      <c r="E118" s="46">
        <v>135000</v>
      </c>
      <c r="F118" s="47">
        <f>+$I$4+(CLIENT[[#This Row],[QUANTITE]]*CLIENT[[#This Row],[PRIX UNITAIRE]])</f>
        <v>135000</v>
      </c>
      <c r="G118" s="48"/>
      <c r="H118" s="49">
        <f>+SUM($F$9:F118)-SUM($G$9:G118)</f>
        <v>844000</v>
      </c>
    </row>
    <row r="119" spans="1:8" ht="28.8" x14ac:dyDescent="0.55000000000000004">
      <c r="A119" s="43">
        <v>44034</v>
      </c>
      <c r="B119" s="43" t="s">
        <v>1321</v>
      </c>
      <c r="C119" s="44" t="s">
        <v>1445</v>
      </c>
      <c r="D119" s="45">
        <v>1</v>
      </c>
      <c r="E119" s="46">
        <v>290000</v>
      </c>
      <c r="F119" s="47">
        <f>+$I$4+(CLIENT[[#This Row],[QUANTITE]]*CLIENT[[#This Row],[PRIX UNITAIRE]])</f>
        <v>290000</v>
      </c>
      <c r="G119" s="48"/>
      <c r="H119" s="49">
        <f>+SUM($F$9:F119)-SUM($G$9:G119)</f>
        <v>1134000</v>
      </c>
    </row>
    <row r="120" spans="1:8" ht="28.8" x14ac:dyDescent="0.55000000000000004">
      <c r="A120" s="43">
        <v>44035</v>
      </c>
      <c r="B120" s="43" t="s">
        <v>1290</v>
      </c>
      <c r="C120" s="44" t="s">
        <v>1446</v>
      </c>
      <c r="D120" s="45">
        <v>1</v>
      </c>
      <c r="E120" s="46">
        <v>275000</v>
      </c>
      <c r="F120" s="47">
        <f>+$I$4+(CLIENT[[#This Row],[QUANTITE]]*CLIENT[[#This Row],[PRIX UNITAIRE]])</f>
        <v>275000</v>
      </c>
      <c r="G120" s="48"/>
      <c r="H120" s="49">
        <f>+SUM($F$9:F120)-SUM($G$9:G120)</f>
        <v>1409000</v>
      </c>
    </row>
    <row r="121" spans="1:8" ht="28.8" x14ac:dyDescent="0.55000000000000004">
      <c r="A121" s="43">
        <v>44035</v>
      </c>
      <c r="B121" s="43" t="s">
        <v>1447</v>
      </c>
      <c r="C121" s="44" t="s">
        <v>1448</v>
      </c>
      <c r="D121" s="45">
        <v>1</v>
      </c>
      <c r="E121" s="46">
        <v>290000</v>
      </c>
      <c r="F121" s="47">
        <f>+$I$4+(CLIENT[[#This Row],[QUANTITE]]*CLIENT[[#This Row],[PRIX UNITAIRE]])</f>
        <v>290000</v>
      </c>
      <c r="G121" s="48"/>
      <c r="H121" s="49">
        <f>+SUM($F$9:F121)-SUM($G$9:G121)</f>
        <v>1699000</v>
      </c>
    </row>
    <row r="122" spans="1:8" ht="28.8" x14ac:dyDescent="0.55000000000000004">
      <c r="A122" s="43">
        <v>44067</v>
      </c>
      <c r="B122" s="43" t="s">
        <v>1375</v>
      </c>
      <c r="C122" s="44" t="s">
        <v>1449</v>
      </c>
      <c r="D122" s="45">
        <v>2</v>
      </c>
      <c r="E122" s="46">
        <v>125000</v>
      </c>
      <c r="F122" s="47">
        <f>+$I$4+(CLIENT[[#This Row],[QUANTITE]]*CLIENT[[#This Row],[PRIX UNITAIRE]])</f>
        <v>250000</v>
      </c>
      <c r="G122" s="48"/>
      <c r="H122" s="49">
        <f>+SUM($F$9:F122)-SUM($G$9:G122)</f>
        <v>1949000</v>
      </c>
    </row>
    <row r="123" spans="1:8" ht="28.8" x14ac:dyDescent="0.55000000000000004">
      <c r="A123" s="43">
        <v>44067</v>
      </c>
      <c r="B123" s="43" t="s">
        <v>1333</v>
      </c>
      <c r="C123" s="44" t="s">
        <v>1450</v>
      </c>
      <c r="D123" s="45">
        <v>2</v>
      </c>
      <c r="E123" s="46">
        <v>125000</v>
      </c>
      <c r="F123" s="47">
        <f>+$I$4+(CLIENT[[#This Row],[QUANTITE]]*CLIENT[[#This Row],[PRIX UNITAIRE]])</f>
        <v>250000</v>
      </c>
      <c r="G123" s="48"/>
      <c r="H123" s="49">
        <f>+SUM($F$9:F123)-SUM($G$9:G123)</f>
        <v>2199000</v>
      </c>
    </row>
    <row r="124" spans="1:8" ht="28.8" x14ac:dyDescent="0.55000000000000004">
      <c r="A124" s="43">
        <v>44067</v>
      </c>
      <c r="B124" s="43" t="s">
        <v>1232</v>
      </c>
      <c r="C124" s="44" t="s">
        <v>1451</v>
      </c>
      <c r="D124" s="45">
        <v>2</v>
      </c>
      <c r="E124" s="46">
        <v>125000</v>
      </c>
      <c r="F124" s="47">
        <f>+$I$4+(CLIENT[[#This Row],[QUANTITE]]*CLIENT[[#This Row],[PRIX UNITAIRE]])</f>
        <v>250000</v>
      </c>
      <c r="G124" s="48"/>
      <c r="H124" s="49">
        <f>+SUM($F$9:F124)-SUM($G$9:G124)</f>
        <v>2449000</v>
      </c>
    </row>
    <row r="125" spans="1:8" ht="28.8" x14ac:dyDescent="0.55000000000000004">
      <c r="A125" s="43">
        <v>44069</v>
      </c>
      <c r="B125" s="43" t="s">
        <v>1369</v>
      </c>
      <c r="C125" s="44" t="s">
        <v>1452</v>
      </c>
      <c r="D125" s="45">
        <v>2</v>
      </c>
      <c r="E125" s="46">
        <v>125000</v>
      </c>
      <c r="F125" s="47">
        <f>+$I$4+(CLIENT[[#This Row],[QUANTITE]]*CLIENT[[#This Row],[PRIX UNITAIRE]])</f>
        <v>250000</v>
      </c>
      <c r="G125" s="48"/>
      <c r="H125" s="49">
        <f>+SUM($F$9:F125)-SUM($G$9:G125)</f>
        <v>2699000</v>
      </c>
    </row>
    <row r="126" spans="1:8" ht="28.8" x14ac:dyDescent="0.55000000000000004">
      <c r="A126" s="43">
        <v>44070</v>
      </c>
      <c r="B126" s="43" t="s">
        <v>1453</v>
      </c>
      <c r="C126" s="44" t="s">
        <v>1454</v>
      </c>
      <c r="D126" s="45">
        <v>1</v>
      </c>
      <c r="E126" s="46">
        <v>325000</v>
      </c>
      <c r="F126" s="47">
        <f>+$I$4+(CLIENT[[#This Row],[QUANTITE]]*CLIENT[[#This Row],[PRIX UNITAIRE]])</f>
        <v>325000</v>
      </c>
      <c r="G126" s="48"/>
      <c r="H126" s="49">
        <f>+SUM($F$9:F126)-SUM($G$9:G126)</f>
        <v>3024000</v>
      </c>
    </row>
    <row r="127" spans="1:8" ht="28.8" x14ac:dyDescent="0.55000000000000004">
      <c r="A127" s="43">
        <v>44072</v>
      </c>
      <c r="B127" s="43" t="s">
        <v>1455</v>
      </c>
      <c r="C127" s="44" t="s">
        <v>1456</v>
      </c>
      <c r="D127" s="45">
        <v>1</v>
      </c>
      <c r="E127" s="46">
        <v>290000</v>
      </c>
      <c r="F127" s="47">
        <f>+$I$4+(CLIENT[[#This Row],[QUANTITE]]*CLIENT[[#This Row],[PRIX UNITAIRE]])</f>
        <v>290000</v>
      </c>
      <c r="G127" s="48"/>
      <c r="H127" s="49">
        <f>+SUM($F$9:F127)-SUM($G$9:G127)</f>
        <v>3314000</v>
      </c>
    </row>
    <row r="128" spans="1:8" ht="28.8" x14ac:dyDescent="0.55000000000000004">
      <c r="A128" s="43">
        <v>44081</v>
      </c>
      <c r="B128" s="43" t="s">
        <v>1457</v>
      </c>
      <c r="C128" s="44" t="s">
        <v>1458</v>
      </c>
      <c r="D128" s="45">
        <v>2</v>
      </c>
      <c r="E128" s="46">
        <v>250000</v>
      </c>
      <c r="F128" s="47">
        <f>+$I$4+(CLIENT[[#This Row],[QUANTITE]]*CLIENT[[#This Row],[PRIX UNITAIRE]])</f>
        <v>500000</v>
      </c>
      <c r="G128" s="48"/>
      <c r="H128" s="49">
        <f>+SUM($F$9:F128)-SUM($G$9:G128)</f>
        <v>3814000</v>
      </c>
    </row>
    <row r="129" spans="1:8" ht="28.8" x14ac:dyDescent="0.55000000000000004">
      <c r="A129" s="43">
        <v>44023</v>
      </c>
      <c r="B129" s="43" t="s">
        <v>1459</v>
      </c>
      <c r="C129" s="44" t="s">
        <v>1460</v>
      </c>
      <c r="D129" s="45">
        <v>2</v>
      </c>
      <c r="E129" s="46">
        <v>125000</v>
      </c>
      <c r="F129" s="47">
        <f>+$I$4+(CLIENT[[#This Row],[QUANTITE]]*CLIENT[[#This Row],[PRIX UNITAIRE]])</f>
        <v>250000</v>
      </c>
      <c r="G129" s="48"/>
      <c r="H129" s="49">
        <f>+SUM($F$9:F129)-SUM($G$9:G129)</f>
        <v>4064000</v>
      </c>
    </row>
    <row r="130" spans="1:8" ht="28.8" x14ac:dyDescent="0.55000000000000004">
      <c r="A130" s="43">
        <v>44023</v>
      </c>
      <c r="B130" s="43" t="s">
        <v>1461</v>
      </c>
      <c r="C130" s="44" t="s">
        <v>1462</v>
      </c>
      <c r="D130" s="45">
        <v>2</v>
      </c>
      <c r="E130" s="46">
        <v>125000</v>
      </c>
      <c r="F130" s="47">
        <f>+$I$4+(CLIENT[[#This Row],[QUANTITE]]*CLIENT[[#This Row],[PRIX UNITAIRE]])</f>
        <v>250000</v>
      </c>
      <c r="G130" s="48"/>
      <c r="H130" s="49">
        <f>+SUM($F$9:F130)-SUM($G$9:G130)</f>
        <v>4314000</v>
      </c>
    </row>
    <row r="131" spans="1:8" ht="28.8" x14ac:dyDescent="0.55000000000000004">
      <c r="A131" s="43">
        <v>44024</v>
      </c>
      <c r="B131" s="43" t="s">
        <v>1447</v>
      </c>
      <c r="C131" s="44" t="s">
        <v>1463</v>
      </c>
      <c r="D131" s="45">
        <v>1</v>
      </c>
      <c r="E131" s="46">
        <v>290000</v>
      </c>
      <c r="F131" s="47">
        <f>+$I$4+(CLIENT[[#This Row],[QUANTITE]]*CLIENT[[#This Row],[PRIX UNITAIRE]])</f>
        <v>290000</v>
      </c>
      <c r="G131" s="48"/>
      <c r="H131" s="49">
        <f>+SUM($F$9:F131)-SUM($G$9:G131)</f>
        <v>4604000</v>
      </c>
    </row>
    <row r="132" spans="1:8" ht="28.8" x14ac:dyDescent="0.55000000000000004">
      <c r="A132" s="43">
        <v>44089</v>
      </c>
      <c r="B132" s="43" t="s">
        <v>1464</v>
      </c>
      <c r="C132" s="44" t="s">
        <v>1465</v>
      </c>
      <c r="D132" s="45">
        <v>1</v>
      </c>
      <c r="E132" s="46">
        <v>290000</v>
      </c>
      <c r="F132" s="47">
        <f>+$I$4+(CLIENT[[#This Row],[QUANTITE]]*CLIENT[[#This Row],[PRIX UNITAIRE]])</f>
        <v>290000</v>
      </c>
      <c r="G132" s="48"/>
      <c r="H132" s="49">
        <f>+SUM($F$9:F132)-SUM($G$9:G132)</f>
        <v>4894000</v>
      </c>
    </row>
    <row r="133" spans="1:8" ht="28.8" x14ac:dyDescent="0.55000000000000004">
      <c r="A133" s="43">
        <v>44106</v>
      </c>
      <c r="B133" s="43" t="s">
        <v>1466</v>
      </c>
      <c r="C133" s="44" t="s">
        <v>1467</v>
      </c>
      <c r="D133" s="45">
        <v>4</v>
      </c>
      <c r="E133" s="46">
        <v>280000</v>
      </c>
      <c r="F133" s="47">
        <f>+$I$4+(CLIENT[[#This Row],[QUANTITE]]*CLIENT[[#This Row],[PRIX UNITAIRE]])</f>
        <v>1120000</v>
      </c>
      <c r="G133" s="48"/>
      <c r="H133" s="49">
        <f>+SUM($F$9:F133)-SUM($G$9:G133)</f>
        <v>6014000</v>
      </c>
    </row>
    <row r="134" spans="1:8" ht="28.8" x14ac:dyDescent="0.55000000000000004">
      <c r="A134" s="43">
        <v>44106</v>
      </c>
      <c r="B134" s="43" t="s">
        <v>1466</v>
      </c>
      <c r="C134" s="44" t="s">
        <v>1468</v>
      </c>
      <c r="D134" s="45">
        <v>2</v>
      </c>
      <c r="E134" s="46">
        <v>290000</v>
      </c>
      <c r="F134" s="47">
        <f>+$I$4+(CLIENT[[#This Row],[QUANTITE]]*CLIENT[[#This Row],[PRIX UNITAIRE]])</f>
        <v>580000</v>
      </c>
      <c r="G134" s="48"/>
      <c r="H134" s="49">
        <f>+SUM($F$9:F134)-SUM($G$9:G134)</f>
        <v>6594000</v>
      </c>
    </row>
    <row r="135" spans="1:8" ht="28.8" x14ac:dyDescent="0.55000000000000004">
      <c r="A135" s="43">
        <v>44107</v>
      </c>
      <c r="B135" s="43" t="s">
        <v>1469</v>
      </c>
      <c r="C135" s="44" t="s">
        <v>1470</v>
      </c>
      <c r="D135" s="45">
        <v>1</v>
      </c>
      <c r="E135" s="46">
        <v>160000</v>
      </c>
      <c r="F135" s="47">
        <f>+$I$4+(CLIENT[[#This Row],[QUANTITE]]*CLIENT[[#This Row],[PRIX UNITAIRE]])</f>
        <v>160000</v>
      </c>
      <c r="G135" s="48"/>
      <c r="H135" s="49">
        <f>+SUM($F$9:F135)-SUM($G$9:G135)</f>
        <v>6754000</v>
      </c>
    </row>
    <row r="136" spans="1:8" ht="28.8" x14ac:dyDescent="0.55000000000000004">
      <c r="A136" s="43">
        <v>44109</v>
      </c>
      <c r="B136" s="43" t="s">
        <v>1469</v>
      </c>
      <c r="C136" s="44" t="s">
        <v>1471</v>
      </c>
      <c r="D136" s="45">
        <v>1</v>
      </c>
      <c r="E136" s="46">
        <v>125000</v>
      </c>
      <c r="F136" s="47">
        <f>+$I$4+(CLIENT[[#This Row],[QUANTITE]]*CLIENT[[#This Row],[PRIX UNITAIRE]])</f>
        <v>125000</v>
      </c>
      <c r="G136" s="48"/>
      <c r="H136" s="49">
        <f>+SUM($F$9:F136)-SUM($G$9:G136)</f>
        <v>6879000</v>
      </c>
    </row>
    <row r="137" spans="1:8" ht="28.8" x14ac:dyDescent="0.55000000000000004">
      <c r="A137" s="43">
        <v>44111</v>
      </c>
      <c r="B137" s="43" t="s">
        <v>1472</v>
      </c>
      <c r="C137" s="44" t="s">
        <v>1473</v>
      </c>
      <c r="D137" s="45">
        <v>1</v>
      </c>
      <c r="E137" s="46">
        <v>90000</v>
      </c>
      <c r="F137" s="47">
        <f>+$I$4+(CLIENT[[#This Row],[QUANTITE]]*CLIENT[[#This Row],[PRIX UNITAIRE]])</f>
        <v>90000</v>
      </c>
      <c r="G137" s="48"/>
      <c r="H137" s="49">
        <f>+SUM($F$9:F137)-SUM($G$9:G137)</f>
        <v>6969000</v>
      </c>
    </row>
    <row r="138" spans="1:8" ht="28.8" x14ac:dyDescent="0.55000000000000004">
      <c r="A138" s="43">
        <v>44111</v>
      </c>
      <c r="B138" s="43" t="s">
        <v>1474</v>
      </c>
      <c r="C138" s="44" t="s">
        <v>1475</v>
      </c>
      <c r="D138" s="45">
        <v>1</v>
      </c>
      <c r="E138" s="46">
        <v>260000</v>
      </c>
      <c r="F138" s="47">
        <f>+$I$4+(CLIENT[[#This Row],[QUANTITE]]*CLIENT[[#This Row],[PRIX UNITAIRE]])</f>
        <v>260000</v>
      </c>
      <c r="G138" s="48"/>
      <c r="H138" s="49">
        <f>+SUM($F$9:F138)-SUM($G$9:G138)</f>
        <v>7229000</v>
      </c>
    </row>
    <row r="139" spans="1:8" ht="28.8" x14ac:dyDescent="0.55000000000000004">
      <c r="A139" s="43">
        <v>44112</v>
      </c>
      <c r="B139" s="43" t="s">
        <v>1302</v>
      </c>
      <c r="C139" s="44" t="s">
        <v>1476</v>
      </c>
      <c r="D139" s="45">
        <v>1</v>
      </c>
      <c r="E139" s="46">
        <v>275000</v>
      </c>
      <c r="F139" s="47">
        <f>+$I$4+(CLIENT[[#This Row],[QUANTITE]]*CLIENT[[#This Row],[PRIX UNITAIRE]])</f>
        <v>275000</v>
      </c>
      <c r="G139" s="48"/>
      <c r="H139" s="49">
        <f>+SUM($F$9:F139)-SUM($G$9:G139)</f>
        <v>7504000</v>
      </c>
    </row>
    <row r="140" spans="1:8" ht="28.8" x14ac:dyDescent="0.55000000000000004">
      <c r="A140" s="43">
        <v>44113</v>
      </c>
      <c r="B140" s="43" t="s">
        <v>1382</v>
      </c>
      <c r="C140" s="44" t="s">
        <v>1477</v>
      </c>
      <c r="D140" s="45">
        <v>1</v>
      </c>
      <c r="E140" s="46">
        <v>125000</v>
      </c>
      <c r="F140" s="47">
        <f>+$I$4+(CLIENT[[#This Row],[QUANTITE]]*CLIENT[[#This Row],[PRIX UNITAIRE]])</f>
        <v>125000</v>
      </c>
      <c r="G140" s="48"/>
      <c r="H140" s="49">
        <f>+SUM($F$9:F140)-SUM($G$9:G140)</f>
        <v>7629000</v>
      </c>
    </row>
    <row r="141" spans="1:8" ht="28.8" x14ac:dyDescent="0.55000000000000004">
      <c r="A141" s="43">
        <v>44114</v>
      </c>
      <c r="B141" s="43" t="s">
        <v>1469</v>
      </c>
      <c r="C141" s="44" t="s">
        <v>1478</v>
      </c>
      <c r="D141" s="45">
        <v>2</v>
      </c>
      <c r="E141" s="46">
        <v>180000</v>
      </c>
      <c r="F141" s="47">
        <f>+$I$4+(CLIENT[[#This Row],[QUANTITE]]*CLIENT[[#This Row],[PRIX UNITAIRE]])</f>
        <v>360000</v>
      </c>
      <c r="G141" s="48"/>
      <c r="H141" s="49">
        <f>+SUM($F$9:F141)-SUM($G$9:G141)</f>
        <v>7989000</v>
      </c>
    </row>
    <row r="142" spans="1:8" ht="28.8" x14ac:dyDescent="0.55000000000000004">
      <c r="A142" s="43">
        <v>44117</v>
      </c>
      <c r="B142" s="43" t="s">
        <v>259</v>
      </c>
      <c r="C142" s="44" t="s">
        <v>1479</v>
      </c>
      <c r="D142" s="45">
        <v>1</v>
      </c>
      <c r="E142" s="46">
        <v>0</v>
      </c>
      <c r="F142" s="47">
        <f>+$I$4+(CLIENT[[#This Row],[QUANTITE]]*CLIENT[[#This Row],[PRIX UNITAIRE]])</f>
        <v>0</v>
      </c>
      <c r="G142" s="48">
        <v>7000000</v>
      </c>
      <c r="H142" s="49">
        <f>+SUM($F$9:F142)-SUM($G$9:G142)</f>
        <v>989000</v>
      </c>
    </row>
    <row r="143" spans="1:8" ht="28.8" x14ac:dyDescent="0.55000000000000004">
      <c r="A143" s="43">
        <v>44121</v>
      </c>
      <c r="B143" s="43" t="s">
        <v>1369</v>
      </c>
      <c r="C143" s="44" t="s">
        <v>1480</v>
      </c>
      <c r="D143" s="45">
        <v>2</v>
      </c>
      <c r="E143" s="46">
        <v>275000</v>
      </c>
      <c r="F143" s="47">
        <f>+$I$4+(CLIENT[[#This Row],[QUANTITE]]*CLIENT[[#This Row],[PRIX UNITAIRE]])</f>
        <v>550000</v>
      </c>
      <c r="G143" s="48"/>
      <c r="H143" s="49">
        <f>+SUM($F$9:F143)-SUM($G$9:G143)</f>
        <v>1539000</v>
      </c>
    </row>
    <row r="144" spans="1:8" ht="28.8" x14ac:dyDescent="0.55000000000000004">
      <c r="A144" s="43">
        <v>44121</v>
      </c>
      <c r="B144" s="43" t="s">
        <v>1481</v>
      </c>
      <c r="C144" s="44" t="s">
        <v>1482</v>
      </c>
      <c r="D144" s="45">
        <v>1</v>
      </c>
      <c r="E144" s="46">
        <v>290000</v>
      </c>
      <c r="F144" s="47">
        <f>+$I$4+(CLIENT[[#This Row],[QUANTITE]]*CLIENT[[#This Row],[PRIX UNITAIRE]])</f>
        <v>290000</v>
      </c>
      <c r="G144" s="48"/>
      <c r="H144" s="49">
        <f>+SUM($F$9:F144)-SUM($G$9:G144)</f>
        <v>1829000</v>
      </c>
    </row>
    <row r="145" spans="1:8" ht="28.8" x14ac:dyDescent="0.55000000000000004">
      <c r="A145" s="43">
        <v>44138</v>
      </c>
      <c r="B145" s="43" t="s">
        <v>1234</v>
      </c>
      <c r="C145" s="44" t="s">
        <v>1483</v>
      </c>
      <c r="D145" s="45">
        <v>1</v>
      </c>
      <c r="E145" s="46">
        <v>155000</v>
      </c>
      <c r="F145" s="47">
        <f>+$I$4+(CLIENT[[#This Row],[QUANTITE]]*CLIENT[[#This Row],[PRIX UNITAIRE]])</f>
        <v>155000</v>
      </c>
      <c r="G145" s="48"/>
      <c r="H145" s="49">
        <f>+SUM($F$9:F145)-SUM($G$9:G145)</f>
        <v>1984000</v>
      </c>
    </row>
    <row r="146" spans="1:8" ht="28.8" x14ac:dyDescent="0.55000000000000004">
      <c r="A146" s="43">
        <v>44140</v>
      </c>
      <c r="B146" s="43" t="s">
        <v>1484</v>
      </c>
      <c r="C146" s="44" t="s">
        <v>1485</v>
      </c>
      <c r="D146" s="45">
        <v>1</v>
      </c>
      <c r="E146" s="46">
        <v>290000</v>
      </c>
      <c r="F146" s="47">
        <f>+$I$4+(CLIENT[[#This Row],[QUANTITE]]*CLIENT[[#This Row],[PRIX UNITAIRE]])</f>
        <v>290000</v>
      </c>
      <c r="G146" s="48"/>
      <c r="H146" s="49">
        <f>+SUM($F$9:F146)-SUM($G$9:G146)</f>
        <v>2274000</v>
      </c>
    </row>
    <row r="147" spans="1:8" ht="28.8" x14ac:dyDescent="0.55000000000000004">
      <c r="A147" s="43">
        <v>44140</v>
      </c>
      <c r="B147" s="43" t="s">
        <v>1385</v>
      </c>
      <c r="C147" s="44" t="s">
        <v>1486</v>
      </c>
      <c r="D147" s="45">
        <v>2</v>
      </c>
      <c r="E147" s="46">
        <v>125000</v>
      </c>
      <c r="F147" s="47">
        <f>+$I$4+(CLIENT[[#This Row],[QUANTITE]]*CLIENT[[#This Row],[PRIX UNITAIRE]])</f>
        <v>250000</v>
      </c>
      <c r="G147" s="48"/>
      <c r="H147" s="49">
        <f>+SUM($F$9:F147)-SUM($G$9:G147)</f>
        <v>2524000</v>
      </c>
    </row>
    <row r="148" spans="1:8" ht="28.8" x14ac:dyDescent="0.55000000000000004">
      <c r="A148" s="43">
        <v>44141</v>
      </c>
      <c r="B148" s="43" t="s">
        <v>1487</v>
      </c>
      <c r="C148" s="44" t="s">
        <v>1488</v>
      </c>
      <c r="D148" s="45">
        <v>2</v>
      </c>
      <c r="E148" s="46">
        <v>250000</v>
      </c>
      <c r="F148" s="47">
        <f>+$I$4+(CLIENT[[#This Row],[QUANTITE]]*CLIENT[[#This Row],[PRIX UNITAIRE]])</f>
        <v>500000</v>
      </c>
      <c r="G148" s="48"/>
      <c r="H148" s="49">
        <f>+SUM($F$9:F148)-SUM($G$9:G148)</f>
        <v>3024000</v>
      </c>
    </row>
    <row r="149" spans="1:8" ht="28.8" x14ac:dyDescent="0.55000000000000004">
      <c r="A149" s="43">
        <v>44141</v>
      </c>
      <c r="B149" s="43" t="s">
        <v>1298</v>
      </c>
      <c r="C149" s="44" t="s">
        <v>1489</v>
      </c>
      <c r="D149" s="45">
        <v>1</v>
      </c>
      <c r="E149" s="46">
        <v>125000</v>
      </c>
      <c r="F149" s="47">
        <f>+$I$4+(CLIENT[[#This Row],[QUANTITE]]*CLIENT[[#This Row],[PRIX UNITAIRE]])</f>
        <v>125000</v>
      </c>
      <c r="G149" s="48"/>
      <c r="H149" s="49">
        <f>+SUM($F$9:F149)-SUM($G$9:G149)</f>
        <v>3149000</v>
      </c>
    </row>
    <row r="150" spans="1:8" ht="28.8" x14ac:dyDescent="0.55000000000000004">
      <c r="A150" s="43">
        <v>44141</v>
      </c>
      <c r="B150" s="43" t="s">
        <v>259</v>
      </c>
      <c r="C150" s="44" t="s">
        <v>1490</v>
      </c>
      <c r="D150" s="45">
        <v>1</v>
      </c>
      <c r="E150" s="46">
        <v>10000</v>
      </c>
      <c r="F150" s="47">
        <f>+$I$4+(CLIENT[[#This Row],[QUANTITE]]*CLIENT[[#This Row],[PRIX UNITAIRE]])</f>
        <v>10000</v>
      </c>
      <c r="G150" s="48"/>
      <c r="H150" s="49">
        <f>+SUM($F$9:F150)-SUM($G$9:G150)</f>
        <v>3159000</v>
      </c>
    </row>
    <row r="151" spans="1:8" ht="28.8" x14ac:dyDescent="0.55000000000000004">
      <c r="A151" s="43" t="s">
        <v>1491</v>
      </c>
      <c r="B151" s="43" t="s">
        <v>1447</v>
      </c>
      <c r="C151" s="44" t="s">
        <v>1492</v>
      </c>
      <c r="D151" s="45">
        <v>1</v>
      </c>
      <c r="E151" s="46">
        <v>290000</v>
      </c>
      <c r="F151" s="47">
        <f>+$I$4+(CLIENT[[#This Row],[QUANTITE]]*CLIENT[[#This Row],[PRIX UNITAIRE]])</f>
        <v>290000</v>
      </c>
      <c r="G151" s="48"/>
      <c r="H151" s="49">
        <f>+SUM($F$9:F151)-SUM($G$9:G151)</f>
        <v>3449000</v>
      </c>
    </row>
    <row r="152" spans="1:8" ht="28.8" x14ac:dyDescent="0.55000000000000004">
      <c r="A152" s="43">
        <v>44144</v>
      </c>
      <c r="B152" s="43" t="s">
        <v>1238</v>
      </c>
      <c r="C152" s="44" t="s">
        <v>1493</v>
      </c>
      <c r="D152" s="45">
        <v>1</v>
      </c>
      <c r="E152" s="46">
        <v>290000</v>
      </c>
      <c r="F152" s="47">
        <f>+$I$4+(CLIENT[[#This Row],[QUANTITE]]*CLIENT[[#This Row],[PRIX UNITAIRE]])</f>
        <v>290000</v>
      </c>
      <c r="G152" s="48"/>
      <c r="H152" s="49">
        <f>+SUM($F$9:F152)-SUM($G$9:G152)</f>
        <v>3739000</v>
      </c>
    </row>
    <row r="153" spans="1:8" ht="28.8" x14ac:dyDescent="0.55000000000000004">
      <c r="A153" s="43">
        <v>44156</v>
      </c>
      <c r="B153" s="43" t="s">
        <v>1469</v>
      </c>
      <c r="C153" s="44" t="s">
        <v>1494</v>
      </c>
      <c r="D153" s="45">
        <v>1</v>
      </c>
      <c r="E153" s="46">
        <v>290000</v>
      </c>
      <c r="F153" s="47">
        <f>+$I$4+(CLIENT[[#This Row],[QUANTITE]]*CLIENT[[#This Row],[PRIX UNITAIRE]])</f>
        <v>290000</v>
      </c>
      <c r="G153" s="48"/>
      <c r="H153" s="49">
        <f>+SUM($F$9:F153)-SUM($G$9:G153)</f>
        <v>4029000</v>
      </c>
    </row>
    <row r="154" spans="1:8" ht="28.8" x14ac:dyDescent="0.55000000000000004">
      <c r="A154" s="43">
        <v>44168</v>
      </c>
      <c r="B154" s="43" t="s">
        <v>1464</v>
      </c>
      <c r="C154" s="44" t="s">
        <v>1495</v>
      </c>
      <c r="D154" s="45">
        <v>1</v>
      </c>
      <c r="E154" s="46">
        <v>290000</v>
      </c>
      <c r="F154" s="47">
        <f>+$I$4+(CLIENT[[#This Row],[QUANTITE]]*CLIENT[[#This Row],[PRIX UNITAIRE]])</f>
        <v>290000</v>
      </c>
      <c r="G154" s="48"/>
      <c r="H154" s="49">
        <f>+SUM($F$9:F154)-SUM($G$9:G154)</f>
        <v>4319000</v>
      </c>
    </row>
    <row r="155" spans="1:8" ht="28.8" x14ac:dyDescent="0.55000000000000004">
      <c r="A155" s="43">
        <v>44168</v>
      </c>
      <c r="B155" s="43" t="s">
        <v>1321</v>
      </c>
      <c r="C155" s="44" t="s">
        <v>1496</v>
      </c>
      <c r="D155" s="45">
        <v>2</v>
      </c>
      <c r="E155" s="46">
        <v>275000</v>
      </c>
      <c r="F155" s="47">
        <f>+$I$4+(CLIENT[[#This Row],[QUANTITE]]*CLIENT[[#This Row],[PRIX UNITAIRE]])</f>
        <v>550000</v>
      </c>
      <c r="G155" s="48"/>
      <c r="H155" s="49">
        <f>+SUM($F$9:F155)-SUM($G$9:G155)</f>
        <v>4869000</v>
      </c>
    </row>
    <row r="156" spans="1:8" ht="28.8" x14ac:dyDescent="0.55000000000000004">
      <c r="A156" s="43">
        <v>44168</v>
      </c>
      <c r="B156" s="43" t="s">
        <v>1497</v>
      </c>
      <c r="C156" s="44" t="s">
        <v>860</v>
      </c>
      <c r="D156" s="45">
        <v>1</v>
      </c>
      <c r="E156" s="46">
        <v>40000</v>
      </c>
      <c r="F156" s="47">
        <f>+$I$4+(CLIENT[[#This Row],[QUANTITE]]*CLIENT[[#This Row],[PRIX UNITAIRE]])</f>
        <v>40000</v>
      </c>
      <c r="G156" s="48"/>
      <c r="H156" s="49">
        <f>+SUM($F$9:F156)-SUM($G$9:G156)</f>
        <v>4909000</v>
      </c>
    </row>
    <row r="157" spans="1:8" ht="28.8" x14ac:dyDescent="0.55000000000000004">
      <c r="A157" s="43">
        <v>44176</v>
      </c>
      <c r="B157" s="43" t="s">
        <v>1498</v>
      </c>
      <c r="C157" s="44" t="s">
        <v>1499</v>
      </c>
      <c r="D157" s="45">
        <v>2</v>
      </c>
      <c r="E157" s="46">
        <v>250000</v>
      </c>
      <c r="F157" s="47">
        <f>+$I$4+(CLIENT[[#This Row],[QUANTITE]]*CLIENT[[#This Row],[PRIX UNITAIRE]])</f>
        <v>500000</v>
      </c>
      <c r="G157" s="48"/>
      <c r="H157" s="49">
        <f>+SUM($F$9:F157)-SUM($G$9:G157)</f>
        <v>5409000</v>
      </c>
    </row>
    <row r="158" spans="1:8" ht="28.8" x14ac:dyDescent="0.55000000000000004">
      <c r="A158" s="43">
        <v>44187</v>
      </c>
      <c r="B158" s="43" t="s">
        <v>1461</v>
      </c>
      <c r="C158" s="44" t="s">
        <v>1500</v>
      </c>
      <c r="D158" s="45">
        <v>2</v>
      </c>
      <c r="E158" s="46">
        <v>275000</v>
      </c>
      <c r="F158" s="47">
        <f>+$I$4+(CLIENT[[#This Row],[QUANTITE]]*CLIENT[[#This Row],[PRIX UNITAIRE]])</f>
        <v>550000</v>
      </c>
      <c r="G158" s="48"/>
      <c r="H158" s="49">
        <f>+SUM($F$9:F158)-SUM($G$9:G158)</f>
        <v>5959000</v>
      </c>
    </row>
    <row r="159" spans="1:8" ht="28.8" x14ac:dyDescent="0.55000000000000004">
      <c r="A159" s="43">
        <v>44188</v>
      </c>
      <c r="B159" s="43" t="s">
        <v>1501</v>
      </c>
      <c r="C159" s="44" t="s">
        <v>1502</v>
      </c>
      <c r="D159" s="45">
        <v>1</v>
      </c>
      <c r="E159" s="46">
        <v>290000</v>
      </c>
      <c r="F159" s="47">
        <f>+$I$4+(CLIENT[[#This Row],[QUANTITE]]*CLIENT[[#This Row],[PRIX UNITAIRE]])</f>
        <v>290000</v>
      </c>
      <c r="G159" s="48"/>
      <c r="H159" s="49">
        <f>+SUM($F$9:F159)-SUM($G$9:G159)</f>
        <v>6249000</v>
      </c>
    </row>
    <row r="160" spans="1:8" ht="28.8" x14ac:dyDescent="0.55000000000000004">
      <c r="A160" s="43">
        <v>44188</v>
      </c>
      <c r="B160" s="43" t="s">
        <v>1290</v>
      </c>
      <c r="C160" s="44" t="s">
        <v>1503</v>
      </c>
      <c r="D160" s="45">
        <v>2</v>
      </c>
      <c r="E160" s="46">
        <v>125000</v>
      </c>
      <c r="F160" s="47">
        <f>+$I$4+(CLIENT[[#This Row],[QUANTITE]]*CLIENT[[#This Row],[PRIX UNITAIRE]])</f>
        <v>250000</v>
      </c>
      <c r="G160" s="48"/>
      <c r="H160" s="49">
        <f>+SUM($F$9:F160)-SUM($G$9:G160)</f>
        <v>6499000</v>
      </c>
    </row>
    <row r="161" spans="1:8" ht="28.8" x14ac:dyDescent="0.55000000000000004">
      <c r="A161" s="43">
        <v>44195</v>
      </c>
      <c r="B161" s="43" t="s">
        <v>1504</v>
      </c>
      <c r="C161" s="44" t="s">
        <v>1505</v>
      </c>
      <c r="D161" s="45">
        <v>8</v>
      </c>
      <c r="E161" s="46">
        <v>250000</v>
      </c>
      <c r="F161" s="47">
        <f>+$I$4+(CLIENT[[#This Row],[QUANTITE]]*CLIENT[[#This Row],[PRIX UNITAIRE]])</f>
        <v>2000000</v>
      </c>
      <c r="G161" s="48"/>
      <c r="H161" s="49">
        <f>+SUM($F$9:F161)-SUM($G$9:G161)</f>
        <v>8499000</v>
      </c>
    </row>
    <row r="162" spans="1:8" ht="28.8" x14ac:dyDescent="0.55000000000000004">
      <c r="A162" s="43">
        <v>44195</v>
      </c>
      <c r="B162" s="43" t="s">
        <v>1506</v>
      </c>
      <c r="C162" s="44" t="s">
        <v>860</v>
      </c>
      <c r="D162" s="45">
        <v>4</v>
      </c>
      <c r="E162" s="46">
        <v>50000</v>
      </c>
      <c r="F162" s="47">
        <f>+$I$4+(CLIENT[[#This Row],[QUANTITE]]*CLIENT[[#This Row],[PRIX UNITAIRE]])</f>
        <v>200000</v>
      </c>
      <c r="G162" s="48"/>
      <c r="H162" s="49">
        <f>+SUM($F$9:F162)-SUM($G$9:G162)</f>
        <v>8699000</v>
      </c>
    </row>
    <row r="163" spans="1:8" ht="28.8" x14ac:dyDescent="0.55000000000000004">
      <c r="A163" s="43">
        <v>44196</v>
      </c>
      <c r="B163" s="43" t="s">
        <v>1507</v>
      </c>
      <c r="C163" s="44" t="s">
        <v>1508</v>
      </c>
      <c r="D163" s="45">
        <v>1</v>
      </c>
      <c r="E163" s="46">
        <v>290000</v>
      </c>
      <c r="F163" s="47">
        <f>+$I$4+(CLIENT[[#This Row],[QUANTITE]]*CLIENT[[#This Row],[PRIX UNITAIRE]])</f>
        <v>290000</v>
      </c>
      <c r="G163" s="48"/>
      <c r="H163" s="49">
        <f>+SUM($F$9:F163)-SUM($G$9:G163)</f>
        <v>8989000</v>
      </c>
    </row>
    <row r="164" spans="1:8" ht="28.8" x14ac:dyDescent="0.55000000000000004">
      <c r="A164" s="43">
        <v>44196</v>
      </c>
      <c r="B164" s="43" t="s">
        <v>1509</v>
      </c>
      <c r="C164" s="44" t="s">
        <v>1510</v>
      </c>
      <c r="D164" s="45">
        <v>1</v>
      </c>
      <c r="E164" s="46">
        <v>290000</v>
      </c>
      <c r="F164" s="47">
        <f>+$I$4+(CLIENT[[#This Row],[QUANTITE]]*CLIENT[[#This Row],[PRIX UNITAIRE]])</f>
        <v>290000</v>
      </c>
      <c r="G164" s="48"/>
      <c r="H164" s="49">
        <f>+SUM($F$9:F164)-SUM($G$9:G164)</f>
        <v>9279000</v>
      </c>
    </row>
    <row r="165" spans="1:8" ht="28.8" x14ac:dyDescent="0.55000000000000004">
      <c r="A165" s="43">
        <v>44196</v>
      </c>
      <c r="B165" s="43" t="s">
        <v>1511</v>
      </c>
      <c r="C165" s="44" t="s">
        <v>1512</v>
      </c>
      <c r="D165" s="45">
        <v>1</v>
      </c>
      <c r="E165" s="46">
        <v>290000</v>
      </c>
      <c r="F165" s="47">
        <f>+$I$4+(CLIENT[[#This Row],[QUANTITE]]*CLIENT[[#This Row],[PRIX UNITAIRE]])</f>
        <v>290000</v>
      </c>
      <c r="G165" s="48"/>
      <c r="H165" s="49">
        <f>+SUM($F$9:F165)-SUM($G$9:G165)</f>
        <v>9569000</v>
      </c>
    </row>
    <row r="166" spans="1:8" ht="28.8" x14ac:dyDescent="0.55000000000000004">
      <c r="A166" s="43">
        <v>44200</v>
      </c>
      <c r="B166" s="43" t="s">
        <v>1382</v>
      </c>
      <c r="C166" s="44" t="s">
        <v>1503</v>
      </c>
      <c r="D166" s="45">
        <v>1</v>
      </c>
      <c r="E166" s="46">
        <v>125000</v>
      </c>
      <c r="F166" s="47">
        <f>+$I$4+(CLIENT[[#This Row],[QUANTITE]]*CLIENT[[#This Row],[PRIX UNITAIRE]])</f>
        <v>125000</v>
      </c>
      <c r="G166" s="48"/>
      <c r="H166" s="49">
        <f>+SUM($F$9:F166)-SUM($G$9:G166)</f>
        <v>9694000</v>
      </c>
    </row>
    <row r="167" spans="1:8" ht="28.8" x14ac:dyDescent="0.55000000000000004">
      <c r="A167" s="43">
        <v>44200</v>
      </c>
      <c r="B167" s="43" t="s">
        <v>1447</v>
      </c>
      <c r="C167" s="44" t="s">
        <v>1513</v>
      </c>
      <c r="D167" s="45">
        <v>1</v>
      </c>
      <c r="E167" s="46">
        <v>290000</v>
      </c>
      <c r="F167" s="47">
        <f>+$I$4+(CLIENT[[#This Row],[QUANTITE]]*CLIENT[[#This Row],[PRIX UNITAIRE]])</f>
        <v>290000</v>
      </c>
      <c r="G167" s="48"/>
      <c r="H167" s="49">
        <f>+SUM($F$9:F167)-SUM($G$9:G167)</f>
        <v>9984000</v>
      </c>
    </row>
    <row r="168" spans="1:8" ht="28.8" x14ac:dyDescent="0.55000000000000004">
      <c r="A168" s="43">
        <v>44201</v>
      </c>
      <c r="B168" s="43" t="s">
        <v>1514</v>
      </c>
      <c r="C168" s="44" t="s">
        <v>1515</v>
      </c>
      <c r="D168" s="45">
        <v>1</v>
      </c>
      <c r="E168" s="46">
        <v>290000</v>
      </c>
      <c r="F168" s="47">
        <f>+$I$4+(CLIENT[[#This Row],[QUANTITE]]*CLIENT[[#This Row],[PRIX UNITAIRE]])</f>
        <v>290000</v>
      </c>
      <c r="G168" s="48"/>
      <c r="H168" s="49">
        <f>+SUM($F$9:F168)-SUM($G$9:G168)</f>
        <v>10274000</v>
      </c>
    </row>
    <row r="169" spans="1:8" ht="28.8" x14ac:dyDescent="0.55000000000000004">
      <c r="A169" s="43">
        <v>44201</v>
      </c>
      <c r="B169" s="43" t="s">
        <v>1516</v>
      </c>
      <c r="C169" s="44" t="s">
        <v>1517</v>
      </c>
      <c r="D169" s="45">
        <v>1</v>
      </c>
      <c r="E169" s="46">
        <v>290000</v>
      </c>
      <c r="F169" s="47">
        <f>+$I$4+(CLIENT[[#This Row],[QUANTITE]]*CLIENT[[#This Row],[PRIX UNITAIRE]])</f>
        <v>290000</v>
      </c>
      <c r="G169" s="48"/>
      <c r="H169" s="49">
        <f>+SUM($F$9:F169)-SUM($G$9:G169)</f>
        <v>10564000</v>
      </c>
    </row>
    <row r="170" spans="1:8" ht="28.8" x14ac:dyDescent="0.55000000000000004">
      <c r="A170" s="43">
        <v>44202</v>
      </c>
      <c r="B170" s="43" t="s">
        <v>1144</v>
      </c>
      <c r="C170" s="44" t="s">
        <v>1518</v>
      </c>
      <c r="D170" s="45">
        <v>1</v>
      </c>
      <c r="E170" s="46">
        <v>260000</v>
      </c>
      <c r="F170" s="47">
        <f>+$I$4+(CLIENT[[#This Row],[QUANTITE]]*CLIENT[[#This Row],[PRIX UNITAIRE]])</f>
        <v>260000</v>
      </c>
      <c r="G170" s="48"/>
      <c r="H170" s="49">
        <f>+SUM($F$9:F170)-SUM($G$9:G170)</f>
        <v>10824000</v>
      </c>
    </row>
    <row r="171" spans="1:8" ht="28.8" x14ac:dyDescent="0.55000000000000004">
      <c r="A171" s="43">
        <v>44203</v>
      </c>
      <c r="B171" s="43" t="s">
        <v>259</v>
      </c>
      <c r="C171" s="44" t="s">
        <v>1519</v>
      </c>
      <c r="D171" s="45">
        <v>1</v>
      </c>
      <c r="E171" s="46">
        <v>0</v>
      </c>
      <c r="F171" s="47">
        <f>+$I$4+(CLIENT[[#This Row],[QUANTITE]]*CLIENT[[#This Row],[PRIX UNITAIRE]])</f>
        <v>0</v>
      </c>
      <c r="G171" s="48">
        <v>10000000</v>
      </c>
      <c r="H171" s="49">
        <f>+SUM($F$9:F171)-SUM($G$9:G171)</f>
        <v>824000</v>
      </c>
    </row>
    <row r="172" spans="1:8" ht="28.8" x14ac:dyDescent="0.55000000000000004">
      <c r="A172" s="43">
        <v>44209</v>
      </c>
      <c r="B172" s="43" t="s">
        <v>1461</v>
      </c>
      <c r="C172" s="44" t="s">
        <v>83</v>
      </c>
      <c r="D172" s="45">
        <v>2</v>
      </c>
      <c r="E172" s="46">
        <v>15000</v>
      </c>
      <c r="F172" s="47">
        <f>+$I$4+(CLIENT[[#This Row],[QUANTITE]]*CLIENT[[#This Row],[PRIX UNITAIRE]])</f>
        <v>30000</v>
      </c>
      <c r="G172" s="48"/>
      <c r="H172" s="49">
        <f>+SUM($F$9:F172)-SUM($G$9:G172)</f>
        <v>854000</v>
      </c>
    </row>
    <row r="173" spans="1:8" ht="28.8" x14ac:dyDescent="0.55000000000000004">
      <c r="A173" s="43">
        <v>44210</v>
      </c>
      <c r="B173" s="43" t="s">
        <v>1516</v>
      </c>
      <c r="C173" s="44" t="s">
        <v>1520</v>
      </c>
      <c r="D173" s="45">
        <v>1</v>
      </c>
      <c r="E173" s="46">
        <v>290000</v>
      </c>
      <c r="F173" s="47">
        <f>+$I$4+(CLIENT[[#This Row],[QUANTITE]]*CLIENT[[#This Row],[PRIX UNITAIRE]])</f>
        <v>290000</v>
      </c>
      <c r="G173" s="48"/>
      <c r="H173" s="49">
        <f>+SUM($F$9:F173)-SUM($G$9:G173)</f>
        <v>1144000</v>
      </c>
    </row>
    <row r="174" spans="1:8" ht="28.8" x14ac:dyDescent="0.55000000000000004">
      <c r="A174" s="43">
        <v>44210</v>
      </c>
      <c r="B174" s="43" t="s">
        <v>1521</v>
      </c>
      <c r="C174" s="44" t="s">
        <v>1522</v>
      </c>
      <c r="D174" s="45">
        <v>1</v>
      </c>
      <c r="E174" s="46">
        <v>290000</v>
      </c>
      <c r="F174" s="47">
        <f>+$I$4+(CLIENT[[#This Row],[QUANTITE]]*CLIENT[[#This Row],[PRIX UNITAIRE]])</f>
        <v>290000</v>
      </c>
      <c r="G174" s="48"/>
      <c r="H174" s="49">
        <f>+SUM($F$9:F174)-SUM($G$9:G174)</f>
        <v>1434000</v>
      </c>
    </row>
    <row r="175" spans="1:8" ht="28.8" x14ac:dyDescent="0.55000000000000004">
      <c r="A175" s="43">
        <v>44211</v>
      </c>
      <c r="B175" s="43" t="s">
        <v>1234</v>
      </c>
      <c r="C175" s="44" t="s">
        <v>1523</v>
      </c>
      <c r="D175" s="45">
        <v>1</v>
      </c>
      <c r="E175" s="46">
        <v>290000</v>
      </c>
      <c r="F175" s="47">
        <f>+$I$4+(CLIENT[[#This Row],[QUANTITE]]*CLIENT[[#This Row],[PRIX UNITAIRE]])</f>
        <v>290000</v>
      </c>
      <c r="G175" s="48"/>
      <c r="H175" s="49">
        <f>+SUM($F$9:F175)-SUM($G$9:G175)</f>
        <v>1724000</v>
      </c>
    </row>
    <row r="176" spans="1:8" ht="28.8" x14ac:dyDescent="0.55000000000000004">
      <c r="A176" s="43">
        <v>44212</v>
      </c>
      <c r="B176" s="43" t="s">
        <v>1304</v>
      </c>
      <c r="C176" s="44" t="s">
        <v>1524</v>
      </c>
      <c r="D176" s="45">
        <v>1</v>
      </c>
      <c r="E176" s="46">
        <v>250000</v>
      </c>
      <c r="F176" s="47">
        <f>+$I$4+(CLIENT[[#This Row],[QUANTITE]]*CLIENT[[#This Row],[PRIX UNITAIRE]])</f>
        <v>250000</v>
      </c>
      <c r="G176" s="48"/>
      <c r="H176" s="49">
        <f>+SUM($F$9:F176)-SUM($G$9:G176)</f>
        <v>1974000</v>
      </c>
    </row>
    <row r="177" spans="1:8" ht="28.8" x14ac:dyDescent="0.55000000000000004">
      <c r="A177" s="43">
        <v>44212</v>
      </c>
      <c r="B177" s="43" t="s">
        <v>1304</v>
      </c>
      <c r="C177" s="44" t="s">
        <v>860</v>
      </c>
      <c r="D177" s="45">
        <v>1</v>
      </c>
      <c r="E177" s="46">
        <v>50000</v>
      </c>
      <c r="F177" s="47">
        <f>+$I$4+(CLIENT[[#This Row],[QUANTITE]]*CLIENT[[#This Row],[PRIX UNITAIRE]])</f>
        <v>50000</v>
      </c>
      <c r="G177" s="48"/>
      <c r="H177" s="49">
        <f>+SUM($F$9:F177)-SUM($G$9:G177)</f>
        <v>2024000</v>
      </c>
    </row>
    <row r="178" spans="1:8" ht="28.8" x14ac:dyDescent="0.55000000000000004">
      <c r="A178" s="43">
        <v>44214</v>
      </c>
      <c r="B178" s="43" t="s">
        <v>1232</v>
      </c>
      <c r="C178" s="44" t="s">
        <v>1525</v>
      </c>
      <c r="D178" s="45">
        <v>2</v>
      </c>
      <c r="E178" s="46">
        <v>250000</v>
      </c>
      <c r="F178" s="47">
        <f>+$I$4+(CLIENT[[#This Row],[QUANTITE]]*CLIENT[[#This Row],[PRIX UNITAIRE]])</f>
        <v>500000</v>
      </c>
      <c r="G178" s="48"/>
      <c r="H178" s="49">
        <f>+SUM($F$9:F178)-SUM($G$9:G178)</f>
        <v>2524000</v>
      </c>
    </row>
    <row r="179" spans="1:8" ht="28.8" x14ac:dyDescent="0.55000000000000004">
      <c r="A179" s="43">
        <v>44214</v>
      </c>
      <c r="B179" s="43" t="s">
        <v>1327</v>
      </c>
      <c r="C179" s="44" t="s">
        <v>83</v>
      </c>
      <c r="D179" s="45">
        <v>2</v>
      </c>
      <c r="E179" s="46">
        <v>15000</v>
      </c>
      <c r="F179" s="47">
        <f>+$I$4+(CLIENT[[#This Row],[QUANTITE]]*CLIENT[[#This Row],[PRIX UNITAIRE]])</f>
        <v>30000</v>
      </c>
      <c r="G179" s="48"/>
      <c r="H179" s="49">
        <f>+SUM($F$9:F179)-SUM($G$9:G179)</f>
        <v>2554000</v>
      </c>
    </row>
    <row r="180" spans="1:8" ht="28.8" x14ac:dyDescent="0.55000000000000004">
      <c r="A180" s="43">
        <v>44214</v>
      </c>
      <c r="B180" s="43" t="s">
        <v>1526</v>
      </c>
      <c r="C180" s="44" t="s">
        <v>1527</v>
      </c>
      <c r="D180" s="45">
        <v>1</v>
      </c>
      <c r="E180" s="46">
        <v>290000</v>
      </c>
      <c r="F180" s="47">
        <f>+$I$4+(CLIENT[[#This Row],[QUANTITE]]*CLIENT[[#This Row],[PRIX UNITAIRE]])</f>
        <v>290000</v>
      </c>
      <c r="G180" s="48"/>
      <c r="H180" s="49">
        <f>+SUM($F$9:F180)-SUM($G$9:G180)</f>
        <v>2844000</v>
      </c>
    </row>
    <row r="181" spans="1:8" ht="28.8" x14ac:dyDescent="0.55000000000000004">
      <c r="A181" s="43">
        <v>44215</v>
      </c>
      <c r="B181" s="43" t="s">
        <v>1528</v>
      </c>
      <c r="C181" s="44" t="s">
        <v>1529</v>
      </c>
      <c r="D181" s="45">
        <v>1</v>
      </c>
      <c r="E181" s="46">
        <v>290000</v>
      </c>
      <c r="F181" s="47">
        <f>+$I$4+(CLIENT[[#This Row],[QUANTITE]]*CLIENT[[#This Row],[PRIX UNITAIRE]])</f>
        <v>290000</v>
      </c>
      <c r="G181" s="48"/>
      <c r="H181" s="49">
        <f>+SUM($F$9:F181)-SUM($G$9:G181)</f>
        <v>3134000</v>
      </c>
    </row>
    <row r="182" spans="1:8" ht="28.8" x14ac:dyDescent="0.55000000000000004">
      <c r="A182" s="43">
        <v>44217</v>
      </c>
      <c r="B182" s="43" t="s">
        <v>1530</v>
      </c>
      <c r="C182" s="44" t="s">
        <v>1531</v>
      </c>
      <c r="D182" s="45">
        <v>1</v>
      </c>
      <c r="E182" s="46">
        <v>290000</v>
      </c>
      <c r="F182" s="47">
        <f>+$I$4+(CLIENT[[#This Row],[QUANTITE]]*CLIENT[[#This Row],[PRIX UNITAIRE]])</f>
        <v>290000</v>
      </c>
      <c r="G182" s="48"/>
      <c r="H182" s="49">
        <f>+SUM($F$9:F182)-SUM($G$9:G182)</f>
        <v>3424000</v>
      </c>
    </row>
    <row r="183" spans="1:8" ht="28.8" x14ac:dyDescent="0.55000000000000004">
      <c r="A183" s="43">
        <v>44222</v>
      </c>
      <c r="B183" s="43" t="s">
        <v>1532</v>
      </c>
      <c r="C183" s="44" t="s">
        <v>1533</v>
      </c>
      <c r="D183" s="45">
        <v>1</v>
      </c>
      <c r="E183" s="46">
        <v>250000</v>
      </c>
      <c r="F183" s="47">
        <f>+$I$4+(CLIENT[[#This Row],[QUANTITE]]*CLIENT[[#This Row],[PRIX UNITAIRE]])</f>
        <v>250000</v>
      </c>
      <c r="G183" s="48"/>
      <c r="H183" s="49">
        <f>+SUM($F$9:F183)-SUM($G$9:G183)</f>
        <v>3674000</v>
      </c>
    </row>
    <row r="184" spans="1:8" ht="28.8" x14ac:dyDescent="0.55000000000000004">
      <c r="A184" s="43">
        <v>44222</v>
      </c>
      <c r="B184" s="43" t="s">
        <v>1534</v>
      </c>
      <c r="C184" s="44" t="s">
        <v>1535</v>
      </c>
      <c r="D184" s="45">
        <v>1</v>
      </c>
      <c r="E184" s="46">
        <v>250000</v>
      </c>
      <c r="F184" s="47">
        <f>+$I$4+(CLIENT[[#This Row],[QUANTITE]]*CLIENT[[#This Row],[PRIX UNITAIRE]])</f>
        <v>250000</v>
      </c>
      <c r="G184" s="48"/>
      <c r="H184" s="49">
        <f>+SUM($F$9:F184)-SUM($G$9:G184)</f>
        <v>3924000</v>
      </c>
    </row>
    <row r="185" spans="1:8" ht="28.8" x14ac:dyDescent="0.55000000000000004">
      <c r="A185" s="43">
        <v>44225</v>
      </c>
      <c r="B185" s="43" t="s">
        <v>1459</v>
      </c>
      <c r="C185" s="44" t="s">
        <v>83</v>
      </c>
      <c r="D185" s="45">
        <v>1</v>
      </c>
      <c r="E185" s="46">
        <v>15000</v>
      </c>
      <c r="F185" s="47">
        <f>+$I$4+(CLIENT[[#This Row],[QUANTITE]]*CLIENT[[#This Row],[PRIX UNITAIRE]])</f>
        <v>15000</v>
      </c>
      <c r="G185" s="48"/>
      <c r="H185" s="49">
        <f>+SUM($F$9:F185)-SUM($G$9:G185)</f>
        <v>3939000</v>
      </c>
    </row>
    <row r="186" spans="1:8" ht="28.8" x14ac:dyDescent="0.55000000000000004">
      <c r="A186" s="43">
        <v>44228</v>
      </c>
      <c r="B186" s="43" t="s">
        <v>1232</v>
      </c>
      <c r="C186" s="44" t="s">
        <v>83</v>
      </c>
      <c r="D186" s="45">
        <v>2</v>
      </c>
      <c r="E186" s="46">
        <v>15000</v>
      </c>
      <c r="F186" s="47">
        <f>+$I$4+(CLIENT[[#This Row],[QUANTITE]]*CLIENT[[#This Row],[PRIX UNITAIRE]])</f>
        <v>30000</v>
      </c>
      <c r="G186" s="48"/>
      <c r="H186" s="49">
        <f>+SUM($F$9:F186)-SUM($G$9:G186)</f>
        <v>3969000</v>
      </c>
    </row>
    <row r="187" spans="1:8" ht="28.8" x14ac:dyDescent="0.55000000000000004">
      <c r="A187" s="43">
        <v>44229</v>
      </c>
      <c r="B187" s="43" t="s">
        <v>1501</v>
      </c>
      <c r="C187" s="44" t="s">
        <v>83</v>
      </c>
      <c r="D187" s="45">
        <v>2</v>
      </c>
      <c r="E187" s="46">
        <v>15000</v>
      </c>
      <c r="F187" s="47">
        <f>+$I$4+(CLIENT[[#This Row],[QUANTITE]]*CLIENT[[#This Row],[PRIX UNITAIRE]])</f>
        <v>30000</v>
      </c>
      <c r="G187" s="48"/>
      <c r="H187" s="49">
        <f>+SUM($F$9:F187)-SUM($G$9:G187)</f>
        <v>3999000</v>
      </c>
    </row>
    <row r="188" spans="1:8" ht="28.8" x14ac:dyDescent="0.55000000000000004">
      <c r="A188" s="43">
        <v>44230</v>
      </c>
      <c r="B188" s="43" t="s">
        <v>1536</v>
      </c>
      <c r="C188" s="44" t="s">
        <v>1537</v>
      </c>
      <c r="D188" s="45">
        <v>1</v>
      </c>
      <c r="E188" s="46">
        <v>290000</v>
      </c>
      <c r="F188" s="47">
        <f>+$I$4+(CLIENT[[#This Row],[QUANTITE]]*CLIENT[[#This Row],[PRIX UNITAIRE]])</f>
        <v>290000</v>
      </c>
      <c r="G188" s="48"/>
      <c r="H188" s="49">
        <f>+SUM($F$9:F188)-SUM($G$9:G188)</f>
        <v>4289000</v>
      </c>
    </row>
    <row r="189" spans="1:8" ht="28.8" x14ac:dyDescent="0.55000000000000004">
      <c r="A189" s="43">
        <v>44230</v>
      </c>
      <c r="B189" s="43" t="s">
        <v>1501</v>
      </c>
      <c r="C189" s="44" t="s">
        <v>1538</v>
      </c>
      <c r="D189" s="45">
        <v>1</v>
      </c>
      <c r="E189" s="46">
        <v>290000</v>
      </c>
      <c r="F189" s="47">
        <f>+$I$4+(CLIENT[[#This Row],[QUANTITE]]*CLIENT[[#This Row],[PRIX UNITAIRE]])</f>
        <v>290000</v>
      </c>
      <c r="G189" s="48"/>
      <c r="H189" s="49">
        <f>+SUM($F$9:F189)-SUM($G$9:G189)</f>
        <v>4579000</v>
      </c>
    </row>
    <row r="190" spans="1:8" ht="28.8" x14ac:dyDescent="0.55000000000000004">
      <c r="A190" s="43">
        <v>44233</v>
      </c>
      <c r="B190" s="43" t="s">
        <v>1539</v>
      </c>
      <c r="C190" s="44" t="s">
        <v>1540</v>
      </c>
      <c r="D190" s="45">
        <v>1</v>
      </c>
      <c r="E190" s="46">
        <v>290000</v>
      </c>
      <c r="F190" s="47">
        <f>+$I$4+(CLIENT[[#This Row],[QUANTITE]]*CLIENT[[#This Row],[PRIX UNITAIRE]])</f>
        <v>290000</v>
      </c>
      <c r="G190" s="48"/>
      <c r="H190" s="49">
        <f>+SUM($F$9:F190)-SUM($G$9:G190)</f>
        <v>4869000</v>
      </c>
    </row>
    <row r="191" spans="1:8" ht="28.8" x14ac:dyDescent="0.55000000000000004">
      <c r="A191" s="43">
        <v>44233</v>
      </c>
      <c r="B191" s="43" t="s">
        <v>1541</v>
      </c>
      <c r="C191" s="44" t="s">
        <v>1542</v>
      </c>
      <c r="D191" s="45">
        <v>1</v>
      </c>
      <c r="E191" s="46">
        <v>250000</v>
      </c>
      <c r="F191" s="47">
        <f>+$I$4+(CLIENT[[#This Row],[QUANTITE]]*CLIENT[[#This Row],[PRIX UNITAIRE]])</f>
        <v>250000</v>
      </c>
      <c r="G191" s="48"/>
      <c r="H191" s="49">
        <f>+SUM($F$9:F191)-SUM($G$9:G191)</f>
        <v>5119000</v>
      </c>
    </row>
    <row r="192" spans="1:8" ht="28.8" x14ac:dyDescent="0.55000000000000004">
      <c r="A192" s="43">
        <v>44235</v>
      </c>
      <c r="B192" s="43" t="s">
        <v>1530</v>
      </c>
      <c r="C192" s="44" t="s">
        <v>1543</v>
      </c>
      <c r="D192" s="45">
        <v>1</v>
      </c>
      <c r="E192" s="46">
        <v>290000</v>
      </c>
      <c r="F192" s="47">
        <f>+$I$4+(CLIENT[[#This Row],[QUANTITE]]*CLIENT[[#This Row],[PRIX UNITAIRE]])</f>
        <v>290000</v>
      </c>
      <c r="G192" s="48"/>
      <c r="H192" s="49">
        <f>+SUM($F$9:F192)-SUM($G$9:G192)</f>
        <v>5409000</v>
      </c>
    </row>
    <row r="193" spans="1:8" ht="28.8" x14ac:dyDescent="0.55000000000000004">
      <c r="A193" s="43">
        <v>44236</v>
      </c>
      <c r="B193" s="43" t="s">
        <v>1481</v>
      </c>
      <c r="C193" s="44" t="s">
        <v>1544</v>
      </c>
      <c r="D193" s="45">
        <v>1</v>
      </c>
      <c r="E193" s="46">
        <v>290000</v>
      </c>
      <c r="F193" s="47">
        <f>+$I$4+(CLIENT[[#This Row],[QUANTITE]]*CLIENT[[#This Row],[PRIX UNITAIRE]])</f>
        <v>290000</v>
      </c>
      <c r="G193" s="48"/>
      <c r="H193" s="49">
        <f>+SUM($F$9:F193)-SUM($G$9:G193)</f>
        <v>5699000</v>
      </c>
    </row>
    <row r="194" spans="1:8" ht="28.8" x14ac:dyDescent="0.55000000000000004">
      <c r="A194" s="43">
        <v>44236</v>
      </c>
      <c r="B194" s="43" t="s">
        <v>1545</v>
      </c>
      <c r="C194" s="44" t="s">
        <v>83</v>
      </c>
      <c r="D194" s="45">
        <v>1</v>
      </c>
      <c r="E194" s="46">
        <v>15000</v>
      </c>
      <c r="F194" s="47">
        <f>+$I$4+(CLIENT[[#This Row],[QUANTITE]]*CLIENT[[#This Row],[PRIX UNITAIRE]])</f>
        <v>15000</v>
      </c>
      <c r="G194" s="48"/>
      <c r="H194" s="49">
        <f>+SUM($F$9:F194)-SUM($G$9:G194)</f>
        <v>5714000</v>
      </c>
    </row>
    <row r="195" spans="1:8" ht="28.8" x14ac:dyDescent="0.55000000000000004">
      <c r="A195" s="43">
        <v>44238</v>
      </c>
      <c r="B195" s="43" t="s">
        <v>1546</v>
      </c>
      <c r="C195" s="44" t="s">
        <v>1547</v>
      </c>
      <c r="D195" s="45">
        <v>1</v>
      </c>
      <c r="E195" s="46">
        <v>290000</v>
      </c>
      <c r="F195" s="47">
        <f>+$I$4+(CLIENT[[#This Row],[QUANTITE]]*CLIENT[[#This Row],[PRIX UNITAIRE]])</f>
        <v>290000</v>
      </c>
      <c r="G195" s="48"/>
      <c r="H195" s="49">
        <f>+SUM($F$9:F195)-SUM($G$9:G195)</f>
        <v>6004000</v>
      </c>
    </row>
    <row r="196" spans="1:8" ht="28.8" x14ac:dyDescent="0.55000000000000004">
      <c r="A196" s="43">
        <v>37298</v>
      </c>
      <c r="B196" s="43" t="s">
        <v>1548</v>
      </c>
      <c r="C196" s="44" t="s">
        <v>1549</v>
      </c>
      <c r="D196" s="45">
        <v>1</v>
      </c>
      <c r="E196" s="46">
        <v>290000</v>
      </c>
      <c r="F196" s="47">
        <f>+$I$4+(CLIENT[[#This Row],[QUANTITE]]*CLIENT[[#This Row],[PRIX UNITAIRE]])</f>
        <v>290000</v>
      </c>
      <c r="G196" s="48"/>
      <c r="H196" s="49">
        <f>+SUM($F$9:F196)-SUM($G$9:G196)</f>
        <v>6294000</v>
      </c>
    </row>
    <row r="197" spans="1:8" ht="28.8" x14ac:dyDescent="0.55000000000000004">
      <c r="A197" s="43">
        <v>44239</v>
      </c>
      <c r="B197" s="43" t="s">
        <v>1343</v>
      </c>
      <c r="C197" s="44" t="s">
        <v>1550</v>
      </c>
      <c r="D197" s="45">
        <v>2</v>
      </c>
      <c r="E197" s="46">
        <v>250000</v>
      </c>
      <c r="F197" s="47">
        <f>+$I$4+(CLIENT[[#This Row],[QUANTITE]]*CLIENT[[#This Row],[PRIX UNITAIRE]])</f>
        <v>500000</v>
      </c>
      <c r="G197" s="48"/>
      <c r="H197" s="49">
        <f>+SUM($F$9:F197)-SUM($G$9:G197)</f>
        <v>6794000</v>
      </c>
    </row>
    <row r="198" spans="1:8" ht="28.8" x14ac:dyDescent="0.55000000000000004">
      <c r="A198" s="43">
        <v>44240</v>
      </c>
      <c r="B198" s="43" t="s">
        <v>1551</v>
      </c>
      <c r="C198" s="44" t="s">
        <v>1552</v>
      </c>
      <c r="D198" s="45">
        <v>1</v>
      </c>
      <c r="E198" s="46">
        <v>290000</v>
      </c>
      <c r="F198" s="47">
        <f>+$I$4+(CLIENT[[#This Row],[QUANTITE]]*CLIENT[[#This Row],[PRIX UNITAIRE]])</f>
        <v>290000</v>
      </c>
      <c r="G198" s="48"/>
      <c r="H198" s="49">
        <f>+SUM($F$9:F198)-SUM($G$9:G198)</f>
        <v>7084000</v>
      </c>
    </row>
    <row r="199" spans="1:8" ht="28.8" x14ac:dyDescent="0.55000000000000004">
      <c r="A199" s="43">
        <v>44240</v>
      </c>
      <c r="B199" s="43" t="s">
        <v>1459</v>
      </c>
      <c r="C199" s="44" t="s">
        <v>83</v>
      </c>
      <c r="D199" s="45">
        <v>1</v>
      </c>
      <c r="E199" s="46">
        <v>15000</v>
      </c>
      <c r="F199" s="47">
        <f>+$I$4+(CLIENT[[#This Row],[QUANTITE]]*CLIENT[[#This Row],[PRIX UNITAIRE]])</f>
        <v>15000</v>
      </c>
      <c r="G199" s="48"/>
      <c r="H199" s="49">
        <f>+SUM($F$9:F199)-SUM($G$9:G199)</f>
        <v>7099000</v>
      </c>
    </row>
    <row r="200" spans="1:8" ht="28.8" x14ac:dyDescent="0.55000000000000004">
      <c r="A200" s="43">
        <v>44240</v>
      </c>
      <c r="B200" s="43" t="s">
        <v>1497</v>
      </c>
      <c r="C200" s="44" t="s">
        <v>1553</v>
      </c>
      <c r="D200" s="45">
        <v>1</v>
      </c>
      <c r="E200" s="46">
        <v>0</v>
      </c>
      <c r="F200" s="47">
        <f>+$I$4+(CLIENT[[#This Row],[QUANTITE]]*CLIENT[[#This Row],[PRIX UNITAIRE]])</f>
        <v>0</v>
      </c>
      <c r="G200" s="48">
        <v>110000</v>
      </c>
      <c r="H200" s="49">
        <f>+SUM($F$9:F200)-SUM($G$9:G200)</f>
        <v>6989000</v>
      </c>
    </row>
    <row r="201" spans="1:8" ht="28.8" x14ac:dyDescent="0.55000000000000004">
      <c r="A201" s="43">
        <v>44243</v>
      </c>
      <c r="B201" s="43" t="s">
        <v>1554</v>
      </c>
      <c r="C201" s="44" t="s">
        <v>1555</v>
      </c>
      <c r="D201" s="45">
        <v>1</v>
      </c>
      <c r="E201" s="46">
        <v>290000</v>
      </c>
      <c r="F201" s="47">
        <f>+$I$4+(CLIENT[[#This Row],[QUANTITE]]*CLIENT[[#This Row],[PRIX UNITAIRE]])</f>
        <v>290000</v>
      </c>
      <c r="G201" s="48"/>
      <c r="H201" s="49">
        <f>+SUM($F$9:F201)-SUM($G$9:G201)</f>
        <v>7279000</v>
      </c>
    </row>
    <row r="202" spans="1:8" ht="28.8" x14ac:dyDescent="0.55000000000000004">
      <c r="A202" s="43">
        <v>44244</v>
      </c>
      <c r="B202" s="43" t="s">
        <v>1556</v>
      </c>
      <c r="C202" s="44" t="s">
        <v>1557</v>
      </c>
      <c r="D202" s="45">
        <v>1</v>
      </c>
      <c r="E202" s="46">
        <v>290000</v>
      </c>
      <c r="F202" s="47">
        <f>+$I$4+(CLIENT[[#This Row],[QUANTITE]]*CLIENT[[#This Row],[PRIX UNITAIRE]])</f>
        <v>290000</v>
      </c>
      <c r="G202" s="48"/>
      <c r="H202" s="49">
        <f>+SUM($F$9:F202)-SUM($G$9:G202)</f>
        <v>7569000</v>
      </c>
    </row>
    <row r="203" spans="1:8" ht="28.8" x14ac:dyDescent="0.55000000000000004">
      <c r="A203" s="43">
        <v>44245</v>
      </c>
      <c r="B203" s="43" t="s">
        <v>1461</v>
      </c>
      <c r="C203" s="44" t="s">
        <v>1558</v>
      </c>
      <c r="D203" s="45">
        <v>1</v>
      </c>
      <c r="E203" s="46">
        <v>250000</v>
      </c>
      <c r="F203" s="47">
        <f>+$I$4+(CLIENT[[#This Row],[QUANTITE]]*CLIENT[[#This Row],[PRIX UNITAIRE]])</f>
        <v>250000</v>
      </c>
      <c r="G203" s="48"/>
      <c r="H203" s="49">
        <f>+SUM($F$9:F203)-SUM($G$9:G203)</f>
        <v>7819000</v>
      </c>
    </row>
    <row r="204" spans="1:8" ht="28.8" x14ac:dyDescent="0.55000000000000004">
      <c r="A204" s="43">
        <v>44246</v>
      </c>
      <c r="B204" s="43" t="s">
        <v>1232</v>
      </c>
      <c r="C204" s="44" t="s">
        <v>1559</v>
      </c>
      <c r="D204" s="45">
        <v>1</v>
      </c>
      <c r="E204" s="46">
        <v>250000</v>
      </c>
      <c r="F204" s="47">
        <f>+$I$4+(CLIENT[[#This Row],[QUANTITE]]*CLIENT[[#This Row],[PRIX UNITAIRE]])</f>
        <v>250000</v>
      </c>
      <c r="G204" s="48"/>
      <c r="H204" s="49">
        <f>+SUM($F$9:F204)-SUM($G$9:G204)</f>
        <v>8069000</v>
      </c>
    </row>
    <row r="205" spans="1:8" ht="28.8" x14ac:dyDescent="0.55000000000000004">
      <c r="A205" s="43">
        <v>44246</v>
      </c>
      <c r="B205" s="43" t="s">
        <v>1327</v>
      </c>
      <c r="C205" s="44" t="s">
        <v>1560</v>
      </c>
      <c r="D205" s="45">
        <v>1</v>
      </c>
      <c r="E205" s="46">
        <v>250000</v>
      </c>
      <c r="F205" s="47">
        <f>+$I$4+(CLIENT[[#This Row],[QUANTITE]]*CLIENT[[#This Row],[PRIX UNITAIRE]])</f>
        <v>250000</v>
      </c>
      <c r="G205" s="48"/>
      <c r="H205" s="49">
        <f>+SUM($F$9:F205)-SUM($G$9:G205)</f>
        <v>8319000</v>
      </c>
    </row>
    <row r="206" spans="1:8" ht="28.8" x14ac:dyDescent="0.55000000000000004">
      <c r="A206" s="43">
        <v>44246</v>
      </c>
      <c r="B206" s="43" t="s">
        <v>1561</v>
      </c>
      <c r="C206" s="44" t="s">
        <v>1562</v>
      </c>
      <c r="D206" s="45">
        <v>1</v>
      </c>
      <c r="E206" s="46">
        <v>275000</v>
      </c>
      <c r="F206" s="47">
        <f>+$I$4+(CLIENT[[#This Row],[QUANTITE]]*CLIENT[[#This Row],[PRIX UNITAIRE]])</f>
        <v>275000</v>
      </c>
      <c r="G206" s="48"/>
      <c r="H206" s="49">
        <f>+SUM($F$9:F206)-SUM($G$9:G206)</f>
        <v>8594000</v>
      </c>
    </row>
    <row r="207" spans="1:8" ht="28.8" x14ac:dyDescent="0.55000000000000004">
      <c r="A207" s="43">
        <v>44246</v>
      </c>
      <c r="B207" s="43" t="s">
        <v>1181</v>
      </c>
      <c r="C207" s="44" t="s">
        <v>1563</v>
      </c>
      <c r="D207" s="45">
        <v>2</v>
      </c>
      <c r="E207" s="46">
        <v>100000</v>
      </c>
      <c r="F207" s="47">
        <f>+$I$4+(CLIENT[[#This Row],[QUANTITE]]*CLIENT[[#This Row],[PRIX UNITAIRE]])</f>
        <v>200000</v>
      </c>
      <c r="G207" s="48"/>
      <c r="H207" s="49">
        <f>+SUM($F$9:F207)-SUM($G$9:G207)</f>
        <v>8794000</v>
      </c>
    </row>
    <row r="208" spans="1:8" ht="28.8" x14ac:dyDescent="0.55000000000000004">
      <c r="A208" s="43">
        <v>44247</v>
      </c>
      <c r="B208" s="43" t="s">
        <v>1564</v>
      </c>
      <c r="C208" s="44" t="s">
        <v>1565</v>
      </c>
      <c r="D208" s="45">
        <v>1</v>
      </c>
      <c r="E208" s="46">
        <v>100000</v>
      </c>
      <c r="F208" s="47">
        <f>+$I$4+(CLIENT[[#This Row],[QUANTITE]]*CLIENT[[#This Row],[PRIX UNITAIRE]])</f>
        <v>100000</v>
      </c>
      <c r="G208" s="48"/>
      <c r="H208" s="49">
        <f>+SUM($F$9:F208)-SUM($G$9:G208)</f>
        <v>8894000</v>
      </c>
    </row>
    <row r="209" spans="1:8" ht="28.8" x14ac:dyDescent="0.55000000000000004">
      <c r="A209" s="43">
        <v>44250</v>
      </c>
      <c r="B209" s="43" t="s">
        <v>1566</v>
      </c>
      <c r="C209" s="44" t="s">
        <v>1567</v>
      </c>
      <c r="D209" s="45">
        <v>1</v>
      </c>
      <c r="E209" s="46">
        <v>290000</v>
      </c>
      <c r="F209" s="47">
        <f>+$I$4+(CLIENT[[#This Row],[QUANTITE]]*CLIENT[[#This Row],[PRIX UNITAIRE]])</f>
        <v>290000</v>
      </c>
      <c r="G209" s="48"/>
      <c r="H209" s="49">
        <f>+SUM($F$9:F209)-SUM($G$9:G209)</f>
        <v>9184000</v>
      </c>
    </row>
    <row r="210" spans="1:8" ht="28.8" x14ac:dyDescent="0.55000000000000004">
      <c r="A210" s="43">
        <v>44250</v>
      </c>
      <c r="B210" s="43" t="s">
        <v>1390</v>
      </c>
      <c r="C210" s="44" t="s">
        <v>83</v>
      </c>
      <c r="D210" s="45">
        <v>2</v>
      </c>
      <c r="E210" s="46">
        <v>15000</v>
      </c>
      <c r="F210" s="47">
        <f>+$I$4+(CLIENT[[#This Row],[QUANTITE]]*CLIENT[[#This Row],[PRIX UNITAIRE]])</f>
        <v>30000</v>
      </c>
      <c r="G210" s="48"/>
      <c r="H210" s="49">
        <f>+SUM($F$9:F210)-SUM($G$9:G210)</f>
        <v>9214000</v>
      </c>
    </row>
    <row r="211" spans="1:8" ht="28.8" x14ac:dyDescent="0.55000000000000004">
      <c r="A211" s="43">
        <v>44251</v>
      </c>
      <c r="B211" s="43" t="s">
        <v>1234</v>
      </c>
      <c r="C211" s="44" t="s">
        <v>1568</v>
      </c>
      <c r="D211" s="45">
        <v>3</v>
      </c>
      <c r="E211" s="46">
        <v>250000</v>
      </c>
      <c r="F211" s="47">
        <f>+$I$4+(CLIENT[[#This Row],[QUANTITE]]*CLIENT[[#This Row],[PRIX UNITAIRE]])</f>
        <v>750000</v>
      </c>
      <c r="G211" s="48"/>
      <c r="H211" s="49">
        <f>+SUM($F$9:F211)-SUM($G$9:G211)</f>
        <v>9964000</v>
      </c>
    </row>
    <row r="212" spans="1:8" ht="28.8" x14ac:dyDescent="0.55000000000000004">
      <c r="A212" s="43">
        <v>44251</v>
      </c>
      <c r="B212" s="43" t="s">
        <v>1234</v>
      </c>
      <c r="C212" s="44" t="s">
        <v>1569</v>
      </c>
      <c r="D212" s="45">
        <v>1</v>
      </c>
      <c r="E212" s="46">
        <v>250000</v>
      </c>
      <c r="F212" s="47">
        <f>+$I$4+(CLIENT[[#This Row],[QUANTITE]]*CLIENT[[#This Row],[PRIX UNITAIRE]])</f>
        <v>250000</v>
      </c>
      <c r="G212" s="48"/>
      <c r="H212" s="49">
        <f>+SUM($F$9:F212)-SUM($G$9:G212)</f>
        <v>10214000</v>
      </c>
    </row>
    <row r="213" spans="1:8" ht="28.8" x14ac:dyDescent="0.55000000000000004">
      <c r="A213" s="43">
        <v>44259</v>
      </c>
      <c r="B213" s="43" t="s">
        <v>1570</v>
      </c>
      <c r="C213" s="44" t="s">
        <v>781</v>
      </c>
      <c r="D213" s="45">
        <v>2</v>
      </c>
      <c r="E213" s="46">
        <v>90000</v>
      </c>
      <c r="F213" s="47">
        <f>+$I$4+(CLIENT[[#This Row],[QUANTITE]]*CLIENT[[#This Row],[PRIX UNITAIRE]])</f>
        <v>180000</v>
      </c>
      <c r="G213" s="48"/>
      <c r="H213" s="49">
        <f>+SUM($F$9:F213)-SUM($G$9:G213)</f>
        <v>10394000</v>
      </c>
    </row>
    <row r="214" spans="1:8" ht="28.8" x14ac:dyDescent="0.55000000000000004">
      <c r="A214" s="43">
        <v>44260</v>
      </c>
      <c r="B214" s="43" t="s">
        <v>1290</v>
      </c>
      <c r="C214" s="44" t="s">
        <v>1571</v>
      </c>
      <c r="D214" s="45">
        <v>1</v>
      </c>
      <c r="E214" s="46">
        <v>275000</v>
      </c>
      <c r="F214" s="47">
        <f>+$I$4+(CLIENT[[#This Row],[QUANTITE]]*CLIENT[[#This Row],[PRIX UNITAIRE]])</f>
        <v>275000</v>
      </c>
      <c r="G214" s="48"/>
      <c r="H214" s="49">
        <f>+SUM($F$9:F214)-SUM($G$9:G214)</f>
        <v>10669000</v>
      </c>
    </row>
    <row r="215" spans="1:8" ht="28.8" x14ac:dyDescent="0.55000000000000004">
      <c r="A215" s="43">
        <v>44264</v>
      </c>
      <c r="B215" s="43" t="s">
        <v>1570</v>
      </c>
      <c r="C215" s="44" t="s">
        <v>1572</v>
      </c>
      <c r="D215" s="45">
        <v>1</v>
      </c>
      <c r="E215" s="46">
        <v>40000</v>
      </c>
      <c r="F215" s="47">
        <f>+$I$4+(CLIENT[[#This Row],[QUANTITE]]*CLIENT[[#This Row],[PRIX UNITAIRE]])</f>
        <v>40000</v>
      </c>
      <c r="G215" s="48"/>
      <c r="H215" s="49">
        <f>+SUM($F$9:F215)-SUM($G$9:G215)</f>
        <v>10709000</v>
      </c>
    </row>
    <row r="216" spans="1:8" ht="28.8" x14ac:dyDescent="0.55000000000000004">
      <c r="A216" s="43">
        <v>44264</v>
      </c>
      <c r="B216" s="43" t="s">
        <v>259</v>
      </c>
      <c r="C216" s="44" t="s">
        <v>1573</v>
      </c>
      <c r="D216" s="45">
        <v>1</v>
      </c>
      <c r="E216" s="46">
        <v>0</v>
      </c>
      <c r="F216" s="47">
        <f>+$I$4+(CLIENT[[#This Row],[QUANTITE]]*CLIENT[[#This Row],[PRIX UNITAIRE]])</f>
        <v>0</v>
      </c>
      <c r="G216" s="48">
        <v>10669000</v>
      </c>
      <c r="H216" s="49">
        <f>+SUM($F$9:F216)-SUM($G$9:G216)</f>
        <v>40000</v>
      </c>
    </row>
    <row r="217" spans="1:8" ht="28.8" x14ac:dyDescent="0.55000000000000004">
      <c r="A217" s="43">
        <v>44264</v>
      </c>
      <c r="B217" s="43" t="s">
        <v>1474</v>
      </c>
      <c r="C217" s="44" t="s">
        <v>1574</v>
      </c>
      <c r="D217" s="45">
        <v>2</v>
      </c>
      <c r="E217" s="46">
        <v>100000</v>
      </c>
      <c r="F217" s="47">
        <f>+$I$4+(CLIENT[[#This Row],[QUANTITE]]*CLIENT[[#This Row],[PRIX UNITAIRE]])</f>
        <v>200000</v>
      </c>
      <c r="G217" s="48"/>
      <c r="H217" s="49">
        <f>+SUM($F$9:F217)-SUM($G$9:G217)</f>
        <v>240000</v>
      </c>
    </row>
    <row r="218" spans="1:8" ht="28.8" x14ac:dyDescent="0.55000000000000004">
      <c r="A218" s="43">
        <v>44270</v>
      </c>
      <c r="B218" s="43" t="s">
        <v>1575</v>
      </c>
      <c r="C218" s="44" t="s">
        <v>1576</v>
      </c>
      <c r="D218" s="45">
        <v>1</v>
      </c>
      <c r="E218" s="46">
        <v>275000</v>
      </c>
      <c r="F218" s="47">
        <f>+$I$4+(CLIENT[[#This Row],[QUANTITE]]*CLIENT[[#This Row],[PRIX UNITAIRE]])</f>
        <v>275000</v>
      </c>
      <c r="G218" s="48"/>
      <c r="H218" s="49">
        <f>+SUM($F$9:F218)-SUM($G$9:G218)</f>
        <v>515000</v>
      </c>
    </row>
    <row r="219" spans="1:8" ht="28.8" x14ac:dyDescent="0.55000000000000004">
      <c r="A219" s="43">
        <v>44270</v>
      </c>
      <c r="B219" s="43" t="s">
        <v>1461</v>
      </c>
      <c r="C219" s="44" t="s">
        <v>83</v>
      </c>
      <c r="D219" s="45">
        <v>2</v>
      </c>
      <c r="E219" s="46">
        <v>15000</v>
      </c>
      <c r="F219" s="47">
        <f>+$I$4+(CLIENT[[#This Row],[QUANTITE]]*CLIENT[[#This Row],[PRIX UNITAIRE]])</f>
        <v>30000</v>
      </c>
      <c r="G219" s="48"/>
      <c r="H219" s="49">
        <f>+SUM($F$9:F219)-SUM($G$9:G219)</f>
        <v>545000</v>
      </c>
    </row>
    <row r="220" spans="1:8" ht="28.8" x14ac:dyDescent="0.55000000000000004">
      <c r="A220" s="43">
        <v>44273</v>
      </c>
      <c r="B220" s="43" t="s">
        <v>1577</v>
      </c>
      <c r="C220" s="44" t="s">
        <v>1578</v>
      </c>
      <c r="D220" s="45">
        <v>1</v>
      </c>
      <c r="E220" s="46">
        <v>290000</v>
      </c>
      <c r="F220" s="47">
        <f>+$I$4+(CLIENT[[#This Row],[QUANTITE]]*CLIENT[[#This Row],[PRIX UNITAIRE]])</f>
        <v>290000</v>
      </c>
      <c r="G220" s="48"/>
      <c r="H220" s="49">
        <f>+SUM($F$9:F220)-SUM($G$9:G220)</f>
        <v>835000</v>
      </c>
    </row>
    <row r="221" spans="1:8" ht="28.8" x14ac:dyDescent="0.55000000000000004">
      <c r="A221" s="43">
        <v>44273</v>
      </c>
      <c r="B221" s="43" t="s">
        <v>1579</v>
      </c>
      <c r="C221" s="44" t="s">
        <v>1580</v>
      </c>
      <c r="D221" s="45">
        <v>2</v>
      </c>
      <c r="E221" s="46">
        <v>290000</v>
      </c>
      <c r="F221" s="47">
        <f>+$I$4+(CLIENT[[#This Row],[QUANTITE]]*CLIENT[[#This Row],[PRIX UNITAIRE]])</f>
        <v>580000</v>
      </c>
      <c r="G221" s="48"/>
      <c r="H221" s="49">
        <f>+SUM($F$9:F221)-SUM($G$9:G221)</f>
        <v>1415000</v>
      </c>
    </row>
    <row r="222" spans="1:8" ht="28.8" x14ac:dyDescent="0.55000000000000004">
      <c r="A222" s="43">
        <v>44273</v>
      </c>
      <c r="B222" s="43" t="s">
        <v>1298</v>
      </c>
      <c r="C222" s="44" t="s">
        <v>1574</v>
      </c>
      <c r="D222" s="45">
        <v>2</v>
      </c>
      <c r="E222" s="46">
        <v>100000</v>
      </c>
      <c r="F222" s="47">
        <f>+$I$4+(CLIENT[[#This Row],[QUANTITE]]*CLIENT[[#This Row],[PRIX UNITAIRE]])</f>
        <v>200000</v>
      </c>
      <c r="G222" s="48"/>
      <c r="H222" s="49">
        <f>+SUM($F$9:F222)-SUM($G$9:G222)</f>
        <v>1615000</v>
      </c>
    </row>
    <row r="223" spans="1:8" ht="28.8" x14ac:dyDescent="0.55000000000000004">
      <c r="A223" s="43">
        <v>44274</v>
      </c>
      <c r="B223" s="43" t="s">
        <v>1539</v>
      </c>
      <c r="C223" s="44" t="s">
        <v>1581</v>
      </c>
      <c r="D223" s="45">
        <v>1</v>
      </c>
      <c r="E223" s="46">
        <v>290000</v>
      </c>
      <c r="F223" s="47">
        <f>+$I$4+(CLIENT[[#This Row],[QUANTITE]]*CLIENT[[#This Row],[PRIX UNITAIRE]])</f>
        <v>290000</v>
      </c>
      <c r="G223" s="48"/>
      <c r="H223" s="49">
        <f>+SUM($F$9:F223)-SUM($G$9:G223)</f>
        <v>1905000</v>
      </c>
    </row>
    <row r="224" spans="1:8" ht="28.8" x14ac:dyDescent="0.55000000000000004">
      <c r="A224" s="43">
        <v>44277</v>
      </c>
      <c r="B224" s="43" t="s">
        <v>1582</v>
      </c>
      <c r="C224" s="44" t="s">
        <v>1583</v>
      </c>
      <c r="D224" s="45">
        <v>1</v>
      </c>
      <c r="E224" s="46">
        <v>290000</v>
      </c>
      <c r="F224" s="47">
        <f>+$I$4+(CLIENT[[#This Row],[QUANTITE]]*CLIENT[[#This Row],[PRIX UNITAIRE]])</f>
        <v>290000</v>
      </c>
      <c r="G224" s="48"/>
      <c r="H224" s="49">
        <f>+SUM($F$9:F224)-SUM($G$9:G224)</f>
        <v>2195000</v>
      </c>
    </row>
    <row r="225" spans="1:8" ht="28.8" x14ac:dyDescent="0.55000000000000004">
      <c r="A225" s="43">
        <v>44277</v>
      </c>
      <c r="B225" s="43" t="s">
        <v>1501</v>
      </c>
      <c r="C225" s="44" t="s">
        <v>1584</v>
      </c>
      <c r="D225" s="45">
        <v>1</v>
      </c>
      <c r="E225" s="46">
        <v>275000</v>
      </c>
      <c r="F225" s="47">
        <f>+$I$4+(CLIENT[[#This Row],[QUANTITE]]*CLIENT[[#This Row],[PRIX UNITAIRE]])</f>
        <v>275000</v>
      </c>
      <c r="G225" s="48"/>
      <c r="H225" s="49">
        <f>+SUM($F$9:F225)-SUM($G$9:G225)</f>
        <v>2470000</v>
      </c>
    </row>
    <row r="226" spans="1:8" ht="28.8" x14ac:dyDescent="0.55000000000000004">
      <c r="A226" s="43">
        <v>44277</v>
      </c>
      <c r="B226" s="43" t="s">
        <v>1585</v>
      </c>
      <c r="C226" s="44" t="s">
        <v>1586</v>
      </c>
      <c r="D226" s="45">
        <v>1</v>
      </c>
      <c r="E226" s="46">
        <v>250000</v>
      </c>
      <c r="F226" s="47">
        <f>+$I$4+(CLIENT[[#This Row],[QUANTITE]]*CLIENT[[#This Row],[PRIX UNITAIRE]])</f>
        <v>250000</v>
      </c>
      <c r="G226" s="48"/>
      <c r="H226" s="49">
        <f>+SUM($F$9:F226)-SUM($G$9:G226)</f>
        <v>2720000</v>
      </c>
    </row>
    <row r="227" spans="1:8" ht="28.8" x14ac:dyDescent="0.55000000000000004">
      <c r="A227" s="43">
        <v>44280</v>
      </c>
      <c r="B227" s="43" t="s">
        <v>1330</v>
      </c>
      <c r="C227" s="44" t="s">
        <v>1587</v>
      </c>
      <c r="D227" s="45">
        <v>2</v>
      </c>
      <c r="E227" s="46">
        <v>250000</v>
      </c>
      <c r="F227" s="47">
        <f>+$I$4+(CLIENT[[#This Row],[QUANTITE]]*CLIENT[[#This Row],[PRIX UNITAIRE]])</f>
        <v>500000</v>
      </c>
      <c r="G227" s="48"/>
      <c r="H227" s="49">
        <f>+SUM($F$9:F227)-SUM($G$9:G227)</f>
        <v>3220000</v>
      </c>
    </row>
    <row r="228" spans="1:8" ht="28.8" x14ac:dyDescent="0.55000000000000004">
      <c r="A228" s="43">
        <v>44282</v>
      </c>
      <c r="B228" s="43" t="s">
        <v>1459</v>
      </c>
      <c r="C228" s="44" t="s">
        <v>83</v>
      </c>
      <c r="D228" s="45">
        <v>1</v>
      </c>
      <c r="E228" s="46">
        <v>15000</v>
      </c>
      <c r="F228" s="47">
        <f>+$I$4+(CLIENT[[#This Row],[QUANTITE]]*CLIENT[[#This Row],[PRIX UNITAIRE]])</f>
        <v>15000</v>
      </c>
      <c r="G228" s="48"/>
      <c r="H228" s="49">
        <f>+SUM($F$9:F228)-SUM($G$9:G228)</f>
        <v>3235000</v>
      </c>
    </row>
    <row r="229" spans="1:8" ht="28.8" x14ac:dyDescent="0.55000000000000004">
      <c r="A229" s="43">
        <v>44282</v>
      </c>
      <c r="B229" s="43" t="s">
        <v>1588</v>
      </c>
      <c r="C229" s="44" t="s">
        <v>1589</v>
      </c>
      <c r="D229" s="45">
        <v>1</v>
      </c>
      <c r="E229" s="46">
        <v>275000</v>
      </c>
      <c r="F229" s="47">
        <f>+$I$4+(CLIENT[[#This Row],[QUANTITE]]*CLIENT[[#This Row],[PRIX UNITAIRE]])</f>
        <v>275000</v>
      </c>
      <c r="G229" s="48"/>
      <c r="H229" s="49">
        <f>+SUM($F$9:F229)-SUM($G$9:G229)</f>
        <v>3510000</v>
      </c>
    </row>
    <row r="230" spans="1:8" ht="28.8" x14ac:dyDescent="0.55000000000000004">
      <c r="A230" s="43">
        <v>44287</v>
      </c>
      <c r="B230" s="43" t="s">
        <v>1181</v>
      </c>
      <c r="C230" s="44" t="s">
        <v>1590</v>
      </c>
      <c r="D230" s="45">
        <v>1</v>
      </c>
      <c r="E230" s="46">
        <v>250000</v>
      </c>
      <c r="F230" s="47">
        <f>+$I$4+(CLIENT[[#This Row],[QUANTITE]]*CLIENT[[#This Row],[PRIX UNITAIRE]])</f>
        <v>250000</v>
      </c>
      <c r="G230" s="48"/>
      <c r="H230" s="49">
        <f>+SUM($F$9:F230)-SUM($G$9:G230)</f>
        <v>3760000</v>
      </c>
    </row>
    <row r="231" spans="1:8" ht="28.8" x14ac:dyDescent="0.55000000000000004">
      <c r="A231" s="43">
        <v>44287</v>
      </c>
      <c r="B231" s="43" t="s">
        <v>1181</v>
      </c>
      <c r="C231" s="44" t="s">
        <v>1591</v>
      </c>
      <c r="D231" s="45">
        <v>1</v>
      </c>
      <c r="E231" s="46">
        <v>275000</v>
      </c>
      <c r="F231" s="47">
        <f>+$I$4+(CLIENT[[#This Row],[QUANTITE]]*CLIENT[[#This Row],[PRIX UNITAIRE]])</f>
        <v>275000</v>
      </c>
      <c r="G231" s="48"/>
      <c r="H231" s="49">
        <f>+SUM($F$9:F231)-SUM($G$9:G231)</f>
        <v>4035000</v>
      </c>
    </row>
    <row r="232" spans="1:8" ht="28.8" x14ac:dyDescent="0.55000000000000004">
      <c r="A232" s="43">
        <v>44288</v>
      </c>
      <c r="B232" s="43" t="s">
        <v>1327</v>
      </c>
      <c r="C232" s="44" t="s">
        <v>83</v>
      </c>
      <c r="D232" s="45">
        <v>2</v>
      </c>
      <c r="E232" s="46">
        <v>15000</v>
      </c>
      <c r="F232" s="47">
        <f>+$I$4+(CLIENT[[#This Row],[QUANTITE]]*CLIENT[[#This Row],[PRIX UNITAIRE]])</f>
        <v>30000</v>
      </c>
      <c r="G232" s="48"/>
      <c r="H232" s="49">
        <f>+SUM($F$9:F232)-SUM($G$9:G232)</f>
        <v>4065000</v>
      </c>
    </row>
    <row r="233" spans="1:8" ht="28.8" x14ac:dyDescent="0.55000000000000004">
      <c r="A233" s="43">
        <v>44289</v>
      </c>
      <c r="B233" s="43" t="s">
        <v>1234</v>
      </c>
      <c r="C233" s="44" t="s">
        <v>83</v>
      </c>
      <c r="D233" s="45">
        <v>1</v>
      </c>
      <c r="E233" s="46">
        <v>15000</v>
      </c>
      <c r="F233" s="47">
        <f>+$I$4+(CLIENT[[#This Row],[QUANTITE]]*CLIENT[[#This Row],[PRIX UNITAIRE]])</f>
        <v>15000</v>
      </c>
      <c r="G233" s="48"/>
      <c r="H233" s="49">
        <f>+SUM($F$9:F233)-SUM($G$9:G233)</f>
        <v>4080000</v>
      </c>
    </row>
    <row r="234" spans="1:8" ht="28.8" x14ac:dyDescent="0.55000000000000004">
      <c r="A234" s="43">
        <v>44289</v>
      </c>
      <c r="B234" s="43" t="s">
        <v>1592</v>
      </c>
      <c r="C234" s="44" t="s">
        <v>1593</v>
      </c>
      <c r="D234" s="45">
        <v>1</v>
      </c>
      <c r="E234" s="46">
        <v>275000</v>
      </c>
      <c r="F234" s="47">
        <f>+$I$4+(CLIENT[[#This Row],[QUANTITE]]*CLIENT[[#This Row],[PRIX UNITAIRE]])</f>
        <v>275000</v>
      </c>
      <c r="G234" s="48"/>
      <c r="H234" s="49">
        <f>+SUM($F$9:F234)-SUM($G$9:G234)</f>
        <v>4355000</v>
      </c>
    </row>
    <row r="235" spans="1:8" ht="28.8" x14ac:dyDescent="0.55000000000000004">
      <c r="A235" s="43">
        <v>44289</v>
      </c>
      <c r="B235" s="43" t="s">
        <v>1594</v>
      </c>
      <c r="C235" s="44" t="s">
        <v>1595</v>
      </c>
      <c r="D235" s="45">
        <v>1</v>
      </c>
      <c r="E235" s="46">
        <v>275000</v>
      </c>
      <c r="F235" s="47">
        <f>+$I$4+(CLIENT[[#This Row],[QUANTITE]]*CLIENT[[#This Row],[PRIX UNITAIRE]])</f>
        <v>275000</v>
      </c>
      <c r="G235" s="48"/>
      <c r="H235" s="49">
        <f>+SUM($F$9:F235)-SUM($G$9:G235)</f>
        <v>4630000</v>
      </c>
    </row>
    <row r="236" spans="1:8" ht="28.8" x14ac:dyDescent="0.55000000000000004">
      <c r="A236" s="43">
        <v>44291</v>
      </c>
      <c r="B236" s="43" t="s">
        <v>1302</v>
      </c>
      <c r="C236" s="44" t="s">
        <v>1574</v>
      </c>
      <c r="D236" s="45">
        <v>2</v>
      </c>
      <c r="E236" s="46">
        <v>100000</v>
      </c>
      <c r="F236" s="47">
        <f>+$I$4+(CLIENT[[#This Row],[QUANTITE]]*CLIENT[[#This Row],[PRIX UNITAIRE]])</f>
        <v>200000</v>
      </c>
      <c r="G236" s="48"/>
      <c r="H236" s="49">
        <f>+SUM($F$9:F236)-SUM($G$9:G236)</f>
        <v>4830000</v>
      </c>
    </row>
    <row r="237" spans="1:8" ht="28.8" x14ac:dyDescent="0.55000000000000004">
      <c r="A237" s="43">
        <v>44292</v>
      </c>
      <c r="B237" s="43" t="s">
        <v>1596</v>
      </c>
      <c r="C237" s="44" t="s">
        <v>1597</v>
      </c>
      <c r="D237" s="45">
        <v>1</v>
      </c>
      <c r="E237" s="46">
        <v>290000</v>
      </c>
      <c r="F237" s="47">
        <f>+$I$4+(CLIENT[[#This Row],[QUANTITE]]*CLIENT[[#This Row],[PRIX UNITAIRE]])</f>
        <v>290000</v>
      </c>
      <c r="G237" s="48"/>
      <c r="H237" s="49">
        <f>+SUM($F$9:F237)-SUM($G$9:G237)</f>
        <v>5120000</v>
      </c>
    </row>
    <row r="238" spans="1:8" ht="28.8" x14ac:dyDescent="0.55000000000000004">
      <c r="A238" s="43">
        <v>44293</v>
      </c>
      <c r="B238" s="43" t="s">
        <v>1598</v>
      </c>
      <c r="C238" s="44" t="s">
        <v>1599</v>
      </c>
      <c r="D238" s="45">
        <v>1</v>
      </c>
      <c r="E238" s="46">
        <v>290000</v>
      </c>
      <c r="F238" s="47">
        <f>+$I$4+(CLIENT[[#This Row],[QUANTITE]]*CLIENT[[#This Row],[PRIX UNITAIRE]])</f>
        <v>290000</v>
      </c>
      <c r="G238" s="48"/>
      <c r="H238" s="49">
        <f>+SUM($F$9:F238)-SUM($G$9:G238)</f>
        <v>5410000</v>
      </c>
    </row>
    <row r="239" spans="1:8" ht="28.8" x14ac:dyDescent="0.55000000000000004">
      <c r="A239" s="43">
        <v>44296</v>
      </c>
      <c r="B239" s="43" t="s">
        <v>1232</v>
      </c>
      <c r="C239" s="44" t="s">
        <v>83</v>
      </c>
      <c r="D239" s="45">
        <v>1</v>
      </c>
      <c r="E239" s="46">
        <v>15000</v>
      </c>
      <c r="F239" s="47">
        <f>+$I$4+(CLIENT[[#This Row],[QUANTITE]]*CLIENT[[#This Row],[PRIX UNITAIRE]])</f>
        <v>15000</v>
      </c>
      <c r="G239" s="48"/>
      <c r="H239" s="49">
        <f>+SUM($F$9:F239)-SUM($G$9:G239)</f>
        <v>5425000</v>
      </c>
    </row>
    <row r="240" spans="1:8" ht="28.8" x14ac:dyDescent="0.55000000000000004">
      <c r="A240" s="43">
        <v>44296</v>
      </c>
      <c r="B240" s="43" t="s">
        <v>1600</v>
      </c>
      <c r="C240" s="44" t="s">
        <v>1574</v>
      </c>
      <c r="D240" s="45">
        <v>2</v>
      </c>
      <c r="E240" s="46">
        <v>100000</v>
      </c>
      <c r="F240" s="47">
        <f>+$I$4+(CLIENT[[#This Row],[QUANTITE]]*CLIENT[[#This Row],[PRIX UNITAIRE]])</f>
        <v>200000</v>
      </c>
      <c r="G240" s="48"/>
      <c r="H240" s="49">
        <f>+SUM($F$9:F240)-SUM($G$9:G240)</f>
        <v>5625000</v>
      </c>
    </row>
    <row r="241" spans="1:8" ht="28.8" x14ac:dyDescent="0.55000000000000004">
      <c r="A241" s="43">
        <v>44296</v>
      </c>
      <c r="B241" s="43" t="s">
        <v>1601</v>
      </c>
      <c r="C241" s="44" t="s">
        <v>1574</v>
      </c>
      <c r="D241" s="45">
        <v>2</v>
      </c>
      <c r="E241" s="46">
        <v>100000</v>
      </c>
      <c r="F241" s="47">
        <f>+$I$4+(CLIENT[[#This Row],[QUANTITE]]*CLIENT[[#This Row],[PRIX UNITAIRE]])</f>
        <v>200000</v>
      </c>
      <c r="G241" s="48"/>
      <c r="H241" s="49">
        <f>+SUM($F$9:F241)-SUM($G$9:G241)</f>
        <v>5825000</v>
      </c>
    </row>
    <row r="242" spans="1:8" ht="28.8" x14ac:dyDescent="0.55000000000000004">
      <c r="A242" s="43">
        <v>44301</v>
      </c>
      <c r="B242" s="43" t="s">
        <v>1598</v>
      </c>
      <c r="C242" s="44" t="s">
        <v>1602</v>
      </c>
      <c r="D242" s="45">
        <v>1</v>
      </c>
      <c r="E242" s="46">
        <v>275000</v>
      </c>
      <c r="F242" s="47">
        <f>+$I$4+(CLIENT[[#This Row],[QUANTITE]]*CLIENT[[#This Row],[PRIX UNITAIRE]])</f>
        <v>275000</v>
      </c>
      <c r="G242" s="48"/>
      <c r="H242" s="49">
        <f>+SUM($F$9:F242)-SUM($G$9:G242)</f>
        <v>6100000</v>
      </c>
    </row>
    <row r="243" spans="1:8" ht="28.8" x14ac:dyDescent="0.55000000000000004">
      <c r="A243" s="43">
        <v>44306</v>
      </c>
      <c r="B243" s="43" t="s">
        <v>1603</v>
      </c>
      <c r="C243" s="44" t="s">
        <v>1604</v>
      </c>
      <c r="D243" s="45">
        <v>1</v>
      </c>
      <c r="E243" s="46">
        <v>290000</v>
      </c>
      <c r="F243" s="47">
        <f>+$I$4+(CLIENT[[#This Row],[QUANTITE]]*CLIENT[[#This Row],[PRIX UNITAIRE]])</f>
        <v>290000</v>
      </c>
      <c r="G243" s="48"/>
      <c r="H243" s="49">
        <f>+SUM($F$9:F243)-SUM($G$9:G243)</f>
        <v>6390000</v>
      </c>
    </row>
    <row r="244" spans="1:8" ht="28.8" x14ac:dyDescent="0.55000000000000004">
      <c r="A244" s="43">
        <v>44306</v>
      </c>
      <c r="B244" s="43" t="s">
        <v>1605</v>
      </c>
      <c r="C244" s="44" t="s">
        <v>1606</v>
      </c>
      <c r="D244" s="45">
        <v>1</v>
      </c>
      <c r="E244" s="46">
        <v>290000</v>
      </c>
      <c r="F244" s="47">
        <f>+$I$4+(CLIENT[[#This Row],[QUANTITE]]*CLIENT[[#This Row],[PRIX UNITAIRE]])</f>
        <v>290000</v>
      </c>
      <c r="G244" s="48"/>
      <c r="H244" s="49">
        <f>+SUM($F$9:F244)-SUM($G$9:G244)</f>
        <v>6680000</v>
      </c>
    </row>
    <row r="245" spans="1:8" ht="28.8" x14ac:dyDescent="0.55000000000000004">
      <c r="A245" s="43">
        <v>44306</v>
      </c>
      <c r="B245" s="43" t="s">
        <v>1461</v>
      </c>
      <c r="C245" s="44" t="s">
        <v>1607</v>
      </c>
      <c r="D245" s="45">
        <v>1</v>
      </c>
      <c r="E245" s="46">
        <v>250000</v>
      </c>
      <c r="F245" s="47">
        <f>+$I$4+(CLIENT[[#This Row],[QUANTITE]]*CLIENT[[#This Row],[PRIX UNITAIRE]])</f>
        <v>250000</v>
      </c>
      <c r="G245" s="48"/>
      <c r="H245" s="49">
        <f>+SUM($F$9:F245)-SUM($G$9:G245)</f>
        <v>6930000</v>
      </c>
    </row>
    <row r="246" spans="1:8" ht="28.8" x14ac:dyDescent="0.55000000000000004">
      <c r="A246" s="43">
        <v>44306</v>
      </c>
      <c r="B246" s="43" t="s">
        <v>1459</v>
      </c>
      <c r="C246" s="44" t="s">
        <v>83</v>
      </c>
      <c r="D246" s="45">
        <v>1</v>
      </c>
      <c r="E246" s="46">
        <v>15000</v>
      </c>
      <c r="F246" s="47">
        <f>+$I$4+(CLIENT[[#This Row],[QUANTITE]]*CLIENT[[#This Row],[PRIX UNITAIRE]])</f>
        <v>15000</v>
      </c>
      <c r="G246" s="48"/>
      <c r="H246" s="49">
        <f>+SUM($F$9:F246)-SUM($G$9:G246)</f>
        <v>6945000</v>
      </c>
    </row>
    <row r="247" spans="1:8" ht="28.8" x14ac:dyDescent="0.55000000000000004">
      <c r="A247" s="43">
        <v>44307</v>
      </c>
      <c r="B247" s="43" t="s">
        <v>1608</v>
      </c>
      <c r="C247" s="44" t="s">
        <v>1609</v>
      </c>
      <c r="D247" s="45">
        <v>1</v>
      </c>
      <c r="E247" s="46">
        <v>275000</v>
      </c>
      <c r="F247" s="47">
        <f>+$I$4+(CLIENT[[#This Row],[QUANTITE]]*CLIENT[[#This Row],[PRIX UNITAIRE]])</f>
        <v>275000</v>
      </c>
      <c r="G247" s="48"/>
      <c r="H247" s="49">
        <f>+SUM($F$9:F247)-SUM($G$9:G247)</f>
        <v>7220000</v>
      </c>
    </row>
    <row r="248" spans="1:8" ht="28.8" x14ac:dyDescent="0.55000000000000004">
      <c r="A248" s="43">
        <v>44308</v>
      </c>
      <c r="B248" s="43" t="s">
        <v>1610</v>
      </c>
      <c r="C248" s="44" t="s">
        <v>1611</v>
      </c>
      <c r="D248" s="45">
        <v>1</v>
      </c>
      <c r="E248" s="46">
        <v>275000</v>
      </c>
      <c r="F248" s="47">
        <f>+$I$4+(CLIENT[[#This Row],[QUANTITE]]*CLIENT[[#This Row],[PRIX UNITAIRE]])</f>
        <v>275000</v>
      </c>
      <c r="G248" s="48"/>
      <c r="H248" s="49">
        <f>+SUM($F$9:F248)-SUM($G$9:G248)</f>
        <v>7495000</v>
      </c>
    </row>
    <row r="249" spans="1:8" ht="28.8" x14ac:dyDescent="0.55000000000000004">
      <c r="A249" s="43">
        <v>44309</v>
      </c>
      <c r="B249" s="43" t="s">
        <v>1132</v>
      </c>
      <c r="C249" s="44" t="s">
        <v>1612</v>
      </c>
      <c r="D249" s="45">
        <v>1</v>
      </c>
      <c r="E249" s="46">
        <v>275000</v>
      </c>
      <c r="F249" s="47">
        <f>+$I$4+(CLIENT[[#This Row],[QUANTITE]]*CLIENT[[#This Row],[PRIX UNITAIRE]])</f>
        <v>275000</v>
      </c>
      <c r="G249" s="48"/>
      <c r="H249" s="49">
        <f>+SUM($F$9:F249)-SUM($G$9:G249)</f>
        <v>7770000</v>
      </c>
    </row>
    <row r="250" spans="1:8" ht="28.8" x14ac:dyDescent="0.55000000000000004">
      <c r="A250" s="43">
        <v>44313</v>
      </c>
      <c r="B250" s="43" t="s">
        <v>1613</v>
      </c>
      <c r="C250" s="44" t="s">
        <v>1614</v>
      </c>
      <c r="D250" s="45">
        <v>2</v>
      </c>
      <c r="E250" s="46">
        <v>290000</v>
      </c>
      <c r="F250" s="47">
        <f>+$I$4+(CLIENT[[#This Row],[QUANTITE]]*CLIENT[[#This Row],[PRIX UNITAIRE]])</f>
        <v>580000</v>
      </c>
      <c r="G250" s="48"/>
      <c r="H250" s="49">
        <f>+SUM($F$9:F250)-SUM($G$9:G250)</f>
        <v>8350000</v>
      </c>
    </row>
    <row r="251" spans="1:8" ht="28.8" x14ac:dyDescent="0.55000000000000004">
      <c r="A251" s="43">
        <v>44313</v>
      </c>
      <c r="B251" s="43" t="s">
        <v>1615</v>
      </c>
      <c r="C251" s="44" t="s">
        <v>1616</v>
      </c>
      <c r="D251" s="45">
        <v>1</v>
      </c>
      <c r="E251" s="46">
        <v>250000</v>
      </c>
      <c r="F251" s="47">
        <f>+$I$4+(CLIENT[[#This Row],[QUANTITE]]*CLIENT[[#This Row],[PRIX UNITAIRE]])</f>
        <v>250000</v>
      </c>
      <c r="G251" s="48"/>
      <c r="H251" s="49">
        <f>+SUM($F$9:F251)-SUM($G$9:G251)</f>
        <v>8600000</v>
      </c>
    </row>
    <row r="252" spans="1:8" ht="28.8" x14ac:dyDescent="0.55000000000000004">
      <c r="A252" s="43">
        <v>44313</v>
      </c>
      <c r="B252" s="43" t="s">
        <v>1617</v>
      </c>
      <c r="C252" s="44" t="s">
        <v>83</v>
      </c>
      <c r="D252" s="45">
        <v>1</v>
      </c>
      <c r="E252" s="46">
        <v>15000</v>
      </c>
      <c r="F252" s="47">
        <f>+$I$4+(CLIENT[[#This Row],[QUANTITE]]*CLIENT[[#This Row],[PRIX UNITAIRE]])</f>
        <v>15000</v>
      </c>
      <c r="G252" s="48"/>
      <c r="H252" s="49">
        <f>+SUM($F$9:F252)-SUM($G$9:G252)</f>
        <v>8615000</v>
      </c>
    </row>
    <row r="253" spans="1:8" ht="28.8" x14ac:dyDescent="0.55000000000000004">
      <c r="A253" s="43">
        <v>44314</v>
      </c>
      <c r="B253" s="43" t="s">
        <v>1319</v>
      </c>
      <c r="C253" s="44" t="s">
        <v>1618</v>
      </c>
      <c r="D253" s="45">
        <v>2</v>
      </c>
      <c r="E253" s="46">
        <v>250000</v>
      </c>
      <c r="F253" s="47">
        <f>+$I$4+(CLIENT[[#This Row],[QUANTITE]]*CLIENT[[#This Row],[PRIX UNITAIRE]])</f>
        <v>500000</v>
      </c>
      <c r="G253" s="48"/>
      <c r="H253" s="49">
        <f>+SUM($F$9:F253)-SUM($G$9:G253)</f>
        <v>9115000</v>
      </c>
    </row>
    <row r="254" spans="1:8" ht="28.8" x14ac:dyDescent="0.55000000000000004">
      <c r="A254" s="43">
        <v>44315</v>
      </c>
      <c r="B254" s="43" t="s">
        <v>1319</v>
      </c>
      <c r="C254" s="44" t="s">
        <v>1574</v>
      </c>
      <c r="D254" s="45">
        <v>2</v>
      </c>
      <c r="E254" s="46">
        <v>100000</v>
      </c>
      <c r="F254" s="47">
        <f>+$I$4+(CLIENT[[#This Row],[QUANTITE]]*CLIENT[[#This Row],[PRIX UNITAIRE]])</f>
        <v>200000</v>
      </c>
      <c r="G254" s="48"/>
      <c r="H254" s="49">
        <f>+SUM($F$9:F254)-SUM($G$9:G254)</f>
        <v>9315000</v>
      </c>
    </row>
    <row r="255" spans="1:8" ht="28.8" x14ac:dyDescent="0.55000000000000004">
      <c r="A255" s="43">
        <v>44316</v>
      </c>
      <c r="B255" s="43" t="s">
        <v>1619</v>
      </c>
      <c r="C255" s="44" t="s">
        <v>1620</v>
      </c>
      <c r="D255" s="45">
        <v>1</v>
      </c>
      <c r="E255" s="46">
        <v>290000</v>
      </c>
      <c r="F255" s="47">
        <f>+$I$4+(CLIENT[[#This Row],[QUANTITE]]*CLIENT[[#This Row],[PRIX UNITAIRE]])</f>
        <v>290000</v>
      </c>
      <c r="G255" s="48"/>
      <c r="H255" s="49">
        <f>+SUM($F$9:F255)-SUM($G$9:G255)</f>
        <v>9605000</v>
      </c>
    </row>
    <row r="256" spans="1:8" ht="28.8" x14ac:dyDescent="0.55000000000000004">
      <c r="A256" s="43">
        <v>44316</v>
      </c>
      <c r="B256" s="43" t="s">
        <v>1232</v>
      </c>
      <c r="C256" s="44" t="s">
        <v>1490</v>
      </c>
      <c r="D256" s="45">
        <v>1</v>
      </c>
      <c r="E256" s="46">
        <v>20000</v>
      </c>
      <c r="F256" s="47">
        <f>+$I$4+(CLIENT[[#This Row],[QUANTITE]]*CLIENT[[#This Row],[PRIX UNITAIRE]])</f>
        <v>20000</v>
      </c>
      <c r="G256" s="48"/>
      <c r="H256" s="49">
        <f>+SUM($F$9:F256)-SUM($G$9:G256)</f>
        <v>9625000</v>
      </c>
    </row>
    <row r="257" spans="1:8" ht="28.8" x14ac:dyDescent="0.55000000000000004">
      <c r="A257" s="43">
        <v>44317</v>
      </c>
      <c r="B257" s="43" t="s">
        <v>1149</v>
      </c>
      <c r="C257" s="44" t="s">
        <v>1621</v>
      </c>
      <c r="D257" s="45">
        <v>1</v>
      </c>
      <c r="E257" s="46">
        <v>40000</v>
      </c>
      <c r="F257" s="47">
        <f>+$I$4+(CLIENT[[#This Row],[QUANTITE]]*CLIENT[[#This Row],[PRIX UNITAIRE]])</f>
        <v>40000</v>
      </c>
      <c r="G257" s="48"/>
      <c r="H257" s="49">
        <f>+SUM($F$9:F257)-SUM($G$9:G257)</f>
        <v>9665000</v>
      </c>
    </row>
    <row r="258" spans="1:8" ht="28.8" x14ac:dyDescent="0.55000000000000004">
      <c r="A258" s="43">
        <v>44319</v>
      </c>
      <c r="B258" s="43" t="s">
        <v>1622</v>
      </c>
      <c r="C258" s="44" t="s">
        <v>1623</v>
      </c>
      <c r="D258" s="45">
        <v>1</v>
      </c>
      <c r="E258" s="46">
        <v>275000</v>
      </c>
      <c r="F258" s="47">
        <f>+$I$4+(CLIENT[[#This Row],[QUANTITE]]*CLIENT[[#This Row],[PRIX UNITAIRE]])</f>
        <v>275000</v>
      </c>
      <c r="G258" s="48"/>
      <c r="H258" s="49">
        <f>+SUM($F$9:F258)-SUM($G$9:G258)</f>
        <v>9940000</v>
      </c>
    </row>
    <row r="259" spans="1:8" ht="28.8" x14ac:dyDescent="0.55000000000000004">
      <c r="A259" s="43">
        <v>44319</v>
      </c>
      <c r="B259" s="43" t="s">
        <v>1233</v>
      </c>
      <c r="C259" s="44" t="s">
        <v>83</v>
      </c>
      <c r="D259" s="45">
        <v>2</v>
      </c>
      <c r="E259" s="46">
        <v>15000</v>
      </c>
      <c r="F259" s="47">
        <f>+$I$4+(CLIENT[[#This Row],[QUANTITE]]*CLIENT[[#This Row],[PRIX UNITAIRE]])</f>
        <v>30000</v>
      </c>
      <c r="G259" s="48"/>
      <c r="H259" s="49">
        <f>+SUM($F$9:F259)-SUM($G$9:G259)</f>
        <v>9970000</v>
      </c>
    </row>
    <row r="260" spans="1:8" ht="28.8" x14ac:dyDescent="0.55000000000000004">
      <c r="A260" s="43">
        <v>44319</v>
      </c>
      <c r="B260" s="43" t="s">
        <v>1624</v>
      </c>
      <c r="C260" s="44" t="s">
        <v>1625</v>
      </c>
      <c r="D260" s="45">
        <v>1</v>
      </c>
      <c r="E260" s="46">
        <v>275000</v>
      </c>
      <c r="F260" s="47">
        <f>+$I$4+(CLIENT[[#This Row],[QUANTITE]]*CLIENT[[#This Row],[PRIX UNITAIRE]])</f>
        <v>275000</v>
      </c>
      <c r="G260" s="48"/>
      <c r="H260" s="49">
        <f>+SUM($F$9:F260)-SUM($G$9:G260)</f>
        <v>10245000</v>
      </c>
    </row>
    <row r="261" spans="1:8" ht="28.8" x14ac:dyDescent="0.55000000000000004">
      <c r="A261" s="43">
        <v>44319</v>
      </c>
      <c r="B261" s="43" t="s">
        <v>1605</v>
      </c>
      <c r="C261" s="44" t="s">
        <v>1626</v>
      </c>
      <c r="D261" s="45">
        <v>1</v>
      </c>
      <c r="E261" s="46">
        <v>275000</v>
      </c>
      <c r="F261" s="47">
        <f>+$I$4+(CLIENT[[#This Row],[QUANTITE]]*CLIENT[[#This Row],[PRIX UNITAIRE]])</f>
        <v>275000</v>
      </c>
      <c r="G261" s="48"/>
      <c r="H261" s="49">
        <f>+SUM($F$9:F261)-SUM($G$9:G261)</f>
        <v>10520000</v>
      </c>
    </row>
    <row r="262" spans="1:8" ht="28.8" x14ac:dyDescent="0.55000000000000004">
      <c r="A262" s="43">
        <v>44320</v>
      </c>
      <c r="B262" s="43" t="s">
        <v>1461</v>
      </c>
      <c r="C262" s="44" t="s">
        <v>1627</v>
      </c>
      <c r="D262" s="45">
        <v>1</v>
      </c>
      <c r="E262" s="46">
        <v>275000</v>
      </c>
      <c r="F262" s="47">
        <f>+$I$4+(CLIENT[[#This Row],[QUANTITE]]*CLIENT[[#This Row],[PRIX UNITAIRE]])</f>
        <v>275000</v>
      </c>
      <c r="G262" s="48"/>
      <c r="H262" s="49">
        <f>+SUM($F$9:F262)-SUM($G$9:G262)</f>
        <v>10795000</v>
      </c>
    </row>
    <row r="263" spans="1:8" ht="28.8" x14ac:dyDescent="0.55000000000000004">
      <c r="A263" s="43">
        <v>44320</v>
      </c>
      <c r="B263" s="43" t="s">
        <v>1234</v>
      </c>
      <c r="C263" s="44" t="s">
        <v>83</v>
      </c>
      <c r="D263" s="45">
        <v>1</v>
      </c>
      <c r="E263" s="46">
        <v>15000</v>
      </c>
      <c r="F263" s="47">
        <f>+$I$4+(CLIENT[[#This Row],[QUANTITE]]*CLIENT[[#This Row],[PRIX UNITAIRE]])</f>
        <v>15000</v>
      </c>
      <c r="G263" s="48"/>
      <c r="H263" s="49">
        <f>+SUM($F$9:F263)-SUM($G$9:G263)</f>
        <v>10810000</v>
      </c>
    </row>
    <row r="264" spans="1:8" ht="28.8" x14ac:dyDescent="0.55000000000000004">
      <c r="A264" s="43">
        <v>44321</v>
      </c>
      <c r="B264" s="43" t="s">
        <v>1628</v>
      </c>
      <c r="C264" s="44" t="s">
        <v>1629</v>
      </c>
      <c r="D264" s="45">
        <v>1</v>
      </c>
      <c r="E264" s="46">
        <v>290000</v>
      </c>
      <c r="F264" s="47">
        <f>+$I$4+(CLIENT[[#This Row],[QUANTITE]]*CLIENT[[#This Row],[PRIX UNITAIRE]])</f>
        <v>290000</v>
      </c>
      <c r="G264" s="48"/>
      <c r="H264" s="49">
        <f>+SUM($F$9:F264)-SUM($G$9:G264)</f>
        <v>11100000</v>
      </c>
    </row>
    <row r="265" spans="1:8" ht="28.8" x14ac:dyDescent="0.55000000000000004">
      <c r="A265" s="43">
        <v>44323</v>
      </c>
      <c r="B265" s="43" t="s">
        <v>1302</v>
      </c>
      <c r="C265" s="44" t="s">
        <v>1630</v>
      </c>
      <c r="D265" s="45">
        <v>1</v>
      </c>
      <c r="E265" s="46">
        <v>275000</v>
      </c>
      <c r="F265" s="47">
        <f>+$I$4+(CLIENT[[#This Row],[QUANTITE]]*CLIENT[[#This Row],[PRIX UNITAIRE]])</f>
        <v>275000</v>
      </c>
      <c r="G265" s="48"/>
      <c r="H265" s="49">
        <f>+SUM($F$9:F265)-SUM($G$9:G265)</f>
        <v>11375000</v>
      </c>
    </row>
    <row r="266" spans="1:8" ht="28.8" x14ac:dyDescent="0.55000000000000004">
      <c r="A266" s="43">
        <v>44323</v>
      </c>
      <c r="B266" s="43" t="s">
        <v>1181</v>
      </c>
      <c r="C266" s="44" t="s">
        <v>1631</v>
      </c>
      <c r="D266" s="45">
        <v>1</v>
      </c>
      <c r="E266" s="46">
        <v>290000</v>
      </c>
      <c r="F266" s="47">
        <f>+$I$4+(CLIENT[[#This Row],[QUANTITE]]*CLIENT[[#This Row],[PRIX UNITAIRE]])</f>
        <v>290000</v>
      </c>
      <c r="G266" s="48"/>
      <c r="H266" s="49">
        <f>+SUM($F$9:F266)-SUM($G$9:G266)</f>
        <v>11665000</v>
      </c>
    </row>
    <row r="267" spans="1:8" ht="28.8" x14ac:dyDescent="0.55000000000000004">
      <c r="A267" s="43">
        <v>44323</v>
      </c>
      <c r="B267" s="43" t="s">
        <v>1181</v>
      </c>
      <c r="C267" s="44" t="s">
        <v>1632</v>
      </c>
      <c r="D267" s="45">
        <v>1</v>
      </c>
      <c r="E267" s="46">
        <v>250000</v>
      </c>
      <c r="F267" s="47">
        <f>+$I$4+(CLIENT[[#This Row],[QUANTITE]]*CLIENT[[#This Row],[PRIX UNITAIRE]])</f>
        <v>250000</v>
      </c>
      <c r="G267" s="48"/>
      <c r="H267" s="49">
        <f>+SUM($F$9:F267)-SUM($G$9:G267)</f>
        <v>11915000</v>
      </c>
    </row>
    <row r="268" spans="1:8" ht="28.8" x14ac:dyDescent="0.55000000000000004">
      <c r="A268" s="43">
        <v>44323</v>
      </c>
      <c r="B268" s="43" t="s">
        <v>1181</v>
      </c>
      <c r="C268" s="44" t="s">
        <v>1633</v>
      </c>
      <c r="D268" s="45">
        <v>1</v>
      </c>
      <c r="E268" s="46">
        <v>275000</v>
      </c>
      <c r="F268" s="47">
        <f>+$I$4+(CLIENT[[#This Row],[QUANTITE]]*CLIENT[[#This Row],[PRIX UNITAIRE]])</f>
        <v>275000</v>
      </c>
      <c r="G268" s="48"/>
      <c r="H268" s="49">
        <f>+SUM($F$9:F268)-SUM($G$9:G268)</f>
        <v>12190000</v>
      </c>
    </row>
    <row r="269" spans="1:8" ht="28.8" x14ac:dyDescent="0.55000000000000004">
      <c r="A269" s="43">
        <v>44323</v>
      </c>
      <c r="B269" s="43" t="s">
        <v>259</v>
      </c>
      <c r="C269" s="44" t="s">
        <v>1634</v>
      </c>
      <c r="D269" s="45">
        <v>1</v>
      </c>
      <c r="E269" s="46">
        <v>0</v>
      </c>
      <c r="F269" s="47">
        <f>+$I$4+(CLIENT[[#This Row],[QUANTITE]]*CLIENT[[#This Row],[PRIX UNITAIRE]])</f>
        <v>0</v>
      </c>
      <c r="G269" s="48">
        <v>11100000</v>
      </c>
      <c r="H269" s="49">
        <f>+SUM($F$9:F269)-SUM($G$9:G269)</f>
        <v>1090000</v>
      </c>
    </row>
    <row r="270" spans="1:8" ht="28.8" x14ac:dyDescent="0.55000000000000004">
      <c r="A270" s="43">
        <v>44324</v>
      </c>
      <c r="B270" s="43" t="s">
        <v>1635</v>
      </c>
      <c r="C270" s="44" t="s">
        <v>1636</v>
      </c>
      <c r="D270" s="45">
        <v>1</v>
      </c>
      <c r="E270" s="46">
        <v>290000</v>
      </c>
      <c r="F270" s="47">
        <f>+$I$4+(CLIENT[[#This Row],[QUANTITE]]*CLIENT[[#This Row],[PRIX UNITAIRE]])</f>
        <v>290000</v>
      </c>
      <c r="G270" s="48"/>
      <c r="H270" s="49">
        <f>+SUM($F$9:F270)-SUM($G$9:G270)</f>
        <v>1380000</v>
      </c>
    </row>
    <row r="271" spans="1:8" ht="28.8" x14ac:dyDescent="0.55000000000000004">
      <c r="A271" s="43">
        <v>44324</v>
      </c>
      <c r="B271" s="43" t="s">
        <v>1637</v>
      </c>
      <c r="C271" s="44" t="s">
        <v>83</v>
      </c>
      <c r="D271" s="45">
        <v>2</v>
      </c>
      <c r="E271" s="46">
        <v>15000</v>
      </c>
      <c r="F271" s="47">
        <f>+$I$4+(CLIENT[[#This Row],[QUANTITE]]*CLIENT[[#This Row],[PRIX UNITAIRE]])</f>
        <v>30000</v>
      </c>
      <c r="G271" s="48"/>
      <c r="H271" s="49">
        <f>+SUM($F$9:F271)-SUM($G$9:G271)</f>
        <v>1410000</v>
      </c>
    </row>
    <row r="272" spans="1:8" ht="28.8" x14ac:dyDescent="0.55000000000000004">
      <c r="A272" s="43">
        <v>44324</v>
      </c>
      <c r="B272" s="43" t="s">
        <v>1461</v>
      </c>
      <c r="C272" s="44" t="s">
        <v>83</v>
      </c>
      <c r="D272" s="45">
        <v>2</v>
      </c>
      <c r="E272" s="46">
        <v>15000</v>
      </c>
      <c r="F272" s="47">
        <f>+$I$4+(CLIENT[[#This Row],[QUANTITE]]*CLIENT[[#This Row],[PRIX UNITAIRE]])</f>
        <v>30000</v>
      </c>
      <c r="G272" s="48"/>
      <c r="H272" s="49">
        <f>+SUM($F$9:F272)-SUM($G$9:G272)</f>
        <v>1440000</v>
      </c>
    </row>
    <row r="273" spans="1:8" ht="28.8" x14ac:dyDescent="0.55000000000000004">
      <c r="A273" s="43">
        <v>44326</v>
      </c>
      <c r="B273" s="43" t="s">
        <v>1638</v>
      </c>
      <c r="C273" s="44" t="s">
        <v>1639</v>
      </c>
      <c r="D273" s="45">
        <v>1</v>
      </c>
      <c r="E273" s="46">
        <v>290000</v>
      </c>
      <c r="F273" s="47">
        <f>+$I$4+(CLIENT[[#This Row],[QUANTITE]]*CLIENT[[#This Row],[PRIX UNITAIRE]])</f>
        <v>290000</v>
      </c>
      <c r="G273" s="48"/>
      <c r="H273" s="49">
        <f>+SUM($F$9:F273)-SUM($G$9:G273)</f>
        <v>1730000</v>
      </c>
    </row>
    <row r="274" spans="1:8" ht="28.8" x14ac:dyDescent="0.55000000000000004">
      <c r="A274" s="43">
        <v>44326</v>
      </c>
      <c r="B274" s="43" t="s">
        <v>1640</v>
      </c>
      <c r="C274" s="44" t="s">
        <v>1641</v>
      </c>
      <c r="D274" s="45">
        <v>1</v>
      </c>
      <c r="E274" s="46">
        <v>250000</v>
      </c>
      <c r="F274" s="47">
        <f>+$I$4+(CLIENT[[#This Row],[QUANTITE]]*CLIENT[[#This Row],[PRIX UNITAIRE]])</f>
        <v>250000</v>
      </c>
      <c r="G274" s="48"/>
      <c r="H274" s="49">
        <f>+SUM($F$9:F274)-SUM($G$9:G274)</f>
        <v>1980000</v>
      </c>
    </row>
    <row r="275" spans="1:8" ht="28.8" x14ac:dyDescent="0.55000000000000004">
      <c r="A275" s="43">
        <v>44326</v>
      </c>
      <c r="B275" s="43" t="s">
        <v>1149</v>
      </c>
      <c r="C275" s="44" t="s">
        <v>1642</v>
      </c>
      <c r="D275" s="45">
        <v>1</v>
      </c>
      <c r="E275" s="46">
        <v>290000</v>
      </c>
      <c r="F275" s="47">
        <f>+$I$4+(CLIENT[[#This Row],[QUANTITE]]*CLIENT[[#This Row],[PRIX UNITAIRE]])</f>
        <v>290000</v>
      </c>
      <c r="G275" s="48"/>
      <c r="H275" s="49">
        <f>+SUM($F$9:F275)-SUM($G$9:G275)</f>
        <v>2270000</v>
      </c>
    </row>
    <row r="276" spans="1:8" ht="28.8" x14ac:dyDescent="0.55000000000000004">
      <c r="A276" s="43">
        <v>44327</v>
      </c>
      <c r="B276" s="43" t="s">
        <v>1238</v>
      </c>
      <c r="C276" s="44" t="s">
        <v>1574</v>
      </c>
      <c r="D276" s="45">
        <v>2</v>
      </c>
      <c r="E276" s="46">
        <v>100000</v>
      </c>
      <c r="F276" s="47">
        <f>+$I$4+(CLIENT[[#This Row],[QUANTITE]]*CLIENT[[#This Row],[PRIX UNITAIRE]])</f>
        <v>200000</v>
      </c>
      <c r="G276" s="48"/>
      <c r="H276" s="49">
        <f>+SUM($F$9:F276)-SUM($G$9:G276)</f>
        <v>2470000</v>
      </c>
    </row>
    <row r="277" spans="1:8" ht="28.8" x14ac:dyDescent="0.55000000000000004">
      <c r="A277" s="43">
        <v>44330</v>
      </c>
      <c r="B277" s="43" t="s">
        <v>1302</v>
      </c>
      <c r="C277" s="44" t="s">
        <v>1643</v>
      </c>
      <c r="D277" s="45">
        <v>1</v>
      </c>
      <c r="E277" s="46">
        <v>290000</v>
      </c>
      <c r="F277" s="47">
        <f>+$I$4+(CLIENT[[#This Row],[QUANTITE]]*CLIENT[[#This Row],[PRIX UNITAIRE]])</f>
        <v>290000</v>
      </c>
      <c r="G277" s="48"/>
      <c r="H277" s="49">
        <f>+SUM($F$9:F277)-SUM($G$9:G277)</f>
        <v>2760000</v>
      </c>
    </row>
    <row r="278" spans="1:8" ht="28.8" x14ac:dyDescent="0.55000000000000004">
      <c r="A278" s="43">
        <v>44331</v>
      </c>
      <c r="B278" s="43" t="s">
        <v>1459</v>
      </c>
      <c r="C278" s="44" t="s">
        <v>1644</v>
      </c>
      <c r="D278" s="45">
        <v>1</v>
      </c>
      <c r="E278" s="46">
        <v>250000</v>
      </c>
      <c r="F278" s="47">
        <f>+$I$4+(CLIENT[[#This Row],[QUANTITE]]*CLIENT[[#This Row],[PRIX UNITAIRE]])</f>
        <v>250000</v>
      </c>
      <c r="G278" s="48"/>
      <c r="H278" s="49">
        <f>+SUM($F$9:F278)-SUM($G$9:G278)</f>
        <v>3010000</v>
      </c>
    </row>
    <row r="279" spans="1:8" ht="28.8" x14ac:dyDescent="0.55000000000000004">
      <c r="A279" s="43">
        <v>44331</v>
      </c>
      <c r="B279" s="43" t="s">
        <v>1234</v>
      </c>
      <c r="C279" s="44" t="s">
        <v>83</v>
      </c>
      <c r="D279" s="45">
        <v>2</v>
      </c>
      <c r="E279" s="46">
        <v>15000</v>
      </c>
      <c r="F279" s="47">
        <f>+$I$4+(CLIENT[[#This Row],[QUANTITE]]*CLIENT[[#This Row],[PRIX UNITAIRE]])</f>
        <v>30000</v>
      </c>
      <c r="G279" s="48"/>
      <c r="H279" s="49">
        <f>+SUM($F$9:F279)-SUM($G$9:G279)</f>
        <v>3040000</v>
      </c>
    </row>
    <row r="280" spans="1:8" ht="28.8" x14ac:dyDescent="0.55000000000000004">
      <c r="A280" s="43">
        <v>44333</v>
      </c>
      <c r="B280" s="43" t="s">
        <v>1487</v>
      </c>
      <c r="C280" s="44" t="s">
        <v>1645</v>
      </c>
      <c r="D280" s="45">
        <v>2</v>
      </c>
      <c r="E280" s="46">
        <v>250000</v>
      </c>
      <c r="F280" s="47">
        <f>+$I$4+(CLIENT[[#This Row],[QUANTITE]]*CLIENT[[#This Row],[PRIX UNITAIRE]])</f>
        <v>500000</v>
      </c>
      <c r="G280" s="48"/>
      <c r="H280" s="49">
        <f>+SUM($F$9:F280)-SUM($G$9:G280)</f>
        <v>3540000</v>
      </c>
    </row>
    <row r="281" spans="1:8" ht="28.8" x14ac:dyDescent="0.55000000000000004">
      <c r="A281" s="43">
        <v>44334</v>
      </c>
      <c r="B281" s="43" t="s">
        <v>1646</v>
      </c>
      <c r="C281" s="44" t="s">
        <v>1647</v>
      </c>
      <c r="D281" s="45">
        <v>1</v>
      </c>
      <c r="E281" s="46">
        <v>290000</v>
      </c>
      <c r="F281" s="47">
        <f>+$I$4+(CLIENT[[#This Row],[QUANTITE]]*CLIENT[[#This Row],[PRIX UNITAIRE]])</f>
        <v>290000</v>
      </c>
      <c r="G281" s="48"/>
      <c r="H281" s="49">
        <f>+SUM($F$9:F281)-SUM($G$9:G281)</f>
        <v>3830000</v>
      </c>
    </row>
    <row r="282" spans="1:8" ht="28.8" x14ac:dyDescent="0.55000000000000004">
      <c r="A282" s="43">
        <v>44335</v>
      </c>
      <c r="B282" s="43" t="s">
        <v>1371</v>
      </c>
      <c r="C282" s="44" t="s">
        <v>1648</v>
      </c>
      <c r="D282" s="45">
        <v>2</v>
      </c>
      <c r="E282" s="46">
        <v>250000</v>
      </c>
      <c r="F282" s="47">
        <f>+$I$4+(CLIENT[[#This Row],[QUANTITE]]*CLIENT[[#This Row],[PRIX UNITAIRE]])</f>
        <v>500000</v>
      </c>
      <c r="G282" s="48"/>
      <c r="H282" s="49">
        <f>+SUM($F$9:F282)-SUM($G$9:G282)</f>
        <v>4330000</v>
      </c>
    </row>
    <row r="283" spans="1:8" ht="28.8" x14ac:dyDescent="0.55000000000000004">
      <c r="A283" s="43">
        <v>44338</v>
      </c>
      <c r="B283" s="43" t="s">
        <v>1516</v>
      </c>
      <c r="C283" s="44" t="s">
        <v>1649</v>
      </c>
      <c r="D283" s="45">
        <v>1</v>
      </c>
      <c r="E283" s="46">
        <v>290000</v>
      </c>
      <c r="F283" s="47">
        <f>+$I$4+(CLIENT[[#This Row],[QUANTITE]]*CLIENT[[#This Row],[PRIX UNITAIRE]])</f>
        <v>290000</v>
      </c>
      <c r="G283" s="48"/>
      <c r="H283" s="49">
        <f>+SUM($F$9:F283)-SUM($G$9:G283)</f>
        <v>4620000</v>
      </c>
    </row>
    <row r="284" spans="1:8" ht="28.8" x14ac:dyDescent="0.55000000000000004">
      <c r="A284" s="43">
        <v>44341</v>
      </c>
      <c r="B284" s="43" t="s">
        <v>1601</v>
      </c>
      <c r="C284" s="44" t="s">
        <v>1650</v>
      </c>
      <c r="D284" s="45">
        <v>1</v>
      </c>
      <c r="E284" s="46">
        <v>100000</v>
      </c>
      <c r="F284" s="47">
        <f>+$I$4+(CLIENT[[#This Row],[QUANTITE]]*CLIENT[[#This Row],[PRIX UNITAIRE]])</f>
        <v>100000</v>
      </c>
      <c r="G284" s="48"/>
      <c r="H284" s="49">
        <f>+SUM($F$9:F284)-SUM($G$9:G284)</f>
        <v>4720000</v>
      </c>
    </row>
    <row r="285" spans="1:8" ht="28.8" x14ac:dyDescent="0.55000000000000004">
      <c r="A285" s="43">
        <v>44342</v>
      </c>
      <c r="B285" s="43" t="s">
        <v>1651</v>
      </c>
      <c r="C285" s="44" t="s">
        <v>1652</v>
      </c>
      <c r="D285" s="45">
        <v>1</v>
      </c>
      <c r="E285" s="46">
        <v>290000</v>
      </c>
      <c r="F285" s="47">
        <f>+$I$4+(CLIENT[[#This Row],[QUANTITE]]*CLIENT[[#This Row],[PRIX UNITAIRE]])</f>
        <v>290000</v>
      </c>
      <c r="G285" s="48"/>
      <c r="H285" s="49">
        <f>+SUM($F$9:F285)-SUM($G$9:G285)</f>
        <v>5010000</v>
      </c>
    </row>
    <row r="286" spans="1:8" ht="28.8" x14ac:dyDescent="0.55000000000000004">
      <c r="A286" s="43">
        <v>44342</v>
      </c>
      <c r="B286" s="43" t="s">
        <v>1302</v>
      </c>
      <c r="C286" s="44" t="s">
        <v>1653</v>
      </c>
      <c r="D286" s="45">
        <v>1</v>
      </c>
      <c r="E286" s="46">
        <v>290000</v>
      </c>
      <c r="F286" s="47">
        <f>+$I$4+(CLIENT[[#This Row],[QUANTITE]]*CLIENT[[#This Row],[PRIX UNITAIRE]])</f>
        <v>290000</v>
      </c>
      <c r="G286" s="48"/>
      <c r="H286" s="49">
        <f>+SUM($F$9:F286)-SUM($G$9:G286)</f>
        <v>5300000</v>
      </c>
    </row>
    <row r="287" spans="1:8" ht="28.8" x14ac:dyDescent="0.55000000000000004">
      <c r="A287" s="43">
        <v>44343</v>
      </c>
      <c r="B287" s="43" t="s">
        <v>1654</v>
      </c>
      <c r="C287" s="44" t="s">
        <v>1655</v>
      </c>
      <c r="D287" s="45">
        <v>1</v>
      </c>
      <c r="E287" s="46">
        <v>28000</v>
      </c>
      <c r="F287" s="47">
        <f>+$I$4+(CLIENT[[#This Row],[QUANTITE]]*CLIENT[[#This Row],[PRIX UNITAIRE]])</f>
        <v>28000</v>
      </c>
      <c r="G287" s="48"/>
      <c r="H287" s="49">
        <f>+SUM($F$9:F287)-SUM($G$9:G287)</f>
        <v>5328000</v>
      </c>
    </row>
    <row r="288" spans="1:8" ht="28.8" x14ac:dyDescent="0.55000000000000004">
      <c r="A288" s="43">
        <v>44343</v>
      </c>
      <c r="B288" s="43" t="s">
        <v>1656</v>
      </c>
      <c r="C288" s="44" t="s">
        <v>1657</v>
      </c>
      <c r="D288" s="45">
        <v>1</v>
      </c>
      <c r="E288" s="46">
        <v>290000</v>
      </c>
      <c r="F288" s="47">
        <f>+$I$4+(CLIENT[[#This Row],[QUANTITE]]*CLIENT[[#This Row],[PRIX UNITAIRE]])</f>
        <v>290000</v>
      </c>
      <c r="G288" s="48"/>
      <c r="H288" s="49">
        <f>+SUM($F$9:F288)-SUM($G$9:G288)</f>
        <v>5618000</v>
      </c>
    </row>
    <row r="289" spans="1:8" ht="28.8" x14ac:dyDescent="0.55000000000000004">
      <c r="A289" s="43">
        <v>44343</v>
      </c>
      <c r="B289" s="43" t="s">
        <v>1233</v>
      </c>
      <c r="C289" s="44" t="s">
        <v>83</v>
      </c>
      <c r="D289" s="45">
        <v>1</v>
      </c>
      <c r="E289" s="46">
        <v>15000</v>
      </c>
      <c r="F289" s="47">
        <f>+$I$4+(CLIENT[[#This Row],[QUANTITE]]*CLIENT[[#This Row],[PRIX UNITAIRE]])</f>
        <v>15000</v>
      </c>
      <c r="G289" s="48"/>
      <c r="H289" s="49">
        <f>+SUM($F$9:F289)-SUM($G$9:G289)</f>
        <v>5633000</v>
      </c>
    </row>
    <row r="290" spans="1:8" ht="28.8" x14ac:dyDescent="0.55000000000000004">
      <c r="A290" s="43">
        <v>44344</v>
      </c>
      <c r="B290" s="43" t="s">
        <v>1457</v>
      </c>
      <c r="C290" s="44" t="s">
        <v>1658</v>
      </c>
      <c r="D290" s="45">
        <v>1</v>
      </c>
      <c r="E290" s="46">
        <v>290000</v>
      </c>
      <c r="F290" s="47">
        <f>+$I$4+(CLIENT[[#This Row],[QUANTITE]]*CLIENT[[#This Row],[PRIX UNITAIRE]])</f>
        <v>290000</v>
      </c>
      <c r="G290" s="48"/>
      <c r="H290" s="49">
        <f>+SUM($F$9:F290)-SUM($G$9:G290)</f>
        <v>5923000</v>
      </c>
    </row>
    <row r="291" spans="1:8" ht="28.8" x14ac:dyDescent="0.55000000000000004">
      <c r="A291" s="43">
        <v>44345</v>
      </c>
      <c r="B291" s="43" t="s">
        <v>1461</v>
      </c>
      <c r="C291" s="44" t="s">
        <v>1659</v>
      </c>
      <c r="D291" s="45">
        <v>2</v>
      </c>
      <c r="E291" s="46">
        <v>270000</v>
      </c>
      <c r="F291" s="47">
        <f>+$I$4+(CLIENT[[#This Row],[QUANTITE]]*CLIENT[[#This Row],[PRIX UNITAIRE]])</f>
        <v>540000</v>
      </c>
      <c r="G291" s="48"/>
      <c r="H291" s="49">
        <f>+SUM($F$9:F291)-SUM($G$9:G291)</f>
        <v>6463000</v>
      </c>
    </row>
    <row r="292" spans="1:8" ht="28.8" x14ac:dyDescent="0.55000000000000004">
      <c r="A292" s="43">
        <v>44347</v>
      </c>
      <c r="B292" s="43" t="s">
        <v>1660</v>
      </c>
      <c r="C292" s="44" t="s">
        <v>1661</v>
      </c>
      <c r="D292" s="45">
        <v>1</v>
      </c>
      <c r="E292" s="46">
        <v>290000</v>
      </c>
      <c r="F292" s="47">
        <f>+$I$4+(CLIENT[[#This Row],[QUANTITE]]*CLIENT[[#This Row],[PRIX UNITAIRE]])</f>
        <v>290000</v>
      </c>
      <c r="G292" s="48"/>
      <c r="H292" s="49">
        <f>+SUM($F$9:F292)-SUM($G$9:G292)</f>
        <v>6753000</v>
      </c>
    </row>
    <row r="293" spans="1:8" ht="28.8" x14ac:dyDescent="0.55000000000000004">
      <c r="A293" s="43">
        <v>44347</v>
      </c>
      <c r="B293" s="43" t="s">
        <v>1662</v>
      </c>
      <c r="C293" s="44" t="s">
        <v>1663</v>
      </c>
      <c r="D293" s="45">
        <v>1</v>
      </c>
      <c r="E293" s="46">
        <v>290000</v>
      </c>
      <c r="F293" s="47">
        <f>+$I$4+(CLIENT[[#This Row],[QUANTITE]]*CLIENT[[#This Row],[PRIX UNITAIRE]])</f>
        <v>290000</v>
      </c>
      <c r="G293" s="48"/>
      <c r="H293" s="49">
        <f>+SUM($F$9:F293)-SUM($G$9:G293)</f>
        <v>7043000</v>
      </c>
    </row>
    <row r="294" spans="1:8" ht="28.8" x14ac:dyDescent="0.55000000000000004">
      <c r="A294" s="43">
        <v>44352</v>
      </c>
      <c r="B294" s="43" t="s">
        <v>1664</v>
      </c>
      <c r="C294" s="44" t="s">
        <v>1665</v>
      </c>
      <c r="D294" s="45">
        <v>1</v>
      </c>
      <c r="E294" s="46">
        <v>290000</v>
      </c>
      <c r="F294" s="47">
        <f>+$I$4+(CLIENT[[#This Row],[QUANTITE]]*CLIENT[[#This Row],[PRIX UNITAIRE]])</f>
        <v>290000</v>
      </c>
      <c r="G294" s="48"/>
      <c r="H294" s="49">
        <f>+SUM($F$9:F294)-SUM($G$9:G294)</f>
        <v>7333000</v>
      </c>
    </row>
    <row r="295" spans="1:8" ht="28.8" x14ac:dyDescent="0.55000000000000004">
      <c r="A295" s="43">
        <v>44352</v>
      </c>
      <c r="B295" s="43" t="s">
        <v>1561</v>
      </c>
      <c r="C295" s="44" t="s">
        <v>1666</v>
      </c>
      <c r="D295" s="45">
        <v>1</v>
      </c>
      <c r="E295" s="46">
        <v>290000</v>
      </c>
      <c r="F295" s="47">
        <f>+$I$4+(CLIENT[[#This Row],[QUANTITE]]*CLIENT[[#This Row],[PRIX UNITAIRE]])</f>
        <v>290000</v>
      </c>
      <c r="G295" s="48"/>
      <c r="H295" s="49">
        <f>+SUM($F$9:F295)-SUM($G$9:G295)</f>
        <v>7623000</v>
      </c>
    </row>
    <row r="296" spans="1:8" ht="28.8" x14ac:dyDescent="0.55000000000000004">
      <c r="A296" s="43">
        <v>44354</v>
      </c>
      <c r="B296" s="43" t="s">
        <v>1149</v>
      </c>
      <c r="C296" s="44" t="s">
        <v>1667</v>
      </c>
      <c r="D296" s="45">
        <v>1</v>
      </c>
      <c r="E296" s="46">
        <v>250000</v>
      </c>
      <c r="F296" s="47">
        <f>+$I$4+(CLIENT[[#This Row],[QUANTITE]]*CLIENT[[#This Row],[PRIX UNITAIRE]])</f>
        <v>250000</v>
      </c>
      <c r="G296" s="48"/>
      <c r="H296" s="49">
        <f>+SUM($F$9:F296)-SUM($G$9:G296)</f>
        <v>7873000</v>
      </c>
    </row>
    <row r="297" spans="1:8" ht="28.8" x14ac:dyDescent="0.55000000000000004">
      <c r="A297" s="43">
        <v>44355</v>
      </c>
      <c r="B297" s="43" t="s">
        <v>1232</v>
      </c>
      <c r="C297" s="44" t="s">
        <v>1668</v>
      </c>
      <c r="D297" s="45">
        <v>2</v>
      </c>
      <c r="E297" s="46">
        <v>290000</v>
      </c>
      <c r="F297" s="47">
        <f>+$I$4+(CLIENT[[#This Row],[QUANTITE]]*CLIENT[[#This Row],[PRIX UNITAIRE]])</f>
        <v>580000</v>
      </c>
      <c r="G297" s="48"/>
      <c r="H297" s="49">
        <f>+SUM($F$9:F297)-SUM($G$9:G297)</f>
        <v>8453000</v>
      </c>
    </row>
    <row r="298" spans="1:8" ht="28.8" x14ac:dyDescent="0.55000000000000004">
      <c r="A298" s="43">
        <v>44355</v>
      </c>
      <c r="B298" s="43" t="s">
        <v>1232</v>
      </c>
      <c r="C298" s="44" t="s">
        <v>1669</v>
      </c>
      <c r="D298" s="45">
        <v>2</v>
      </c>
      <c r="E298" s="46">
        <v>270000</v>
      </c>
      <c r="F298" s="47">
        <f>+$I$4+(CLIENT[[#This Row],[QUANTITE]]*CLIENT[[#This Row],[PRIX UNITAIRE]])</f>
        <v>540000</v>
      </c>
      <c r="G298" s="48"/>
      <c r="H298" s="49">
        <f>+SUM($F$9:F298)-SUM($G$9:G298)</f>
        <v>8993000</v>
      </c>
    </row>
    <row r="299" spans="1:8" ht="28.8" x14ac:dyDescent="0.55000000000000004">
      <c r="A299" s="43">
        <v>44355</v>
      </c>
      <c r="B299" s="43" t="s">
        <v>1232</v>
      </c>
      <c r="C299" s="44" t="s">
        <v>83</v>
      </c>
      <c r="D299" s="45">
        <v>1</v>
      </c>
      <c r="E299" s="46">
        <v>15000</v>
      </c>
      <c r="F299" s="47">
        <f>+$I$4+(CLIENT[[#This Row],[QUANTITE]]*CLIENT[[#This Row],[PRIX UNITAIRE]])</f>
        <v>15000</v>
      </c>
      <c r="G299" s="48"/>
      <c r="H299" s="49">
        <f>+SUM($F$9:F299)-SUM($G$9:G299)</f>
        <v>9008000</v>
      </c>
    </row>
    <row r="300" spans="1:8" ht="28.8" x14ac:dyDescent="0.55000000000000004">
      <c r="A300" s="43">
        <v>44355</v>
      </c>
      <c r="B300" s="43" t="s">
        <v>1497</v>
      </c>
      <c r="C300" s="44" t="s">
        <v>1670</v>
      </c>
      <c r="D300" s="45">
        <v>1</v>
      </c>
      <c r="E300" s="46">
        <v>35000</v>
      </c>
      <c r="F300" s="47">
        <f>+$I$4+(CLIENT[[#This Row],[QUANTITE]]*CLIENT[[#This Row],[PRIX UNITAIRE]])</f>
        <v>35000</v>
      </c>
      <c r="G300" s="48"/>
      <c r="H300" s="49">
        <f>+SUM($F$9:F300)-SUM($G$9:G300)</f>
        <v>9043000</v>
      </c>
    </row>
    <row r="301" spans="1:8" ht="28.8" x14ac:dyDescent="0.55000000000000004">
      <c r="A301" s="43">
        <v>44355</v>
      </c>
      <c r="B301" s="43" t="s">
        <v>1497</v>
      </c>
      <c r="C301" s="44" t="s">
        <v>1671</v>
      </c>
      <c r="D301" s="45">
        <v>2</v>
      </c>
      <c r="E301" s="46">
        <v>40000</v>
      </c>
      <c r="F301" s="47">
        <f>+$I$4+(CLIENT[[#This Row],[QUANTITE]]*CLIENT[[#This Row],[PRIX UNITAIRE]])</f>
        <v>80000</v>
      </c>
      <c r="G301" s="48"/>
      <c r="H301" s="49">
        <f>+SUM($F$9:F301)-SUM($G$9:G301)</f>
        <v>9123000</v>
      </c>
    </row>
    <row r="302" spans="1:8" ht="28.8" x14ac:dyDescent="0.55000000000000004">
      <c r="A302" s="43">
        <v>44355</v>
      </c>
      <c r="B302" s="43" t="s">
        <v>1382</v>
      </c>
      <c r="C302" s="44" t="s">
        <v>1672</v>
      </c>
      <c r="D302" s="45">
        <v>1</v>
      </c>
      <c r="E302" s="46">
        <v>250000</v>
      </c>
      <c r="F302" s="47">
        <f>+$I$4+(CLIENT[[#This Row],[QUANTITE]]*CLIENT[[#This Row],[PRIX UNITAIRE]])</f>
        <v>250000</v>
      </c>
      <c r="G302" s="48"/>
      <c r="H302" s="49">
        <f>+SUM($F$9:F302)-SUM($G$9:G302)</f>
        <v>9373000</v>
      </c>
    </row>
    <row r="303" spans="1:8" ht="28.8" x14ac:dyDescent="0.55000000000000004">
      <c r="A303" s="43">
        <v>44355</v>
      </c>
      <c r="B303" s="43" t="s">
        <v>1234</v>
      </c>
      <c r="C303" s="44" t="s">
        <v>1503</v>
      </c>
      <c r="D303" s="45">
        <v>2</v>
      </c>
      <c r="E303" s="46">
        <v>125000</v>
      </c>
      <c r="F303" s="47">
        <f>+$I$4+(CLIENT[[#This Row],[QUANTITE]]*CLIENT[[#This Row],[PRIX UNITAIRE]])</f>
        <v>250000</v>
      </c>
      <c r="G303" s="48"/>
      <c r="H303" s="49">
        <f>+SUM($F$9:F303)-SUM($G$9:G303)</f>
        <v>9623000</v>
      </c>
    </row>
    <row r="304" spans="1:8" ht="28.8" x14ac:dyDescent="0.55000000000000004">
      <c r="A304" s="43">
        <v>44355</v>
      </c>
      <c r="B304" s="43" t="s">
        <v>1302</v>
      </c>
      <c r="C304" s="44" t="s">
        <v>83</v>
      </c>
      <c r="D304" s="45">
        <v>2</v>
      </c>
      <c r="E304" s="46">
        <v>15000</v>
      </c>
      <c r="F304" s="47">
        <f>+$I$4+(CLIENT[[#This Row],[QUANTITE]]*CLIENT[[#This Row],[PRIX UNITAIRE]])</f>
        <v>30000</v>
      </c>
      <c r="G304" s="48"/>
      <c r="H304" s="49">
        <f>+SUM($F$9:F304)-SUM($G$9:G304)</f>
        <v>9653000</v>
      </c>
    </row>
    <row r="305" spans="1:8" ht="28.8" x14ac:dyDescent="0.55000000000000004">
      <c r="A305" s="43">
        <v>44356</v>
      </c>
      <c r="B305" s="43" t="s">
        <v>1651</v>
      </c>
      <c r="C305" s="44" t="s">
        <v>1673</v>
      </c>
      <c r="D305" s="45">
        <v>1</v>
      </c>
      <c r="E305" s="46">
        <v>290000</v>
      </c>
      <c r="F305" s="47">
        <f>+$I$4+(CLIENT[[#This Row],[QUANTITE]]*CLIENT[[#This Row],[PRIX UNITAIRE]])</f>
        <v>290000</v>
      </c>
      <c r="G305" s="48"/>
      <c r="H305" s="49">
        <f>+SUM($F$9:F305)-SUM($G$9:G305)</f>
        <v>9943000</v>
      </c>
    </row>
    <row r="306" spans="1:8" ht="28.8" x14ac:dyDescent="0.55000000000000004">
      <c r="A306" s="43">
        <v>44356</v>
      </c>
      <c r="B306" s="43" t="s">
        <v>1674</v>
      </c>
      <c r="C306" s="44" t="s">
        <v>1675</v>
      </c>
      <c r="D306" s="45">
        <v>1</v>
      </c>
      <c r="E306" s="46">
        <v>290000</v>
      </c>
      <c r="F306" s="47">
        <f>+$I$4+(CLIENT[[#This Row],[QUANTITE]]*CLIENT[[#This Row],[PRIX UNITAIRE]])</f>
        <v>290000</v>
      </c>
      <c r="G306" s="48"/>
      <c r="H306" s="49">
        <f>+SUM($F$9:F306)-SUM($G$9:G306)</f>
        <v>10233000</v>
      </c>
    </row>
    <row r="307" spans="1:8" ht="28.8" x14ac:dyDescent="0.55000000000000004">
      <c r="A307" s="43">
        <v>44358</v>
      </c>
      <c r="B307" s="43" t="s">
        <v>1424</v>
      </c>
      <c r="C307" s="44" t="s">
        <v>1676</v>
      </c>
      <c r="D307" s="45">
        <v>2</v>
      </c>
      <c r="E307" s="46">
        <v>250000</v>
      </c>
      <c r="F307" s="47">
        <f>+$I$4+(CLIENT[[#This Row],[QUANTITE]]*CLIENT[[#This Row],[PRIX UNITAIRE]])</f>
        <v>500000</v>
      </c>
      <c r="G307" s="48"/>
      <c r="H307" s="49">
        <f>+SUM($F$9:F307)-SUM($G$9:G307)</f>
        <v>10733000</v>
      </c>
    </row>
    <row r="308" spans="1:8" ht="28.8" x14ac:dyDescent="0.55000000000000004">
      <c r="A308" s="43">
        <v>44363</v>
      </c>
      <c r="B308" s="43" t="s">
        <v>1474</v>
      </c>
      <c r="C308" s="44" t="s">
        <v>1677</v>
      </c>
      <c r="D308" s="45">
        <v>1</v>
      </c>
      <c r="E308" s="46">
        <v>250000</v>
      </c>
      <c r="F308" s="47">
        <f>+$I$4+(CLIENT[[#This Row],[QUANTITE]]*CLIENT[[#This Row],[PRIX UNITAIRE]])</f>
        <v>250000</v>
      </c>
      <c r="G308" s="48"/>
      <c r="H308" s="49">
        <f>+SUM($F$9:F308)-SUM($G$9:G308)</f>
        <v>10983000</v>
      </c>
    </row>
    <row r="309" spans="1:8" ht="28.8" x14ac:dyDescent="0.55000000000000004">
      <c r="A309" s="43">
        <v>44363</v>
      </c>
      <c r="B309" s="43" t="s">
        <v>1474</v>
      </c>
      <c r="C309" s="44" t="s">
        <v>1678</v>
      </c>
      <c r="D309" s="45">
        <v>1</v>
      </c>
      <c r="E309" s="46">
        <v>10000</v>
      </c>
      <c r="F309" s="47">
        <f>+$I$4+(CLIENT[[#This Row],[QUANTITE]]*CLIENT[[#This Row],[PRIX UNITAIRE]])</f>
        <v>10000</v>
      </c>
      <c r="G309" s="48"/>
      <c r="H309" s="49">
        <f>+SUM($F$9:F309)-SUM($G$9:G309)</f>
        <v>10993000</v>
      </c>
    </row>
    <row r="310" spans="1:8" ht="28.8" x14ac:dyDescent="0.55000000000000004">
      <c r="A310" s="43">
        <v>44364</v>
      </c>
      <c r="B310" s="43" t="s">
        <v>1679</v>
      </c>
      <c r="C310" s="44" t="s">
        <v>1680</v>
      </c>
      <c r="D310" s="45">
        <v>1</v>
      </c>
      <c r="E310" s="46">
        <v>290000</v>
      </c>
      <c r="F310" s="47">
        <f>+$I$4+(CLIENT[[#This Row],[QUANTITE]]*CLIENT[[#This Row],[PRIX UNITAIRE]])</f>
        <v>290000</v>
      </c>
      <c r="G310" s="48"/>
      <c r="H310" s="49">
        <f>+SUM($F$9:F310)-SUM($G$9:G310)</f>
        <v>11283000</v>
      </c>
    </row>
    <row r="311" spans="1:8" ht="28.8" x14ac:dyDescent="0.55000000000000004">
      <c r="A311" s="43">
        <v>44364</v>
      </c>
      <c r="B311" s="43" t="s">
        <v>259</v>
      </c>
      <c r="C311" s="44" t="s">
        <v>1681</v>
      </c>
      <c r="D311" s="45">
        <v>1</v>
      </c>
      <c r="E311" s="46">
        <v>0</v>
      </c>
      <c r="F311" s="47">
        <f>+$I$4+(CLIENT[[#This Row],[QUANTITE]]*CLIENT[[#This Row],[PRIX UNITAIRE]])</f>
        <v>0</v>
      </c>
      <c r="G311" s="48">
        <v>11000000</v>
      </c>
      <c r="H311" s="49">
        <f>+SUM($F$9:F311)-SUM($G$9:G311)</f>
        <v>283000</v>
      </c>
    </row>
    <row r="312" spans="1:8" ht="28.8" x14ac:dyDescent="0.55000000000000004">
      <c r="A312" s="43">
        <v>44365</v>
      </c>
      <c r="B312" s="43" t="s">
        <v>1682</v>
      </c>
      <c r="C312" s="44" t="s">
        <v>1683</v>
      </c>
      <c r="D312" s="45">
        <v>1</v>
      </c>
      <c r="E312" s="46">
        <v>290000</v>
      </c>
      <c r="F312" s="47">
        <f>+$I$4+(CLIENT[[#This Row],[QUANTITE]]*CLIENT[[#This Row],[PRIX UNITAIRE]])</f>
        <v>290000</v>
      </c>
      <c r="G312" s="48"/>
      <c r="H312" s="49">
        <f>+SUM($F$9:F312)-SUM($G$9:G312)</f>
        <v>573000</v>
      </c>
    </row>
    <row r="313" spans="1:8" ht="28.8" x14ac:dyDescent="0.55000000000000004">
      <c r="A313" s="43">
        <v>44365</v>
      </c>
      <c r="B313" s="43" t="s">
        <v>1181</v>
      </c>
      <c r="C313" s="44" t="s">
        <v>1678</v>
      </c>
      <c r="D313" s="45">
        <v>1</v>
      </c>
      <c r="E313" s="46">
        <v>5000</v>
      </c>
      <c r="F313" s="47">
        <f>+$I$4+(CLIENT[[#This Row],[QUANTITE]]*CLIENT[[#This Row],[PRIX UNITAIRE]])</f>
        <v>5000</v>
      </c>
      <c r="G313" s="48"/>
      <c r="H313" s="49">
        <f>+SUM($F$9:F313)-SUM($G$9:G313)</f>
        <v>578000</v>
      </c>
    </row>
    <row r="314" spans="1:8" ht="28.8" x14ac:dyDescent="0.55000000000000004">
      <c r="A314" s="43">
        <v>44365</v>
      </c>
      <c r="B314" s="43" t="s">
        <v>1461</v>
      </c>
      <c r="C314" s="44" t="s">
        <v>83</v>
      </c>
      <c r="D314" s="45">
        <v>2</v>
      </c>
      <c r="E314" s="46">
        <v>15000</v>
      </c>
      <c r="F314" s="47">
        <f>+$I$4+(CLIENT[[#This Row],[QUANTITE]]*CLIENT[[#This Row],[PRIX UNITAIRE]])</f>
        <v>30000</v>
      </c>
      <c r="G314" s="48"/>
      <c r="H314" s="49">
        <f>+SUM($F$9:F314)-SUM($G$9:G314)</f>
        <v>608000</v>
      </c>
    </row>
    <row r="315" spans="1:8" ht="28.8" x14ac:dyDescent="0.55000000000000004">
      <c r="A315" s="43">
        <v>44366</v>
      </c>
      <c r="B315" s="43" t="s">
        <v>1684</v>
      </c>
      <c r="C315" s="44" t="s">
        <v>1685</v>
      </c>
      <c r="D315" s="45">
        <v>1</v>
      </c>
      <c r="E315" s="46">
        <v>250000</v>
      </c>
      <c r="F315" s="47">
        <f>+$I$4+(CLIENT[[#This Row],[QUANTITE]]*CLIENT[[#This Row],[PRIX UNITAIRE]])</f>
        <v>250000</v>
      </c>
      <c r="G315" s="48"/>
      <c r="H315" s="49">
        <f>+SUM($F$9:F315)-SUM($G$9:G315)</f>
        <v>858000</v>
      </c>
    </row>
    <row r="316" spans="1:8" ht="28.8" x14ac:dyDescent="0.55000000000000004">
      <c r="A316" s="43">
        <v>44366</v>
      </c>
      <c r="B316" s="43" t="s">
        <v>1302</v>
      </c>
      <c r="C316" s="44" t="s">
        <v>1686</v>
      </c>
      <c r="D316" s="45">
        <v>1</v>
      </c>
      <c r="E316" s="46">
        <v>250000</v>
      </c>
      <c r="F316" s="47">
        <f>+$I$4+(CLIENT[[#This Row],[QUANTITE]]*CLIENT[[#This Row],[PRIX UNITAIRE]])</f>
        <v>250000</v>
      </c>
      <c r="G316" s="48"/>
      <c r="H316" s="49">
        <f>+SUM($F$9:F316)-SUM($G$9:G316)</f>
        <v>1108000</v>
      </c>
    </row>
    <row r="317" spans="1:8" ht="28.8" x14ac:dyDescent="0.55000000000000004">
      <c r="A317" s="43">
        <v>44366</v>
      </c>
      <c r="B317" s="43" t="s">
        <v>1687</v>
      </c>
      <c r="C317" s="44" t="s">
        <v>1688</v>
      </c>
      <c r="D317" s="45">
        <v>1</v>
      </c>
      <c r="E317" s="46">
        <v>290000</v>
      </c>
      <c r="F317" s="47">
        <f>+$I$4+(CLIENT[[#This Row],[QUANTITE]]*CLIENT[[#This Row],[PRIX UNITAIRE]])</f>
        <v>290000</v>
      </c>
      <c r="G317" s="48"/>
      <c r="H317" s="49">
        <f>+SUM($F$9:F317)-SUM($G$9:G317)</f>
        <v>1398000</v>
      </c>
    </row>
    <row r="318" spans="1:8" ht="28.8" x14ac:dyDescent="0.55000000000000004">
      <c r="A318" s="43">
        <v>44366</v>
      </c>
      <c r="B318" s="43" t="s">
        <v>1459</v>
      </c>
      <c r="C318" s="44" t="s">
        <v>83</v>
      </c>
      <c r="D318" s="45">
        <v>1</v>
      </c>
      <c r="E318" s="46">
        <v>15000</v>
      </c>
      <c r="F318" s="47">
        <f>+$I$4+(CLIENT[[#This Row],[QUANTITE]]*CLIENT[[#This Row],[PRIX UNITAIRE]])</f>
        <v>15000</v>
      </c>
      <c r="G318" s="48"/>
      <c r="H318" s="49">
        <f>+SUM($F$9:F318)-SUM($G$9:G318)</f>
        <v>1413000</v>
      </c>
    </row>
    <row r="319" spans="1:8" ht="28.8" x14ac:dyDescent="0.55000000000000004">
      <c r="A319" s="43">
        <v>44368</v>
      </c>
      <c r="B319" s="43" t="s">
        <v>1689</v>
      </c>
      <c r="C319" s="44" t="s">
        <v>1690</v>
      </c>
      <c r="D319" s="45">
        <v>1</v>
      </c>
      <c r="E319" s="46">
        <v>290000</v>
      </c>
      <c r="F319" s="47">
        <f>+$I$4+(CLIENT[[#This Row],[QUANTITE]]*CLIENT[[#This Row],[PRIX UNITAIRE]])</f>
        <v>290000</v>
      </c>
      <c r="G319" s="48"/>
      <c r="H319" s="49">
        <f>+SUM($F$9:F319)-SUM($G$9:G319)</f>
        <v>1703000</v>
      </c>
    </row>
    <row r="320" spans="1:8" ht="28.8" x14ac:dyDescent="0.55000000000000004">
      <c r="A320" s="43">
        <v>44368</v>
      </c>
      <c r="B320" s="43" t="s">
        <v>1651</v>
      </c>
      <c r="C320" s="44" t="s">
        <v>1691</v>
      </c>
      <c r="D320" s="45">
        <v>1</v>
      </c>
      <c r="E320" s="46">
        <v>290000</v>
      </c>
      <c r="F320" s="47">
        <f>+$I$4+(CLIENT[[#This Row],[QUANTITE]]*CLIENT[[#This Row],[PRIX UNITAIRE]])</f>
        <v>290000</v>
      </c>
      <c r="G320" s="48"/>
      <c r="H320" s="49">
        <f>+SUM($F$9:F320)-SUM($G$9:G320)</f>
        <v>1993000</v>
      </c>
    </row>
    <row r="321" spans="1:8" ht="28.8" x14ac:dyDescent="0.55000000000000004">
      <c r="A321" s="43">
        <v>44369</v>
      </c>
      <c r="B321" s="43" t="s">
        <v>1692</v>
      </c>
      <c r="C321" s="44" t="s">
        <v>1503</v>
      </c>
      <c r="D321" s="45">
        <v>2</v>
      </c>
      <c r="E321" s="46">
        <v>125000</v>
      </c>
      <c r="F321" s="47">
        <f>+$I$4+(CLIENT[[#This Row],[QUANTITE]]*CLIENT[[#This Row],[PRIX UNITAIRE]])</f>
        <v>250000</v>
      </c>
      <c r="G321" s="48"/>
      <c r="H321" s="49">
        <f>+SUM($F$9:F321)-SUM($G$9:G321)</f>
        <v>2243000</v>
      </c>
    </row>
    <row r="322" spans="1:8" ht="28.8" x14ac:dyDescent="0.55000000000000004">
      <c r="A322" s="43">
        <v>44370</v>
      </c>
      <c r="B322" s="43" t="s">
        <v>1333</v>
      </c>
      <c r="C322" s="44" t="s">
        <v>1693</v>
      </c>
      <c r="D322" s="45">
        <v>1</v>
      </c>
      <c r="E322" s="46">
        <v>250000</v>
      </c>
      <c r="F322" s="47">
        <f>+$I$4+(CLIENT[[#This Row],[QUANTITE]]*CLIENT[[#This Row],[PRIX UNITAIRE]])</f>
        <v>250000</v>
      </c>
      <c r="G322" s="48"/>
      <c r="H322" s="49">
        <f>+SUM($F$9:F322)-SUM($G$9:G322)</f>
        <v>2493000</v>
      </c>
    </row>
    <row r="323" spans="1:8" ht="28.8" x14ac:dyDescent="0.55000000000000004">
      <c r="A323" s="43">
        <v>44371</v>
      </c>
      <c r="B323" s="43" t="s">
        <v>1307</v>
      </c>
      <c r="C323" s="44" t="s">
        <v>1694</v>
      </c>
      <c r="D323" s="45">
        <v>1</v>
      </c>
      <c r="E323" s="46">
        <v>250000</v>
      </c>
      <c r="F323" s="47">
        <f>+$I$4+(CLIENT[[#This Row],[QUANTITE]]*CLIENT[[#This Row],[PRIX UNITAIRE]])</f>
        <v>250000</v>
      </c>
      <c r="G323" s="48"/>
      <c r="H323" s="49">
        <f>+SUM($F$9:F323)-SUM($G$9:G323)</f>
        <v>2743000</v>
      </c>
    </row>
    <row r="324" spans="1:8" ht="28.8" x14ac:dyDescent="0.55000000000000004">
      <c r="A324" s="43">
        <v>44372</v>
      </c>
      <c r="B324" s="43" t="s">
        <v>1695</v>
      </c>
      <c r="C324" s="44" t="s">
        <v>1696</v>
      </c>
      <c r="D324" s="45">
        <v>1</v>
      </c>
      <c r="E324" s="46">
        <v>290000</v>
      </c>
      <c r="F324" s="47">
        <f>+$I$4+(CLIENT[[#This Row],[QUANTITE]]*CLIENT[[#This Row],[PRIX UNITAIRE]])</f>
        <v>290000</v>
      </c>
      <c r="G324" s="48"/>
      <c r="H324" s="49">
        <f>+SUM($F$9:F324)-SUM($G$9:G324)</f>
        <v>3033000</v>
      </c>
    </row>
    <row r="325" spans="1:8" ht="28.8" x14ac:dyDescent="0.55000000000000004">
      <c r="A325" s="43">
        <v>44373</v>
      </c>
      <c r="B325" s="43" t="s">
        <v>1556</v>
      </c>
      <c r="C325" s="44" t="s">
        <v>1697</v>
      </c>
      <c r="D325" s="45">
        <v>1</v>
      </c>
      <c r="E325" s="46">
        <v>290000</v>
      </c>
      <c r="F325" s="47">
        <f>+$I$4+(CLIENT[[#This Row],[QUANTITE]]*CLIENT[[#This Row],[PRIX UNITAIRE]])</f>
        <v>290000</v>
      </c>
      <c r="G325" s="48"/>
      <c r="H325" s="49">
        <f>+SUM($F$9:F325)-SUM($G$9:G325)</f>
        <v>3323000</v>
      </c>
    </row>
    <row r="326" spans="1:8" ht="28.8" x14ac:dyDescent="0.55000000000000004">
      <c r="A326" s="43">
        <v>44373</v>
      </c>
      <c r="B326" s="43" t="s">
        <v>1382</v>
      </c>
      <c r="C326" s="44" t="s">
        <v>1698</v>
      </c>
      <c r="D326" s="45">
        <v>1</v>
      </c>
      <c r="E326" s="46">
        <v>250000</v>
      </c>
      <c r="F326" s="47">
        <f>+$I$4+(CLIENT[[#This Row],[QUANTITE]]*CLIENT[[#This Row],[PRIX UNITAIRE]])</f>
        <v>250000</v>
      </c>
      <c r="G326" s="48"/>
      <c r="H326" s="49">
        <f>+SUM($F$9:F326)-SUM($G$9:G326)</f>
        <v>3573000</v>
      </c>
    </row>
    <row r="327" spans="1:8" ht="28.8" x14ac:dyDescent="0.55000000000000004">
      <c r="A327" s="43">
        <v>44373</v>
      </c>
      <c r="B327" s="43" t="s">
        <v>1699</v>
      </c>
      <c r="C327" s="44" t="s">
        <v>83</v>
      </c>
      <c r="D327" s="45">
        <v>2</v>
      </c>
      <c r="E327" s="46">
        <v>15000</v>
      </c>
      <c r="F327" s="47">
        <f>+$I$4+(CLIENT[[#This Row],[QUANTITE]]*CLIENT[[#This Row],[PRIX UNITAIRE]])</f>
        <v>30000</v>
      </c>
      <c r="G327" s="48"/>
      <c r="H327" s="49">
        <f>+SUM($F$9:F327)-SUM($G$9:G327)</f>
        <v>3603000</v>
      </c>
    </row>
    <row r="328" spans="1:8" ht="28.8" x14ac:dyDescent="0.55000000000000004">
      <c r="A328" s="43">
        <v>44287</v>
      </c>
      <c r="B328" s="43" t="s">
        <v>1700</v>
      </c>
      <c r="C328" s="44" t="s">
        <v>83</v>
      </c>
      <c r="D328" s="45">
        <v>2</v>
      </c>
      <c r="E328" s="46">
        <v>15000</v>
      </c>
      <c r="F328" s="47">
        <f>+$I$4+(CLIENT[[#This Row],[QUANTITE]]*CLIENT[[#This Row],[PRIX UNITAIRE]])</f>
        <v>30000</v>
      </c>
      <c r="G328" s="48"/>
      <c r="H328" s="49">
        <f>+SUM($F$9:F328)-SUM($G$9:G328)</f>
        <v>3633000</v>
      </c>
    </row>
    <row r="329" spans="1:8" ht="28.8" x14ac:dyDescent="0.55000000000000004">
      <c r="A329" s="43">
        <v>44380</v>
      </c>
      <c r="B329" s="43" t="s">
        <v>1379</v>
      </c>
      <c r="C329" s="44" t="s">
        <v>1503</v>
      </c>
      <c r="D329" s="45">
        <v>2</v>
      </c>
      <c r="E329" s="46">
        <v>125000</v>
      </c>
      <c r="F329" s="47">
        <f>+$I$4+(CLIENT[[#This Row],[QUANTITE]]*CLIENT[[#This Row],[PRIX UNITAIRE]])</f>
        <v>250000</v>
      </c>
      <c r="G329" s="48"/>
      <c r="H329" s="49">
        <f>+SUM($F$9:F329)-SUM($G$9:G329)</f>
        <v>3883000</v>
      </c>
    </row>
    <row r="330" spans="1:8" ht="28.8" x14ac:dyDescent="0.55000000000000004">
      <c r="A330" s="43">
        <v>44382</v>
      </c>
      <c r="B330" s="43" t="s">
        <v>1181</v>
      </c>
      <c r="C330" s="44" t="s">
        <v>1503</v>
      </c>
      <c r="D330" s="45">
        <v>2</v>
      </c>
      <c r="E330" s="46">
        <v>125000</v>
      </c>
      <c r="F330" s="47">
        <f>+$I$4+(CLIENT[[#This Row],[QUANTITE]]*CLIENT[[#This Row],[PRIX UNITAIRE]])</f>
        <v>250000</v>
      </c>
      <c r="G330" s="48"/>
      <c r="H330" s="49">
        <f>+SUM($F$9:F330)-SUM($G$9:G330)</f>
        <v>4133000</v>
      </c>
    </row>
    <row r="331" spans="1:8" ht="28.8" x14ac:dyDescent="0.55000000000000004">
      <c r="A331" s="43">
        <v>44386</v>
      </c>
      <c r="B331" s="43" t="s">
        <v>1699</v>
      </c>
      <c r="C331" s="44" t="s">
        <v>1701</v>
      </c>
      <c r="D331" s="45">
        <v>2</v>
      </c>
      <c r="E331" s="46">
        <v>290000</v>
      </c>
      <c r="F331" s="47">
        <f>+$I$4+(CLIENT[[#This Row],[QUANTITE]]*CLIENT[[#This Row],[PRIX UNITAIRE]])</f>
        <v>580000</v>
      </c>
      <c r="G331" s="48"/>
      <c r="H331" s="49">
        <f>+SUM($F$9:F331)-SUM($G$9:G331)</f>
        <v>4713000</v>
      </c>
    </row>
    <row r="332" spans="1:8" ht="28.8" x14ac:dyDescent="0.55000000000000004">
      <c r="A332" s="43">
        <v>44387</v>
      </c>
      <c r="B332" s="43" t="s">
        <v>1163</v>
      </c>
      <c r="C332" s="44" t="s">
        <v>1702</v>
      </c>
      <c r="D332" s="45">
        <v>2</v>
      </c>
      <c r="E332" s="46">
        <v>280000</v>
      </c>
      <c r="F332" s="47">
        <f>+$I$4+(CLIENT[[#This Row],[QUANTITE]]*CLIENT[[#This Row],[PRIX UNITAIRE]])</f>
        <v>560000</v>
      </c>
      <c r="G332" s="48"/>
      <c r="H332" s="49">
        <f>+SUM($F$9:F332)-SUM($G$9:G332)</f>
        <v>5273000</v>
      </c>
    </row>
    <row r="333" spans="1:8" ht="28.8" x14ac:dyDescent="0.55000000000000004">
      <c r="A333" s="43">
        <v>44394</v>
      </c>
      <c r="B333" s="43" t="s">
        <v>1234</v>
      </c>
      <c r="C333" s="44" t="s">
        <v>83</v>
      </c>
      <c r="D333" s="45">
        <v>1</v>
      </c>
      <c r="E333" s="46">
        <v>15000</v>
      </c>
      <c r="F333" s="47">
        <f>+$I$4+(CLIENT[[#This Row],[QUANTITE]]*CLIENT[[#This Row],[PRIX UNITAIRE]])</f>
        <v>15000</v>
      </c>
      <c r="G333" s="48"/>
      <c r="H333" s="49">
        <f>+SUM($F$9:F333)-SUM($G$9:G333)</f>
        <v>5288000</v>
      </c>
    </row>
    <row r="334" spans="1:8" ht="28.8" x14ac:dyDescent="0.55000000000000004">
      <c r="A334" s="43">
        <v>44394</v>
      </c>
      <c r="B334" s="43" t="s">
        <v>1703</v>
      </c>
      <c r="C334" s="44" t="s">
        <v>1704</v>
      </c>
      <c r="D334" s="45">
        <v>1</v>
      </c>
      <c r="E334" s="46">
        <v>290000</v>
      </c>
      <c r="F334" s="47">
        <f>+$I$4+(CLIENT[[#This Row],[QUANTITE]]*CLIENT[[#This Row],[PRIX UNITAIRE]])</f>
        <v>290000</v>
      </c>
      <c r="G334" s="48"/>
      <c r="H334" s="49">
        <f>+SUM($F$9:F334)-SUM($G$9:G334)</f>
        <v>5578000</v>
      </c>
    </row>
    <row r="335" spans="1:8" ht="28.8" x14ac:dyDescent="0.55000000000000004">
      <c r="A335" s="43">
        <v>44403</v>
      </c>
      <c r="B335" s="43" t="s">
        <v>1640</v>
      </c>
      <c r="C335" s="44" t="s">
        <v>1705</v>
      </c>
      <c r="D335" s="45">
        <v>1</v>
      </c>
      <c r="E335" s="46">
        <v>125000</v>
      </c>
      <c r="F335" s="47">
        <f>+$I$4+(CLIENT[[#This Row],[QUANTITE]]*CLIENT[[#This Row],[PRIX UNITAIRE]])</f>
        <v>125000</v>
      </c>
      <c r="G335" s="48"/>
      <c r="H335" s="49">
        <f>+SUM($F$9:F335)-SUM($G$9:G335)</f>
        <v>5703000</v>
      </c>
    </row>
    <row r="336" spans="1:8" ht="28.8" x14ac:dyDescent="0.55000000000000004">
      <c r="A336" s="43">
        <v>44404</v>
      </c>
      <c r="B336" s="43" t="s">
        <v>1233</v>
      </c>
      <c r="C336" s="44" t="s">
        <v>695</v>
      </c>
      <c r="D336" s="45"/>
      <c r="E336" s="46">
        <v>0</v>
      </c>
      <c r="F336" s="47">
        <f>+$I$4+(CLIENT[[#This Row],[QUANTITE]]*CLIENT[[#This Row],[PRIX UNITAIRE]])</f>
        <v>0</v>
      </c>
      <c r="G336" s="48"/>
      <c r="H336" s="49">
        <f>+SUM($F$9:F336)-SUM($G$9:G336)</f>
        <v>5703000</v>
      </c>
    </row>
    <row r="337" spans="1:8" ht="28.8" x14ac:dyDescent="0.55000000000000004">
      <c r="A337" s="43">
        <v>44404</v>
      </c>
      <c r="B337" s="43" t="s">
        <v>1307</v>
      </c>
      <c r="C337" s="44" t="s">
        <v>1705</v>
      </c>
      <c r="D337" s="45">
        <v>2</v>
      </c>
      <c r="E337" s="46">
        <v>125000</v>
      </c>
      <c r="F337" s="47">
        <f>+$I$4+(CLIENT[[#This Row],[QUANTITE]]*CLIENT[[#This Row],[PRIX UNITAIRE]])</f>
        <v>250000</v>
      </c>
      <c r="G337" s="48"/>
      <c r="H337" s="49">
        <f>+SUM($F$9:F337)-SUM($G$9:G337)</f>
        <v>5953000</v>
      </c>
    </row>
    <row r="338" spans="1:8" ht="28.8" x14ac:dyDescent="0.55000000000000004">
      <c r="A338" s="43">
        <v>44407</v>
      </c>
      <c r="B338" s="43" t="s">
        <v>1302</v>
      </c>
      <c r="C338" s="44" t="s">
        <v>1239</v>
      </c>
      <c r="D338" s="45">
        <v>1</v>
      </c>
      <c r="E338" s="46">
        <v>40000</v>
      </c>
      <c r="F338" s="47">
        <f>+$I$4+(CLIENT[[#This Row],[QUANTITE]]*CLIENT[[#This Row],[PRIX UNITAIRE]])</f>
        <v>40000</v>
      </c>
      <c r="G338" s="48"/>
      <c r="H338" s="49">
        <f>+SUM($F$9:F338)-SUM($G$9:G338)</f>
        <v>5993000</v>
      </c>
    </row>
    <row r="339" spans="1:8" ht="28.8" x14ac:dyDescent="0.55000000000000004">
      <c r="A339" s="43">
        <v>44412</v>
      </c>
      <c r="B339" s="43" t="s">
        <v>1706</v>
      </c>
      <c r="C339" s="44" t="s">
        <v>1707</v>
      </c>
      <c r="D339" s="45">
        <v>2</v>
      </c>
      <c r="E339" s="46">
        <v>290000</v>
      </c>
      <c r="F339" s="47">
        <f>+$I$4+(CLIENT[[#This Row],[QUANTITE]]*CLIENT[[#This Row],[PRIX UNITAIRE]])</f>
        <v>580000</v>
      </c>
      <c r="G339" s="48"/>
      <c r="H339" s="49">
        <f>+SUM($F$9:F339)-SUM($G$9:G339)</f>
        <v>6573000</v>
      </c>
    </row>
    <row r="340" spans="1:8" ht="28.8" x14ac:dyDescent="0.55000000000000004">
      <c r="A340" s="43">
        <v>44412</v>
      </c>
      <c r="B340" s="43" t="s">
        <v>1699</v>
      </c>
      <c r="C340" s="44" t="s">
        <v>1239</v>
      </c>
      <c r="D340" s="45">
        <v>1</v>
      </c>
      <c r="E340" s="46">
        <v>40000</v>
      </c>
      <c r="F340" s="47">
        <f>+$I$4+(CLIENT[[#This Row],[QUANTITE]]*CLIENT[[#This Row],[PRIX UNITAIRE]])</f>
        <v>40000</v>
      </c>
      <c r="G340" s="48"/>
      <c r="H340" s="49">
        <f>+SUM($F$9:F340)-SUM($G$9:G340)</f>
        <v>6613000</v>
      </c>
    </row>
    <row r="341" spans="1:8" ht="28.8" x14ac:dyDescent="0.55000000000000004">
      <c r="A341" s="43">
        <v>44412</v>
      </c>
      <c r="B341" s="43" t="s">
        <v>1708</v>
      </c>
      <c r="C341" s="44" t="s">
        <v>1709</v>
      </c>
      <c r="D341" s="45">
        <v>1</v>
      </c>
      <c r="E341" s="46">
        <v>290000</v>
      </c>
      <c r="F341" s="47">
        <f>+$I$4+(CLIENT[[#This Row],[QUANTITE]]*CLIENT[[#This Row],[PRIX UNITAIRE]])</f>
        <v>290000</v>
      </c>
      <c r="G341" s="48"/>
      <c r="H341" s="49">
        <f>+SUM($F$9:F341)-SUM($G$9:G341)</f>
        <v>6903000</v>
      </c>
    </row>
    <row r="342" spans="1:8" ht="28.8" x14ac:dyDescent="0.55000000000000004">
      <c r="A342" s="43">
        <v>44413</v>
      </c>
      <c r="B342" s="43" t="s">
        <v>1333</v>
      </c>
      <c r="C342" s="44" t="s">
        <v>1710</v>
      </c>
      <c r="D342" s="45">
        <v>2</v>
      </c>
      <c r="E342" s="46">
        <v>290000</v>
      </c>
      <c r="F342" s="47">
        <f>+$I$4+(CLIENT[[#This Row],[QUANTITE]]*CLIENT[[#This Row],[PRIX UNITAIRE]])</f>
        <v>580000</v>
      </c>
      <c r="G342" s="48"/>
      <c r="H342" s="49">
        <f>+SUM($F$9:F342)-SUM($G$9:G342)</f>
        <v>7483000</v>
      </c>
    </row>
    <row r="343" spans="1:8" ht="28.8" x14ac:dyDescent="0.55000000000000004">
      <c r="A343" s="43">
        <v>44418</v>
      </c>
      <c r="B343" s="43" t="s">
        <v>1290</v>
      </c>
      <c r="C343" s="44" t="s">
        <v>1711</v>
      </c>
      <c r="D343" s="45">
        <v>2</v>
      </c>
      <c r="E343" s="46">
        <v>290000</v>
      </c>
      <c r="F343" s="47">
        <f>+$I$4+(CLIENT[[#This Row],[QUANTITE]]*CLIENT[[#This Row],[PRIX UNITAIRE]])</f>
        <v>580000</v>
      </c>
      <c r="G343" s="48"/>
      <c r="H343" s="49">
        <f>+SUM($F$9:F343)-SUM($G$9:G343)</f>
        <v>8063000</v>
      </c>
    </row>
    <row r="344" spans="1:8" ht="28.8" x14ac:dyDescent="0.55000000000000004">
      <c r="A344" s="43">
        <v>44422</v>
      </c>
      <c r="B344" s="43" t="s">
        <v>1712</v>
      </c>
      <c r="C344" s="44" t="s">
        <v>1713</v>
      </c>
      <c r="D344" s="45">
        <v>1</v>
      </c>
      <c r="E344" s="46">
        <v>250000</v>
      </c>
      <c r="F344" s="47">
        <f>+$I$4+(CLIENT[[#This Row],[QUANTITE]]*CLIENT[[#This Row],[PRIX UNITAIRE]])</f>
        <v>250000</v>
      </c>
      <c r="G344" s="48"/>
      <c r="H344" s="49">
        <f>+SUM($F$9:F344)-SUM($G$9:G344)</f>
        <v>8313000</v>
      </c>
    </row>
    <row r="345" spans="1:8" ht="28.8" x14ac:dyDescent="0.55000000000000004">
      <c r="A345" s="43">
        <v>44433</v>
      </c>
      <c r="B345" s="43" t="s">
        <v>1699</v>
      </c>
      <c r="C345" s="44" t="s">
        <v>1503</v>
      </c>
      <c r="D345" s="45">
        <v>2</v>
      </c>
      <c r="E345" s="46">
        <v>125000</v>
      </c>
      <c r="F345" s="47">
        <f>+$I$4+(CLIENT[[#This Row],[QUANTITE]]*CLIENT[[#This Row],[PRIX UNITAIRE]])</f>
        <v>250000</v>
      </c>
      <c r="G345" s="48"/>
      <c r="H345" s="49">
        <f>+SUM($F$9:F345)-SUM($G$9:G345)</f>
        <v>8563000</v>
      </c>
    </row>
    <row r="346" spans="1:8" ht="28.8" x14ac:dyDescent="0.55000000000000004">
      <c r="A346" s="43">
        <v>44436</v>
      </c>
      <c r="B346" s="43" t="s">
        <v>1238</v>
      </c>
      <c r="C346" s="44" t="s">
        <v>1714</v>
      </c>
      <c r="D346" s="45">
        <v>2</v>
      </c>
      <c r="E346" s="46">
        <v>250000</v>
      </c>
      <c r="F346" s="47">
        <f>+$I$4+(CLIENT[[#This Row],[QUANTITE]]*CLIENT[[#This Row],[PRIX UNITAIRE]])</f>
        <v>500000</v>
      </c>
      <c r="G346" s="48"/>
      <c r="H346" s="49">
        <f>+SUM($F$9:F346)-SUM($G$9:G346)</f>
        <v>9063000</v>
      </c>
    </row>
    <row r="347" spans="1:8" ht="28.8" x14ac:dyDescent="0.55000000000000004">
      <c r="A347" s="43">
        <v>44440</v>
      </c>
      <c r="B347" s="43" t="s">
        <v>1715</v>
      </c>
      <c r="C347" s="44" t="s">
        <v>1716</v>
      </c>
      <c r="D347" s="45">
        <v>1</v>
      </c>
      <c r="E347" s="46">
        <v>290000</v>
      </c>
      <c r="F347" s="47">
        <f>+$I$4+(CLIENT[[#This Row],[QUANTITE]]*CLIENT[[#This Row],[PRIX UNITAIRE]])</f>
        <v>290000</v>
      </c>
      <c r="G347" s="48"/>
      <c r="H347" s="49">
        <f>+SUM($F$9:F347)-SUM($G$9:G347)</f>
        <v>9353000</v>
      </c>
    </row>
    <row r="348" spans="1:8" ht="28.8" x14ac:dyDescent="0.55000000000000004">
      <c r="A348" s="43">
        <v>44440</v>
      </c>
      <c r="B348" s="43" t="s">
        <v>1290</v>
      </c>
      <c r="C348" s="44" t="s">
        <v>1239</v>
      </c>
      <c r="D348" s="45">
        <v>1</v>
      </c>
      <c r="E348" s="46">
        <v>40000</v>
      </c>
      <c r="F348" s="47">
        <f>+$I$4+(CLIENT[[#This Row],[QUANTITE]]*CLIENT[[#This Row],[PRIX UNITAIRE]])</f>
        <v>40000</v>
      </c>
      <c r="G348" s="48"/>
      <c r="H348" s="49">
        <f>+SUM($F$9:F348)-SUM($G$9:G348)</f>
        <v>9393000</v>
      </c>
    </row>
    <row r="349" spans="1:8" ht="28.8" x14ac:dyDescent="0.55000000000000004">
      <c r="A349" s="43">
        <v>44442</v>
      </c>
      <c r="B349" s="43" t="s">
        <v>1717</v>
      </c>
      <c r="C349" s="44" t="s">
        <v>83</v>
      </c>
      <c r="D349" s="45">
        <v>2</v>
      </c>
      <c r="E349" s="46">
        <v>15000</v>
      </c>
      <c r="F349" s="47">
        <f>+$I$4+(CLIENT[[#This Row],[QUANTITE]]*CLIENT[[#This Row],[PRIX UNITAIRE]])</f>
        <v>30000</v>
      </c>
      <c r="G349" s="48"/>
      <c r="H349" s="49">
        <f>+SUM($F$9:F349)-SUM($G$9:G349)</f>
        <v>9423000</v>
      </c>
    </row>
    <row r="350" spans="1:8" ht="28.8" x14ac:dyDescent="0.55000000000000004">
      <c r="A350" s="43">
        <v>44442</v>
      </c>
      <c r="B350" s="43" t="s">
        <v>1718</v>
      </c>
      <c r="C350" s="44" t="s">
        <v>1719</v>
      </c>
      <c r="D350" s="45">
        <v>1</v>
      </c>
      <c r="E350" s="46">
        <v>250000</v>
      </c>
      <c r="F350" s="47">
        <f>+$I$4+(CLIENT[[#This Row],[QUANTITE]]*CLIENT[[#This Row],[PRIX UNITAIRE]])</f>
        <v>250000</v>
      </c>
      <c r="G350" s="48"/>
      <c r="H350" s="49">
        <f>+SUM($F$9:F350)-SUM($G$9:G350)</f>
        <v>9673000</v>
      </c>
    </row>
    <row r="351" spans="1:8" ht="28.8" x14ac:dyDescent="0.55000000000000004">
      <c r="A351" s="43">
        <v>44442</v>
      </c>
      <c r="B351" s="43" t="s">
        <v>1327</v>
      </c>
      <c r="C351" s="44" t="s">
        <v>83</v>
      </c>
      <c r="D351" s="45">
        <v>2</v>
      </c>
      <c r="E351" s="46">
        <v>15000</v>
      </c>
      <c r="F351" s="47">
        <f>+$I$4+(CLIENT[[#This Row],[QUANTITE]]*CLIENT[[#This Row],[PRIX UNITAIRE]])</f>
        <v>30000</v>
      </c>
      <c r="G351" s="48"/>
      <c r="H351" s="49">
        <f>+SUM($F$9:F351)-SUM($G$9:G351)</f>
        <v>9703000</v>
      </c>
    </row>
    <row r="352" spans="1:8" ht="28.8" x14ac:dyDescent="0.55000000000000004">
      <c r="A352" s="43">
        <v>44446</v>
      </c>
      <c r="B352" s="43" t="s">
        <v>1720</v>
      </c>
      <c r="C352" s="44" t="s">
        <v>1721</v>
      </c>
      <c r="D352" s="45">
        <v>1</v>
      </c>
      <c r="E352" s="46">
        <v>400000</v>
      </c>
      <c r="F352" s="47">
        <f>+$I$4+(CLIENT[[#This Row],[QUANTITE]]*CLIENT[[#This Row],[PRIX UNITAIRE]])</f>
        <v>400000</v>
      </c>
      <c r="G352" s="48"/>
      <c r="H352" s="49">
        <f>+SUM($F$9:F352)-SUM($G$9:G352)</f>
        <v>10103000</v>
      </c>
    </row>
    <row r="353" spans="1:8" ht="28.8" x14ac:dyDescent="0.55000000000000004">
      <c r="A353" s="43">
        <v>44448</v>
      </c>
      <c r="B353" s="43" t="s">
        <v>1447</v>
      </c>
      <c r="C353" s="44" t="s">
        <v>1722</v>
      </c>
      <c r="D353" s="45">
        <v>1</v>
      </c>
      <c r="E353" s="46">
        <v>290000</v>
      </c>
      <c r="F353" s="47">
        <f>+$I$4+(CLIENT[[#This Row],[QUANTITE]]*CLIENT[[#This Row],[PRIX UNITAIRE]])</f>
        <v>290000</v>
      </c>
      <c r="G353" s="48"/>
      <c r="H353" s="49">
        <f>+SUM($F$9:F353)-SUM($G$9:G353)</f>
        <v>10393000</v>
      </c>
    </row>
    <row r="354" spans="1:8" ht="28.8" x14ac:dyDescent="0.55000000000000004">
      <c r="A354" s="43">
        <v>44463</v>
      </c>
      <c r="B354" s="43" t="s">
        <v>1723</v>
      </c>
      <c r="C354" s="44" t="s">
        <v>1724</v>
      </c>
      <c r="D354" s="45">
        <v>1</v>
      </c>
      <c r="E354" s="46">
        <v>180000</v>
      </c>
      <c r="F354" s="47">
        <f>+$I$4+(CLIENT[[#This Row],[QUANTITE]]*CLIENT[[#This Row],[PRIX UNITAIRE]])</f>
        <v>180000</v>
      </c>
      <c r="G354" s="48"/>
      <c r="H354" s="49">
        <f>+SUM($F$9:F354)-SUM($G$9:G354)</f>
        <v>10573000</v>
      </c>
    </row>
    <row r="355" spans="1:8" ht="28.8" x14ac:dyDescent="0.55000000000000004">
      <c r="A355" s="43">
        <v>44467</v>
      </c>
      <c r="B355" s="43" t="s">
        <v>1725</v>
      </c>
      <c r="C355" s="44" t="s">
        <v>1726</v>
      </c>
      <c r="D355" s="45">
        <v>1</v>
      </c>
      <c r="E355" s="46">
        <v>180000</v>
      </c>
      <c r="F355" s="47">
        <f>+$I$4+(CLIENT[[#This Row],[QUANTITE]]*CLIENT[[#This Row],[PRIX UNITAIRE]])</f>
        <v>180000</v>
      </c>
      <c r="G355" s="48"/>
      <c r="H355" s="49">
        <f>+SUM($F$9:F355)-SUM($G$9:G355)</f>
        <v>10753000</v>
      </c>
    </row>
    <row r="356" spans="1:8" ht="28.8" x14ac:dyDescent="0.55000000000000004">
      <c r="A356" s="43">
        <v>44470</v>
      </c>
      <c r="B356" s="43" t="s">
        <v>1727</v>
      </c>
      <c r="C356" s="44" t="s">
        <v>1728</v>
      </c>
      <c r="D356" s="45">
        <v>1</v>
      </c>
      <c r="E356" s="46">
        <v>250000</v>
      </c>
      <c r="F356" s="47">
        <f>+$I$4+(CLIENT[[#This Row],[QUANTITE]]*CLIENT[[#This Row],[PRIX UNITAIRE]])</f>
        <v>250000</v>
      </c>
      <c r="G356" s="48"/>
      <c r="H356" s="49">
        <f>+SUM($F$9:F356)-SUM($G$9:G356)</f>
        <v>11003000</v>
      </c>
    </row>
    <row r="357" spans="1:8" ht="28.8" x14ac:dyDescent="0.55000000000000004">
      <c r="A357" s="43">
        <v>44474</v>
      </c>
      <c r="B357" s="43" t="s">
        <v>1729</v>
      </c>
      <c r="C357" s="44" t="s">
        <v>1730</v>
      </c>
      <c r="D357" s="45">
        <v>1</v>
      </c>
      <c r="E357" s="46">
        <v>180000</v>
      </c>
      <c r="F357" s="47">
        <f>+$I$4+(CLIENT[[#This Row],[QUANTITE]]*CLIENT[[#This Row],[PRIX UNITAIRE]])</f>
        <v>180000</v>
      </c>
      <c r="G357" s="48"/>
      <c r="H357" s="49">
        <f>+SUM($F$9:F357)-SUM($G$9:G357)</f>
        <v>11183000</v>
      </c>
    </row>
    <row r="358" spans="1:8" ht="28.8" x14ac:dyDescent="0.55000000000000004">
      <c r="A358" s="43">
        <v>44474</v>
      </c>
      <c r="B358" s="43" t="s">
        <v>1727</v>
      </c>
      <c r="C358" s="44" t="s">
        <v>1731</v>
      </c>
      <c r="D358" s="45">
        <v>1</v>
      </c>
      <c r="E358" s="46">
        <v>250000</v>
      </c>
      <c r="F358" s="47">
        <f>+$I$4+(CLIENT[[#This Row],[QUANTITE]]*CLIENT[[#This Row],[PRIX UNITAIRE]])</f>
        <v>250000</v>
      </c>
      <c r="G358" s="48"/>
      <c r="H358" s="49">
        <f>+SUM($F$9:F358)-SUM($G$9:G358)</f>
        <v>11433000</v>
      </c>
    </row>
    <row r="359" spans="1:8" ht="28.8" x14ac:dyDescent="0.55000000000000004">
      <c r="A359" s="43">
        <v>44476</v>
      </c>
      <c r="B359" s="43" t="s">
        <v>1330</v>
      </c>
      <c r="C359" s="44" t="s">
        <v>1503</v>
      </c>
      <c r="D359" s="45">
        <v>2</v>
      </c>
      <c r="E359" s="46">
        <v>125000</v>
      </c>
      <c r="F359" s="47">
        <f>+$I$4+(CLIENT[[#This Row],[QUANTITE]]*CLIENT[[#This Row],[PRIX UNITAIRE]])</f>
        <v>250000</v>
      </c>
      <c r="G359" s="48"/>
      <c r="H359" s="49">
        <f>+SUM($F$9:F359)-SUM($G$9:G359)</f>
        <v>11683000</v>
      </c>
    </row>
    <row r="360" spans="1:8" ht="28.8" x14ac:dyDescent="0.55000000000000004">
      <c r="A360" s="43">
        <v>44477</v>
      </c>
      <c r="B360" s="43" t="s">
        <v>1732</v>
      </c>
      <c r="C360" s="44" t="s">
        <v>1733</v>
      </c>
      <c r="D360" s="45">
        <v>1</v>
      </c>
      <c r="E360" s="46">
        <v>180000</v>
      </c>
      <c r="F360" s="47">
        <f>+$I$4+(CLIENT[[#This Row],[QUANTITE]]*CLIENT[[#This Row],[PRIX UNITAIRE]])</f>
        <v>180000</v>
      </c>
      <c r="G360" s="48"/>
      <c r="H360" s="49">
        <f>+SUM($F$9:F360)-SUM($G$9:G360)</f>
        <v>11863000</v>
      </c>
    </row>
    <row r="361" spans="1:8" ht="28.8" x14ac:dyDescent="0.55000000000000004">
      <c r="A361" s="43">
        <v>44477</v>
      </c>
      <c r="B361" s="43" t="s">
        <v>1734</v>
      </c>
      <c r="C361" s="44" t="s">
        <v>1735</v>
      </c>
      <c r="D361" s="45">
        <v>1</v>
      </c>
      <c r="E361" s="46">
        <v>180000</v>
      </c>
      <c r="F361" s="47">
        <f>+$I$4+(CLIENT[[#This Row],[QUANTITE]]*CLIENT[[#This Row],[PRIX UNITAIRE]])</f>
        <v>180000</v>
      </c>
      <c r="G361" s="48"/>
      <c r="H361" s="49">
        <f>+SUM($F$9:F361)-SUM($G$9:G361)</f>
        <v>12043000</v>
      </c>
    </row>
    <row r="362" spans="1:8" ht="28.8" x14ac:dyDescent="0.55000000000000004">
      <c r="A362" s="43">
        <v>44477</v>
      </c>
      <c r="B362" s="43" t="s">
        <v>1474</v>
      </c>
      <c r="C362" s="44" t="s">
        <v>1736</v>
      </c>
      <c r="D362" s="45">
        <v>1</v>
      </c>
      <c r="E362" s="46">
        <v>150000</v>
      </c>
      <c r="F362" s="47">
        <f>+$I$4+(CLIENT[[#This Row],[QUANTITE]]*CLIENT[[#This Row],[PRIX UNITAIRE]])</f>
        <v>150000</v>
      </c>
      <c r="G362" s="48"/>
      <c r="H362" s="49">
        <f>+SUM($F$9:F362)-SUM($G$9:G362)</f>
        <v>12193000</v>
      </c>
    </row>
    <row r="363" spans="1:8" ht="28.8" x14ac:dyDescent="0.55000000000000004">
      <c r="A363" s="43">
        <v>44477</v>
      </c>
      <c r="B363" s="43" t="s">
        <v>1737</v>
      </c>
      <c r="C363" s="44" t="s">
        <v>1738</v>
      </c>
      <c r="D363" s="45">
        <v>1</v>
      </c>
      <c r="E363" s="46">
        <v>180000</v>
      </c>
      <c r="F363" s="47">
        <f>+$I$4+(CLIENT[[#This Row],[QUANTITE]]*CLIENT[[#This Row],[PRIX UNITAIRE]])</f>
        <v>180000</v>
      </c>
      <c r="G363" s="48"/>
      <c r="H363" s="49">
        <f>+SUM($F$9:F363)-SUM($G$9:G363)</f>
        <v>12373000</v>
      </c>
    </row>
    <row r="364" spans="1:8" ht="28.8" x14ac:dyDescent="0.55000000000000004">
      <c r="A364" s="43">
        <v>44498</v>
      </c>
      <c r="B364" s="43" t="s">
        <v>1424</v>
      </c>
      <c r="C364" s="44" t="s">
        <v>1739</v>
      </c>
      <c r="D364" s="45">
        <v>1</v>
      </c>
      <c r="E364" s="46">
        <v>250000</v>
      </c>
      <c r="F364" s="47">
        <f>+$I$4+(CLIENT[[#This Row],[QUANTITE]]*CLIENT[[#This Row],[PRIX UNITAIRE]])</f>
        <v>250000</v>
      </c>
      <c r="G364" s="48"/>
      <c r="H364" s="49">
        <f>+SUM($F$9:F364)-SUM($G$9:G364)</f>
        <v>12623000</v>
      </c>
    </row>
    <row r="365" spans="1:8" ht="28.8" x14ac:dyDescent="0.55000000000000004">
      <c r="A365" s="43">
        <v>44499</v>
      </c>
      <c r="B365" s="43" t="s">
        <v>1461</v>
      </c>
      <c r="C365" s="44" t="s">
        <v>1503</v>
      </c>
      <c r="D365" s="45">
        <v>2</v>
      </c>
      <c r="E365" s="46">
        <v>125000</v>
      </c>
      <c r="F365" s="47">
        <f>+$I$4+(CLIENT[[#This Row],[QUANTITE]]*CLIENT[[#This Row],[PRIX UNITAIRE]])</f>
        <v>250000</v>
      </c>
      <c r="G365" s="48"/>
      <c r="H365" s="49">
        <f>+SUM($F$9:F365)-SUM($G$9:G365)</f>
        <v>12873000</v>
      </c>
    </row>
    <row r="366" spans="1:8" ht="28.8" x14ac:dyDescent="0.55000000000000004">
      <c r="A366" s="43">
        <v>44499</v>
      </c>
      <c r="B366" s="43" t="s">
        <v>1424</v>
      </c>
      <c r="C366" s="44" t="s">
        <v>1740</v>
      </c>
      <c r="D366" s="45">
        <v>2</v>
      </c>
      <c r="E366" s="46">
        <v>125000</v>
      </c>
      <c r="F366" s="47">
        <f>+$I$4+(CLIENT[[#This Row],[QUANTITE]]*CLIENT[[#This Row],[PRIX UNITAIRE]])</f>
        <v>250000</v>
      </c>
      <c r="G366" s="48"/>
      <c r="H366" s="49">
        <f>+SUM($F$9:F366)-SUM($G$9:G366)</f>
        <v>13123000</v>
      </c>
    </row>
    <row r="367" spans="1:8" ht="28.8" x14ac:dyDescent="0.55000000000000004">
      <c r="A367" s="43">
        <v>44501</v>
      </c>
      <c r="B367" s="43" t="s">
        <v>1699</v>
      </c>
      <c r="C367" s="44" t="s">
        <v>83</v>
      </c>
      <c r="D367" s="45">
        <v>2</v>
      </c>
      <c r="E367" s="46">
        <v>15000</v>
      </c>
      <c r="F367" s="47">
        <f>+$I$4+(CLIENT[[#This Row],[QUANTITE]]*CLIENT[[#This Row],[PRIX UNITAIRE]])</f>
        <v>30000</v>
      </c>
      <c r="G367" s="48"/>
      <c r="H367" s="49">
        <f>+SUM($F$9:F367)-SUM($G$9:G367)</f>
        <v>13153000</v>
      </c>
    </row>
    <row r="368" spans="1:8" ht="28.8" x14ac:dyDescent="0.55000000000000004">
      <c r="A368" s="43">
        <v>44501</v>
      </c>
      <c r="B368" s="43" t="s">
        <v>1699</v>
      </c>
      <c r="C368" s="44" t="s">
        <v>1741</v>
      </c>
      <c r="D368" s="45">
        <v>1</v>
      </c>
      <c r="E368" s="46">
        <v>10000</v>
      </c>
      <c r="F368" s="47">
        <f>+$I$4+(CLIENT[[#This Row],[QUANTITE]]*CLIENT[[#This Row],[PRIX UNITAIRE]])</f>
        <v>10000</v>
      </c>
      <c r="G368" s="48"/>
      <c r="H368" s="49">
        <f>+SUM($F$9:F368)-SUM($G$9:G368)</f>
        <v>13163000</v>
      </c>
    </row>
    <row r="369" spans="1:8" ht="28.8" x14ac:dyDescent="0.55000000000000004">
      <c r="A369" s="43">
        <v>44504</v>
      </c>
      <c r="B369" s="43" t="s">
        <v>1640</v>
      </c>
      <c r="C369" s="44" t="s">
        <v>1705</v>
      </c>
      <c r="D369" s="45">
        <v>1</v>
      </c>
      <c r="E369" s="46">
        <v>125000</v>
      </c>
      <c r="F369" s="47">
        <f>+$I$4+(CLIENT[[#This Row],[QUANTITE]]*CLIENT[[#This Row],[PRIX UNITAIRE]])</f>
        <v>125000</v>
      </c>
      <c r="G369" s="48"/>
      <c r="H369" s="49">
        <f>+SUM($F$9:F369)-SUM($G$9:G369)</f>
        <v>13288000</v>
      </c>
    </row>
    <row r="370" spans="1:8" ht="28.8" x14ac:dyDescent="0.55000000000000004">
      <c r="A370" s="43">
        <v>44504</v>
      </c>
      <c r="B370" s="43"/>
      <c r="C370" s="44" t="s">
        <v>1742</v>
      </c>
      <c r="D370" s="45">
        <v>1</v>
      </c>
      <c r="E370" s="46">
        <v>0</v>
      </c>
      <c r="F370" s="47">
        <f>+$I$4+(CLIENT[[#This Row],[QUANTITE]]*CLIENT[[#This Row],[PRIX UNITAIRE]])</f>
        <v>0</v>
      </c>
      <c r="G370" s="48">
        <v>11000000</v>
      </c>
      <c r="H370" s="49">
        <f>+SUM($F$9:F370)-SUM($G$9:G370)</f>
        <v>2288000</v>
      </c>
    </row>
    <row r="371" spans="1:8" ht="28.8" x14ac:dyDescent="0.55000000000000004">
      <c r="A371" s="43">
        <v>44505</v>
      </c>
      <c r="B371" s="43" t="s">
        <v>1333</v>
      </c>
      <c r="C371" s="44" t="s">
        <v>1743</v>
      </c>
      <c r="D371" s="45">
        <v>1</v>
      </c>
      <c r="E371" s="46">
        <v>145000</v>
      </c>
      <c r="F371" s="47">
        <f>+$I$4+(CLIENT[[#This Row],[QUANTITE]]*CLIENT[[#This Row],[PRIX UNITAIRE]])</f>
        <v>145000</v>
      </c>
      <c r="G371" s="48"/>
      <c r="H371" s="49">
        <f>+SUM($F$9:F371)-SUM($G$9:G371)</f>
        <v>2433000</v>
      </c>
    </row>
    <row r="372" spans="1:8" ht="28.8" x14ac:dyDescent="0.55000000000000004">
      <c r="A372" s="43">
        <v>44505</v>
      </c>
      <c r="B372" s="43" t="s">
        <v>1302</v>
      </c>
      <c r="C372" s="44" t="s">
        <v>1744</v>
      </c>
      <c r="D372" s="45">
        <v>1</v>
      </c>
      <c r="E372" s="46">
        <v>280000</v>
      </c>
      <c r="F372" s="47">
        <f>+$I$4+(CLIENT[[#This Row],[QUANTITE]]*CLIENT[[#This Row],[PRIX UNITAIRE]])</f>
        <v>280000</v>
      </c>
      <c r="G372" s="48"/>
      <c r="H372" s="49">
        <f>+SUM($F$9:F372)-SUM($G$9:G372)</f>
        <v>2713000</v>
      </c>
    </row>
    <row r="373" spans="1:8" ht="28.8" x14ac:dyDescent="0.55000000000000004">
      <c r="A373" s="43">
        <v>44505</v>
      </c>
      <c r="B373" s="43" t="s">
        <v>1302</v>
      </c>
      <c r="C373" s="44" t="s">
        <v>1745</v>
      </c>
      <c r="D373" s="45">
        <v>1</v>
      </c>
      <c r="E373" s="46">
        <v>145000</v>
      </c>
      <c r="F373" s="47">
        <f>+$I$4+(CLIENT[[#This Row],[QUANTITE]]*CLIENT[[#This Row],[PRIX UNITAIRE]])</f>
        <v>145000</v>
      </c>
      <c r="G373" s="48"/>
      <c r="H373" s="49">
        <f>+SUM($F$9:F373)-SUM($G$9:G373)</f>
        <v>2858000</v>
      </c>
    </row>
    <row r="374" spans="1:8" ht="28.8" x14ac:dyDescent="0.55000000000000004">
      <c r="A374" s="43">
        <v>44506</v>
      </c>
      <c r="B374" s="43" t="s">
        <v>1459</v>
      </c>
      <c r="C374" s="44" t="s">
        <v>1746</v>
      </c>
      <c r="D374" s="45">
        <v>1</v>
      </c>
      <c r="E374" s="46">
        <v>280000</v>
      </c>
      <c r="F374" s="47">
        <f>+$I$4+(CLIENT[[#This Row],[QUANTITE]]*CLIENT[[#This Row],[PRIX UNITAIRE]])</f>
        <v>280000</v>
      </c>
      <c r="G374" s="48"/>
      <c r="H374" s="49">
        <f>+SUM($F$9:F374)-SUM($G$9:G374)</f>
        <v>3138000</v>
      </c>
    </row>
    <row r="375" spans="1:8" ht="28.8" x14ac:dyDescent="0.55000000000000004">
      <c r="A375" s="43">
        <v>44506</v>
      </c>
      <c r="B375" s="43" t="s">
        <v>1725</v>
      </c>
      <c r="C375" s="44" t="s">
        <v>1747</v>
      </c>
      <c r="D375" s="45">
        <v>1</v>
      </c>
      <c r="E375" s="46">
        <v>280000</v>
      </c>
      <c r="F375" s="47">
        <f>+$I$4+(CLIENT[[#This Row],[QUANTITE]]*CLIENT[[#This Row],[PRIX UNITAIRE]])</f>
        <v>280000</v>
      </c>
      <c r="G375" s="48"/>
      <c r="H375" s="49">
        <f>+SUM($F$9:F375)-SUM($G$9:G375)</f>
        <v>3418000</v>
      </c>
    </row>
    <row r="376" spans="1:8" ht="28.8" x14ac:dyDescent="0.55000000000000004">
      <c r="A376" s="43">
        <v>44508</v>
      </c>
      <c r="B376" s="43" t="s">
        <v>1682</v>
      </c>
      <c r="C376" s="44" t="s">
        <v>1748</v>
      </c>
      <c r="D376" s="45">
        <v>1</v>
      </c>
      <c r="E376" s="46">
        <v>280000</v>
      </c>
      <c r="F376" s="47">
        <f>+$I$4+(CLIENT[[#This Row],[QUANTITE]]*CLIENT[[#This Row],[PRIX UNITAIRE]])</f>
        <v>280000</v>
      </c>
      <c r="G376" s="48"/>
      <c r="H376" s="49">
        <f>+SUM($F$9:F376)-SUM($G$9:G376)</f>
        <v>3698000</v>
      </c>
    </row>
    <row r="377" spans="1:8" ht="28.8" x14ac:dyDescent="0.55000000000000004">
      <c r="A377" s="43">
        <v>44509</v>
      </c>
      <c r="B377" s="43" t="s">
        <v>1682</v>
      </c>
      <c r="C377" s="44" t="s">
        <v>1749</v>
      </c>
      <c r="D377" s="45">
        <v>1</v>
      </c>
      <c r="E377" s="46">
        <v>180000</v>
      </c>
      <c r="F377" s="47">
        <f>+$I$4+(CLIENT[[#This Row],[QUANTITE]]*CLIENT[[#This Row],[PRIX UNITAIRE]])</f>
        <v>180000</v>
      </c>
      <c r="G377" s="48"/>
      <c r="H377" s="49">
        <f>+SUM($F$9:F377)-SUM($G$9:G377)</f>
        <v>3878000</v>
      </c>
    </row>
    <row r="378" spans="1:8" ht="28.8" x14ac:dyDescent="0.55000000000000004">
      <c r="A378" s="43">
        <v>44509</v>
      </c>
      <c r="B378" s="43" t="s">
        <v>1706</v>
      </c>
      <c r="C378" s="44" t="s">
        <v>1750</v>
      </c>
      <c r="D378" s="45">
        <v>1</v>
      </c>
      <c r="E378" s="46">
        <v>180000</v>
      </c>
      <c r="F378" s="47">
        <f>+$I$4+(CLIENT[[#This Row],[QUANTITE]]*CLIENT[[#This Row],[PRIX UNITAIRE]])</f>
        <v>180000</v>
      </c>
      <c r="G378" s="48"/>
      <c r="H378" s="49">
        <f>+SUM($F$9:F378)-SUM($G$9:G378)</f>
        <v>4058000</v>
      </c>
    </row>
    <row r="379" spans="1:8" ht="28.8" x14ac:dyDescent="0.55000000000000004">
      <c r="A379" s="43">
        <v>44510</v>
      </c>
      <c r="B379" s="43" t="s">
        <v>1692</v>
      </c>
      <c r="C379" s="44" t="s">
        <v>1751</v>
      </c>
      <c r="D379" s="45">
        <v>2</v>
      </c>
      <c r="E379" s="46">
        <v>180000</v>
      </c>
      <c r="F379" s="47">
        <f>+$I$4+(CLIENT[[#This Row],[QUANTITE]]*CLIENT[[#This Row],[PRIX UNITAIRE]])</f>
        <v>360000</v>
      </c>
      <c r="G379" s="48"/>
      <c r="H379" s="49">
        <f>+SUM($F$9:F379)-SUM($G$9:G379)</f>
        <v>4418000</v>
      </c>
    </row>
    <row r="380" spans="1:8" ht="28.8" x14ac:dyDescent="0.55000000000000004">
      <c r="A380" s="43">
        <v>44511</v>
      </c>
      <c r="B380" s="43" t="s">
        <v>1369</v>
      </c>
      <c r="C380" s="44" t="s">
        <v>1752</v>
      </c>
      <c r="D380" s="45">
        <v>1</v>
      </c>
      <c r="E380" s="46">
        <v>145000</v>
      </c>
      <c r="F380" s="47">
        <f>+$I$4+(CLIENT[[#This Row],[QUANTITE]]*CLIENT[[#This Row],[PRIX UNITAIRE]])</f>
        <v>145000</v>
      </c>
      <c r="G380" s="48"/>
      <c r="H380" s="49">
        <f>+SUM($F$9:F380)-SUM($G$9:G380)</f>
        <v>4563000</v>
      </c>
    </row>
    <row r="381" spans="1:8" ht="28.8" x14ac:dyDescent="0.55000000000000004">
      <c r="A381" s="43">
        <v>44512</v>
      </c>
      <c r="B381" s="43" t="s">
        <v>1640</v>
      </c>
      <c r="C381" s="44" t="s">
        <v>1753</v>
      </c>
      <c r="D381" s="45">
        <v>1</v>
      </c>
      <c r="E381" s="46">
        <v>145000</v>
      </c>
      <c r="F381" s="47">
        <f>+$I$4+(CLIENT[[#This Row],[QUANTITE]]*CLIENT[[#This Row],[PRIX UNITAIRE]])</f>
        <v>145000</v>
      </c>
      <c r="G381" s="48"/>
      <c r="H381" s="49">
        <f>+SUM($F$9:F381)-SUM($G$9:G381)</f>
        <v>4708000</v>
      </c>
    </row>
    <row r="382" spans="1:8" ht="28.8" x14ac:dyDescent="0.55000000000000004">
      <c r="A382" s="43">
        <v>44512</v>
      </c>
      <c r="B382" s="43" t="s">
        <v>1640</v>
      </c>
      <c r="C382" s="44" t="s">
        <v>83</v>
      </c>
      <c r="D382" s="45">
        <v>2</v>
      </c>
      <c r="E382" s="46">
        <v>15000</v>
      </c>
      <c r="F382" s="47">
        <f>+$I$4+(CLIENT[[#This Row],[QUANTITE]]*CLIENT[[#This Row],[PRIX UNITAIRE]])</f>
        <v>30000</v>
      </c>
      <c r="G382" s="48"/>
      <c r="H382" s="49">
        <f>+SUM($F$9:F382)-SUM($G$9:G382)</f>
        <v>4738000</v>
      </c>
    </row>
    <row r="383" spans="1:8" ht="28.8" x14ac:dyDescent="0.55000000000000004">
      <c r="A383" s="43">
        <v>44515</v>
      </c>
      <c r="B383" s="43" t="s">
        <v>1651</v>
      </c>
      <c r="C383" s="44" t="s">
        <v>1754</v>
      </c>
      <c r="D383" s="45">
        <v>1</v>
      </c>
      <c r="E383" s="46">
        <v>180000</v>
      </c>
      <c r="F383" s="47">
        <f>+$I$4+(CLIENT[[#This Row],[QUANTITE]]*CLIENT[[#This Row],[PRIX UNITAIRE]])</f>
        <v>180000</v>
      </c>
      <c r="G383" s="48"/>
      <c r="H383" s="49">
        <f>+SUM($F$9:F383)-SUM($G$9:G383)</f>
        <v>4918000</v>
      </c>
    </row>
    <row r="384" spans="1:8" ht="28.8" x14ac:dyDescent="0.55000000000000004">
      <c r="A384" s="43">
        <v>44515</v>
      </c>
      <c r="B384" s="43" t="s">
        <v>1651</v>
      </c>
      <c r="C384" s="44" t="s">
        <v>1755</v>
      </c>
      <c r="D384" s="45">
        <v>1</v>
      </c>
      <c r="E384" s="46">
        <v>145000</v>
      </c>
      <c r="F384" s="47">
        <f>+$I$4+(CLIENT[[#This Row],[QUANTITE]]*CLIENT[[#This Row],[PRIX UNITAIRE]])</f>
        <v>145000</v>
      </c>
      <c r="G384" s="48"/>
      <c r="H384" s="49">
        <f>+SUM($F$9:F384)-SUM($G$9:G384)</f>
        <v>5063000</v>
      </c>
    </row>
    <row r="385" spans="1:8" ht="28.8" x14ac:dyDescent="0.55000000000000004">
      <c r="A385" s="43">
        <v>44515</v>
      </c>
      <c r="B385" s="43" t="s">
        <v>1638</v>
      </c>
      <c r="C385" s="44" t="s">
        <v>1756</v>
      </c>
      <c r="D385" s="45">
        <v>1</v>
      </c>
      <c r="E385" s="46">
        <v>180000</v>
      </c>
      <c r="F385" s="47">
        <f>+$I$4+(CLIENT[[#This Row],[QUANTITE]]*CLIENT[[#This Row],[PRIX UNITAIRE]])</f>
        <v>180000</v>
      </c>
      <c r="G385" s="48"/>
      <c r="H385" s="49">
        <f>+SUM($F$9:F385)-SUM($G$9:G385)</f>
        <v>5243000</v>
      </c>
    </row>
    <row r="386" spans="1:8" ht="28.8" x14ac:dyDescent="0.55000000000000004">
      <c r="A386" s="43">
        <v>44515</v>
      </c>
      <c r="B386" s="43" t="s">
        <v>1233</v>
      </c>
      <c r="C386" s="44" t="s">
        <v>1757</v>
      </c>
      <c r="D386" s="45">
        <v>1</v>
      </c>
      <c r="E386" s="46">
        <v>180000</v>
      </c>
      <c r="F386" s="47">
        <f>+$I$4+(CLIENT[[#This Row],[QUANTITE]]*CLIENT[[#This Row],[PRIX UNITAIRE]])</f>
        <v>180000</v>
      </c>
      <c r="G386" s="48"/>
      <c r="H386" s="49">
        <f>+SUM($F$9:F386)-SUM($G$9:G386)</f>
        <v>5423000</v>
      </c>
    </row>
    <row r="387" spans="1:8" ht="28.8" x14ac:dyDescent="0.55000000000000004">
      <c r="A387" s="43">
        <v>44522</v>
      </c>
      <c r="B387" s="43" t="s">
        <v>1638</v>
      </c>
      <c r="C387" s="44" t="s">
        <v>1758</v>
      </c>
      <c r="D387" s="45">
        <v>1</v>
      </c>
      <c r="E387" s="46">
        <v>180000</v>
      </c>
      <c r="F387" s="47">
        <f>+$I$4+(CLIENT[[#This Row],[QUANTITE]]*CLIENT[[#This Row],[PRIX UNITAIRE]])</f>
        <v>180000</v>
      </c>
      <c r="G387" s="48"/>
      <c r="H387" s="49">
        <f>+SUM($F$9:F387)-SUM($G$9:G387)</f>
        <v>5603000</v>
      </c>
    </row>
    <row r="388" spans="1:8" ht="28.8" x14ac:dyDescent="0.55000000000000004">
      <c r="A388" s="43">
        <v>44522</v>
      </c>
      <c r="B388" s="43" t="s">
        <v>1759</v>
      </c>
      <c r="C388" s="44" t="s">
        <v>1760</v>
      </c>
      <c r="D388" s="45">
        <v>1</v>
      </c>
      <c r="E388" s="46">
        <v>180000</v>
      </c>
      <c r="F388" s="47">
        <f>+$I$4+(CLIENT[[#This Row],[QUANTITE]]*CLIENT[[#This Row],[PRIX UNITAIRE]])</f>
        <v>180000</v>
      </c>
      <c r="G388" s="48"/>
      <c r="H388" s="49">
        <f>+SUM($F$9:F388)-SUM($G$9:G388)</f>
        <v>5783000</v>
      </c>
    </row>
    <row r="389" spans="1:8" ht="28.8" x14ac:dyDescent="0.55000000000000004">
      <c r="A389" s="43">
        <v>44522</v>
      </c>
      <c r="B389" s="43" t="s">
        <v>1601</v>
      </c>
      <c r="C389" s="44" t="s">
        <v>1761</v>
      </c>
      <c r="D389" s="45">
        <v>1</v>
      </c>
      <c r="E389" s="46">
        <v>145000</v>
      </c>
      <c r="F389" s="47">
        <f>+$I$4+(CLIENT[[#This Row],[QUANTITE]]*CLIENT[[#This Row],[PRIX UNITAIRE]])</f>
        <v>145000</v>
      </c>
      <c r="G389" s="48"/>
      <c r="H389" s="49">
        <f>+SUM($F$9:F389)-SUM($G$9:G389)</f>
        <v>5928000</v>
      </c>
    </row>
    <row r="390" spans="1:8" ht="28.8" x14ac:dyDescent="0.55000000000000004">
      <c r="A390" s="43">
        <v>44524</v>
      </c>
      <c r="B390" s="43" t="s">
        <v>1447</v>
      </c>
      <c r="C390" s="44" t="s">
        <v>1762</v>
      </c>
      <c r="D390" s="45">
        <v>1</v>
      </c>
      <c r="E390" s="46">
        <v>180000</v>
      </c>
      <c r="F390" s="47">
        <f>+$I$4+(CLIENT[[#This Row],[QUANTITE]]*CLIENT[[#This Row],[PRIX UNITAIRE]])</f>
        <v>180000</v>
      </c>
      <c r="G390" s="48"/>
      <c r="H390" s="49">
        <f>+SUM($F$9:F390)-SUM($G$9:G390)</f>
        <v>6108000</v>
      </c>
    </row>
    <row r="391" spans="1:8" ht="28.8" x14ac:dyDescent="0.55000000000000004">
      <c r="A391" s="43">
        <v>44524</v>
      </c>
      <c r="B391" s="43" t="s">
        <v>1233</v>
      </c>
      <c r="C391" s="44" t="s">
        <v>1763</v>
      </c>
      <c r="D391" s="45">
        <v>2</v>
      </c>
      <c r="E391" s="46">
        <v>145000</v>
      </c>
      <c r="F391" s="47">
        <f>+$I$4+(CLIENT[[#This Row],[QUANTITE]]*CLIENT[[#This Row],[PRIX UNITAIRE]])</f>
        <v>290000</v>
      </c>
      <c r="G391" s="48"/>
      <c r="H391" s="49">
        <f>+SUM($F$9:F391)-SUM($G$9:G391)</f>
        <v>6398000</v>
      </c>
    </row>
    <row r="392" spans="1:8" ht="28.8" x14ac:dyDescent="0.55000000000000004">
      <c r="A392" s="43">
        <v>44524</v>
      </c>
      <c r="B392" s="43" t="s">
        <v>1461</v>
      </c>
      <c r="C392" s="44" t="s">
        <v>83</v>
      </c>
      <c r="D392" s="45">
        <v>2</v>
      </c>
      <c r="E392" s="46">
        <v>15000</v>
      </c>
      <c r="F392" s="47">
        <f>+$I$4+(CLIENT[[#This Row],[QUANTITE]]*CLIENT[[#This Row],[PRIX UNITAIRE]])</f>
        <v>30000</v>
      </c>
      <c r="G392" s="48"/>
      <c r="H392" s="49">
        <f>+SUM($F$9:F392)-SUM($G$9:G392)</f>
        <v>6428000</v>
      </c>
    </row>
    <row r="393" spans="1:8" ht="28.8" x14ac:dyDescent="0.55000000000000004">
      <c r="A393" s="43">
        <v>44524</v>
      </c>
      <c r="B393" s="43" t="s">
        <v>1232</v>
      </c>
      <c r="C393" s="44" t="s">
        <v>83</v>
      </c>
      <c r="D393" s="45">
        <v>2</v>
      </c>
      <c r="E393" s="46">
        <v>15000</v>
      </c>
      <c r="F393" s="47">
        <f>+$I$4+(CLIENT[[#This Row],[QUANTITE]]*CLIENT[[#This Row],[PRIX UNITAIRE]])</f>
        <v>30000</v>
      </c>
      <c r="G393" s="48"/>
      <c r="H393" s="49">
        <f>+SUM($F$9:F393)-SUM($G$9:G393)</f>
        <v>6458000</v>
      </c>
    </row>
    <row r="394" spans="1:8" ht="28.8" x14ac:dyDescent="0.55000000000000004">
      <c r="A394" s="43">
        <v>44524</v>
      </c>
      <c r="B394" s="43" t="s">
        <v>1497</v>
      </c>
      <c r="C394" s="44" t="s">
        <v>1764</v>
      </c>
      <c r="D394" s="45">
        <v>2</v>
      </c>
      <c r="E394" s="46">
        <v>12500</v>
      </c>
      <c r="F394" s="47">
        <f>+$I$4+(CLIENT[[#This Row],[QUANTITE]]*CLIENT[[#This Row],[PRIX UNITAIRE]])</f>
        <v>25000</v>
      </c>
      <c r="G394" s="48"/>
      <c r="H394" s="49">
        <f>+SUM($F$9:F394)-SUM($G$9:G394)</f>
        <v>6483000</v>
      </c>
    </row>
    <row r="395" spans="1:8" ht="28.8" x14ac:dyDescent="0.55000000000000004">
      <c r="A395" s="43">
        <v>44524</v>
      </c>
      <c r="B395" s="43" t="s">
        <v>1298</v>
      </c>
      <c r="C395" s="44" t="s">
        <v>1765</v>
      </c>
      <c r="D395" s="45">
        <v>1</v>
      </c>
      <c r="E395" s="46">
        <v>145000</v>
      </c>
      <c r="F395" s="47">
        <f>+$I$4+(CLIENT[[#This Row],[QUANTITE]]*CLIENT[[#This Row],[PRIX UNITAIRE]])</f>
        <v>145000</v>
      </c>
      <c r="G395" s="48"/>
      <c r="H395" s="49">
        <f>+SUM($F$9:F395)-SUM($G$9:G395)</f>
        <v>6628000</v>
      </c>
    </row>
    <row r="396" spans="1:8" ht="28.8" x14ac:dyDescent="0.55000000000000004">
      <c r="A396" s="43">
        <v>44525</v>
      </c>
      <c r="B396" s="43" t="s">
        <v>1766</v>
      </c>
      <c r="C396" s="44" t="s">
        <v>1767</v>
      </c>
      <c r="D396" s="45">
        <v>1</v>
      </c>
      <c r="E396" s="46">
        <v>180000</v>
      </c>
      <c r="F396" s="47">
        <f>+$I$4+(CLIENT[[#This Row],[QUANTITE]]*CLIENT[[#This Row],[PRIX UNITAIRE]])</f>
        <v>180000</v>
      </c>
      <c r="G396" s="48"/>
      <c r="H396" s="49">
        <f>+SUM($F$9:F396)-SUM($G$9:G396)</f>
        <v>6808000</v>
      </c>
    </row>
    <row r="397" spans="1:8" ht="28.8" x14ac:dyDescent="0.55000000000000004">
      <c r="A397" s="43">
        <v>44526</v>
      </c>
      <c r="B397" s="43" t="s">
        <v>1768</v>
      </c>
      <c r="C397" s="44" t="s">
        <v>1769</v>
      </c>
      <c r="D397" s="45">
        <v>1</v>
      </c>
      <c r="E397" s="46">
        <v>180000</v>
      </c>
      <c r="F397" s="47">
        <f>+$I$4+(CLIENT[[#This Row],[QUANTITE]]*CLIENT[[#This Row],[PRIX UNITAIRE]])</f>
        <v>180000</v>
      </c>
      <c r="G397" s="48"/>
      <c r="H397" s="49">
        <f>+SUM($F$9:F397)-SUM($G$9:G397)</f>
        <v>6988000</v>
      </c>
    </row>
    <row r="398" spans="1:8" ht="28.8" x14ac:dyDescent="0.55000000000000004">
      <c r="A398" s="43">
        <v>44529</v>
      </c>
      <c r="B398" s="43" t="s">
        <v>1163</v>
      </c>
      <c r="C398" s="44" t="s">
        <v>1770</v>
      </c>
      <c r="D398" s="45">
        <v>4</v>
      </c>
      <c r="E398" s="46">
        <v>185000</v>
      </c>
      <c r="F398" s="47">
        <f>+$I$4+(CLIENT[[#This Row],[QUANTITE]]*CLIENT[[#This Row],[PRIX UNITAIRE]])</f>
        <v>740000</v>
      </c>
      <c r="G398" s="48"/>
      <c r="H398" s="49">
        <f>+SUM($F$9:F398)-SUM($G$9:G398)</f>
        <v>7728000</v>
      </c>
    </row>
    <row r="399" spans="1:8" ht="28.8" x14ac:dyDescent="0.55000000000000004">
      <c r="A399" s="43">
        <v>44530</v>
      </c>
      <c r="B399" s="43" t="s">
        <v>1771</v>
      </c>
      <c r="C399" s="44" t="s">
        <v>1772</v>
      </c>
      <c r="D399" s="45">
        <v>1</v>
      </c>
      <c r="E399" s="46">
        <v>180000</v>
      </c>
      <c r="F399" s="47">
        <f>+$I$4+(CLIENT[[#This Row],[QUANTITE]]*CLIENT[[#This Row],[PRIX UNITAIRE]])</f>
        <v>180000</v>
      </c>
      <c r="G399" s="48"/>
      <c r="H399" s="49">
        <f>+SUM($F$9:F399)-SUM($G$9:G399)</f>
        <v>7908000</v>
      </c>
    </row>
    <row r="400" spans="1:8" ht="28.8" x14ac:dyDescent="0.55000000000000004">
      <c r="A400" s="43">
        <v>44530</v>
      </c>
      <c r="B400" s="43" t="s">
        <v>1771</v>
      </c>
      <c r="C400" s="44" t="s">
        <v>1773</v>
      </c>
      <c r="D400" s="45">
        <v>1</v>
      </c>
      <c r="E400" s="46">
        <v>40000</v>
      </c>
      <c r="F400" s="47">
        <f>+$I$4+(CLIENT[[#This Row],[QUANTITE]]*CLIENT[[#This Row],[PRIX UNITAIRE]])</f>
        <v>40000</v>
      </c>
      <c r="G400" s="48"/>
      <c r="H400" s="49">
        <f>+SUM($F$9:F400)-SUM($G$9:G400)</f>
        <v>7948000</v>
      </c>
    </row>
    <row r="401" spans="1:8" ht="28.8" x14ac:dyDescent="0.55000000000000004">
      <c r="A401" s="43">
        <v>44531</v>
      </c>
      <c r="B401" s="43" t="s">
        <v>1774</v>
      </c>
      <c r="C401" s="44" t="s">
        <v>83</v>
      </c>
      <c r="D401" s="45">
        <v>2</v>
      </c>
      <c r="E401" s="46">
        <v>15000</v>
      </c>
      <c r="F401" s="47">
        <f>+$I$4+(CLIENT[[#This Row],[QUANTITE]]*CLIENT[[#This Row],[PRIX UNITAIRE]])</f>
        <v>30000</v>
      </c>
      <c r="G401" s="48"/>
      <c r="H401" s="49">
        <f>+SUM($F$9:F401)-SUM($G$9:G401)</f>
        <v>7978000</v>
      </c>
    </row>
    <row r="402" spans="1:8" ht="28.8" x14ac:dyDescent="0.55000000000000004">
      <c r="A402" s="43">
        <v>44532</v>
      </c>
      <c r="B402" s="43" t="s">
        <v>1775</v>
      </c>
      <c r="C402" s="44" t="s">
        <v>1776</v>
      </c>
      <c r="D402" s="45">
        <v>1</v>
      </c>
      <c r="E402" s="46">
        <v>180000</v>
      </c>
      <c r="F402" s="47">
        <f>+$I$4+(CLIENT[[#This Row],[QUANTITE]]*CLIENT[[#This Row],[PRIX UNITAIRE]])</f>
        <v>180000</v>
      </c>
      <c r="G402" s="48"/>
      <c r="H402" s="49">
        <f>+SUM($F$9:F402)-SUM($G$9:G402)</f>
        <v>8158000</v>
      </c>
    </row>
    <row r="403" spans="1:8" ht="28.8" x14ac:dyDescent="0.55000000000000004">
      <c r="A403" s="43">
        <v>44532</v>
      </c>
      <c r="B403" s="43" t="s">
        <v>1651</v>
      </c>
      <c r="C403" s="44" t="s">
        <v>1777</v>
      </c>
      <c r="D403" s="45">
        <v>1</v>
      </c>
      <c r="E403" s="46">
        <v>180000</v>
      </c>
      <c r="F403" s="47">
        <f>+$I$4+(CLIENT[[#This Row],[QUANTITE]]*CLIENT[[#This Row],[PRIX UNITAIRE]])</f>
        <v>180000</v>
      </c>
      <c r="G403" s="48"/>
      <c r="H403" s="49">
        <f>+SUM($F$9:F403)-SUM($G$9:G403)</f>
        <v>8338000</v>
      </c>
    </row>
    <row r="404" spans="1:8" ht="28.8" x14ac:dyDescent="0.55000000000000004">
      <c r="A404" s="43">
        <v>44545</v>
      </c>
      <c r="B404" s="43" t="s">
        <v>1181</v>
      </c>
      <c r="C404" s="44" t="s">
        <v>1778</v>
      </c>
      <c r="D404" s="45">
        <v>1</v>
      </c>
      <c r="E404" s="46">
        <v>180000</v>
      </c>
      <c r="F404" s="47">
        <f>+$I$4+(CLIENT[[#This Row],[QUANTITE]]*CLIENT[[#This Row],[PRIX UNITAIRE]])</f>
        <v>180000</v>
      </c>
      <c r="G404" s="48"/>
      <c r="H404" s="49">
        <f>+SUM($F$9:F404)-SUM($G$9:G404)</f>
        <v>8518000</v>
      </c>
    </row>
    <row r="405" spans="1:8" ht="28.8" x14ac:dyDescent="0.55000000000000004">
      <c r="A405" s="43">
        <v>44545</v>
      </c>
      <c r="B405" s="43" t="s">
        <v>1181</v>
      </c>
      <c r="C405" s="44" t="s">
        <v>1503</v>
      </c>
      <c r="D405" s="45">
        <v>2</v>
      </c>
      <c r="E405" s="46">
        <v>125000</v>
      </c>
      <c r="F405" s="47">
        <f>+$I$4+(CLIENT[[#This Row],[QUANTITE]]*CLIENT[[#This Row],[PRIX UNITAIRE]])</f>
        <v>250000</v>
      </c>
      <c r="G405" s="48"/>
      <c r="H405" s="49">
        <f>+SUM($F$9:F405)-SUM($G$9:G405)</f>
        <v>8768000</v>
      </c>
    </row>
    <row r="406" spans="1:8" ht="28.8" x14ac:dyDescent="0.55000000000000004">
      <c r="A406" s="43">
        <v>44545</v>
      </c>
      <c r="B406" s="43" t="s">
        <v>1304</v>
      </c>
      <c r="C406" s="44" t="s">
        <v>1779</v>
      </c>
      <c r="D406" s="45">
        <v>1</v>
      </c>
      <c r="E406" s="46">
        <v>145000</v>
      </c>
      <c r="F406" s="47">
        <f>+$I$4+(CLIENT[[#This Row],[QUANTITE]]*CLIENT[[#This Row],[PRIX UNITAIRE]])</f>
        <v>145000</v>
      </c>
      <c r="G406" s="48"/>
      <c r="H406" s="49">
        <f>+SUM($F$9:F406)-SUM($G$9:G406)</f>
        <v>8913000</v>
      </c>
    </row>
    <row r="407" spans="1:8" ht="28.8" x14ac:dyDescent="0.55000000000000004">
      <c r="A407" s="43">
        <v>44545</v>
      </c>
      <c r="B407" s="43" t="s">
        <v>1238</v>
      </c>
      <c r="C407" s="44" t="s">
        <v>1780</v>
      </c>
      <c r="D407" s="45">
        <v>1</v>
      </c>
      <c r="E407" s="46">
        <v>145000</v>
      </c>
      <c r="F407" s="47">
        <f>+$I$4+(CLIENT[[#This Row],[QUANTITE]]*CLIENT[[#This Row],[PRIX UNITAIRE]])</f>
        <v>145000</v>
      </c>
      <c r="G407" s="48"/>
      <c r="H407" s="49">
        <f>+SUM($F$9:F407)-SUM($G$9:G407)</f>
        <v>9058000</v>
      </c>
    </row>
    <row r="408" spans="1:8" ht="28.8" x14ac:dyDescent="0.55000000000000004">
      <c r="A408" s="43">
        <v>44546</v>
      </c>
      <c r="B408" s="43" t="s">
        <v>1233</v>
      </c>
      <c r="C408" s="44" t="s">
        <v>1781</v>
      </c>
      <c r="D408" s="45">
        <v>2</v>
      </c>
      <c r="E408" s="46">
        <v>145000</v>
      </c>
      <c r="F408" s="47">
        <f>+$I$4+(CLIENT[[#This Row],[QUANTITE]]*CLIENT[[#This Row],[PRIX UNITAIRE]])</f>
        <v>290000</v>
      </c>
      <c r="G408" s="48"/>
      <c r="H408" s="49">
        <f>+SUM($F$9:F408)-SUM($G$9:G408)</f>
        <v>9348000</v>
      </c>
    </row>
    <row r="409" spans="1:8" ht="28.8" x14ac:dyDescent="0.55000000000000004">
      <c r="A409" s="43">
        <v>44546</v>
      </c>
      <c r="B409" s="43" t="s">
        <v>1601</v>
      </c>
      <c r="C409" s="44" t="s">
        <v>1782</v>
      </c>
      <c r="D409" s="45">
        <v>2</v>
      </c>
      <c r="E409" s="46">
        <v>115000</v>
      </c>
      <c r="F409" s="47">
        <f>+$I$4+(CLIENT[[#This Row],[QUANTITE]]*CLIENT[[#This Row],[PRIX UNITAIRE]])</f>
        <v>230000</v>
      </c>
      <c r="G409" s="48"/>
      <c r="H409" s="49">
        <f>+SUM($F$9:F409)-SUM($G$9:G409)</f>
        <v>9578000</v>
      </c>
    </row>
    <row r="410" spans="1:8" ht="28.8" x14ac:dyDescent="0.55000000000000004">
      <c r="A410" s="43">
        <v>44548</v>
      </c>
      <c r="B410" s="43" t="s">
        <v>1149</v>
      </c>
      <c r="C410" s="44" t="s">
        <v>1783</v>
      </c>
      <c r="D410" s="45">
        <v>2</v>
      </c>
      <c r="E410" s="46">
        <v>110000</v>
      </c>
      <c r="F410" s="47">
        <f>+$I$4+(CLIENT[[#This Row],[QUANTITE]]*CLIENT[[#This Row],[PRIX UNITAIRE]])</f>
        <v>220000</v>
      </c>
      <c r="G410" s="48"/>
      <c r="H410" s="49">
        <f>+SUM($F$9:F410)-SUM($G$9:G410)</f>
        <v>9798000</v>
      </c>
    </row>
    <row r="411" spans="1:8" ht="28.8" x14ac:dyDescent="0.55000000000000004">
      <c r="A411" s="43">
        <v>44549</v>
      </c>
      <c r="B411" s="43" t="s">
        <v>1784</v>
      </c>
      <c r="C411" s="44" t="s">
        <v>1785</v>
      </c>
      <c r="D411" s="45">
        <v>1</v>
      </c>
      <c r="E411" s="46">
        <v>180000</v>
      </c>
      <c r="F411" s="47">
        <f>+$I$4+(CLIENT[[#This Row],[QUANTITE]]*CLIENT[[#This Row],[PRIX UNITAIRE]])</f>
        <v>180000</v>
      </c>
      <c r="G411" s="48"/>
      <c r="H411" s="49">
        <f>+SUM($F$9:F411)-SUM($G$9:G411)</f>
        <v>9978000</v>
      </c>
    </row>
    <row r="412" spans="1:8" ht="28.8" x14ac:dyDescent="0.55000000000000004">
      <c r="A412" s="43">
        <v>44549</v>
      </c>
      <c r="B412" s="43" t="s">
        <v>1706</v>
      </c>
      <c r="C412" s="44" t="s">
        <v>1786</v>
      </c>
      <c r="D412" s="45">
        <v>1</v>
      </c>
      <c r="E412" s="46">
        <v>180000</v>
      </c>
      <c r="F412" s="47">
        <f>+$I$4+(CLIENT[[#This Row],[QUANTITE]]*CLIENT[[#This Row],[PRIX UNITAIRE]])</f>
        <v>180000</v>
      </c>
      <c r="G412" s="48"/>
      <c r="H412" s="49">
        <f>+SUM($F$9:F412)-SUM($G$9:G412)</f>
        <v>10158000</v>
      </c>
    </row>
    <row r="413" spans="1:8" ht="28.8" x14ac:dyDescent="0.55000000000000004">
      <c r="A413" s="43">
        <v>44559</v>
      </c>
      <c r="B413" s="43" t="s">
        <v>1343</v>
      </c>
      <c r="C413" s="44" t="s">
        <v>1787</v>
      </c>
      <c r="D413" s="45">
        <v>1</v>
      </c>
      <c r="E413" s="46">
        <v>145000</v>
      </c>
      <c r="F413" s="47">
        <f>+$I$4+(CLIENT[[#This Row],[QUANTITE]]*CLIENT[[#This Row],[PRIX UNITAIRE]])</f>
        <v>145000</v>
      </c>
      <c r="G413" s="48"/>
      <c r="H413" s="49">
        <f>+SUM($F$9:F413)-SUM($G$9:G413)</f>
        <v>10303000</v>
      </c>
    </row>
    <row r="414" spans="1:8" ht="28.8" x14ac:dyDescent="0.55000000000000004">
      <c r="A414" s="43">
        <v>44561</v>
      </c>
      <c r="B414" s="43" t="s">
        <v>1725</v>
      </c>
      <c r="C414" s="44" t="s">
        <v>1788</v>
      </c>
      <c r="D414" s="45">
        <v>1</v>
      </c>
      <c r="E414" s="46">
        <v>180000</v>
      </c>
      <c r="F414" s="47">
        <f>+$I$4+(CLIENT[[#This Row],[QUANTITE]]*CLIENT[[#This Row],[PRIX UNITAIRE]])</f>
        <v>180000</v>
      </c>
      <c r="G414" s="48"/>
      <c r="H414" s="49">
        <f>+SUM($F$9:F414)-SUM($G$9:G414)</f>
        <v>10483000</v>
      </c>
    </row>
    <row r="415" spans="1:8" ht="28.8" x14ac:dyDescent="0.55000000000000004">
      <c r="A415" s="43">
        <v>44561</v>
      </c>
      <c r="B415" s="43" t="s">
        <v>1651</v>
      </c>
      <c r="C415" s="44" t="s">
        <v>1789</v>
      </c>
      <c r="D415" s="45">
        <v>1</v>
      </c>
      <c r="E415" s="46">
        <v>180000</v>
      </c>
      <c r="F415" s="47">
        <f>+$I$4+(CLIENT[[#This Row],[QUANTITE]]*CLIENT[[#This Row],[PRIX UNITAIRE]])</f>
        <v>180000</v>
      </c>
      <c r="G415" s="48"/>
      <c r="H415" s="49">
        <f>+SUM($F$9:F415)-SUM($G$9:G415)</f>
        <v>10663000</v>
      </c>
    </row>
    <row r="416" spans="1:8" ht="28.8" x14ac:dyDescent="0.55000000000000004">
      <c r="A416" s="43">
        <v>44561</v>
      </c>
      <c r="B416" s="43" t="s">
        <v>259</v>
      </c>
      <c r="C416" s="44" t="s">
        <v>1790</v>
      </c>
      <c r="D416" s="45">
        <v>1</v>
      </c>
      <c r="E416" s="46">
        <v>0</v>
      </c>
      <c r="F416" s="47">
        <f>+$I$4+(CLIENT[[#This Row],[QUANTITE]]*CLIENT[[#This Row],[PRIX UNITAIRE]])</f>
        <v>0</v>
      </c>
      <c r="G416" s="48">
        <v>10000000</v>
      </c>
      <c r="H416" s="49">
        <f>+SUM($F$9:F416)-SUM($G$9:G416)</f>
        <v>663000</v>
      </c>
    </row>
    <row r="417" spans="1:8" ht="28.8" x14ac:dyDescent="0.55000000000000004">
      <c r="A417" s="43">
        <v>44569</v>
      </c>
      <c r="B417" s="43" t="s">
        <v>1343</v>
      </c>
      <c r="C417" s="44" t="s">
        <v>1791</v>
      </c>
      <c r="D417" s="45">
        <v>1</v>
      </c>
      <c r="E417" s="46">
        <v>295000</v>
      </c>
      <c r="F417" s="47">
        <f>+$I$4+(CLIENT[[#This Row],[QUANTITE]]*CLIENT[[#This Row],[PRIX UNITAIRE]])</f>
        <v>295000</v>
      </c>
      <c r="G417" s="48"/>
      <c r="H417" s="49">
        <f>+SUM($F$9:F417)-SUM($G$9:G417)</f>
        <v>958000</v>
      </c>
    </row>
    <row r="418" spans="1:8" ht="28.8" x14ac:dyDescent="0.55000000000000004">
      <c r="A418" s="43"/>
      <c r="B418" s="43" t="s">
        <v>1343</v>
      </c>
      <c r="C418" s="44" t="s">
        <v>1792</v>
      </c>
      <c r="D418" s="45">
        <v>1</v>
      </c>
      <c r="E418" s="46">
        <v>145000</v>
      </c>
      <c r="F418" s="47">
        <f>+$I$4+(CLIENT[[#This Row],[QUANTITE]]*CLIENT[[#This Row],[PRIX UNITAIRE]])</f>
        <v>145000</v>
      </c>
      <c r="G418" s="48"/>
      <c r="H418" s="49">
        <f>+SUM($F$9:F418)-SUM($G$9:G418)</f>
        <v>1103000</v>
      </c>
    </row>
    <row r="419" spans="1:8" ht="28.8" x14ac:dyDescent="0.55000000000000004">
      <c r="A419" s="43">
        <v>44569</v>
      </c>
      <c r="B419" s="43" t="s">
        <v>1132</v>
      </c>
      <c r="C419" s="44" t="s">
        <v>1793</v>
      </c>
      <c r="D419" s="45">
        <v>1</v>
      </c>
      <c r="E419" s="46">
        <v>180000</v>
      </c>
      <c r="F419" s="47">
        <f>+$I$4+(CLIENT[[#This Row],[QUANTITE]]*CLIENT[[#This Row],[PRIX UNITAIRE]])</f>
        <v>180000</v>
      </c>
      <c r="G419" s="48"/>
      <c r="H419" s="49">
        <f>+SUM($F$9:F419)-SUM($G$9:G419)</f>
        <v>1283000</v>
      </c>
    </row>
    <row r="420" spans="1:8" ht="28.8" x14ac:dyDescent="0.55000000000000004">
      <c r="A420" s="43">
        <v>44574</v>
      </c>
      <c r="B420" s="43" t="s">
        <v>1459</v>
      </c>
      <c r="C420" s="44" t="s">
        <v>83</v>
      </c>
      <c r="D420" s="45">
        <v>2</v>
      </c>
      <c r="E420" s="46">
        <v>15000</v>
      </c>
      <c r="F420" s="47">
        <f>+$I$4+(CLIENT[[#This Row],[QUANTITE]]*CLIENT[[#This Row],[PRIX UNITAIRE]])</f>
        <v>30000</v>
      </c>
      <c r="G420" s="48"/>
      <c r="H420" s="49">
        <f>+SUM($F$9:F420)-SUM($G$9:G420)</f>
        <v>1313000</v>
      </c>
    </row>
    <row r="421" spans="1:8" ht="28.8" x14ac:dyDescent="0.55000000000000004">
      <c r="A421" s="43">
        <v>44578</v>
      </c>
      <c r="B421" s="43" t="s">
        <v>1137</v>
      </c>
      <c r="C421" s="44" t="s">
        <v>1794</v>
      </c>
      <c r="D421" s="45">
        <v>2</v>
      </c>
      <c r="E421" s="46">
        <v>125000</v>
      </c>
      <c r="F421" s="47">
        <f>+$I$4+(CLIENT[[#This Row],[QUANTITE]]*CLIENT[[#This Row],[PRIX UNITAIRE]])</f>
        <v>250000</v>
      </c>
      <c r="G421" s="48"/>
      <c r="H421" s="49">
        <f>+SUM($F$9:F421)-SUM($G$9:G421)</f>
        <v>1563000</v>
      </c>
    </row>
    <row r="422" spans="1:8" ht="28.8" x14ac:dyDescent="0.55000000000000004">
      <c r="A422" s="43">
        <v>44583</v>
      </c>
      <c r="B422" s="43" t="s">
        <v>1298</v>
      </c>
      <c r="C422" s="44" t="s">
        <v>1794</v>
      </c>
      <c r="D422" s="45">
        <v>2</v>
      </c>
      <c r="E422" s="46">
        <v>125000</v>
      </c>
      <c r="F422" s="47">
        <f>+$I$4+(CLIENT[[#This Row],[QUANTITE]]*CLIENT[[#This Row],[PRIX UNITAIRE]])</f>
        <v>250000</v>
      </c>
      <c r="G422" s="48"/>
      <c r="H422" s="49">
        <f>+SUM($F$9:F422)-SUM($G$9:G422)</f>
        <v>1813000</v>
      </c>
    </row>
    <row r="423" spans="1:8" ht="28.8" x14ac:dyDescent="0.55000000000000004">
      <c r="A423" s="43">
        <v>44583</v>
      </c>
      <c r="B423" s="43" t="s">
        <v>1795</v>
      </c>
      <c r="C423" s="44" t="s">
        <v>1796</v>
      </c>
      <c r="D423" s="45">
        <v>1</v>
      </c>
      <c r="E423" s="46">
        <v>145000</v>
      </c>
      <c r="F423" s="47">
        <f>+$I$4+(CLIENT[[#This Row],[QUANTITE]]*CLIENT[[#This Row],[PRIX UNITAIRE]])</f>
        <v>145000</v>
      </c>
      <c r="G423" s="48"/>
      <c r="H423" s="49">
        <f>+SUM($F$9:F423)-SUM($G$9:G423)</f>
        <v>1958000</v>
      </c>
    </row>
    <row r="424" spans="1:8" ht="28.8" x14ac:dyDescent="0.55000000000000004">
      <c r="A424" s="43">
        <v>44585</v>
      </c>
      <c r="B424" s="43" t="s">
        <v>1132</v>
      </c>
      <c r="C424" s="44" t="s">
        <v>1797</v>
      </c>
      <c r="D424" s="45">
        <v>1</v>
      </c>
      <c r="E424" s="46">
        <v>180000</v>
      </c>
      <c r="F424" s="47">
        <f>+$I$4+(CLIENT[[#This Row],[QUANTITE]]*CLIENT[[#This Row],[PRIX UNITAIRE]])</f>
        <v>180000</v>
      </c>
      <c r="G424" s="48"/>
      <c r="H424" s="49">
        <f>+SUM($F$9:F424)-SUM($G$9:G424)</f>
        <v>2138000</v>
      </c>
    </row>
    <row r="425" spans="1:8" ht="28.8" x14ac:dyDescent="0.55000000000000004">
      <c r="A425" s="43">
        <v>44589</v>
      </c>
      <c r="B425" s="43" t="s">
        <v>1798</v>
      </c>
      <c r="C425" s="44" t="s">
        <v>1799</v>
      </c>
      <c r="D425" s="45">
        <v>2</v>
      </c>
      <c r="E425" s="46">
        <v>180000</v>
      </c>
      <c r="F425" s="47">
        <f>+$I$4+(CLIENT[[#This Row],[QUANTITE]]*CLIENT[[#This Row],[PRIX UNITAIRE]])</f>
        <v>360000</v>
      </c>
      <c r="G425" s="48"/>
      <c r="H425" s="49">
        <f>+SUM($F$9:F425)-SUM($G$9:G425)</f>
        <v>2498000</v>
      </c>
    </row>
    <row r="426" spans="1:8" ht="28.8" x14ac:dyDescent="0.55000000000000004">
      <c r="A426" s="43">
        <v>44590</v>
      </c>
      <c r="B426" s="43" t="s">
        <v>1800</v>
      </c>
      <c r="C426" s="44" t="s">
        <v>1801</v>
      </c>
      <c r="D426" s="45">
        <v>1</v>
      </c>
      <c r="E426" s="46">
        <v>180000</v>
      </c>
      <c r="F426" s="47">
        <f>+$I$4+(CLIENT[[#This Row],[QUANTITE]]*CLIENT[[#This Row],[PRIX UNITAIRE]])</f>
        <v>180000</v>
      </c>
      <c r="G426" s="48"/>
      <c r="H426" s="49">
        <f>+SUM($F$9:F426)-SUM($G$9:G426)</f>
        <v>2678000</v>
      </c>
    </row>
    <row r="427" spans="1:8" ht="28.8" x14ac:dyDescent="0.55000000000000004">
      <c r="A427" s="43">
        <v>44592</v>
      </c>
      <c r="B427" s="43" t="s">
        <v>1600</v>
      </c>
      <c r="C427" s="44" t="s">
        <v>1794</v>
      </c>
      <c r="D427" s="45">
        <v>2</v>
      </c>
      <c r="E427" s="46">
        <v>125000</v>
      </c>
      <c r="F427" s="47">
        <f>+$I$4+(CLIENT[[#This Row],[QUANTITE]]*CLIENT[[#This Row],[PRIX UNITAIRE]])</f>
        <v>250000</v>
      </c>
      <c r="G427" s="48"/>
      <c r="H427" s="49">
        <f>+SUM($F$9:F427)-SUM($G$9:G427)</f>
        <v>2928000</v>
      </c>
    </row>
    <row r="428" spans="1:8" ht="28.8" x14ac:dyDescent="0.55000000000000004">
      <c r="A428" s="43">
        <v>44593</v>
      </c>
      <c r="B428" s="43" t="s">
        <v>1132</v>
      </c>
      <c r="C428" s="44" t="s">
        <v>1802</v>
      </c>
      <c r="D428" s="45">
        <v>1</v>
      </c>
      <c r="E428" s="46">
        <v>180000</v>
      </c>
      <c r="F428" s="47">
        <f>+$I$4+(CLIENT[[#This Row],[QUANTITE]]*CLIENT[[#This Row],[PRIX UNITAIRE]])</f>
        <v>180000</v>
      </c>
      <c r="G428" s="48"/>
      <c r="H428" s="49">
        <f>+SUM($F$9:F428)-SUM($G$9:G428)</f>
        <v>3108000</v>
      </c>
    </row>
    <row r="429" spans="1:8" ht="28.8" x14ac:dyDescent="0.55000000000000004">
      <c r="A429" s="43">
        <v>44593</v>
      </c>
      <c r="B429" s="43" t="s">
        <v>1163</v>
      </c>
      <c r="C429" s="44" t="s">
        <v>1803</v>
      </c>
      <c r="D429" s="45">
        <v>1</v>
      </c>
      <c r="E429" s="46">
        <v>180000</v>
      </c>
      <c r="F429" s="47">
        <f>+$I$4+(CLIENT[[#This Row],[QUANTITE]]*CLIENT[[#This Row],[PRIX UNITAIRE]])</f>
        <v>180000</v>
      </c>
      <c r="G429" s="48"/>
      <c r="H429" s="49">
        <f>+SUM($F$9:F429)-SUM($G$9:G429)</f>
        <v>3288000</v>
      </c>
    </row>
    <row r="430" spans="1:8" ht="28.8" x14ac:dyDescent="0.55000000000000004">
      <c r="A430" s="43">
        <v>44596</v>
      </c>
      <c r="B430" s="43" t="s">
        <v>1234</v>
      </c>
      <c r="C430" s="44" t="s">
        <v>1804</v>
      </c>
      <c r="D430" s="45">
        <v>1</v>
      </c>
      <c r="E430" s="46">
        <v>30000</v>
      </c>
      <c r="F430" s="47">
        <f>+$I$4+(CLIENT[[#This Row],[QUANTITE]]*CLIENT[[#This Row],[PRIX UNITAIRE]])</f>
        <v>30000</v>
      </c>
      <c r="G430" s="48"/>
      <c r="H430" s="49">
        <f>+SUM($F$9:F430)-SUM($G$9:G430)</f>
        <v>3318000</v>
      </c>
    </row>
    <row r="431" spans="1:8" ht="28.8" x14ac:dyDescent="0.55000000000000004">
      <c r="A431" s="43">
        <v>44596</v>
      </c>
      <c r="B431" s="43" t="s">
        <v>1805</v>
      </c>
      <c r="C431" s="44" t="s">
        <v>1804</v>
      </c>
      <c r="D431" s="45">
        <v>1</v>
      </c>
      <c r="E431" s="46">
        <v>30000</v>
      </c>
      <c r="F431" s="47">
        <f>+$I$4+(CLIENT[[#This Row],[QUANTITE]]*CLIENT[[#This Row],[PRIX UNITAIRE]])</f>
        <v>30000</v>
      </c>
      <c r="G431" s="48"/>
      <c r="H431" s="49">
        <f>+SUM($F$9:F431)-SUM($G$9:G431)</f>
        <v>3348000</v>
      </c>
    </row>
    <row r="432" spans="1:8" ht="28.8" x14ac:dyDescent="0.55000000000000004">
      <c r="A432" s="43">
        <v>44596</v>
      </c>
      <c r="B432" s="43" t="s">
        <v>1640</v>
      </c>
      <c r="C432" s="44" t="s">
        <v>1806</v>
      </c>
      <c r="D432" s="45">
        <v>1</v>
      </c>
      <c r="E432" s="46">
        <v>295000</v>
      </c>
      <c r="F432" s="47">
        <f>+$I$4+(CLIENT[[#This Row],[QUANTITE]]*CLIENT[[#This Row],[PRIX UNITAIRE]])</f>
        <v>295000</v>
      </c>
      <c r="G432" s="48"/>
      <c r="H432" s="49">
        <f>+SUM($F$9:F432)-SUM($G$9:G432)</f>
        <v>3643000</v>
      </c>
    </row>
    <row r="433" spans="1:8" ht="28.8" x14ac:dyDescent="0.55000000000000004">
      <c r="A433" s="43">
        <v>44596</v>
      </c>
      <c r="B433" s="43" t="s">
        <v>1382</v>
      </c>
      <c r="C433" s="44" t="s">
        <v>860</v>
      </c>
      <c r="D433" s="45">
        <v>1</v>
      </c>
      <c r="E433" s="46">
        <v>40000</v>
      </c>
      <c r="F433" s="47">
        <f>+$I$4+(CLIENT[[#This Row],[QUANTITE]]*CLIENT[[#This Row],[PRIX UNITAIRE]])</f>
        <v>40000</v>
      </c>
      <c r="G433" s="48"/>
      <c r="H433" s="49">
        <f>+SUM($F$9:F433)-SUM($G$9:G433)</f>
        <v>3683000</v>
      </c>
    </row>
    <row r="434" spans="1:8" ht="28.8" x14ac:dyDescent="0.55000000000000004">
      <c r="A434" s="43">
        <v>44597</v>
      </c>
      <c r="B434" s="43" t="s">
        <v>1712</v>
      </c>
      <c r="C434" s="44" t="s">
        <v>1807</v>
      </c>
      <c r="D434" s="45">
        <v>2</v>
      </c>
      <c r="E434" s="46">
        <v>145000</v>
      </c>
      <c r="F434" s="47">
        <f>+$I$4+(CLIENT[[#This Row],[QUANTITE]]*CLIENT[[#This Row],[PRIX UNITAIRE]])</f>
        <v>290000</v>
      </c>
      <c r="G434" s="48"/>
      <c r="H434" s="49">
        <f>+SUM($F$9:F434)-SUM($G$9:G434)</f>
        <v>3973000</v>
      </c>
    </row>
    <row r="435" spans="1:8" ht="28.8" x14ac:dyDescent="0.55000000000000004">
      <c r="A435" s="43"/>
      <c r="B435" s="43"/>
      <c r="C435" s="44" t="s">
        <v>1794</v>
      </c>
      <c r="D435" s="45">
        <v>2</v>
      </c>
      <c r="E435" s="46">
        <v>125000</v>
      </c>
      <c r="F435" s="47">
        <f>+$I$4+(CLIENT[[#This Row],[QUANTITE]]*CLIENT[[#This Row],[PRIX UNITAIRE]])</f>
        <v>250000</v>
      </c>
      <c r="G435" s="48"/>
      <c r="H435" s="49">
        <f>+SUM($F$9:F435)-SUM($G$9:G435)</f>
        <v>4223000</v>
      </c>
    </row>
    <row r="436" spans="1:8" ht="28.8" x14ac:dyDescent="0.55000000000000004">
      <c r="A436" s="43">
        <v>44599</v>
      </c>
      <c r="B436" s="43" t="s">
        <v>1808</v>
      </c>
      <c r="C436" s="44" t="s">
        <v>1809</v>
      </c>
      <c r="D436" s="45">
        <v>1</v>
      </c>
      <c r="E436" s="46">
        <v>180000</v>
      </c>
      <c r="F436" s="47">
        <f>+$I$4+(CLIENT[[#This Row],[QUANTITE]]*CLIENT[[#This Row],[PRIX UNITAIRE]])</f>
        <v>180000</v>
      </c>
      <c r="G436" s="48"/>
      <c r="H436" s="49">
        <f>+SUM($F$9:F436)-SUM($G$9:G436)</f>
        <v>4403000</v>
      </c>
    </row>
    <row r="437" spans="1:8" ht="28.8" x14ac:dyDescent="0.55000000000000004">
      <c r="A437" s="43">
        <v>44601</v>
      </c>
      <c r="B437" s="43" t="s">
        <v>1729</v>
      </c>
      <c r="C437" s="44" t="s">
        <v>1810</v>
      </c>
      <c r="D437" s="45">
        <v>2</v>
      </c>
      <c r="E437" s="46">
        <v>180000</v>
      </c>
      <c r="F437" s="47">
        <f>+$I$4+(CLIENT[[#This Row],[QUANTITE]]*CLIENT[[#This Row],[PRIX UNITAIRE]])</f>
        <v>360000</v>
      </c>
      <c r="G437" s="48"/>
      <c r="H437" s="49">
        <f>+SUM($F$9:F437)-SUM($G$9:G437)</f>
        <v>4763000</v>
      </c>
    </row>
    <row r="438" spans="1:8" ht="28.8" x14ac:dyDescent="0.55000000000000004">
      <c r="A438" s="43">
        <v>44603</v>
      </c>
      <c r="B438" s="43" t="s">
        <v>1689</v>
      </c>
      <c r="C438" s="44" t="s">
        <v>1811</v>
      </c>
      <c r="D438" s="45">
        <v>1</v>
      </c>
      <c r="E438" s="46">
        <v>180000</v>
      </c>
      <c r="F438" s="47">
        <f>+$I$4+(CLIENT[[#This Row],[QUANTITE]]*CLIENT[[#This Row],[PRIX UNITAIRE]])</f>
        <v>180000</v>
      </c>
      <c r="G438" s="48"/>
      <c r="H438" s="49">
        <f>+SUM($F$9:F438)-SUM($G$9:G438)</f>
        <v>4943000</v>
      </c>
    </row>
    <row r="439" spans="1:8" ht="28.8" x14ac:dyDescent="0.55000000000000004">
      <c r="A439" s="43">
        <v>44606</v>
      </c>
      <c r="B439" s="43" t="s">
        <v>1812</v>
      </c>
      <c r="C439" s="44" t="s">
        <v>1813</v>
      </c>
      <c r="D439" s="45">
        <v>1</v>
      </c>
      <c r="E439" s="46">
        <v>180000</v>
      </c>
      <c r="F439" s="47">
        <f>+$I$4+(CLIENT[[#This Row],[QUANTITE]]*CLIENT[[#This Row],[PRIX UNITAIRE]])</f>
        <v>180000</v>
      </c>
      <c r="G439" s="48"/>
      <c r="H439" s="49">
        <f>+SUM($F$9:F439)-SUM($G$9:G439)</f>
        <v>5123000</v>
      </c>
    </row>
    <row r="440" spans="1:8" ht="28.8" x14ac:dyDescent="0.55000000000000004">
      <c r="A440" s="43">
        <v>44607</v>
      </c>
      <c r="B440" s="43" t="s">
        <v>1814</v>
      </c>
      <c r="C440" s="44" t="s">
        <v>1815</v>
      </c>
      <c r="D440" s="45">
        <v>1</v>
      </c>
      <c r="E440" s="46">
        <v>180000</v>
      </c>
      <c r="F440" s="47">
        <f>+$I$4+(CLIENT[[#This Row],[QUANTITE]]*CLIENT[[#This Row],[PRIX UNITAIRE]])</f>
        <v>180000</v>
      </c>
      <c r="G440" s="48"/>
      <c r="H440" s="49">
        <f>+SUM($F$9:F440)-SUM($G$9:G440)</f>
        <v>5303000</v>
      </c>
    </row>
    <row r="441" spans="1:8" ht="28.8" x14ac:dyDescent="0.55000000000000004">
      <c r="A441" s="43"/>
      <c r="B441" s="43" t="s">
        <v>1814</v>
      </c>
      <c r="C441" s="44" t="s">
        <v>1239</v>
      </c>
      <c r="D441" s="45">
        <v>1</v>
      </c>
      <c r="E441" s="46">
        <v>40000</v>
      </c>
      <c r="F441" s="47">
        <f>+$I$4+(CLIENT[[#This Row],[QUANTITE]]*CLIENT[[#This Row],[PRIX UNITAIRE]])</f>
        <v>40000</v>
      </c>
      <c r="G441" s="48"/>
      <c r="H441" s="49">
        <f>+SUM($F$9:F441)-SUM($G$9:G441)</f>
        <v>5343000</v>
      </c>
    </row>
    <row r="442" spans="1:8" ht="28.8" x14ac:dyDescent="0.55000000000000004">
      <c r="A442" s="43">
        <v>44608</v>
      </c>
      <c r="B442" s="43" t="s">
        <v>1768</v>
      </c>
      <c r="C442" s="44" t="s">
        <v>1816</v>
      </c>
      <c r="D442" s="45">
        <v>1</v>
      </c>
      <c r="E442" s="46">
        <v>180000</v>
      </c>
      <c r="F442" s="47">
        <f>+$I$4+(CLIENT[[#This Row],[QUANTITE]]*CLIENT[[#This Row],[PRIX UNITAIRE]])</f>
        <v>180000</v>
      </c>
      <c r="G442" s="48"/>
      <c r="H442" s="49">
        <f>+SUM($F$9:F442)-SUM($G$9:G442)</f>
        <v>5523000</v>
      </c>
    </row>
    <row r="443" spans="1:8" ht="28.8" x14ac:dyDescent="0.55000000000000004">
      <c r="A443" s="43">
        <v>44610</v>
      </c>
      <c r="B443" s="43" t="s">
        <v>1327</v>
      </c>
      <c r="C443" s="44" t="s">
        <v>1817</v>
      </c>
      <c r="D443" s="45">
        <v>1</v>
      </c>
      <c r="E443" s="46">
        <v>295000</v>
      </c>
      <c r="F443" s="47">
        <f>+$I$4+(CLIENT[[#This Row],[QUANTITE]]*CLIENT[[#This Row],[PRIX UNITAIRE]])</f>
        <v>295000</v>
      </c>
      <c r="G443" s="48"/>
      <c r="H443" s="49">
        <f>+SUM($F$9:F443)-SUM($G$9:G443)</f>
        <v>5818000</v>
      </c>
    </row>
    <row r="444" spans="1:8" ht="28.8" x14ac:dyDescent="0.55000000000000004">
      <c r="A444" s="43"/>
      <c r="B444" s="43"/>
      <c r="C444" s="44" t="s">
        <v>1818</v>
      </c>
      <c r="D444" s="45">
        <v>1</v>
      </c>
      <c r="E444" s="46">
        <v>100000</v>
      </c>
      <c r="F444" s="47">
        <f>+$I$4+(CLIENT[[#This Row],[QUANTITE]]*CLIENT[[#This Row],[PRIX UNITAIRE]])</f>
        <v>100000</v>
      </c>
      <c r="G444" s="48"/>
      <c r="H444" s="49">
        <f>+SUM($F$9:F444)-SUM($G$9:G444)</f>
        <v>5918000</v>
      </c>
    </row>
    <row r="445" spans="1:8" ht="28.8" x14ac:dyDescent="0.55000000000000004">
      <c r="A445" s="43">
        <v>44611</v>
      </c>
      <c r="B445" s="43" t="s">
        <v>1233</v>
      </c>
      <c r="C445" s="44" t="s">
        <v>1819</v>
      </c>
      <c r="D445" s="45">
        <v>1</v>
      </c>
      <c r="E445" s="46">
        <v>30000</v>
      </c>
      <c r="F445" s="47">
        <f>+$I$4+(CLIENT[[#This Row],[QUANTITE]]*CLIENT[[#This Row],[PRIX UNITAIRE]])</f>
        <v>30000</v>
      </c>
      <c r="G445" s="48"/>
      <c r="H445" s="49">
        <f>+SUM($F$9:F445)-SUM($G$9:G445)</f>
        <v>5948000</v>
      </c>
    </row>
    <row r="446" spans="1:8" ht="28.8" x14ac:dyDescent="0.55000000000000004">
      <c r="A446" s="43">
        <v>44616</v>
      </c>
      <c r="B446" s="43" t="s">
        <v>1304</v>
      </c>
      <c r="C446" s="44" t="s">
        <v>1794</v>
      </c>
      <c r="D446" s="45">
        <v>2</v>
      </c>
      <c r="E446" s="46">
        <v>125000</v>
      </c>
      <c r="F446" s="47">
        <f>+$I$4+(CLIENT[[#This Row],[QUANTITE]]*CLIENT[[#This Row],[PRIX UNITAIRE]])</f>
        <v>250000</v>
      </c>
      <c r="G446" s="48"/>
      <c r="H446" s="49">
        <f>+SUM($F$9:F446)-SUM($G$9:G446)</f>
        <v>6198000</v>
      </c>
    </row>
    <row r="447" spans="1:8" ht="28.8" x14ac:dyDescent="0.55000000000000004">
      <c r="A447" s="43">
        <v>44637</v>
      </c>
      <c r="B447" s="43" t="s">
        <v>1232</v>
      </c>
      <c r="C447" s="44" t="s">
        <v>1820</v>
      </c>
      <c r="D447" s="45">
        <v>1</v>
      </c>
      <c r="E447" s="46">
        <v>150000</v>
      </c>
      <c r="F447" s="47">
        <f>+$I$4+(CLIENT[[#This Row],[QUANTITE]]*CLIENT[[#This Row],[PRIX UNITAIRE]])</f>
        <v>150000</v>
      </c>
      <c r="G447" s="48"/>
      <c r="H447" s="49">
        <f>+SUM($F$9:F447)-SUM($G$9:G447)</f>
        <v>6348000</v>
      </c>
    </row>
    <row r="448" spans="1:8" ht="28.8" x14ac:dyDescent="0.55000000000000004">
      <c r="A448" s="43">
        <v>44638</v>
      </c>
      <c r="B448" s="43" t="s">
        <v>1234</v>
      </c>
      <c r="C448" s="44" t="s">
        <v>1821</v>
      </c>
      <c r="D448" s="45">
        <v>2</v>
      </c>
      <c r="E448" s="46">
        <v>320000</v>
      </c>
      <c r="F448" s="47">
        <f>+$I$4+(CLIENT[[#This Row],[QUANTITE]]*CLIENT[[#This Row],[PRIX UNITAIRE]])</f>
        <v>640000</v>
      </c>
      <c r="G448" s="48"/>
      <c r="H448" s="49">
        <f>+SUM($F$9:F448)-SUM($G$9:G448)</f>
        <v>6988000</v>
      </c>
    </row>
    <row r="449" spans="1:8" ht="28.8" x14ac:dyDescent="0.55000000000000004">
      <c r="A449" s="43">
        <v>44639</v>
      </c>
      <c r="B449" s="43" t="s">
        <v>1233</v>
      </c>
      <c r="C449" s="44" t="s">
        <v>1819</v>
      </c>
      <c r="D449" s="45">
        <v>1</v>
      </c>
      <c r="E449" s="46">
        <v>30000</v>
      </c>
      <c r="F449" s="47">
        <f>+$I$4+(CLIENT[[#This Row],[QUANTITE]]*CLIENT[[#This Row],[PRIX UNITAIRE]])</f>
        <v>30000</v>
      </c>
      <c r="G449" s="48"/>
      <c r="H449" s="49">
        <f>+SUM($F$9:F449)-SUM($G$9:G449)</f>
        <v>7018000</v>
      </c>
    </row>
    <row r="450" spans="1:8" ht="28.8" x14ac:dyDescent="0.55000000000000004">
      <c r="A450" s="43">
        <v>44639</v>
      </c>
      <c r="B450" s="43" t="s">
        <v>1144</v>
      </c>
      <c r="C450" s="44" t="s">
        <v>1822</v>
      </c>
      <c r="D450" s="45">
        <v>1</v>
      </c>
      <c r="E450" s="46">
        <v>150000</v>
      </c>
      <c r="F450" s="47">
        <f>+$I$4+(CLIENT[[#This Row],[QUANTITE]]*CLIENT[[#This Row],[PRIX UNITAIRE]])</f>
        <v>150000</v>
      </c>
      <c r="G450" s="48"/>
      <c r="H450" s="49">
        <f>+SUM($F$9:F450)-SUM($G$9:G450)</f>
        <v>7168000</v>
      </c>
    </row>
    <row r="451" spans="1:8" ht="28.8" x14ac:dyDescent="0.55000000000000004">
      <c r="A451" s="43">
        <v>44642</v>
      </c>
      <c r="B451" s="43" t="s">
        <v>1737</v>
      </c>
      <c r="C451" s="44" t="s">
        <v>1823</v>
      </c>
      <c r="D451" s="45">
        <v>1</v>
      </c>
      <c r="E451" s="46">
        <v>185000</v>
      </c>
      <c r="F451" s="47">
        <f>+$I$4+(CLIENT[[#This Row],[QUANTITE]]*CLIENT[[#This Row],[PRIX UNITAIRE]])</f>
        <v>185000</v>
      </c>
      <c r="G451" s="48"/>
      <c r="H451" s="49">
        <f>+SUM($F$9:F451)-SUM($G$9:G451)</f>
        <v>7353000</v>
      </c>
    </row>
    <row r="452" spans="1:8" ht="28.8" x14ac:dyDescent="0.55000000000000004">
      <c r="A452" s="43"/>
      <c r="B452" s="43" t="s">
        <v>1461</v>
      </c>
      <c r="C452" s="44" t="s">
        <v>1819</v>
      </c>
      <c r="D452" s="45">
        <v>1</v>
      </c>
      <c r="E452" s="46">
        <v>30000</v>
      </c>
      <c r="F452" s="47">
        <f>+$I$4+(CLIENT[[#This Row],[QUANTITE]]*CLIENT[[#This Row],[PRIX UNITAIRE]])</f>
        <v>30000</v>
      </c>
      <c r="G452" s="48"/>
      <c r="H452" s="49">
        <f>+SUM($F$9:F452)-SUM($G$9:G452)</f>
        <v>7383000</v>
      </c>
    </row>
    <row r="453" spans="1:8" ht="28.8" x14ac:dyDescent="0.55000000000000004">
      <c r="A453" s="43">
        <v>44643</v>
      </c>
      <c r="B453" s="43" t="s">
        <v>1824</v>
      </c>
      <c r="C453" s="44" t="s">
        <v>1825</v>
      </c>
      <c r="D453" s="45">
        <v>1</v>
      </c>
      <c r="E453" s="46">
        <v>135000</v>
      </c>
      <c r="F453" s="47">
        <f>+$I$4+(CLIENT[[#This Row],[QUANTITE]]*CLIENT[[#This Row],[PRIX UNITAIRE]])</f>
        <v>135000</v>
      </c>
      <c r="G453" s="48"/>
      <c r="H453" s="49">
        <f>+SUM($F$9:F453)-SUM($G$9:G453)</f>
        <v>7518000</v>
      </c>
    </row>
    <row r="454" spans="1:8" ht="28.8" x14ac:dyDescent="0.55000000000000004">
      <c r="A454" s="43"/>
      <c r="B454" s="43"/>
      <c r="C454" s="44" t="s">
        <v>860</v>
      </c>
      <c r="D454" s="45">
        <v>1</v>
      </c>
      <c r="E454" s="46">
        <v>45000</v>
      </c>
      <c r="F454" s="47">
        <f>+$I$4+(CLIENT[[#This Row],[QUANTITE]]*CLIENT[[#This Row],[PRIX UNITAIRE]])</f>
        <v>45000</v>
      </c>
      <c r="G454" s="48"/>
      <c r="H454" s="49">
        <f>+SUM($F$9:F454)-SUM($G$9:G454)</f>
        <v>7563000</v>
      </c>
    </row>
    <row r="455" spans="1:8" ht="28.8" x14ac:dyDescent="0.55000000000000004">
      <c r="A455" s="43">
        <v>44643</v>
      </c>
      <c r="B455" s="43" t="s">
        <v>1144</v>
      </c>
      <c r="C455" s="44" t="s">
        <v>921</v>
      </c>
      <c r="D455" s="45">
        <v>2</v>
      </c>
      <c r="E455" s="46">
        <v>110000</v>
      </c>
      <c r="F455" s="47">
        <f>+$I$4+(CLIENT[[#This Row],[QUANTITE]]*CLIENT[[#This Row],[PRIX UNITAIRE]])</f>
        <v>220000</v>
      </c>
      <c r="G455" s="48"/>
      <c r="H455" s="49">
        <f>+SUM($F$9:F455)-SUM($G$9:G455)</f>
        <v>7783000</v>
      </c>
    </row>
    <row r="456" spans="1:8" ht="28.8" x14ac:dyDescent="0.55000000000000004">
      <c r="A456" s="43">
        <v>44644</v>
      </c>
      <c r="B456" s="43" t="s">
        <v>1826</v>
      </c>
      <c r="C456" s="44" t="s">
        <v>1827</v>
      </c>
      <c r="D456" s="45">
        <v>1</v>
      </c>
      <c r="E456" s="46">
        <v>185000</v>
      </c>
      <c r="F456" s="47">
        <f>+$I$4+(CLIENT[[#This Row],[QUANTITE]]*CLIENT[[#This Row],[PRIX UNITAIRE]])</f>
        <v>185000</v>
      </c>
      <c r="G456" s="48"/>
      <c r="H456" s="49">
        <f>+SUM($F$9:F456)-SUM($G$9:G456)</f>
        <v>7968000</v>
      </c>
    </row>
    <row r="457" spans="1:8" ht="28.8" x14ac:dyDescent="0.55000000000000004">
      <c r="A457" s="43"/>
      <c r="B457" s="43" t="s">
        <v>1828</v>
      </c>
      <c r="C457" s="44" t="s">
        <v>1829</v>
      </c>
      <c r="D457" s="45">
        <v>1</v>
      </c>
      <c r="E457" s="46">
        <v>185000</v>
      </c>
      <c r="F457" s="47">
        <f>+$I$4+(CLIENT[[#This Row],[QUANTITE]]*CLIENT[[#This Row],[PRIX UNITAIRE]])</f>
        <v>185000</v>
      </c>
      <c r="G457" s="48"/>
      <c r="H457" s="49">
        <f>+SUM($F$9:F457)-SUM($G$9:G457)</f>
        <v>8153000</v>
      </c>
    </row>
    <row r="458" spans="1:8" ht="28.8" x14ac:dyDescent="0.55000000000000004">
      <c r="A458" s="43">
        <v>44645</v>
      </c>
      <c r="B458" s="43" t="s">
        <v>1830</v>
      </c>
      <c r="C458" s="44" t="s">
        <v>1831</v>
      </c>
      <c r="D458" s="45">
        <v>2</v>
      </c>
      <c r="E458" s="46">
        <v>185000</v>
      </c>
      <c r="F458" s="47">
        <f>+$I$4+(CLIENT[[#This Row],[QUANTITE]]*CLIENT[[#This Row],[PRIX UNITAIRE]])</f>
        <v>370000</v>
      </c>
      <c r="G458" s="48"/>
      <c r="H458" s="49">
        <f>+SUM($F$9:F458)-SUM($G$9:G458)</f>
        <v>8523000</v>
      </c>
    </row>
    <row r="459" spans="1:8" ht="28.8" x14ac:dyDescent="0.55000000000000004">
      <c r="A459" s="43"/>
      <c r="B459" s="43" t="s">
        <v>1638</v>
      </c>
      <c r="C459" s="44" t="s">
        <v>1832</v>
      </c>
      <c r="D459" s="45">
        <v>1</v>
      </c>
      <c r="E459" s="46">
        <v>185000</v>
      </c>
      <c r="F459" s="47">
        <f>+$I$4+(CLIENT[[#This Row],[QUANTITE]]*CLIENT[[#This Row],[PRIX UNITAIRE]])</f>
        <v>185000</v>
      </c>
      <c r="G459" s="48"/>
      <c r="H459" s="49">
        <f>+SUM($F$9:F459)-SUM($G$9:G459)</f>
        <v>8708000</v>
      </c>
    </row>
    <row r="460" spans="1:8" ht="28.8" x14ac:dyDescent="0.55000000000000004">
      <c r="A460" s="43">
        <v>44646</v>
      </c>
      <c r="B460" s="43" t="s">
        <v>1833</v>
      </c>
      <c r="C460" s="44" t="s">
        <v>1834</v>
      </c>
      <c r="D460" s="45">
        <v>1</v>
      </c>
      <c r="E460" s="46">
        <v>185000</v>
      </c>
      <c r="F460" s="47">
        <f>+$I$4+(CLIENT[[#This Row],[QUANTITE]]*CLIENT[[#This Row],[PRIX UNITAIRE]])</f>
        <v>185000</v>
      </c>
      <c r="G460" s="48"/>
      <c r="H460" s="49">
        <f>+SUM($F$9:F460)-SUM($G$9:G460)</f>
        <v>8893000</v>
      </c>
    </row>
    <row r="461" spans="1:8" ht="28.8" x14ac:dyDescent="0.55000000000000004">
      <c r="A461" s="43"/>
      <c r="B461" s="43" t="s">
        <v>1238</v>
      </c>
      <c r="C461" s="44" t="s">
        <v>1835</v>
      </c>
      <c r="D461" s="45">
        <v>1</v>
      </c>
      <c r="E461" s="46">
        <v>300000</v>
      </c>
      <c r="F461" s="47">
        <f>+$I$4+(CLIENT[[#This Row],[QUANTITE]]*CLIENT[[#This Row],[PRIX UNITAIRE]])</f>
        <v>300000</v>
      </c>
      <c r="G461" s="48"/>
      <c r="H461" s="49">
        <f>+SUM($F$9:F461)-SUM($G$9:G461)</f>
        <v>9193000</v>
      </c>
    </row>
    <row r="462" spans="1:8" ht="28.8" x14ac:dyDescent="0.55000000000000004">
      <c r="A462" s="43"/>
      <c r="B462" s="43" t="s">
        <v>1640</v>
      </c>
      <c r="C462" s="44" t="s">
        <v>1819</v>
      </c>
      <c r="D462" s="45">
        <v>1</v>
      </c>
      <c r="E462" s="46">
        <v>30000</v>
      </c>
      <c r="F462" s="47">
        <f>+$I$4+(CLIENT[[#This Row],[QUANTITE]]*CLIENT[[#This Row],[PRIX UNITAIRE]])</f>
        <v>30000</v>
      </c>
      <c r="G462" s="48"/>
      <c r="H462" s="49">
        <f>+SUM($F$9:F462)-SUM($G$9:G462)</f>
        <v>9223000</v>
      </c>
    </row>
    <row r="463" spans="1:8" ht="28.8" x14ac:dyDescent="0.55000000000000004">
      <c r="A463" s="43">
        <v>44648</v>
      </c>
      <c r="B463" s="43" t="s">
        <v>1600</v>
      </c>
      <c r="C463" s="44" t="s">
        <v>1836</v>
      </c>
      <c r="D463" s="45">
        <v>1</v>
      </c>
      <c r="E463" s="46">
        <v>150000</v>
      </c>
      <c r="F463" s="47">
        <f>+$I$4+(CLIENT[[#This Row],[QUANTITE]]*CLIENT[[#This Row],[PRIX UNITAIRE]])</f>
        <v>150000</v>
      </c>
      <c r="G463" s="48"/>
      <c r="H463" s="49">
        <f>+SUM($F$9:F463)-SUM($G$9:G463)</f>
        <v>9373000</v>
      </c>
    </row>
    <row r="464" spans="1:8" ht="28.8" x14ac:dyDescent="0.55000000000000004">
      <c r="A464" s="43"/>
      <c r="B464" s="43" t="s">
        <v>1774</v>
      </c>
      <c r="C464" s="44" t="s">
        <v>1837</v>
      </c>
      <c r="D464" s="45">
        <v>1</v>
      </c>
      <c r="E464" s="46">
        <v>150000</v>
      </c>
      <c r="F464" s="47">
        <f>+$I$4+(CLIENT[[#This Row],[QUANTITE]]*CLIENT[[#This Row],[PRIX UNITAIRE]])</f>
        <v>150000</v>
      </c>
      <c r="G464" s="48"/>
      <c r="H464" s="49">
        <f>+SUM($F$9:F464)-SUM($G$9:G464)</f>
        <v>9523000</v>
      </c>
    </row>
    <row r="465" spans="1:8" ht="28.8" x14ac:dyDescent="0.55000000000000004">
      <c r="A465" s="43"/>
      <c r="B465" s="43"/>
      <c r="C465" s="44" t="s">
        <v>1819</v>
      </c>
      <c r="D465" s="45">
        <v>1</v>
      </c>
      <c r="E465" s="46">
        <v>30000</v>
      </c>
      <c r="F465" s="47">
        <f>+$I$4+(CLIENT[[#This Row],[QUANTITE]]*CLIENT[[#This Row],[PRIX UNITAIRE]])</f>
        <v>30000</v>
      </c>
      <c r="G465" s="48"/>
      <c r="H465" s="49">
        <f>+SUM($F$9:F465)-SUM($G$9:G465)</f>
        <v>9553000</v>
      </c>
    </row>
    <row r="466" spans="1:8" ht="28.8" x14ac:dyDescent="0.55000000000000004">
      <c r="A466" s="43">
        <v>44650</v>
      </c>
      <c r="B466" s="43" t="s">
        <v>1838</v>
      </c>
      <c r="C466" s="44" t="s">
        <v>1839</v>
      </c>
      <c r="D466" s="45">
        <v>1</v>
      </c>
      <c r="E466" s="46">
        <v>185000</v>
      </c>
      <c r="F466" s="47">
        <f>+$I$4+(CLIENT[[#This Row],[QUANTITE]]*CLIENT[[#This Row],[PRIX UNITAIRE]])</f>
        <v>185000</v>
      </c>
      <c r="G466" s="48"/>
      <c r="H466" s="49">
        <f>+SUM($F$9:F466)-SUM($G$9:G466)</f>
        <v>9738000</v>
      </c>
    </row>
    <row r="467" spans="1:8" ht="28.8" x14ac:dyDescent="0.55000000000000004">
      <c r="A467" s="43">
        <v>44652</v>
      </c>
      <c r="B467" s="43" t="s">
        <v>1833</v>
      </c>
      <c r="C467" s="44" t="s">
        <v>1840</v>
      </c>
      <c r="D467" s="45">
        <v>1</v>
      </c>
      <c r="E467" s="46">
        <v>185000</v>
      </c>
      <c r="F467" s="47">
        <f>+$I$4+(CLIENT[[#This Row],[QUANTITE]]*CLIENT[[#This Row],[PRIX UNITAIRE]])</f>
        <v>185000</v>
      </c>
      <c r="G467" s="48"/>
      <c r="H467" s="49">
        <f>+SUM($F$9:F467)-SUM($G$9:G467)</f>
        <v>9923000</v>
      </c>
    </row>
    <row r="468" spans="1:8" ht="28.8" x14ac:dyDescent="0.55000000000000004">
      <c r="A468" s="43">
        <v>44652</v>
      </c>
      <c r="B468" s="43" t="s">
        <v>1824</v>
      </c>
      <c r="C468" s="44" t="s">
        <v>1818</v>
      </c>
      <c r="D468" s="45">
        <v>1</v>
      </c>
      <c r="E468" s="46">
        <v>135000</v>
      </c>
      <c r="F468" s="47">
        <f>+$I$4+(CLIENT[[#This Row],[QUANTITE]]*CLIENT[[#This Row],[PRIX UNITAIRE]])</f>
        <v>135000</v>
      </c>
      <c r="G468" s="48"/>
      <c r="H468" s="49">
        <f>+SUM($F$9:F468)-SUM($G$9:G468)</f>
        <v>10058000</v>
      </c>
    </row>
    <row r="469" spans="1:8" ht="28.8" x14ac:dyDescent="0.55000000000000004">
      <c r="A469" s="43"/>
      <c r="B469" s="43"/>
      <c r="C469" s="44" t="s">
        <v>860</v>
      </c>
      <c r="D469" s="45">
        <v>1</v>
      </c>
      <c r="E469" s="46">
        <v>45000</v>
      </c>
      <c r="F469" s="47">
        <f>+$I$4+(CLIENT[[#This Row],[QUANTITE]]*CLIENT[[#This Row],[PRIX UNITAIRE]])</f>
        <v>45000</v>
      </c>
      <c r="G469" s="48"/>
      <c r="H469" s="49">
        <f>+SUM($F$9:F469)-SUM($G$9:G469)</f>
        <v>10103000</v>
      </c>
    </row>
    <row r="470" spans="1:8" ht="28.8" x14ac:dyDescent="0.55000000000000004">
      <c r="A470" s="43">
        <v>44653</v>
      </c>
      <c r="B470" s="43" t="s">
        <v>1447</v>
      </c>
      <c r="C470" s="44" t="s">
        <v>1841</v>
      </c>
      <c r="D470" s="45">
        <v>1</v>
      </c>
      <c r="E470" s="46">
        <v>185000</v>
      </c>
      <c r="F470" s="47">
        <f>+$I$4+(CLIENT[[#This Row],[QUANTITE]]*CLIENT[[#This Row],[PRIX UNITAIRE]])</f>
        <v>185000</v>
      </c>
      <c r="G470" s="48"/>
      <c r="H470" s="49">
        <f>+SUM($F$9:F470)-SUM($G$9:G470)</f>
        <v>10288000</v>
      </c>
    </row>
    <row r="471" spans="1:8" ht="28.8" x14ac:dyDescent="0.55000000000000004">
      <c r="A471" s="43">
        <v>44653</v>
      </c>
      <c r="B471" s="43" t="s">
        <v>1824</v>
      </c>
      <c r="C471" s="44" t="s">
        <v>1818</v>
      </c>
      <c r="D471" s="45">
        <v>1</v>
      </c>
      <c r="E471" s="46">
        <v>150000</v>
      </c>
      <c r="F471" s="47">
        <f>+$I$4+(CLIENT[[#This Row],[QUANTITE]]*CLIENT[[#This Row],[PRIX UNITAIRE]])</f>
        <v>150000</v>
      </c>
      <c r="G471" s="48"/>
      <c r="H471" s="49">
        <f>+SUM($F$9:F471)-SUM($G$9:G471)</f>
        <v>10438000</v>
      </c>
    </row>
    <row r="472" spans="1:8" ht="28.8" x14ac:dyDescent="0.55000000000000004">
      <c r="A472" s="43">
        <v>44655</v>
      </c>
      <c r="B472" s="43" t="s">
        <v>1343</v>
      </c>
      <c r="C472" s="44" t="s">
        <v>1842</v>
      </c>
      <c r="D472" s="45">
        <v>1</v>
      </c>
      <c r="E472" s="46">
        <v>295000</v>
      </c>
      <c r="F472" s="47">
        <f>+$I$4+(CLIENT[[#This Row],[QUANTITE]]*CLIENT[[#This Row],[PRIX UNITAIRE]])</f>
        <v>295000</v>
      </c>
      <c r="G472" s="48"/>
      <c r="H472" s="49">
        <f>+SUM($F$9:F472)-SUM($G$9:G472)</f>
        <v>10733000</v>
      </c>
    </row>
    <row r="473" spans="1:8" ht="28.8" x14ac:dyDescent="0.55000000000000004">
      <c r="A473" s="43"/>
      <c r="B473" s="43"/>
      <c r="C473" s="44" t="s">
        <v>1843</v>
      </c>
      <c r="D473" s="45">
        <v>1</v>
      </c>
      <c r="E473" s="46">
        <v>150000</v>
      </c>
      <c r="F473" s="47">
        <f>+$I$4+(CLIENT[[#This Row],[QUANTITE]]*CLIENT[[#This Row],[PRIX UNITAIRE]])</f>
        <v>150000</v>
      </c>
      <c r="G473" s="48"/>
      <c r="H473" s="49">
        <f>+SUM($F$9:F473)-SUM($G$9:G473)</f>
        <v>10883000</v>
      </c>
    </row>
    <row r="474" spans="1:8" ht="28.8" x14ac:dyDescent="0.55000000000000004">
      <c r="A474" s="43">
        <v>44663</v>
      </c>
      <c r="B474" s="43" t="s">
        <v>1232</v>
      </c>
      <c r="C474" s="44" t="s">
        <v>1819</v>
      </c>
      <c r="D474" s="45">
        <v>1</v>
      </c>
      <c r="E474" s="46">
        <v>30000</v>
      </c>
      <c r="F474" s="47">
        <f>+$I$4+(CLIENT[[#This Row],[QUANTITE]]*CLIENT[[#This Row],[PRIX UNITAIRE]])</f>
        <v>30000</v>
      </c>
      <c r="G474" s="48"/>
      <c r="H474" s="49">
        <f>+SUM($F$9:F474)-SUM($G$9:G474)</f>
        <v>10913000</v>
      </c>
    </row>
    <row r="475" spans="1:8" ht="28.8" x14ac:dyDescent="0.55000000000000004">
      <c r="A475" s="43"/>
      <c r="B475" s="43"/>
      <c r="C475" s="44" t="s">
        <v>1844</v>
      </c>
      <c r="D475" s="45">
        <v>1</v>
      </c>
      <c r="E475" s="46">
        <v>10000</v>
      </c>
      <c r="F475" s="47">
        <f>+$I$4+(CLIENT[[#This Row],[QUANTITE]]*CLIENT[[#This Row],[PRIX UNITAIRE]])</f>
        <v>10000</v>
      </c>
      <c r="G475" s="48"/>
      <c r="H475" s="49">
        <f>+SUM($F$9:F475)-SUM($G$9:G475)</f>
        <v>10923000</v>
      </c>
    </row>
    <row r="476" spans="1:8" ht="28.8" x14ac:dyDescent="0.55000000000000004">
      <c r="A476" s="43">
        <v>44663</v>
      </c>
      <c r="B476" s="43" t="s">
        <v>1302</v>
      </c>
      <c r="C476" s="44" t="s">
        <v>1845</v>
      </c>
      <c r="D476" s="45">
        <v>2</v>
      </c>
      <c r="E476" s="46">
        <v>15000</v>
      </c>
      <c r="F476" s="47">
        <f>+$I$4+(CLIENT[[#This Row],[QUANTITE]]*CLIENT[[#This Row],[PRIX UNITAIRE]])</f>
        <v>30000</v>
      </c>
      <c r="G476" s="48"/>
      <c r="H476" s="49">
        <f>+SUM($F$9:F476)-SUM($G$9:G476)</f>
        <v>10953000</v>
      </c>
    </row>
    <row r="477" spans="1:8" ht="28.8" x14ac:dyDescent="0.55000000000000004">
      <c r="A477" s="43">
        <v>44663</v>
      </c>
      <c r="B477" s="43" t="s">
        <v>1382</v>
      </c>
      <c r="C477" s="44" t="s">
        <v>1794</v>
      </c>
      <c r="D477" s="45">
        <v>2</v>
      </c>
      <c r="E477" s="46">
        <v>125000</v>
      </c>
      <c r="F477" s="47">
        <f>+$I$4+(CLIENT[[#This Row],[QUANTITE]]*CLIENT[[#This Row],[PRIX UNITAIRE]])</f>
        <v>250000</v>
      </c>
      <c r="G477" s="48"/>
      <c r="H477" s="49">
        <f>+SUM($F$9:F477)-SUM($G$9:G477)</f>
        <v>11203000</v>
      </c>
    </row>
    <row r="478" spans="1:8" ht="28.8" x14ac:dyDescent="0.55000000000000004">
      <c r="A478" s="43">
        <v>44664</v>
      </c>
      <c r="B478" s="43"/>
      <c r="C478" s="44" t="s">
        <v>1846</v>
      </c>
      <c r="D478" s="45">
        <v>1</v>
      </c>
      <c r="E478" s="46">
        <v>0</v>
      </c>
      <c r="F478" s="47">
        <f>+$I$4+(CLIENT[[#This Row],[QUANTITE]]*CLIENT[[#This Row],[PRIX UNITAIRE]])</f>
        <v>0</v>
      </c>
      <c r="G478" s="48">
        <v>10000000</v>
      </c>
      <c r="H478" s="49">
        <f>+SUM($F$9:F478)-SUM($G$9:G478)</f>
        <v>1203000</v>
      </c>
    </row>
    <row r="479" spans="1:8" ht="28.8" x14ac:dyDescent="0.55000000000000004">
      <c r="A479" s="43">
        <v>44666</v>
      </c>
      <c r="B479" s="43" t="s">
        <v>1461</v>
      </c>
      <c r="C479" s="44" t="s">
        <v>1847</v>
      </c>
      <c r="D479" s="45">
        <v>1</v>
      </c>
      <c r="E479" s="46">
        <v>150000</v>
      </c>
      <c r="F479" s="47">
        <f>+$I$4+(CLIENT[[#This Row],[QUANTITE]]*CLIENT[[#This Row],[PRIX UNITAIRE]])</f>
        <v>150000</v>
      </c>
      <c r="G479" s="48"/>
      <c r="H479" s="49">
        <f>+SUM($F$9:F479)-SUM($G$9:G479)</f>
        <v>1353000</v>
      </c>
    </row>
    <row r="480" spans="1:8" ht="28.8" x14ac:dyDescent="0.55000000000000004">
      <c r="A480" s="43">
        <v>44666</v>
      </c>
      <c r="B480" s="43" t="s">
        <v>1848</v>
      </c>
      <c r="C480" s="44" t="s">
        <v>1849</v>
      </c>
      <c r="D480" s="45">
        <v>1</v>
      </c>
      <c r="E480" s="46">
        <v>185000</v>
      </c>
      <c r="F480" s="47">
        <f>+$I$4+(CLIENT[[#This Row],[QUANTITE]]*CLIENT[[#This Row],[PRIX UNITAIRE]])</f>
        <v>185000</v>
      </c>
      <c r="G480" s="48"/>
      <c r="H480" s="49">
        <f>+SUM($F$9:F480)-SUM($G$9:G480)</f>
        <v>1538000</v>
      </c>
    </row>
    <row r="481" spans="1:8" ht="28.8" x14ac:dyDescent="0.55000000000000004">
      <c r="A481" s="43">
        <v>44674</v>
      </c>
      <c r="B481" s="43" t="s">
        <v>1850</v>
      </c>
      <c r="C481" s="44" t="s">
        <v>1851</v>
      </c>
      <c r="D481" s="45">
        <v>1</v>
      </c>
      <c r="E481" s="46">
        <v>185000</v>
      </c>
      <c r="F481" s="47">
        <f>+$I$4+(CLIENT[[#This Row],[QUANTITE]]*CLIENT[[#This Row],[PRIX UNITAIRE]])</f>
        <v>185000</v>
      </c>
      <c r="G481" s="48"/>
      <c r="H481" s="49">
        <f>+SUM($F$9:F481)-SUM($G$9:G481)</f>
        <v>1723000</v>
      </c>
    </row>
    <row r="482" spans="1:8" ht="28.8" x14ac:dyDescent="0.55000000000000004">
      <c r="A482" s="43">
        <v>44690</v>
      </c>
      <c r="B482" s="43" t="s">
        <v>1699</v>
      </c>
      <c r="C482" s="44" t="s">
        <v>1852</v>
      </c>
      <c r="D482" s="45">
        <v>1</v>
      </c>
      <c r="E482" s="46">
        <v>150000</v>
      </c>
      <c r="F482" s="47">
        <f>+$I$4+(CLIENT[[#This Row],[QUANTITE]]*CLIENT[[#This Row],[PRIX UNITAIRE]])</f>
        <v>150000</v>
      </c>
      <c r="G482" s="48"/>
      <c r="H482" s="49">
        <f>+SUM($F$9:F482)-SUM($G$9:G482)</f>
        <v>1873000</v>
      </c>
    </row>
    <row r="483" spans="1:8" ht="28.8" x14ac:dyDescent="0.55000000000000004">
      <c r="A483" s="43"/>
      <c r="B483" s="43" t="s">
        <v>1699</v>
      </c>
      <c r="C483" s="44" t="s">
        <v>1819</v>
      </c>
      <c r="D483" s="45">
        <v>1</v>
      </c>
      <c r="E483" s="46">
        <v>30000</v>
      </c>
      <c r="F483" s="47">
        <f>+$I$4+(CLIENT[[#This Row],[QUANTITE]]*CLIENT[[#This Row],[PRIX UNITAIRE]])</f>
        <v>30000</v>
      </c>
      <c r="G483" s="48"/>
      <c r="H483" s="49">
        <f>+SUM($F$9:F483)-SUM($G$9:G483)</f>
        <v>1903000</v>
      </c>
    </row>
    <row r="484" spans="1:8" ht="28.8" x14ac:dyDescent="0.55000000000000004">
      <c r="A484" s="43">
        <v>44691</v>
      </c>
      <c r="B484" s="43" t="s">
        <v>1853</v>
      </c>
      <c r="C484" s="44" t="s">
        <v>1854</v>
      </c>
      <c r="D484" s="45">
        <v>1</v>
      </c>
      <c r="E484" s="46">
        <v>185000</v>
      </c>
      <c r="F484" s="47">
        <f>+$I$4+(CLIENT[[#This Row],[QUANTITE]]*CLIENT[[#This Row],[PRIX UNITAIRE]])</f>
        <v>185000</v>
      </c>
      <c r="G484" s="48"/>
      <c r="H484" s="49">
        <f>+SUM($F$9:F484)-SUM($G$9:G484)</f>
        <v>2088000</v>
      </c>
    </row>
    <row r="485" spans="1:8" ht="28.8" x14ac:dyDescent="0.55000000000000004">
      <c r="A485" s="43">
        <v>44693</v>
      </c>
      <c r="B485" s="43" t="s">
        <v>1855</v>
      </c>
      <c r="C485" s="44" t="s">
        <v>1856</v>
      </c>
      <c r="D485" s="45">
        <v>2</v>
      </c>
      <c r="E485" s="46">
        <v>150000</v>
      </c>
      <c r="F485" s="47">
        <f>+$I$4+(CLIENT[[#This Row],[QUANTITE]]*CLIENT[[#This Row],[PRIX UNITAIRE]])</f>
        <v>300000</v>
      </c>
      <c r="G485" s="48"/>
      <c r="H485" s="49">
        <f>+SUM($F$9:F485)-SUM($G$9:G485)</f>
        <v>2388000</v>
      </c>
    </row>
    <row r="486" spans="1:8" ht="28.8" x14ac:dyDescent="0.55000000000000004">
      <c r="A486" s="43">
        <v>44694</v>
      </c>
      <c r="B486" s="43" t="s">
        <v>1144</v>
      </c>
      <c r="C486" s="44" t="s">
        <v>1857</v>
      </c>
      <c r="D486" s="45">
        <v>1</v>
      </c>
      <c r="E486" s="46">
        <v>150000</v>
      </c>
      <c r="F486" s="47">
        <f>+$I$4+(CLIENT[[#This Row],[QUANTITE]]*CLIENT[[#This Row],[PRIX UNITAIRE]])</f>
        <v>150000</v>
      </c>
      <c r="G486" s="48"/>
      <c r="H486" s="49">
        <f>+SUM($F$9:F486)-SUM($G$9:G486)</f>
        <v>2538000</v>
      </c>
    </row>
    <row r="487" spans="1:8" ht="28.8" x14ac:dyDescent="0.55000000000000004">
      <c r="A487" s="43">
        <v>44695</v>
      </c>
      <c r="B487" s="43" t="s">
        <v>1638</v>
      </c>
      <c r="C487" s="44" t="s">
        <v>1858</v>
      </c>
      <c r="D487" s="45">
        <v>1</v>
      </c>
      <c r="E487" s="46">
        <v>185000</v>
      </c>
      <c r="F487" s="47">
        <f>+$I$4+(CLIENT[[#This Row],[QUANTITE]]*CLIENT[[#This Row],[PRIX UNITAIRE]])</f>
        <v>185000</v>
      </c>
      <c r="G487" s="48"/>
      <c r="H487" s="49">
        <f>+SUM($F$9:F487)-SUM($G$9:G487)</f>
        <v>2723000</v>
      </c>
    </row>
    <row r="488" spans="1:8" ht="28.8" x14ac:dyDescent="0.55000000000000004">
      <c r="A488" s="43">
        <v>44695</v>
      </c>
      <c r="B488" s="43" t="s">
        <v>1307</v>
      </c>
      <c r="C488" s="44" t="s">
        <v>1859</v>
      </c>
      <c r="D488" s="45">
        <v>1</v>
      </c>
      <c r="E488" s="46">
        <v>150000</v>
      </c>
      <c r="F488" s="47">
        <f>+$I$4+(CLIENT[[#This Row],[QUANTITE]]*CLIENT[[#This Row],[PRIX UNITAIRE]])</f>
        <v>150000</v>
      </c>
      <c r="G488" s="48"/>
      <c r="H488" s="49">
        <f>+SUM($F$9:F488)-SUM($G$9:G488)</f>
        <v>2873000</v>
      </c>
    </row>
    <row r="489" spans="1:8" ht="28.8" x14ac:dyDescent="0.55000000000000004">
      <c r="A489" s="43">
        <v>44695</v>
      </c>
      <c r="B489" s="43" t="s">
        <v>1848</v>
      </c>
      <c r="C489" s="44" t="s">
        <v>1860</v>
      </c>
      <c r="D489" s="45">
        <v>1</v>
      </c>
      <c r="E489" s="46">
        <v>185000</v>
      </c>
      <c r="F489" s="47">
        <f>+$I$4+(CLIENT[[#This Row],[QUANTITE]]*CLIENT[[#This Row],[PRIX UNITAIRE]])</f>
        <v>185000</v>
      </c>
      <c r="G489" s="48"/>
      <c r="H489" s="49">
        <f>+SUM($F$9:F489)-SUM($G$9:G489)</f>
        <v>3058000</v>
      </c>
    </row>
    <row r="490" spans="1:8" ht="28.8" x14ac:dyDescent="0.55000000000000004">
      <c r="A490" s="43">
        <v>44695</v>
      </c>
      <c r="B490" s="43" t="s">
        <v>1861</v>
      </c>
      <c r="C490" s="44" t="s">
        <v>1862</v>
      </c>
      <c r="D490" s="45">
        <v>1</v>
      </c>
      <c r="E490" s="46">
        <v>10000</v>
      </c>
      <c r="F490" s="47">
        <f>+$I$4+(CLIENT[[#This Row],[QUANTITE]]*CLIENT[[#This Row],[PRIX UNITAIRE]])</f>
        <v>10000</v>
      </c>
      <c r="G490" s="48"/>
      <c r="H490" s="49">
        <f>+SUM($F$9:F490)-SUM($G$9:G490)</f>
        <v>3068000</v>
      </c>
    </row>
    <row r="491" spans="1:8" ht="28.8" x14ac:dyDescent="0.55000000000000004">
      <c r="A491" s="43">
        <v>44695</v>
      </c>
      <c r="B491" s="43" t="s">
        <v>1640</v>
      </c>
      <c r="C491" s="44" t="s">
        <v>746</v>
      </c>
      <c r="D491" s="45">
        <v>1</v>
      </c>
      <c r="E491" s="46">
        <v>135000</v>
      </c>
      <c r="F491" s="47">
        <f>+$I$4+(CLIENT[[#This Row],[QUANTITE]]*CLIENT[[#This Row],[PRIX UNITAIRE]])</f>
        <v>135000</v>
      </c>
      <c r="G491" s="48"/>
      <c r="H491" s="49">
        <f>+SUM($F$9:F491)-SUM($G$9:G491)</f>
        <v>3203000</v>
      </c>
    </row>
    <row r="492" spans="1:8" ht="28.8" x14ac:dyDescent="0.55000000000000004">
      <c r="A492" s="43">
        <v>44706</v>
      </c>
      <c r="B492" s="43" t="s">
        <v>1330</v>
      </c>
      <c r="C492" s="44" t="s">
        <v>1863</v>
      </c>
      <c r="D492" s="45">
        <v>1</v>
      </c>
      <c r="E492" s="46">
        <v>150000</v>
      </c>
      <c r="F492" s="47">
        <f>+$I$4+(CLIENT[[#This Row],[QUANTITE]]*CLIENT[[#This Row],[PRIX UNITAIRE]])</f>
        <v>150000</v>
      </c>
      <c r="G492" s="48"/>
      <c r="H492" s="49">
        <f>+SUM($F$9:F492)-SUM($G$9:G492)</f>
        <v>3353000</v>
      </c>
    </row>
    <row r="493" spans="1:8" ht="28.8" x14ac:dyDescent="0.55000000000000004">
      <c r="A493" s="43">
        <v>44706</v>
      </c>
      <c r="B493" s="43" t="s">
        <v>1706</v>
      </c>
      <c r="C493" s="44" t="s">
        <v>1864</v>
      </c>
      <c r="D493" s="45">
        <v>1</v>
      </c>
      <c r="E493" s="46">
        <v>185000</v>
      </c>
      <c r="F493" s="47">
        <f>+$I$4+(CLIENT[[#This Row],[QUANTITE]]*CLIENT[[#This Row],[PRIX UNITAIRE]])</f>
        <v>185000</v>
      </c>
      <c r="G493" s="48"/>
      <c r="H493" s="49">
        <f>+SUM($F$9:F493)-SUM($G$9:G493)</f>
        <v>3538000</v>
      </c>
    </row>
    <row r="494" spans="1:8" ht="28.8" x14ac:dyDescent="0.55000000000000004">
      <c r="A494" s="43">
        <v>44706</v>
      </c>
      <c r="B494" s="43" t="s">
        <v>1727</v>
      </c>
      <c r="C494" s="44" t="s">
        <v>1865</v>
      </c>
      <c r="D494" s="45">
        <v>1</v>
      </c>
      <c r="E494" s="46">
        <v>185000</v>
      </c>
      <c r="F494" s="47">
        <f>+$I$4+(CLIENT[[#This Row],[QUANTITE]]*CLIENT[[#This Row],[PRIX UNITAIRE]])</f>
        <v>185000</v>
      </c>
      <c r="G494" s="48"/>
      <c r="H494" s="49">
        <f>+SUM($F$9:F494)-SUM($G$9:G494)</f>
        <v>3723000</v>
      </c>
    </row>
    <row r="495" spans="1:8" ht="28.8" x14ac:dyDescent="0.55000000000000004">
      <c r="A495" s="43">
        <v>44707</v>
      </c>
      <c r="B495" s="43" t="s">
        <v>1638</v>
      </c>
      <c r="C495" s="44" t="s">
        <v>1866</v>
      </c>
      <c r="D495" s="45">
        <v>1</v>
      </c>
      <c r="E495" s="46">
        <v>185000</v>
      </c>
      <c r="F495" s="47">
        <f>+$I$4+(CLIENT[[#This Row],[QUANTITE]]*CLIENT[[#This Row],[PRIX UNITAIRE]])</f>
        <v>185000</v>
      </c>
      <c r="G495" s="48"/>
      <c r="H495" s="49">
        <f>+SUM($F$9:F495)-SUM($G$9:G495)</f>
        <v>3908000</v>
      </c>
    </row>
    <row r="496" spans="1:8" ht="28.8" x14ac:dyDescent="0.55000000000000004">
      <c r="A496" s="43">
        <v>44707</v>
      </c>
      <c r="B496" s="43" t="s">
        <v>1459</v>
      </c>
      <c r="C496" s="44" t="s">
        <v>1819</v>
      </c>
      <c r="D496" s="45">
        <v>1</v>
      </c>
      <c r="E496" s="46">
        <v>30000</v>
      </c>
      <c r="F496" s="47">
        <f>+$I$4+(CLIENT[[#This Row],[QUANTITE]]*CLIENT[[#This Row],[PRIX UNITAIRE]])</f>
        <v>30000</v>
      </c>
      <c r="G496" s="48"/>
      <c r="H496" s="49">
        <f>+SUM($F$9:F496)-SUM($G$9:G496)</f>
        <v>3938000</v>
      </c>
    </row>
    <row r="497" spans="1:8" ht="28.8" x14ac:dyDescent="0.55000000000000004">
      <c r="A497" s="43">
        <v>44707</v>
      </c>
      <c r="B497" s="43" t="s">
        <v>1833</v>
      </c>
      <c r="C497" s="44" t="s">
        <v>1867</v>
      </c>
      <c r="D497" s="45">
        <v>1</v>
      </c>
      <c r="E497" s="46">
        <v>185000</v>
      </c>
      <c r="F497" s="47">
        <f>+$I$4+(CLIENT[[#This Row],[QUANTITE]]*CLIENT[[#This Row],[PRIX UNITAIRE]])</f>
        <v>185000</v>
      </c>
      <c r="G497" s="48"/>
      <c r="H497" s="49">
        <f>+SUM($F$9:F497)-SUM($G$9:G497)</f>
        <v>4123000</v>
      </c>
    </row>
    <row r="498" spans="1:8" ht="28.8" x14ac:dyDescent="0.55000000000000004">
      <c r="A498" s="43">
        <v>44707</v>
      </c>
      <c r="B498" s="43" t="s">
        <v>1181</v>
      </c>
      <c r="C498" s="44" t="s">
        <v>746</v>
      </c>
      <c r="D498" s="45">
        <v>1</v>
      </c>
      <c r="E498" s="46">
        <v>135000</v>
      </c>
      <c r="F498" s="47">
        <f>+$I$4+(CLIENT[[#This Row],[QUANTITE]]*CLIENT[[#This Row],[PRIX UNITAIRE]])</f>
        <v>135000</v>
      </c>
      <c r="G498" s="48"/>
      <c r="H498" s="49">
        <f>+SUM($F$9:F498)-SUM($G$9:G498)</f>
        <v>4258000</v>
      </c>
    </row>
    <row r="499" spans="1:8" ht="28.8" x14ac:dyDescent="0.55000000000000004">
      <c r="A499" s="43">
        <v>44708</v>
      </c>
      <c r="B499" s="43" t="s">
        <v>1290</v>
      </c>
      <c r="C499" s="44" t="s">
        <v>1868</v>
      </c>
      <c r="D499" s="45">
        <v>1</v>
      </c>
      <c r="E499" s="46">
        <v>150000</v>
      </c>
      <c r="F499" s="47">
        <f>+$I$4+(CLIENT[[#This Row],[QUANTITE]]*CLIENT[[#This Row],[PRIX UNITAIRE]])</f>
        <v>150000</v>
      </c>
      <c r="G499" s="48"/>
      <c r="H499" s="49">
        <f>+SUM($F$9:F499)-SUM($G$9:G499)</f>
        <v>4408000</v>
      </c>
    </row>
    <row r="500" spans="1:8" ht="28.8" x14ac:dyDescent="0.55000000000000004">
      <c r="A500" s="43">
        <v>44709</v>
      </c>
      <c r="B500" s="43" t="s">
        <v>1474</v>
      </c>
      <c r="C500" s="44" t="s">
        <v>1869</v>
      </c>
      <c r="D500" s="45">
        <v>1</v>
      </c>
      <c r="E500" s="46">
        <v>185000</v>
      </c>
      <c r="F500" s="47">
        <f>+$I$4+(CLIENT[[#This Row],[QUANTITE]]*CLIENT[[#This Row],[PRIX UNITAIRE]])</f>
        <v>185000</v>
      </c>
      <c r="G500" s="48"/>
      <c r="H500" s="49">
        <f>+SUM($F$9:F500)-SUM($G$9:G500)</f>
        <v>4593000</v>
      </c>
    </row>
    <row r="501" spans="1:8" ht="28.8" x14ac:dyDescent="0.55000000000000004">
      <c r="A501" s="43">
        <v>44711</v>
      </c>
      <c r="B501" s="43" t="s">
        <v>1870</v>
      </c>
      <c r="C501" s="44" t="s">
        <v>1871</v>
      </c>
      <c r="D501" s="45">
        <v>1</v>
      </c>
      <c r="E501" s="46">
        <v>185000</v>
      </c>
      <c r="F501" s="47">
        <f>+$I$4+(CLIENT[[#This Row],[QUANTITE]]*CLIENT[[#This Row],[PRIX UNITAIRE]])</f>
        <v>185000</v>
      </c>
      <c r="G501" s="48"/>
      <c r="H501" s="49">
        <f>+SUM($F$9:F501)-SUM($G$9:G501)</f>
        <v>4778000</v>
      </c>
    </row>
    <row r="502" spans="1:8" ht="28.8" x14ac:dyDescent="0.55000000000000004">
      <c r="A502" s="43">
        <v>44712</v>
      </c>
      <c r="B502" s="43" t="s">
        <v>1181</v>
      </c>
      <c r="C502" s="44" t="s">
        <v>1872</v>
      </c>
      <c r="D502" s="45">
        <v>2</v>
      </c>
      <c r="E502" s="46">
        <v>150000</v>
      </c>
      <c r="F502" s="47">
        <f>+$I$4+(CLIENT[[#This Row],[QUANTITE]]*CLIENT[[#This Row],[PRIX UNITAIRE]])</f>
        <v>300000</v>
      </c>
      <c r="G502" s="48"/>
      <c r="H502" s="49">
        <f>+SUM($F$9:F502)-SUM($G$9:G502)</f>
        <v>5078000</v>
      </c>
    </row>
    <row r="503" spans="1:8" ht="28.8" x14ac:dyDescent="0.55000000000000004">
      <c r="A503" s="43"/>
      <c r="B503" s="43"/>
      <c r="C503" s="44" t="s">
        <v>1670</v>
      </c>
      <c r="D503" s="45">
        <v>1</v>
      </c>
      <c r="E503" s="46">
        <v>40000</v>
      </c>
      <c r="F503" s="47">
        <f>+$I$4+(CLIENT[[#This Row],[QUANTITE]]*CLIENT[[#This Row],[PRIX UNITAIRE]])</f>
        <v>40000</v>
      </c>
      <c r="G503" s="48"/>
      <c r="H503" s="49">
        <f>+SUM($F$9:F503)-SUM($G$9:G503)</f>
        <v>5118000</v>
      </c>
    </row>
    <row r="504" spans="1:8" ht="28.8" x14ac:dyDescent="0.55000000000000004">
      <c r="A504" s="43">
        <v>44712</v>
      </c>
      <c r="B504" s="43"/>
      <c r="C504" s="44" t="s">
        <v>1873</v>
      </c>
      <c r="D504" s="45">
        <v>10</v>
      </c>
      <c r="E504" s="46">
        <v>0</v>
      </c>
      <c r="F504" s="47">
        <f>+$I$4+(CLIENT[[#This Row],[QUANTITE]]*CLIENT[[#This Row],[PRIX UNITAIRE]])</f>
        <v>0</v>
      </c>
      <c r="G504" s="48">
        <v>100000</v>
      </c>
      <c r="H504" s="49">
        <f>+SUM($F$9:F504)-SUM($G$9:G504)</f>
        <v>5018000</v>
      </c>
    </row>
    <row r="505" spans="1:8" ht="28.8" x14ac:dyDescent="0.55000000000000004">
      <c r="A505" s="43">
        <v>44712</v>
      </c>
      <c r="B505" s="43" t="s">
        <v>1382</v>
      </c>
      <c r="C505" s="44" t="s">
        <v>1874</v>
      </c>
      <c r="D505" s="45">
        <v>2</v>
      </c>
      <c r="E505" s="46">
        <v>150000</v>
      </c>
      <c r="F505" s="47">
        <f>+$I$4+(CLIENT[[#This Row],[QUANTITE]]*CLIENT[[#This Row],[PRIX UNITAIRE]])</f>
        <v>300000</v>
      </c>
      <c r="G505" s="48"/>
      <c r="H505" s="49">
        <f>+SUM($F$9:F505)-SUM($G$9:G505)</f>
        <v>5318000</v>
      </c>
    </row>
    <row r="506" spans="1:8" ht="28.8" x14ac:dyDescent="0.55000000000000004">
      <c r="A506" s="43">
        <v>44713</v>
      </c>
      <c r="B506" s="43" t="s">
        <v>1461</v>
      </c>
      <c r="C506" s="44" t="s">
        <v>1819</v>
      </c>
      <c r="D506" s="45">
        <v>1</v>
      </c>
      <c r="E506" s="46">
        <v>30000</v>
      </c>
      <c r="F506" s="47">
        <f>+$I$4+(CLIENT[[#This Row],[QUANTITE]]*CLIENT[[#This Row],[PRIX UNITAIRE]])</f>
        <v>30000</v>
      </c>
      <c r="G506" s="48"/>
      <c r="H506" s="49">
        <f>+SUM($F$9:F506)-SUM($G$9:G506)</f>
        <v>5348000</v>
      </c>
    </row>
    <row r="507" spans="1:8" ht="28.8" x14ac:dyDescent="0.55000000000000004">
      <c r="A507" s="43">
        <v>44713</v>
      </c>
      <c r="B507" s="43" t="s">
        <v>1875</v>
      </c>
      <c r="C507" s="44" t="s">
        <v>1876</v>
      </c>
      <c r="D507" s="45">
        <v>1</v>
      </c>
      <c r="E507" s="46">
        <v>20000</v>
      </c>
      <c r="F507" s="47">
        <f>+$I$4+(CLIENT[[#This Row],[QUANTITE]]*CLIENT[[#This Row],[PRIX UNITAIRE]])</f>
        <v>20000</v>
      </c>
      <c r="G507" s="48"/>
      <c r="H507" s="49">
        <f>+SUM($F$9:F507)-SUM($G$9:G507)</f>
        <v>5368000</v>
      </c>
    </row>
    <row r="508" spans="1:8" ht="28.8" x14ac:dyDescent="0.55000000000000004">
      <c r="A508" s="43">
        <v>44725</v>
      </c>
      <c r="B508" s="43" t="s">
        <v>1877</v>
      </c>
      <c r="C508" s="44" t="s">
        <v>1794</v>
      </c>
      <c r="D508" s="45">
        <v>6</v>
      </c>
      <c r="E508" s="46">
        <v>110000</v>
      </c>
      <c r="F508" s="47">
        <f>+$I$4+(CLIENT[[#This Row],[QUANTITE]]*CLIENT[[#This Row],[PRIX UNITAIRE]])</f>
        <v>660000</v>
      </c>
      <c r="G508" s="48"/>
      <c r="H508" s="49">
        <f>+SUM($F$9:F508)-SUM($G$9:G508)</f>
        <v>6028000</v>
      </c>
    </row>
    <row r="509" spans="1:8" ht="28.8" x14ac:dyDescent="0.55000000000000004">
      <c r="A509" s="43"/>
      <c r="B509" s="43"/>
      <c r="C509" s="44" t="s">
        <v>1878</v>
      </c>
      <c r="D509" s="45">
        <v>1</v>
      </c>
      <c r="E509" s="46">
        <v>20000</v>
      </c>
      <c r="F509" s="47">
        <f>+$I$4+(CLIENT[[#This Row],[QUANTITE]]*CLIENT[[#This Row],[PRIX UNITAIRE]])</f>
        <v>20000</v>
      </c>
      <c r="G509" s="48"/>
      <c r="H509" s="49">
        <f>+SUM($F$9:F509)-SUM($G$9:G509)</f>
        <v>6048000</v>
      </c>
    </row>
    <row r="510" spans="1:8" ht="28.8" x14ac:dyDescent="0.55000000000000004">
      <c r="A510" s="43">
        <v>44730</v>
      </c>
      <c r="B510" s="43" t="s">
        <v>1879</v>
      </c>
      <c r="C510" s="44" t="s">
        <v>1794</v>
      </c>
      <c r="D510" s="45">
        <v>8</v>
      </c>
      <c r="E510" s="46">
        <v>110000</v>
      </c>
      <c r="F510" s="47">
        <f>+$I$4+(CLIENT[[#This Row],[QUANTITE]]*CLIENT[[#This Row],[PRIX UNITAIRE]])</f>
        <v>880000</v>
      </c>
      <c r="G510" s="48"/>
      <c r="H510" s="49">
        <f>+SUM($F$9:F510)-SUM($G$9:G510)</f>
        <v>6928000</v>
      </c>
    </row>
    <row r="511" spans="1:8" ht="28.8" x14ac:dyDescent="0.55000000000000004">
      <c r="A511" s="43"/>
      <c r="B511" s="43"/>
      <c r="C511" s="44" t="s">
        <v>1880</v>
      </c>
      <c r="D511" s="45">
        <v>1</v>
      </c>
      <c r="E511" s="46">
        <v>510000</v>
      </c>
      <c r="F511" s="47">
        <f>+$I$4+(CLIENT[[#This Row],[QUANTITE]]*CLIENT[[#This Row],[PRIX UNITAIRE]])</f>
        <v>510000</v>
      </c>
      <c r="G511" s="48"/>
      <c r="H511" s="49">
        <f>+SUM($F$9:F511)-SUM($G$9:G511)</f>
        <v>7438000</v>
      </c>
    </row>
    <row r="512" spans="1:8" ht="28.8" x14ac:dyDescent="0.55000000000000004">
      <c r="A512" s="43"/>
      <c r="B512" s="43"/>
      <c r="C512" s="44" t="s">
        <v>1881</v>
      </c>
      <c r="D512" s="45">
        <v>4</v>
      </c>
      <c r="E512" s="46">
        <v>5000</v>
      </c>
      <c r="F512" s="47">
        <f>+$I$4+(CLIENT[[#This Row],[QUANTITE]]*CLIENT[[#This Row],[PRIX UNITAIRE]])</f>
        <v>20000</v>
      </c>
      <c r="G512" s="48"/>
      <c r="H512" s="49">
        <f>+SUM($F$9:F512)-SUM($G$9:G512)</f>
        <v>7458000</v>
      </c>
    </row>
    <row r="513" spans="1:8" ht="28.8" x14ac:dyDescent="0.55000000000000004">
      <c r="A513" s="43"/>
      <c r="B513" s="43"/>
      <c r="C513" s="44" t="s">
        <v>1844</v>
      </c>
      <c r="D513" s="45">
        <v>1</v>
      </c>
      <c r="E513" s="46">
        <v>15000</v>
      </c>
      <c r="F513" s="47">
        <f>+$I$4+(CLIENT[[#This Row],[QUANTITE]]*CLIENT[[#This Row],[PRIX UNITAIRE]])</f>
        <v>15000</v>
      </c>
      <c r="G513" s="48"/>
      <c r="H513" s="49">
        <f>+SUM($F$9:F513)-SUM($G$9:G513)</f>
        <v>7473000</v>
      </c>
    </row>
    <row r="514" spans="1:8" ht="28.8" x14ac:dyDescent="0.55000000000000004">
      <c r="A514" s="43">
        <v>44732</v>
      </c>
      <c r="B514" s="43" t="s">
        <v>1592</v>
      </c>
      <c r="C514" s="44" t="s">
        <v>1882</v>
      </c>
      <c r="D514" s="45">
        <v>1</v>
      </c>
      <c r="E514" s="46">
        <v>185000</v>
      </c>
      <c r="F514" s="47">
        <f>+$I$4+(CLIENT[[#This Row],[QUANTITE]]*CLIENT[[#This Row],[PRIX UNITAIRE]])</f>
        <v>185000</v>
      </c>
      <c r="G514" s="48"/>
      <c r="H514" s="49">
        <f>+SUM($F$9:F514)-SUM($G$9:G514)</f>
        <v>7658000</v>
      </c>
    </row>
    <row r="515" spans="1:8" ht="28.8" x14ac:dyDescent="0.55000000000000004">
      <c r="A515" s="43">
        <v>44732</v>
      </c>
      <c r="B515" s="43" t="s">
        <v>1826</v>
      </c>
      <c r="C515" s="44" t="s">
        <v>1883</v>
      </c>
      <c r="D515" s="45">
        <v>1</v>
      </c>
      <c r="E515" s="46">
        <v>185000</v>
      </c>
      <c r="F515" s="47">
        <f>+$I$4+(CLIENT[[#This Row],[QUANTITE]]*CLIENT[[#This Row],[PRIX UNITAIRE]])</f>
        <v>185000</v>
      </c>
      <c r="G515" s="48"/>
      <c r="H515" s="49">
        <f>+SUM($F$9:F515)-SUM($G$9:G515)</f>
        <v>7843000</v>
      </c>
    </row>
    <row r="516" spans="1:8" ht="28.8" x14ac:dyDescent="0.55000000000000004">
      <c r="A516" s="43">
        <v>44732</v>
      </c>
      <c r="B516" s="43" t="s">
        <v>1706</v>
      </c>
      <c r="C516" s="44" t="s">
        <v>1884</v>
      </c>
      <c r="D516" s="45">
        <v>1</v>
      </c>
      <c r="E516" s="46">
        <v>185000</v>
      </c>
      <c r="F516" s="47">
        <f>+$I$4+(CLIENT[[#This Row],[QUANTITE]]*CLIENT[[#This Row],[PRIX UNITAIRE]])</f>
        <v>185000</v>
      </c>
      <c r="G516" s="48"/>
      <c r="H516" s="49">
        <f>+SUM($F$9:F516)-SUM($G$9:G516)</f>
        <v>8028000</v>
      </c>
    </row>
    <row r="517" spans="1:8" ht="28.8" x14ac:dyDescent="0.55000000000000004">
      <c r="A517" s="43">
        <v>44740</v>
      </c>
      <c r="B517" s="43" t="s">
        <v>1885</v>
      </c>
      <c r="C517" s="44" t="s">
        <v>1886</v>
      </c>
      <c r="D517" s="45">
        <v>1</v>
      </c>
      <c r="E517" s="46">
        <v>185000</v>
      </c>
      <c r="F517" s="47">
        <f>+$I$4+(CLIENT[[#This Row],[QUANTITE]]*CLIENT[[#This Row],[PRIX UNITAIRE]])</f>
        <v>185000</v>
      </c>
      <c r="G517" s="48"/>
      <c r="H517" s="49">
        <f>+SUM($F$9:F517)-SUM($G$9:G517)</f>
        <v>8213000</v>
      </c>
    </row>
    <row r="518" spans="1:8" ht="28.8" x14ac:dyDescent="0.55000000000000004">
      <c r="A518" s="43"/>
      <c r="B518" s="43"/>
      <c r="C518" s="44" t="s">
        <v>1239</v>
      </c>
      <c r="D518" s="45">
        <v>1</v>
      </c>
      <c r="E518" s="46">
        <v>40000</v>
      </c>
      <c r="F518" s="47">
        <f>+$I$4+(CLIENT[[#This Row],[QUANTITE]]*CLIENT[[#This Row],[PRIX UNITAIRE]])</f>
        <v>40000</v>
      </c>
      <c r="G518" s="48"/>
      <c r="H518" s="49">
        <f>+SUM($F$9:F518)-SUM($G$9:G518)</f>
        <v>8253000</v>
      </c>
    </row>
    <row r="519" spans="1:8" ht="28.8" x14ac:dyDescent="0.55000000000000004">
      <c r="A519" s="43">
        <v>44747</v>
      </c>
      <c r="B519" s="43" t="s">
        <v>1887</v>
      </c>
      <c r="C519" s="44" t="s">
        <v>1888</v>
      </c>
      <c r="D519" s="45">
        <v>1</v>
      </c>
      <c r="E519" s="46">
        <v>185000</v>
      </c>
      <c r="F519" s="47">
        <f>+$I$4+(CLIENT[[#This Row],[QUANTITE]]*CLIENT[[#This Row],[PRIX UNITAIRE]])</f>
        <v>185000</v>
      </c>
      <c r="G519" s="48"/>
      <c r="H519" s="49">
        <f>+SUM($F$9:F519)-SUM($G$9:G519)</f>
        <v>8438000</v>
      </c>
    </row>
    <row r="520" spans="1:8" ht="28.8" x14ac:dyDescent="0.55000000000000004">
      <c r="A520" s="43">
        <v>44747</v>
      </c>
      <c r="B520" s="43" t="s">
        <v>1233</v>
      </c>
      <c r="C520" s="44" t="s">
        <v>1889</v>
      </c>
      <c r="D520" s="45">
        <v>2</v>
      </c>
      <c r="E520" s="46">
        <v>15000</v>
      </c>
      <c r="F520" s="47">
        <f>+$I$4+(CLIENT[[#This Row],[QUANTITE]]*CLIENT[[#This Row],[PRIX UNITAIRE]])</f>
        <v>30000</v>
      </c>
      <c r="G520" s="48"/>
      <c r="H520" s="49">
        <f>+SUM($F$9:F520)-SUM($G$9:G520)</f>
        <v>8468000</v>
      </c>
    </row>
    <row r="521" spans="1:8" ht="28.8" x14ac:dyDescent="0.55000000000000004">
      <c r="A521" s="43">
        <v>44747</v>
      </c>
      <c r="B521" s="43" t="s">
        <v>1459</v>
      </c>
      <c r="C521" s="44" t="s">
        <v>1889</v>
      </c>
      <c r="D521" s="45">
        <v>1</v>
      </c>
      <c r="E521" s="46">
        <v>15000</v>
      </c>
      <c r="F521" s="47">
        <f>+$I$4+(CLIENT[[#This Row],[QUANTITE]]*CLIENT[[#This Row],[PRIX UNITAIRE]])</f>
        <v>15000</v>
      </c>
      <c r="G521" s="48"/>
      <c r="H521" s="49">
        <f>+SUM($F$9:F521)-SUM($G$9:G521)</f>
        <v>8483000</v>
      </c>
    </row>
    <row r="522" spans="1:8" ht="28.8" x14ac:dyDescent="0.55000000000000004">
      <c r="A522" s="43">
        <v>44753</v>
      </c>
      <c r="B522" s="43" t="s">
        <v>1459</v>
      </c>
      <c r="C522" s="44" t="s">
        <v>1890</v>
      </c>
      <c r="D522" s="45">
        <v>1</v>
      </c>
      <c r="E522" s="46">
        <v>150000</v>
      </c>
      <c r="F522" s="47">
        <f>+$I$4+(CLIENT[[#This Row],[QUANTITE]]*CLIENT[[#This Row],[PRIX UNITAIRE]])</f>
        <v>150000</v>
      </c>
      <c r="G522" s="48"/>
      <c r="H522" s="49">
        <f>+SUM($F$9:F522)-SUM($G$9:G522)</f>
        <v>8633000</v>
      </c>
    </row>
    <row r="523" spans="1:8" ht="28.8" x14ac:dyDescent="0.55000000000000004">
      <c r="A523" s="43">
        <v>44755</v>
      </c>
      <c r="B523" s="43" t="s">
        <v>1307</v>
      </c>
      <c r="C523" s="44" t="s">
        <v>1891</v>
      </c>
      <c r="D523" s="45">
        <v>1</v>
      </c>
      <c r="E523" s="46">
        <v>290000</v>
      </c>
      <c r="F523" s="47">
        <f>+$I$4+(CLIENT[[#This Row],[QUANTITE]]*CLIENT[[#This Row],[PRIX UNITAIRE]])</f>
        <v>290000</v>
      </c>
      <c r="G523" s="48"/>
      <c r="H523" s="49">
        <f>+SUM($F$9:F523)-SUM($G$9:G523)</f>
        <v>8923000</v>
      </c>
    </row>
    <row r="524" spans="1:8" ht="28.8" x14ac:dyDescent="0.55000000000000004">
      <c r="A524" s="43">
        <v>44757</v>
      </c>
      <c r="B524" s="43" t="s">
        <v>1298</v>
      </c>
      <c r="C524" s="44" t="s">
        <v>1892</v>
      </c>
      <c r="D524" s="45">
        <v>1</v>
      </c>
      <c r="E524" s="46">
        <v>150000</v>
      </c>
      <c r="F524" s="47">
        <f>+$I$4+(CLIENT[[#This Row],[QUANTITE]]*CLIENT[[#This Row],[PRIX UNITAIRE]])</f>
        <v>150000</v>
      </c>
      <c r="G524" s="48"/>
      <c r="H524" s="49">
        <f>+SUM($F$9:F524)-SUM($G$9:G524)</f>
        <v>9073000</v>
      </c>
    </row>
    <row r="525" spans="1:8" ht="28.8" x14ac:dyDescent="0.55000000000000004">
      <c r="A525" s="43"/>
      <c r="B525" s="43"/>
      <c r="C525" s="44" t="s">
        <v>1893</v>
      </c>
      <c r="D525" s="45">
        <v>1</v>
      </c>
      <c r="E525" s="46">
        <v>150000</v>
      </c>
      <c r="F525" s="47">
        <f>+$I$4+(CLIENT[[#This Row],[QUANTITE]]*CLIENT[[#This Row],[PRIX UNITAIRE]])</f>
        <v>150000</v>
      </c>
      <c r="G525" s="48"/>
      <c r="H525" s="49">
        <f>+SUM($F$9:F525)-SUM($G$9:G525)</f>
        <v>9223000</v>
      </c>
    </row>
    <row r="526" spans="1:8" ht="28.8" x14ac:dyDescent="0.55000000000000004">
      <c r="A526" s="43">
        <v>44757</v>
      </c>
      <c r="B526" s="43" t="s">
        <v>259</v>
      </c>
      <c r="C526" s="44" t="s">
        <v>1894</v>
      </c>
      <c r="D526" s="45">
        <v>1</v>
      </c>
      <c r="E526" s="46">
        <v>0</v>
      </c>
      <c r="F526" s="47">
        <f>+$I$4+(CLIENT[[#This Row],[QUANTITE]]*CLIENT[[#This Row],[PRIX UNITAIRE]])</f>
        <v>0</v>
      </c>
      <c r="G526" s="48">
        <v>9000000</v>
      </c>
      <c r="H526" s="49">
        <f>+SUM($F$9:F526)-SUM($G$9:G526)</f>
        <v>223000</v>
      </c>
    </row>
    <row r="527" spans="1:8" ht="28.8" x14ac:dyDescent="0.55000000000000004">
      <c r="A527" s="43">
        <v>44758</v>
      </c>
      <c r="B527" s="43" t="s">
        <v>1343</v>
      </c>
      <c r="C527" s="44" t="s">
        <v>1895</v>
      </c>
      <c r="D527" s="45">
        <v>2</v>
      </c>
      <c r="E527" s="46">
        <v>150000</v>
      </c>
      <c r="F527" s="47">
        <f>+$I$4+(CLIENT[[#This Row],[QUANTITE]]*CLIENT[[#This Row],[PRIX UNITAIRE]])</f>
        <v>300000</v>
      </c>
      <c r="G527" s="48"/>
      <c r="H527" s="49">
        <f>+SUM($F$9:F527)-SUM($G$9:G527)</f>
        <v>523000</v>
      </c>
    </row>
    <row r="528" spans="1:8" ht="28.8" x14ac:dyDescent="0.55000000000000004">
      <c r="A528" s="43">
        <v>44758</v>
      </c>
      <c r="B528" s="43" t="s">
        <v>1833</v>
      </c>
      <c r="C528" s="44" t="s">
        <v>1896</v>
      </c>
      <c r="D528" s="45">
        <v>2</v>
      </c>
      <c r="E528" s="46">
        <v>187500</v>
      </c>
      <c r="F528" s="47">
        <f>+$I$4+(CLIENT[[#This Row],[QUANTITE]]*CLIENT[[#This Row],[PRIX UNITAIRE]])</f>
        <v>375000</v>
      </c>
      <c r="G528" s="48"/>
      <c r="H528" s="49">
        <f>+SUM($F$9:F528)-SUM($G$9:G528)</f>
        <v>898000</v>
      </c>
    </row>
    <row r="529" spans="1:8" ht="28.8" x14ac:dyDescent="0.55000000000000004">
      <c r="A529" s="43"/>
      <c r="B529" s="43" t="s">
        <v>1343</v>
      </c>
      <c r="C529" s="44" t="s">
        <v>1897</v>
      </c>
      <c r="D529" s="45">
        <v>1</v>
      </c>
      <c r="E529" s="46">
        <v>10000</v>
      </c>
      <c r="F529" s="47">
        <f>+$I$4+(CLIENT[[#This Row],[QUANTITE]]*CLIENT[[#This Row],[PRIX UNITAIRE]])</f>
        <v>10000</v>
      </c>
      <c r="G529" s="48"/>
      <c r="H529" s="49">
        <f>+SUM($F$9:F529)-SUM($G$9:G529)</f>
        <v>908000</v>
      </c>
    </row>
    <row r="530" spans="1:8" ht="28.8" x14ac:dyDescent="0.55000000000000004">
      <c r="A530" s="43">
        <v>44760</v>
      </c>
      <c r="B530" s="43" t="s">
        <v>1181</v>
      </c>
      <c r="C530" s="44" t="s">
        <v>1898</v>
      </c>
      <c r="D530" s="45">
        <v>1</v>
      </c>
      <c r="E530" s="46">
        <v>185000</v>
      </c>
      <c r="F530" s="47">
        <f>+$I$4+(CLIENT[[#This Row],[QUANTITE]]*CLIENT[[#This Row],[PRIX UNITAIRE]])</f>
        <v>185000</v>
      </c>
      <c r="G530" s="48"/>
      <c r="H530" s="49">
        <f>+SUM($F$9:F530)-SUM($G$9:G530)</f>
        <v>1093000</v>
      </c>
    </row>
    <row r="531" spans="1:8" ht="28.8" x14ac:dyDescent="0.55000000000000004">
      <c r="A531" s="43">
        <v>44760</v>
      </c>
      <c r="B531" s="43" t="s">
        <v>1327</v>
      </c>
      <c r="C531" s="44" t="s">
        <v>1899</v>
      </c>
      <c r="D531" s="45">
        <v>2</v>
      </c>
      <c r="E531" s="46">
        <v>150000</v>
      </c>
      <c r="F531" s="47">
        <f>+$I$4+(CLIENT[[#This Row],[QUANTITE]]*CLIENT[[#This Row],[PRIX UNITAIRE]])</f>
        <v>300000</v>
      </c>
      <c r="G531" s="48"/>
      <c r="H531" s="49">
        <f>+SUM($F$9:F531)-SUM($G$9:G531)</f>
        <v>1393000</v>
      </c>
    </row>
    <row r="532" spans="1:8" ht="28.8" x14ac:dyDescent="0.55000000000000004">
      <c r="A532" s="43">
        <v>44760</v>
      </c>
      <c r="B532" s="43" t="s">
        <v>1330</v>
      </c>
      <c r="C532" s="44" t="s">
        <v>1900</v>
      </c>
      <c r="D532" s="45">
        <v>1</v>
      </c>
      <c r="E532" s="46">
        <v>150000</v>
      </c>
      <c r="F532" s="47">
        <f>+$I$4+(CLIENT[[#This Row],[QUANTITE]]*CLIENT[[#This Row],[PRIX UNITAIRE]])</f>
        <v>150000</v>
      </c>
      <c r="G532" s="48"/>
      <c r="H532" s="49">
        <f>+SUM($F$9:F532)-SUM($G$9:G532)</f>
        <v>1543000</v>
      </c>
    </row>
    <row r="533" spans="1:8" ht="28.8" x14ac:dyDescent="0.55000000000000004">
      <c r="A533" s="43">
        <v>44760</v>
      </c>
      <c r="B533" s="43" t="s">
        <v>1461</v>
      </c>
      <c r="C533" s="44" t="s">
        <v>1901</v>
      </c>
      <c r="D533" s="45">
        <v>2</v>
      </c>
      <c r="E533" s="46">
        <v>150000</v>
      </c>
      <c r="F533" s="47">
        <f>+$I$4+(CLIENT[[#This Row],[QUANTITE]]*CLIENT[[#This Row],[PRIX UNITAIRE]])</f>
        <v>300000</v>
      </c>
      <c r="G533" s="48"/>
      <c r="H533" s="49">
        <f>+SUM($F$9:F533)-SUM($G$9:G533)</f>
        <v>1843000</v>
      </c>
    </row>
    <row r="534" spans="1:8" ht="28.8" x14ac:dyDescent="0.55000000000000004">
      <c r="A534" s="43">
        <v>44762</v>
      </c>
      <c r="B534" s="43" t="s">
        <v>1163</v>
      </c>
      <c r="C534" s="44" t="s">
        <v>1876</v>
      </c>
      <c r="D534" s="45">
        <v>2</v>
      </c>
      <c r="E534" s="46">
        <v>17500</v>
      </c>
      <c r="F534" s="47">
        <f>+$I$4+(CLIENT[[#This Row],[QUANTITE]]*CLIENT[[#This Row],[PRIX UNITAIRE]])</f>
        <v>35000</v>
      </c>
      <c r="G534" s="48"/>
      <c r="H534" s="49">
        <f>+SUM($F$9:F534)-SUM($G$9:G534)</f>
        <v>1878000</v>
      </c>
    </row>
    <row r="535" spans="1:8" ht="28.8" x14ac:dyDescent="0.55000000000000004">
      <c r="A535" s="43">
        <v>44763</v>
      </c>
      <c r="B535" s="43" t="s">
        <v>1307</v>
      </c>
      <c r="C535" s="44" t="s">
        <v>1902</v>
      </c>
      <c r="D535" s="45">
        <v>2</v>
      </c>
      <c r="E535" s="46">
        <v>150000</v>
      </c>
      <c r="F535" s="47">
        <f>+$I$4+(CLIENT[[#This Row],[QUANTITE]]*CLIENT[[#This Row],[PRIX UNITAIRE]])</f>
        <v>300000</v>
      </c>
      <c r="G535" s="48"/>
      <c r="H535" s="49">
        <f>+SUM($F$9:F535)-SUM($G$9:G535)</f>
        <v>2178000</v>
      </c>
    </row>
    <row r="536" spans="1:8" ht="28.8" x14ac:dyDescent="0.55000000000000004">
      <c r="A536" s="43">
        <v>44764</v>
      </c>
      <c r="B536" s="43" t="s">
        <v>1298</v>
      </c>
      <c r="C536" s="44" t="s">
        <v>1903</v>
      </c>
      <c r="D536" s="45">
        <v>1</v>
      </c>
      <c r="E536" s="46">
        <v>150000</v>
      </c>
      <c r="F536" s="47">
        <f>+$I$4+(CLIENT[[#This Row],[QUANTITE]]*CLIENT[[#This Row],[PRIX UNITAIRE]])</f>
        <v>150000</v>
      </c>
      <c r="G536" s="48"/>
      <c r="H536" s="49">
        <f>+SUM($F$9:F536)-SUM($G$9:G536)</f>
        <v>2328000</v>
      </c>
    </row>
    <row r="537" spans="1:8" ht="28.8" x14ac:dyDescent="0.55000000000000004">
      <c r="A537" s="43">
        <v>44764</v>
      </c>
      <c r="B537" s="43" t="s">
        <v>1768</v>
      </c>
      <c r="C537" s="44" t="s">
        <v>1904</v>
      </c>
      <c r="D537" s="45">
        <v>1</v>
      </c>
      <c r="E537" s="46">
        <v>185000</v>
      </c>
      <c r="F537" s="47">
        <f>+$I$4+(CLIENT[[#This Row],[QUANTITE]]*CLIENT[[#This Row],[PRIX UNITAIRE]])</f>
        <v>185000</v>
      </c>
      <c r="G537" s="48"/>
      <c r="H537" s="49">
        <f>+SUM($F$9:F537)-SUM($G$9:G537)</f>
        <v>2513000</v>
      </c>
    </row>
    <row r="538" spans="1:8" ht="28.8" x14ac:dyDescent="0.55000000000000004">
      <c r="A538" s="43"/>
      <c r="B538" s="43" t="s">
        <v>1290</v>
      </c>
      <c r="C538" s="44" t="s">
        <v>1773</v>
      </c>
      <c r="D538" s="45">
        <v>1</v>
      </c>
      <c r="E538" s="46">
        <v>40000</v>
      </c>
      <c r="F538" s="47">
        <f>+$I$4+(CLIENT[[#This Row],[QUANTITE]]*CLIENT[[#This Row],[PRIX UNITAIRE]])</f>
        <v>40000</v>
      </c>
      <c r="G538" s="48"/>
      <c r="H538" s="49">
        <f>+SUM($F$9:F538)-SUM($G$9:G538)</f>
        <v>2553000</v>
      </c>
    </row>
    <row r="539" spans="1:8" ht="28.8" x14ac:dyDescent="0.55000000000000004">
      <c r="A539" s="43">
        <v>44764</v>
      </c>
      <c r="B539" s="43" t="s">
        <v>1887</v>
      </c>
      <c r="C539" s="44" t="s">
        <v>1905</v>
      </c>
      <c r="D539" s="45">
        <v>1</v>
      </c>
      <c r="E539" s="46">
        <v>185000</v>
      </c>
      <c r="F539" s="47">
        <f>+$I$4+(CLIENT[[#This Row],[QUANTITE]]*CLIENT[[#This Row],[PRIX UNITAIRE]])</f>
        <v>185000</v>
      </c>
      <c r="G539" s="48"/>
      <c r="H539" s="49">
        <f>+SUM($F$9:F539)-SUM($G$9:G539)</f>
        <v>2738000</v>
      </c>
    </row>
    <row r="540" spans="1:8" ht="28.8" x14ac:dyDescent="0.55000000000000004">
      <c r="A540" s="43"/>
      <c r="B540" s="43" t="s">
        <v>1302</v>
      </c>
      <c r="C540" s="44" t="s">
        <v>1773</v>
      </c>
      <c r="D540" s="45">
        <v>1</v>
      </c>
      <c r="E540" s="46">
        <v>40000</v>
      </c>
      <c r="F540" s="47">
        <f>+$I$4+(CLIENT[[#This Row],[QUANTITE]]*CLIENT[[#This Row],[PRIX UNITAIRE]])</f>
        <v>40000</v>
      </c>
      <c r="G540" s="48"/>
      <c r="H540" s="49">
        <f>+SUM($F$9:F540)-SUM($G$9:G540)</f>
        <v>2778000</v>
      </c>
    </row>
    <row r="541" spans="1:8" ht="28.8" x14ac:dyDescent="0.55000000000000004">
      <c r="A541" s="43">
        <v>44765</v>
      </c>
      <c r="B541" s="43" t="s">
        <v>1382</v>
      </c>
      <c r="C541" s="44" t="s">
        <v>1906</v>
      </c>
      <c r="D541" s="45">
        <v>3</v>
      </c>
      <c r="E541" s="46">
        <v>150000</v>
      </c>
      <c r="F541" s="47">
        <f>+$I$4+(CLIENT[[#This Row],[QUANTITE]]*CLIENT[[#This Row],[PRIX UNITAIRE]])</f>
        <v>450000</v>
      </c>
      <c r="G541" s="48"/>
      <c r="H541" s="49">
        <f>+SUM($F$9:F541)-SUM($G$9:G541)</f>
        <v>3228000</v>
      </c>
    </row>
    <row r="542" spans="1:8" ht="28.8" x14ac:dyDescent="0.55000000000000004">
      <c r="A542" s="43">
        <v>44767</v>
      </c>
      <c r="B542" s="43" t="s">
        <v>1907</v>
      </c>
      <c r="C542" s="44" t="s">
        <v>1908</v>
      </c>
      <c r="D542" s="45">
        <v>1</v>
      </c>
      <c r="E542" s="46">
        <v>185000</v>
      </c>
      <c r="F542" s="47">
        <f>+$I$4+(CLIENT[[#This Row],[QUANTITE]]*CLIENT[[#This Row],[PRIX UNITAIRE]])</f>
        <v>185000</v>
      </c>
      <c r="G542" s="48"/>
      <c r="H542" s="49">
        <f>+SUM($F$9:F542)-SUM($G$9:G542)</f>
        <v>3413000</v>
      </c>
    </row>
    <row r="543" spans="1:8" ht="28.8" x14ac:dyDescent="0.55000000000000004">
      <c r="A543" s="43">
        <v>44767</v>
      </c>
      <c r="B543" s="43" t="s">
        <v>1302</v>
      </c>
      <c r="C543" s="44" t="s">
        <v>1909</v>
      </c>
      <c r="D543" s="45">
        <v>1</v>
      </c>
      <c r="E543" s="46">
        <v>150000</v>
      </c>
      <c r="F543" s="47">
        <f>+$I$4+(CLIENT[[#This Row],[QUANTITE]]*CLIENT[[#This Row],[PRIX UNITAIRE]])</f>
        <v>150000</v>
      </c>
      <c r="G543" s="48"/>
      <c r="H543" s="49">
        <f>+SUM($F$9:F543)-SUM($G$9:G543)</f>
        <v>3563000</v>
      </c>
    </row>
    <row r="544" spans="1:8" ht="28.8" x14ac:dyDescent="0.55000000000000004">
      <c r="A544" s="43">
        <v>44768</v>
      </c>
      <c r="B544" s="43" t="s">
        <v>1638</v>
      </c>
      <c r="C544" s="44" t="s">
        <v>1910</v>
      </c>
      <c r="D544" s="45">
        <v>1</v>
      </c>
      <c r="E544" s="46">
        <v>185000</v>
      </c>
      <c r="F544" s="47">
        <f>+$I$4+(CLIENT[[#This Row],[QUANTITE]]*CLIENT[[#This Row],[PRIX UNITAIRE]])</f>
        <v>185000</v>
      </c>
      <c r="G544" s="48"/>
      <c r="H544" s="49">
        <f>+SUM($F$9:F544)-SUM($G$9:G544)</f>
        <v>3748000</v>
      </c>
    </row>
    <row r="545" spans="1:8" ht="28.8" x14ac:dyDescent="0.55000000000000004">
      <c r="A545" s="43"/>
      <c r="B545" s="43" t="s">
        <v>1640</v>
      </c>
      <c r="C545" s="44" t="s">
        <v>1911</v>
      </c>
      <c r="D545" s="45">
        <v>1</v>
      </c>
      <c r="E545" s="46">
        <v>30000</v>
      </c>
      <c r="F545" s="47">
        <f>+$I$4+(CLIENT[[#This Row],[QUANTITE]]*CLIENT[[#This Row],[PRIX UNITAIRE]])</f>
        <v>30000</v>
      </c>
      <c r="G545" s="48"/>
      <c r="H545" s="49">
        <f>+SUM($F$9:F545)-SUM($G$9:G545)</f>
        <v>3778000</v>
      </c>
    </row>
    <row r="546" spans="1:8" ht="28.8" x14ac:dyDescent="0.55000000000000004">
      <c r="A546" s="43">
        <v>44769</v>
      </c>
      <c r="B546" s="43" t="s">
        <v>1725</v>
      </c>
      <c r="C546" s="44" t="s">
        <v>1912</v>
      </c>
      <c r="D546" s="45">
        <v>1</v>
      </c>
      <c r="E546" s="46">
        <v>185000</v>
      </c>
      <c r="F546" s="47">
        <f>+$I$4+(CLIENT[[#This Row],[QUANTITE]]*CLIENT[[#This Row],[PRIX UNITAIRE]])</f>
        <v>185000</v>
      </c>
      <c r="G546" s="48"/>
      <c r="H546" s="49">
        <f>+SUM($F$9:F546)-SUM($G$9:G546)</f>
        <v>3963000</v>
      </c>
    </row>
    <row r="547" spans="1:8" ht="28.8" x14ac:dyDescent="0.55000000000000004">
      <c r="A547" s="43">
        <v>44773</v>
      </c>
      <c r="B547" s="43" t="s">
        <v>1181</v>
      </c>
      <c r="C547" s="44" t="s">
        <v>1876</v>
      </c>
      <c r="D547" s="45">
        <v>1</v>
      </c>
      <c r="E547" s="46">
        <v>20000</v>
      </c>
      <c r="F547" s="47">
        <f>+$I$4+(CLIENT[[#This Row],[QUANTITE]]*CLIENT[[#This Row],[PRIX UNITAIRE]])</f>
        <v>20000</v>
      </c>
      <c r="G547" s="48"/>
      <c r="H547" s="49">
        <f>+SUM($F$9:F547)-SUM($G$9:G547)</f>
        <v>3983000</v>
      </c>
    </row>
    <row r="548" spans="1:8" ht="28.8" x14ac:dyDescent="0.55000000000000004">
      <c r="A548" s="43">
        <v>44774</v>
      </c>
      <c r="B548" s="43" t="s">
        <v>1712</v>
      </c>
      <c r="C548" s="44" t="s">
        <v>1913</v>
      </c>
      <c r="D548" s="45">
        <v>1</v>
      </c>
      <c r="E548" s="46">
        <v>150000</v>
      </c>
      <c r="F548" s="47">
        <f>+$I$4+(CLIENT[[#This Row],[QUANTITE]]*CLIENT[[#This Row],[PRIX UNITAIRE]])</f>
        <v>150000</v>
      </c>
      <c r="G548" s="48"/>
      <c r="H548" s="49">
        <f>+SUM($F$9:F548)-SUM($G$9:G548)</f>
        <v>4133000</v>
      </c>
    </row>
    <row r="549" spans="1:8" ht="28.8" x14ac:dyDescent="0.55000000000000004">
      <c r="A549" s="43">
        <v>44776</v>
      </c>
      <c r="B549" s="43" t="s">
        <v>1907</v>
      </c>
      <c r="C549" s="44" t="s">
        <v>1914</v>
      </c>
      <c r="D549" s="45">
        <v>1</v>
      </c>
      <c r="E549" s="46">
        <v>185000</v>
      </c>
      <c r="F549" s="47">
        <f>+$I$4+(CLIENT[[#This Row],[QUANTITE]]*CLIENT[[#This Row],[PRIX UNITAIRE]])</f>
        <v>185000</v>
      </c>
      <c r="G549" s="48"/>
      <c r="H549" s="49">
        <f>+SUM($F$9:F549)-SUM($G$9:G549)</f>
        <v>4318000</v>
      </c>
    </row>
    <row r="550" spans="1:8" ht="28.8" x14ac:dyDescent="0.55000000000000004">
      <c r="A550" s="43">
        <v>44776</v>
      </c>
      <c r="B550" s="43" t="s">
        <v>1727</v>
      </c>
      <c r="C550" s="44" t="s">
        <v>1915</v>
      </c>
      <c r="D550" s="45">
        <v>1</v>
      </c>
      <c r="E550" s="46">
        <v>185000</v>
      </c>
      <c r="F550" s="47">
        <f>+$I$4+(CLIENT[[#This Row],[QUANTITE]]*CLIENT[[#This Row],[PRIX UNITAIRE]])</f>
        <v>185000</v>
      </c>
      <c r="G550" s="48"/>
      <c r="H550" s="49">
        <f>+SUM($F$9:F550)-SUM($G$9:G550)</f>
        <v>4503000</v>
      </c>
    </row>
    <row r="551" spans="1:8" ht="28.8" x14ac:dyDescent="0.55000000000000004">
      <c r="A551" s="43">
        <v>44776</v>
      </c>
      <c r="B551" s="43" t="s">
        <v>1727</v>
      </c>
      <c r="C551" s="44" t="s">
        <v>1916</v>
      </c>
      <c r="D551" s="45">
        <v>1</v>
      </c>
      <c r="E551" s="46">
        <v>185000</v>
      </c>
      <c r="F551" s="47">
        <f>+$I$4+(CLIENT[[#This Row],[QUANTITE]]*CLIENT[[#This Row],[PRIX UNITAIRE]])</f>
        <v>185000</v>
      </c>
      <c r="G551" s="48"/>
      <c r="H551" s="49">
        <f>+SUM($F$9:F551)-SUM($G$9:G551)</f>
        <v>4688000</v>
      </c>
    </row>
    <row r="552" spans="1:8" ht="28.8" x14ac:dyDescent="0.55000000000000004">
      <c r="A552" s="43"/>
      <c r="B552" s="43" t="s">
        <v>1727</v>
      </c>
      <c r="C552" s="44" t="s">
        <v>1239</v>
      </c>
      <c r="D552" s="45">
        <v>1</v>
      </c>
      <c r="E552" s="46">
        <v>40000</v>
      </c>
      <c r="F552" s="47">
        <f>+$I$4+(CLIENT[[#This Row],[QUANTITE]]*CLIENT[[#This Row],[PRIX UNITAIRE]])</f>
        <v>40000</v>
      </c>
      <c r="G552" s="48"/>
      <c r="H552" s="49">
        <f>+SUM($F$9:F552)-SUM($G$9:G552)</f>
        <v>4728000</v>
      </c>
    </row>
    <row r="553" spans="1:8" ht="28.8" x14ac:dyDescent="0.55000000000000004">
      <c r="A553" s="43">
        <v>44779</v>
      </c>
      <c r="B553" s="43" t="s">
        <v>1689</v>
      </c>
      <c r="C553" s="44" t="s">
        <v>1917</v>
      </c>
      <c r="D553" s="45">
        <v>1</v>
      </c>
      <c r="E553" s="46">
        <v>185000</v>
      </c>
      <c r="F553" s="47">
        <f>+$I$4+(CLIENT[[#This Row],[QUANTITE]]*CLIENT[[#This Row],[PRIX UNITAIRE]])</f>
        <v>185000</v>
      </c>
      <c r="G553" s="48"/>
      <c r="H553" s="49">
        <f>+SUM($F$9:F553)-SUM($G$9:G553)</f>
        <v>4913000</v>
      </c>
    </row>
    <row r="554" spans="1:8" ht="28.8" x14ac:dyDescent="0.55000000000000004">
      <c r="A554" s="43">
        <v>44784</v>
      </c>
      <c r="B554" s="43" t="s">
        <v>1828</v>
      </c>
      <c r="C554" s="44" t="s">
        <v>1918</v>
      </c>
      <c r="D554" s="45">
        <v>1</v>
      </c>
      <c r="E554" s="46">
        <v>185000</v>
      </c>
      <c r="F554" s="47">
        <f>+$I$4+(CLIENT[[#This Row],[QUANTITE]]*CLIENT[[#This Row],[PRIX UNITAIRE]])</f>
        <v>185000</v>
      </c>
      <c r="G554" s="48"/>
      <c r="H554" s="49">
        <f>+SUM($F$9:F554)-SUM($G$9:G554)</f>
        <v>5098000</v>
      </c>
    </row>
    <row r="555" spans="1:8" ht="28.8" x14ac:dyDescent="0.55000000000000004">
      <c r="A555" s="43">
        <v>44784</v>
      </c>
      <c r="B555" s="43" t="s">
        <v>1163</v>
      </c>
      <c r="C555" s="44" t="s">
        <v>1919</v>
      </c>
      <c r="D555" s="45">
        <v>1</v>
      </c>
      <c r="E555" s="46">
        <v>185000</v>
      </c>
      <c r="F555" s="47">
        <f>+$I$4+(CLIENT[[#This Row],[QUANTITE]]*CLIENT[[#This Row],[PRIX UNITAIRE]])</f>
        <v>185000</v>
      </c>
      <c r="G555" s="48"/>
      <c r="H555" s="49">
        <f>+SUM($F$9:F555)-SUM($G$9:G555)</f>
        <v>5283000</v>
      </c>
    </row>
    <row r="556" spans="1:8" ht="28.8" x14ac:dyDescent="0.55000000000000004">
      <c r="A556" s="43">
        <v>44784</v>
      </c>
      <c r="B556" s="43" t="s">
        <v>1833</v>
      </c>
      <c r="C556" s="44" t="s">
        <v>1920</v>
      </c>
      <c r="D556" s="45">
        <v>1</v>
      </c>
      <c r="E556" s="46">
        <v>185000</v>
      </c>
      <c r="F556" s="47">
        <f>+$I$4+(CLIENT[[#This Row],[QUANTITE]]*CLIENT[[#This Row],[PRIX UNITAIRE]])</f>
        <v>185000</v>
      </c>
      <c r="G556" s="48"/>
      <c r="H556" s="49">
        <f>+SUM($F$9:F556)-SUM($G$9:G556)</f>
        <v>5468000</v>
      </c>
    </row>
    <row r="557" spans="1:8" ht="28.8" x14ac:dyDescent="0.55000000000000004">
      <c r="A557" s="43">
        <v>44784</v>
      </c>
      <c r="B557" s="43" t="s">
        <v>1921</v>
      </c>
      <c r="C557" s="44" t="s">
        <v>218</v>
      </c>
      <c r="D557" s="45">
        <v>2</v>
      </c>
      <c r="E557" s="46">
        <v>15000</v>
      </c>
      <c r="F557" s="47">
        <f>+$I$4+(CLIENT[[#This Row],[QUANTITE]]*CLIENT[[#This Row],[PRIX UNITAIRE]])</f>
        <v>30000</v>
      </c>
      <c r="G557" s="48"/>
      <c r="H557" s="49">
        <f>+SUM($F$9:F557)-SUM($G$9:G557)</f>
        <v>5498000</v>
      </c>
    </row>
    <row r="558" spans="1:8" ht="28.8" x14ac:dyDescent="0.55000000000000004">
      <c r="A558" s="43">
        <v>44785</v>
      </c>
      <c r="B558" s="43" t="s">
        <v>1848</v>
      </c>
      <c r="C558" s="44" t="s">
        <v>1922</v>
      </c>
      <c r="D558" s="45">
        <v>1</v>
      </c>
      <c r="E558" s="46">
        <v>185000</v>
      </c>
      <c r="F558" s="47">
        <f>+$I$4+(CLIENT[[#This Row],[QUANTITE]]*CLIENT[[#This Row],[PRIX UNITAIRE]])</f>
        <v>185000</v>
      </c>
      <c r="G558" s="48"/>
      <c r="H558" s="49">
        <f>+SUM($F$9:F558)-SUM($G$9:G558)</f>
        <v>5683000</v>
      </c>
    </row>
    <row r="559" spans="1:8" ht="28.8" x14ac:dyDescent="0.55000000000000004">
      <c r="A559" s="43">
        <v>44786</v>
      </c>
      <c r="B559" s="43" t="s">
        <v>1725</v>
      </c>
      <c r="C559" s="44" t="s">
        <v>1923</v>
      </c>
      <c r="D559" s="45">
        <v>1</v>
      </c>
      <c r="E559" s="46">
        <v>150000</v>
      </c>
      <c r="F559" s="47">
        <f>+$I$4+(CLIENT[[#This Row],[QUANTITE]]*CLIENT[[#This Row],[PRIX UNITAIRE]])</f>
        <v>150000</v>
      </c>
      <c r="G559" s="48"/>
      <c r="H559" s="49">
        <f>+SUM($F$9:F559)-SUM($G$9:G559)</f>
        <v>5833000</v>
      </c>
    </row>
    <row r="560" spans="1:8" ht="28.8" x14ac:dyDescent="0.55000000000000004">
      <c r="A560" s="43"/>
      <c r="B560" s="43"/>
      <c r="C560" s="44" t="s">
        <v>860</v>
      </c>
      <c r="D560" s="45">
        <v>1</v>
      </c>
      <c r="E560" s="46">
        <v>40000</v>
      </c>
      <c r="F560" s="47">
        <f>+$I$4+(CLIENT[[#This Row],[QUANTITE]]*CLIENT[[#This Row],[PRIX UNITAIRE]])</f>
        <v>40000</v>
      </c>
      <c r="G560" s="48"/>
      <c r="H560" s="49">
        <f>+SUM($F$9:F560)-SUM($G$9:G560)</f>
        <v>5873000</v>
      </c>
    </row>
    <row r="561" spans="1:8" ht="28.8" x14ac:dyDescent="0.55000000000000004">
      <c r="A561" s="43">
        <v>44786</v>
      </c>
      <c r="B561" s="43" t="s">
        <v>1808</v>
      </c>
      <c r="C561" s="44" t="s">
        <v>1924</v>
      </c>
      <c r="D561" s="45">
        <v>1</v>
      </c>
      <c r="E561" s="46">
        <v>185000</v>
      </c>
      <c r="F561" s="47">
        <f>+$I$4+(CLIENT[[#This Row],[QUANTITE]]*CLIENT[[#This Row],[PRIX UNITAIRE]])</f>
        <v>185000</v>
      </c>
      <c r="G561" s="48"/>
      <c r="H561" s="49">
        <f>+SUM($F$9:F561)-SUM($G$9:G561)</f>
        <v>6058000</v>
      </c>
    </row>
    <row r="562" spans="1:8" ht="28.8" x14ac:dyDescent="0.55000000000000004">
      <c r="A562" s="43"/>
      <c r="B562" s="43"/>
      <c r="C562" s="44" t="s">
        <v>860</v>
      </c>
      <c r="D562" s="45">
        <v>1</v>
      </c>
      <c r="E562" s="46">
        <v>40000</v>
      </c>
      <c r="F562" s="47">
        <f>+$I$4+(CLIENT[[#This Row],[QUANTITE]]*CLIENT[[#This Row],[PRIX UNITAIRE]])</f>
        <v>40000</v>
      </c>
      <c r="G562" s="48"/>
      <c r="H562" s="49">
        <f>+SUM($F$9:F562)-SUM($G$9:G562)</f>
        <v>6098000</v>
      </c>
    </row>
    <row r="563" spans="1:8" ht="28.8" x14ac:dyDescent="0.55000000000000004">
      <c r="A563" s="43"/>
      <c r="B563" s="43"/>
      <c r="C563" s="44" t="s">
        <v>1925</v>
      </c>
      <c r="D563" s="45">
        <v>1</v>
      </c>
      <c r="E563" s="46">
        <v>10000</v>
      </c>
      <c r="F563" s="47">
        <f>+$I$4+(CLIENT[[#This Row],[QUANTITE]]*CLIENT[[#This Row],[PRIX UNITAIRE]])</f>
        <v>10000</v>
      </c>
      <c r="G563" s="48"/>
      <c r="H563" s="49">
        <f>+SUM($F$9:F563)-SUM($G$9:G563)</f>
        <v>6108000</v>
      </c>
    </row>
    <row r="564" spans="1:8" ht="28.8" x14ac:dyDescent="0.55000000000000004">
      <c r="A564" s="43">
        <v>44788</v>
      </c>
      <c r="B564" s="43" t="s">
        <v>1457</v>
      </c>
      <c r="C564" s="44" t="s">
        <v>1926</v>
      </c>
      <c r="D564" s="45">
        <v>2</v>
      </c>
      <c r="E564" s="46">
        <v>110000</v>
      </c>
      <c r="F564" s="47">
        <f>+$I$4+(CLIENT[[#This Row],[QUANTITE]]*CLIENT[[#This Row],[PRIX UNITAIRE]])</f>
        <v>220000</v>
      </c>
      <c r="G564" s="48"/>
      <c r="H564" s="49">
        <f>+SUM($F$9:F564)-SUM($G$9:G564)</f>
        <v>6328000</v>
      </c>
    </row>
    <row r="565" spans="1:8" ht="28.8" x14ac:dyDescent="0.55000000000000004">
      <c r="A565" s="43"/>
      <c r="B565" s="43" t="s">
        <v>1137</v>
      </c>
      <c r="C565" s="44" t="s">
        <v>1926</v>
      </c>
      <c r="D565" s="45">
        <v>2</v>
      </c>
      <c r="E565" s="46">
        <v>110000</v>
      </c>
      <c r="F565" s="47">
        <f>+$I$4+(CLIENT[[#This Row],[QUANTITE]]*CLIENT[[#This Row],[PRIX UNITAIRE]])</f>
        <v>220000</v>
      </c>
      <c r="G565" s="48"/>
      <c r="H565" s="49">
        <f>+SUM($F$9:F565)-SUM($G$9:G565)</f>
        <v>6548000</v>
      </c>
    </row>
    <row r="566" spans="1:8" ht="28.8" x14ac:dyDescent="0.55000000000000004">
      <c r="A566" s="43">
        <v>44789</v>
      </c>
      <c r="B566" s="43" t="s">
        <v>1232</v>
      </c>
      <c r="C566" s="44" t="s">
        <v>1927</v>
      </c>
      <c r="D566" s="45">
        <v>1</v>
      </c>
      <c r="E566" s="46">
        <v>150000</v>
      </c>
      <c r="F566" s="47">
        <f>+$I$4+(CLIENT[[#This Row],[QUANTITE]]*CLIENT[[#This Row],[PRIX UNITAIRE]])</f>
        <v>150000</v>
      </c>
      <c r="G566" s="48"/>
      <c r="H566" s="49">
        <f>+SUM($F$9:F566)-SUM($G$9:G566)</f>
        <v>6698000</v>
      </c>
    </row>
    <row r="567" spans="1:8" ht="28.8" x14ac:dyDescent="0.55000000000000004">
      <c r="A567" s="43">
        <v>44791</v>
      </c>
      <c r="B567" s="43" t="s">
        <v>1928</v>
      </c>
      <c r="C567" s="44" t="s">
        <v>1929</v>
      </c>
      <c r="D567" s="45">
        <v>1</v>
      </c>
      <c r="E567" s="46">
        <v>185000</v>
      </c>
      <c r="F567" s="47">
        <f>+$I$4+(CLIENT[[#This Row],[QUANTITE]]*CLIENT[[#This Row],[PRIX UNITAIRE]])</f>
        <v>185000</v>
      </c>
      <c r="G567" s="48"/>
      <c r="H567" s="49">
        <f>+SUM($F$9:F567)-SUM($G$9:G567)</f>
        <v>6883000</v>
      </c>
    </row>
    <row r="568" spans="1:8" ht="28.8" x14ac:dyDescent="0.55000000000000004">
      <c r="A568" s="43">
        <v>44791</v>
      </c>
      <c r="B568" s="43" t="s">
        <v>1424</v>
      </c>
      <c r="C568" s="44" t="s">
        <v>1930</v>
      </c>
      <c r="D568" s="45">
        <v>1</v>
      </c>
      <c r="E568" s="46">
        <v>150000</v>
      </c>
      <c r="F568" s="47">
        <f>+$I$4+(CLIENT[[#This Row],[QUANTITE]]*CLIENT[[#This Row],[PRIX UNITAIRE]])</f>
        <v>150000</v>
      </c>
      <c r="G568" s="48"/>
      <c r="H568" s="49">
        <f>+SUM($F$9:F568)-SUM($G$9:G568)</f>
        <v>7033000</v>
      </c>
    </row>
    <row r="569" spans="1:8" ht="28.8" x14ac:dyDescent="0.55000000000000004">
      <c r="A569" s="43">
        <v>44791</v>
      </c>
      <c r="B569" s="43" t="s">
        <v>1601</v>
      </c>
      <c r="C569" s="44" t="s">
        <v>1931</v>
      </c>
      <c r="D569" s="45">
        <v>2</v>
      </c>
      <c r="E569" s="46">
        <v>150000</v>
      </c>
      <c r="F569" s="47">
        <f>+$I$4+(CLIENT[[#This Row],[QUANTITE]]*CLIENT[[#This Row],[PRIX UNITAIRE]])</f>
        <v>300000</v>
      </c>
      <c r="G569" s="48"/>
      <c r="H569" s="49">
        <f>+SUM($F$9:F569)-SUM($G$9:G569)</f>
        <v>7333000</v>
      </c>
    </row>
    <row r="570" spans="1:8" ht="28.8" x14ac:dyDescent="0.55000000000000004">
      <c r="A570" s="43">
        <v>44797</v>
      </c>
      <c r="B570" s="43" t="s">
        <v>1601</v>
      </c>
      <c r="C570" s="44" t="s">
        <v>1932</v>
      </c>
      <c r="D570" s="45">
        <v>1</v>
      </c>
      <c r="E570" s="46">
        <v>150000</v>
      </c>
      <c r="F570" s="47">
        <f>+$I$4+(CLIENT[[#This Row],[QUANTITE]]*CLIENT[[#This Row],[PRIX UNITAIRE]])</f>
        <v>150000</v>
      </c>
      <c r="G570" s="48"/>
      <c r="H570" s="49">
        <f>+SUM($F$9:F570)-SUM($G$9:G570)</f>
        <v>7483000</v>
      </c>
    </row>
    <row r="571" spans="1:8" ht="28.8" x14ac:dyDescent="0.55000000000000004">
      <c r="A571" s="43">
        <v>44800</v>
      </c>
      <c r="B571" s="43" t="s">
        <v>1725</v>
      </c>
      <c r="C571" s="44" t="s">
        <v>1933</v>
      </c>
      <c r="D571" s="45">
        <v>1</v>
      </c>
      <c r="E571" s="46">
        <v>185000</v>
      </c>
      <c r="F571" s="47">
        <f>+$I$4+(CLIENT[[#This Row],[QUANTITE]]*CLIENT[[#This Row],[PRIX UNITAIRE]])</f>
        <v>185000</v>
      </c>
      <c r="G571" s="48"/>
      <c r="H571" s="49">
        <f>+SUM($F$9:F571)-SUM($G$9:G571)</f>
        <v>7668000</v>
      </c>
    </row>
    <row r="572" spans="1:8" ht="28.8" x14ac:dyDescent="0.55000000000000004">
      <c r="A572" s="43">
        <v>44803</v>
      </c>
      <c r="B572" s="43" t="s">
        <v>1699</v>
      </c>
      <c r="C572" s="44" t="s">
        <v>1934</v>
      </c>
      <c r="D572" s="45">
        <v>2</v>
      </c>
      <c r="E572" s="46">
        <v>125000</v>
      </c>
      <c r="F572" s="47">
        <f>+$I$4+(CLIENT[[#This Row],[QUANTITE]]*CLIENT[[#This Row],[PRIX UNITAIRE]])</f>
        <v>250000</v>
      </c>
      <c r="G572" s="48"/>
      <c r="H572" s="49">
        <f>+SUM($F$9:F572)-SUM($G$9:G572)</f>
        <v>7918000</v>
      </c>
    </row>
    <row r="573" spans="1:8" ht="28.8" x14ac:dyDescent="0.55000000000000004">
      <c r="A573" s="43"/>
      <c r="B573" s="43" t="s">
        <v>1424</v>
      </c>
      <c r="C573" s="44" t="s">
        <v>1934</v>
      </c>
      <c r="D573" s="45">
        <v>2</v>
      </c>
      <c r="E573" s="46">
        <v>125000</v>
      </c>
      <c r="F573" s="47">
        <f>+$I$4+(CLIENT[[#This Row],[QUANTITE]]*CLIENT[[#This Row],[PRIX UNITAIRE]])</f>
        <v>250000</v>
      </c>
      <c r="G573" s="48"/>
      <c r="H573" s="49">
        <f>+SUM($F$9:F573)-SUM($G$9:G573)</f>
        <v>8168000</v>
      </c>
    </row>
    <row r="574" spans="1:8" ht="28.8" x14ac:dyDescent="0.55000000000000004">
      <c r="A574" s="43">
        <v>44828</v>
      </c>
      <c r="B574" s="43" t="s">
        <v>1935</v>
      </c>
      <c r="C574" s="44" t="s">
        <v>1936</v>
      </c>
      <c r="D574" s="45">
        <v>3</v>
      </c>
      <c r="E574" s="46">
        <v>185000</v>
      </c>
      <c r="F574" s="47">
        <f>+$I$4+(CLIENT[[#This Row],[QUANTITE]]*CLIENT[[#This Row],[PRIX UNITAIRE]])</f>
        <v>555000</v>
      </c>
      <c r="G574" s="48"/>
      <c r="H574" s="49">
        <f>+SUM($F$9:F574)-SUM($G$9:G574)</f>
        <v>8723000</v>
      </c>
    </row>
    <row r="575" spans="1:8" ht="28.8" x14ac:dyDescent="0.55000000000000004">
      <c r="A575" s="43">
        <v>44836</v>
      </c>
      <c r="B575" s="43" t="s">
        <v>1181</v>
      </c>
      <c r="C575" s="44" t="s">
        <v>1937</v>
      </c>
      <c r="D575" s="45">
        <v>1</v>
      </c>
      <c r="E575" s="46">
        <v>185000</v>
      </c>
      <c r="F575" s="47">
        <f>+$I$4+(CLIENT[[#This Row],[QUANTITE]]*CLIENT[[#This Row],[PRIX UNITAIRE]])</f>
        <v>185000</v>
      </c>
      <c r="G575" s="48"/>
      <c r="H575" s="49">
        <f>+SUM($F$9:F575)-SUM($G$9:G575)</f>
        <v>8908000</v>
      </c>
    </row>
    <row r="576" spans="1:8" ht="28.8" x14ac:dyDescent="0.55000000000000004">
      <c r="A576" s="43">
        <v>44836</v>
      </c>
      <c r="B576" s="43" t="s">
        <v>1163</v>
      </c>
      <c r="C576" s="44" t="s">
        <v>925</v>
      </c>
      <c r="D576" s="45">
        <v>2</v>
      </c>
      <c r="E576" s="46">
        <v>110000</v>
      </c>
      <c r="F576" s="47">
        <f>+$I$4+(CLIENT[[#This Row],[QUANTITE]]*CLIENT[[#This Row],[PRIX UNITAIRE]])</f>
        <v>220000</v>
      </c>
      <c r="G576" s="48"/>
      <c r="H576" s="49">
        <f>+SUM($F$9:F576)-SUM($G$9:G576)</f>
        <v>9128000</v>
      </c>
    </row>
    <row r="577" spans="1:8" ht="28.8" x14ac:dyDescent="0.55000000000000004">
      <c r="A577" s="43">
        <v>44837</v>
      </c>
      <c r="B577" s="43" t="s">
        <v>1737</v>
      </c>
      <c r="C577" s="44" t="s">
        <v>1938</v>
      </c>
      <c r="D577" s="45">
        <v>1</v>
      </c>
      <c r="E577" s="46">
        <v>185000</v>
      </c>
      <c r="F577" s="47">
        <f>+$I$4+(CLIENT[[#This Row],[QUANTITE]]*CLIENT[[#This Row],[PRIX UNITAIRE]])</f>
        <v>185000</v>
      </c>
      <c r="G577" s="48"/>
      <c r="H577" s="49">
        <f>+SUM($F$9:F577)-SUM($G$9:G577)</f>
        <v>9313000</v>
      </c>
    </row>
    <row r="578" spans="1:8" ht="28.8" x14ac:dyDescent="0.55000000000000004">
      <c r="A578" s="43">
        <v>44837</v>
      </c>
      <c r="B578" s="43" t="s">
        <v>1706</v>
      </c>
      <c r="C578" s="44" t="s">
        <v>1939</v>
      </c>
      <c r="D578" s="45">
        <v>1</v>
      </c>
      <c r="E578" s="46">
        <v>185000</v>
      </c>
      <c r="F578" s="47">
        <f>+$I$4+(CLIENT[[#This Row],[QUANTITE]]*CLIENT[[#This Row],[PRIX UNITAIRE]])</f>
        <v>185000</v>
      </c>
      <c r="G578" s="48"/>
      <c r="H578" s="49">
        <f>+SUM($F$9:F578)-SUM($G$9:G578)</f>
        <v>9498000</v>
      </c>
    </row>
    <row r="579" spans="1:8" ht="28.8" x14ac:dyDescent="0.55000000000000004">
      <c r="A579" s="43"/>
      <c r="B579" s="43"/>
      <c r="C579" s="44" t="s">
        <v>1940</v>
      </c>
      <c r="D579" s="45">
        <v>1</v>
      </c>
      <c r="E579" s="46">
        <v>150000</v>
      </c>
      <c r="F579" s="47">
        <f>+$I$4+(CLIENT[[#This Row],[QUANTITE]]*CLIENT[[#This Row],[PRIX UNITAIRE]])</f>
        <v>150000</v>
      </c>
      <c r="G579" s="48"/>
      <c r="H579" s="49">
        <f>+SUM($F$9:F579)-SUM($G$9:G579)</f>
        <v>9648000</v>
      </c>
    </row>
    <row r="580" spans="1:8" ht="28.8" x14ac:dyDescent="0.55000000000000004">
      <c r="A580" s="43">
        <v>44840</v>
      </c>
      <c r="B580" s="43" t="s">
        <v>1808</v>
      </c>
      <c r="C580" s="44" t="s">
        <v>1941</v>
      </c>
      <c r="D580" s="45">
        <v>1</v>
      </c>
      <c r="E580" s="46">
        <v>185000</v>
      </c>
      <c r="F580" s="47">
        <f>+$I$4+(CLIENT[[#This Row],[QUANTITE]]*CLIENT[[#This Row],[PRIX UNITAIRE]])</f>
        <v>185000</v>
      </c>
      <c r="G580" s="48"/>
      <c r="H580" s="49">
        <f>+SUM($F$9:F580)-SUM($G$9:G580)</f>
        <v>9833000</v>
      </c>
    </row>
    <row r="581" spans="1:8" ht="28.8" x14ac:dyDescent="0.55000000000000004">
      <c r="A581" s="43">
        <v>44841</v>
      </c>
      <c r="B581" s="43" t="s">
        <v>1942</v>
      </c>
      <c r="C581" s="44" t="s">
        <v>1943</v>
      </c>
      <c r="D581" s="45">
        <v>1</v>
      </c>
      <c r="E581" s="46">
        <v>40000</v>
      </c>
      <c r="F581" s="47">
        <f>+$I$4+(CLIENT[[#This Row],[QUANTITE]]*CLIENT[[#This Row],[PRIX UNITAIRE]])</f>
        <v>40000</v>
      </c>
      <c r="G581" s="48"/>
      <c r="H581" s="49">
        <f>+SUM($F$9:F581)-SUM($G$9:G581)</f>
        <v>9873000</v>
      </c>
    </row>
    <row r="582" spans="1:8" ht="28.8" x14ac:dyDescent="0.55000000000000004">
      <c r="A582" s="43">
        <v>44841</v>
      </c>
      <c r="B582" s="43" t="s">
        <v>1601</v>
      </c>
      <c r="C582" s="44" t="s">
        <v>1944</v>
      </c>
      <c r="D582" s="45">
        <v>1</v>
      </c>
      <c r="E582" s="46">
        <v>310000</v>
      </c>
      <c r="F582" s="47">
        <f>+$I$4+(CLIENT[[#This Row],[QUANTITE]]*CLIENT[[#This Row],[PRIX UNITAIRE]])</f>
        <v>310000</v>
      </c>
      <c r="G582" s="48"/>
      <c r="H582" s="49">
        <f>+SUM($F$9:F582)-SUM($G$9:G582)</f>
        <v>10183000</v>
      </c>
    </row>
    <row r="583" spans="1:8" ht="28.8" x14ac:dyDescent="0.55000000000000004">
      <c r="A583" s="43">
        <v>44841</v>
      </c>
      <c r="B583" s="43" t="s">
        <v>259</v>
      </c>
      <c r="C583" s="44" t="s">
        <v>1214</v>
      </c>
      <c r="D583" s="45">
        <v>1</v>
      </c>
      <c r="E583" s="46">
        <v>0</v>
      </c>
      <c r="F583" s="47">
        <f>+$I$4+(CLIENT[[#This Row],[QUANTITE]]*CLIENT[[#This Row],[PRIX UNITAIRE]])</f>
        <v>0</v>
      </c>
      <c r="G583" s="48">
        <v>10000000</v>
      </c>
      <c r="H583" s="49">
        <f>+SUM($F$9:F583)-SUM($G$9:G583)</f>
        <v>183000</v>
      </c>
    </row>
    <row r="584" spans="1:8" ht="28.8" x14ac:dyDescent="0.55000000000000004">
      <c r="A584" s="43">
        <v>44842</v>
      </c>
      <c r="B584" s="43" t="s">
        <v>1945</v>
      </c>
      <c r="C584" s="44" t="s">
        <v>1946</v>
      </c>
      <c r="D584" s="45">
        <v>1</v>
      </c>
      <c r="E584" s="46">
        <v>185000</v>
      </c>
      <c r="F584" s="47">
        <f>+$I$4+(CLIENT[[#This Row],[QUANTITE]]*CLIENT[[#This Row],[PRIX UNITAIRE]])</f>
        <v>185000</v>
      </c>
      <c r="G584" s="48"/>
      <c r="H584" s="49">
        <f>+SUM($F$9:F584)-SUM($G$9:G584)</f>
        <v>368000</v>
      </c>
    </row>
    <row r="585" spans="1:8" ht="28.8" x14ac:dyDescent="0.55000000000000004">
      <c r="A585" s="43"/>
      <c r="B585" s="43"/>
      <c r="C585" s="44" t="s">
        <v>860</v>
      </c>
      <c r="D585" s="45">
        <v>1</v>
      </c>
      <c r="E585" s="46">
        <v>45000</v>
      </c>
      <c r="F585" s="47">
        <f>+$I$4+(CLIENT[[#This Row],[QUANTITE]]*CLIENT[[#This Row],[PRIX UNITAIRE]])</f>
        <v>45000</v>
      </c>
      <c r="G585" s="48"/>
      <c r="H585" s="49">
        <f>+SUM($F$9:F585)-SUM($G$9:G585)</f>
        <v>413000</v>
      </c>
    </row>
    <row r="586" spans="1:8" ht="28.8" x14ac:dyDescent="0.55000000000000004">
      <c r="A586" s="43">
        <v>44842</v>
      </c>
      <c r="B586" s="43" t="s">
        <v>1947</v>
      </c>
      <c r="C586" s="44" t="s">
        <v>1948</v>
      </c>
      <c r="D586" s="45">
        <v>1</v>
      </c>
      <c r="E586" s="46">
        <v>185000</v>
      </c>
      <c r="F586" s="47">
        <f>+$I$4+(CLIENT[[#This Row],[QUANTITE]]*CLIENT[[#This Row],[PRIX UNITAIRE]])</f>
        <v>185000</v>
      </c>
      <c r="G586" s="48"/>
      <c r="H586" s="49">
        <f>+SUM($F$9:F586)-SUM($G$9:G586)</f>
        <v>598000</v>
      </c>
    </row>
    <row r="587" spans="1:8" ht="28.8" x14ac:dyDescent="0.55000000000000004">
      <c r="A587" s="43">
        <v>44844</v>
      </c>
      <c r="B587" s="43" t="s">
        <v>1459</v>
      </c>
      <c r="C587" s="44" t="s">
        <v>1949</v>
      </c>
      <c r="D587" s="45">
        <v>2</v>
      </c>
      <c r="E587" s="46">
        <v>110000</v>
      </c>
      <c r="F587" s="47">
        <f>+$I$4+(CLIENT[[#This Row],[QUANTITE]]*CLIENT[[#This Row],[PRIX UNITAIRE]])</f>
        <v>220000</v>
      </c>
      <c r="G587" s="48"/>
      <c r="H587" s="49">
        <f>+SUM($F$9:F587)-SUM($G$9:G587)</f>
        <v>818000</v>
      </c>
    </row>
    <row r="588" spans="1:8" ht="28.8" x14ac:dyDescent="0.55000000000000004">
      <c r="A588" s="43">
        <v>44846</v>
      </c>
      <c r="B588" s="43" t="s">
        <v>1947</v>
      </c>
      <c r="C588" s="44" t="s">
        <v>1950</v>
      </c>
      <c r="D588" s="45">
        <v>1</v>
      </c>
      <c r="E588" s="46">
        <v>185000</v>
      </c>
      <c r="F588" s="47">
        <f>+$I$4+(CLIENT[[#This Row],[QUANTITE]]*CLIENT[[#This Row],[PRIX UNITAIRE]])</f>
        <v>185000</v>
      </c>
      <c r="G588" s="48"/>
      <c r="H588" s="49">
        <f>+SUM($F$9:F588)-SUM($G$9:G588)</f>
        <v>1003000</v>
      </c>
    </row>
    <row r="589" spans="1:8" ht="28.8" x14ac:dyDescent="0.55000000000000004">
      <c r="A589" s="43">
        <v>44847</v>
      </c>
      <c r="B589" s="43" t="s">
        <v>1768</v>
      </c>
      <c r="C589" s="44" t="s">
        <v>1951</v>
      </c>
      <c r="D589" s="45">
        <v>1</v>
      </c>
      <c r="E589" s="46">
        <v>185000</v>
      </c>
      <c r="F589" s="47">
        <f>+$I$4+(CLIENT[[#This Row],[QUANTITE]]*CLIENT[[#This Row],[PRIX UNITAIRE]])</f>
        <v>185000</v>
      </c>
      <c r="G589" s="48"/>
      <c r="H589" s="49">
        <f>+SUM($F$9:F589)-SUM($G$9:G589)</f>
        <v>1188000</v>
      </c>
    </row>
    <row r="590" spans="1:8" ht="28.8" x14ac:dyDescent="0.55000000000000004">
      <c r="A590" s="43"/>
      <c r="B590" s="43" t="s">
        <v>1290</v>
      </c>
      <c r="C590" s="44" t="s">
        <v>1952</v>
      </c>
      <c r="D590" s="45">
        <v>1</v>
      </c>
      <c r="E590" s="46">
        <v>150000</v>
      </c>
      <c r="F590" s="47">
        <f>+$I$4+(CLIENT[[#This Row],[QUANTITE]]*CLIENT[[#This Row],[PRIX UNITAIRE]])</f>
        <v>150000</v>
      </c>
      <c r="G590" s="48"/>
      <c r="H590" s="49">
        <f>+SUM($F$9:F590)-SUM($G$9:G590)</f>
        <v>1338000</v>
      </c>
    </row>
    <row r="591" spans="1:8" ht="28.8" x14ac:dyDescent="0.55000000000000004">
      <c r="A591" s="43">
        <v>44847</v>
      </c>
      <c r="B591" s="43" t="s">
        <v>1461</v>
      </c>
      <c r="C591" s="44" t="s">
        <v>925</v>
      </c>
      <c r="D591" s="45">
        <v>2</v>
      </c>
      <c r="E591" s="46">
        <v>110000</v>
      </c>
      <c r="F591" s="47">
        <f>+$I$4+(CLIENT[[#This Row],[QUANTITE]]*CLIENT[[#This Row],[PRIX UNITAIRE]])</f>
        <v>220000</v>
      </c>
      <c r="G591" s="48"/>
      <c r="H591" s="49">
        <f>+SUM($F$9:F591)-SUM($G$9:G591)</f>
        <v>1558000</v>
      </c>
    </row>
    <row r="592" spans="1:8" ht="28.8" x14ac:dyDescent="0.55000000000000004">
      <c r="A592" s="43">
        <v>44851</v>
      </c>
      <c r="B592" s="43" t="s">
        <v>1729</v>
      </c>
      <c r="C592" s="44" t="s">
        <v>1953</v>
      </c>
      <c r="D592" s="45">
        <v>1</v>
      </c>
      <c r="E592" s="46">
        <v>185000</v>
      </c>
      <c r="F592" s="47">
        <f>+$I$4+(CLIENT[[#This Row],[QUANTITE]]*CLIENT[[#This Row],[PRIX UNITAIRE]])</f>
        <v>185000</v>
      </c>
      <c r="G592" s="48"/>
      <c r="H592" s="49">
        <f>+SUM($F$9:F592)-SUM($G$9:G592)</f>
        <v>1743000</v>
      </c>
    </row>
    <row r="593" spans="1:8" ht="28.8" x14ac:dyDescent="0.55000000000000004">
      <c r="A593" s="43">
        <v>44851</v>
      </c>
      <c r="B593" s="43" t="s">
        <v>1954</v>
      </c>
      <c r="C593" s="44" t="s">
        <v>1955</v>
      </c>
      <c r="D593" s="45">
        <v>1</v>
      </c>
      <c r="E593" s="46">
        <v>185000</v>
      </c>
      <c r="F593" s="47">
        <f>+$I$4+(CLIENT[[#This Row],[QUANTITE]]*CLIENT[[#This Row],[PRIX UNITAIRE]])</f>
        <v>185000</v>
      </c>
      <c r="G593" s="48"/>
      <c r="H593" s="49">
        <f>+SUM($F$9:F593)-SUM($G$9:G593)</f>
        <v>1928000</v>
      </c>
    </row>
    <row r="594" spans="1:8" ht="28.8" x14ac:dyDescent="0.55000000000000004">
      <c r="A594" s="43">
        <v>44853</v>
      </c>
      <c r="B594" s="43" t="s">
        <v>1956</v>
      </c>
      <c r="C594" s="44" t="s">
        <v>1957</v>
      </c>
      <c r="D594" s="45">
        <v>4</v>
      </c>
      <c r="E594" s="46">
        <v>13000</v>
      </c>
      <c r="F594" s="47">
        <f>+$I$4+(CLIENT[[#This Row],[QUANTITE]]*CLIENT[[#This Row],[PRIX UNITAIRE]])</f>
        <v>52000</v>
      </c>
      <c r="G594" s="48"/>
      <c r="H594" s="49">
        <f>+SUM($F$9:F594)-SUM($G$9:G594)</f>
        <v>1980000</v>
      </c>
    </row>
    <row r="595" spans="1:8" ht="28.8" x14ac:dyDescent="0.55000000000000004">
      <c r="A595" s="43">
        <v>44854</v>
      </c>
      <c r="B595" s="43" t="s">
        <v>1855</v>
      </c>
      <c r="C595" s="44" t="s">
        <v>83</v>
      </c>
      <c r="D595" s="45">
        <v>1</v>
      </c>
      <c r="E595" s="46">
        <v>15000</v>
      </c>
      <c r="F595" s="47">
        <f>+$I$4+(CLIENT[[#This Row],[QUANTITE]]*CLIENT[[#This Row],[PRIX UNITAIRE]])</f>
        <v>15000</v>
      </c>
      <c r="G595" s="48"/>
      <c r="H595" s="49">
        <f>+SUM($F$9:F595)-SUM($G$9:G595)</f>
        <v>1995000</v>
      </c>
    </row>
    <row r="596" spans="1:8" ht="28.8" x14ac:dyDescent="0.55000000000000004">
      <c r="A596" s="43">
        <v>44855</v>
      </c>
      <c r="B596" s="43" t="s">
        <v>1600</v>
      </c>
      <c r="C596" s="44" t="s">
        <v>1958</v>
      </c>
      <c r="D596" s="45">
        <v>1</v>
      </c>
      <c r="E596" s="46">
        <v>150000</v>
      </c>
      <c r="F596" s="47">
        <f>+$I$4+(CLIENT[[#This Row],[QUANTITE]]*CLIENT[[#This Row],[PRIX UNITAIRE]])</f>
        <v>150000</v>
      </c>
      <c r="G596" s="48"/>
      <c r="H596" s="49">
        <f>+SUM($F$9:F596)-SUM($G$9:G596)</f>
        <v>2145000</v>
      </c>
    </row>
    <row r="597" spans="1:8" ht="28.8" x14ac:dyDescent="0.55000000000000004">
      <c r="A597" s="43">
        <v>44856</v>
      </c>
      <c r="B597" s="43" t="s">
        <v>1461</v>
      </c>
      <c r="C597" s="44" t="s">
        <v>1959</v>
      </c>
      <c r="D597" s="45">
        <v>1</v>
      </c>
      <c r="E597" s="46">
        <v>150000</v>
      </c>
      <c r="F597" s="47">
        <f>+$I$4+(CLIENT[[#This Row],[QUANTITE]]*CLIENT[[#This Row],[PRIX UNITAIRE]])</f>
        <v>150000</v>
      </c>
      <c r="G597" s="48"/>
      <c r="H597" s="49">
        <f>+SUM($F$9:F597)-SUM($G$9:G597)</f>
        <v>2295000</v>
      </c>
    </row>
    <row r="598" spans="1:8" ht="28.8" x14ac:dyDescent="0.55000000000000004">
      <c r="A598" s="43">
        <v>44856</v>
      </c>
      <c r="B598" s="43" t="s">
        <v>1302</v>
      </c>
      <c r="C598" s="44" t="s">
        <v>1960</v>
      </c>
      <c r="D598" s="45">
        <v>2</v>
      </c>
      <c r="E598" s="46">
        <v>150000</v>
      </c>
      <c r="F598" s="47">
        <f>+$I$4+(CLIENT[[#This Row],[QUANTITE]]*CLIENT[[#This Row],[PRIX UNITAIRE]])</f>
        <v>300000</v>
      </c>
      <c r="G598" s="48"/>
      <c r="H598" s="49">
        <f>+SUM($F$9:F598)-SUM($G$9:G598)</f>
        <v>2595000</v>
      </c>
    </row>
    <row r="599" spans="1:8" ht="28.8" x14ac:dyDescent="0.55000000000000004">
      <c r="A599" s="43"/>
      <c r="B599" s="43"/>
      <c r="C599" s="44" t="s">
        <v>860</v>
      </c>
      <c r="D599" s="45">
        <v>1</v>
      </c>
      <c r="E599" s="46">
        <v>45000</v>
      </c>
      <c r="F599" s="47">
        <f>+$I$4+(CLIENT[[#This Row],[QUANTITE]]*CLIENT[[#This Row],[PRIX UNITAIRE]])</f>
        <v>45000</v>
      </c>
      <c r="G599" s="48"/>
      <c r="H599" s="49">
        <f>+SUM($F$9:F599)-SUM($G$9:G599)</f>
        <v>2640000</v>
      </c>
    </row>
    <row r="600" spans="1:8" ht="28.8" x14ac:dyDescent="0.55000000000000004">
      <c r="A600" s="43">
        <v>44858</v>
      </c>
      <c r="B600" s="43" t="s">
        <v>1601</v>
      </c>
      <c r="C600" s="44" t="s">
        <v>1961</v>
      </c>
      <c r="D600" s="45">
        <v>1</v>
      </c>
      <c r="E600" s="46">
        <v>115000</v>
      </c>
      <c r="F600" s="47">
        <f>+$I$4+(CLIENT[[#This Row],[QUANTITE]]*CLIENT[[#This Row],[PRIX UNITAIRE]])</f>
        <v>115000</v>
      </c>
      <c r="G600" s="48"/>
      <c r="H600" s="49">
        <f>+SUM($F$9:F600)-SUM($G$9:G600)</f>
        <v>2755000</v>
      </c>
    </row>
    <row r="601" spans="1:8" ht="28.8" x14ac:dyDescent="0.55000000000000004">
      <c r="A601" s="43">
        <v>44858</v>
      </c>
      <c r="B601" s="43" t="s">
        <v>1601</v>
      </c>
      <c r="C601" s="44" t="s">
        <v>1962</v>
      </c>
      <c r="D601" s="45">
        <v>1</v>
      </c>
      <c r="E601" s="46">
        <v>185000</v>
      </c>
      <c r="F601" s="47">
        <f>+$I$4+(CLIENT[[#This Row],[QUANTITE]]*CLIENT[[#This Row],[PRIX UNITAIRE]])</f>
        <v>185000</v>
      </c>
      <c r="G601" s="48"/>
      <c r="H601" s="49">
        <f>+SUM($F$9:F601)-SUM($G$9:G601)</f>
        <v>2940000</v>
      </c>
    </row>
    <row r="602" spans="1:8" ht="28.8" x14ac:dyDescent="0.55000000000000004">
      <c r="A602" s="43"/>
      <c r="B602" s="43"/>
      <c r="C602" s="44" t="s">
        <v>860</v>
      </c>
      <c r="D602" s="45">
        <v>1</v>
      </c>
      <c r="E602" s="46">
        <v>45000</v>
      </c>
      <c r="F602" s="47">
        <f>+$I$4+(CLIENT[[#This Row],[QUANTITE]]*CLIENT[[#This Row],[PRIX UNITAIRE]])</f>
        <v>45000</v>
      </c>
      <c r="G602" s="48"/>
      <c r="H602" s="49">
        <f>+SUM($F$9:F602)-SUM($G$9:G602)</f>
        <v>2985000</v>
      </c>
    </row>
    <row r="603" spans="1:8" ht="28.8" x14ac:dyDescent="0.55000000000000004">
      <c r="A603" s="43">
        <v>44858</v>
      </c>
      <c r="B603" s="43" t="s">
        <v>1963</v>
      </c>
      <c r="C603" s="44" t="s">
        <v>1964</v>
      </c>
      <c r="D603" s="45">
        <v>1</v>
      </c>
      <c r="E603" s="46">
        <v>185000</v>
      </c>
      <c r="F603" s="47">
        <f>+$I$4+(CLIENT[[#This Row],[QUANTITE]]*CLIENT[[#This Row],[PRIX UNITAIRE]])</f>
        <v>185000</v>
      </c>
      <c r="G603" s="48"/>
      <c r="H603" s="49">
        <f>+SUM($F$9:F603)-SUM($G$9:G603)</f>
        <v>3170000</v>
      </c>
    </row>
    <row r="604" spans="1:8" ht="28.8" x14ac:dyDescent="0.55000000000000004">
      <c r="A604" s="43">
        <v>44859</v>
      </c>
      <c r="B604" s="43" t="s">
        <v>1459</v>
      </c>
      <c r="C604" s="44" t="s">
        <v>83</v>
      </c>
      <c r="D604" s="45">
        <v>1</v>
      </c>
      <c r="E604" s="46">
        <v>15000</v>
      </c>
      <c r="F604" s="47">
        <f>+$I$4+(CLIENT[[#This Row],[QUANTITE]]*CLIENT[[#This Row],[PRIX UNITAIRE]])</f>
        <v>15000</v>
      </c>
      <c r="G604" s="48"/>
      <c r="H604" s="49">
        <f>+SUM($F$9:F604)-SUM($G$9:G604)</f>
        <v>3185000</v>
      </c>
    </row>
    <row r="605" spans="1:8" ht="28.8" x14ac:dyDescent="0.55000000000000004">
      <c r="A605" s="43">
        <v>44859</v>
      </c>
      <c r="B605" s="43" t="s">
        <v>1965</v>
      </c>
      <c r="C605" s="44" t="s">
        <v>1966</v>
      </c>
      <c r="D605" s="45">
        <v>1</v>
      </c>
      <c r="E605" s="46">
        <v>185000</v>
      </c>
      <c r="F605" s="47">
        <f>+$I$4+(CLIENT[[#This Row],[QUANTITE]]*CLIENT[[#This Row],[PRIX UNITAIRE]])</f>
        <v>185000</v>
      </c>
      <c r="G605" s="48"/>
      <c r="H605" s="49">
        <f>+SUM($F$9:F605)-SUM($G$9:G605)</f>
        <v>3370000</v>
      </c>
    </row>
    <row r="606" spans="1:8" ht="28.8" x14ac:dyDescent="0.55000000000000004">
      <c r="A606" s="43">
        <v>44861</v>
      </c>
      <c r="B606" s="43" t="s">
        <v>1967</v>
      </c>
      <c r="C606" s="44" t="s">
        <v>1968</v>
      </c>
      <c r="D606" s="45">
        <v>4</v>
      </c>
      <c r="E606" s="46">
        <v>12500</v>
      </c>
      <c r="F606" s="47">
        <f>+$I$4+(CLIENT[[#This Row],[QUANTITE]]*CLIENT[[#This Row],[PRIX UNITAIRE]])</f>
        <v>50000</v>
      </c>
      <c r="G606" s="48"/>
      <c r="H606" s="49">
        <f>+SUM($F$9:F606)-SUM($G$9:G606)</f>
        <v>3420000</v>
      </c>
    </row>
    <row r="607" spans="1:8" ht="28.8" x14ac:dyDescent="0.55000000000000004">
      <c r="A607" s="43">
        <v>44865</v>
      </c>
      <c r="B607" s="43" t="s">
        <v>1969</v>
      </c>
      <c r="C607" s="44" t="s">
        <v>1970</v>
      </c>
      <c r="D607" s="45">
        <v>1</v>
      </c>
      <c r="E607" s="46">
        <v>185000</v>
      </c>
      <c r="F607" s="47">
        <f>+$I$4+(CLIENT[[#This Row],[QUANTITE]]*CLIENT[[#This Row],[PRIX UNITAIRE]])</f>
        <v>185000</v>
      </c>
      <c r="G607" s="48"/>
      <c r="H607" s="49">
        <f>+SUM($F$9:F607)-SUM($G$9:G607)</f>
        <v>3605000</v>
      </c>
    </row>
    <row r="608" spans="1:8" ht="28.8" x14ac:dyDescent="0.55000000000000004">
      <c r="A608" s="43">
        <v>44865</v>
      </c>
      <c r="B608" s="43" t="s">
        <v>1971</v>
      </c>
      <c r="C608" s="44" t="s">
        <v>1972</v>
      </c>
      <c r="D608" s="45">
        <v>1</v>
      </c>
      <c r="E608" s="46">
        <v>185000</v>
      </c>
      <c r="F608" s="47">
        <f>+$I$4+(CLIENT[[#This Row],[QUANTITE]]*CLIENT[[#This Row],[PRIX UNITAIRE]])</f>
        <v>185000</v>
      </c>
      <c r="G608" s="48"/>
      <c r="H608" s="49">
        <f>+SUM($F$9:F608)-SUM($G$9:G608)</f>
        <v>3790000</v>
      </c>
    </row>
    <row r="609" spans="1:8" ht="28.8" x14ac:dyDescent="0.55000000000000004">
      <c r="A609" s="43">
        <v>44866</v>
      </c>
      <c r="B609" s="43" t="s">
        <v>1887</v>
      </c>
      <c r="C609" s="44" t="s">
        <v>1973</v>
      </c>
      <c r="D609" s="45">
        <v>1</v>
      </c>
      <c r="E609" s="46">
        <v>185000</v>
      </c>
      <c r="F609" s="47">
        <f>+$I$4+(CLIENT[[#This Row],[QUANTITE]]*CLIENT[[#This Row],[PRIX UNITAIRE]])</f>
        <v>185000</v>
      </c>
      <c r="G609" s="48"/>
      <c r="H609" s="49">
        <f>+SUM($F$9:F609)-SUM($G$9:G609)</f>
        <v>3975000</v>
      </c>
    </row>
    <row r="610" spans="1:8" ht="28.8" x14ac:dyDescent="0.55000000000000004">
      <c r="A610" s="43">
        <v>44866</v>
      </c>
      <c r="B610" s="43" t="s">
        <v>1974</v>
      </c>
      <c r="C610" s="44" t="s">
        <v>1975</v>
      </c>
      <c r="D610" s="45">
        <v>2</v>
      </c>
      <c r="E610" s="46">
        <v>185000</v>
      </c>
      <c r="F610" s="47">
        <f>+$I$4+(CLIENT[[#This Row],[QUANTITE]]*CLIENT[[#This Row],[PRIX UNITAIRE]])</f>
        <v>370000</v>
      </c>
      <c r="G610" s="48"/>
      <c r="H610" s="49">
        <f>+SUM($F$9:F610)-SUM($G$9:G610)</f>
        <v>4345000</v>
      </c>
    </row>
    <row r="611" spans="1:8" ht="28.8" x14ac:dyDescent="0.55000000000000004">
      <c r="A611" s="43"/>
      <c r="B611" s="43"/>
      <c r="C611" s="44" t="s">
        <v>1976</v>
      </c>
      <c r="D611" s="45">
        <v>2</v>
      </c>
      <c r="E611" s="46">
        <v>150000</v>
      </c>
      <c r="F611" s="47">
        <f>+$I$4+(CLIENT[[#This Row],[QUANTITE]]*CLIENT[[#This Row],[PRIX UNITAIRE]])</f>
        <v>300000</v>
      </c>
      <c r="G611" s="48"/>
      <c r="H611" s="49">
        <f>+SUM($F$9:F611)-SUM($G$9:G611)</f>
        <v>4645000</v>
      </c>
    </row>
    <row r="612" spans="1:8" ht="28.8" x14ac:dyDescent="0.55000000000000004">
      <c r="A612" s="43"/>
      <c r="B612" s="43"/>
      <c r="C612" s="44" t="s">
        <v>860</v>
      </c>
      <c r="D612" s="45">
        <v>3</v>
      </c>
      <c r="E612" s="46">
        <v>45000</v>
      </c>
      <c r="F612" s="47">
        <f>+$I$4+(CLIENT[[#This Row],[QUANTITE]]*CLIENT[[#This Row],[PRIX UNITAIRE]])</f>
        <v>135000</v>
      </c>
      <c r="G612" s="48"/>
      <c r="H612" s="49">
        <f>+SUM($F$9:F612)-SUM($G$9:G612)</f>
        <v>4780000</v>
      </c>
    </row>
    <row r="613" spans="1:8" ht="28.8" x14ac:dyDescent="0.55000000000000004">
      <c r="A613" s="43">
        <v>44866</v>
      </c>
      <c r="B613" s="43" t="s">
        <v>1474</v>
      </c>
      <c r="C613" s="44" t="s">
        <v>1934</v>
      </c>
      <c r="D613" s="45">
        <v>2</v>
      </c>
      <c r="E613" s="46">
        <v>125000</v>
      </c>
      <c r="F613" s="47">
        <f>+$I$4+(CLIENT[[#This Row],[QUANTITE]]*CLIENT[[#This Row],[PRIX UNITAIRE]])</f>
        <v>250000</v>
      </c>
      <c r="G613" s="48"/>
      <c r="H613" s="49">
        <f>+SUM($F$9:F613)-SUM($G$9:G613)</f>
        <v>5030000</v>
      </c>
    </row>
    <row r="614" spans="1:8" ht="28.8" x14ac:dyDescent="0.55000000000000004">
      <c r="A614" s="43">
        <v>44867</v>
      </c>
      <c r="B614" s="43" t="s">
        <v>1977</v>
      </c>
      <c r="C614" s="44" t="s">
        <v>1978</v>
      </c>
      <c r="D614" s="45">
        <v>1</v>
      </c>
      <c r="E614" s="46">
        <v>185000</v>
      </c>
      <c r="F614" s="47">
        <f>+$I$4+(CLIENT[[#This Row],[QUANTITE]]*CLIENT[[#This Row],[PRIX UNITAIRE]])</f>
        <v>185000</v>
      </c>
      <c r="G614" s="48"/>
      <c r="H614" s="49">
        <f>+SUM($F$9:F614)-SUM($G$9:G614)</f>
        <v>5215000</v>
      </c>
    </row>
    <row r="615" spans="1:8" ht="28.8" x14ac:dyDescent="0.55000000000000004">
      <c r="A615" s="43">
        <v>44867</v>
      </c>
      <c r="B615" s="43" t="s">
        <v>1848</v>
      </c>
      <c r="C615" s="44" t="s">
        <v>1979</v>
      </c>
      <c r="D615" s="45">
        <v>1</v>
      </c>
      <c r="E615" s="46">
        <v>185000</v>
      </c>
      <c r="F615" s="47">
        <f>+$I$4+(CLIENT[[#This Row],[QUANTITE]]*CLIENT[[#This Row],[PRIX UNITAIRE]])</f>
        <v>185000</v>
      </c>
      <c r="G615" s="48"/>
      <c r="H615" s="49">
        <f>+SUM($F$9:F615)-SUM($G$9:G615)</f>
        <v>5400000</v>
      </c>
    </row>
    <row r="616" spans="1:8" ht="28.8" x14ac:dyDescent="0.55000000000000004">
      <c r="A616" s="43">
        <v>44868</v>
      </c>
      <c r="B616" s="43" t="s">
        <v>1163</v>
      </c>
      <c r="C616" s="44" t="s">
        <v>1980</v>
      </c>
      <c r="D616" s="45">
        <v>1</v>
      </c>
      <c r="E616" s="46">
        <v>185000</v>
      </c>
      <c r="F616" s="47">
        <f>+$I$4+(CLIENT[[#This Row],[QUANTITE]]*CLIENT[[#This Row],[PRIX UNITAIRE]])</f>
        <v>185000</v>
      </c>
      <c r="G616" s="48"/>
      <c r="H616" s="49">
        <f>+SUM($F$9:F616)-SUM($G$9:G616)</f>
        <v>5585000</v>
      </c>
    </row>
    <row r="617" spans="1:8" ht="28.8" x14ac:dyDescent="0.55000000000000004">
      <c r="A617" s="43">
        <v>44869</v>
      </c>
      <c r="B617" s="43" t="s">
        <v>1828</v>
      </c>
      <c r="C617" s="44" t="s">
        <v>1981</v>
      </c>
      <c r="D617" s="45">
        <v>1</v>
      </c>
      <c r="E617" s="46">
        <v>185000</v>
      </c>
      <c r="F617" s="47">
        <f>+$I$4+(CLIENT[[#This Row],[QUANTITE]]*CLIENT[[#This Row],[PRIX UNITAIRE]])</f>
        <v>185000</v>
      </c>
      <c r="G617" s="48"/>
      <c r="H617" s="49">
        <f>+SUM($F$9:F617)-SUM($G$9:G617)</f>
        <v>5770000</v>
      </c>
    </row>
    <row r="618" spans="1:8" ht="28.8" x14ac:dyDescent="0.55000000000000004">
      <c r="A618" s="43"/>
      <c r="B618" s="43"/>
      <c r="C618" s="44" t="s">
        <v>1982</v>
      </c>
      <c r="D618" s="45">
        <v>1</v>
      </c>
      <c r="E618" s="46">
        <v>150000</v>
      </c>
      <c r="F618" s="47">
        <f>+$I$4+(CLIENT[[#This Row],[QUANTITE]]*CLIENT[[#This Row],[PRIX UNITAIRE]])</f>
        <v>150000</v>
      </c>
      <c r="G618" s="48"/>
      <c r="H618" s="49">
        <f>+SUM($F$9:F618)-SUM($G$9:G618)</f>
        <v>5920000</v>
      </c>
    </row>
    <row r="619" spans="1:8" ht="28.8" x14ac:dyDescent="0.55000000000000004">
      <c r="A619" s="43">
        <v>44867</v>
      </c>
      <c r="B619" s="43" t="s">
        <v>1474</v>
      </c>
      <c r="C619" s="44" t="s">
        <v>1983</v>
      </c>
      <c r="D619" s="45">
        <v>2</v>
      </c>
      <c r="E619" s="46">
        <v>150000</v>
      </c>
      <c r="F619" s="47">
        <f>+$I$4+(CLIENT[[#This Row],[QUANTITE]]*CLIENT[[#This Row],[PRIX UNITAIRE]])</f>
        <v>300000</v>
      </c>
      <c r="G619" s="48"/>
      <c r="H619" s="49">
        <f>+SUM($F$9:F619)-SUM($G$9:G619)</f>
        <v>6220000</v>
      </c>
    </row>
    <row r="620" spans="1:8" ht="28.8" x14ac:dyDescent="0.55000000000000004">
      <c r="A620" s="43">
        <v>44877</v>
      </c>
      <c r="B620" s="43" t="s">
        <v>1144</v>
      </c>
      <c r="C620" s="44" t="s">
        <v>1984</v>
      </c>
      <c r="D620" s="45">
        <v>1</v>
      </c>
      <c r="E620" s="46">
        <v>150000</v>
      </c>
      <c r="F620" s="47">
        <f>+$I$4+(CLIENT[[#This Row],[QUANTITE]]*CLIENT[[#This Row],[PRIX UNITAIRE]])</f>
        <v>150000</v>
      </c>
      <c r="G620" s="48"/>
      <c r="H620" s="49">
        <f>+SUM($F$9:F620)-SUM($G$9:G620)</f>
        <v>6370000</v>
      </c>
    </row>
    <row r="621" spans="1:8" ht="28.8" x14ac:dyDescent="0.55000000000000004">
      <c r="A621" s="43">
        <v>44879</v>
      </c>
      <c r="B621" s="43" t="s">
        <v>1181</v>
      </c>
      <c r="C621" s="44" t="s">
        <v>1985</v>
      </c>
      <c r="D621" s="45">
        <v>1</v>
      </c>
      <c r="E621" s="46">
        <v>185000</v>
      </c>
      <c r="F621" s="47">
        <f>+$I$4+(CLIENT[[#This Row],[QUANTITE]]*CLIENT[[#This Row],[PRIX UNITAIRE]])</f>
        <v>185000</v>
      </c>
      <c r="G621" s="48"/>
      <c r="H621" s="49">
        <f>+SUM($F$9:F621)-SUM($G$9:G621)</f>
        <v>6555000</v>
      </c>
    </row>
    <row r="622" spans="1:8" ht="28.8" x14ac:dyDescent="0.55000000000000004">
      <c r="A622" s="43">
        <v>44879</v>
      </c>
      <c r="B622" s="43" t="s">
        <v>1986</v>
      </c>
      <c r="C622" s="44" t="s">
        <v>1987</v>
      </c>
      <c r="D622" s="45">
        <v>1</v>
      </c>
      <c r="E622" s="46">
        <v>185000</v>
      </c>
      <c r="F622" s="47">
        <f>+$I$4+(CLIENT[[#This Row],[QUANTITE]]*CLIENT[[#This Row],[PRIX UNITAIRE]])</f>
        <v>185000</v>
      </c>
      <c r="G622" s="48"/>
      <c r="H622" s="49">
        <f>+SUM($F$9:F622)-SUM($G$9:G622)</f>
        <v>6740000</v>
      </c>
    </row>
    <row r="623" spans="1:8" ht="28.8" x14ac:dyDescent="0.55000000000000004">
      <c r="A623" s="43">
        <v>44879</v>
      </c>
      <c r="B623" s="43" t="s">
        <v>1343</v>
      </c>
      <c r="C623" s="44" t="s">
        <v>1988</v>
      </c>
      <c r="D623" s="45">
        <v>1</v>
      </c>
      <c r="E623" s="46">
        <v>150000</v>
      </c>
      <c r="F623" s="47">
        <f>+$I$4+(CLIENT[[#This Row],[QUANTITE]]*CLIENT[[#This Row],[PRIX UNITAIRE]])</f>
        <v>150000</v>
      </c>
      <c r="G623" s="48"/>
      <c r="H623" s="49">
        <f>+SUM($F$9:F623)-SUM($G$9:G623)</f>
        <v>6890000</v>
      </c>
    </row>
    <row r="624" spans="1:8" ht="28.8" x14ac:dyDescent="0.55000000000000004">
      <c r="A624" s="43">
        <v>44880</v>
      </c>
      <c r="B624" s="43" t="s">
        <v>1474</v>
      </c>
      <c r="C624" s="44" t="s">
        <v>1989</v>
      </c>
      <c r="D624" s="45">
        <v>2</v>
      </c>
      <c r="E624" s="46">
        <v>150000</v>
      </c>
      <c r="F624" s="47">
        <f>+$I$4+(CLIENT[[#This Row],[QUANTITE]]*CLIENT[[#This Row],[PRIX UNITAIRE]])</f>
        <v>300000</v>
      </c>
      <c r="G624" s="48"/>
      <c r="H624" s="49">
        <f>+SUM($F$9:F624)-SUM($G$9:G624)</f>
        <v>7190000</v>
      </c>
    </row>
    <row r="625" spans="1:8" ht="28.8" x14ac:dyDescent="0.55000000000000004">
      <c r="A625" s="43">
        <v>44882</v>
      </c>
      <c r="B625" s="43" t="s">
        <v>1768</v>
      </c>
      <c r="C625" s="44" t="s">
        <v>1990</v>
      </c>
      <c r="D625" s="45">
        <v>1</v>
      </c>
      <c r="E625" s="46">
        <v>185000</v>
      </c>
      <c r="F625" s="47">
        <f>+$I$4+(CLIENT[[#This Row],[QUANTITE]]*CLIENT[[#This Row],[PRIX UNITAIRE]])</f>
        <v>185000</v>
      </c>
      <c r="G625" s="48"/>
      <c r="H625" s="49">
        <f>+SUM($F$9:F625)-SUM($G$9:G625)</f>
        <v>7375000</v>
      </c>
    </row>
    <row r="626" spans="1:8" ht="28.8" x14ac:dyDescent="0.55000000000000004">
      <c r="A626" s="43">
        <v>44882</v>
      </c>
      <c r="B626" s="43" t="s">
        <v>1725</v>
      </c>
      <c r="C626" s="44" t="s">
        <v>1991</v>
      </c>
      <c r="D626" s="45">
        <v>1</v>
      </c>
      <c r="E626" s="46">
        <v>185000</v>
      </c>
      <c r="F626" s="47">
        <f>+$I$4+(CLIENT[[#This Row],[QUANTITE]]*CLIENT[[#This Row],[PRIX UNITAIRE]])</f>
        <v>185000</v>
      </c>
      <c r="G626" s="48"/>
      <c r="H626" s="49">
        <f>+SUM($F$9:F626)-SUM($G$9:G626)</f>
        <v>7560000</v>
      </c>
    </row>
    <row r="627" spans="1:8" ht="28.8" x14ac:dyDescent="0.55000000000000004">
      <c r="A627" s="43">
        <v>44883</v>
      </c>
      <c r="B627" s="43" t="s">
        <v>1233</v>
      </c>
      <c r="C627" s="44" t="s">
        <v>1889</v>
      </c>
      <c r="D627" s="45">
        <v>2</v>
      </c>
      <c r="E627" s="46">
        <v>15000</v>
      </c>
      <c r="F627" s="47">
        <f>+$I$4+(CLIENT[[#This Row],[QUANTITE]]*CLIENT[[#This Row],[PRIX UNITAIRE]])</f>
        <v>30000</v>
      </c>
      <c r="G627" s="48"/>
      <c r="H627" s="49">
        <f>+SUM($F$9:F627)-SUM($G$9:G627)</f>
        <v>7590000</v>
      </c>
    </row>
    <row r="628" spans="1:8" ht="28.8" x14ac:dyDescent="0.55000000000000004">
      <c r="A628" s="43">
        <v>44883</v>
      </c>
      <c r="B628" s="43" t="s">
        <v>1992</v>
      </c>
      <c r="C628" s="44" t="s">
        <v>1993</v>
      </c>
      <c r="D628" s="45">
        <v>1</v>
      </c>
      <c r="E628" s="46">
        <v>185000</v>
      </c>
      <c r="F628" s="47">
        <f>+$I$4+(CLIENT[[#This Row],[QUANTITE]]*CLIENT[[#This Row],[PRIX UNITAIRE]])</f>
        <v>185000</v>
      </c>
      <c r="G628" s="48"/>
      <c r="H628" s="49">
        <f>+SUM($F$9:F628)-SUM($G$9:G628)</f>
        <v>7775000</v>
      </c>
    </row>
    <row r="629" spans="1:8" ht="28.8" x14ac:dyDescent="0.55000000000000004">
      <c r="A629" s="43">
        <v>44891</v>
      </c>
      <c r="B629" s="43" t="s">
        <v>1994</v>
      </c>
      <c r="C629" s="44" t="s">
        <v>1995</v>
      </c>
      <c r="D629" s="45">
        <v>1</v>
      </c>
      <c r="E629" s="46">
        <v>185000</v>
      </c>
      <c r="F629" s="47">
        <f>+$I$4+(CLIENT[[#This Row],[QUANTITE]]*CLIENT[[#This Row],[PRIX UNITAIRE]])</f>
        <v>185000</v>
      </c>
      <c r="G629" s="48"/>
      <c r="H629" s="49">
        <f>+SUM($F$9:F629)-SUM($G$9:G629)</f>
        <v>7960000</v>
      </c>
    </row>
    <row r="630" spans="1:8" ht="28.8" x14ac:dyDescent="0.55000000000000004">
      <c r="A630" s="43"/>
      <c r="B630" s="43" t="s">
        <v>1472</v>
      </c>
      <c r="C630" s="44" t="s">
        <v>913</v>
      </c>
      <c r="D630" s="45">
        <v>1</v>
      </c>
      <c r="E630" s="46">
        <v>70000</v>
      </c>
      <c r="F630" s="47">
        <f>+$I$4+(CLIENT[[#This Row],[QUANTITE]]*CLIENT[[#This Row],[PRIX UNITAIRE]])</f>
        <v>70000</v>
      </c>
      <c r="G630" s="48"/>
      <c r="H630" s="49">
        <f>+SUM($F$9:F630)-SUM($G$9:G630)</f>
        <v>8030000</v>
      </c>
    </row>
    <row r="631" spans="1:8" ht="28.8" x14ac:dyDescent="0.55000000000000004">
      <c r="A631" s="43">
        <v>44891</v>
      </c>
      <c r="B631" s="43" t="s">
        <v>1144</v>
      </c>
      <c r="C631" s="44" t="s">
        <v>1996</v>
      </c>
      <c r="D631" s="45">
        <v>1</v>
      </c>
      <c r="E631" s="46">
        <v>150000</v>
      </c>
      <c r="F631" s="47">
        <f>+$I$4+(CLIENT[[#This Row],[QUANTITE]]*CLIENT[[#This Row],[PRIX UNITAIRE]])</f>
        <v>150000</v>
      </c>
      <c r="G631" s="48"/>
      <c r="H631" s="49">
        <f>+SUM($F$9:F631)-SUM($G$9:G631)</f>
        <v>8180000</v>
      </c>
    </row>
    <row r="632" spans="1:8" ht="28.8" x14ac:dyDescent="0.55000000000000004">
      <c r="A632" s="43">
        <v>44892</v>
      </c>
      <c r="B632" s="43" t="s">
        <v>1808</v>
      </c>
      <c r="C632" s="44" t="s">
        <v>1997</v>
      </c>
      <c r="D632" s="45">
        <v>1</v>
      </c>
      <c r="E632" s="46">
        <v>185000</v>
      </c>
      <c r="F632" s="47">
        <f>+$I$4+(CLIENT[[#This Row],[QUANTITE]]*CLIENT[[#This Row],[PRIX UNITAIRE]])</f>
        <v>185000</v>
      </c>
      <c r="G632" s="48"/>
      <c r="H632" s="49">
        <f>+SUM($F$9:F632)-SUM($G$9:G632)</f>
        <v>8365000</v>
      </c>
    </row>
    <row r="633" spans="1:8" ht="28.8" x14ac:dyDescent="0.55000000000000004">
      <c r="A633" s="43">
        <v>44893</v>
      </c>
      <c r="B633" s="43" t="s">
        <v>1461</v>
      </c>
      <c r="C633" s="44" t="s">
        <v>83</v>
      </c>
      <c r="D633" s="45">
        <v>2</v>
      </c>
      <c r="E633" s="46">
        <v>15000</v>
      </c>
      <c r="F633" s="47">
        <f>+$I$4+(CLIENT[[#This Row],[QUANTITE]]*CLIENT[[#This Row],[PRIX UNITAIRE]])</f>
        <v>30000</v>
      </c>
      <c r="G633" s="48"/>
      <c r="H633" s="49">
        <f>+SUM($F$9:F633)-SUM($G$9:G633)</f>
        <v>8395000</v>
      </c>
    </row>
    <row r="634" spans="1:8" ht="28.8" x14ac:dyDescent="0.55000000000000004">
      <c r="A634" s="43">
        <v>44893</v>
      </c>
      <c r="B634" s="43" t="s">
        <v>1144</v>
      </c>
      <c r="C634" s="44" t="s">
        <v>921</v>
      </c>
      <c r="D634" s="45">
        <v>2</v>
      </c>
      <c r="E634" s="46">
        <v>100000</v>
      </c>
      <c r="F634" s="47">
        <f>+$I$4+(CLIENT[[#This Row],[QUANTITE]]*CLIENT[[#This Row],[PRIX UNITAIRE]])</f>
        <v>200000</v>
      </c>
      <c r="G634" s="48"/>
      <c r="H634" s="49">
        <f>+SUM($F$9:F634)-SUM($G$9:G634)</f>
        <v>8595000</v>
      </c>
    </row>
    <row r="635" spans="1:8" ht="28.8" x14ac:dyDescent="0.55000000000000004">
      <c r="A635" s="43">
        <v>44894</v>
      </c>
      <c r="B635" s="43" t="s">
        <v>1998</v>
      </c>
      <c r="C635" s="44" t="s">
        <v>1999</v>
      </c>
      <c r="D635" s="45">
        <v>1</v>
      </c>
      <c r="E635" s="46">
        <v>185000</v>
      </c>
      <c r="F635" s="47">
        <f>+$I$4+(CLIENT[[#This Row],[QUANTITE]]*CLIENT[[#This Row],[PRIX UNITAIRE]])</f>
        <v>185000</v>
      </c>
      <c r="G635" s="48"/>
      <c r="H635" s="49">
        <f>+SUM($F$9:F635)-SUM($G$9:G635)</f>
        <v>8780000</v>
      </c>
    </row>
    <row r="636" spans="1:8" ht="28.8" x14ac:dyDescent="0.55000000000000004">
      <c r="A636" s="43">
        <v>44894</v>
      </c>
      <c r="B636" s="43" t="s">
        <v>1727</v>
      </c>
      <c r="C636" s="44" t="s">
        <v>2000</v>
      </c>
      <c r="D636" s="45">
        <v>1</v>
      </c>
      <c r="E636" s="46">
        <v>185000</v>
      </c>
      <c r="F636" s="47">
        <f>+$I$4+(CLIENT[[#This Row],[QUANTITE]]*CLIENT[[#This Row],[PRIX UNITAIRE]])</f>
        <v>185000</v>
      </c>
      <c r="G636" s="48"/>
      <c r="H636" s="49">
        <f>+SUM($F$9:F636)-SUM($G$9:G636)</f>
        <v>8965000</v>
      </c>
    </row>
    <row r="637" spans="1:8" ht="28.8" x14ac:dyDescent="0.55000000000000004">
      <c r="A637" s="43">
        <v>44894</v>
      </c>
      <c r="B637" s="43" t="s">
        <v>1992</v>
      </c>
      <c r="C637" s="44" t="s">
        <v>2001</v>
      </c>
      <c r="D637" s="45">
        <v>1</v>
      </c>
      <c r="E637" s="46">
        <v>185000</v>
      </c>
      <c r="F637" s="47">
        <f>+$I$4+(CLIENT[[#This Row],[QUANTITE]]*CLIENT[[#This Row],[PRIX UNITAIRE]])</f>
        <v>185000</v>
      </c>
      <c r="G637" s="48"/>
      <c r="H637" s="49">
        <f>+SUM($F$9:F637)-SUM($G$9:G637)</f>
        <v>9150000</v>
      </c>
    </row>
    <row r="638" spans="1:8" ht="28.8" x14ac:dyDescent="0.55000000000000004">
      <c r="A638" s="43">
        <v>44894</v>
      </c>
      <c r="B638" s="43" t="s">
        <v>2002</v>
      </c>
      <c r="C638" s="44" t="s">
        <v>2003</v>
      </c>
      <c r="D638" s="45">
        <v>1</v>
      </c>
      <c r="E638" s="46">
        <v>185000</v>
      </c>
      <c r="F638" s="47">
        <f>+$I$4+(CLIENT[[#This Row],[QUANTITE]]*CLIENT[[#This Row],[PRIX UNITAIRE]])</f>
        <v>185000</v>
      </c>
      <c r="G638" s="48"/>
      <c r="H638" s="49">
        <f>+SUM($F$9:F638)-SUM($G$9:G638)</f>
        <v>9335000</v>
      </c>
    </row>
    <row r="639" spans="1:8" ht="28.8" x14ac:dyDescent="0.55000000000000004">
      <c r="A639" s="43"/>
      <c r="B639" s="43"/>
      <c r="C639" s="44" t="s">
        <v>860</v>
      </c>
      <c r="D639" s="45">
        <v>1</v>
      </c>
      <c r="E639" s="46">
        <v>45000</v>
      </c>
      <c r="F639" s="47">
        <f>+$I$4+(CLIENT[[#This Row],[QUANTITE]]*CLIENT[[#This Row],[PRIX UNITAIRE]])</f>
        <v>45000</v>
      </c>
      <c r="G639" s="48"/>
      <c r="H639" s="49">
        <f>+SUM($F$9:F639)-SUM($G$9:G639)</f>
        <v>9380000</v>
      </c>
    </row>
    <row r="640" spans="1:8" ht="28.8" x14ac:dyDescent="0.55000000000000004">
      <c r="A640" s="43">
        <v>44895</v>
      </c>
      <c r="B640" s="43" t="s">
        <v>2004</v>
      </c>
      <c r="C640" s="44" t="s">
        <v>2005</v>
      </c>
      <c r="D640" s="45">
        <v>1</v>
      </c>
      <c r="E640" s="46">
        <v>185000</v>
      </c>
      <c r="F640" s="47">
        <f>+$I$4+(CLIENT[[#This Row],[QUANTITE]]*CLIENT[[#This Row],[PRIX UNITAIRE]])</f>
        <v>185000</v>
      </c>
      <c r="G640" s="48"/>
      <c r="H640" s="49">
        <f>+SUM($F$9:F640)-SUM($G$9:G640)</f>
        <v>9565000</v>
      </c>
    </row>
    <row r="641" spans="1:8" ht="28.8" x14ac:dyDescent="0.55000000000000004">
      <c r="A641" s="43">
        <v>44896</v>
      </c>
      <c r="B641" s="43" t="s">
        <v>1947</v>
      </c>
      <c r="C641" s="44" t="s">
        <v>2006</v>
      </c>
      <c r="D641" s="45">
        <v>1</v>
      </c>
      <c r="E641" s="46">
        <v>185000</v>
      </c>
      <c r="F641" s="47">
        <f>+$I$4+(CLIENT[[#This Row],[QUANTITE]]*CLIENT[[#This Row],[PRIX UNITAIRE]])</f>
        <v>185000</v>
      </c>
      <c r="G641" s="48"/>
      <c r="H641" s="49">
        <f>+SUM($F$9:F641)-SUM($G$9:G641)</f>
        <v>9750000</v>
      </c>
    </row>
    <row r="642" spans="1:8" ht="28.8" x14ac:dyDescent="0.55000000000000004">
      <c r="A642" s="43"/>
      <c r="B642" s="43"/>
      <c r="C642" s="44" t="s">
        <v>218</v>
      </c>
      <c r="D642" s="45">
        <v>2</v>
      </c>
      <c r="E642" s="46">
        <v>15000</v>
      </c>
      <c r="F642" s="47">
        <f>+$I$4+(CLIENT[[#This Row],[QUANTITE]]*CLIENT[[#This Row],[PRIX UNITAIRE]])</f>
        <v>30000</v>
      </c>
      <c r="G642" s="48"/>
      <c r="H642" s="49">
        <f>+SUM($F$9:F642)-SUM($G$9:G642)</f>
        <v>9780000</v>
      </c>
    </row>
    <row r="643" spans="1:8" ht="28.8" x14ac:dyDescent="0.55000000000000004">
      <c r="A643" s="43">
        <v>44901</v>
      </c>
      <c r="B643" s="43" t="s">
        <v>1327</v>
      </c>
      <c r="C643" s="44" t="s">
        <v>925</v>
      </c>
      <c r="D643" s="45">
        <v>2</v>
      </c>
      <c r="E643" s="46">
        <v>110000</v>
      </c>
      <c r="F643" s="47">
        <f>+$I$4+(CLIENT[[#This Row],[QUANTITE]]*CLIENT[[#This Row],[PRIX UNITAIRE]])</f>
        <v>220000</v>
      </c>
      <c r="G643" s="48"/>
      <c r="H643" s="49">
        <f>+SUM($F$9:F643)-SUM($G$9:G643)</f>
        <v>10000000</v>
      </c>
    </row>
    <row r="644" spans="1:8" ht="28.8" x14ac:dyDescent="0.55000000000000004">
      <c r="A644" s="43"/>
      <c r="B644" s="43"/>
      <c r="C644" s="44" t="s">
        <v>2007</v>
      </c>
      <c r="D644" s="45">
        <v>4</v>
      </c>
      <c r="E644" s="46">
        <v>5000</v>
      </c>
      <c r="F644" s="47">
        <f>+$I$4+(CLIENT[[#This Row],[QUANTITE]]*CLIENT[[#This Row],[PRIX UNITAIRE]])</f>
        <v>20000</v>
      </c>
      <c r="G644" s="48"/>
      <c r="H644" s="49">
        <f>+SUM($F$9:F644)-SUM($G$9:G644)</f>
        <v>10020000</v>
      </c>
    </row>
    <row r="645" spans="1:8" ht="28.8" x14ac:dyDescent="0.55000000000000004">
      <c r="A645" s="43">
        <v>44901</v>
      </c>
      <c r="B645" s="43" t="s">
        <v>1327</v>
      </c>
      <c r="C645" s="44" t="s">
        <v>2008</v>
      </c>
      <c r="D645" s="45">
        <v>1</v>
      </c>
      <c r="E645" s="46">
        <v>150000</v>
      </c>
      <c r="F645" s="47">
        <f>+$I$4+(CLIENT[[#This Row],[QUANTITE]]*CLIENT[[#This Row],[PRIX UNITAIRE]])</f>
        <v>150000</v>
      </c>
      <c r="G645" s="48"/>
      <c r="H645" s="49">
        <f>+SUM($F$9:F645)-SUM($G$9:G645)</f>
        <v>10170000</v>
      </c>
    </row>
    <row r="646" spans="1:8" ht="28.8" x14ac:dyDescent="0.55000000000000004">
      <c r="A646" s="43">
        <v>44902</v>
      </c>
      <c r="B646" s="43" t="s">
        <v>1737</v>
      </c>
      <c r="C646" s="44" t="s">
        <v>2009</v>
      </c>
      <c r="D646" s="45">
        <v>1</v>
      </c>
      <c r="E646" s="46">
        <v>185000</v>
      </c>
      <c r="F646" s="47">
        <f>+$I$4+(CLIENT[[#This Row],[QUANTITE]]*CLIENT[[#This Row],[PRIX UNITAIRE]])</f>
        <v>185000</v>
      </c>
      <c r="G646" s="48"/>
      <c r="H646" s="49">
        <f>+SUM($F$9:F646)-SUM($G$9:G646)</f>
        <v>10355000</v>
      </c>
    </row>
    <row r="647" spans="1:8" ht="28.8" x14ac:dyDescent="0.55000000000000004">
      <c r="A647" s="43">
        <v>44902</v>
      </c>
      <c r="B647" s="43" t="s">
        <v>2010</v>
      </c>
      <c r="C647" s="44" t="s">
        <v>2011</v>
      </c>
      <c r="D647" s="45">
        <v>1</v>
      </c>
      <c r="E647" s="46">
        <v>185000</v>
      </c>
      <c r="F647" s="47">
        <f>+$I$4+(CLIENT[[#This Row],[QUANTITE]]*CLIENT[[#This Row],[PRIX UNITAIRE]])</f>
        <v>185000</v>
      </c>
      <c r="G647" s="48"/>
      <c r="H647" s="49">
        <f>+SUM($F$9:F647)-SUM($G$9:G647)</f>
        <v>10540000</v>
      </c>
    </row>
    <row r="648" spans="1:8" ht="28.8" x14ac:dyDescent="0.55000000000000004">
      <c r="A648" s="43">
        <v>44902</v>
      </c>
      <c r="B648" s="43" t="s">
        <v>2012</v>
      </c>
      <c r="C648" s="44" t="s">
        <v>2013</v>
      </c>
      <c r="D648" s="45">
        <v>1</v>
      </c>
      <c r="E648" s="46">
        <v>185000</v>
      </c>
      <c r="F648" s="47">
        <f>+$I$4+(CLIENT[[#This Row],[QUANTITE]]*CLIENT[[#This Row],[PRIX UNITAIRE]])</f>
        <v>185000</v>
      </c>
      <c r="G648" s="48"/>
      <c r="H648" s="49">
        <f>+SUM($F$9:F648)-SUM($G$9:G648)</f>
        <v>10725000</v>
      </c>
    </row>
    <row r="649" spans="1:8" ht="28.8" x14ac:dyDescent="0.55000000000000004">
      <c r="A649" s="43">
        <v>44904</v>
      </c>
      <c r="B649" s="43" t="s">
        <v>259</v>
      </c>
      <c r="C649" s="44" t="s">
        <v>1214</v>
      </c>
      <c r="D649" s="45">
        <v>1</v>
      </c>
      <c r="E649" s="46">
        <v>0</v>
      </c>
      <c r="F649" s="47">
        <f>+$I$4+(CLIENT[[#This Row],[QUANTITE]]*CLIENT[[#This Row],[PRIX UNITAIRE]])</f>
        <v>0</v>
      </c>
      <c r="G649" s="48">
        <v>10000000</v>
      </c>
      <c r="H649" s="49">
        <f>+SUM($F$9:F649)-SUM($G$9:G649)</f>
        <v>725000</v>
      </c>
    </row>
    <row r="650" spans="1:8" ht="28.8" x14ac:dyDescent="0.55000000000000004">
      <c r="A650" s="43">
        <v>44904</v>
      </c>
      <c r="B650" s="43" t="s">
        <v>1232</v>
      </c>
      <c r="C650" s="44" t="s">
        <v>2014</v>
      </c>
      <c r="D650" s="45">
        <v>1</v>
      </c>
      <c r="E650" s="46">
        <v>150000</v>
      </c>
      <c r="F650" s="47">
        <f>+$I$4+(CLIENT[[#This Row],[QUANTITE]]*CLIENT[[#This Row],[PRIX UNITAIRE]])</f>
        <v>150000</v>
      </c>
      <c r="G650" s="48"/>
      <c r="H650" s="49">
        <f>+SUM($F$9:F650)-SUM($G$9:G650)</f>
        <v>875000</v>
      </c>
    </row>
    <row r="651" spans="1:8" ht="28.8" x14ac:dyDescent="0.55000000000000004">
      <c r="A651" s="43">
        <v>44905</v>
      </c>
      <c r="B651" s="43" t="s">
        <v>1737</v>
      </c>
      <c r="C651" s="44" t="s">
        <v>2015</v>
      </c>
      <c r="D651" s="45">
        <v>1</v>
      </c>
      <c r="E651" s="46">
        <v>185000</v>
      </c>
      <c r="F651" s="47">
        <f>+$I$4+(CLIENT[[#This Row],[QUANTITE]]*CLIENT[[#This Row],[PRIX UNITAIRE]])</f>
        <v>185000</v>
      </c>
      <c r="G651" s="48"/>
      <c r="H651" s="49">
        <f>+SUM($F$9:F651)-SUM($G$9:G651)</f>
        <v>1060000</v>
      </c>
    </row>
    <row r="652" spans="1:8" ht="28.8" x14ac:dyDescent="0.55000000000000004">
      <c r="A652" s="43">
        <v>44907</v>
      </c>
      <c r="B652" s="43" t="s">
        <v>1333</v>
      </c>
      <c r="C652" s="44" t="s">
        <v>925</v>
      </c>
      <c r="D652" s="45">
        <v>2</v>
      </c>
      <c r="E652" s="46">
        <v>110000</v>
      </c>
      <c r="F652" s="47">
        <f>+$I$4+(CLIENT[[#This Row],[QUANTITE]]*CLIENT[[#This Row],[PRIX UNITAIRE]])</f>
        <v>220000</v>
      </c>
      <c r="G652" s="48"/>
      <c r="H652" s="49">
        <f>+SUM($F$9:F652)-SUM($G$9:G652)</f>
        <v>1280000</v>
      </c>
    </row>
    <row r="653" spans="1:8" ht="28.8" x14ac:dyDescent="0.55000000000000004">
      <c r="A653" s="43">
        <v>44911</v>
      </c>
      <c r="B653" s="43" t="s">
        <v>1768</v>
      </c>
      <c r="C653" s="44" t="s">
        <v>2016</v>
      </c>
      <c r="D653" s="45">
        <v>1</v>
      </c>
      <c r="E653" s="46">
        <v>185000</v>
      </c>
      <c r="F653" s="47">
        <f>+$I$4+(CLIENT[[#This Row],[QUANTITE]]*CLIENT[[#This Row],[PRIX UNITAIRE]])</f>
        <v>185000</v>
      </c>
      <c r="G653" s="48"/>
      <c r="H653" s="49">
        <f>+SUM($F$9:F653)-SUM($G$9:G653)</f>
        <v>1465000</v>
      </c>
    </row>
    <row r="654" spans="1:8" ht="28.8" x14ac:dyDescent="0.55000000000000004">
      <c r="A654" s="43">
        <v>44911</v>
      </c>
      <c r="B654" s="43" t="s">
        <v>1848</v>
      </c>
      <c r="C654" s="44" t="s">
        <v>2017</v>
      </c>
      <c r="D654" s="45">
        <v>1</v>
      </c>
      <c r="E654" s="46">
        <v>185000</v>
      </c>
      <c r="F654" s="47">
        <f>+$I$4+(CLIENT[[#This Row],[QUANTITE]]*CLIENT[[#This Row],[PRIX UNITAIRE]])</f>
        <v>185000</v>
      </c>
      <c r="G654" s="48"/>
      <c r="H654" s="49">
        <f>+SUM($F$9:F654)-SUM($G$9:G654)</f>
        <v>1650000</v>
      </c>
    </row>
    <row r="655" spans="1:8" ht="28.8" x14ac:dyDescent="0.55000000000000004">
      <c r="A655" s="43">
        <v>44915</v>
      </c>
      <c r="B655" s="43" t="s">
        <v>2018</v>
      </c>
      <c r="C655" s="44" t="s">
        <v>2019</v>
      </c>
      <c r="D655" s="45">
        <v>1</v>
      </c>
      <c r="E655" s="46">
        <v>185000</v>
      </c>
      <c r="F655" s="47">
        <f>+$I$4+(CLIENT[[#This Row],[QUANTITE]]*CLIENT[[#This Row],[PRIX UNITAIRE]])</f>
        <v>185000</v>
      </c>
      <c r="G655" s="48"/>
      <c r="H655" s="49">
        <f>+SUM($F$9:F655)-SUM($G$9:G655)</f>
        <v>1835000</v>
      </c>
    </row>
    <row r="656" spans="1:8" ht="28.8" x14ac:dyDescent="0.55000000000000004">
      <c r="A656" s="43">
        <v>44933</v>
      </c>
      <c r="B656" s="43" t="s">
        <v>1727</v>
      </c>
      <c r="C656" s="44" t="s">
        <v>2020</v>
      </c>
      <c r="D656" s="45">
        <v>1</v>
      </c>
      <c r="E656" s="46">
        <v>185000</v>
      </c>
      <c r="F656" s="47">
        <f>+$I$4+(CLIENT[[#This Row],[QUANTITE]]*CLIENT[[#This Row],[PRIX UNITAIRE]])</f>
        <v>185000</v>
      </c>
      <c r="G656" s="48"/>
      <c r="H656" s="49">
        <f>+SUM($F$9:F656)-SUM($G$9:G656)</f>
        <v>2020000</v>
      </c>
    </row>
    <row r="657" spans="1:8" ht="28.8" x14ac:dyDescent="0.55000000000000004">
      <c r="A657" s="43">
        <v>44933</v>
      </c>
      <c r="B657" s="43" t="s">
        <v>1232</v>
      </c>
      <c r="C657" s="44" t="s">
        <v>2021</v>
      </c>
      <c r="D657" s="45">
        <v>1</v>
      </c>
      <c r="E657" s="46">
        <v>185000</v>
      </c>
      <c r="F657" s="47">
        <f>+$I$4+(CLIENT[[#This Row],[QUANTITE]]*CLIENT[[#This Row],[PRIX UNITAIRE]])</f>
        <v>185000</v>
      </c>
      <c r="G657" s="48"/>
      <c r="H657" s="49">
        <f>+SUM($F$9:F657)-SUM($G$9:G657)</f>
        <v>2205000</v>
      </c>
    </row>
    <row r="658" spans="1:8" ht="28.8" x14ac:dyDescent="0.55000000000000004">
      <c r="A658" s="43">
        <v>44940</v>
      </c>
      <c r="B658" s="43" t="s">
        <v>2022</v>
      </c>
      <c r="C658" s="44" t="s">
        <v>2023</v>
      </c>
      <c r="D658" s="45">
        <v>1</v>
      </c>
      <c r="E658" s="46">
        <v>185000</v>
      </c>
      <c r="F658" s="47">
        <f>+$I$4+(CLIENT[[#This Row],[QUANTITE]]*CLIENT[[#This Row],[PRIX UNITAIRE]])</f>
        <v>185000</v>
      </c>
      <c r="G658" s="48"/>
      <c r="H658" s="49">
        <f>+SUM($F$9:F658)-SUM($G$9:G658)</f>
        <v>2390000</v>
      </c>
    </row>
    <row r="659" spans="1:8" ht="28.8" x14ac:dyDescent="0.55000000000000004">
      <c r="A659" s="43">
        <v>44940</v>
      </c>
      <c r="B659" s="43" t="s">
        <v>1144</v>
      </c>
      <c r="C659" s="44" t="s">
        <v>2024</v>
      </c>
      <c r="D659" s="45">
        <v>1</v>
      </c>
      <c r="E659" s="46">
        <v>150000</v>
      </c>
      <c r="F659" s="47">
        <f>+$I$4+(CLIENT[[#This Row],[QUANTITE]]*CLIENT[[#This Row],[PRIX UNITAIRE]])</f>
        <v>150000</v>
      </c>
      <c r="G659" s="48"/>
      <c r="H659" s="49">
        <f>+SUM($F$9:F659)-SUM($G$9:G659)</f>
        <v>2540000</v>
      </c>
    </row>
    <row r="660" spans="1:8" ht="28.8" x14ac:dyDescent="0.55000000000000004">
      <c r="A660" s="43"/>
      <c r="B660" s="43"/>
      <c r="C660" s="44" t="s">
        <v>2025</v>
      </c>
      <c r="D660" s="45">
        <v>1</v>
      </c>
      <c r="E660" s="46">
        <v>20000</v>
      </c>
      <c r="F660" s="47">
        <f>+$I$4+(CLIENT[[#This Row],[QUANTITE]]*CLIENT[[#This Row],[PRIX UNITAIRE]])</f>
        <v>20000</v>
      </c>
      <c r="G660" s="48"/>
      <c r="H660" s="49">
        <f>+SUM($F$9:F660)-SUM($G$9:G660)</f>
        <v>2560000</v>
      </c>
    </row>
    <row r="661" spans="1:8" ht="28.8" x14ac:dyDescent="0.55000000000000004">
      <c r="A661" s="43">
        <v>44941</v>
      </c>
      <c r="B661" s="43" t="s">
        <v>1651</v>
      </c>
      <c r="C661" s="44" t="s">
        <v>2026</v>
      </c>
      <c r="D661" s="45">
        <v>1</v>
      </c>
      <c r="E661" s="46">
        <v>185000</v>
      </c>
      <c r="F661" s="47">
        <f>+$I$4+(CLIENT[[#This Row],[QUANTITE]]*CLIENT[[#This Row],[PRIX UNITAIRE]])</f>
        <v>185000</v>
      </c>
      <c r="G661" s="48"/>
      <c r="H661" s="49">
        <f>+SUM($F$9:F661)-SUM($G$9:G661)</f>
        <v>2745000</v>
      </c>
    </row>
    <row r="662" spans="1:8" ht="28.8" x14ac:dyDescent="0.55000000000000004">
      <c r="A662" s="43"/>
      <c r="B662" s="43"/>
      <c r="C662" s="44" t="s">
        <v>860</v>
      </c>
      <c r="D662" s="45">
        <v>1</v>
      </c>
      <c r="E662" s="46">
        <v>45000</v>
      </c>
      <c r="F662" s="47">
        <f>+$I$4+(CLIENT[[#This Row],[QUANTITE]]*CLIENT[[#This Row],[PRIX UNITAIRE]])</f>
        <v>45000</v>
      </c>
      <c r="G662" s="48"/>
      <c r="H662" s="49">
        <f>+SUM($F$9:F662)-SUM($G$9:G662)</f>
        <v>2790000</v>
      </c>
    </row>
    <row r="663" spans="1:8" ht="28.8" x14ac:dyDescent="0.55000000000000004">
      <c r="A663" s="43">
        <v>44942</v>
      </c>
      <c r="B663" s="43" t="s">
        <v>2027</v>
      </c>
      <c r="C663" s="44" t="s">
        <v>2028</v>
      </c>
      <c r="D663" s="45">
        <v>1</v>
      </c>
      <c r="E663" s="46">
        <v>185000</v>
      </c>
      <c r="F663" s="47">
        <f>+$I$4+(CLIENT[[#This Row],[QUANTITE]]*CLIENT[[#This Row],[PRIX UNITAIRE]])</f>
        <v>185000</v>
      </c>
      <c r="G663" s="48"/>
      <c r="H663" s="49">
        <f>+SUM($F$9:F663)-SUM($G$9:G663)</f>
        <v>2975000</v>
      </c>
    </row>
    <row r="664" spans="1:8" ht="28.8" x14ac:dyDescent="0.55000000000000004">
      <c r="A664" s="43">
        <v>44942</v>
      </c>
      <c r="B664" s="43" t="s">
        <v>1737</v>
      </c>
      <c r="C664" s="44" t="s">
        <v>2029</v>
      </c>
      <c r="D664" s="45">
        <v>1</v>
      </c>
      <c r="E664" s="46">
        <v>185000</v>
      </c>
      <c r="F664" s="47">
        <f>+$I$4+(CLIENT[[#This Row],[QUANTITE]]*CLIENT[[#This Row],[PRIX UNITAIRE]])</f>
        <v>185000</v>
      </c>
      <c r="G664" s="48"/>
      <c r="H664" s="49">
        <f>+SUM($F$9:F664)-SUM($G$9:G664)</f>
        <v>3160000</v>
      </c>
    </row>
    <row r="665" spans="1:8" ht="28.8" x14ac:dyDescent="0.55000000000000004">
      <c r="A665" s="43">
        <v>44942</v>
      </c>
      <c r="B665" s="43" t="s">
        <v>2010</v>
      </c>
      <c r="C665" s="44" t="s">
        <v>2030</v>
      </c>
      <c r="D665" s="45">
        <v>1</v>
      </c>
      <c r="E665" s="46">
        <v>185000</v>
      </c>
      <c r="F665" s="47">
        <f>+$I$4+(CLIENT[[#This Row],[QUANTITE]]*CLIENT[[#This Row],[PRIX UNITAIRE]])</f>
        <v>185000</v>
      </c>
      <c r="G665" s="48"/>
      <c r="H665" s="49">
        <f>+SUM($F$9:F665)-SUM($G$9:G665)</f>
        <v>3345000</v>
      </c>
    </row>
    <row r="666" spans="1:8" ht="28.8" x14ac:dyDescent="0.55000000000000004">
      <c r="A666" s="43"/>
      <c r="B666" s="43"/>
      <c r="C666" s="44" t="s">
        <v>860</v>
      </c>
      <c r="D666" s="45">
        <v>1</v>
      </c>
      <c r="E666" s="46">
        <v>45000</v>
      </c>
      <c r="F666" s="47">
        <f>+$I$4+(CLIENT[[#This Row],[QUANTITE]]*CLIENT[[#This Row],[PRIX UNITAIRE]])</f>
        <v>45000</v>
      </c>
      <c r="G666" s="48"/>
      <c r="H666" s="49">
        <f>+SUM($F$9:F666)-SUM($G$9:G666)</f>
        <v>3390000</v>
      </c>
    </row>
    <row r="667" spans="1:8" ht="28.8" x14ac:dyDescent="0.55000000000000004">
      <c r="A667" s="43">
        <v>44942</v>
      </c>
      <c r="B667" s="43" t="s">
        <v>1699</v>
      </c>
      <c r="C667" s="44" t="s">
        <v>2031</v>
      </c>
      <c r="D667" s="45">
        <v>1</v>
      </c>
      <c r="E667" s="46">
        <v>140000</v>
      </c>
      <c r="F667" s="47">
        <f>+$I$4+(CLIENT[[#This Row],[QUANTITE]]*CLIENT[[#This Row],[PRIX UNITAIRE]])</f>
        <v>140000</v>
      </c>
      <c r="G667" s="48"/>
      <c r="H667" s="49">
        <f>+SUM($F$9:F667)-SUM($G$9:G667)</f>
        <v>3530000</v>
      </c>
    </row>
    <row r="668" spans="1:8" ht="28.8" x14ac:dyDescent="0.55000000000000004">
      <c r="A668" s="43">
        <v>44942</v>
      </c>
      <c r="B668" s="43" t="s">
        <v>1290</v>
      </c>
      <c r="C668" s="44" t="s">
        <v>925</v>
      </c>
      <c r="D668" s="45">
        <v>2</v>
      </c>
      <c r="E668" s="46">
        <v>110000</v>
      </c>
      <c r="F668" s="47">
        <f>+$I$4+(CLIENT[[#This Row],[QUANTITE]]*CLIENT[[#This Row],[PRIX UNITAIRE]])</f>
        <v>220000</v>
      </c>
      <c r="G668" s="48"/>
      <c r="H668" s="49">
        <f>+SUM($F$9:F668)-SUM($G$9:G668)</f>
        <v>3750000</v>
      </c>
    </row>
    <row r="669" spans="1:8" ht="28.8" x14ac:dyDescent="0.55000000000000004">
      <c r="A669" s="43"/>
      <c r="B669" s="43"/>
      <c r="C669" s="44" t="s">
        <v>2032</v>
      </c>
      <c r="D669" s="45">
        <v>4</v>
      </c>
      <c r="E669" s="46">
        <v>5000</v>
      </c>
      <c r="F669" s="47">
        <f>+$I$4+(CLIENT[[#This Row],[QUANTITE]]*CLIENT[[#This Row],[PRIX UNITAIRE]])</f>
        <v>20000</v>
      </c>
      <c r="G669" s="48"/>
      <c r="H669" s="49">
        <f>+SUM($F$9:F669)-SUM($G$9:G669)</f>
        <v>3770000</v>
      </c>
    </row>
    <row r="670" spans="1:8" ht="28.8" x14ac:dyDescent="0.55000000000000004">
      <c r="A670" s="43">
        <v>44943</v>
      </c>
      <c r="B670" s="43" t="s">
        <v>1459</v>
      </c>
      <c r="C670" s="44" t="s">
        <v>83</v>
      </c>
      <c r="D670" s="45">
        <v>2</v>
      </c>
      <c r="E670" s="46">
        <v>15000</v>
      </c>
      <c r="F670" s="47">
        <f>+$I$4+(CLIENT[[#This Row],[QUANTITE]]*CLIENT[[#This Row],[PRIX UNITAIRE]])</f>
        <v>30000</v>
      </c>
      <c r="G670" s="48"/>
      <c r="H670" s="49">
        <f>+SUM($F$9:F670)-SUM($G$9:G670)</f>
        <v>3800000</v>
      </c>
    </row>
    <row r="671" spans="1:8" ht="28.8" x14ac:dyDescent="0.55000000000000004">
      <c r="A671" s="43">
        <v>44943</v>
      </c>
      <c r="B671" s="43" t="s">
        <v>1729</v>
      </c>
      <c r="C671" s="44" t="s">
        <v>2033</v>
      </c>
      <c r="D671" s="45">
        <v>1</v>
      </c>
      <c r="E671" s="46">
        <v>185000</v>
      </c>
      <c r="F671" s="47">
        <f>+$I$4+(CLIENT[[#This Row],[QUANTITE]]*CLIENT[[#This Row],[PRIX UNITAIRE]])</f>
        <v>185000</v>
      </c>
      <c r="G671" s="48"/>
      <c r="H671" s="49">
        <f>+SUM($F$9:F671)-SUM($G$9:G671)</f>
        <v>3985000</v>
      </c>
    </row>
    <row r="672" spans="1:8" ht="28.8" x14ac:dyDescent="0.55000000000000004">
      <c r="A672" s="43">
        <v>44943</v>
      </c>
      <c r="B672" s="43" t="s">
        <v>1887</v>
      </c>
      <c r="C672" s="44" t="s">
        <v>2034</v>
      </c>
      <c r="D672" s="45">
        <v>1</v>
      </c>
      <c r="E672" s="46">
        <v>185000</v>
      </c>
      <c r="F672" s="47">
        <f>+$I$4+(CLIENT[[#This Row],[QUANTITE]]*CLIENT[[#This Row],[PRIX UNITAIRE]])</f>
        <v>185000</v>
      </c>
      <c r="G672" s="48"/>
      <c r="H672" s="49">
        <f>+SUM($F$9:F672)-SUM($G$9:G672)</f>
        <v>4170000</v>
      </c>
    </row>
    <row r="673" spans="1:8" ht="28.8" x14ac:dyDescent="0.55000000000000004">
      <c r="A673" s="43">
        <v>44938</v>
      </c>
      <c r="B673" s="43" t="s">
        <v>1601</v>
      </c>
      <c r="C673" s="44" t="s">
        <v>746</v>
      </c>
      <c r="D673" s="45">
        <v>2</v>
      </c>
      <c r="E673" s="46">
        <v>110000</v>
      </c>
      <c r="F673" s="47">
        <f>+$I$4+(CLIENT[[#This Row],[QUANTITE]]*CLIENT[[#This Row],[PRIX UNITAIRE]])</f>
        <v>220000</v>
      </c>
      <c r="G673" s="48"/>
      <c r="H673" s="49">
        <f>+SUM($F$9:F673)-SUM($G$9:G673)</f>
        <v>4390000</v>
      </c>
    </row>
    <row r="674" spans="1:8" ht="28.8" x14ac:dyDescent="0.55000000000000004">
      <c r="A674" s="43">
        <v>44946</v>
      </c>
      <c r="B674" s="43" t="s">
        <v>2035</v>
      </c>
      <c r="C674" s="44" t="s">
        <v>2036</v>
      </c>
      <c r="D674" s="45">
        <v>2</v>
      </c>
      <c r="E674" s="46">
        <v>125000</v>
      </c>
      <c r="F674" s="47">
        <f>+$I$4+(CLIENT[[#This Row],[QUANTITE]]*CLIENT[[#This Row],[PRIX UNITAIRE]])</f>
        <v>250000</v>
      </c>
      <c r="G674" s="48"/>
      <c r="H674" s="49">
        <f>+SUM($F$9:F674)-SUM($G$9:G674)</f>
        <v>4640000</v>
      </c>
    </row>
    <row r="675" spans="1:8" ht="28.8" x14ac:dyDescent="0.55000000000000004">
      <c r="A675" s="43">
        <v>44950</v>
      </c>
      <c r="B675" s="43" t="s">
        <v>1461</v>
      </c>
      <c r="C675" s="44" t="s">
        <v>2037</v>
      </c>
      <c r="D675" s="45">
        <v>2</v>
      </c>
      <c r="E675" s="46">
        <v>150000</v>
      </c>
      <c r="F675" s="47">
        <f>+$I$4+(CLIENT[[#This Row],[QUANTITE]]*CLIENT[[#This Row],[PRIX UNITAIRE]])</f>
        <v>300000</v>
      </c>
      <c r="G675" s="48"/>
      <c r="H675" s="49">
        <f>+SUM($F$9:F675)-SUM($G$9:G675)</f>
        <v>4940000</v>
      </c>
    </row>
    <row r="676" spans="1:8" ht="28.8" x14ac:dyDescent="0.55000000000000004">
      <c r="A676" s="43">
        <v>44950</v>
      </c>
      <c r="B676" s="43"/>
      <c r="C676" s="44" t="s">
        <v>1873</v>
      </c>
      <c r="D676" s="45">
        <v>1</v>
      </c>
      <c r="E676" s="46">
        <v>0</v>
      </c>
      <c r="F676" s="47">
        <f>+$I$4+(CLIENT[[#This Row],[QUANTITE]]*CLIENT[[#This Row],[PRIX UNITAIRE]])</f>
        <v>0</v>
      </c>
      <c r="G676" s="48">
        <v>220000</v>
      </c>
      <c r="H676" s="49">
        <f>+SUM($F$9:F676)-SUM($G$9:G676)</f>
        <v>4720000</v>
      </c>
    </row>
    <row r="677" spans="1:8" ht="28.8" x14ac:dyDescent="0.55000000000000004">
      <c r="A677" s="43">
        <v>44952</v>
      </c>
      <c r="B677" s="43" t="s">
        <v>1424</v>
      </c>
      <c r="C677" s="44" t="s">
        <v>83</v>
      </c>
      <c r="D677" s="45">
        <v>2</v>
      </c>
      <c r="E677" s="46">
        <v>15000</v>
      </c>
      <c r="F677" s="47">
        <f>+$I$4+(CLIENT[[#This Row],[QUANTITE]]*CLIENT[[#This Row],[PRIX UNITAIRE]])</f>
        <v>30000</v>
      </c>
      <c r="G677" s="48"/>
      <c r="H677" s="49">
        <f>+SUM($F$9:F677)-SUM($G$9:G677)</f>
        <v>4750000</v>
      </c>
    </row>
    <row r="678" spans="1:8" ht="28.8" x14ac:dyDescent="0.55000000000000004">
      <c r="A678" s="43">
        <v>44952</v>
      </c>
      <c r="B678" s="43" t="s">
        <v>2038</v>
      </c>
      <c r="C678" s="44" t="s">
        <v>2039</v>
      </c>
      <c r="D678" s="45">
        <v>2</v>
      </c>
      <c r="E678" s="46">
        <v>150000</v>
      </c>
      <c r="F678" s="47">
        <f>+$I$4+(CLIENT[[#This Row],[QUANTITE]]*CLIENT[[#This Row],[PRIX UNITAIRE]])</f>
        <v>300000</v>
      </c>
      <c r="G678" s="48"/>
      <c r="H678" s="49">
        <f>+SUM($F$9:F678)-SUM($G$9:G678)</f>
        <v>5050000</v>
      </c>
    </row>
    <row r="679" spans="1:8" ht="28.8" x14ac:dyDescent="0.55000000000000004">
      <c r="A679" s="43">
        <v>44953</v>
      </c>
      <c r="B679" s="43" t="s">
        <v>1232</v>
      </c>
      <c r="C679" s="44" t="s">
        <v>2036</v>
      </c>
      <c r="D679" s="45">
        <v>2</v>
      </c>
      <c r="E679" s="46">
        <v>125000</v>
      </c>
      <c r="F679" s="47">
        <f>+$I$4+(CLIENT[[#This Row],[QUANTITE]]*CLIENT[[#This Row],[PRIX UNITAIRE]])</f>
        <v>250000</v>
      </c>
      <c r="G679" s="48"/>
      <c r="H679" s="49">
        <f>+SUM($F$9:F679)-SUM($G$9:G679)</f>
        <v>5300000</v>
      </c>
    </row>
    <row r="680" spans="1:8" ht="28.8" x14ac:dyDescent="0.55000000000000004">
      <c r="A680" s="43"/>
      <c r="B680" s="43"/>
      <c r="C680" s="44" t="s">
        <v>2032</v>
      </c>
      <c r="D680" s="45">
        <v>4</v>
      </c>
      <c r="E680" s="46">
        <v>5000</v>
      </c>
      <c r="F680" s="47">
        <f>+$I$4+(CLIENT[[#This Row],[QUANTITE]]*CLIENT[[#This Row],[PRIX UNITAIRE]])</f>
        <v>20000</v>
      </c>
      <c r="G680" s="48"/>
      <c r="H680" s="49">
        <f>+SUM($F$9:F680)-SUM($G$9:G680)</f>
        <v>5320000</v>
      </c>
    </row>
    <row r="681" spans="1:8" ht="28.8" x14ac:dyDescent="0.55000000000000004">
      <c r="A681" s="43">
        <v>44953</v>
      </c>
      <c r="B681" s="43" t="s">
        <v>2040</v>
      </c>
      <c r="C681" s="44" t="s">
        <v>2041</v>
      </c>
      <c r="D681" s="45">
        <v>1</v>
      </c>
      <c r="E681" s="46">
        <v>185000</v>
      </c>
      <c r="F681" s="47">
        <f>+$I$4+(CLIENT[[#This Row],[QUANTITE]]*CLIENT[[#This Row],[PRIX UNITAIRE]])</f>
        <v>185000</v>
      </c>
      <c r="G681" s="48"/>
      <c r="H681" s="49">
        <f>+SUM($F$9:F681)-SUM($G$9:G681)</f>
        <v>5505000</v>
      </c>
    </row>
    <row r="682" spans="1:8" ht="28.8" x14ac:dyDescent="0.55000000000000004">
      <c r="A682" s="43">
        <v>44954</v>
      </c>
      <c r="B682" s="43" t="s">
        <v>2042</v>
      </c>
      <c r="C682" s="44" t="s">
        <v>2043</v>
      </c>
      <c r="D682" s="45">
        <v>3</v>
      </c>
      <c r="E682" s="46">
        <v>185000</v>
      </c>
      <c r="F682" s="47">
        <f>+$I$4+(CLIENT[[#This Row],[QUANTITE]]*CLIENT[[#This Row],[PRIX UNITAIRE]])</f>
        <v>555000</v>
      </c>
      <c r="G682" s="48"/>
      <c r="H682" s="49">
        <f>+SUM($F$9:F682)-SUM($G$9:G682)</f>
        <v>6060000</v>
      </c>
    </row>
    <row r="683" spans="1:8" ht="28.8" x14ac:dyDescent="0.55000000000000004">
      <c r="A683" s="43">
        <v>44961</v>
      </c>
      <c r="B683" s="43" t="s">
        <v>1947</v>
      </c>
      <c r="C683" s="44" t="s">
        <v>2044</v>
      </c>
      <c r="D683" s="45">
        <v>1</v>
      </c>
      <c r="E683" s="46">
        <v>185000</v>
      </c>
      <c r="F683" s="47">
        <f>+$I$4+(CLIENT[[#This Row],[QUANTITE]]*CLIENT[[#This Row],[PRIX UNITAIRE]])</f>
        <v>185000</v>
      </c>
      <c r="G683" s="48"/>
      <c r="H683" s="49">
        <f>+SUM($F$9:F683)-SUM($G$9:G683)</f>
        <v>6245000</v>
      </c>
    </row>
    <row r="684" spans="1:8" ht="28.8" x14ac:dyDescent="0.55000000000000004">
      <c r="A684" s="43">
        <v>44961</v>
      </c>
      <c r="B684" s="43" t="s">
        <v>1290</v>
      </c>
      <c r="C684" s="44" t="s">
        <v>2045</v>
      </c>
      <c r="D684" s="45">
        <v>1</v>
      </c>
      <c r="E684" s="46">
        <v>150000</v>
      </c>
      <c r="F684" s="47">
        <f>+$I$4+(CLIENT[[#This Row],[QUANTITE]]*CLIENT[[#This Row],[PRIX UNITAIRE]])</f>
        <v>150000</v>
      </c>
      <c r="G684" s="48"/>
      <c r="H684" s="49">
        <f>+SUM($F$9:F684)-SUM($G$9:G684)</f>
        <v>6395000</v>
      </c>
    </row>
    <row r="685" spans="1:8" ht="28.8" x14ac:dyDescent="0.55000000000000004">
      <c r="A685" s="43">
        <v>44964</v>
      </c>
      <c r="B685" s="43" t="s">
        <v>2046</v>
      </c>
      <c r="C685" s="44" t="s">
        <v>2047</v>
      </c>
      <c r="D685" s="45">
        <v>1</v>
      </c>
      <c r="E685" s="46">
        <v>185000</v>
      </c>
      <c r="F685" s="47">
        <f>+$I$4+(CLIENT[[#This Row],[QUANTITE]]*CLIENT[[#This Row],[PRIX UNITAIRE]])</f>
        <v>185000</v>
      </c>
      <c r="G685" s="48"/>
      <c r="H685" s="49">
        <f>+SUM($F$9:F685)-SUM($G$9:G685)</f>
        <v>6580000</v>
      </c>
    </row>
    <row r="686" spans="1:8" ht="28.8" x14ac:dyDescent="0.55000000000000004">
      <c r="A686" s="43">
        <v>44965</v>
      </c>
      <c r="B686" s="43" t="s">
        <v>2048</v>
      </c>
      <c r="C686" s="44" t="s">
        <v>2049</v>
      </c>
      <c r="D686" s="45">
        <v>2</v>
      </c>
      <c r="E686" s="46">
        <v>150000</v>
      </c>
      <c r="F686" s="47">
        <f>+$I$4+(CLIENT[[#This Row],[QUANTITE]]*CLIENT[[#This Row],[PRIX UNITAIRE]])</f>
        <v>300000</v>
      </c>
      <c r="G686" s="48"/>
      <c r="H686" s="49">
        <f>+SUM($F$9:F686)-SUM($G$9:G686)</f>
        <v>6880000</v>
      </c>
    </row>
    <row r="687" spans="1:8" ht="28.8" x14ac:dyDescent="0.55000000000000004">
      <c r="A687" s="43"/>
      <c r="B687" s="43"/>
      <c r="C687" s="44" t="s">
        <v>1889</v>
      </c>
      <c r="D687" s="45">
        <v>2</v>
      </c>
      <c r="E687" s="46">
        <v>15000</v>
      </c>
      <c r="F687" s="47">
        <f>+$I$4+(CLIENT[[#This Row],[QUANTITE]]*CLIENT[[#This Row],[PRIX UNITAIRE]])</f>
        <v>30000</v>
      </c>
      <c r="G687" s="48"/>
      <c r="H687" s="49">
        <f>+SUM($F$9:F687)-SUM($G$9:G687)</f>
        <v>6910000</v>
      </c>
    </row>
    <row r="688" spans="1:8" ht="28.8" x14ac:dyDescent="0.55000000000000004">
      <c r="A688" s="43">
        <v>44967</v>
      </c>
      <c r="B688" s="43" t="s">
        <v>1302</v>
      </c>
      <c r="C688" s="44" t="s">
        <v>925</v>
      </c>
      <c r="D688" s="45">
        <v>2</v>
      </c>
      <c r="E688" s="46">
        <v>110000</v>
      </c>
      <c r="F688" s="47">
        <f>+$I$4+(CLIENT[[#This Row],[QUANTITE]]*CLIENT[[#This Row],[PRIX UNITAIRE]])</f>
        <v>220000</v>
      </c>
      <c r="G688" s="48"/>
      <c r="H688" s="49">
        <f>+SUM($F$9:F688)-SUM($G$9:G688)</f>
        <v>7130000</v>
      </c>
    </row>
    <row r="689" spans="1:8" ht="28.8" x14ac:dyDescent="0.55000000000000004">
      <c r="A689" s="43"/>
      <c r="B689" s="43"/>
      <c r="C689" s="44" t="s">
        <v>2007</v>
      </c>
      <c r="D689" s="45">
        <v>4</v>
      </c>
      <c r="E689" s="46">
        <v>5000</v>
      </c>
      <c r="F689" s="47">
        <f>+$I$4+(CLIENT[[#This Row],[QUANTITE]]*CLIENT[[#This Row],[PRIX UNITAIRE]])</f>
        <v>20000</v>
      </c>
      <c r="G689" s="48"/>
      <c r="H689" s="49">
        <f>+SUM($F$9:F689)-SUM($G$9:G689)</f>
        <v>7150000</v>
      </c>
    </row>
    <row r="690" spans="1:8" ht="28.8" x14ac:dyDescent="0.55000000000000004">
      <c r="A690" s="43">
        <v>44968</v>
      </c>
      <c r="B690" s="43" t="s">
        <v>1848</v>
      </c>
      <c r="C690" s="44" t="s">
        <v>2050</v>
      </c>
      <c r="D690" s="45">
        <v>1</v>
      </c>
      <c r="E690" s="46">
        <v>185000</v>
      </c>
      <c r="F690" s="47">
        <f>+$I$4+(CLIENT[[#This Row],[QUANTITE]]*CLIENT[[#This Row],[PRIX UNITAIRE]])</f>
        <v>185000</v>
      </c>
      <c r="G690" s="48"/>
      <c r="H690" s="49">
        <f>+SUM($F$9:F690)-SUM($G$9:G690)</f>
        <v>7335000</v>
      </c>
    </row>
    <row r="691" spans="1:8" ht="28.8" x14ac:dyDescent="0.55000000000000004">
      <c r="A691" s="43">
        <v>44968</v>
      </c>
      <c r="B691" s="43" t="s">
        <v>2051</v>
      </c>
      <c r="C691" s="44" t="s">
        <v>2052</v>
      </c>
      <c r="D691" s="45">
        <v>1</v>
      </c>
      <c r="E691" s="46">
        <v>150000</v>
      </c>
      <c r="F691" s="47">
        <f>+$I$4+(CLIENT[[#This Row],[QUANTITE]]*CLIENT[[#This Row],[PRIX UNITAIRE]])</f>
        <v>150000</v>
      </c>
      <c r="G691" s="48"/>
      <c r="H691" s="49">
        <f>+SUM($F$9:F691)-SUM($G$9:G691)</f>
        <v>7485000</v>
      </c>
    </row>
    <row r="692" spans="1:8" ht="28.8" x14ac:dyDescent="0.55000000000000004">
      <c r="A692" s="43">
        <v>44968</v>
      </c>
      <c r="B692" s="43" t="s">
        <v>1307</v>
      </c>
      <c r="C692" s="44" t="s">
        <v>2053</v>
      </c>
      <c r="D692" s="45">
        <v>1</v>
      </c>
      <c r="E692" s="46">
        <v>150000</v>
      </c>
      <c r="F692" s="47">
        <f>+$I$4+(CLIENT[[#This Row],[QUANTITE]]*CLIENT[[#This Row],[PRIX UNITAIRE]])</f>
        <v>150000</v>
      </c>
      <c r="G692" s="48"/>
      <c r="H692" s="49">
        <f>+SUM($F$9:F692)-SUM($G$9:G692)</f>
        <v>7635000</v>
      </c>
    </row>
    <row r="693" spans="1:8" ht="28.8" x14ac:dyDescent="0.55000000000000004">
      <c r="A693" s="43"/>
      <c r="B693" s="43"/>
      <c r="C693" s="44" t="s">
        <v>943</v>
      </c>
      <c r="D693" s="45">
        <v>2</v>
      </c>
      <c r="E693" s="46">
        <v>100000</v>
      </c>
      <c r="F693" s="47">
        <f>+$I$4+(CLIENT[[#This Row],[QUANTITE]]*CLIENT[[#This Row],[PRIX UNITAIRE]])</f>
        <v>200000</v>
      </c>
      <c r="G693" s="48"/>
      <c r="H693" s="49">
        <f>+SUM($F$9:F693)-SUM($G$9:G693)</f>
        <v>7835000</v>
      </c>
    </row>
    <row r="694" spans="1:8" ht="28.8" x14ac:dyDescent="0.55000000000000004">
      <c r="A694" s="43"/>
      <c r="B694" s="43"/>
      <c r="C694" s="44" t="s">
        <v>2054</v>
      </c>
      <c r="D694" s="45">
        <v>4</v>
      </c>
      <c r="E694" s="46">
        <v>5000</v>
      </c>
      <c r="F694" s="47">
        <f>+$I$4+(CLIENT[[#This Row],[QUANTITE]]*CLIENT[[#This Row],[PRIX UNITAIRE]])</f>
        <v>20000</v>
      </c>
      <c r="G694" s="48"/>
      <c r="H694" s="49">
        <f>+SUM($F$9:F694)-SUM($G$9:G694)</f>
        <v>7855000</v>
      </c>
    </row>
    <row r="695" spans="1:8" ht="28.8" x14ac:dyDescent="0.55000000000000004">
      <c r="A695" s="43">
        <v>44973</v>
      </c>
      <c r="B695" s="43" t="s">
        <v>1459</v>
      </c>
      <c r="C695" s="44" t="s">
        <v>2055</v>
      </c>
      <c r="D695" s="45">
        <v>1</v>
      </c>
      <c r="E695" s="46">
        <v>185000</v>
      </c>
      <c r="F695" s="47">
        <f>+$I$4+(CLIENT[[#This Row],[QUANTITE]]*CLIENT[[#This Row],[PRIX UNITAIRE]])</f>
        <v>185000</v>
      </c>
      <c r="G695" s="48"/>
      <c r="H695" s="49">
        <f>+SUM($F$9:F695)-SUM($G$9:G695)</f>
        <v>8040000</v>
      </c>
    </row>
    <row r="696" spans="1:8" ht="28.8" x14ac:dyDescent="0.55000000000000004">
      <c r="A696" s="43">
        <v>44977</v>
      </c>
      <c r="B696" s="43" t="s">
        <v>1232</v>
      </c>
      <c r="C696" s="44" t="s">
        <v>83</v>
      </c>
      <c r="D696" s="45">
        <v>2</v>
      </c>
      <c r="E696" s="46">
        <v>15000</v>
      </c>
      <c r="F696" s="47">
        <f>+$I$4+(CLIENT[[#This Row],[QUANTITE]]*CLIENT[[#This Row],[PRIX UNITAIRE]])</f>
        <v>30000</v>
      </c>
      <c r="G696" s="48"/>
      <c r="H696" s="49">
        <f>+SUM($F$9:F696)-SUM($G$9:G696)</f>
        <v>8070000</v>
      </c>
    </row>
    <row r="697" spans="1:8" ht="28.8" x14ac:dyDescent="0.55000000000000004">
      <c r="A697" s="43">
        <v>44978</v>
      </c>
      <c r="B697" s="43" t="s">
        <v>2056</v>
      </c>
      <c r="C697" s="44" t="s">
        <v>2057</v>
      </c>
      <c r="D697" s="45">
        <v>1</v>
      </c>
      <c r="E697" s="46">
        <v>185000</v>
      </c>
      <c r="F697" s="47">
        <f>+$I$4+(CLIENT[[#This Row],[QUANTITE]]*CLIENT[[#This Row],[PRIX UNITAIRE]])</f>
        <v>185000</v>
      </c>
      <c r="G697" s="48"/>
      <c r="H697" s="49">
        <f>+SUM($F$9:F697)-SUM($G$9:G697)</f>
        <v>8255000</v>
      </c>
    </row>
    <row r="698" spans="1:8" ht="28.8" x14ac:dyDescent="0.55000000000000004">
      <c r="A698" s="43">
        <v>44978</v>
      </c>
      <c r="B698" s="43" t="s">
        <v>1907</v>
      </c>
      <c r="C698" s="44" t="s">
        <v>2058</v>
      </c>
      <c r="D698" s="45">
        <v>1</v>
      </c>
      <c r="E698" s="46">
        <v>185000</v>
      </c>
      <c r="F698" s="47">
        <f>+$I$4+(CLIENT[[#This Row],[QUANTITE]]*CLIENT[[#This Row],[PRIX UNITAIRE]])</f>
        <v>185000</v>
      </c>
      <c r="G698" s="48"/>
      <c r="H698" s="49">
        <f>+SUM($F$9:F698)-SUM($G$9:G698)</f>
        <v>8440000</v>
      </c>
    </row>
    <row r="699" spans="1:8" ht="28.8" x14ac:dyDescent="0.55000000000000004">
      <c r="A699" s="43"/>
      <c r="B699" s="43"/>
      <c r="C699" s="44" t="s">
        <v>860</v>
      </c>
      <c r="D699" s="45">
        <v>1</v>
      </c>
      <c r="E699" s="46">
        <v>45000</v>
      </c>
      <c r="F699" s="47">
        <f>+$I$4+(CLIENT[[#This Row],[QUANTITE]]*CLIENT[[#This Row],[PRIX UNITAIRE]])</f>
        <v>45000</v>
      </c>
      <c r="G699" s="48"/>
      <c r="H699" s="49">
        <f>+SUM($F$9:F699)-SUM($G$9:G699)</f>
        <v>8485000</v>
      </c>
    </row>
    <row r="700" spans="1:8" ht="28.8" x14ac:dyDescent="0.55000000000000004">
      <c r="A700" s="43">
        <v>44978</v>
      </c>
      <c r="B700" s="43" t="s">
        <v>1457</v>
      </c>
      <c r="C700" s="44" t="s">
        <v>666</v>
      </c>
      <c r="D700" s="45">
        <v>1</v>
      </c>
      <c r="E700" s="46">
        <v>150000</v>
      </c>
      <c r="F700" s="47">
        <f>+$I$4+(CLIENT[[#This Row],[QUANTITE]]*CLIENT[[#This Row],[PRIX UNITAIRE]])</f>
        <v>150000</v>
      </c>
      <c r="G700" s="48"/>
      <c r="H700" s="49">
        <f>+SUM($F$9:F700)-SUM($G$9:G700)</f>
        <v>8635000</v>
      </c>
    </row>
    <row r="701" spans="1:8" ht="28.8" x14ac:dyDescent="0.55000000000000004">
      <c r="A701" s="43">
        <v>44981</v>
      </c>
      <c r="B701" s="43" t="s">
        <v>2059</v>
      </c>
      <c r="C701" s="44" t="s">
        <v>2060</v>
      </c>
      <c r="D701" s="45">
        <v>1</v>
      </c>
      <c r="E701" s="46">
        <v>185000</v>
      </c>
      <c r="F701" s="47">
        <f>+$I$4+(CLIENT[[#This Row],[QUANTITE]]*CLIENT[[#This Row],[PRIX UNITAIRE]])</f>
        <v>185000</v>
      </c>
      <c r="G701" s="48"/>
      <c r="H701" s="49">
        <f>+SUM($F$9:F701)-SUM($G$9:G701)</f>
        <v>8820000</v>
      </c>
    </row>
    <row r="702" spans="1:8" ht="28.8" x14ac:dyDescent="0.55000000000000004">
      <c r="A702" s="43">
        <v>44981</v>
      </c>
      <c r="B702" s="43" t="s">
        <v>1828</v>
      </c>
      <c r="C702" s="44" t="s">
        <v>2061</v>
      </c>
      <c r="D702" s="45">
        <v>1</v>
      </c>
      <c r="E702" s="46">
        <v>185000</v>
      </c>
      <c r="F702" s="47">
        <f>+$I$4+(CLIENT[[#This Row],[QUANTITE]]*CLIENT[[#This Row],[PRIX UNITAIRE]])</f>
        <v>185000</v>
      </c>
      <c r="G702" s="48"/>
      <c r="H702" s="49">
        <f>+SUM($F$9:F702)-SUM($G$9:G702)</f>
        <v>9005000</v>
      </c>
    </row>
    <row r="703" spans="1:8" ht="28.8" x14ac:dyDescent="0.55000000000000004">
      <c r="A703" s="43">
        <v>44984</v>
      </c>
      <c r="B703" s="43" t="s">
        <v>1459</v>
      </c>
      <c r="C703" s="44" t="s">
        <v>218</v>
      </c>
      <c r="D703" s="45">
        <v>2</v>
      </c>
      <c r="E703" s="46">
        <v>15000</v>
      </c>
      <c r="F703" s="47">
        <f>+$I$4+(CLIENT[[#This Row],[QUANTITE]]*CLIENT[[#This Row],[PRIX UNITAIRE]])</f>
        <v>30000</v>
      </c>
      <c r="G703" s="48"/>
      <c r="H703" s="49">
        <f>+SUM($F$9:F703)-SUM($G$9:G703)</f>
        <v>9035000</v>
      </c>
    </row>
    <row r="704" spans="1:8" ht="28.8" x14ac:dyDescent="0.55000000000000004">
      <c r="A704" s="43">
        <v>44984</v>
      </c>
      <c r="B704" s="43" t="s">
        <v>2062</v>
      </c>
      <c r="C704" s="44" t="s">
        <v>2063</v>
      </c>
      <c r="D704" s="45">
        <v>1</v>
      </c>
      <c r="E704" s="46">
        <v>185000</v>
      </c>
      <c r="F704" s="47">
        <f>+$I$4+(CLIENT[[#This Row],[QUANTITE]]*CLIENT[[#This Row],[PRIX UNITAIRE]])</f>
        <v>185000</v>
      </c>
      <c r="G704" s="48"/>
      <c r="H704" s="49">
        <f>+SUM($F$9:F704)-SUM($G$9:G704)</f>
        <v>9220000</v>
      </c>
    </row>
    <row r="705" spans="1:8" ht="28.8" x14ac:dyDescent="0.55000000000000004">
      <c r="A705" s="43">
        <v>44984</v>
      </c>
      <c r="B705" s="43" t="s">
        <v>2064</v>
      </c>
      <c r="C705" s="44" t="s">
        <v>2065</v>
      </c>
      <c r="D705" s="45">
        <v>1</v>
      </c>
      <c r="E705" s="46">
        <v>185000</v>
      </c>
      <c r="F705" s="47">
        <f>+$I$4+(CLIENT[[#This Row],[QUANTITE]]*CLIENT[[#This Row],[PRIX UNITAIRE]])</f>
        <v>185000</v>
      </c>
      <c r="G705" s="48"/>
      <c r="H705" s="49">
        <f>+SUM($F$9:F705)-SUM($G$9:G705)</f>
        <v>9405000</v>
      </c>
    </row>
    <row r="706" spans="1:8" ht="28.8" x14ac:dyDescent="0.55000000000000004">
      <c r="A706" s="43">
        <v>44985</v>
      </c>
      <c r="B706" s="43" t="s">
        <v>2066</v>
      </c>
      <c r="C706" s="44" t="s">
        <v>2067</v>
      </c>
      <c r="D706" s="45">
        <v>1</v>
      </c>
      <c r="E706" s="46">
        <v>185000</v>
      </c>
      <c r="F706" s="47">
        <f>+$I$4+(CLIENT[[#This Row],[QUANTITE]]*CLIENT[[#This Row],[PRIX UNITAIRE]])</f>
        <v>185000</v>
      </c>
      <c r="G706" s="48"/>
      <c r="H706" s="49">
        <f>+SUM($F$9:F706)-SUM($G$9:G706)</f>
        <v>9590000</v>
      </c>
    </row>
    <row r="707" spans="1:8" ht="28.8" x14ac:dyDescent="0.55000000000000004">
      <c r="A707" s="43">
        <v>44986</v>
      </c>
      <c r="B707" s="43" t="s">
        <v>2068</v>
      </c>
      <c r="C707" s="44" t="s">
        <v>2069</v>
      </c>
      <c r="D707" s="45">
        <v>1</v>
      </c>
      <c r="E707" s="46">
        <v>50000</v>
      </c>
      <c r="F707" s="47">
        <f>+$I$4+(CLIENT[[#This Row],[QUANTITE]]*CLIENT[[#This Row],[PRIX UNITAIRE]])</f>
        <v>50000</v>
      </c>
      <c r="G707" s="48"/>
      <c r="H707" s="49">
        <f>+SUM($F$9:F707)-SUM($G$9:G707)</f>
        <v>9640000</v>
      </c>
    </row>
    <row r="708" spans="1:8" ht="28.8" x14ac:dyDescent="0.55000000000000004">
      <c r="A708" s="43"/>
      <c r="B708" s="43"/>
      <c r="C708" s="44" t="s">
        <v>957</v>
      </c>
      <c r="D708" s="45">
        <v>1</v>
      </c>
      <c r="E708" s="46">
        <v>20000</v>
      </c>
      <c r="F708" s="47">
        <f>+$I$4+(CLIENT[[#This Row],[QUANTITE]]*CLIENT[[#This Row],[PRIX UNITAIRE]])</f>
        <v>20000</v>
      </c>
      <c r="G708" s="48"/>
      <c r="H708" s="49">
        <f>+SUM($F$9:F708)-SUM($G$9:G708)</f>
        <v>9660000</v>
      </c>
    </row>
    <row r="709" spans="1:8" ht="28.8" x14ac:dyDescent="0.55000000000000004">
      <c r="A709" s="43">
        <v>44986</v>
      </c>
      <c r="B709" s="43" t="s">
        <v>1712</v>
      </c>
      <c r="C709" s="44" t="s">
        <v>2070</v>
      </c>
      <c r="D709" s="45">
        <v>1</v>
      </c>
      <c r="E709" s="46">
        <v>150000</v>
      </c>
      <c r="F709" s="47">
        <f>+$I$4+(CLIENT[[#This Row],[QUANTITE]]*CLIENT[[#This Row],[PRIX UNITAIRE]])</f>
        <v>150000</v>
      </c>
      <c r="G709" s="48"/>
      <c r="H709" s="49">
        <f>+SUM($F$9:F709)-SUM($G$9:G709)</f>
        <v>9810000</v>
      </c>
    </row>
    <row r="710" spans="1:8" ht="28.8" x14ac:dyDescent="0.55000000000000004">
      <c r="A710" s="43">
        <v>44986</v>
      </c>
      <c r="B710" s="43" t="s">
        <v>2071</v>
      </c>
      <c r="C710" s="44" t="s">
        <v>2072</v>
      </c>
      <c r="D710" s="45">
        <v>1</v>
      </c>
      <c r="E710" s="46">
        <v>185000</v>
      </c>
      <c r="F710" s="47">
        <f>+$I$4+(CLIENT[[#This Row],[QUANTITE]]*CLIENT[[#This Row],[PRIX UNITAIRE]])</f>
        <v>185000</v>
      </c>
      <c r="G710" s="48"/>
      <c r="H710" s="49">
        <f>+SUM($F$9:F710)-SUM($G$9:G710)</f>
        <v>9995000</v>
      </c>
    </row>
    <row r="711" spans="1:8" ht="28.8" x14ac:dyDescent="0.55000000000000004">
      <c r="A711" s="43">
        <v>44986</v>
      </c>
      <c r="B711" s="43" t="s">
        <v>2073</v>
      </c>
      <c r="C711" s="44" t="s">
        <v>2074</v>
      </c>
      <c r="D711" s="45">
        <v>1</v>
      </c>
      <c r="E711" s="46">
        <v>185000</v>
      </c>
      <c r="F711" s="47">
        <f>+$I$4+(CLIENT[[#This Row],[QUANTITE]]*CLIENT[[#This Row],[PRIX UNITAIRE]])</f>
        <v>185000</v>
      </c>
      <c r="G711" s="48"/>
      <c r="H711" s="49">
        <f>+SUM($F$9:F711)-SUM($G$9:G711)</f>
        <v>10180000</v>
      </c>
    </row>
    <row r="712" spans="1:8" ht="28.8" x14ac:dyDescent="0.55000000000000004">
      <c r="A712" s="43">
        <v>44986</v>
      </c>
      <c r="B712" s="43" t="s">
        <v>1327</v>
      </c>
      <c r="C712" s="44" t="s">
        <v>2075</v>
      </c>
      <c r="D712" s="45">
        <v>1</v>
      </c>
      <c r="E712" s="46">
        <v>150000</v>
      </c>
      <c r="F712" s="47">
        <f>+$I$4+(CLIENT[[#This Row],[QUANTITE]]*CLIENT[[#This Row],[PRIX UNITAIRE]])</f>
        <v>150000</v>
      </c>
      <c r="G712" s="48"/>
      <c r="H712" s="49">
        <f>+SUM($F$9:F712)-SUM($G$9:G712)</f>
        <v>10330000</v>
      </c>
    </row>
    <row r="713" spans="1:8" ht="28.8" x14ac:dyDescent="0.55000000000000004">
      <c r="A713" s="43">
        <v>44987</v>
      </c>
      <c r="B713" s="43" t="s">
        <v>2076</v>
      </c>
      <c r="C713" s="44" t="s">
        <v>2077</v>
      </c>
      <c r="D713" s="45">
        <v>1</v>
      </c>
      <c r="E713" s="46">
        <v>185000</v>
      </c>
      <c r="F713" s="47">
        <f>+$I$4+(CLIENT[[#This Row],[QUANTITE]]*CLIENT[[#This Row],[PRIX UNITAIRE]])</f>
        <v>185000</v>
      </c>
      <c r="G713" s="48"/>
      <c r="H713" s="49">
        <f>+SUM($F$9:F713)-SUM($G$9:G713)</f>
        <v>10515000</v>
      </c>
    </row>
    <row r="714" spans="1:8" ht="28.8" x14ac:dyDescent="0.55000000000000004">
      <c r="A714" s="43"/>
      <c r="B714" s="43"/>
      <c r="C714" s="44" t="s">
        <v>607</v>
      </c>
      <c r="D714" s="45">
        <v>1</v>
      </c>
      <c r="E714" s="46">
        <v>45000</v>
      </c>
      <c r="F714" s="47">
        <f>+$I$4+(CLIENT[[#This Row],[QUANTITE]]*CLIENT[[#This Row],[PRIX UNITAIRE]])</f>
        <v>45000</v>
      </c>
      <c r="G714" s="48"/>
      <c r="H714" s="49">
        <f>+SUM($F$9:F714)-SUM($G$9:G714)</f>
        <v>10560000</v>
      </c>
    </row>
    <row r="715" spans="1:8" ht="28.8" x14ac:dyDescent="0.55000000000000004">
      <c r="A715" s="43">
        <v>44987</v>
      </c>
      <c r="B715" s="43" t="s">
        <v>2078</v>
      </c>
      <c r="C715" s="44" t="s">
        <v>2079</v>
      </c>
      <c r="D715" s="45">
        <v>1</v>
      </c>
      <c r="E715" s="46">
        <v>150000</v>
      </c>
      <c r="F715" s="47">
        <f>+$I$4+(CLIENT[[#This Row],[QUANTITE]]*CLIENT[[#This Row],[PRIX UNITAIRE]])</f>
        <v>150000</v>
      </c>
      <c r="G715" s="48"/>
      <c r="H715" s="49">
        <f>+SUM($F$9:F715)-SUM($G$9:G715)</f>
        <v>10710000</v>
      </c>
    </row>
    <row r="716" spans="1:8" ht="28.8" x14ac:dyDescent="0.55000000000000004">
      <c r="A716" s="43">
        <v>44988</v>
      </c>
      <c r="B716" s="43" t="s">
        <v>1992</v>
      </c>
      <c r="C716" s="44" t="s">
        <v>2080</v>
      </c>
      <c r="D716" s="45">
        <v>1</v>
      </c>
      <c r="E716" s="46">
        <v>185000</v>
      </c>
      <c r="F716" s="47">
        <f>+$I$4+(CLIENT[[#This Row],[QUANTITE]]*CLIENT[[#This Row],[PRIX UNITAIRE]])</f>
        <v>185000</v>
      </c>
      <c r="G716" s="48"/>
      <c r="H716" s="49">
        <f>+SUM($F$9:F716)-SUM($G$9:G716)</f>
        <v>10895000</v>
      </c>
    </row>
    <row r="717" spans="1:8" ht="28.8" x14ac:dyDescent="0.55000000000000004">
      <c r="A717" s="43"/>
      <c r="B717" s="43"/>
      <c r="C717" s="44" t="s">
        <v>1844</v>
      </c>
      <c r="D717" s="45">
        <v>1</v>
      </c>
      <c r="E717" s="46">
        <v>10000</v>
      </c>
      <c r="F717" s="47">
        <f>+$I$4+(CLIENT[[#This Row],[QUANTITE]]*CLIENT[[#This Row],[PRIX UNITAIRE]])</f>
        <v>10000</v>
      </c>
      <c r="G717" s="48"/>
      <c r="H717" s="49">
        <f>+SUM($F$9:F717)-SUM($G$9:G717)</f>
        <v>10905000</v>
      </c>
    </row>
    <row r="718" spans="1:8" ht="28.8" x14ac:dyDescent="0.55000000000000004">
      <c r="A718" s="43">
        <v>44989</v>
      </c>
      <c r="B718" s="43" t="s">
        <v>1302</v>
      </c>
      <c r="C718" s="44" t="s">
        <v>2081</v>
      </c>
      <c r="D718" s="45">
        <v>2</v>
      </c>
      <c r="E718" s="46">
        <v>125000</v>
      </c>
      <c r="F718" s="47">
        <f>+$I$4+(CLIENT[[#This Row],[QUANTITE]]*CLIENT[[#This Row],[PRIX UNITAIRE]])</f>
        <v>250000</v>
      </c>
      <c r="G718" s="48"/>
      <c r="H718" s="49">
        <f>+SUM($F$9:F718)-SUM($G$9:G718)</f>
        <v>11155000</v>
      </c>
    </row>
    <row r="719" spans="1:8" ht="28.8" x14ac:dyDescent="0.55000000000000004">
      <c r="A719" s="43">
        <v>44991</v>
      </c>
      <c r="B719" s="43" t="s">
        <v>2082</v>
      </c>
      <c r="C719" s="44" t="s">
        <v>787</v>
      </c>
      <c r="D719" s="45">
        <v>1</v>
      </c>
      <c r="E719" s="46">
        <v>40000</v>
      </c>
      <c r="F719" s="47">
        <f>+$I$4+(CLIENT[[#This Row],[QUANTITE]]*CLIENT[[#This Row],[PRIX UNITAIRE]])</f>
        <v>40000</v>
      </c>
      <c r="G719" s="48"/>
      <c r="H719" s="49">
        <f>+SUM($F$9:F719)-SUM($G$9:G719)</f>
        <v>11195000</v>
      </c>
    </row>
    <row r="720" spans="1:8" ht="28.8" x14ac:dyDescent="0.55000000000000004">
      <c r="A720" s="43">
        <v>44991</v>
      </c>
      <c r="B720" s="43" t="s">
        <v>2083</v>
      </c>
      <c r="C720" s="44" t="s">
        <v>475</v>
      </c>
      <c r="D720" s="45">
        <v>1</v>
      </c>
      <c r="E720" s="46">
        <v>45000</v>
      </c>
      <c r="F720" s="47">
        <f>+$I$4+(CLIENT[[#This Row],[QUANTITE]]*CLIENT[[#This Row],[PRIX UNITAIRE]])</f>
        <v>45000</v>
      </c>
      <c r="G720" s="48"/>
      <c r="H720" s="49">
        <f>+SUM($F$9:F720)-SUM($G$9:G720)</f>
        <v>11240000</v>
      </c>
    </row>
    <row r="721" spans="1:8" ht="28.8" x14ac:dyDescent="0.55000000000000004">
      <c r="A721" s="43"/>
      <c r="B721" s="43"/>
      <c r="C721" s="44" t="s">
        <v>218</v>
      </c>
      <c r="D721" s="45">
        <v>2</v>
      </c>
      <c r="E721" s="46">
        <v>15000</v>
      </c>
      <c r="F721" s="47">
        <f>+$I$4+(CLIENT[[#This Row],[QUANTITE]]*CLIENT[[#This Row],[PRIX UNITAIRE]])</f>
        <v>30000</v>
      </c>
      <c r="G721" s="48"/>
      <c r="H721" s="49">
        <f>+SUM($F$9:F721)-SUM($G$9:G721)</f>
        <v>11270000</v>
      </c>
    </row>
    <row r="722" spans="1:8" ht="28.8" x14ac:dyDescent="0.55000000000000004">
      <c r="A722" s="43">
        <v>44991</v>
      </c>
      <c r="B722" s="43" t="s">
        <v>1343</v>
      </c>
      <c r="C722" s="44" t="s">
        <v>2084</v>
      </c>
      <c r="D722" s="45">
        <v>1</v>
      </c>
      <c r="E722" s="46">
        <v>150000</v>
      </c>
      <c r="F722" s="47">
        <f>+$I$4+(CLIENT[[#This Row],[QUANTITE]]*CLIENT[[#This Row],[PRIX UNITAIRE]])</f>
        <v>150000</v>
      </c>
      <c r="G722" s="48"/>
      <c r="H722" s="49">
        <f>+SUM($F$9:F722)-SUM($G$9:G722)</f>
        <v>11420000</v>
      </c>
    </row>
    <row r="723" spans="1:8" ht="28.8" x14ac:dyDescent="0.55000000000000004">
      <c r="A723" s="43">
        <v>44991</v>
      </c>
      <c r="B723" s="43" t="s">
        <v>1712</v>
      </c>
      <c r="C723" s="44" t="s">
        <v>860</v>
      </c>
      <c r="D723" s="45">
        <v>2</v>
      </c>
      <c r="E723" s="46">
        <v>45000</v>
      </c>
      <c r="F723" s="47">
        <f>+$I$4+(CLIENT[[#This Row],[QUANTITE]]*CLIENT[[#This Row],[PRIX UNITAIRE]])</f>
        <v>90000</v>
      </c>
      <c r="G723" s="48"/>
      <c r="H723" s="49">
        <f>+SUM($F$9:F723)-SUM($G$9:G723)</f>
        <v>11510000</v>
      </c>
    </row>
    <row r="724" spans="1:8" ht="28.8" x14ac:dyDescent="0.55000000000000004">
      <c r="A724" s="43">
        <v>44991</v>
      </c>
      <c r="B724" s="43" t="s">
        <v>1298</v>
      </c>
      <c r="C724" s="44" t="s">
        <v>2085</v>
      </c>
      <c r="D724" s="45">
        <v>1</v>
      </c>
      <c r="E724" s="46">
        <v>100000</v>
      </c>
      <c r="F724" s="47">
        <f>+$I$4+(CLIENT[[#This Row],[QUANTITE]]*CLIENT[[#This Row],[PRIX UNITAIRE]])</f>
        <v>100000</v>
      </c>
      <c r="G724" s="48"/>
      <c r="H724" s="49">
        <f>+SUM($F$9:F724)-SUM($G$9:G724)</f>
        <v>11610000</v>
      </c>
    </row>
    <row r="725" spans="1:8" ht="28.8" x14ac:dyDescent="0.55000000000000004">
      <c r="A725" s="43"/>
      <c r="B725" s="43"/>
      <c r="C725" s="44" t="s">
        <v>2054</v>
      </c>
      <c r="D725" s="45">
        <v>4</v>
      </c>
      <c r="E725" s="46">
        <v>5000</v>
      </c>
      <c r="F725" s="47">
        <f>+$I$4+(CLIENT[[#This Row],[QUANTITE]]*CLIENT[[#This Row],[PRIX UNITAIRE]])</f>
        <v>20000</v>
      </c>
      <c r="G725" s="48"/>
      <c r="H725" s="49">
        <f>+SUM($F$9:F725)-SUM($G$9:G725)</f>
        <v>11630000</v>
      </c>
    </row>
    <row r="726" spans="1:8" ht="28.8" x14ac:dyDescent="0.55000000000000004">
      <c r="A726" s="43">
        <v>44992</v>
      </c>
      <c r="B726" s="43" t="s">
        <v>1828</v>
      </c>
      <c r="C726" s="44" t="s">
        <v>2086</v>
      </c>
      <c r="D726" s="45">
        <v>1</v>
      </c>
      <c r="E726" s="46">
        <v>185000</v>
      </c>
      <c r="F726" s="47">
        <f>+$I$4+(CLIENT[[#This Row],[QUANTITE]]*CLIENT[[#This Row],[PRIX UNITAIRE]])</f>
        <v>185000</v>
      </c>
      <c r="G726" s="48"/>
      <c r="H726" s="49">
        <f>+SUM($F$9:F726)-SUM($G$9:G726)</f>
        <v>11815000</v>
      </c>
    </row>
    <row r="727" spans="1:8" ht="28.8" x14ac:dyDescent="0.55000000000000004">
      <c r="A727" s="43">
        <v>44992</v>
      </c>
      <c r="B727" s="43" t="s">
        <v>1727</v>
      </c>
      <c r="C727" s="44" t="s">
        <v>2087</v>
      </c>
      <c r="D727" s="45">
        <v>1</v>
      </c>
      <c r="E727" s="46">
        <v>185000</v>
      </c>
      <c r="F727" s="47">
        <f>+$I$4+(CLIENT[[#This Row],[QUANTITE]]*CLIENT[[#This Row],[PRIX UNITAIRE]])</f>
        <v>185000</v>
      </c>
      <c r="G727" s="48"/>
      <c r="H727" s="49">
        <f>+SUM($F$9:F727)-SUM($G$9:G727)</f>
        <v>12000000</v>
      </c>
    </row>
    <row r="728" spans="1:8" ht="28.8" x14ac:dyDescent="0.55000000000000004">
      <c r="A728" s="43">
        <v>44995</v>
      </c>
      <c r="B728" s="43" t="s">
        <v>1181</v>
      </c>
      <c r="C728" s="44" t="s">
        <v>1794</v>
      </c>
      <c r="D728" s="45">
        <v>2</v>
      </c>
      <c r="E728" s="46">
        <v>110000</v>
      </c>
      <c r="F728" s="47">
        <f>+$I$4+(CLIENT[[#This Row],[QUANTITE]]*CLIENT[[#This Row],[PRIX UNITAIRE]])</f>
        <v>220000</v>
      </c>
      <c r="G728" s="48"/>
      <c r="H728" s="49">
        <f>+SUM($F$9:F728)-SUM($G$9:G728)</f>
        <v>12220000</v>
      </c>
    </row>
    <row r="729" spans="1:8" ht="28.8" x14ac:dyDescent="0.55000000000000004">
      <c r="A729" s="43"/>
      <c r="B729" s="43"/>
      <c r="C729" s="44" t="s">
        <v>2054</v>
      </c>
      <c r="D729" s="45">
        <v>4</v>
      </c>
      <c r="E729" s="46">
        <v>5000</v>
      </c>
      <c r="F729" s="47">
        <f>+$I$4+(CLIENT[[#This Row],[QUANTITE]]*CLIENT[[#This Row],[PRIX UNITAIRE]])</f>
        <v>20000</v>
      </c>
      <c r="G729" s="48"/>
      <c r="H729" s="49">
        <f>+SUM($F$9:F729)-SUM($G$9:G729)</f>
        <v>12240000</v>
      </c>
    </row>
    <row r="730" spans="1:8" ht="28.8" x14ac:dyDescent="0.55000000000000004">
      <c r="A730" s="43">
        <v>44996</v>
      </c>
      <c r="B730" s="43" t="s">
        <v>1992</v>
      </c>
      <c r="C730" s="44" t="s">
        <v>2088</v>
      </c>
      <c r="D730" s="45">
        <v>1</v>
      </c>
      <c r="E730" s="46">
        <v>185000</v>
      </c>
      <c r="F730" s="47">
        <f>+$I$4+(CLIENT[[#This Row],[QUANTITE]]*CLIENT[[#This Row],[PRIX UNITAIRE]])</f>
        <v>185000</v>
      </c>
      <c r="G730" s="48"/>
      <c r="H730" s="49">
        <f>+SUM($F$9:F730)-SUM($G$9:G730)</f>
        <v>12425000</v>
      </c>
    </row>
    <row r="731" spans="1:8" ht="28.8" x14ac:dyDescent="0.55000000000000004">
      <c r="A731" s="43">
        <v>44996</v>
      </c>
      <c r="B731" s="43" t="s">
        <v>1828</v>
      </c>
      <c r="C731" s="44" t="s">
        <v>2089</v>
      </c>
      <c r="D731" s="45">
        <v>1</v>
      </c>
      <c r="E731" s="46">
        <v>185000</v>
      </c>
      <c r="F731" s="47">
        <f>+$I$4+(CLIENT[[#This Row],[QUANTITE]]*CLIENT[[#This Row],[PRIX UNITAIRE]])</f>
        <v>185000</v>
      </c>
      <c r="G731" s="48"/>
      <c r="H731" s="49">
        <f>+SUM($F$9:F731)-SUM($G$9:G731)</f>
        <v>12610000</v>
      </c>
    </row>
    <row r="732" spans="1:8" ht="28.8" x14ac:dyDescent="0.55000000000000004">
      <c r="A732" s="43">
        <v>44999</v>
      </c>
      <c r="B732" s="43" t="s">
        <v>1848</v>
      </c>
      <c r="C732" s="44" t="s">
        <v>2090</v>
      </c>
      <c r="D732" s="45">
        <v>1</v>
      </c>
      <c r="E732" s="46">
        <v>185000</v>
      </c>
      <c r="F732" s="47">
        <f>+$I$4+(CLIENT[[#This Row],[QUANTITE]]*CLIENT[[#This Row],[PRIX UNITAIRE]])</f>
        <v>185000</v>
      </c>
      <c r="G732" s="48"/>
      <c r="H732" s="49">
        <f>+SUM($F$9:F732)-SUM($G$9:G732)</f>
        <v>12795000</v>
      </c>
    </row>
    <row r="733" spans="1:8" ht="28.8" x14ac:dyDescent="0.55000000000000004">
      <c r="A733" s="43">
        <v>45003</v>
      </c>
      <c r="B733" s="43" t="s">
        <v>1457</v>
      </c>
      <c r="C733" s="44" t="s">
        <v>2091</v>
      </c>
      <c r="D733" s="45">
        <v>2</v>
      </c>
      <c r="E733" s="46">
        <v>5000</v>
      </c>
      <c r="F733" s="47">
        <f>+$I$4+(CLIENT[[#This Row],[QUANTITE]]*CLIENT[[#This Row],[PRIX UNITAIRE]])</f>
        <v>10000</v>
      </c>
      <c r="G733" s="48"/>
      <c r="H733" s="49">
        <f>+SUM($F$9:F733)-SUM($G$9:G733)</f>
        <v>12805000</v>
      </c>
    </row>
    <row r="734" spans="1:8" ht="28.8" x14ac:dyDescent="0.55000000000000004">
      <c r="A734" s="43"/>
      <c r="B734" s="43" t="s">
        <v>1307</v>
      </c>
      <c r="C734" s="44" t="s">
        <v>2092</v>
      </c>
      <c r="D734" s="45">
        <v>2</v>
      </c>
      <c r="E734" s="46">
        <v>5000</v>
      </c>
      <c r="F734" s="47">
        <f>+$I$4+(CLIENT[[#This Row],[QUANTITE]]*CLIENT[[#This Row],[PRIX UNITAIRE]])</f>
        <v>10000</v>
      </c>
      <c r="G734" s="48"/>
      <c r="H734" s="49">
        <f>+SUM($F$9:F734)-SUM($G$9:G734)</f>
        <v>12815000</v>
      </c>
    </row>
    <row r="735" spans="1:8" ht="28.8" x14ac:dyDescent="0.55000000000000004">
      <c r="A735" s="43"/>
      <c r="B735" s="43"/>
      <c r="C735" s="44" t="s">
        <v>2093</v>
      </c>
      <c r="D735" s="45">
        <v>2</v>
      </c>
      <c r="E735" s="46">
        <v>5000</v>
      </c>
      <c r="F735" s="47">
        <f>+$I$4+(CLIENT[[#This Row],[QUANTITE]]*CLIENT[[#This Row],[PRIX UNITAIRE]])</f>
        <v>10000</v>
      </c>
      <c r="G735" s="48"/>
      <c r="H735" s="49">
        <f>+SUM($F$9:F735)-SUM($G$9:G735)</f>
        <v>12825000</v>
      </c>
    </row>
    <row r="736" spans="1:8" ht="28.8" x14ac:dyDescent="0.55000000000000004">
      <c r="A736" s="43"/>
      <c r="B736" s="43" t="s">
        <v>1298</v>
      </c>
      <c r="C736" s="44" t="s">
        <v>925</v>
      </c>
      <c r="D736" s="45">
        <v>1</v>
      </c>
      <c r="E736" s="46">
        <v>110000</v>
      </c>
      <c r="F736" s="47">
        <f>+$I$4+(CLIENT[[#This Row],[QUANTITE]]*CLIENT[[#This Row],[PRIX UNITAIRE]])</f>
        <v>110000</v>
      </c>
      <c r="G736" s="48"/>
      <c r="H736" s="49">
        <f>+SUM($F$9:F736)-SUM($G$9:G736)</f>
        <v>12935000</v>
      </c>
    </row>
    <row r="737" spans="1:8" ht="28.8" x14ac:dyDescent="0.55000000000000004">
      <c r="A737" s="43"/>
      <c r="B737" s="43" t="s">
        <v>1232</v>
      </c>
      <c r="C737" s="44" t="s">
        <v>2094</v>
      </c>
      <c r="D737" s="45">
        <v>2</v>
      </c>
      <c r="E737" s="46">
        <v>50000</v>
      </c>
      <c r="F737" s="47">
        <f>+$I$4+(CLIENT[[#This Row],[QUANTITE]]*CLIENT[[#This Row],[PRIX UNITAIRE]])</f>
        <v>100000</v>
      </c>
      <c r="G737" s="48"/>
      <c r="H737" s="49">
        <f>+SUM($F$9:F737)-SUM($G$9:G737)</f>
        <v>13035000</v>
      </c>
    </row>
    <row r="738" spans="1:8" ht="28.8" x14ac:dyDescent="0.55000000000000004">
      <c r="A738" s="43">
        <v>45003</v>
      </c>
      <c r="B738" s="43" t="s">
        <v>1600</v>
      </c>
      <c r="C738" s="44" t="s">
        <v>2095</v>
      </c>
      <c r="D738" s="45">
        <v>1</v>
      </c>
      <c r="E738" s="46">
        <v>150000</v>
      </c>
      <c r="F738" s="47">
        <f>+$I$4+(CLIENT[[#This Row],[QUANTITE]]*CLIENT[[#This Row],[PRIX UNITAIRE]])</f>
        <v>150000</v>
      </c>
      <c r="G738" s="48"/>
      <c r="H738" s="49">
        <f>+SUM($F$9:F738)-SUM($G$9:G738)</f>
        <v>13185000</v>
      </c>
    </row>
    <row r="739" spans="1:8" ht="28.8" x14ac:dyDescent="0.55000000000000004">
      <c r="A739" s="43">
        <v>45003</v>
      </c>
      <c r="B739" s="43" t="s">
        <v>1474</v>
      </c>
      <c r="C739" s="44" t="s">
        <v>2096</v>
      </c>
      <c r="D739" s="45">
        <v>1</v>
      </c>
      <c r="E739" s="46">
        <v>185000</v>
      </c>
      <c r="F739" s="47">
        <f>+$I$4+(CLIENT[[#This Row],[QUANTITE]]*CLIENT[[#This Row],[PRIX UNITAIRE]])</f>
        <v>185000</v>
      </c>
      <c r="G739" s="48"/>
      <c r="H739" s="49">
        <f>+SUM($F$9:F739)-SUM($G$9:G739)</f>
        <v>13370000</v>
      </c>
    </row>
    <row r="740" spans="1:8" ht="28.8" x14ac:dyDescent="0.55000000000000004">
      <c r="A740" s="43">
        <v>45005</v>
      </c>
      <c r="B740" s="43" t="s">
        <v>2097</v>
      </c>
      <c r="C740" s="44" t="s">
        <v>2081</v>
      </c>
      <c r="D740" s="45">
        <v>2</v>
      </c>
      <c r="E740" s="46">
        <v>125000</v>
      </c>
      <c r="F740" s="47">
        <f>+$I$4+(CLIENT[[#This Row],[QUANTITE]]*CLIENT[[#This Row],[PRIX UNITAIRE]])</f>
        <v>250000</v>
      </c>
      <c r="G740" s="48"/>
      <c r="H740" s="49">
        <f>+SUM($F$9:F740)-SUM($G$9:G740)</f>
        <v>13620000</v>
      </c>
    </row>
    <row r="741" spans="1:8" ht="28.8" x14ac:dyDescent="0.55000000000000004">
      <c r="A741" s="43">
        <v>45006</v>
      </c>
      <c r="B741" s="43" t="s">
        <v>1424</v>
      </c>
      <c r="C741" s="44" t="s">
        <v>2098</v>
      </c>
      <c r="D741" s="45">
        <v>2</v>
      </c>
      <c r="E741" s="46">
        <v>150000</v>
      </c>
      <c r="F741" s="47">
        <f>+$I$4+(CLIENT[[#This Row],[QUANTITE]]*CLIENT[[#This Row],[PRIX UNITAIRE]])</f>
        <v>300000</v>
      </c>
      <c r="G741" s="48"/>
      <c r="H741" s="49">
        <f>+SUM($F$9:F741)-SUM($G$9:G741)</f>
        <v>13920000</v>
      </c>
    </row>
    <row r="742" spans="1:8" ht="28.8" x14ac:dyDescent="0.55000000000000004">
      <c r="A742" s="43"/>
      <c r="B742" s="43"/>
      <c r="C742" s="44" t="s">
        <v>860</v>
      </c>
      <c r="D742" s="45">
        <v>1</v>
      </c>
      <c r="E742" s="46">
        <v>45000</v>
      </c>
      <c r="F742" s="47">
        <f>+$I$4+(CLIENT[[#This Row],[QUANTITE]]*CLIENT[[#This Row],[PRIX UNITAIRE]])</f>
        <v>45000</v>
      </c>
      <c r="G742" s="48"/>
      <c r="H742" s="49">
        <f>+SUM($F$9:F742)-SUM($G$9:G742)</f>
        <v>13965000</v>
      </c>
    </row>
    <row r="743" spans="1:8" ht="28.8" x14ac:dyDescent="0.55000000000000004">
      <c r="A743" s="43">
        <v>45006</v>
      </c>
      <c r="B743" s="43" t="s">
        <v>2099</v>
      </c>
      <c r="C743" s="44" t="s">
        <v>2100</v>
      </c>
      <c r="D743" s="45">
        <v>1</v>
      </c>
      <c r="E743" s="46">
        <v>60000</v>
      </c>
      <c r="F743" s="47">
        <f>+$I$4+(CLIENT[[#This Row],[QUANTITE]]*CLIENT[[#This Row],[PRIX UNITAIRE]])</f>
        <v>60000</v>
      </c>
      <c r="G743" s="48"/>
      <c r="H743" s="49">
        <f>+SUM($F$9:F743)-SUM($G$9:G743)</f>
        <v>14025000</v>
      </c>
    </row>
    <row r="744" spans="1:8" ht="28.8" x14ac:dyDescent="0.55000000000000004">
      <c r="A744" s="43">
        <v>45006</v>
      </c>
      <c r="B744" s="43" t="s">
        <v>1232</v>
      </c>
      <c r="C744" s="44" t="s">
        <v>2101</v>
      </c>
      <c r="D744" s="45">
        <v>1</v>
      </c>
      <c r="E744" s="46">
        <v>185000</v>
      </c>
      <c r="F744" s="47">
        <f>+$I$4+(CLIENT[[#This Row],[QUANTITE]]*CLIENT[[#This Row],[PRIX UNITAIRE]])</f>
        <v>185000</v>
      </c>
      <c r="G744" s="48"/>
      <c r="H744" s="49">
        <f>+SUM($F$9:F744)-SUM($G$9:G744)</f>
        <v>14210000</v>
      </c>
    </row>
    <row r="745" spans="1:8" ht="28.8" x14ac:dyDescent="0.55000000000000004">
      <c r="A745" s="43">
        <v>45008</v>
      </c>
      <c r="B745" s="43" t="s">
        <v>2102</v>
      </c>
      <c r="C745" s="44" t="s">
        <v>2103</v>
      </c>
      <c r="D745" s="45">
        <v>1</v>
      </c>
      <c r="E745" s="46">
        <v>150000</v>
      </c>
      <c r="F745" s="47">
        <f>+$I$4+(CLIENT[[#This Row],[QUANTITE]]*CLIENT[[#This Row],[PRIX UNITAIRE]])</f>
        <v>150000</v>
      </c>
      <c r="G745" s="48"/>
      <c r="H745" s="49">
        <f>+SUM($F$9:F745)-SUM($G$9:G745)</f>
        <v>14360000</v>
      </c>
    </row>
    <row r="746" spans="1:8" ht="28.8" x14ac:dyDescent="0.55000000000000004">
      <c r="A746" s="43">
        <v>45009</v>
      </c>
      <c r="B746" s="43" t="s">
        <v>1592</v>
      </c>
      <c r="C746" s="44" t="s">
        <v>2104</v>
      </c>
      <c r="D746" s="45">
        <v>1</v>
      </c>
      <c r="E746" s="46">
        <v>185000</v>
      </c>
      <c r="F746" s="47">
        <f>+$I$4+(CLIENT[[#This Row],[QUANTITE]]*CLIENT[[#This Row],[PRIX UNITAIRE]])</f>
        <v>185000</v>
      </c>
      <c r="G746" s="48"/>
      <c r="H746" s="49">
        <f>+SUM($F$9:F746)-SUM($G$9:G746)</f>
        <v>14545000</v>
      </c>
    </row>
    <row r="747" spans="1:8" ht="28.8" x14ac:dyDescent="0.55000000000000004">
      <c r="A747" s="43">
        <v>45009</v>
      </c>
      <c r="B747" s="43" t="s">
        <v>1474</v>
      </c>
      <c r="C747" s="44" t="s">
        <v>2105</v>
      </c>
      <c r="D747" s="45">
        <v>2</v>
      </c>
      <c r="E747" s="46">
        <v>25000</v>
      </c>
      <c r="F747" s="47">
        <f>+$I$4+(CLIENT[[#This Row],[QUANTITE]]*CLIENT[[#This Row],[PRIX UNITAIRE]])</f>
        <v>50000</v>
      </c>
      <c r="G747" s="48"/>
      <c r="H747" s="49">
        <f>+SUM($F$9:F747)-SUM($G$9:G747)</f>
        <v>14595000</v>
      </c>
    </row>
    <row r="748" spans="1:8" ht="28.8" x14ac:dyDescent="0.55000000000000004">
      <c r="A748" s="43"/>
      <c r="B748" s="43" t="s">
        <v>1474</v>
      </c>
      <c r="C748" s="44" t="s">
        <v>2106</v>
      </c>
      <c r="D748" s="45">
        <v>2</v>
      </c>
      <c r="E748" s="46">
        <v>5000</v>
      </c>
      <c r="F748" s="47">
        <f>+$I$4+(CLIENT[[#This Row],[QUANTITE]]*CLIENT[[#This Row],[PRIX UNITAIRE]])</f>
        <v>10000</v>
      </c>
      <c r="G748" s="48"/>
      <c r="H748" s="49">
        <f>+SUM($F$9:F748)-SUM($G$9:G748)</f>
        <v>14605000</v>
      </c>
    </row>
    <row r="749" spans="1:8" ht="28.8" x14ac:dyDescent="0.55000000000000004">
      <c r="A749" s="43"/>
      <c r="B749" s="43"/>
      <c r="C749" s="44" t="s">
        <v>2107</v>
      </c>
      <c r="D749" s="45">
        <v>2</v>
      </c>
      <c r="E749" s="46">
        <v>20000</v>
      </c>
      <c r="F749" s="47">
        <f>+$I$4+(CLIENT[[#This Row],[QUANTITE]]*CLIENT[[#This Row],[PRIX UNITAIRE]])</f>
        <v>40000</v>
      </c>
      <c r="G749" s="48"/>
      <c r="H749" s="49">
        <f>+SUM($F$9:F749)-SUM($G$9:G749)</f>
        <v>14645000</v>
      </c>
    </row>
    <row r="750" spans="1:8" ht="28.8" x14ac:dyDescent="0.55000000000000004">
      <c r="A750" s="43"/>
      <c r="B750" s="43" t="s">
        <v>1181</v>
      </c>
      <c r="C750" s="44" t="s">
        <v>2108</v>
      </c>
      <c r="D750" s="45">
        <v>2</v>
      </c>
      <c r="E750" s="46">
        <v>15000</v>
      </c>
      <c r="F750" s="47">
        <f>+$I$4+(CLIENT[[#This Row],[QUANTITE]]*CLIENT[[#This Row],[PRIX UNITAIRE]])</f>
        <v>30000</v>
      </c>
      <c r="G750" s="48"/>
      <c r="H750" s="49">
        <f>+SUM($F$9:F750)-SUM($G$9:G750)</f>
        <v>14675000</v>
      </c>
    </row>
    <row r="751" spans="1:8" ht="28.8" x14ac:dyDescent="0.55000000000000004">
      <c r="A751" s="43"/>
      <c r="B751" s="43" t="s">
        <v>1181</v>
      </c>
      <c r="C751" s="44" t="s">
        <v>2109</v>
      </c>
      <c r="D751" s="45">
        <v>4</v>
      </c>
      <c r="E751" s="46">
        <v>5000</v>
      </c>
      <c r="F751" s="47">
        <f>+$I$4+(CLIENT[[#This Row],[QUANTITE]]*CLIENT[[#This Row],[PRIX UNITAIRE]])</f>
        <v>20000</v>
      </c>
      <c r="G751" s="48"/>
      <c r="H751" s="49">
        <f>+SUM($F$9:F751)-SUM($G$9:G751)</f>
        <v>14695000</v>
      </c>
    </row>
    <row r="752" spans="1:8" ht="28.8" x14ac:dyDescent="0.55000000000000004">
      <c r="A752" s="43">
        <v>45009</v>
      </c>
      <c r="B752" s="43" t="s">
        <v>259</v>
      </c>
      <c r="C752" s="44" t="s">
        <v>2110</v>
      </c>
      <c r="D752" s="45">
        <v>1</v>
      </c>
      <c r="E752" s="46">
        <v>0</v>
      </c>
      <c r="F752" s="47">
        <f>+$I$4+(CLIENT[[#This Row],[QUANTITE]]*CLIENT[[#This Row],[PRIX UNITAIRE]])</f>
        <v>0</v>
      </c>
      <c r="G752" s="48">
        <v>10000000</v>
      </c>
      <c r="H752" s="49">
        <f>+SUM($F$9:F752)-SUM($G$9:G752)</f>
        <v>4695000</v>
      </c>
    </row>
    <row r="753" spans="1:8" ht="28.8" x14ac:dyDescent="0.55000000000000004">
      <c r="A753" s="43">
        <v>45012</v>
      </c>
      <c r="B753" s="43" t="s">
        <v>2111</v>
      </c>
      <c r="C753" s="44" t="s">
        <v>2112</v>
      </c>
      <c r="D753" s="45">
        <v>1</v>
      </c>
      <c r="E753" s="46">
        <v>150000</v>
      </c>
      <c r="F753" s="47">
        <f>+$I$4+(CLIENT[[#This Row],[QUANTITE]]*CLIENT[[#This Row],[PRIX UNITAIRE]])</f>
        <v>150000</v>
      </c>
      <c r="G753" s="48"/>
      <c r="H753" s="49">
        <f>+SUM($F$9:F753)-SUM($G$9:G753)</f>
        <v>4845000</v>
      </c>
    </row>
    <row r="754" spans="1:8" ht="28.8" x14ac:dyDescent="0.55000000000000004">
      <c r="A754" s="43">
        <v>45012</v>
      </c>
      <c r="B754" s="43" t="s">
        <v>2113</v>
      </c>
      <c r="C754" s="44" t="s">
        <v>83</v>
      </c>
      <c r="D754" s="45">
        <v>2</v>
      </c>
      <c r="E754" s="46">
        <v>15000</v>
      </c>
      <c r="F754" s="47">
        <f>+$I$4+(CLIENT[[#This Row],[QUANTITE]]*CLIENT[[#This Row],[PRIX UNITAIRE]])</f>
        <v>30000</v>
      </c>
      <c r="G754" s="48"/>
      <c r="H754" s="49">
        <f>+SUM($F$9:F754)-SUM($G$9:G754)</f>
        <v>4875000</v>
      </c>
    </row>
    <row r="755" spans="1:8" ht="28.8" x14ac:dyDescent="0.55000000000000004">
      <c r="A755" s="43">
        <v>45013</v>
      </c>
      <c r="B755" s="43" t="s">
        <v>1459</v>
      </c>
      <c r="C755" s="44" t="s">
        <v>83</v>
      </c>
      <c r="D755" s="45">
        <v>2</v>
      </c>
      <c r="E755" s="46">
        <v>15000</v>
      </c>
      <c r="F755" s="47">
        <f>+$I$4+(CLIENT[[#This Row],[QUANTITE]]*CLIENT[[#This Row],[PRIX UNITAIRE]])</f>
        <v>30000</v>
      </c>
      <c r="G755" s="48"/>
      <c r="H755" s="49">
        <f>+SUM($F$9:F755)-SUM($G$9:G755)</f>
        <v>4905000</v>
      </c>
    </row>
    <row r="756" spans="1:8" ht="28.8" x14ac:dyDescent="0.55000000000000004">
      <c r="A756" s="43">
        <v>45013</v>
      </c>
      <c r="B756" s="43" t="s">
        <v>1651</v>
      </c>
      <c r="C756" s="44" t="s">
        <v>2114</v>
      </c>
      <c r="D756" s="45">
        <v>1</v>
      </c>
      <c r="E756" s="46">
        <v>185000</v>
      </c>
      <c r="F756" s="47">
        <f>+$I$4+(CLIENT[[#This Row],[QUANTITE]]*CLIENT[[#This Row],[PRIX UNITAIRE]])</f>
        <v>185000</v>
      </c>
      <c r="G756" s="48"/>
      <c r="H756" s="49">
        <f>+SUM($F$9:F756)-SUM($G$9:G756)</f>
        <v>5090000</v>
      </c>
    </row>
    <row r="757" spans="1:8" ht="28.8" x14ac:dyDescent="0.55000000000000004">
      <c r="A757" s="43">
        <v>45014</v>
      </c>
      <c r="B757" s="43" t="s">
        <v>1826</v>
      </c>
      <c r="C757" s="44" t="s">
        <v>2115</v>
      </c>
      <c r="D757" s="45">
        <v>1</v>
      </c>
      <c r="E757" s="46">
        <v>185000</v>
      </c>
      <c r="F757" s="47">
        <f>+$I$4+(CLIENT[[#This Row],[QUANTITE]]*CLIENT[[#This Row],[PRIX UNITAIRE]])</f>
        <v>185000</v>
      </c>
      <c r="G757" s="48"/>
      <c r="H757" s="49">
        <f>+SUM($F$9:F757)-SUM($G$9:G757)</f>
        <v>5275000</v>
      </c>
    </row>
    <row r="758" spans="1:8" ht="28.8" x14ac:dyDescent="0.55000000000000004">
      <c r="A758" s="43">
        <v>45014</v>
      </c>
      <c r="B758" s="43" t="s">
        <v>2116</v>
      </c>
      <c r="C758" s="44" t="s">
        <v>2117</v>
      </c>
      <c r="D758" s="45">
        <v>1</v>
      </c>
      <c r="E758" s="46">
        <v>185000</v>
      </c>
      <c r="F758" s="47">
        <f>+$I$4+(CLIENT[[#This Row],[QUANTITE]]*CLIENT[[#This Row],[PRIX UNITAIRE]])</f>
        <v>185000</v>
      </c>
      <c r="G758" s="48"/>
      <c r="H758" s="49">
        <f>+SUM($F$9:F758)-SUM($G$9:G758)</f>
        <v>5460000</v>
      </c>
    </row>
    <row r="759" spans="1:8" ht="28.8" x14ac:dyDescent="0.55000000000000004">
      <c r="A759" s="43">
        <v>45014</v>
      </c>
      <c r="B759" s="43" t="s">
        <v>1234</v>
      </c>
      <c r="C759" s="44" t="s">
        <v>2118</v>
      </c>
      <c r="D759" s="45">
        <v>2</v>
      </c>
      <c r="E759" s="46">
        <v>15000</v>
      </c>
      <c r="F759" s="47">
        <f>+$I$4+(CLIENT[[#This Row],[QUANTITE]]*CLIENT[[#This Row],[PRIX UNITAIRE]])</f>
        <v>30000</v>
      </c>
      <c r="G759" s="48"/>
      <c r="H759" s="49">
        <f>+SUM($F$9:F759)-SUM($G$9:G759)</f>
        <v>5490000</v>
      </c>
    </row>
    <row r="760" spans="1:8" ht="28.8" x14ac:dyDescent="0.55000000000000004">
      <c r="A760" s="43">
        <v>45014</v>
      </c>
      <c r="B760" s="43" t="s">
        <v>2119</v>
      </c>
      <c r="C760" s="44" t="s">
        <v>2120</v>
      </c>
      <c r="D760" s="45">
        <v>4</v>
      </c>
      <c r="E760" s="46">
        <v>150000</v>
      </c>
      <c r="F760" s="47">
        <f>+$I$4+(CLIENT[[#This Row],[QUANTITE]]*CLIENT[[#This Row],[PRIX UNITAIRE]])</f>
        <v>600000</v>
      </c>
      <c r="G760" s="48"/>
      <c r="H760" s="49">
        <f>+SUM($F$9:F760)-SUM($G$9:G760)</f>
        <v>6090000</v>
      </c>
    </row>
    <row r="761" spans="1:8" ht="28.8" x14ac:dyDescent="0.55000000000000004">
      <c r="A761" s="43"/>
      <c r="B761" s="43"/>
      <c r="C761" s="44" t="s">
        <v>2121</v>
      </c>
      <c r="D761" s="45">
        <v>4</v>
      </c>
      <c r="E761" s="46">
        <v>45000</v>
      </c>
      <c r="F761" s="47">
        <f>+$I$4+(CLIENT[[#This Row],[QUANTITE]]*CLIENT[[#This Row],[PRIX UNITAIRE]])</f>
        <v>180000</v>
      </c>
      <c r="G761" s="48"/>
      <c r="H761" s="49">
        <f>+SUM($F$9:F761)-SUM($G$9:G761)</f>
        <v>6270000</v>
      </c>
    </row>
    <row r="762" spans="1:8" ht="28.8" x14ac:dyDescent="0.55000000000000004">
      <c r="A762" s="43">
        <v>45015</v>
      </c>
      <c r="B762" s="43" t="s">
        <v>1457</v>
      </c>
      <c r="C762" s="44" t="s">
        <v>2122</v>
      </c>
      <c r="D762" s="45">
        <v>1</v>
      </c>
      <c r="E762" s="46">
        <v>185000</v>
      </c>
      <c r="F762" s="47">
        <f>+$I$4+(CLIENT[[#This Row],[QUANTITE]]*CLIENT[[#This Row],[PRIX UNITAIRE]])</f>
        <v>185000</v>
      </c>
      <c r="G762" s="48"/>
      <c r="H762" s="49">
        <f>+SUM($F$9:F762)-SUM($G$9:G762)</f>
        <v>6455000</v>
      </c>
    </row>
    <row r="763" spans="1:8" ht="28.8" x14ac:dyDescent="0.55000000000000004">
      <c r="A763" s="43">
        <v>45016</v>
      </c>
      <c r="B763" s="43" t="s">
        <v>2042</v>
      </c>
      <c r="C763" s="44" t="s">
        <v>2123</v>
      </c>
      <c r="D763" s="45">
        <v>3</v>
      </c>
      <c r="E763" s="46">
        <v>183333.33333333334</v>
      </c>
      <c r="F763" s="47">
        <f>+$I$4+(CLIENT[[#This Row],[QUANTITE]]*CLIENT[[#This Row],[PRIX UNITAIRE]])</f>
        <v>550000</v>
      </c>
      <c r="G763" s="48"/>
      <c r="H763" s="49">
        <f>+SUM($F$9:F763)-SUM($G$9:G763)</f>
        <v>7005000</v>
      </c>
    </row>
    <row r="764" spans="1:8" ht="28.8" x14ac:dyDescent="0.55000000000000004">
      <c r="A764" s="43"/>
      <c r="B764" s="43"/>
      <c r="C764" s="44" t="s">
        <v>2124</v>
      </c>
      <c r="D764" s="45">
        <v>2</v>
      </c>
      <c r="E764" s="46">
        <v>45000</v>
      </c>
      <c r="F764" s="47">
        <f>+$I$4+(CLIENT[[#This Row],[QUANTITE]]*CLIENT[[#This Row],[PRIX UNITAIRE]])</f>
        <v>90000</v>
      </c>
      <c r="G764" s="48"/>
      <c r="H764" s="49">
        <f>+SUM($F$9:F764)-SUM($G$9:G764)</f>
        <v>7095000</v>
      </c>
    </row>
    <row r="765" spans="1:8" ht="28.8" x14ac:dyDescent="0.55000000000000004">
      <c r="A765" s="43"/>
      <c r="B765" s="43"/>
      <c r="C765" s="44" t="s">
        <v>2125</v>
      </c>
      <c r="D765" s="45">
        <v>1</v>
      </c>
      <c r="E765" s="46">
        <v>18000</v>
      </c>
      <c r="F765" s="47">
        <f>+$I$4+(CLIENT[[#This Row],[QUANTITE]]*CLIENT[[#This Row],[PRIX UNITAIRE]])</f>
        <v>18000</v>
      </c>
      <c r="G765" s="48"/>
      <c r="H765" s="49">
        <f>+SUM($F$9:F765)-SUM($G$9:G765)</f>
        <v>7113000</v>
      </c>
    </row>
    <row r="766" spans="1:8" ht="28.8" x14ac:dyDescent="0.55000000000000004">
      <c r="A766" s="43">
        <v>45019</v>
      </c>
      <c r="B766" s="43" t="s">
        <v>2126</v>
      </c>
      <c r="C766" s="44" t="s">
        <v>2127</v>
      </c>
      <c r="D766" s="45">
        <v>1</v>
      </c>
      <c r="E766" s="46">
        <v>185000</v>
      </c>
      <c r="F766" s="47">
        <f>+$I$4+(CLIENT[[#This Row],[QUANTITE]]*CLIENT[[#This Row],[PRIX UNITAIRE]])</f>
        <v>185000</v>
      </c>
      <c r="G766" s="48"/>
      <c r="H766" s="49">
        <f>+SUM($F$9:F766)-SUM($G$9:G766)</f>
        <v>7298000</v>
      </c>
    </row>
    <row r="767" spans="1:8" ht="28.8" x14ac:dyDescent="0.55000000000000004">
      <c r="A767" s="43"/>
      <c r="B767" s="43"/>
      <c r="C767" s="44" t="s">
        <v>860</v>
      </c>
      <c r="D767" s="45">
        <v>1</v>
      </c>
      <c r="E767" s="46">
        <v>45000</v>
      </c>
      <c r="F767" s="47">
        <f>+$I$4+(CLIENT[[#This Row],[QUANTITE]]*CLIENT[[#This Row],[PRIX UNITAIRE]])</f>
        <v>45000</v>
      </c>
      <c r="G767" s="48"/>
      <c r="H767" s="49">
        <f>+SUM($F$9:F767)-SUM($G$9:G767)</f>
        <v>7343000</v>
      </c>
    </row>
    <row r="768" spans="1:8" ht="28.8" x14ac:dyDescent="0.55000000000000004">
      <c r="A768" s="43">
        <v>45019</v>
      </c>
      <c r="B768" s="43" t="s">
        <v>2128</v>
      </c>
      <c r="C768" s="44" t="s">
        <v>2129</v>
      </c>
      <c r="D768" s="45">
        <v>1</v>
      </c>
      <c r="E768" s="46">
        <v>185000</v>
      </c>
      <c r="F768" s="47">
        <f>+$I$4+(CLIENT[[#This Row],[QUANTITE]]*CLIENT[[#This Row],[PRIX UNITAIRE]])</f>
        <v>185000</v>
      </c>
      <c r="G768" s="48"/>
      <c r="H768" s="49">
        <f>+SUM($F$9:F768)-SUM($G$9:G768)</f>
        <v>7528000</v>
      </c>
    </row>
    <row r="769" spans="1:8" ht="28.8" x14ac:dyDescent="0.55000000000000004">
      <c r="A769" s="43">
        <v>45019</v>
      </c>
      <c r="B769" s="43" t="s">
        <v>2130</v>
      </c>
      <c r="C769" s="44" t="s">
        <v>2131</v>
      </c>
      <c r="D769" s="45">
        <v>1</v>
      </c>
      <c r="E769" s="46">
        <v>185000</v>
      </c>
      <c r="F769" s="47">
        <f>+$I$4+(CLIENT[[#This Row],[QUANTITE]]*CLIENT[[#This Row],[PRIX UNITAIRE]])</f>
        <v>185000</v>
      </c>
      <c r="G769" s="48"/>
      <c r="H769" s="49">
        <f>+SUM($F$9:F769)-SUM($G$9:G769)</f>
        <v>7713000</v>
      </c>
    </row>
    <row r="770" spans="1:8" ht="28.8" x14ac:dyDescent="0.55000000000000004">
      <c r="A770" s="43">
        <v>45022</v>
      </c>
      <c r="B770" s="43" t="s">
        <v>2132</v>
      </c>
      <c r="C770" s="44" t="s">
        <v>2133</v>
      </c>
      <c r="D770" s="45">
        <v>1</v>
      </c>
      <c r="E770" s="46">
        <v>150000</v>
      </c>
      <c r="F770" s="47">
        <f>+$I$4+(CLIENT[[#This Row],[QUANTITE]]*CLIENT[[#This Row],[PRIX UNITAIRE]])</f>
        <v>150000</v>
      </c>
      <c r="G770" s="48"/>
      <c r="H770" s="49">
        <f>+SUM($F$9:F770)-SUM($G$9:G770)</f>
        <v>7863000</v>
      </c>
    </row>
    <row r="771" spans="1:8" ht="28.8" x14ac:dyDescent="0.55000000000000004">
      <c r="A771" s="43">
        <v>45022</v>
      </c>
      <c r="B771" s="43" t="s">
        <v>1298</v>
      </c>
      <c r="C771" s="44" t="s">
        <v>643</v>
      </c>
      <c r="D771" s="45">
        <v>1</v>
      </c>
      <c r="E771" s="46">
        <v>110000</v>
      </c>
      <c r="F771" s="47">
        <f>+$I$4+(CLIENT[[#This Row],[QUANTITE]]*CLIENT[[#This Row],[PRIX UNITAIRE]])</f>
        <v>110000</v>
      </c>
      <c r="G771" s="48"/>
      <c r="H771" s="49">
        <f>+SUM($F$9:F771)-SUM($G$9:G771)</f>
        <v>7973000</v>
      </c>
    </row>
    <row r="772" spans="1:8" ht="28.8" x14ac:dyDescent="0.55000000000000004">
      <c r="A772" s="43">
        <v>45023</v>
      </c>
      <c r="B772" s="43" t="s">
        <v>2134</v>
      </c>
      <c r="C772" s="44" t="s">
        <v>2135</v>
      </c>
      <c r="D772" s="45">
        <v>1</v>
      </c>
      <c r="E772" s="46">
        <v>150000</v>
      </c>
      <c r="F772" s="47">
        <f>+$I$4+(CLIENT[[#This Row],[QUANTITE]]*CLIENT[[#This Row],[PRIX UNITAIRE]])</f>
        <v>150000</v>
      </c>
      <c r="G772" s="48"/>
      <c r="H772" s="49">
        <f>+SUM($F$9:F772)-SUM($G$9:G772)</f>
        <v>8123000</v>
      </c>
    </row>
    <row r="773" spans="1:8" ht="28.8" x14ac:dyDescent="0.55000000000000004">
      <c r="A773" s="43">
        <v>45023</v>
      </c>
      <c r="B773" s="43" t="s">
        <v>1564</v>
      </c>
      <c r="C773" s="44" t="s">
        <v>2136</v>
      </c>
      <c r="D773" s="45">
        <v>1</v>
      </c>
      <c r="E773" s="46">
        <v>150000</v>
      </c>
      <c r="F773" s="47">
        <f>+$I$4+(CLIENT[[#This Row],[QUANTITE]]*CLIENT[[#This Row],[PRIX UNITAIRE]])</f>
        <v>150000</v>
      </c>
      <c r="G773" s="48"/>
      <c r="H773" s="49">
        <f>+SUM($F$9:F773)-SUM($G$9:G773)</f>
        <v>8273000</v>
      </c>
    </row>
    <row r="774" spans="1:8" ht="28.8" x14ac:dyDescent="0.55000000000000004">
      <c r="A774" s="43">
        <v>45023</v>
      </c>
      <c r="B774" s="43" t="s">
        <v>2137</v>
      </c>
      <c r="C774" s="44" t="s">
        <v>2138</v>
      </c>
      <c r="D774" s="45">
        <v>1</v>
      </c>
      <c r="E774" s="46">
        <v>185000</v>
      </c>
      <c r="F774" s="47">
        <f>+$I$4+(CLIENT[[#This Row],[QUANTITE]]*CLIENT[[#This Row],[PRIX UNITAIRE]])</f>
        <v>185000</v>
      </c>
      <c r="G774" s="48"/>
      <c r="H774" s="49">
        <f>+SUM($F$9:F774)-SUM($G$9:G774)</f>
        <v>8458000</v>
      </c>
    </row>
    <row r="775" spans="1:8" ht="28.8" x14ac:dyDescent="0.55000000000000004">
      <c r="A775" s="43"/>
      <c r="B775" s="43"/>
      <c r="C775" s="44" t="s">
        <v>2139</v>
      </c>
      <c r="D775" s="45">
        <v>1</v>
      </c>
      <c r="E775" s="46">
        <v>150000</v>
      </c>
      <c r="F775" s="47">
        <f>+$I$4+(CLIENT[[#This Row],[QUANTITE]]*CLIENT[[#This Row],[PRIX UNITAIRE]])</f>
        <v>150000</v>
      </c>
      <c r="G775" s="48"/>
      <c r="H775" s="49">
        <f>+SUM($F$9:F775)-SUM($G$9:G775)</f>
        <v>8608000</v>
      </c>
    </row>
    <row r="776" spans="1:8" ht="28.8" x14ac:dyDescent="0.55000000000000004">
      <c r="A776" s="43">
        <v>45024</v>
      </c>
      <c r="B776" s="43" t="s">
        <v>2140</v>
      </c>
      <c r="C776" s="44" t="s">
        <v>2141</v>
      </c>
      <c r="D776" s="45">
        <v>1</v>
      </c>
      <c r="E776" s="46">
        <v>185000</v>
      </c>
      <c r="F776" s="47">
        <f>+$I$4+(CLIENT[[#This Row],[QUANTITE]]*CLIENT[[#This Row],[PRIX UNITAIRE]])</f>
        <v>185000</v>
      </c>
      <c r="G776" s="48"/>
      <c r="H776" s="49">
        <f>+SUM($F$9:F776)-SUM($G$9:G776)</f>
        <v>8793000</v>
      </c>
    </row>
    <row r="777" spans="1:8" ht="28.8" x14ac:dyDescent="0.55000000000000004">
      <c r="A777" s="43"/>
      <c r="B777" s="43"/>
      <c r="C777" s="44" t="s">
        <v>218</v>
      </c>
      <c r="D777" s="45">
        <v>2</v>
      </c>
      <c r="E777" s="46">
        <v>15000</v>
      </c>
      <c r="F777" s="47">
        <f>+$I$4+(CLIENT[[#This Row],[QUANTITE]]*CLIENT[[#This Row],[PRIX UNITAIRE]])</f>
        <v>30000</v>
      </c>
      <c r="G777" s="48"/>
      <c r="H777" s="49">
        <f>+SUM($F$9:F777)-SUM($G$9:G777)</f>
        <v>8823000</v>
      </c>
    </row>
    <row r="778" spans="1:8" ht="28.8" x14ac:dyDescent="0.55000000000000004">
      <c r="A778" s="43">
        <v>45027</v>
      </c>
      <c r="B778" s="43" t="s">
        <v>2128</v>
      </c>
      <c r="C778" s="44" t="s">
        <v>2142</v>
      </c>
      <c r="D778" s="45">
        <v>1</v>
      </c>
      <c r="E778" s="46">
        <v>150000</v>
      </c>
      <c r="F778" s="47">
        <f>+$I$4+(CLIENT[[#This Row],[QUANTITE]]*CLIENT[[#This Row],[PRIX UNITAIRE]])</f>
        <v>150000</v>
      </c>
      <c r="G778" s="48"/>
      <c r="H778" s="49">
        <f>+SUM($F$9:F778)-SUM($G$9:G778)</f>
        <v>8973000</v>
      </c>
    </row>
    <row r="779" spans="1:8" ht="28.8" x14ac:dyDescent="0.55000000000000004">
      <c r="A779" s="43">
        <v>45028</v>
      </c>
      <c r="B779" s="43" t="s">
        <v>1592</v>
      </c>
      <c r="C779" s="44" t="s">
        <v>2143</v>
      </c>
      <c r="D779" s="45">
        <v>1</v>
      </c>
      <c r="E779" s="46">
        <v>185000</v>
      </c>
      <c r="F779" s="47">
        <f>+$I$4+(CLIENT[[#This Row],[QUANTITE]]*CLIENT[[#This Row],[PRIX UNITAIRE]])</f>
        <v>185000</v>
      </c>
      <c r="G779" s="48"/>
      <c r="H779" s="49">
        <f>+SUM($F$9:F779)-SUM($G$9:G779)</f>
        <v>9158000</v>
      </c>
    </row>
    <row r="780" spans="1:8" ht="28.8" x14ac:dyDescent="0.55000000000000004">
      <c r="A780" s="43">
        <v>45028</v>
      </c>
      <c r="B780" s="43" t="s">
        <v>1737</v>
      </c>
      <c r="C780" s="44" t="s">
        <v>2144</v>
      </c>
      <c r="D780" s="45">
        <v>1</v>
      </c>
      <c r="E780" s="46">
        <v>185000</v>
      </c>
      <c r="F780" s="47">
        <f>+$I$4+(CLIENT[[#This Row],[QUANTITE]]*CLIENT[[#This Row],[PRIX UNITAIRE]])</f>
        <v>185000</v>
      </c>
      <c r="G780" s="48"/>
      <c r="H780" s="49">
        <f>+SUM($F$9:F780)-SUM($G$9:G780)</f>
        <v>9343000</v>
      </c>
    </row>
    <row r="781" spans="1:8" ht="28.8" x14ac:dyDescent="0.55000000000000004">
      <c r="A781" s="43"/>
      <c r="B781" s="43"/>
      <c r="C781" s="44" t="s">
        <v>218</v>
      </c>
      <c r="D781" s="45">
        <v>1</v>
      </c>
      <c r="E781" s="46">
        <v>15000</v>
      </c>
      <c r="F781" s="47">
        <f>+$I$4+(CLIENT[[#This Row],[QUANTITE]]*CLIENT[[#This Row],[PRIX UNITAIRE]])</f>
        <v>15000</v>
      </c>
      <c r="G781" s="48"/>
      <c r="H781" s="49">
        <f>+SUM($F$9:F781)-SUM($G$9:G781)</f>
        <v>9358000</v>
      </c>
    </row>
    <row r="782" spans="1:8" ht="28.8" x14ac:dyDescent="0.55000000000000004">
      <c r="A782" s="43"/>
      <c r="B782" s="43"/>
      <c r="C782" s="44" t="s">
        <v>860</v>
      </c>
      <c r="D782" s="45">
        <v>1</v>
      </c>
      <c r="E782" s="46">
        <v>45000</v>
      </c>
      <c r="F782" s="47">
        <f>+$I$4+(CLIENT[[#This Row],[QUANTITE]]*CLIENT[[#This Row],[PRIX UNITAIRE]])</f>
        <v>45000</v>
      </c>
      <c r="G782" s="48"/>
      <c r="H782" s="49">
        <f>+SUM($F$9:F782)-SUM($G$9:G782)</f>
        <v>9403000</v>
      </c>
    </row>
    <row r="783" spans="1:8" ht="28.8" x14ac:dyDescent="0.55000000000000004">
      <c r="A783" s="43"/>
      <c r="B783" s="43"/>
      <c r="C783" s="44" t="s">
        <v>2145</v>
      </c>
      <c r="D783" s="45">
        <v>2</v>
      </c>
      <c r="E783" s="46">
        <v>20000</v>
      </c>
      <c r="F783" s="47">
        <f>+$I$4+(CLIENT[[#This Row],[QUANTITE]]*CLIENT[[#This Row],[PRIX UNITAIRE]])</f>
        <v>40000</v>
      </c>
      <c r="G783" s="48"/>
      <c r="H783" s="49">
        <f>+SUM($F$9:F783)-SUM($G$9:G783)</f>
        <v>9443000</v>
      </c>
    </row>
    <row r="784" spans="1:8" ht="28.8" x14ac:dyDescent="0.55000000000000004">
      <c r="A784" s="43">
        <v>45029</v>
      </c>
      <c r="B784" s="43" t="s">
        <v>2146</v>
      </c>
      <c r="C784" s="44" t="s">
        <v>2147</v>
      </c>
      <c r="D784" s="45">
        <v>1</v>
      </c>
      <c r="E784" s="46">
        <v>150000</v>
      </c>
      <c r="F784" s="47">
        <f>+$I$4+(CLIENT[[#This Row],[QUANTITE]]*CLIENT[[#This Row],[PRIX UNITAIRE]])</f>
        <v>150000</v>
      </c>
      <c r="G784" s="48"/>
      <c r="H784" s="49">
        <f>+SUM($F$9:F784)-SUM($G$9:G784)</f>
        <v>9593000</v>
      </c>
    </row>
    <row r="785" spans="1:8" ht="28.8" x14ac:dyDescent="0.55000000000000004">
      <c r="A785" s="43">
        <v>45029</v>
      </c>
      <c r="B785" s="43" t="s">
        <v>2116</v>
      </c>
      <c r="C785" s="44" t="s">
        <v>2148</v>
      </c>
      <c r="D785" s="45">
        <v>2</v>
      </c>
      <c r="E785" s="46">
        <v>150000</v>
      </c>
      <c r="F785" s="47">
        <f>+$I$4+(CLIENT[[#This Row],[QUANTITE]]*CLIENT[[#This Row],[PRIX UNITAIRE]])</f>
        <v>300000</v>
      </c>
      <c r="G785" s="48"/>
      <c r="H785" s="49">
        <f>+SUM($F$9:F785)-SUM($G$9:G785)</f>
        <v>9893000</v>
      </c>
    </row>
    <row r="786" spans="1:8" ht="28.8" x14ac:dyDescent="0.55000000000000004">
      <c r="A786" s="43">
        <v>45029</v>
      </c>
      <c r="B786" s="43" t="s">
        <v>2042</v>
      </c>
      <c r="C786" s="44" t="s">
        <v>2149</v>
      </c>
      <c r="D786" s="45">
        <v>1</v>
      </c>
      <c r="E786" s="46">
        <v>150000</v>
      </c>
      <c r="F786" s="47">
        <f>+$I$4+(CLIENT[[#This Row],[QUANTITE]]*CLIENT[[#This Row],[PRIX UNITAIRE]])</f>
        <v>150000</v>
      </c>
      <c r="G786" s="48"/>
      <c r="H786" s="49">
        <f>+SUM($F$9:F786)-SUM($G$9:G786)</f>
        <v>10043000</v>
      </c>
    </row>
    <row r="787" spans="1:8" ht="28.8" x14ac:dyDescent="0.55000000000000004">
      <c r="A787" s="43">
        <v>45030</v>
      </c>
      <c r="B787" s="43" t="s">
        <v>1833</v>
      </c>
      <c r="C787" s="44" t="s">
        <v>2150</v>
      </c>
      <c r="D787" s="45">
        <v>1</v>
      </c>
      <c r="E787" s="46">
        <v>150000</v>
      </c>
      <c r="F787" s="47">
        <f>+$I$4+(CLIENT[[#This Row],[QUANTITE]]*CLIENT[[#This Row],[PRIX UNITAIRE]])</f>
        <v>150000</v>
      </c>
      <c r="G787" s="48"/>
      <c r="H787" s="49">
        <f>+SUM($F$9:F787)-SUM($G$9:G787)</f>
        <v>10193000</v>
      </c>
    </row>
    <row r="788" spans="1:8" ht="28.8" x14ac:dyDescent="0.55000000000000004">
      <c r="A788" s="43">
        <v>45031</v>
      </c>
      <c r="B788" s="43" t="s">
        <v>2151</v>
      </c>
      <c r="C788" s="44" t="s">
        <v>2152</v>
      </c>
      <c r="D788" s="45">
        <v>1</v>
      </c>
      <c r="E788" s="46">
        <v>185000</v>
      </c>
      <c r="F788" s="47">
        <f>+$I$4+(CLIENT[[#This Row],[QUANTITE]]*CLIENT[[#This Row],[PRIX UNITAIRE]])</f>
        <v>185000</v>
      </c>
      <c r="G788" s="48"/>
      <c r="H788" s="49">
        <f>+SUM($F$9:F788)-SUM($G$9:G788)</f>
        <v>10378000</v>
      </c>
    </row>
    <row r="789" spans="1:8" ht="28.8" x14ac:dyDescent="0.55000000000000004">
      <c r="A789" s="43">
        <v>45031</v>
      </c>
      <c r="B789" s="43" t="s">
        <v>1298</v>
      </c>
      <c r="C789" s="44" t="s">
        <v>2153</v>
      </c>
      <c r="D789" s="45">
        <v>2</v>
      </c>
      <c r="E789" s="46">
        <v>75000</v>
      </c>
      <c r="F789" s="47">
        <f>+$I$4+(CLIENT[[#This Row],[QUANTITE]]*CLIENT[[#This Row],[PRIX UNITAIRE]])</f>
        <v>150000</v>
      </c>
      <c r="G789" s="48"/>
      <c r="H789" s="49">
        <f>+SUM($F$9:F789)-SUM($G$9:G789)</f>
        <v>10528000</v>
      </c>
    </row>
    <row r="790" spans="1:8" ht="28.8" x14ac:dyDescent="0.55000000000000004">
      <c r="A790" s="43"/>
      <c r="B790" s="43"/>
      <c r="C790" s="44" t="s">
        <v>2091</v>
      </c>
      <c r="D790" s="45">
        <v>4</v>
      </c>
      <c r="E790" s="46">
        <v>5000</v>
      </c>
      <c r="F790" s="47">
        <f>+$I$4+(CLIENT[[#This Row],[QUANTITE]]*CLIENT[[#This Row],[PRIX UNITAIRE]])</f>
        <v>20000</v>
      </c>
      <c r="G790" s="48"/>
      <c r="H790" s="49">
        <f>+SUM($F$9:F790)-SUM($G$9:G790)</f>
        <v>10548000</v>
      </c>
    </row>
    <row r="791" spans="1:8" ht="28.8" x14ac:dyDescent="0.55000000000000004">
      <c r="A791" s="43">
        <v>45033</v>
      </c>
      <c r="B791" s="43" t="s">
        <v>2116</v>
      </c>
      <c r="C791" s="44" t="s">
        <v>2154</v>
      </c>
      <c r="D791" s="45">
        <v>1</v>
      </c>
      <c r="E791" s="46">
        <v>185000</v>
      </c>
      <c r="F791" s="47">
        <f>+$I$4+(CLIENT[[#This Row],[QUANTITE]]*CLIENT[[#This Row],[PRIX UNITAIRE]])</f>
        <v>185000</v>
      </c>
      <c r="G791" s="48"/>
      <c r="H791" s="49">
        <f>+SUM($F$9:F791)-SUM($G$9:G791)</f>
        <v>10733000</v>
      </c>
    </row>
    <row r="792" spans="1:8" ht="28.8" x14ac:dyDescent="0.55000000000000004">
      <c r="A792" s="43"/>
      <c r="B792" s="43"/>
      <c r="C792" s="44" t="s">
        <v>607</v>
      </c>
      <c r="D792" s="45">
        <v>1</v>
      </c>
      <c r="E792" s="46">
        <v>45000</v>
      </c>
      <c r="F792" s="47">
        <f>+$I$4+(CLIENT[[#This Row],[QUANTITE]]*CLIENT[[#This Row],[PRIX UNITAIRE]])</f>
        <v>45000</v>
      </c>
      <c r="G792" s="48"/>
      <c r="H792" s="49">
        <f>+SUM($F$9:F792)-SUM($G$9:G792)</f>
        <v>10778000</v>
      </c>
    </row>
    <row r="793" spans="1:8" ht="28.8" x14ac:dyDescent="0.55000000000000004">
      <c r="A793" s="43">
        <v>45034</v>
      </c>
      <c r="B793" s="43" t="s">
        <v>1474</v>
      </c>
      <c r="C793" s="44" t="s">
        <v>2036</v>
      </c>
      <c r="D793" s="45">
        <v>2</v>
      </c>
      <c r="E793" s="46">
        <v>125000</v>
      </c>
      <c r="F793" s="47">
        <f>+$I$4+(CLIENT[[#This Row],[QUANTITE]]*CLIENT[[#This Row],[PRIX UNITAIRE]])</f>
        <v>250000</v>
      </c>
      <c r="G793" s="48"/>
      <c r="H793" s="49">
        <f>+SUM($F$9:F793)-SUM($G$9:G793)</f>
        <v>11028000</v>
      </c>
    </row>
    <row r="794" spans="1:8" ht="28.8" x14ac:dyDescent="0.55000000000000004">
      <c r="A794" s="43">
        <v>45035</v>
      </c>
      <c r="B794" s="43" t="s">
        <v>2155</v>
      </c>
      <c r="C794" s="44" t="s">
        <v>2156</v>
      </c>
      <c r="D794" s="45">
        <v>1</v>
      </c>
      <c r="E794" s="46">
        <v>185000</v>
      </c>
      <c r="F794" s="47">
        <f>+$I$4+(CLIENT[[#This Row],[QUANTITE]]*CLIENT[[#This Row],[PRIX UNITAIRE]])</f>
        <v>185000</v>
      </c>
      <c r="G794" s="48"/>
      <c r="H794" s="49">
        <f>+SUM($F$9:F794)-SUM($G$9:G794)</f>
        <v>11213000</v>
      </c>
    </row>
    <row r="795" spans="1:8" ht="28.8" x14ac:dyDescent="0.55000000000000004">
      <c r="A795" s="43">
        <v>45035</v>
      </c>
      <c r="B795" s="43" t="s">
        <v>2151</v>
      </c>
      <c r="C795" s="44" t="s">
        <v>2157</v>
      </c>
      <c r="D795" s="45">
        <v>1</v>
      </c>
      <c r="E795" s="46">
        <v>185000</v>
      </c>
      <c r="F795" s="47">
        <f>+$I$4+(CLIENT[[#This Row],[QUANTITE]]*CLIENT[[#This Row],[PRIX UNITAIRE]])</f>
        <v>185000</v>
      </c>
      <c r="G795" s="48"/>
      <c r="H795" s="49">
        <f>+SUM($F$9:F795)-SUM($G$9:G795)</f>
        <v>11398000</v>
      </c>
    </row>
    <row r="796" spans="1:8" ht="28.8" x14ac:dyDescent="0.55000000000000004">
      <c r="A796" s="43">
        <v>45035</v>
      </c>
      <c r="B796" s="43" t="s">
        <v>2158</v>
      </c>
      <c r="C796" s="44" t="s">
        <v>2159</v>
      </c>
      <c r="D796" s="45">
        <v>1</v>
      </c>
      <c r="E796" s="46">
        <v>185000</v>
      </c>
      <c r="F796" s="47">
        <f>+$I$4+(CLIENT[[#This Row],[QUANTITE]]*CLIENT[[#This Row],[PRIX UNITAIRE]])</f>
        <v>185000</v>
      </c>
      <c r="G796" s="48"/>
      <c r="H796" s="49">
        <f>+SUM($F$9:F796)-SUM($G$9:G796)</f>
        <v>11583000</v>
      </c>
    </row>
    <row r="797" spans="1:8" ht="28.8" x14ac:dyDescent="0.55000000000000004">
      <c r="A797" s="43">
        <v>45039</v>
      </c>
      <c r="B797" s="43" t="s">
        <v>1233</v>
      </c>
      <c r="C797" s="44" t="s">
        <v>2160</v>
      </c>
      <c r="D797" s="45">
        <v>1</v>
      </c>
      <c r="E797" s="46">
        <v>185000</v>
      </c>
      <c r="F797" s="47">
        <f>+$I$4+(CLIENT[[#This Row],[QUANTITE]]*CLIENT[[#This Row],[PRIX UNITAIRE]])</f>
        <v>185000</v>
      </c>
      <c r="G797" s="48"/>
      <c r="H797" s="49">
        <f>+SUM($F$9:F797)-SUM($G$9:G797)</f>
        <v>11768000</v>
      </c>
    </row>
    <row r="798" spans="1:8" ht="28.8" x14ac:dyDescent="0.55000000000000004">
      <c r="A798" s="43">
        <v>45040</v>
      </c>
      <c r="B798" s="43" t="s">
        <v>2116</v>
      </c>
      <c r="C798" s="44" t="s">
        <v>2161</v>
      </c>
      <c r="D798" s="45">
        <v>1</v>
      </c>
      <c r="E798" s="46">
        <v>185000</v>
      </c>
      <c r="F798" s="47">
        <f>+$I$4+(CLIENT[[#This Row],[QUANTITE]]*CLIENT[[#This Row],[PRIX UNITAIRE]])</f>
        <v>185000</v>
      </c>
      <c r="G798" s="48"/>
      <c r="H798" s="49">
        <f>+SUM($F$9:F798)-SUM($G$9:G798)</f>
        <v>11953000</v>
      </c>
    </row>
    <row r="799" spans="1:8" ht="28.8" x14ac:dyDescent="0.55000000000000004">
      <c r="A799" s="43">
        <v>45024</v>
      </c>
      <c r="B799" s="43" t="s">
        <v>2146</v>
      </c>
      <c r="C799" s="44" t="s">
        <v>943</v>
      </c>
      <c r="D799" s="45">
        <v>2</v>
      </c>
      <c r="E799" s="46">
        <v>100000</v>
      </c>
      <c r="F799" s="47">
        <f>+$I$4+(CLIENT[[#This Row],[QUANTITE]]*CLIENT[[#This Row],[PRIX UNITAIRE]])</f>
        <v>200000</v>
      </c>
      <c r="G799" s="48"/>
      <c r="H799" s="49">
        <f>+SUM($F$9:F799)-SUM($G$9:G799)</f>
        <v>12153000</v>
      </c>
    </row>
    <row r="800" spans="1:8" ht="28.8" x14ac:dyDescent="0.55000000000000004">
      <c r="A800" s="43">
        <v>45042</v>
      </c>
      <c r="B800" s="43" t="s">
        <v>2162</v>
      </c>
      <c r="C800" s="44" t="s">
        <v>2163</v>
      </c>
      <c r="D800" s="45">
        <v>1</v>
      </c>
      <c r="E800" s="46">
        <v>150000</v>
      </c>
      <c r="F800" s="47">
        <f>+$I$4+(CLIENT[[#This Row],[QUANTITE]]*CLIENT[[#This Row],[PRIX UNITAIRE]])</f>
        <v>150000</v>
      </c>
      <c r="G800" s="48"/>
      <c r="H800" s="49">
        <f>+SUM($F$9:F800)-SUM($G$9:G800)</f>
        <v>12303000</v>
      </c>
    </row>
    <row r="801" spans="1:8" ht="28.8" x14ac:dyDescent="0.55000000000000004">
      <c r="A801" s="43">
        <v>45042</v>
      </c>
      <c r="B801" s="43" t="s">
        <v>2164</v>
      </c>
      <c r="C801" s="44" t="s">
        <v>2165</v>
      </c>
      <c r="D801" s="45">
        <v>1</v>
      </c>
      <c r="E801" s="46">
        <v>150000</v>
      </c>
      <c r="F801" s="47">
        <f>+$I$4+(CLIENT[[#This Row],[QUANTITE]]*CLIENT[[#This Row],[PRIX UNITAIRE]])</f>
        <v>150000</v>
      </c>
      <c r="G801" s="48"/>
      <c r="H801" s="49">
        <f>+SUM($F$9:F801)-SUM($G$9:G801)</f>
        <v>12453000</v>
      </c>
    </row>
    <row r="802" spans="1:8" ht="28.8" x14ac:dyDescent="0.55000000000000004">
      <c r="A802" s="43">
        <v>45043</v>
      </c>
      <c r="B802" s="43" t="s">
        <v>1826</v>
      </c>
      <c r="C802" s="44" t="s">
        <v>2166</v>
      </c>
      <c r="D802" s="45">
        <v>1</v>
      </c>
      <c r="E802" s="46">
        <v>185000</v>
      </c>
      <c r="F802" s="47">
        <f>+$I$4+(CLIENT[[#This Row],[QUANTITE]]*CLIENT[[#This Row],[PRIX UNITAIRE]])</f>
        <v>185000</v>
      </c>
      <c r="G802" s="48"/>
      <c r="H802" s="49">
        <f>+SUM($F$9:F802)-SUM($G$9:G802)</f>
        <v>12638000</v>
      </c>
    </row>
    <row r="803" spans="1:8" ht="28.8" x14ac:dyDescent="0.55000000000000004">
      <c r="A803" s="43"/>
      <c r="B803" s="43"/>
      <c r="C803" s="44" t="s">
        <v>1844</v>
      </c>
      <c r="D803" s="45">
        <v>1</v>
      </c>
      <c r="E803" s="46">
        <v>15000</v>
      </c>
      <c r="F803" s="47">
        <f>+$I$4+(CLIENT[[#This Row],[QUANTITE]]*CLIENT[[#This Row],[PRIX UNITAIRE]])</f>
        <v>15000</v>
      </c>
      <c r="G803" s="48"/>
      <c r="H803" s="49">
        <f>+SUM($F$9:F803)-SUM($G$9:G803)</f>
        <v>12653000</v>
      </c>
    </row>
    <row r="804" spans="1:8" ht="28.8" x14ac:dyDescent="0.55000000000000004">
      <c r="A804" s="43"/>
      <c r="B804" s="43"/>
      <c r="C804" s="44" t="s">
        <v>860</v>
      </c>
      <c r="D804" s="45">
        <v>1</v>
      </c>
      <c r="E804" s="46">
        <v>45000</v>
      </c>
      <c r="F804" s="47">
        <f>+$I$4+(CLIENT[[#This Row],[QUANTITE]]*CLIENT[[#This Row],[PRIX UNITAIRE]])</f>
        <v>45000</v>
      </c>
      <c r="G804" s="48"/>
      <c r="H804" s="49">
        <f>+SUM($F$9:F804)-SUM($G$9:G804)</f>
        <v>12698000</v>
      </c>
    </row>
    <row r="805" spans="1:8" ht="28.8" x14ac:dyDescent="0.55000000000000004">
      <c r="A805" s="43">
        <v>45043</v>
      </c>
      <c r="B805" s="43" t="s">
        <v>2167</v>
      </c>
      <c r="C805" s="44" t="s">
        <v>2168</v>
      </c>
      <c r="D805" s="45">
        <v>1</v>
      </c>
      <c r="E805" s="46">
        <v>150000</v>
      </c>
      <c r="F805" s="47">
        <f>+$I$4+(CLIENT[[#This Row],[QUANTITE]]*CLIENT[[#This Row],[PRIX UNITAIRE]])</f>
        <v>150000</v>
      </c>
      <c r="G805" s="48"/>
      <c r="H805" s="49">
        <f>+SUM($F$9:F805)-SUM($G$9:G805)</f>
        <v>12848000</v>
      </c>
    </row>
    <row r="806" spans="1:8" ht="28.8" x14ac:dyDescent="0.55000000000000004">
      <c r="A806" s="43">
        <v>45044</v>
      </c>
      <c r="B806" s="43" t="s">
        <v>1826</v>
      </c>
      <c r="C806" s="44" t="s">
        <v>2169</v>
      </c>
      <c r="D806" s="45">
        <v>1</v>
      </c>
      <c r="E806" s="46">
        <v>185000</v>
      </c>
      <c r="F806" s="47">
        <f>+$I$4+(CLIENT[[#This Row],[QUANTITE]]*CLIENT[[#This Row],[PRIX UNITAIRE]])</f>
        <v>185000</v>
      </c>
      <c r="G806" s="48"/>
      <c r="H806" s="49">
        <f>+SUM($F$9:F806)-SUM($G$9:G806)</f>
        <v>13033000</v>
      </c>
    </row>
    <row r="807" spans="1:8" ht="28.8" x14ac:dyDescent="0.55000000000000004">
      <c r="A807" s="43">
        <v>45044</v>
      </c>
      <c r="B807" s="43" t="s">
        <v>1149</v>
      </c>
      <c r="C807" s="44" t="s">
        <v>925</v>
      </c>
      <c r="D807" s="45">
        <v>1</v>
      </c>
      <c r="E807" s="46">
        <v>110000</v>
      </c>
      <c r="F807" s="47">
        <f>+$I$4+(CLIENT[[#This Row],[QUANTITE]]*CLIENT[[#This Row],[PRIX UNITAIRE]])</f>
        <v>110000</v>
      </c>
      <c r="G807" s="48"/>
      <c r="H807" s="49">
        <f>+SUM($F$9:F807)-SUM($G$9:G807)</f>
        <v>13143000</v>
      </c>
    </row>
    <row r="808" spans="1:8" ht="28.8" x14ac:dyDescent="0.55000000000000004">
      <c r="A808" s="43">
        <v>45048</v>
      </c>
      <c r="B808" s="43" t="s">
        <v>1233</v>
      </c>
      <c r="C808" s="44" t="s">
        <v>218</v>
      </c>
      <c r="D808" s="45">
        <v>2</v>
      </c>
      <c r="E808" s="46">
        <v>15000</v>
      </c>
      <c r="F808" s="47">
        <f>+$I$4+(CLIENT[[#This Row],[QUANTITE]]*CLIENT[[#This Row],[PRIX UNITAIRE]])</f>
        <v>30000</v>
      </c>
      <c r="G808" s="48"/>
      <c r="H808" s="49">
        <f>+SUM($F$9:F808)-SUM($G$9:G808)</f>
        <v>13173000</v>
      </c>
    </row>
    <row r="809" spans="1:8" ht="28.8" x14ac:dyDescent="0.55000000000000004">
      <c r="A809" s="43">
        <v>45048</v>
      </c>
      <c r="B809" s="43" t="s">
        <v>1528</v>
      </c>
      <c r="C809" s="44" t="s">
        <v>2170</v>
      </c>
      <c r="D809" s="45">
        <v>1</v>
      </c>
      <c r="E809" s="46">
        <v>185000</v>
      </c>
      <c r="F809" s="47">
        <f>+$I$4+(CLIENT[[#This Row],[QUANTITE]]*CLIENT[[#This Row],[PRIX UNITAIRE]])</f>
        <v>185000</v>
      </c>
      <c r="G809" s="48"/>
      <c r="H809" s="49">
        <f>+SUM($F$9:F809)-SUM($G$9:G809)</f>
        <v>13358000</v>
      </c>
    </row>
    <row r="810" spans="1:8" ht="28.8" x14ac:dyDescent="0.55000000000000004">
      <c r="A810" s="43"/>
      <c r="B810" s="43"/>
      <c r="C810" s="44" t="s">
        <v>860</v>
      </c>
      <c r="D810" s="45">
        <v>1</v>
      </c>
      <c r="E810" s="46">
        <v>45000</v>
      </c>
      <c r="F810" s="47">
        <f>+$I$4+(CLIENT[[#This Row],[QUANTITE]]*CLIENT[[#This Row],[PRIX UNITAIRE]])</f>
        <v>45000</v>
      </c>
      <c r="G810" s="48"/>
      <c r="H810" s="49">
        <f>+SUM($F$9:F810)-SUM($G$9:G810)</f>
        <v>13403000</v>
      </c>
    </row>
    <row r="811" spans="1:8" ht="28.8" x14ac:dyDescent="0.55000000000000004">
      <c r="A811" s="43">
        <v>45049</v>
      </c>
      <c r="B811" s="43" t="s">
        <v>2059</v>
      </c>
      <c r="C811" s="44" t="s">
        <v>2171</v>
      </c>
      <c r="D811" s="45">
        <v>1</v>
      </c>
      <c r="E811" s="46">
        <v>185000</v>
      </c>
      <c r="F811" s="47">
        <f>+$I$4+(CLIENT[[#This Row],[QUANTITE]]*CLIENT[[#This Row],[PRIX UNITAIRE]])</f>
        <v>185000</v>
      </c>
      <c r="G811" s="48"/>
      <c r="H811" s="49">
        <f>+SUM($F$9:F811)-SUM($G$9:G811)</f>
        <v>13588000</v>
      </c>
    </row>
    <row r="812" spans="1:8" ht="28.8" x14ac:dyDescent="0.55000000000000004">
      <c r="A812" s="43">
        <v>45049</v>
      </c>
      <c r="B812" s="43" t="s">
        <v>1424</v>
      </c>
      <c r="C812" s="44" t="s">
        <v>2172</v>
      </c>
      <c r="D812" s="45">
        <v>2</v>
      </c>
      <c r="E812" s="46">
        <v>150000</v>
      </c>
      <c r="F812" s="47">
        <f>+$I$4+(CLIENT[[#This Row],[QUANTITE]]*CLIENT[[#This Row],[PRIX UNITAIRE]])</f>
        <v>300000</v>
      </c>
      <c r="G812" s="48"/>
      <c r="H812" s="49">
        <f>+SUM($F$9:F812)-SUM($G$9:G812)</f>
        <v>13888000</v>
      </c>
    </row>
    <row r="813" spans="1:8" ht="28.8" x14ac:dyDescent="0.55000000000000004">
      <c r="A813" s="43"/>
      <c r="B813" s="43"/>
      <c r="C813" s="44" t="s">
        <v>860</v>
      </c>
      <c r="D813" s="45">
        <v>2</v>
      </c>
      <c r="E813" s="46">
        <v>45000</v>
      </c>
      <c r="F813" s="47">
        <f>+$I$4+(CLIENT[[#This Row],[QUANTITE]]*CLIENT[[#This Row],[PRIX UNITAIRE]])</f>
        <v>90000</v>
      </c>
      <c r="G813" s="48"/>
      <c r="H813" s="49">
        <f>+SUM($F$9:F813)-SUM($G$9:G813)</f>
        <v>13978000</v>
      </c>
    </row>
    <row r="814" spans="1:8" ht="28.8" x14ac:dyDescent="0.55000000000000004">
      <c r="A814" s="43"/>
      <c r="B814" s="43"/>
      <c r="C814" s="44" t="s">
        <v>1844</v>
      </c>
      <c r="D814" s="45">
        <v>1</v>
      </c>
      <c r="E814" s="46">
        <v>15000</v>
      </c>
      <c r="F814" s="47">
        <f>+$I$4+(CLIENT[[#This Row],[QUANTITE]]*CLIENT[[#This Row],[PRIX UNITAIRE]])</f>
        <v>15000</v>
      </c>
      <c r="G814" s="48"/>
      <c r="H814" s="49">
        <f>+SUM($F$9:F814)-SUM($G$9:G814)</f>
        <v>13993000</v>
      </c>
    </row>
    <row r="815" spans="1:8" ht="28.8" x14ac:dyDescent="0.55000000000000004">
      <c r="A815" s="43">
        <v>45049</v>
      </c>
      <c r="B815" s="43" t="s">
        <v>1727</v>
      </c>
      <c r="C815" s="44" t="s">
        <v>2173</v>
      </c>
      <c r="D815" s="45">
        <v>1</v>
      </c>
      <c r="E815" s="46">
        <v>150000</v>
      </c>
      <c r="F815" s="47">
        <f>+$I$4+(CLIENT[[#This Row],[QUANTITE]]*CLIENT[[#This Row],[PRIX UNITAIRE]])</f>
        <v>150000</v>
      </c>
      <c r="G815" s="48"/>
      <c r="H815" s="49">
        <f>+SUM($F$9:F815)-SUM($G$9:G815)</f>
        <v>14143000</v>
      </c>
    </row>
    <row r="816" spans="1:8" ht="28.8" x14ac:dyDescent="0.55000000000000004">
      <c r="A816" s="43">
        <v>45054</v>
      </c>
      <c r="B816" s="43" t="s">
        <v>1826</v>
      </c>
      <c r="C816" s="44" t="s">
        <v>2174</v>
      </c>
      <c r="D816" s="45">
        <v>1</v>
      </c>
      <c r="E816" s="46">
        <v>185000</v>
      </c>
      <c r="F816" s="47">
        <f>+$I$4+(CLIENT[[#This Row],[QUANTITE]]*CLIENT[[#This Row],[PRIX UNITAIRE]])</f>
        <v>185000</v>
      </c>
      <c r="G816" s="48"/>
      <c r="H816" s="49">
        <f>+SUM($F$9:F816)-SUM($G$9:G816)</f>
        <v>14328000</v>
      </c>
    </row>
    <row r="817" spans="1:8" ht="28.8" x14ac:dyDescent="0.55000000000000004">
      <c r="A817" s="43">
        <v>45054</v>
      </c>
      <c r="B817" s="43" t="s">
        <v>1727</v>
      </c>
      <c r="C817" s="44" t="s">
        <v>2175</v>
      </c>
      <c r="D817" s="45">
        <v>1</v>
      </c>
      <c r="E817" s="46">
        <v>185000</v>
      </c>
      <c r="F817" s="47">
        <f>+$I$4+(CLIENT[[#This Row],[QUANTITE]]*CLIENT[[#This Row],[PRIX UNITAIRE]])</f>
        <v>185000</v>
      </c>
      <c r="G817" s="48"/>
      <c r="H817" s="49">
        <f>+SUM($F$9:F817)-SUM($G$9:G817)</f>
        <v>14513000</v>
      </c>
    </row>
    <row r="818" spans="1:8" ht="28.8" x14ac:dyDescent="0.55000000000000004">
      <c r="A818" s="43"/>
      <c r="B818" s="43"/>
      <c r="C818" s="44" t="s">
        <v>860</v>
      </c>
      <c r="D818" s="45">
        <v>1</v>
      </c>
      <c r="E818" s="46">
        <v>45000</v>
      </c>
      <c r="F818" s="47">
        <f>+$I$4+(CLIENT[[#This Row],[QUANTITE]]*CLIENT[[#This Row],[PRIX UNITAIRE]])</f>
        <v>45000</v>
      </c>
      <c r="G818" s="48"/>
      <c r="H818" s="49">
        <f>+SUM($F$9:F818)-SUM($G$9:G818)</f>
        <v>14558000</v>
      </c>
    </row>
    <row r="819" spans="1:8" ht="28.8" x14ac:dyDescent="0.55000000000000004">
      <c r="A819" s="43">
        <v>45054</v>
      </c>
      <c r="B819" s="43" t="s">
        <v>1833</v>
      </c>
      <c r="C819" s="44" t="s">
        <v>2171</v>
      </c>
      <c r="D819" s="45">
        <v>1</v>
      </c>
      <c r="E819" s="46">
        <v>185000</v>
      </c>
      <c r="F819" s="47">
        <f>+$I$4+(CLIENT[[#This Row],[QUANTITE]]*CLIENT[[#This Row],[PRIX UNITAIRE]])</f>
        <v>185000</v>
      </c>
      <c r="G819" s="48"/>
      <c r="H819" s="49">
        <f>+SUM($F$9:F819)-SUM($G$9:G819)</f>
        <v>14743000</v>
      </c>
    </row>
    <row r="820" spans="1:8" ht="28.8" x14ac:dyDescent="0.55000000000000004">
      <c r="A820" s="43">
        <v>45056</v>
      </c>
      <c r="B820" s="43" t="s">
        <v>2176</v>
      </c>
      <c r="C820" s="44" t="s">
        <v>2177</v>
      </c>
      <c r="D820" s="45">
        <v>1</v>
      </c>
      <c r="E820" s="46">
        <v>185000</v>
      </c>
      <c r="F820" s="47">
        <f>+$I$4+(CLIENT[[#This Row],[QUANTITE]]*CLIENT[[#This Row],[PRIX UNITAIRE]])</f>
        <v>185000</v>
      </c>
      <c r="G820" s="48"/>
      <c r="H820" s="49">
        <f>+SUM($F$9:F820)-SUM($G$9:G820)</f>
        <v>14928000</v>
      </c>
    </row>
    <row r="821" spans="1:8" ht="28.8" x14ac:dyDescent="0.55000000000000004">
      <c r="A821" s="43">
        <v>45057</v>
      </c>
      <c r="B821" s="43" t="s">
        <v>1181</v>
      </c>
      <c r="C821" s="44" t="s">
        <v>2081</v>
      </c>
      <c r="D821" s="45">
        <v>2</v>
      </c>
      <c r="E821" s="46">
        <v>125000</v>
      </c>
      <c r="F821" s="47">
        <f>+$I$4+(CLIENT[[#This Row],[QUANTITE]]*CLIENT[[#This Row],[PRIX UNITAIRE]])</f>
        <v>250000</v>
      </c>
      <c r="G821" s="48"/>
      <c r="H821" s="49">
        <f>+SUM($F$9:F821)-SUM($G$9:G821)</f>
        <v>15178000</v>
      </c>
    </row>
    <row r="822" spans="1:8" ht="28.8" x14ac:dyDescent="0.55000000000000004">
      <c r="A822" s="43">
        <v>45057</v>
      </c>
      <c r="B822" s="43"/>
      <c r="C822" s="44" t="s">
        <v>1873</v>
      </c>
      <c r="D822" s="45">
        <v>1</v>
      </c>
      <c r="E822" s="46">
        <v>0</v>
      </c>
      <c r="F822" s="47">
        <f>+$I$4+(CLIENT[[#This Row],[QUANTITE]]*CLIENT[[#This Row],[PRIX UNITAIRE]])</f>
        <v>0</v>
      </c>
      <c r="G822" s="48">
        <v>140000</v>
      </c>
      <c r="H822" s="49">
        <f>+SUM($F$9:F822)-SUM($G$9:G822)</f>
        <v>15038000</v>
      </c>
    </row>
    <row r="823" spans="1:8" ht="28.8" x14ac:dyDescent="0.55000000000000004">
      <c r="A823" s="43">
        <v>45057</v>
      </c>
      <c r="B823" s="43" t="s">
        <v>2178</v>
      </c>
      <c r="C823" s="44" t="s">
        <v>2179</v>
      </c>
      <c r="D823" s="45">
        <v>1</v>
      </c>
      <c r="E823" s="46">
        <v>185000</v>
      </c>
      <c r="F823" s="47">
        <f>+$I$4+(CLIENT[[#This Row],[QUANTITE]]*CLIENT[[#This Row],[PRIX UNITAIRE]])</f>
        <v>185000</v>
      </c>
      <c r="G823" s="48"/>
      <c r="H823" s="49">
        <f>+SUM($F$9:F823)-SUM($G$9:G823)</f>
        <v>15223000</v>
      </c>
    </row>
    <row r="824" spans="1:8" ht="28.8" x14ac:dyDescent="0.55000000000000004">
      <c r="A824" s="43">
        <v>45059</v>
      </c>
      <c r="B824" s="43" t="s">
        <v>2046</v>
      </c>
      <c r="C824" s="44" t="s">
        <v>2180</v>
      </c>
      <c r="D824" s="45">
        <v>1</v>
      </c>
      <c r="E824" s="46">
        <v>185000</v>
      </c>
      <c r="F824" s="47">
        <f>+$I$4+(CLIENT[[#This Row],[QUANTITE]]*CLIENT[[#This Row],[PRIX UNITAIRE]])</f>
        <v>185000</v>
      </c>
      <c r="G824" s="48"/>
      <c r="H824" s="49">
        <f>+SUM($F$9:F824)-SUM($G$9:G824)</f>
        <v>15408000</v>
      </c>
    </row>
    <row r="825" spans="1:8" ht="28.8" x14ac:dyDescent="0.55000000000000004">
      <c r="A825" s="43">
        <v>45068</v>
      </c>
      <c r="B825" s="43"/>
      <c r="C825" s="44" t="s">
        <v>2181</v>
      </c>
      <c r="D825" s="45">
        <v>1</v>
      </c>
      <c r="E825" s="46">
        <v>0</v>
      </c>
      <c r="F825" s="47">
        <f>+$I$4+(CLIENT[[#This Row],[QUANTITE]]*CLIENT[[#This Row],[PRIX UNITAIRE]])</f>
        <v>0</v>
      </c>
      <c r="G825" s="48">
        <v>3000000</v>
      </c>
      <c r="H825" s="49">
        <f>+SUM($F$9:F825)-SUM($G$9:G825)</f>
        <v>12408000</v>
      </c>
    </row>
    <row r="826" spans="1:8" ht="28.8" x14ac:dyDescent="0.55000000000000004">
      <c r="A826" s="43">
        <v>45071</v>
      </c>
      <c r="B826" s="43" t="s">
        <v>1137</v>
      </c>
      <c r="C826" s="44" t="s">
        <v>2182</v>
      </c>
      <c r="D826" s="45">
        <v>2</v>
      </c>
      <c r="E826" s="46">
        <v>150000</v>
      </c>
      <c r="F826" s="47">
        <f>+$I$4+(CLIENT[[#This Row],[QUANTITE]]*CLIENT[[#This Row],[PRIX UNITAIRE]])</f>
        <v>300000</v>
      </c>
      <c r="G826" s="48"/>
      <c r="H826" s="49">
        <f>+SUM($F$9:F826)-SUM($G$9:G826)</f>
        <v>12708000</v>
      </c>
    </row>
    <row r="827" spans="1:8" ht="28.8" x14ac:dyDescent="0.55000000000000004">
      <c r="A827" s="43"/>
      <c r="B827" s="43"/>
      <c r="C827" s="44" t="s">
        <v>860</v>
      </c>
      <c r="D827" s="45">
        <v>1</v>
      </c>
      <c r="E827" s="46">
        <v>45000</v>
      </c>
      <c r="F827" s="47">
        <f>+$I$4+(CLIENT[[#This Row],[QUANTITE]]*CLIENT[[#This Row],[PRIX UNITAIRE]])</f>
        <v>45000</v>
      </c>
      <c r="G827" s="48"/>
      <c r="H827" s="49">
        <f>+SUM($F$9:F827)-SUM($G$9:G827)</f>
        <v>12753000</v>
      </c>
    </row>
    <row r="828" spans="1:8" ht="28.8" x14ac:dyDescent="0.55000000000000004">
      <c r="A828" s="43">
        <v>45076</v>
      </c>
      <c r="B828" s="43" t="s">
        <v>1848</v>
      </c>
      <c r="C828" s="44" t="s">
        <v>2183</v>
      </c>
      <c r="D828" s="45">
        <v>1</v>
      </c>
      <c r="E828" s="46">
        <v>185000</v>
      </c>
      <c r="F828" s="47">
        <f>+$I$4+(CLIENT[[#This Row],[QUANTITE]]*CLIENT[[#This Row],[PRIX UNITAIRE]])</f>
        <v>185000</v>
      </c>
      <c r="G828" s="48"/>
      <c r="H828" s="49">
        <f>+SUM($F$9:F828)-SUM($G$9:G828)</f>
        <v>12938000</v>
      </c>
    </row>
    <row r="829" spans="1:8" ht="28.8" x14ac:dyDescent="0.55000000000000004">
      <c r="A829" s="43"/>
      <c r="B829" s="43"/>
      <c r="C829" s="44" t="s">
        <v>2184</v>
      </c>
      <c r="D829" s="45">
        <v>1</v>
      </c>
      <c r="E829" s="46">
        <v>150000</v>
      </c>
      <c r="F829" s="47">
        <f>+$I$4+(CLIENT[[#This Row],[QUANTITE]]*CLIENT[[#This Row],[PRIX UNITAIRE]])</f>
        <v>150000</v>
      </c>
      <c r="G829" s="48"/>
      <c r="H829" s="49">
        <f>+SUM($F$9:F829)-SUM($G$9:G829)</f>
        <v>13088000</v>
      </c>
    </row>
    <row r="830" spans="1:8" ht="28.8" x14ac:dyDescent="0.55000000000000004">
      <c r="A830" s="43">
        <v>45078</v>
      </c>
      <c r="B830" s="43" t="s">
        <v>1137</v>
      </c>
      <c r="C830" s="44" t="s">
        <v>10</v>
      </c>
      <c r="D830" s="45">
        <v>2</v>
      </c>
      <c r="E830" s="46">
        <v>100000</v>
      </c>
      <c r="F830" s="47">
        <f>+$I$4+(CLIENT[[#This Row],[QUANTITE]]*CLIENT[[#This Row],[PRIX UNITAIRE]])</f>
        <v>200000</v>
      </c>
      <c r="G830" s="48"/>
      <c r="H830" s="49">
        <f>+SUM($F$9:F830)-SUM($G$9:G830)</f>
        <v>13288000</v>
      </c>
    </row>
    <row r="831" spans="1:8" ht="28.8" x14ac:dyDescent="0.55000000000000004">
      <c r="A831" s="43">
        <v>45078</v>
      </c>
      <c r="B831" s="43" t="s">
        <v>2185</v>
      </c>
      <c r="C831" s="44" t="s">
        <v>2186</v>
      </c>
      <c r="D831" s="45">
        <v>1</v>
      </c>
      <c r="E831" s="46">
        <v>185000</v>
      </c>
      <c r="F831" s="47">
        <f>+$I$4+(CLIENT[[#This Row],[QUANTITE]]*CLIENT[[#This Row],[PRIX UNITAIRE]])</f>
        <v>185000</v>
      </c>
      <c r="G831" s="48"/>
      <c r="H831" s="49">
        <f>+SUM($F$9:F831)-SUM($G$9:G831)</f>
        <v>13473000</v>
      </c>
    </row>
    <row r="832" spans="1:8" ht="28.8" x14ac:dyDescent="0.55000000000000004">
      <c r="A832" s="43"/>
      <c r="B832" s="43"/>
      <c r="C832" s="44" t="s">
        <v>860</v>
      </c>
      <c r="D832" s="45">
        <v>1</v>
      </c>
      <c r="E832" s="46">
        <v>45000</v>
      </c>
      <c r="F832" s="47">
        <f>+$I$4+(CLIENT[[#This Row],[QUANTITE]]*CLIENT[[#This Row],[PRIX UNITAIRE]])</f>
        <v>45000</v>
      </c>
      <c r="G832" s="48"/>
      <c r="H832" s="49">
        <f>+SUM($F$9:F832)-SUM($G$9:G832)</f>
        <v>13518000</v>
      </c>
    </row>
    <row r="833" spans="1:8" ht="28.8" x14ac:dyDescent="0.55000000000000004">
      <c r="A833" s="43">
        <v>45080</v>
      </c>
      <c r="B833" s="43" t="s">
        <v>1382</v>
      </c>
      <c r="C833" s="44" t="s">
        <v>10</v>
      </c>
      <c r="D833" s="45">
        <v>2</v>
      </c>
      <c r="E833" s="46">
        <v>100000</v>
      </c>
      <c r="F833" s="47">
        <f>+$I$4+(CLIENT[[#This Row],[QUANTITE]]*CLIENT[[#This Row],[PRIX UNITAIRE]])</f>
        <v>200000</v>
      </c>
      <c r="G833" s="48"/>
      <c r="H833" s="49">
        <f>+SUM($F$9:F833)-SUM($G$9:G833)</f>
        <v>13718000</v>
      </c>
    </row>
    <row r="834" spans="1:8" ht="28.8" x14ac:dyDescent="0.55000000000000004">
      <c r="A834" s="43">
        <v>45080</v>
      </c>
      <c r="B834" s="43" t="s">
        <v>1528</v>
      </c>
      <c r="C834" s="44" t="s">
        <v>2187</v>
      </c>
      <c r="D834" s="45">
        <v>1</v>
      </c>
      <c r="E834" s="46">
        <v>185000</v>
      </c>
      <c r="F834" s="47">
        <f>+$I$4+(CLIENT[[#This Row],[QUANTITE]]*CLIENT[[#This Row],[PRIX UNITAIRE]])</f>
        <v>185000</v>
      </c>
      <c r="G834" s="48"/>
      <c r="H834" s="49">
        <f>+SUM($F$9:F834)-SUM($G$9:G834)</f>
        <v>13903000</v>
      </c>
    </row>
    <row r="835" spans="1:8" ht="28.8" x14ac:dyDescent="0.55000000000000004">
      <c r="A835" s="43">
        <v>45080</v>
      </c>
      <c r="B835" s="43" t="s">
        <v>1699</v>
      </c>
      <c r="C835" s="44" t="s">
        <v>2188</v>
      </c>
      <c r="D835" s="45">
        <v>1</v>
      </c>
      <c r="E835" s="46">
        <v>185000</v>
      </c>
      <c r="F835" s="47">
        <f>+$I$4+(CLIENT[[#This Row],[QUANTITE]]*CLIENT[[#This Row],[PRIX UNITAIRE]])</f>
        <v>185000</v>
      </c>
      <c r="G835" s="48"/>
      <c r="H835" s="49">
        <f>+SUM($F$9:F835)-SUM($G$9:G835)</f>
        <v>14088000</v>
      </c>
    </row>
    <row r="836" spans="1:8" ht="28.8" x14ac:dyDescent="0.55000000000000004">
      <c r="A836" s="43">
        <v>45082</v>
      </c>
      <c r="B836" s="43" t="s">
        <v>1848</v>
      </c>
      <c r="C836" s="44" t="s">
        <v>2189</v>
      </c>
      <c r="D836" s="45">
        <v>1</v>
      </c>
      <c r="E836" s="46">
        <v>185000</v>
      </c>
      <c r="F836" s="47">
        <f>+$I$4+(CLIENT[[#This Row],[QUANTITE]]*CLIENT[[#This Row],[PRIX UNITAIRE]])</f>
        <v>185000</v>
      </c>
      <c r="G836" s="48"/>
      <c r="H836" s="49">
        <f>+SUM($F$9:F836)-SUM($G$9:G836)</f>
        <v>14273000</v>
      </c>
    </row>
    <row r="837" spans="1:8" ht="28.8" x14ac:dyDescent="0.55000000000000004">
      <c r="A837" s="43">
        <v>45082</v>
      </c>
      <c r="B837" s="43" t="s">
        <v>2190</v>
      </c>
      <c r="C837" s="44" t="s">
        <v>2191</v>
      </c>
      <c r="D837" s="45">
        <v>1</v>
      </c>
      <c r="E837" s="46">
        <v>185000</v>
      </c>
      <c r="F837" s="47">
        <f>+$I$4+(CLIENT[[#This Row],[QUANTITE]]*CLIENT[[#This Row],[PRIX UNITAIRE]])</f>
        <v>185000</v>
      </c>
      <c r="G837" s="48"/>
      <c r="H837" s="49">
        <f>+SUM($F$9:F837)-SUM($G$9:G837)</f>
        <v>14458000</v>
      </c>
    </row>
    <row r="838" spans="1:8" ht="28.8" x14ac:dyDescent="0.55000000000000004">
      <c r="A838" s="43">
        <v>45080</v>
      </c>
      <c r="B838" s="43" t="s">
        <v>1149</v>
      </c>
      <c r="C838" s="44" t="s">
        <v>860</v>
      </c>
      <c r="D838" s="45">
        <v>1</v>
      </c>
      <c r="E838" s="46">
        <v>45000</v>
      </c>
      <c r="F838" s="47">
        <f>+$I$4+(CLIENT[[#This Row],[QUANTITE]]*CLIENT[[#This Row],[PRIX UNITAIRE]])</f>
        <v>45000</v>
      </c>
      <c r="G838" s="48"/>
      <c r="H838" s="49">
        <f>+SUM($F$9:F838)-SUM($G$9:G838)</f>
        <v>14503000</v>
      </c>
    </row>
    <row r="839" spans="1:8" ht="28.8" x14ac:dyDescent="0.55000000000000004">
      <c r="A839" s="43">
        <v>45084</v>
      </c>
      <c r="B839" s="43" t="s">
        <v>1232</v>
      </c>
      <c r="C839" s="44" t="s">
        <v>83</v>
      </c>
      <c r="D839" s="45">
        <v>2</v>
      </c>
      <c r="E839" s="46">
        <v>15000</v>
      </c>
      <c r="F839" s="47">
        <f>+$I$4+(CLIENT[[#This Row],[QUANTITE]]*CLIENT[[#This Row],[PRIX UNITAIRE]])</f>
        <v>30000</v>
      </c>
      <c r="G839" s="48"/>
      <c r="H839" s="49">
        <f>+SUM($F$9:F839)-SUM($G$9:G839)</f>
        <v>14533000</v>
      </c>
    </row>
    <row r="840" spans="1:8" ht="28.8" x14ac:dyDescent="0.55000000000000004">
      <c r="A840" s="43">
        <v>45087</v>
      </c>
      <c r="B840" s="43" t="s">
        <v>2140</v>
      </c>
      <c r="C840" s="44" t="s">
        <v>2192</v>
      </c>
      <c r="D840" s="45">
        <v>1</v>
      </c>
      <c r="E840" s="46">
        <v>185000</v>
      </c>
      <c r="F840" s="47">
        <f>+$I$4+(CLIENT[[#This Row],[QUANTITE]]*CLIENT[[#This Row],[PRIX UNITAIRE]])</f>
        <v>185000</v>
      </c>
      <c r="G840" s="48"/>
      <c r="H840" s="49">
        <f>+SUM($F$9:F840)-SUM($G$9:G840)</f>
        <v>14718000</v>
      </c>
    </row>
    <row r="841" spans="1:8" ht="28.8" x14ac:dyDescent="0.55000000000000004">
      <c r="A841" s="43"/>
      <c r="B841" s="43"/>
      <c r="C841" s="44" t="s">
        <v>1889</v>
      </c>
      <c r="D841" s="45">
        <v>2</v>
      </c>
      <c r="E841" s="46">
        <v>15000</v>
      </c>
      <c r="F841" s="47">
        <f>+$I$4+(CLIENT[[#This Row],[QUANTITE]]*CLIENT[[#This Row],[PRIX UNITAIRE]])</f>
        <v>30000</v>
      </c>
      <c r="G841" s="48"/>
      <c r="H841" s="49">
        <f>+SUM($F$9:F841)-SUM($G$9:G841)</f>
        <v>14748000</v>
      </c>
    </row>
    <row r="842" spans="1:8" ht="28.8" x14ac:dyDescent="0.55000000000000004">
      <c r="A842" s="43">
        <v>45091</v>
      </c>
      <c r="B842" s="43" t="s">
        <v>1461</v>
      </c>
      <c r="C842" s="44" t="s">
        <v>83</v>
      </c>
      <c r="D842" s="45">
        <v>2</v>
      </c>
      <c r="E842" s="46">
        <v>15000</v>
      </c>
      <c r="F842" s="47">
        <f>+$I$4+(CLIENT[[#This Row],[QUANTITE]]*CLIENT[[#This Row],[PRIX UNITAIRE]])</f>
        <v>30000</v>
      </c>
      <c r="G842" s="48"/>
      <c r="H842" s="49">
        <f>+SUM($F$9:F842)-SUM($G$9:G842)</f>
        <v>14778000</v>
      </c>
    </row>
    <row r="843" spans="1:8" ht="28.8" x14ac:dyDescent="0.55000000000000004">
      <c r="A843" s="43">
        <v>45091</v>
      </c>
      <c r="B843" s="43" t="s">
        <v>2193</v>
      </c>
      <c r="C843" s="44" t="s">
        <v>2194</v>
      </c>
      <c r="D843" s="45">
        <v>1</v>
      </c>
      <c r="E843" s="46">
        <v>0</v>
      </c>
      <c r="F843" s="47">
        <f>+$I$4+(CLIENT[[#This Row],[QUANTITE]]*CLIENT[[#This Row],[PRIX UNITAIRE]])</f>
        <v>0</v>
      </c>
      <c r="G843" s="48">
        <v>7000000</v>
      </c>
      <c r="H843" s="49">
        <f>+SUM($F$9:F843)-SUM($G$9:G843)</f>
        <v>7778000</v>
      </c>
    </row>
    <row r="844" spans="1:8" ht="28.8" x14ac:dyDescent="0.55000000000000004">
      <c r="A844" s="43">
        <v>45092</v>
      </c>
      <c r="B844" s="43" t="s">
        <v>1232</v>
      </c>
      <c r="C844" s="44" t="s">
        <v>2195</v>
      </c>
      <c r="D844" s="45">
        <v>1</v>
      </c>
      <c r="E844" s="46">
        <v>150000</v>
      </c>
      <c r="F844" s="47">
        <f>+$I$4+(CLIENT[[#This Row],[QUANTITE]]*CLIENT[[#This Row],[PRIX UNITAIRE]])</f>
        <v>150000</v>
      </c>
      <c r="G844" s="48"/>
      <c r="H844" s="49">
        <f>+SUM($F$9:F844)-SUM($G$9:G844)</f>
        <v>7928000</v>
      </c>
    </row>
    <row r="845" spans="1:8" ht="28.8" x14ac:dyDescent="0.55000000000000004">
      <c r="A845" s="43">
        <v>45093</v>
      </c>
      <c r="B845" s="43" t="s">
        <v>2196</v>
      </c>
      <c r="C845" s="44" t="s">
        <v>2197</v>
      </c>
      <c r="D845" s="45">
        <v>1</v>
      </c>
      <c r="E845" s="46">
        <v>185000</v>
      </c>
      <c r="F845" s="47">
        <f>+$I$4+(CLIENT[[#This Row],[QUANTITE]]*CLIENT[[#This Row],[PRIX UNITAIRE]])</f>
        <v>185000</v>
      </c>
      <c r="G845" s="48"/>
      <c r="H845" s="49">
        <f>+SUM($F$9:F845)-SUM($G$9:G845)</f>
        <v>8113000</v>
      </c>
    </row>
    <row r="846" spans="1:8" ht="28.8" x14ac:dyDescent="0.55000000000000004">
      <c r="A846" s="43"/>
      <c r="B846" s="43"/>
      <c r="C846" s="44" t="s">
        <v>2198</v>
      </c>
      <c r="D846" s="45">
        <v>1</v>
      </c>
      <c r="E846" s="46">
        <v>45000</v>
      </c>
      <c r="F846" s="47">
        <f>+$I$4+(CLIENT[[#This Row],[QUANTITE]]*CLIENT[[#This Row],[PRIX UNITAIRE]])</f>
        <v>45000</v>
      </c>
      <c r="G846" s="48"/>
      <c r="H846" s="49">
        <f>+SUM($F$9:F846)-SUM($G$9:G846)</f>
        <v>8158000</v>
      </c>
    </row>
    <row r="847" spans="1:8" ht="28.8" x14ac:dyDescent="0.55000000000000004">
      <c r="A847" s="43">
        <v>45093</v>
      </c>
      <c r="B847" s="43" t="s">
        <v>2199</v>
      </c>
      <c r="C847" s="44" t="s">
        <v>2200</v>
      </c>
      <c r="D847" s="45">
        <v>1</v>
      </c>
      <c r="E847" s="46">
        <v>185000</v>
      </c>
      <c r="F847" s="47">
        <f>+$I$4+(CLIENT[[#This Row],[QUANTITE]]*CLIENT[[#This Row],[PRIX UNITAIRE]])</f>
        <v>185000</v>
      </c>
      <c r="G847" s="48"/>
      <c r="H847" s="49">
        <f>+SUM($F$9:F847)-SUM($G$9:G847)</f>
        <v>8343000</v>
      </c>
    </row>
    <row r="848" spans="1:8" ht="28.8" x14ac:dyDescent="0.55000000000000004">
      <c r="A848" s="43">
        <v>45094</v>
      </c>
      <c r="B848" s="43" t="s">
        <v>1459</v>
      </c>
      <c r="C848" s="44" t="s">
        <v>2201</v>
      </c>
      <c r="D848" s="45">
        <v>1</v>
      </c>
      <c r="E848" s="46">
        <v>150000</v>
      </c>
      <c r="F848" s="47">
        <f>+$I$4+(CLIENT[[#This Row],[QUANTITE]]*CLIENT[[#This Row],[PRIX UNITAIRE]])</f>
        <v>150000</v>
      </c>
      <c r="G848" s="48"/>
      <c r="H848" s="49">
        <f>+SUM($F$9:F848)-SUM($G$9:G848)</f>
        <v>8493000</v>
      </c>
    </row>
    <row r="849" spans="1:8" ht="28.8" x14ac:dyDescent="0.55000000000000004">
      <c r="A849" s="43">
        <v>45096</v>
      </c>
      <c r="B849" s="43" t="s">
        <v>2202</v>
      </c>
      <c r="C849" s="44" t="s">
        <v>2203</v>
      </c>
      <c r="D849" s="45">
        <v>1</v>
      </c>
      <c r="E849" s="46">
        <v>150000</v>
      </c>
      <c r="F849" s="47">
        <f>+$I$4+(CLIENT[[#This Row],[QUANTITE]]*CLIENT[[#This Row],[PRIX UNITAIRE]])</f>
        <v>150000</v>
      </c>
      <c r="G849" s="48"/>
      <c r="H849" s="49">
        <f>+SUM($F$9:F849)-SUM($G$9:G849)</f>
        <v>8643000</v>
      </c>
    </row>
    <row r="850" spans="1:8" ht="28.8" x14ac:dyDescent="0.55000000000000004">
      <c r="A850" s="43">
        <v>45096</v>
      </c>
      <c r="B850" s="43" t="s">
        <v>2204</v>
      </c>
      <c r="C850" s="44" t="s">
        <v>10</v>
      </c>
      <c r="D850" s="45">
        <v>2</v>
      </c>
      <c r="E850" s="46">
        <v>100000</v>
      </c>
      <c r="F850" s="47">
        <f>+$I$4+(CLIENT[[#This Row],[QUANTITE]]*CLIENT[[#This Row],[PRIX UNITAIRE]])</f>
        <v>200000</v>
      </c>
      <c r="G850" s="48"/>
      <c r="H850" s="49">
        <f>+SUM($F$9:F850)-SUM($G$9:G850)</f>
        <v>8843000</v>
      </c>
    </row>
    <row r="851" spans="1:8" ht="28.8" x14ac:dyDescent="0.55000000000000004">
      <c r="A851" s="43"/>
      <c r="B851" s="43"/>
      <c r="C851" s="44" t="s">
        <v>2205</v>
      </c>
      <c r="D851" s="45">
        <v>1</v>
      </c>
      <c r="E851" s="46">
        <v>10000</v>
      </c>
      <c r="F851" s="47">
        <f>+$I$4+(CLIENT[[#This Row],[QUANTITE]]*CLIENT[[#This Row],[PRIX UNITAIRE]])</f>
        <v>10000</v>
      </c>
      <c r="G851" s="48"/>
      <c r="H851" s="49">
        <f>+SUM($F$9:F851)-SUM($G$9:G851)</f>
        <v>8853000</v>
      </c>
    </row>
    <row r="852" spans="1:8" ht="28.8" x14ac:dyDescent="0.55000000000000004">
      <c r="A852" s="43">
        <v>45112</v>
      </c>
      <c r="B852" s="43" t="s">
        <v>2206</v>
      </c>
      <c r="C852" s="44" t="s">
        <v>2207</v>
      </c>
      <c r="D852" s="45">
        <v>1</v>
      </c>
      <c r="E852" s="46">
        <v>150000</v>
      </c>
      <c r="F852" s="47">
        <f>+$I$4+(CLIENT[[#This Row],[QUANTITE]]*CLIENT[[#This Row],[PRIX UNITAIRE]])</f>
        <v>150000</v>
      </c>
      <c r="G852" s="48"/>
      <c r="H852" s="49">
        <f>+SUM($F$9:F852)-SUM($G$9:G852)</f>
        <v>9003000</v>
      </c>
    </row>
    <row r="853" spans="1:8" ht="28.8" x14ac:dyDescent="0.55000000000000004">
      <c r="A853" s="43"/>
      <c r="B853" s="43"/>
      <c r="C853" s="44" t="s">
        <v>2208</v>
      </c>
      <c r="D853" s="45">
        <v>1</v>
      </c>
      <c r="E853" s="46">
        <v>185000</v>
      </c>
      <c r="F853" s="47">
        <f>+$I$4+(CLIENT[[#This Row],[QUANTITE]]*CLIENT[[#This Row],[PRIX UNITAIRE]])</f>
        <v>185000</v>
      </c>
      <c r="G853" s="48"/>
      <c r="H853" s="49">
        <f>+SUM($F$9:F853)-SUM($G$9:G853)</f>
        <v>9188000</v>
      </c>
    </row>
    <row r="854" spans="1:8" ht="28.8" x14ac:dyDescent="0.55000000000000004">
      <c r="A854" s="43">
        <v>45115</v>
      </c>
      <c r="B854" s="43" t="s">
        <v>1302</v>
      </c>
      <c r="C854" s="44" t="s">
        <v>2209</v>
      </c>
      <c r="D854" s="45">
        <v>2</v>
      </c>
      <c r="E854" s="46">
        <v>150000</v>
      </c>
      <c r="F854" s="47">
        <f>+$I$4+(CLIENT[[#This Row],[QUANTITE]]*CLIENT[[#This Row],[PRIX UNITAIRE]])</f>
        <v>300000</v>
      </c>
      <c r="G854" s="48"/>
      <c r="H854" s="49">
        <f>+SUM($F$9:F854)-SUM($G$9:G854)</f>
        <v>9488000</v>
      </c>
    </row>
    <row r="855" spans="1:8" ht="28.8" x14ac:dyDescent="0.55000000000000004">
      <c r="A855" s="43">
        <v>45119</v>
      </c>
      <c r="B855" s="43" t="s">
        <v>2210</v>
      </c>
      <c r="C855" s="44" t="s">
        <v>2211</v>
      </c>
      <c r="D855" s="45">
        <v>1</v>
      </c>
      <c r="E855" s="46">
        <v>185000</v>
      </c>
      <c r="F855" s="47">
        <f>+$I$4+(CLIENT[[#This Row],[QUANTITE]]*CLIENT[[#This Row],[PRIX UNITAIRE]])</f>
        <v>185000</v>
      </c>
      <c r="G855" s="48"/>
      <c r="H855" s="49">
        <f>+SUM($F$9:F855)-SUM($G$9:G855)</f>
        <v>9673000</v>
      </c>
    </row>
    <row r="856" spans="1:8" ht="28.8" x14ac:dyDescent="0.55000000000000004">
      <c r="A856" s="43">
        <v>45119</v>
      </c>
      <c r="B856" s="43" t="s">
        <v>2212</v>
      </c>
      <c r="C856" s="44" t="s">
        <v>2213</v>
      </c>
      <c r="D856" s="45">
        <v>2</v>
      </c>
      <c r="E856" s="46">
        <v>185000</v>
      </c>
      <c r="F856" s="47">
        <f>+$I$4+(CLIENT[[#This Row],[QUANTITE]]*CLIENT[[#This Row],[PRIX UNITAIRE]])</f>
        <v>370000</v>
      </c>
      <c r="G856" s="48"/>
      <c r="H856" s="49">
        <f>+SUM($F$9:F856)-SUM($G$9:G856)</f>
        <v>10043000</v>
      </c>
    </row>
    <row r="857" spans="1:8" ht="28.8" x14ac:dyDescent="0.55000000000000004">
      <c r="A857" s="43"/>
      <c r="B857" s="43"/>
      <c r="C857" s="44" t="s">
        <v>2214</v>
      </c>
      <c r="D857" s="45">
        <v>2</v>
      </c>
      <c r="E857" s="46">
        <v>150000</v>
      </c>
      <c r="F857" s="47">
        <f>+$I$4+(CLIENT[[#This Row],[QUANTITE]]*CLIENT[[#This Row],[PRIX UNITAIRE]])</f>
        <v>300000</v>
      </c>
      <c r="G857" s="48"/>
      <c r="H857" s="49">
        <f>+SUM($F$9:F857)-SUM($G$9:G857)</f>
        <v>10343000</v>
      </c>
    </row>
    <row r="858" spans="1:8" ht="28.8" x14ac:dyDescent="0.55000000000000004">
      <c r="A858" s="43">
        <v>45121</v>
      </c>
      <c r="B858" s="43" t="s">
        <v>2215</v>
      </c>
      <c r="C858" s="44" t="s">
        <v>2216</v>
      </c>
      <c r="D858" s="45">
        <v>1</v>
      </c>
      <c r="E858" s="46">
        <v>185000</v>
      </c>
      <c r="F858" s="47">
        <f>+$I$4+(CLIENT[[#This Row],[QUANTITE]]*CLIENT[[#This Row],[PRIX UNITAIRE]])</f>
        <v>185000</v>
      </c>
      <c r="G858" s="48"/>
      <c r="H858" s="49">
        <f>+SUM($F$9:F858)-SUM($G$9:G858)</f>
        <v>10528000</v>
      </c>
    </row>
    <row r="859" spans="1:8" ht="28.8" x14ac:dyDescent="0.55000000000000004">
      <c r="A859" s="43">
        <v>45121</v>
      </c>
      <c r="B859" s="43" t="s">
        <v>2217</v>
      </c>
      <c r="C859" s="44" t="s">
        <v>2218</v>
      </c>
      <c r="D859" s="45">
        <v>1</v>
      </c>
      <c r="E859" s="46">
        <v>185000</v>
      </c>
      <c r="F859" s="47">
        <f>+$I$4+(CLIENT[[#This Row],[QUANTITE]]*CLIENT[[#This Row],[PRIX UNITAIRE]])</f>
        <v>185000</v>
      </c>
      <c r="G859" s="48"/>
      <c r="H859" s="49">
        <f>+SUM($F$9:F859)-SUM($G$9:G859)</f>
        <v>10713000</v>
      </c>
    </row>
    <row r="860" spans="1:8" ht="28.8" x14ac:dyDescent="0.55000000000000004">
      <c r="A860" s="43">
        <v>45121</v>
      </c>
      <c r="B860" s="43" t="s">
        <v>2010</v>
      </c>
      <c r="C860" s="44" t="s">
        <v>2219</v>
      </c>
      <c r="D860" s="45">
        <v>1</v>
      </c>
      <c r="E860" s="46">
        <v>185000</v>
      </c>
      <c r="F860" s="47">
        <f>+$I$4+(CLIENT[[#This Row],[QUANTITE]]*CLIENT[[#This Row],[PRIX UNITAIRE]])</f>
        <v>185000</v>
      </c>
      <c r="G860" s="48"/>
      <c r="H860" s="49">
        <f>+SUM($F$9:F860)-SUM($G$9:G860)</f>
        <v>10898000</v>
      </c>
    </row>
    <row r="861" spans="1:8" ht="28.8" x14ac:dyDescent="0.55000000000000004">
      <c r="A861" s="43">
        <v>45121</v>
      </c>
      <c r="B861" s="43" t="s">
        <v>1232</v>
      </c>
      <c r="C861" s="44" t="s">
        <v>2220</v>
      </c>
      <c r="D861" s="45">
        <v>1</v>
      </c>
      <c r="E861" s="46">
        <v>185000</v>
      </c>
      <c r="F861" s="47">
        <f>+$I$4+(CLIENT[[#This Row],[QUANTITE]]*CLIENT[[#This Row],[PRIX UNITAIRE]])</f>
        <v>185000</v>
      </c>
      <c r="G861" s="48"/>
      <c r="H861" s="49">
        <f>+SUM($F$9:F861)-SUM($G$9:G861)</f>
        <v>11083000</v>
      </c>
    </row>
    <row r="862" spans="1:8" ht="28.8" x14ac:dyDescent="0.55000000000000004">
      <c r="A862" s="43">
        <v>45124</v>
      </c>
      <c r="B862" s="43" t="s">
        <v>1232</v>
      </c>
      <c r="C862" s="44" t="s">
        <v>2221</v>
      </c>
      <c r="D862" s="45">
        <v>1</v>
      </c>
      <c r="E862" s="46">
        <v>185000</v>
      </c>
      <c r="F862" s="47">
        <f>+$I$4+(CLIENT[[#This Row],[QUANTITE]]*CLIENT[[#This Row],[PRIX UNITAIRE]])</f>
        <v>185000</v>
      </c>
      <c r="G862" s="48"/>
      <c r="H862" s="49">
        <f>+SUM($F$9:F862)-SUM($G$9:G862)</f>
        <v>11268000</v>
      </c>
    </row>
    <row r="863" spans="1:8" ht="28.8" x14ac:dyDescent="0.55000000000000004">
      <c r="A863" s="43"/>
      <c r="B863" s="43"/>
      <c r="C863" s="44" t="s">
        <v>2198</v>
      </c>
      <c r="D863" s="45">
        <v>1</v>
      </c>
      <c r="E863" s="46">
        <v>45000</v>
      </c>
      <c r="F863" s="47">
        <f>+$I$4+(CLIENT[[#This Row],[QUANTITE]]*CLIENT[[#This Row],[PRIX UNITAIRE]])</f>
        <v>45000</v>
      </c>
      <c r="G863" s="48"/>
      <c r="H863" s="49">
        <f>+SUM($F$9:F863)-SUM($G$9:G863)</f>
        <v>11313000</v>
      </c>
    </row>
    <row r="864" spans="1:8" ht="28.8" x14ac:dyDescent="0.55000000000000004">
      <c r="A864" s="43">
        <v>45126</v>
      </c>
      <c r="B864" s="43" t="s">
        <v>1233</v>
      </c>
      <c r="C864" s="44" t="s">
        <v>218</v>
      </c>
      <c r="D864" s="45">
        <v>2</v>
      </c>
      <c r="E864" s="46">
        <v>15000</v>
      </c>
      <c r="F864" s="47">
        <f>+$I$4+(CLIENT[[#This Row],[QUANTITE]]*CLIENT[[#This Row],[PRIX UNITAIRE]])</f>
        <v>30000</v>
      </c>
      <c r="G864" s="48"/>
      <c r="H864" s="49">
        <f>+SUM($F$9:F864)-SUM($G$9:G864)</f>
        <v>11343000</v>
      </c>
    </row>
    <row r="865" spans="1:8" ht="28.8" x14ac:dyDescent="0.55000000000000004">
      <c r="A865" s="43">
        <v>45127</v>
      </c>
      <c r="B865" s="43" t="s">
        <v>1233</v>
      </c>
      <c r="C865" s="44" t="s">
        <v>218</v>
      </c>
      <c r="D865" s="45">
        <v>1</v>
      </c>
      <c r="E865" s="46">
        <v>15000</v>
      </c>
      <c r="F865" s="47">
        <f>+$I$4+(CLIENT[[#This Row],[QUANTITE]]*CLIENT[[#This Row],[PRIX UNITAIRE]])</f>
        <v>15000</v>
      </c>
      <c r="G865" s="48"/>
      <c r="H865" s="49">
        <f>+SUM($F$9:F865)-SUM($G$9:G865)</f>
        <v>11358000</v>
      </c>
    </row>
    <row r="866" spans="1:8" ht="28.8" x14ac:dyDescent="0.55000000000000004">
      <c r="A866" s="43">
        <v>45128</v>
      </c>
      <c r="B866" s="43" t="s">
        <v>2222</v>
      </c>
      <c r="C866" s="44" t="s">
        <v>2223</v>
      </c>
      <c r="D866" s="45">
        <v>1</v>
      </c>
      <c r="E866" s="46">
        <v>185000</v>
      </c>
      <c r="F866" s="47">
        <f>+$I$4+(CLIENT[[#This Row],[QUANTITE]]*CLIENT[[#This Row],[PRIX UNITAIRE]])</f>
        <v>185000</v>
      </c>
      <c r="G866" s="48"/>
      <c r="H866" s="49">
        <f>+SUM($F$9:F866)-SUM($G$9:G866)</f>
        <v>11543000</v>
      </c>
    </row>
    <row r="867" spans="1:8" ht="28.8" x14ac:dyDescent="0.55000000000000004">
      <c r="A867" s="43">
        <v>45133</v>
      </c>
      <c r="B867" s="43" t="s">
        <v>1424</v>
      </c>
      <c r="C867" s="44" t="s">
        <v>2224</v>
      </c>
      <c r="D867" s="45">
        <v>2</v>
      </c>
      <c r="E867" s="46">
        <v>150000</v>
      </c>
      <c r="F867" s="47">
        <f>+$I$4+(CLIENT[[#This Row],[QUANTITE]]*CLIENT[[#This Row],[PRIX UNITAIRE]])</f>
        <v>300000</v>
      </c>
      <c r="G867" s="48"/>
      <c r="H867" s="49">
        <f>+SUM($F$9:F867)-SUM($G$9:G867)</f>
        <v>11843000</v>
      </c>
    </row>
    <row r="868" spans="1:8" ht="28.8" x14ac:dyDescent="0.55000000000000004">
      <c r="A868" s="43">
        <v>45134</v>
      </c>
      <c r="B868" s="43" t="s">
        <v>2225</v>
      </c>
      <c r="C868" s="44" t="s">
        <v>2226</v>
      </c>
      <c r="D868" s="45">
        <v>1</v>
      </c>
      <c r="E868" s="46">
        <v>90000</v>
      </c>
      <c r="F868" s="47">
        <f>+$I$4+(CLIENT[[#This Row],[QUANTITE]]*CLIENT[[#This Row],[PRIX UNITAIRE]])</f>
        <v>90000</v>
      </c>
      <c r="G868" s="48"/>
      <c r="H868" s="49">
        <f>+SUM($F$9:F868)-SUM($G$9:G868)</f>
        <v>11933000</v>
      </c>
    </row>
    <row r="869" spans="1:8" ht="28.8" x14ac:dyDescent="0.55000000000000004">
      <c r="A869" s="43"/>
      <c r="B869" s="43"/>
      <c r="C869" s="44" t="s">
        <v>2107</v>
      </c>
      <c r="D869" s="45">
        <v>1</v>
      </c>
      <c r="E869" s="46">
        <v>20000</v>
      </c>
      <c r="F869" s="47">
        <f>+$I$4+(CLIENT[[#This Row],[QUANTITE]]*CLIENT[[#This Row],[PRIX UNITAIRE]])</f>
        <v>20000</v>
      </c>
      <c r="G869" s="48"/>
      <c r="H869" s="49">
        <f>+SUM($F$9:F869)-SUM($G$9:G869)</f>
        <v>11953000</v>
      </c>
    </row>
    <row r="870" spans="1:8" ht="28.8" x14ac:dyDescent="0.55000000000000004">
      <c r="A870" s="43">
        <v>45135</v>
      </c>
      <c r="B870" s="43" t="s">
        <v>1302</v>
      </c>
      <c r="C870" s="44" t="s">
        <v>10</v>
      </c>
      <c r="D870" s="45">
        <v>1</v>
      </c>
      <c r="E870" s="46">
        <v>100000</v>
      </c>
      <c r="F870" s="47">
        <f>+$I$4+(CLIENT[[#This Row],[QUANTITE]]*CLIENT[[#This Row],[PRIX UNITAIRE]])</f>
        <v>100000</v>
      </c>
      <c r="G870" s="48"/>
      <c r="H870" s="49">
        <f>+SUM($F$9:F870)-SUM($G$9:G870)</f>
        <v>12053000</v>
      </c>
    </row>
    <row r="871" spans="1:8" ht="28.8" x14ac:dyDescent="0.55000000000000004">
      <c r="A871" s="43">
        <v>45135</v>
      </c>
      <c r="B871" s="43" t="s">
        <v>1330</v>
      </c>
      <c r="C871" s="44" t="s">
        <v>2227</v>
      </c>
      <c r="D871" s="45">
        <v>2</v>
      </c>
      <c r="E871" s="46">
        <v>100000</v>
      </c>
      <c r="F871" s="47">
        <f>+$I$4+(CLIENT[[#This Row],[QUANTITE]]*CLIENT[[#This Row],[PRIX UNITAIRE]])</f>
        <v>200000</v>
      </c>
      <c r="G871" s="48"/>
      <c r="H871" s="49">
        <f>+SUM($F$9:F871)-SUM($G$9:G871)</f>
        <v>12253000</v>
      </c>
    </row>
    <row r="872" spans="1:8" ht="28.8" x14ac:dyDescent="0.55000000000000004">
      <c r="A872" s="43">
        <v>45135</v>
      </c>
      <c r="B872" s="43" t="s">
        <v>1651</v>
      </c>
      <c r="C872" s="44" t="s">
        <v>2228</v>
      </c>
      <c r="D872" s="45">
        <v>1</v>
      </c>
      <c r="E872" s="46">
        <v>150000</v>
      </c>
      <c r="F872" s="47">
        <f>+$I$4+(CLIENT[[#This Row],[QUANTITE]]*CLIENT[[#This Row],[PRIX UNITAIRE]])</f>
        <v>150000</v>
      </c>
      <c r="G872" s="48"/>
      <c r="H872" s="49">
        <f>+SUM($F$9:F872)-SUM($G$9:G872)</f>
        <v>12403000</v>
      </c>
    </row>
    <row r="873" spans="1:8" ht="28.8" x14ac:dyDescent="0.55000000000000004">
      <c r="A873" s="43">
        <v>45135</v>
      </c>
      <c r="B873" s="43" t="s">
        <v>1570</v>
      </c>
      <c r="C873" s="44" t="s">
        <v>781</v>
      </c>
      <c r="D873" s="45">
        <v>4</v>
      </c>
      <c r="E873" s="46">
        <v>100000</v>
      </c>
      <c r="F873" s="47">
        <f>+$I$4+(CLIENT[[#This Row],[QUANTITE]]*CLIENT[[#This Row],[PRIX UNITAIRE]])</f>
        <v>400000</v>
      </c>
      <c r="G873" s="48"/>
      <c r="H873" s="49">
        <f>+SUM($F$9:F873)-SUM($G$9:G873)</f>
        <v>12803000</v>
      </c>
    </row>
    <row r="874" spans="1:8" ht="28.8" x14ac:dyDescent="0.55000000000000004">
      <c r="A874" s="43">
        <v>45138</v>
      </c>
      <c r="B874" s="43" t="s">
        <v>2229</v>
      </c>
      <c r="C874" s="44" t="s">
        <v>2230</v>
      </c>
      <c r="D874" s="45">
        <v>1</v>
      </c>
      <c r="E874" s="46">
        <v>185000</v>
      </c>
      <c r="F874" s="47">
        <f>+$I$4+(CLIENT[[#This Row],[QUANTITE]]*CLIENT[[#This Row],[PRIX UNITAIRE]])</f>
        <v>185000</v>
      </c>
      <c r="G874" s="48"/>
      <c r="H874" s="49">
        <f>+SUM($F$9:F874)-SUM($G$9:G874)</f>
        <v>12988000</v>
      </c>
    </row>
    <row r="875" spans="1:8" ht="28.8" x14ac:dyDescent="0.55000000000000004">
      <c r="A875" s="43">
        <v>45138</v>
      </c>
      <c r="B875" s="43" t="s">
        <v>2231</v>
      </c>
      <c r="C875" s="44" t="s">
        <v>2232</v>
      </c>
      <c r="D875" s="45">
        <v>1</v>
      </c>
      <c r="E875" s="46">
        <v>185000</v>
      </c>
      <c r="F875" s="47">
        <f>+$I$4+(CLIENT[[#This Row],[QUANTITE]]*CLIENT[[#This Row],[PRIX UNITAIRE]])</f>
        <v>185000</v>
      </c>
      <c r="G875" s="48"/>
      <c r="H875" s="49">
        <f>+SUM($F$9:F875)-SUM($G$9:G875)</f>
        <v>13173000</v>
      </c>
    </row>
    <row r="876" spans="1:8" ht="28.8" x14ac:dyDescent="0.55000000000000004">
      <c r="A876" s="43">
        <v>45138</v>
      </c>
      <c r="B876" s="43" t="s">
        <v>259</v>
      </c>
      <c r="C876" s="44" t="s">
        <v>1214</v>
      </c>
      <c r="D876" s="45">
        <v>1</v>
      </c>
      <c r="E876" s="46">
        <v>0</v>
      </c>
      <c r="F876" s="47">
        <f>+$I$4+(CLIENT[[#This Row],[QUANTITE]]*CLIENT[[#This Row],[PRIX UNITAIRE]])</f>
        <v>0</v>
      </c>
      <c r="G876" s="48">
        <v>8000000</v>
      </c>
      <c r="H876" s="49">
        <f>+SUM($F$9:F876)-SUM($G$9:G876)</f>
        <v>5173000</v>
      </c>
    </row>
    <row r="877" spans="1:8" ht="28.8" x14ac:dyDescent="0.55000000000000004">
      <c r="A877" s="43">
        <v>45141</v>
      </c>
      <c r="B877" s="43" t="s">
        <v>1343</v>
      </c>
      <c r="C877" s="44" t="s">
        <v>943</v>
      </c>
      <c r="D877" s="45">
        <v>2</v>
      </c>
      <c r="E877" s="46">
        <v>90000</v>
      </c>
      <c r="F877" s="47">
        <f>+$I$4+(CLIENT[[#This Row],[QUANTITE]]*CLIENT[[#This Row],[PRIX UNITAIRE]])</f>
        <v>180000</v>
      </c>
      <c r="G877" s="48"/>
      <c r="H877" s="49">
        <f>+SUM($F$9:F877)-SUM($G$9:G877)</f>
        <v>5353000</v>
      </c>
    </row>
    <row r="878" spans="1:8" ht="28.8" x14ac:dyDescent="0.55000000000000004">
      <c r="A878" s="43">
        <v>45141</v>
      </c>
      <c r="B878" s="43" t="s">
        <v>1233</v>
      </c>
      <c r="C878" s="44" t="s">
        <v>2233</v>
      </c>
      <c r="D878" s="45">
        <v>1</v>
      </c>
      <c r="E878" s="46">
        <v>185000</v>
      </c>
      <c r="F878" s="47">
        <f>+$I$4+(CLIENT[[#This Row],[QUANTITE]]*CLIENT[[#This Row],[PRIX UNITAIRE]])</f>
        <v>185000</v>
      </c>
      <c r="G878" s="48"/>
      <c r="H878" s="49">
        <f>+SUM($F$9:F878)-SUM($G$9:G878)</f>
        <v>5538000</v>
      </c>
    </row>
    <row r="879" spans="1:8" ht="28.8" x14ac:dyDescent="0.55000000000000004">
      <c r="A879" s="43">
        <v>45142</v>
      </c>
      <c r="B879" s="43" t="s">
        <v>2010</v>
      </c>
      <c r="C879" s="44" t="s">
        <v>2227</v>
      </c>
      <c r="D879" s="45">
        <v>2</v>
      </c>
      <c r="E879" s="46">
        <v>100000</v>
      </c>
      <c r="F879" s="47">
        <f>+$I$4+(CLIENT[[#This Row],[QUANTITE]]*CLIENT[[#This Row],[PRIX UNITAIRE]])</f>
        <v>200000</v>
      </c>
      <c r="G879" s="48"/>
      <c r="H879" s="49">
        <f>+SUM($F$9:F879)-SUM($G$9:G879)</f>
        <v>5738000</v>
      </c>
    </row>
    <row r="880" spans="1:8" ht="28.8" x14ac:dyDescent="0.55000000000000004">
      <c r="A880" s="43">
        <v>45142</v>
      </c>
      <c r="B880" s="43" t="s">
        <v>2234</v>
      </c>
      <c r="C880" s="44" t="s">
        <v>2235</v>
      </c>
      <c r="D880" s="45">
        <v>1</v>
      </c>
      <c r="E880" s="46">
        <v>185000</v>
      </c>
      <c r="F880" s="47">
        <f>+$I$4+(CLIENT[[#This Row],[QUANTITE]]*CLIENT[[#This Row],[PRIX UNITAIRE]])</f>
        <v>185000</v>
      </c>
      <c r="G880" s="48"/>
      <c r="H880" s="49">
        <f>+SUM($F$9:F880)-SUM($G$9:G880)</f>
        <v>5923000</v>
      </c>
    </row>
    <row r="881" spans="1:8" ht="28.8" x14ac:dyDescent="0.55000000000000004">
      <c r="A881" s="43"/>
      <c r="B881" s="43"/>
      <c r="C881" s="44" t="s">
        <v>2198</v>
      </c>
      <c r="D881" s="45">
        <v>1</v>
      </c>
      <c r="E881" s="46">
        <v>45000</v>
      </c>
      <c r="F881" s="47">
        <f>+$I$4+(CLIENT[[#This Row],[QUANTITE]]*CLIENT[[#This Row],[PRIX UNITAIRE]])</f>
        <v>45000</v>
      </c>
      <c r="G881" s="48"/>
      <c r="H881" s="49">
        <f>+SUM($F$9:F881)-SUM($G$9:G881)</f>
        <v>5968000</v>
      </c>
    </row>
    <row r="882" spans="1:8" ht="28.8" x14ac:dyDescent="0.55000000000000004">
      <c r="A882" s="43"/>
      <c r="B882" s="43"/>
      <c r="C882" s="44" t="s">
        <v>2236</v>
      </c>
      <c r="D882" s="45">
        <v>1</v>
      </c>
      <c r="E882" s="46">
        <v>150000</v>
      </c>
      <c r="F882" s="47">
        <f>+$I$4+(CLIENT[[#This Row],[QUANTITE]]*CLIENT[[#This Row],[PRIX UNITAIRE]])</f>
        <v>150000</v>
      </c>
      <c r="G882" s="48"/>
      <c r="H882" s="49">
        <f>+SUM($F$9:F882)-SUM($G$9:G882)</f>
        <v>6118000</v>
      </c>
    </row>
    <row r="883" spans="1:8" ht="28.8" x14ac:dyDescent="0.55000000000000004">
      <c r="A883" s="43"/>
      <c r="B883" s="43"/>
      <c r="C883" s="44" t="s">
        <v>2198</v>
      </c>
      <c r="D883" s="45">
        <v>1</v>
      </c>
      <c r="E883" s="46">
        <v>45000</v>
      </c>
      <c r="F883" s="47">
        <f>+$I$4+(CLIENT[[#This Row],[QUANTITE]]*CLIENT[[#This Row],[PRIX UNITAIRE]])</f>
        <v>45000</v>
      </c>
      <c r="G883" s="48"/>
      <c r="H883" s="49">
        <f>+SUM($F$9:F883)-SUM($G$9:G883)</f>
        <v>6163000</v>
      </c>
    </row>
    <row r="884" spans="1:8" ht="28.8" x14ac:dyDescent="0.55000000000000004">
      <c r="A884" s="43"/>
      <c r="B884" s="43"/>
      <c r="C884" s="44" t="s">
        <v>2069</v>
      </c>
      <c r="D884" s="45">
        <v>1</v>
      </c>
      <c r="E884" s="46">
        <v>50000</v>
      </c>
      <c r="F884" s="47">
        <f>+$I$4+(CLIENT[[#This Row],[QUANTITE]]*CLIENT[[#This Row],[PRIX UNITAIRE]])</f>
        <v>50000</v>
      </c>
      <c r="G884" s="48"/>
      <c r="H884" s="49">
        <f>+SUM($F$9:F884)-SUM($G$9:G884)</f>
        <v>6213000</v>
      </c>
    </row>
    <row r="885" spans="1:8" ht="28.8" x14ac:dyDescent="0.55000000000000004">
      <c r="A885" s="43"/>
      <c r="B885" s="43"/>
      <c r="C885" s="44" t="s">
        <v>957</v>
      </c>
      <c r="D885" s="45">
        <v>1</v>
      </c>
      <c r="E885" s="46">
        <v>25000</v>
      </c>
      <c r="F885" s="47">
        <f>+$I$4+(CLIENT[[#This Row],[QUANTITE]]*CLIENT[[#This Row],[PRIX UNITAIRE]])</f>
        <v>25000</v>
      </c>
      <c r="G885" s="48"/>
      <c r="H885" s="49">
        <f>+SUM($F$9:F885)-SUM($G$9:G885)</f>
        <v>6238000</v>
      </c>
    </row>
    <row r="886" spans="1:8" ht="28.8" x14ac:dyDescent="0.55000000000000004">
      <c r="A886" s="43">
        <v>45150</v>
      </c>
      <c r="B886" s="43" t="s">
        <v>2237</v>
      </c>
      <c r="C886" s="44" t="s">
        <v>2238</v>
      </c>
      <c r="D886" s="45">
        <v>1</v>
      </c>
      <c r="E886" s="46">
        <v>150000</v>
      </c>
      <c r="F886" s="47">
        <f>+$I$4+(CLIENT[[#This Row],[QUANTITE]]*CLIENT[[#This Row],[PRIX UNITAIRE]])</f>
        <v>150000</v>
      </c>
      <c r="G886" s="48"/>
      <c r="H886" s="49">
        <f>+SUM($F$9:F886)-SUM($G$9:G886)</f>
        <v>6388000</v>
      </c>
    </row>
    <row r="887" spans="1:8" ht="28.8" x14ac:dyDescent="0.55000000000000004">
      <c r="A887" s="43">
        <v>45150</v>
      </c>
      <c r="B887" s="43" t="s">
        <v>2239</v>
      </c>
      <c r="C887" s="44" t="s">
        <v>2240</v>
      </c>
      <c r="D887" s="45">
        <v>2</v>
      </c>
      <c r="E887" s="46">
        <v>150000</v>
      </c>
      <c r="F887" s="47">
        <f>+$I$4+(CLIENT[[#This Row],[QUANTITE]]*CLIENT[[#This Row],[PRIX UNITAIRE]])</f>
        <v>300000</v>
      </c>
      <c r="G887" s="48"/>
      <c r="H887" s="49">
        <f>+SUM($F$9:F887)-SUM($G$9:G887)</f>
        <v>6688000</v>
      </c>
    </row>
    <row r="888" spans="1:8" ht="28.8" x14ac:dyDescent="0.55000000000000004">
      <c r="A888" s="43">
        <v>45152</v>
      </c>
      <c r="B888" s="43" t="s">
        <v>1234</v>
      </c>
      <c r="C888" s="44" t="s">
        <v>2241</v>
      </c>
      <c r="D888" s="45">
        <v>1</v>
      </c>
      <c r="E888" s="46">
        <v>185000</v>
      </c>
      <c r="F888" s="47">
        <f>+$I$4+(CLIENT[[#This Row],[QUANTITE]]*CLIENT[[#This Row],[PRIX UNITAIRE]])</f>
        <v>185000</v>
      </c>
      <c r="G888" s="48"/>
      <c r="H888" s="49">
        <f>+SUM($F$9:F888)-SUM($G$9:G888)</f>
        <v>6873000</v>
      </c>
    </row>
    <row r="889" spans="1:8" ht="28.8" x14ac:dyDescent="0.55000000000000004">
      <c r="A889" s="43"/>
      <c r="B889" s="43"/>
      <c r="C889" s="44" t="s">
        <v>2198</v>
      </c>
      <c r="D889" s="45">
        <v>1</v>
      </c>
      <c r="E889" s="46">
        <v>45000</v>
      </c>
      <c r="F889" s="47">
        <f>+$I$4+(CLIENT[[#This Row],[QUANTITE]]*CLIENT[[#This Row],[PRIX UNITAIRE]])</f>
        <v>45000</v>
      </c>
      <c r="G889" s="48"/>
      <c r="H889" s="49">
        <f>+SUM($F$9:F889)-SUM($G$9:G889)</f>
        <v>6918000</v>
      </c>
    </row>
    <row r="890" spans="1:8" ht="28.8" x14ac:dyDescent="0.55000000000000004">
      <c r="A890" s="43">
        <v>45152</v>
      </c>
      <c r="B890" s="43" t="s">
        <v>1238</v>
      </c>
      <c r="C890" s="44" t="s">
        <v>2227</v>
      </c>
      <c r="D890" s="45">
        <v>1</v>
      </c>
      <c r="E890" s="46">
        <v>100000</v>
      </c>
      <c r="F890" s="47">
        <f>+$I$4+(CLIENT[[#This Row],[QUANTITE]]*CLIENT[[#This Row],[PRIX UNITAIRE]])</f>
        <v>100000</v>
      </c>
      <c r="G890" s="48"/>
      <c r="H890" s="49">
        <f>+SUM($F$9:F890)-SUM($G$9:G890)</f>
        <v>7018000</v>
      </c>
    </row>
    <row r="891" spans="1:8" ht="28.8" x14ac:dyDescent="0.55000000000000004">
      <c r="A891" s="43">
        <v>45152</v>
      </c>
      <c r="B891" s="43" t="s">
        <v>1833</v>
      </c>
      <c r="C891" s="44" t="s">
        <v>2242</v>
      </c>
      <c r="D891" s="45">
        <v>1</v>
      </c>
      <c r="E891" s="46">
        <v>150000</v>
      </c>
      <c r="F891" s="47">
        <f>+$I$4+(CLIENT[[#This Row],[QUANTITE]]*CLIENT[[#This Row],[PRIX UNITAIRE]])</f>
        <v>150000</v>
      </c>
      <c r="G891" s="48"/>
      <c r="H891" s="49">
        <f>+SUM($F$9:F891)-SUM($G$9:G891)</f>
        <v>7168000</v>
      </c>
    </row>
    <row r="892" spans="1:8" ht="28.8" x14ac:dyDescent="0.55000000000000004">
      <c r="A892" s="43">
        <v>45152</v>
      </c>
      <c r="B892" s="43" t="s">
        <v>1699</v>
      </c>
      <c r="C892" s="44" t="s">
        <v>218</v>
      </c>
      <c r="D892" s="45">
        <v>2</v>
      </c>
      <c r="E892" s="46">
        <v>15000</v>
      </c>
      <c r="F892" s="47">
        <f>+$I$4+(CLIENT[[#This Row],[QUANTITE]]*CLIENT[[#This Row],[PRIX UNITAIRE]])</f>
        <v>30000</v>
      </c>
      <c r="G892" s="48"/>
      <c r="H892" s="49">
        <f>+SUM($F$9:F892)-SUM($G$9:G892)</f>
        <v>7198000</v>
      </c>
    </row>
    <row r="893" spans="1:8" ht="28.8" x14ac:dyDescent="0.55000000000000004">
      <c r="A893" s="43">
        <v>45153</v>
      </c>
      <c r="B893" s="43" t="s">
        <v>1474</v>
      </c>
      <c r="C893" s="44" t="s">
        <v>2243</v>
      </c>
      <c r="D893" s="45">
        <v>1</v>
      </c>
      <c r="E893" s="46">
        <v>185000</v>
      </c>
      <c r="F893" s="47">
        <f>+$I$4+(CLIENT[[#This Row],[QUANTITE]]*CLIENT[[#This Row],[PRIX UNITAIRE]])</f>
        <v>185000</v>
      </c>
      <c r="G893" s="48"/>
      <c r="H893" s="49">
        <f>+SUM($F$9:F893)-SUM($G$9:G893)</f>
        <v>7383000</v>
      </c>
    </row>
    <row r="894" spans="1:8" ht="28.8" x14ac:dyDescent="0.55000000000000004">
      <c r="A894" s="43">
        <v>45153</v>
      </c>
      <c r="B894" s="43" t="s">
        <v>1343</v>
      </c>
      <c r="C894" s="44" t="s">
        <v>2244</v>
      </c>
      <c r="D894" s="45">
        <v>1</v>
      </c>
      <c r="E894" s="46">
        <v>185000</v>
      </c>
      <c r="F894" s="47">
        <f>+$I$4+(CLIENT[[#This Row],[QUANTITE]]*CLIENT[[#This Row],[PRIX UNITAIRE]])</f>
        <v>185000</v>
      </c>
      <c r="G894" s="48"/>
      <c r="H894" s="49">
        <f>+SUM($F$9:F894)-SUM($G$9:G894)</f>
        <v>7568000</v>
      </c>
    </row>
    <row r="895" spans="1:8" ht="28.8" x14ac:dyDescent="0.55000000000000004">
      <c r="A895" s="43">
        <v>45153</v>
      </c>
      <c r="B895" s="43" t="s">
        <v>1461</v>
      </c>
      <c r="C895" s="44" t="s">
        <v>218</v>
      </c>
      <c r="D895" s="45">
        <v>1</v>
      </c>
      <c r="E895" s="46">
        <v>15000</v>
      </c>
      <c r="F895" s="47">
        <f>+$I$4+(CLIENT[[#This Row],[QUANTITE]]*CLIENT[[#This Row],[PRIX UNITAIRE]])</f>
        <v>15000</v>
      </c>
      <c r="G895" s="48"/>
      <c r="H895" s="49">
        <f>+SUM($F$9:F895)-SUM($G$9:G895)</f>
        <v>7583000</v>
      </c>
    </row>
    <row r="896" spans="1:8" ht="28.8" x14ac:dyDescent="0.55000000000000004">
      <c r="A896" s="43">
        <v>45154</v>
      </c>
      <c r="B896" s="43" t="s">
        <v>2116</v>
      </c>
      <c r="C896" s="44" t="s">
        <v>2245</v>
      </c>
      <c r="D896" s="45">
        <v>1</v>
      </c>
      <c r="E896" s="46">
        <v>185000</v>
      </c>
      <c r="F896" s="47">
        <f>+$I$4+(CLIENT[[#This Row],[QUANTITE]]*CLIENT[[#This Row],[PRIX UNITAIRE]])</f>
        <v>185000</v>
      </c>
      <c r="G896" s="48"/>
      <c r="H896" s="49">
        <f>+SUM($F$9:F896)-SUM($G$9:G896)</f>
        <v>7768000</v>
      </c>
    </row>
    <row r="897" spans="1:8" ht="28.8" x14ac:dyDescent="0.55000000000000004">
      <c r="A897" s="43">
        <v>45154</v>
      </c>
      <c r="B897" s="43" t="s">
        <v>2246</v>
      </c>
      <c r="C897" s="44" t="s">
        <v>2247</v>
      </c>
      <c r="D897" s="45">
        <v>1</v>
      </c>
      <c r="E897" s="46">
        <v>150000</v>
      </c>
      <c r="F897" s="47">
        <f>+$I$4+(CLIENT[[#This Row],[QUANTITE]]*CLIENT[[#This Row],[PRIX UNITAIRE]])</f>
        <v>150000</v>
      </c>
      <c r="G897" s="48"/>
      <c r="H897" s="49">
        <f>+SUM($F$9:F897)-SUM($G$9:G897)</f>
        <v>7918000</v>
      </c>
    </row>
    <row r="898" spans="1:8" ht="28.8" x14ac:dyDescent="0.55000000000000004">
      <c r="A898" s="43">
        <v>45163</v>
      </c>
      <c r="B898" s="43" t="s">
        <v>1640</v>
      </c>
      <c r="C898" s="44" t="s">
        <v>2248</v>
      </c>
      <c r="D898" s="45">
        <v>1</v>
      </c>
      <c r="E898" s="46">
        <v>150000</v>
      </c>
      <c r="F898" s="47">
        <f>+$I$4+(CLIENT[[#This Row],[QUANTITE]]*CLIENT[[#This Row],[PRIX UNITAIRE]])</f>
        <v>150000</v>
      </c>
      <c r="G898" s="48"/>
      <c r="H898" s="49">
        <f>+SUM($F$9:F898)-SUM($G$9:G898)</f>
        <v>8068000</v>
      </c>
    </row>
    <row r="899" spans="1:8" ht="28.8" x14ac:dyDescent="0.55000000000000004">
      <c r="A899" s="43"/>
      <c r="B899" s="43"/>
      <c r="C899" s="44" t="s">
        <v>2198</v>
      </c>
      <c r="D899" s="45">
        <v>1</v>
      </c>
      <c r="E899" s="46">
        <v>45000</v>
      </c>
      <c r="F899" s="47">
        <f>+$I$4+(CLIENT[[#This Row],[QUANTITE]]*CLIENT[[#This Row],[PRIX UNITAIRE]])</f>
        <v>45000</v>
      </c>
      <c r="G899" s="48"/>
      <c r="H899" s="49">
        <f>+SUM($F$9:F899)-SUM($G$9:G899)</f>
        <v>8113000</v>
      </c>
    </row>
    <row r="900" spans="1:8" ht="28.8" x14ac:dyDescent="0.55000000000000004">
      <c r="A900" s="43">
        <v>45164</v>
      </c>
      <c r="B900" s="43" t="s">
        <v>1727</v>
      </c>
      <c r="C900" s="44" t="s">
        <v>2249</v>
      </c>
      <c r="D900" s="45">
        <v>1</v>
      </c>
      <c r="E900" s="46">
        <v>150000</v>
      </c>
      <c r="F900" s="47">
        <f>+$I$4+(CLIENT[[#This Row],[QUANTITE]]*CLIENT[[#This Row],[PRIX UNITAIRE]])</f>
        <v>150000</v>
      </c>
      <c r="G900" s="48"/>
      <c r="H900" s="49">
        <f>+SUM($F$9:F900)-SUM($G$9:G900)</f>
        <v>8263000</v>
      </c>
    </row>
    <row r="901" spans="1:8" ht="28.8" x14ac:dyDescent="0.55000000000000004">
      <c r="A901" s="43">
        <v>45165</v>
      </c>
      <c r="B901" s="43" t="s">
        <v>1234</v>
      </c>
      <c r="C901" s="44" t="s">
        <v>2227</v>
      </c>
      <c r="D901" s="45">
        <v>2</v>
      </c>
      <c r="E901" s="46">
        <v>100000</v>
      </c>
      <c r="F901" s="47">
        <f>+$I$4+(CLIENT[[#This Row],[QUANTITE]]*CLIENT[[#This Row],[PRIX UNITAIRE]])</f>
        <v>200000</v>
      </c>
      <c r="G901" s="48"/>
      <c r="H901" s="49">
        <f>+SUM($F$9:F901)-SUM($G$9:G901)</f>
        <v>8463000</v>
      </c>
    </row>
    <row r="902" spans="1:8" ht="28.8" x14ac:dyDescent="0.55000000000000004">
      <c r="A902" s="43">
        <v>45166</v>
      </c>
      <c r="B902" s="43" t="s">
        <v>2229</v>
      </c>
      <c r="C902" s="44" t="s">
        <v>2250</v>
      </c>
      <c r="D902" s="45">
        <v>1</v>
      </c>
      <c r="E902" s="46">
        <v>185000</v>
      </c>
      <c r="F902" s="47">
        <f>+$I$4+(CLIENT[[#This Row],[QUANTITE]]*CLIENT[[#This Row],[PRIX UNITAIRE]])</f>
        <v>185000</v>
      </c>
      <c r="G902" s="48"/>
      <c r="H902" s="49">
        <f>+SUM($F$9:F902)-SUM($G$9:G902)</f>
        <v>8648000</v>
      </c>
    </row>
    <row r="903" spans="1:8" ht="28.8" x14ac:dyDescent="0.55000000000000004">
      <c r="A903" s="43"/>
      <c r="B903" s="43"/>
      <c r="C903" s="44" t="s">
        <v>2198</v>
      </c>
      <c r="D903" s="45">
        <v>1</v>
      </c>
      <c r="E903" s="46">
        <v>45000</v>
      </c>
      <c r="F903" s="47">
        <f>+$I$4+(CLIENT[[#This Row],[QUANTITE]]*CLIENT[[#This Row],[PRIX UNITAIRE]])</f>
        <v>45000</v>
      </c>
      <c r="G903" s="48"/>
      <c r="H903" s="49">
        <f>+SUM($F$9:F903)-SUM($G$9:G903)</f>
        <v>8693000</v>
      </c>
    </row>
    <row r="904" spans="1:8" ht="28.8" x14ac:dyDescent="0.55000000000000004">
      <c r="A904" s="43">
        <v>45166</v>
      </c>
      <c r="B904" s="43" t="s">
        <v>2066</v>
      </c>
      <c r="C904" s="44" t="s">
        <v>2251</v>
      </c>
      <c r="D904" s="45">
        <v>1</v>
      </c>
      <c r="E904" s="46">
        <v>185000</v>
      </c>
      <c r="F904" s="47">
        <f>+$I$4+(CLIENT[[#This Row],[QUANTITE]]*CLIENT[[#This Row],[PRIX UNITAIRE]])</f>
        <v>185000</v>
      </c>
      <c r="G904" s="48"/>
      <c r="H904" s="49">
        <f>+SUM($F$9:F904)-SUM($G$9:G904)</f>
        <v>8878000</v>
      </c>
    </row>
    <row r="905" spans="1:8" ht="28.8" x14ac:dyDescent="0.55000000000000004">
      <c r="A905" s="43"/>
      <c r="B905" s="43"/>
      <c r="C905" s="44" t="s">
        <v>2198</v>
      </c>
      <c r="D905" s="45">
        <v>1</v>
      </c>
      <c r="E905" s="46">
        <v>45000</v>
      </c>
      <c r="F905" s="47">
        <f>+$I$4+(CLIENT[[#This Row],[QUANTITE]]*CLIENT[[#This Row],[PRIX UNITAIRE]])</f>
        <v>45000</v>
      </c>
      <c r="G905" s="48"/>
      <c r="H905" s="49">
        <f>+SUM($F$9:F905)-SUM($G$9:G905)</f>
        <v>8923000</v>
      </c>
    </row>
    <row r="906" spans="1:8" ht="28.8" x14ac:dyDescent="0.55000000000000004">
      <c r="A906" s="43">
        <v>45171</v>
      </c>
      <c r="B906" s="43" t="s">
        <v>2212</v>
      </c>
      <c r="C906" s="44" t="s">
        <v>2252</v>
      </c>
      <c r="D906" s="45">
        <v>2</v>
      </c>
      <c r="E906" s="46">
        <v>150000</v>
      </c>
      <c r="F906" s="47">
        <f>+$I$4+(CLIENT[[#This Row],[QUANTITE]]*CLIENT[[#This Row],[PRIX UNITAIRE]])</f>
        <v>300000</v>
      </c>
      <c r="G906" s="48"/>
      <c r="H906" s="49">
        <f>+SUM($F$9:F906)-SUM($G$9:G906)</f>
        <v>9223000</v>
      </c>
    </row>
    <row r="907" spans="1:8" ht="28.8" x14ac:dyDescent="0.55000000000000004">
      <c r="A907" s="43">
        <v>45173</v>
      </c>
      <c r="B907" s="43" t="s">
        <v>1290</v>
      </c>
      <c r="C907" s="44" t="s">
        <v>2253</v>
      </c>
      <c r="D907" s="45">
        <v>2</v>
      </c>
      <c r="E907" s="46">
        <v>100000</v>
      </c>
      <c r="F907" s="47">
        <f>+$I$4+(CLIENT[[#This Row],[QUANTITE]]*CLIENT[[#This Row],[PRIX UNITAIRE]])</f>
        <v>200000</v>
      </c>
      <c r="G907" s="48"/>
      <c r="H907" s="49">
        <f>+SUM($F$9:F907)-SUM($G$9:G907)</f>
        <v>9423000</v>
      </c>
    </row>
    <row r="908" spans="1:8" ht="28.8" x14ac:dyDescent="0.55000000000000004">
      <c r="A908" s="43">
        <v>45173</v>
      </c>
      <c r="B908" s="43" t="s">
        <v>2132</v>
      </c>
      <c r="C908" s="44" t="s">
        <v>2254</v>
      </c>
      <c r="D908" s="45">
        <v>1</v>
      </c>
      <c r="E908" s="46">
        <v>185000</v>
      </c>
      <c r="F908" s="47">
        <f>+$I$4+(CLIENT[[#This Row],[QUANTITE]]*CLIENT[[#This Row],[PRIX UNITAIRE]])</f>
        <v>185000</v>
      </c>
      <c r="G908" s="48"/>
      <c r="H908" s="49">
        <f>+SUM($F$9:F908)-SUM($G$9:G908)</f>
        <v>9608000</v>
      </c>
    </row>
    <row r="909" spans="1:8" ht="28.8" x14ac:dyDescent="0.55000000000000004">
      <c r="A909" s="43">
        <v>45176</v>
      </c>
      <c r="B909" s="43" t="s">
        <v>1699</v>
      </c>
      <c r="C909" s="44" t="s">
        <v>1574</v>
      </c>
      <c r="D909" s="45">
        <v>2</v>
      </c>
      <c r="E909" s="46">
        <v>100000</v>
      </c>
      <c r="F909" s="47">
        <f>+$I$4+(CLIENT[[#This Row],[QUANTITE]]*CLIENT[[#This Row],[PRIX UNITAIRE]])</f>
        <v>200000</v>
      </c>
      <c r="G909" s="48"/>
      <c r="H909" s="49">
        <f>+SUM($F$9:F909)-SUM($G$9:G909)</f>
        <v>9808000</v>
      </c>
    </row>
    <row r="910" spans="1:8" ht="28.8" x14ac:dyDescent="0.55000000000000004">
      <c r="A910" s="43">
        <v>45177</v>
      </c>
      <c r="B910" s="43" t="s">
        <v>1474</v>
      </c>
      <c r="C910" s="44" t="s">
        <v>620</v>
      </c>
      <c r="D910" s="45">
        <v>1</v>
      </c>
      <c r="E910" s="46">
        <v>185000</v>
      </c>
      <c r="F910" s="47">
        <f>+$I$4+(CLIENT[[#This Row],[QUANTITE]]*CLIENT[[#This Row],[PRIX UNITAIRE]])</f>
        <v>185000</v>
      </c>
      <c r="G910" s="48"/>
      <c r="H910" s="49">
        <f>+SUM($F$9:F910)-SUM($G$9:G910)</f>
        <v>9993000</v>
      </c>
    </row>
    <row r="911" spans="1:8" ht="28.8" x14ac:dyDescent="0.55000000000000004">
      <c r="A911" s="43"/>
      <c r="B911" s="43"/>
      <c r="C911" s="44" t="s">
        <v>1844</v>
      </c>
      <c r="D911" s="45">
        <v>1</v>
      </c>
      <c r="E911" s="46">
        <v>10000</v>
      </c>
      <c r="F911" s="47">
        <f>+$I$4+(CLIENT[[#This Row],[QUANTITE]]*CLIENT[[#This Row],[PRIX UNITAIRE]])</f>
        <v>10000</v>
      </c>
      <c r="G911" s="48"/>
      <c r="H911" s="49">
        <f>+SUM($F$9:F911)-SUM($G$9:G911)</f>
        <v>10003000</v>
      </c>
    </row>
    <row r="912" spans="1:8" ht="28.8" x14ac:dyDescent="0.55000000000000004">
      <c r="A912" s="43">
        <v>45178</v>
      </c>
      <c r="B912" s="43" t="s">
        <v>1238</v>
      </c>
      <c r="C912" s="44" t="s">
        <v>2255</v>
      </c>
      <c r="D912" s="45">
        <v>2</v>
      </c>
      <c r="E912" s="46">
        <v>185000</v>
      </c>
      <c r="F912" s="47">
        <f>+$I$4+(CLIENT[[#This Row],[QUANTITE]]*CLIENT[[#This Row],[PRIX UNITAIRE]])</f>
        <v>370000</v>
      </c>
      <c r="G912" s="48"/>
      <c r="H912" s="49">
        <f>+SUM($F$9:F912)-SUM($G$9:G912)</f>
        <v>10373000</v>
      </c>
    </row>
    <row r="913" spans="1:8" ht="28.8" x14ac:dyDescent="0.55000000000000004">
      <c r="A913" s="43"/>
      <c r="B913" s="43"/>
      <c r="C913" s="44" t="s">
        <v>2198</v>
      </c>
      <c r="D913" s="45">
        <v>1</v>
      </c>
      <c r="E913" s="46">
        <v>45000</v>
      </c>
      <c r="F913" s="47">
        <f>+$I$4+(CLIENT[[#This Row],[QUANTITE]]*CLIENT[[#This Row],[PRIX UNITAIRE]])</f>
        <v>45000</v>
      </c>
      <c r="G913" s="48"/>
      <c r="H913" s="49">
        <f>+SUM($F$9:F913)-SUM($G$9:G913)</f>
        <v>10418000</v>
      </c>
    </row>
    <row r="914" spans="1:8" ht="28.8" x14ac:dyDescent="0.55000000000000004">
      <c r="A914" s="43">
        <v>45180</v>
      </c>
      <c r="B914" s="43" t="s">
        <v>1556</v>
      </c>
      <c r="C914" s="44" t="s">
        <v>2256</v>
      </c>
      <c r="D914" s="45">
        <v>2</v>
      </c>
      <c r="E914" s="46">
        <v>185000</v>
      </c>
      <c r="F914" s="47">
        <f>+$I$4+(CLIENT[[#This Row],[QUANTITE]]*CLIENT[[#This Row],[PRIX UNITAIRE]])</f>
        <v>370000</v>
      </c>
      <c r="G914" s="48"/>
      <c r="H914" s="49">
        <f>+SUM($F$9:F914)-SUM($G$9:G914)</f>
        <v>10788000</v>
      </c>
    </row>
    <row r="915" spans="1:8" ht="28.8" x14ac:dyDescent="0.55000000000000004">
      <c r="A915" s="43"/>
      <c r="B915" s="43"/>
      <c r="C915" s="44" t="s">
        <v>2198</v>
      </c>
      <c r="D915" s="45">
        <v>1</v>
      </c>
      <c r="E915" s="46">
        <v>45000</v>
      </c>
      <c r="F915" s="47">
        <f>+$I$4+(CLIENT[[#This Row],[QUANTITE]]*CLIENT[[#This Row],[PRIX UNITAIRE]])</f>
        <v>45000</v>
      </c>
      <c r="G915" s="48"/>
      <c r="H915" s="49">
        <f>+SUM($F$9:F915)-SUM($G$9:G915)</f>
        <v>10833000</v>
      </c>
    </row>
    <row r="916" spans="1:8" ht="28.8" x14ac:dyDescent="0.55000000000000004">
      <c r="A916" s="43">
        <v>45180</v>
      </c>
      <c r="B916" s="43" t="s">
        <v>1768</v>
      </c>
      <c r="C916" s="44" t="s">
        <v>2257</v>
      </c>
      <c r="D916" s="45">
        <v>1</v>
      </c>
      <c r="E916" s="46">
        <v>185000</v>
      </c>
      <c r="F916" s="47">
        <f>+$I$4+(CLIENT[[#This Row],[QUANTITE]]*CLIENT[[#This Row],[PRIX UNITAIRE]])</f>
        <v>185000</v>
      </c>
      <c r="G916" s="48"/>
      <c r="H916" s="49">
        <f>+SUM($F$9:F916)-SUM($G$9:G916)</f>
        <v>11018000</v>
      </c>
    </row>
    <row r="917" spans="1:8" ht="28.8" x14ac:dyDescent="0.55000000000000004">
      <c r="A917" s="43"/>
      <c r="B917" s="43"/>
      <c r="C917" s="44" t="s">
        <v>2258</v>
      </c>
      <c r="D917" s="45">
        <v>1</v>
      </c>
      <c r="E917" s="46">
        <v>150000</v>
      </c>
      <c r="F917" s="47">
        <f>+$I$4+(CLIENT[[#This Row],[QUANTITE]]*CLIENT[[#This Row],[PRIX UNITAIRE]])</f>
        <v>150000</v>
      </c>
      <c r="G917" s="48"/>
      <c r="H917" s="49">
        <f>+SUM($F$9:F917)-SUM($G$9:G917)</f>
        <v>11168000</v>
      </c>
    </row>
    <row r="918" spans="1:8" ht="28.8" x14ac:dyDescent="0.55000000000000004">
      <c r="A918" s="43"/>
      <c r="B918" s="43"/>
      <c r="C918" s="44" t="s">
        <v>2198</v>
      </c>
      <c r="D918" s="45">
        <v>1</v>
      </c>
      <c r="E918" s="46">
        <v>45000</v>
      </c>
      <c r="F918" s="47">
        <f>+$I$4+(CLIENT[[#This Row],[QUANTITE]]*CLIENT[[#This Row],[PRIX UNITAIRE]])</f>
        <v>45000</v>
      </c>
      <c r="G918" s="48"/>
      <c r="H918" s="49">
        <f>+SUM($F$9:F918)-SUM($G$9:G918)</f>
        <v>11213000</v>
      </c>
    </row>
    <row r="919" spans="1:8" ht="28.8" x14ac:dyDescent="0.55000000000000004">
      <c r="A919" s="43">
        <v>45185</v>
      </c>
      <c r="B919" s="43" t="s">
        <v>2259</v>
      </c>
      <c r="C919" s="44" t="s">
        <v>943</v>
      </c>
      <c r="D919" s="45">
        <v>1</v>
      </c>
      <c r="E919" s="46">
        <v>90000</v>
      </c>
      <c r="F919" s="47">
        <f>+$I$4+(CLIENT[[#This Row],[QUANTITE]]*CLIENT[[#This Row],[PRIX UNITAIRE]])</f>
        <v>90000</v>
      </c>
      <c r="G919" s="48"/>
      <c r="H919" s="49">
        <f>+SUM($F$9:F919)-SUM($G$9:G919)</f>
        <v>11303000</v>
      </c>
    </row>
    <row r="920" spans="1:8" ht="28.8" x14ac:dyDescent="0.55000000000000004">
      <c r="A920" s="43"/>
      <c r="B920" s="43"/>
      <c r="C920" s="44" t="s">
        <v>1135</v>
      </c>
      <c r="D920" s="45">
        <v>1</v>
      </c>
      <c r="E920" s="46">
        <v>5000</v>
      </c>
      <c r="F920" s="47">
        <f>+$I$4+(CLIENT[[#This Row],[QUANTITE]]*CLIENT[[#This Row],[PRIX UNITAIRE]])</f>
        <v>5000</v>
      </c>
      <c r="G920" s="48"/>
      <c r="H920" s="49">
        <f>+SUM($F$9:F920)-SUM($G$9:G920)</f>
        <v>11308000</v>
      </c>
    </row>
    <row r="921" spans="1:8" ht="28.8" x14ac:dyDescent="0.55000000000000004">
      <c r="A921" s="43">
        <v>45187</v>
      </c>
      <c r="B921" s="43" t="s">
        <v>2046</v>
      </c>
      <c r="C921" s="44" t="s">
        <v>2260</v>
      </c>
      <c r="D921" s="45">
        <v>1</v>
      </c>
      <c r="E921" s="46">
        <v>185000</v>
      </c>
      <c r="F921" s="47">
        <f>+$I$4+(CLIENT[[#This Row],[QUANTITE]]*CLIENT[[#This Row],[PRIX UNITAIRE]])</f>
        <v>185000</v>
      </c>
      <c r="G921" s="48"/>
      <c r="H921" s="49">
        <f>+SUM($F$9:F921)-SUM($G$9:G921)</f>
        <v>11493000</v>
      </c>
    </row>
    <row r="922" spans="1:8" ht="28.8" x14ac:dyDescent="0.55000000000000004">
      <c r="A922" s="43">
        <v>45187</v>
      </c>
      <c r="B922" s="43" t="s">
        <v>1556</v>
      </c>
      <c r="C922" s="44" t="s">
        <v>2261</v>
      </c>
      <c r="D922" s="45">
        <v>1</v>
      </c>
      <c r="E922" s="46">
        <v>185000</v>
      </c>
      <c r="F922" s="47">
        <f>+$I$4+(CLIENT[[#This Row],[QUANTITE]]*CLIENT[[#This Row],[PRIX UNITAIRE]])</f>
        <v>185000</v>
      </c>
      <c r="G922" s="48"/>
      <c r="H922" s="49">
        <f>+SUM($F$9:F922)-SUM($G$9:G922)</f>
        <v>11678000</v>
      </c>
    </row>
    <row r="923" spans="1:8" ht="28.8" x14ac:dyDescent="0.55000000000000004">
      <c r="A923" s="43"/>
      <c r="B923" s="43"/>
      <c r="C923" s="44" t="s">
        <v>1239</v>
      </c>
      <c r="D923" s="45">
        <v>1</v>
      </c>
      <c r="E923" s="46">
        <v>45000</v>
      </c>
      <c r="F923" s="47">
        <f>+$I$4+(CLIENT[[#This Row],[QUANTITE]]*CLIENT[[#This Row],[PRIX UNITAIRE]])</f>
        <v>45000</v>
      </c>
      <c r="G923" s="48"/>
      <c r="H923" s="49">
        <f>+SUM($F$9:F923)-SUM($G$9:G923)</f>
        <v>11723000</v>
      </c>
    </row>
    <row r="924" spans="1:8" ht="28.8" x14ac:dyDescent="0.55000000000000004">
      <c r="A924" s="43">
        <v>45096</v>
      </c>
      <c r="B924" s="43" t="s">
        <v>1737</v>
      </c>
      <c r="C924" s="44" t="s">
        <v>2262</v>
      </c>
      <c r="D924" s="45">
        <v>1</v>
      </c>
      <c r="E924" s="46">
        <v>150000</v>
      </c>
      <c r="F924" s="47">
        <f>+$I$4+(CLIENT[[#This Row],[QUANTITE]]*CLIENT[[#This Row],[PRIX UNITAIRE]])</f>
        <v>150000</v>
      </c>
      <c r="G924" s="48"/>
      <c r="H924" s="49">
        <f>+SUM($F$9:F924)-SUM($G$9:G924)</f>
        <v>11873000</v>
      </c>
    </row>
    <row r="925" spans="1:8" ht="28.8" x14ac:dyDescent="0.55000000000000004">
      <c r="A925" s="43">
        <v>45188</v>
      </c>
      <c r="B925" s="43" t="s">
        <v>2234</v>
      </c>
      <c r="C925" s="44" t="s">
        <v>2263</v>
      </c>
      <c r="D925" s="45">
        <v>1</v>
      </c>
      <c r="E925" s="46">
        <v>150000</v>
      </c>
      <c r="F925" s="47">
        <f>+$I$4+(CLIENT[[#This Row],[QUANTITE]]*CLIENT[[#This Row],[PRIX UNITAIRE]])</f>
        <v>150000</v>
      </c>
      <c r="G925" s="48"/>
      <c r="H925" s="49">
        <f>+SUM($F$9:F925)-SUM($G$9:G925)</f>
        <v>12023000</v>
      </c>
    </row>
    <row r="926" spans="1:8" ht="28.8" x14ac:dyDescent="0.55000000000000004">
      <c r="A926" s="43"/>
      <c r="B926" s="43"/>
      <c r="C926" s="44" t="s">
        <v>2198</v>
      </c>
      <c r="D926" s="45">
        <v>1</v>
      </c>
      <c r="E926" s="46">
        <v>45000</v>
      </c>
      <c r="F926" s="47">
        <f>+$I$4+(CLIENT[[#This Row],[QUANTITE]]*CLIENT[[#This Row],[PRIX UNITAIRE]])</f>
        <v>45000</v>
      </c>
      <c r="G926" s="48"/>
      <c r="H926" s="49">
        <f>+SUM($F$9:F926)-SUM($G$9:G926)</f>
        <v>12068000</v>
      </c>
    </row>
    <row r="927" spans="1:8" ht="28.8" x14ac:dyDescent="0.55000000000000004">
      <c r="A927" s="43">
        <v>45188</v>
      </c>
      <c r="B927" s="43" t="s">
        <v>1233</v>
      </c>
      <c r="C927" s="44" t="s">
        <v>2264</v>
      </c>
      <c r="D927" s="45">
        <v>2</v>
      </c>
      <c r="E927" s="46">
        <v>100000</v>
      </c>
      <c r="F927" s="47">
        <f>+$I$4+(CLIENT[[#This Row],[QUANTITE]]*CLIENT[[#This Row],[PRIX UNITAIRE]])</f>
        <v>200000</v>
      </c>
      <c r="G927" s="48"/>
      <c r="H927" s="49">
        <f>+SUM($F$9:F927)-SUM($G$9:G927)</f>
        <v>12268000</v>
      </c>
    </row>
    <row r="928" spans="1:8" ht="28.8" x14ac:dyDescent="0.55000000000000004">
      <c r="A928" s="43">
        <v>45189</v>
      </c>
      <c r="B928" s="43" t="s">
        <v>1737</v>
      </c>
      <c r="C928" s="44" t="s">
        <v>2265</v>
      </c>
      <c r="D928" s="45">
        <v>1</v>
      </c>
      <c r="E928" s="46">
        <v>150000</v>
      </c>
      <c r="F928" s="47">
        <f>+$I$4+(CLIENT[[#This Row],[QUANTITE]]*CLIENT[[#This Row],[PRIX UNITAIRE]])</f>
        <v>150000</v>
      </c>
      <c r="G928" s="48"/>
      <c r="H928" s="49">
        <f>+SUM($F$9:F928)-SUM($G$9:G928)</f>
        <v>12418000</v>
      </c>
    </row>
    <row r="929" spans="1:8" ht="28.8" x14ac:dyDescent="0.55000000000000004">
      <c r="A929" s="43"/>
      <c r="B929" s="43"/>
      <c r="C929" s="44" t="s">
        <v>2266</v>
      </c>
      <c r="D929" s="45">
        <v>1</v>
      </c>
      <c r="E929" s="46">
        <v>150000</v>
      </c>
      <c r="F929" s="47">
        <f>+$I$4+(CLIENT[[#This Row],[QUANTITE]]*CLIENT[[#This Row],[PRIX UNITAIRE]])</f>
        <v>150000</v>
      </c>
      <c r="G929" s="48"/>
      <c r="H929" s="49">
        <f>+SUM($F$9:F929)-SUM($G$9:G929)</f>
        <v>12568000</v>
      </c>
    </row>
    <row r="930" spans="1:8" ht="28.8" x14ac:dyDescent="0.55000000000000004">
      <c r="A930" s="43">
        <v>45191</v>
      </c>
      <c r="B930" s="43" t="s">
        <v>2267</v>
      </c>
      <c r="C930" s="44" t="s">
        <v>2268</v>
      </c>
      <c r="D930" s="45">
        <v>1</v>
      </c>
      <c r="E930" s="46">
        <v>150000</v>
      </c>
      <c r="F930" s="47">
        <f>+$I$4+(CLIENT[[#This Row],[QUANTITE]]*CLIENT[[#This Row],[PRIX UNITAIRE]])</f>
        <v>150000</v>
      </c>
      <c r="G930" s="48"/>
      <c r="H930" s="49">
        <f>+SUM($F$9:F930)-SUM($G$9:G930)</f>
        <v>12718000</v>
      </c>
    </row>
    <row r="931" spans="1:8" ht="28.8" x14ac:dyDescent="0.55000000000000004">
      <c r="A931" s="43"/>
      <c r="B931" s="43"/>
      <c r="C931" s="44" t="s">
        <v>2269</v>
      </c>
      <c r="D931" s="45">
        <v>1</v>
      </c>
      <c r="E931" s="46">
        <v>10000</v>
      </c>
      <c r="F931" s="47">
        <f>+$I$4+(CLIENT[[#This Row],[QUANTITE]]*CLIENT[[#This Row],[PRIX UNITAIRE]])</f>
        <v>10000</v>
      </c>
      <c r="G931" s="48"/>
      <c r="H931" s="49">
        <f>+SUM($F$9:F931)-SUM($G$9:G931)</f>
        <v>12728000</v>
      </c>
    </row>
    <row r="932" spans="1:8" ht="28.8" x14ac:dyDescent="0.55000000000000004">
      <c r="A932" s="43">
        <v>45097</v>
      </c>
      <c r="B932" s="43" t="s">
        <v>2046</v>
      </c>
      <c r="C932" s="44" t="s">
        <v>2270</v>
      </c>
      <c r="D932" s="45">
        <v>1</v>
      </c>
      <c r="E932" s="46">
        <v>185000</v>
      </c>
      <c r="F932" s="47">
        <f>+$I$4+(CLIENT[[#This Row],[QUANTITE]]*CLIENT[[#This Row],[PRIX UNITAIRE]])</f>
        <v>185000</v>
      </c>
      <c r="G932" s="48"/>
      <c r="H932" s="49">
        <f>+SUM($F$9:F932)-SUM($G$9:G932)</f>
        <v>12913000</v>
      </c>
    </row>
    <row r="933" spans="1:8" ht="28.8" x14ac:dyDescent="0.55000000000000004">
      <c r="A933" s="43">
        <v>45100</v>
      </c>
      <c r="B933" s="43" t="s">
        <v>1459</v>
      </c>
      <c r="C933" s="44" t="s">
        <v>2271</v>
      </c>
      <c r="D933" s="45">
        <v>1</v>
      </c>
      <c r="E933" s="46">
        <v>185000</v>
      </c>
      <c r="F933" s="47">
        <f>+$I$4+(CLIENT[[#This Row],[QUANTITE]]*CLIENT[[#This Row],[PRIX UNITAIRE]])</f>
        <v>185000</v>
      </c>
      <c r="G933" s="48"/>
      <c r="H933" s="49">
        <f>+SUM($F$9:F933)-SUM($G$9:G933)</f>
        <v>13098000</v>
      </c>
    </row>
    <row r="934" spans="1:8" ht="28.8" x14ac:dyDescent="0.55000000000000004">
      <c r="A934" s="43">
        <v>45100</v>
      </c>
      <c r="B934" s="43" t="s">
        <v>1343</v>
      </c>
      <c r="C934" s="44" t="s">
        <v>2272</v>
      </c>
      <c r="D934" s="45">
        <v>1</v>
      </c>
      <c r="E934" s="46">
        <v>185000</v>
      </c>
      <c r="F934" s="47">
        <f>+$I$4+(CLIENT[[#This Row],[QUANTITE]]*CLIENT[[#This Row],[PRIX UNITAIRE]])</f>
        <v>185000</v>
      </c>
      <c r="G934" s="48"/>
      <c r="H934" s="49">
        <f>+SUM($F$9:F934)-SUM($G$9:G934)</f>
        <v>13283000</v>
      </c>
    </row>
    <row r="935" spans="1:8" ht="28.8" x14ac:dyDescent="0.55000000000000004">
      <c r="A935" s="43">
        <v>45101</v>
      </c>
      <c r="B935" s="43" t="s">
        <v>1233</v>
      </c>
      <c r="C935" s="44" t="s">
        <v>218</v>
      </c>
      <c r="D935" s="45">
        <v>2</v>
      </c>
      <c r="E935" s="46">
        <v>15000</v>
      </c>
      <c r="F935" s="47">
        <f>+$I$4+(CLIENT[[#This Row],[QUANTITE]]*CLIENT[[#This Row],[PRIX UNITAIRE]])</f>
        <v>30000</v>
      </c>
      <c r="G935" s="48"/>
      <c r="H935" s="49">
        <f>+SUM($F$9:F935)-SUM($G$9:G935)</f>
        <v>13313000</v>
      </c>
    </row>
    <row r="936" spans="1:8" ht="28.8" x14ac:dyDescent="0.55000000000000004">
      <c r="A936" s="43">
        <v>45107</v>
      </c>
      <c r="B936" s="43" t="s">
        <v>1640</v>
      </c>
      <c r="C936" s="44" t="s">
        <v>2273</v>
      </c>
      <c r="D936" s="45">
        <v>2</v>
      </c>
      <c r="E936" s="46">
        <v>150000</v>
      </c>
      <c r="F936" s="47">
        <f>+$I$4+(CLIENT[[#This Row],[QUANTITE]]*CLIENT[[#This Row],[PRIX UNITAIRE]])</f>
        <v>300000</v>
      </c>
      <c r="G936" s="48"/>
      <c r="H936" s="49">
        <f>+SUM($F$9:F936)-SUM($G$9:G936)</f>
        <v>13613000</v>
      </c>
    </row>
    <row r="937" spans="1:8" ht="28.8" x14ac:dyDescent="0.55000000000000004">
      <c r="A937" s="43">
        <v>45108</v>
      </c>
      <c r="B937" s="43" t="s">
        <v>1712</v>
      </c>
      <c r="C937" s="44" t="s">
        <v>2274</v>
      </c>
      <c r="D937" s="45">
        <v>3</v>
      </c>
      <c r="E937" s="46">
        <v>100000</v>
      </c>
      <c r="F937" s="47">
        <f>+$I$4+(CLIENT[[#This Row],[QUANTITE]]*CLIENT[[#This Row],[PRIX UNITAIRE]])</f>
        <v>300000</v>
      </c>
      <c r="G937" s="48"/>
      <c r="H937" s="49">
        <f>+SUM($F$9:F937)-SUM($G$9:G937)</f>
        <v>13913000</v>
      </c>
    </row>
    <row r="938" spans="1:8" ht="28.8" x14ac:dyDescent="0.55000000000000004">
      <c r="A938" s="43">
        <v>45113</v>
      </c>
      <c r="B938" s="43" t="s">
        <v>1727</v>
      </c>
      <c r="C938" s="44" t="s">
        <v>2275</v>
      </c>
      <c r="D938" s="45">
        <v>1</v>
      </c>
      <c r="E938" s="46">
        <v>185000</v>
      </c>
      <c r="F938" s="47">
        <f>+$I$4+(CLIENT[[#This Row],[QUANTITE]]*CLIENT[[#This Row],[PRIX UNITAIRE]])</f>
        <v>185000</v>
      </c>
      <c r="G938" s="48"/>
      <c r="H938" s="49">
        <f>+SUM($F$9:F938)-SUM($G$9:G938)</f>
        <v>14098000</v>
      </c>
    </row>
    <row r="939" spans="1:8" ht="28.8" x14ac:dyDescent="0.55000000000000004">
      <c r="A939" s="43">
        <v>45194</v>
      </c>
      <c r="B939" s="43" t="s">
        <v>1592</v>
      </c>
      <c r="C939" s="44" t="s">
        <v>2276</v>
      </c>
      <c r="D939" s="45">
        <v>1</v>
      </c>
      <c r="E939" s="46">
        <v>150000</v>
      </c>
      <c r="F939" s="47">
        <f>+$I$4+(CLIENT[[#This Row],[QUANTITE]]*CLIENT[[#This Row],[PRIX UNITAIRE]])</f>
        <v>150000</v>
      </c>
      <c r="G939" s="48"/>
      <c r="H939" s="49">
        <f>+SUM($F$9:F939)-SUM($G$9:G939)</f>
        <v>14248000</v>
      </c>
    </row>
    <row r="940" spans="1:8" ht="28.8" x14ac:dyDescent="0.55000000000000004">
      <c r="A940" s="43"/>
      <c r="B940" s="43"/>
      <c r="C940" s="44" t="s">
        <v>2277</v>
      </c>
      <c r="D940" s="45">
        <v>1</v>
      </c>
      <c r="E940" s="46">
        <v>185000</v>
      </c>
      <c r="F940" s="47">
        <f>+$I$4+(CLIENT[[#This Row],[QUANTITE]]*CLIENT[[#This Row],[PRIX UNITAIRE]])</f>
        <v>185000</v>
      </c>
      <c r="G940" s="48"/>
      <c r="H940" s="49">
        <f>+SUM($F$9:F940)-SUM($G$9:G940)</f>
        <v>14433000</v>
      </c>
    </row>
    <row r="941" spans="1:8" ht="28.8" x14ac:dyDescent="0.55000000000000004">
      <c r="A941" s="43">
        <v>45201</v>
      </c>
      <c r="B941" s="43" t="s">
        <v>1737</v>
      </c>
      <c r="C941" s="44" t="s">
        <v>2278</v>
      </c>
      <c r="D941" s="45">
        <v>1</v>
      </c>
      <c r="E941" s="46">
        <v>185000</v>
      </c>
      <c r="F941" s="47">
        <f>+$I$4+(CLIENT[[#This Row],[QUANTITE]]*CLIENT[[#This Row],[PRIX UNITAIRE]])</f>
        <v>185000</v>
      </c>
      <c r="G941" s="48"/>
      <c r="H941" s="49">
        <f>+SUM($F$9:F941)-SUM($G$9:G941)</f>
        <v>14618000</v>
      </c>
    </row>
    <row r="942" spans="1:8" ht="28.8" x14ac:dyDescent="0.55000000000000004">
      <c r="A942" s="43">
        <v>45201</v>
      </c>
      <c r="B942" s="43" t="s">
        <v>2046</v>
      </c>
      <c r="C942" s="44" t="s">
        <v>2279</v>
      </c>
      <c r="D942" s="45">
        <v>1</v>
      </c>
      <c r="E942" s="46">
        <v>185000</v>
      </c>
      <c r="F942" s="47">
        <f>+$I$4+(CLIENT[[#This Row],[QUANTITE]]*CLIENT[[#This Row],[PRIX UNITAIRE]])</f>
        <v>185000</v>
      </c>
      <c r="G942" s="48"/>
      <c r="H942" s="49">
        <f>+SUM($F$9:F942)-SUM($G$9:G942)</f>
        <v>14803000</v>
      </c>
    </row>
    <row r="943" spans="1:8" ht="28.8" x14ac:dyDescent="0.55000000000000004">
      <c r="A943" s="43">
        <v>45201</v>
      </c>
      <c r="B943" s="43" t="s">
        <v>2280</v>
      </c>
      <c r="C943" s="44" t="s">
        <v>2281</v>
      </c>
      <c r="D943" s="45">
        <v>1</v>
      </c>
      <c r="E943" s="46">
        <v>185000</v>
      </c>
      <c r="F943" s="47">
        <f>+$I$4+(CLIENT[[#This Row],[QUANTITE]]*CLIENT[[#This Row],[PRIX UNITAIRE]])</f>
        <v>185000</v>
      </c>
      <c r="G943" s="48"/>
      <c r="H943" s="49">
        <f>+SUM($F$9:F943)-SUM($G$9:G943)</f>
        <v>14988000</v>
      </c>
    </row>
    <row r="944" spans="1:8" ht="28.8" x14ac:dyDescent="0.55000000000000004">
      <c r="A944" s="43">
        <v>45201</v>
      </c>
      <c r="B944" s="43" t="s">
        <v>2212</v>
      </c>
      <c r="C944" s="44" t="s">
        <v>218</v>
      </c>
      <c r="D944" s="45">
        <v>2</v>
      </c>
      <c r="E944" s="46">
        <v>15000</v>
      </c>
      <c r="F944" s="47">
        <f>+$I$4+(CLIENT[[#This Row],[QUANTITE]]*CLIENT[[#This Row],[PRIX UNITAIRE]])</f>
        <v>30000</v>
      </c>
      <c r="G944" s="48"/>
      <c r="H944" s="49">
        <f>+SUM($F$9:F944)-SUM($G$9:G944)</f>
        <v>15018000</v>
      </c>
    </row>
    <row r="945" spans="1:8" ht="28.8" x14ac:dyDescent="0.55000000000000004">
      <c r="A945" s="43">
        <v>45210</v>
      </c>
      <c r="B945" s="43" t="s">
        <v>1600</v>
      </c>
      <c r="C945" s="44" t="s">
        <v>624</v>
      </c>
      <c r="D945" s="45">
        <v>2</v>
      </c>
      <c r="E945" s="46">
        <v>100000</v>
      </c>
      <c r="F945" s="47">
        <f>+$I$4+(CLIENT[[#This Row],[QUANTITE]]*CLIENT[[#This Row],[PRIX UNITAIRE]])</f>
        <v>200000</v>
      </c>
      <c r="G945" s="48"/>
      <c r="H945" s="49">
        <f>+SUM($F$9:F945)-SUM($G$9:G945)</f>
        <v>15218000</v>
      </c>
    </row>
    <row r="946" spans="1:8" ht="28.8" x14ac:dyDescent="0.55000000000000004">
      <c r="A946" s="43">
        <v>45210</v>
      </c>
      <c r="B946" s="43" t="s">
        <v>1992</v>
      </c>
      <c r="C946" s="44" t="s">
        <v>2282</v>
      </c>
      <c r="D946" s="45">
        <v>1</v>
      </c>
      <c r="E946" s="46">
        <v>185000</v>
      </c>
      <c r="F946" s="47">
        <f>+$I$4+(CLIENT[[#This Row],[QUANTITE]]*CLIENT[[#This Row],[PRIX UNITAIRE]])</f>
        <v>185000</v>
      </c>
      <c r="G946" s="48"/>
      <c r="H946" s="49">
        <f>+SUM($F$9:F946)-SUM($G$9:G946)</f>
        <v>15403000</v>
      </c>
    </row>
    <row r="947" spans="1:8" ht="28.8" x14ac:dyDescent="0.55000000000000004">
      <c r="A947" s="43"/>
      <c r="B947" s="43"/>
      <c r="C947" s="44" t="s">
        <v>624</v>
      </c>
      <c r="D947" s="45">
        <v>2</v>
      </c>
      <c r="E947" s="46">
        <v>100000</v>
      </c>
      <c r="F947" s="47">
        <f>+$I$4+(CLIENT[[#This Row],[QUANTITE]]*CLIENT[[#This Row],[PRIX UNITAIRE]])</f>
        <v>200000</v>
      </c>
      <c r="G947" s="48"/>
      <c r="H947" s="49">
        <f>+SUM($F$9:F947)-SUM($G$9:G947)</f>
        <v>15603000</v>
      </c>
    </row>
    <row r="948" spans="1:8" ht="28.8" x14ac:dyDescent="0.55000000000000004">
      <c r="A948" s="43">
        <v>45212</v>
      </c>
      <c r="B948" s="43" t="s">
        <v>2126</v>
      </c>
      <c r="C948" s="44" t="s">
        <v>2283</v>
      </c>
      <c r="D948" s="45">
        <v>1</v>
      </c>
      <c r="E948" s="46">
        <v>185000</v>
      </c>
      <c r="F948" s="47">
        <f>+$I$4+(CLIENT[[#This Row],[QUANTITE]]*CLIENT[[#This Row],[PRIX UNITAIRE]])</f>
        <v>185000</v>
      </c>
      <c r="G948" s="48"/>
      <c r="H948" s="49">
        <f>+SUM($F$9:F948)-SUM($G$9:G948)</f>
        <v>15788000</v>
      </c>
    </row>
    <row r="949" spans="1:8" ht="28.8" x14ac:dyDescent="0.55000000000000004">
      <c r="A949" s="43">
        <v>45212</v>
      </c>
      <c r="B949" s="43" t="s">
        <v>2212</v>
      </c>
      <c r="C949" s="44" t="s">
        <v>624</v>
      </c>
      <c r="D949" s="45">
        <v>1</v>
      </c>
      <c r="E949" s="46">
        <v>100000</v>
      </c>
      <c r="F949" s="47">
        <f>+$I$4+(CLIENT[[#This Row],[QUANTITE]]*CLIENT[[#This Row],[PRIX UNITAIRE]])</f>
        <v>100000</v>
      </c>
      <c r="G949" s="48"/>
      <c r="H949" s="49">
        <f>+SUM($F$9:F949)-SUM($G$9:G949)</f>
        <v>15888000</v>
      </c>
    </row>
    <row r="950" spans="1:8" ht="28.8" x14ac:dyDescent="0.55000000000000004">
      <c r="A950" s="43">
        <v>45212</v>
      </c>
      <c r="B950" s="43" t="s">
        <v>1461</v>
      </c>
      <c r="C950" s="44" t="s">
        <v>2284</v>
      </c>
      <c r="D950" s="45">
        <v>1</v>
      </c>
      <c r="E950" s="46">
        <v>185000</v>
      </c>
      <c r="F950" s="47">
        <f>+$I$4+(CLIENT[[#This Row],[QUANTITE]]*CLIENT[[#This Row],[PRIX UNITAIRE]])</f>
        <v>185000</v>
      </c>
      <c r="G950" s="48"/>
      <c r="H950" s="49">
        <f>+SUM($F$9:F950)-SUM($G$9:G950)</f>
        <v>16073000</v>
      </c>
    </row>
    <row r="951" spans="1:8" ht="28.8" x14ac:dyDescent="0.55000000000000004">
      <c r="A951" s="43"/>
      <c r="B951" s="43"/>
      <c r="C951" s="44" t="s">
        <v>2285</v>
      </c>
      <c r="D951" s="45">
        <v>1</v>
      </c>
      <c r="E951" s="46">
        <v>60000</v>
      </c>
      <c r="F951" s="47">
        <f>+$I$4+(CLIENT[[#This Row],[QUANTITE]]*CLIENT[[#This Row],[PRIX UNITAIRE]])</f>
        <v>60000</v>
      </c>
      <c r="G951" s="48"/>
      <c r="H951" s="49">
        <f>+SUM($F$9:F951)-SUM($G$9:G951)</f>
        <v>16133000</v>
      </c>
    </row>
    <row r="952" spans="1:8" ht="28.8" x14ac:dyDescent="0.55000000000000004">
      <c r="A952" s="43"/>
      <c r="B952" s="43"/>
      <c r="C952" s="44" t="s">
        <v>1844</v>
      </c>
      <c r="D952" s="45">
        <v>1</v>
      </c>
      <c r="E952" s="46">
        <v>5000</v>
      </c>
      <c r="F952" s="47">
        <f>+$I$4+(CLIENT[[#This Row],[QUANTITE]]*CLIENT[[#This Row],[PRIX UNITAIRE]])</f>
        <v>5000</v>
      </c>
      <c r="G952" s="48"/>
      <c r="H952" s="49">
        <f>+SUM($F$9:F952)-SUM($G$9:G952)</f>
        <v>16138000</v>
      </c>
    </row>
    <row r="953" spans="1:8" ht="28.8" x14ac:dyDescent="0.55000000000000004">
      <c r="A953" s="43">
        <v>45213</v>
      </c>
      <c r="B953" s="43" t="s">
        <v>2132</v>
      </c>
      <c r="C953" s="44" t="s">
        <v>2286</v>
      </c>
      <c r="D953" s="45">
        <v>1</v>
      </c>
      <c r="E953" s="46">
        <v>185000</v>
      </c>
      <c r="F953" s="47">
        <f>+$I$4+(CLIENT[[#This Row],[QUANTITE]]*CLIENT[[#This Row],[PRIX UNITAIRE]])</f>
        <v>185000</v>
      </c>
      <c r="G953" s="48"/>
      <c r="H953" s="49">
        <f>+SUM($F$9:F953)-SUM($G$9:G953)</f>
        <v>16323000</v>
      </c>
    </row>
    <row r="954" spans="1:8" ht="28.8" x14ac:dyDescent="0.55000000000000004">
      <c r="A954" s="43">
        <v>45213</v>
      </c>
      <c r="B954" s="43" t="s">
        <v>2116</v>
      </c>
      <c r="C954" s="44" t="s">
        <v>2287</v>
      </c>
      <c r="D954" s="45">
        <v>1</v>
      </c>
      <c r="E954" s="46">
        <v>185000</v>
      </c>
      <c r="F954" s="47">
        <f>+$I$4+(CLIENT[[#This Row],[QUANTITE]]*CLIENT[[#This Row],[PRIX UNITAIRE]])</f>
        <v>185000</v>
      </c>
      <c r="G954" s="48"/>
      <c r="H954" s="49">
        <f>+SUM($F$9:F954)-SUM($G$9:G954)</f>
        <v>16508000</v>
      </c>
    </row>
    <row r="955" spans="1:8" ht="28.8" x14ac:dyDescent="0.55000000000000004">
      <c r="A955" s="43"/>
      <c r="B955" s="43"/>
      <c r="C955" s="44" t="s">
        <v>860</v>
      </c>
      <c r="D955" s="45">
        <v>1</v>
      </c>
      <c r="E955" s="46">
        <v>45000</v>
      </c>
      <c r="F955" s="47">
        <f>+$I$4+(CLIENT[[#This Row],[QUANTITE]]*CLIENT[[#This Row],[PRIX UNITAIRE]])</f>
        <v>45000</v>
      </c>
      <c r="G955" s="48"/>
      <c r="H955" s="49">
        <f>+SUM($F$9:F955)-SUM($G$9:G955)</f>
        <v>16553000</v>
      </c>
    </row>
    <row r="956" spans="1:8" ht="28.8" x14ac:dyDescent="0.55000000000000004">
      <c r="A956" s="43"/>
      <c r="B956" s="43"/>
      <c r="C956" s="44" t="s">
        <v>1844</v>
      </c>
      <c r="D956" s="45">
        <v>1</v>
      </c>
      <c r="E956" s="46">
        <v>10000</v>
      </c>
      <c r="F956" s="47">
        <f>+$I$4+(CLIENT[[#This Row],[QUANTITE]]*CLIENT[[#This Row],[PRIX UNITAIRE]])</f>
        <v>10000</v>
      </c>
      <c r="G956" s="48"/>
      <c r="H956" s="49">
        <f>+SUM($F$9:F956)-SUM($G$9:G956)</f>
        <v>16563000</v>
      </c>
    </row>
    <row r="957" spans="1:8" ht="28.8" x14ac:dyDescent="0.55000000000000004">
      <c r="A957" s="43">
        <v>45217</v>
      </c>
      <c r="B957" s="43" t="s">
        <v>2116</v>
      </c>
      <c r="C957" s="44" t="s">
        <v>2288</v>
      </c>
      <c r="D957" s="45">
        <v>1</v>
      </c>
      <c r="E957" s="46">
        <v>185000</v>
      </c>
      <c r="F957" s="47">
        <f>+$I$4+(CLIENT[[#This Row],[QUANTITE]]*CLIENT[[#This Row],[PRIX UNITAIRE]])</f>
        <v>185000</v>
      </c>
      <c r="G957" s="48"/>
      <c r="H957" s="49">
        <f>+SUM($F$9:F957)-SUM($G$9:G957)</f>
        <v>16748000</v>
      </c>
    </row>
    <row r="958" spans="1:8" ht="28.8" x14ac:dyDescent="0.55000000000000004">
      <c r="A958" s="43"/>
      <c r="B958" s="43"/>
      <c r="C958" s="44" t="s">
        <v>218</v>
      </c>
      <c r="D958" s="45">
        <v>2</v>
      </c>
      <c r="E958" s="46">
        <v>15000</v>
      </c>
      <c r="F958" s="47">
        <f>+$I$4+(CLIENT[[#This Row],[QUANTITE]]*CLIENT[[#This Row],[PRIX UNITAIRE]])</f>
        <v>30000</v>
      </c>
      <c r="G958" s="48"/>
      <c r="H958" s="49">
        <f>+SUM($F$9:F958)-SUM($G$9:G958)</f>
        <v>16778000</v>
      </c>
    </row>
    <row r="959" spans="1:8" ht="28.8" x14ac:dyDescent="0.55000000000000004">
      <c r="A959" s="43">
        <v>45218</v>
      </c>
      <c r="B959" s="43" t="s">
        <v>1424</v>
      </c>
      <c r="C959" s="44" t="s">
        <v>2289</v>
      </c>
      <c r="D959" s="45">
        <v>1</v>
      </c>
      <c r="E959" s="46">
        <v>150000</v>
      </c>
      <c r="F959" s="47">
        <f>+$I$4+(CLIENT[[#This Row],[QUANTITE]]*CLIENT[[#This Row],[PRIX UNITAIRE]])</f>
        <v>150000</v>
      </c>
      <c r="G959" s="48"/>
      <c r="H959" s="49">
        <f>+SUM($F$9:F959)-SUM($G$9:G959)</f>
        <v>16928000</v>
      </c>
    </row>
    <row r="960" spans="1:8" ht="28.8" x14ac:dyDescent="0.55000000000000004">
      <c r="A960" s="43"/>
      <c r="B960" s="43"/>
      <c r="C960" s="44" t="s">
        <v>624</v>
      </c>
      <c r="D960" s="45">
        <v>2</v>
      </c>
      <c r="E960" s="46">
        <v>100000</v>
      </c>
      <c r="F960" s="47">
        <f>+$I$4+(CLIENT[[#This Row],[QUANTITE]]*CLIENT[[#This Row],[PRIX UNITAIRE]])</f>
        <v>200000</v>
      </c>
      <c r="G960" s="48"/>
      <c r="H960" s="49">
        <f>+SUM($F$9:F960)-SUM($G$9:G960)</f>
        <v>17128000</v>
      </c>
    </row>
    <row r="961" spans="1:8" ht="28.8" x14ac:dyDescent="0.55000000000000004">
      <c r="A961" s="43">
        <v>45219</v>
      </c>
      <c r="B961" s="43" t="s">
        <v>1461</v>
      </c>
      <c r="C961" s="44" t="s">
        <v>83</v>
      </c>
      <c r="D961" s="45">
        <v>1</v>
      </c>
      <c r="E961" s="46">
        <v>15000</v>
      </c>
      <c r="F961" s="47">
        <f>+$I$4+(CLIENT[[#This Row],[QUANTITE]]*CLIENT[[#This Row],[PRIX UNITAIRE]])</f>
        <v>15000</v>
      </c>
      <c r="G961" s="48"/>
      <c r="H961" s="49">
        <f>+SUM($F$9:F961)-SUM($G$9:G961)</f>
        <v>17143000</v>
      </c>
    </row>
    <row r="962" spans="1:8" ht="28.8" x14ac:dyDescent="0.55000000000000004">
      <c r="A962" s="43">
        <v>45220</v>
      </c>
      <c r="B962" s="43" t="s">
        <v>1459</v>
      </c>
      <c r="C962" s="44" t="s">
        <v>2290</v>
      </c>
      <c r="D962" s="45">
        <v>1</v>
      </c>
      <c r="E962" s="46">
        <v>185000</v>
      </c>
      <c r="F962" s="47">
        <f>+$I$4+(CLIENT[[#This Row],[QUANTITE]]*CLIENT[[#This Row],[PRIX UNITAIRE]])</f>
        <v>185000</v>
      </c>
      <c r="G962" s="48"/>
      <c r="H962" s="49">
        <f>+SUM($F$9:F962)-SUM($G$9:G962)</f>
        <v>17328000</v>
      </c>
    </row>
    <row r="963" spans="1:8" ht="28.8" x14ac:dyDescent="0.55000000000000004">
      <c r="A963" s="43"/>
      <c r="B963" s="43"/>
      <c r="C963" s="44" t="s">
        <v>83</v>
      </c>
      <c r="D963" s="45">
        <v>2</v>
      </c>
      <c r="E963" s="46">
        <v>15000</v>
      </c>
      <c r="F963" s="47">
        <f>+$I$4+(CLIENT[[#This Row],[QUANTITE]]*CLIENT[[#This Row],[PRIX UNITAIRE]])</f>
        <v>30000</v>
      </c>
      <c r="G963" s="48"/>
      <c r="H963" s="49">
        <f>+SUM($F$9:F963)-SUM($G$9:G963)</f>
        <v>17358000</v>
      </c>
    </row>
    <row r="964" spans="1:8" ht="28.8" x14ac:dyDescent="0.55000000000000004">
      <c r="A964" s="43">
        <v>45222</v>
      </c>
      <c r="B964" s="43" t="s">
        <v>2212</v>
      </c>
      <c r="C964" s="44" t="s">
        <v>83</v>
      </c>
      <c r="D964" s="45">
        <v>1</v>
      </c>
      <c r="E964" s="46">
        <v>15000</v>
      </c>
      <c r="F964" s="47">
        <f>+$I$4+(CLIENT[[#This Row],[QUANTITE]]*CLIENT[[#This Row],[PRIX UNITAIRE]])</f>
        <v>15000</v>
      </c>
      <c r="G964" s="48"/>
      <c r="H964" s="49">
        <f>+SUM($F$9:F964)-SUM($G$9:G964)</f>
        <v>17373000</v>
      </c>
    </row>
    <row r="965" spans="1:8" ht="28.8" x14ac:dyDescent="0.55000000000000004">
      <c r="A965" s="43">
        <v>45222</v>
      </c>
      <c r="B965" s="43" t="s">
        <v>1459</v>
      </c>
      <c r="C965" s="44" t="s">
        <v>2291</v>
      </c>
      <c r="D965" s="45">
        <v>2</v>
      </c>
      <c r="E965" s="46">
        <v>100000</v>
      </c>
      <c r="F965" s="47">
        <f>+$I$4+(CLIENT[[#This Row],[QUANTITE]]*CLIENT[[#This Row],[PRIX UNITAIRE]])</f>
        <v>200000</v>
      </c>
      <c r="G965" s="48"/>
      <c r="H965" s="49">
        <f>+SUM($F$9:F965)-SUM($G$9:G965)</f>
        <v>17573000</v>
      </c>
    </row>
    <row r="966" spans="1:8" ht="28.8" x14ac:dyDescent="0.55000000000000004">
      <c r="A966" s="43">
        <v>45223</v>
      </c>
      <c r="B966" s="43" t="s">
        <v>1144</v>
      </c>
      <c r="C966" s="44" t="s">
        <v>2292</v>
      </c>
      <c r="D966" s="45">
        <v>1</v>
      </c>
      <c r="E966" s="46">
        <v>150000</v>
      </c>
      <c r="F966" s="47">
        <f>+$I$4+(CLIENT[[#This Row],[QUANTITE]]*CLIENT[[#This Row],[PRIX UNITAIRE]])</f>
        <v>150000</v>
      </c>
      <c r="G966" s="48"/>
      <c r="H966" s="49">
        <f>+SUM($F$9:F966)-SUM($G$9:G966)</f>
        <v>17723000</v>
      </c>
    </row>
    <row r="967" spans="1:8" ht="28.8" x14ac:dyDescent="0.55000000000000004">
      <c r="A967" s="43">
        <v>45225</v>
      </c>
      <c r="B967" s="43" t="s">
        <v>2246</v>
      </c>
      <c r="C967" s="44" t="s">
        <v>2293</v>
      </c>
      <c r="D967" s="45">
        <v>1</v>
      </c>
      <c r="E967" s="46">
        <v>185000</v>
      </c>
      <c r="F967" s="47">
        <f>+$I$4+(CLIENT[[#This Row],[QUANTITE]]*CLIENT[[#This Row],[PRIX UNITAIRE]])</f>
        <v>185000</v>
      </c>
      <c r="G967" s="48"/>
      <c r="H967" s="49">
        <f>+SUM($F$9:F967)-SUM($G$9:G967)</f>
        <v>17908000</v>
      </c>
    </row>
    <row r="968" spans="1:8" ht="28.8" x14ac:dyDescent="0.55000000000000004">
      <c r="A968" s="43">
        <v>45227</v>
      </c>
      <c r="B968" s="43" t="s">
        <v>2294</v>
      </c>
      <c r="C968" s="44" t="s">
        <v>2295</v>
      </c>
      <c r="D968" s="45">
        <v>1</v>
      </c>
      <c r="E968" s="46">
        <v>185000</v>
      </c>
      <c r="F968" s="47">
        <f>+$I$4+(CLIENT[[#This Row],[QUANTITE]]*CLIENT[[#This Row],[PRIX UNITAIRE]])</f>
        <v>185000</v>
      </c>
      <c r="G968" s="48"/>
      <c r="H968" s="49">
        <f>+SUM($F$9:F968)-SUM($G$9:G968)</f>
        <v>18093000</v>
      </c>
    </row>
    <row r="969" spans="1:8" ht="28.8" x14ac:dyDescent="0.55000000000000004">
      <c r="A969" s="43">
        <v>45230</v>
      </c>
      <c r="B969" s="43" t="s">
        <v>1163</v>
      </c>
      <c r="C969" s="44" t="s">
        <v>879</v>
      </c>
      <c r="D969" s="45">
        <v>2</v>
      </c>
      <c r="E969" s="46">
        <v>125000</v>
      </c>
      <c r="F969" s="47">
        <f>+$I$4+(CLIENT[[#This Row],[QUANTITE]]*CLIENT[[#This Row],[PRIX UNITAIRE]])</f>
        <v>250000</v>
      </c>
      <c r="G969" s="48"/>
      <c r="H969" s="49">
        <f>+SUM($F$9:F969)-SUM($G$9:G969)</f>
        <v>18343000</v>
      </c>
    </row>
    <row r="970" spans="1:8" ht="28.8" x14ac:dyDescent="0.55000000000000004">
      <c r="A970" s="43"/>
      <c r="B970" s="43"/>
      <c r="C970" s="44" t="s">
        <v>1844</v>
      </c>
      <c r="D970" s="45">
        <v>1</v>
      </c>
      <c r="E970" s="46">
        <v>5000</v>
      </c>
      <c r="F970" s="47">
        <f>+$I$4+(CLIENT[[#This Row],[QUANTITE]]*CLIENT[[#This Row],[PRIX UNITAIRE]])</f>
        <v>5000</v>
      </c>
      <c r="G970" s="48"/>
      <c r="H970" s="49">
        <f>+SUM($F$9:F970)-SUM($G$9:G970)</f>
        <v>18348000</v>
      </c>
    </row>
    <row r="971" spans="1:8" ht="28.8" x14ac:dyDescent="0.55000000000000004">
      <c r="A971" s="43">
        <v>45230</v>
      </c>
      <c r="B971" s="43" t="s">
        <v>2296</v>
      </c>
      <c r="C971" s="44" t="s">
        <v>624</v>
      </c>
      <c r="D971" s="45">
        <v>2</v>
      </c>
      <c r="E971" s="46">
        <v>50000</v>
      </c>
      <c r="F971" s="47">
        <f>+$I$4+(CLIENT[[#This Row],[QUANTITE]]*CLIENT[[#This Row],[PRIX UNITAIRE]])</f>
        <v>100000</v>
      </c>
      <c r="G971" s="48"/>
      <c r="H971" s="49">
        <f>+SUM($F$9:F971)-SUM($G$9:G971)</f>
        <v>18448000</v>
      </c>
    </row>
    <row r="972" spans="1:8" ht="28.8" x14ac:dyDescent="0.55000000000000004">
      <c r="A972" s="43">
        <v>45231</v>
      </c>
      <c r="B972" s="43" t="s">
        <v>2297</v>
      </c>
      <c r="C972" s="44" t="s">
        <v>2298</v>
      </c>
      <c r="D972" s="45">
        <v>1</v>
      </c>
      <c r="E972" s="46">
        <v>185000</v>
      </c>
      <c r="F972" s="47">
        <f>+$I$4+(CLIENT[[#This Row],[QUANTITE]]*CLIENT[[#This Row],[PRIX UNITAIRE]])</f>
        <v>185000</v>
      </c>
      <c r="G972" s="48"/>
      <c r="H972" s="49">
        <f>+SUM($F$9:F972)-SUM($G$9:G972)</f>
        <v>18633000</v>
      </c>
    </row>
    <row r="973" spans="1:8" ht="28.8" x14ac:dyDescent="0.55000000000000004">
      <c r="A973" s="43">
        <v>45233</v>
      </c>
      <c r="B973" s="43" t="s">
        <v>2299</v>
      </c>
      <c r="C973" s="44" t="s">
        <v>2300</v>
      </c>
      <c r="D973" s="45">
        <v>1</v>
      </c>
      <c r="E973" s="46">
        <v>150000</v>
      </c>
      <c r="F973" s="47">
        <f>+$I$4+(CLIENT[[#This Row],[QUANTITE]]*CLIENT[[#This Row],[PRIX UNITAIRE]])</f>
        <v>150000</v>
      </c>
      <c r="G973" s="48"/>
      <c r="H973" s="49">
        <f>+SUM($F$9:F973)-SUM($G$9:G973)</f>
        <v>18783000</v>
      </c>
    </row>
    <row r="974" spans="1:8" ht="28.8" x14ac:dyDescent="0.55000000000000004">
      <c r="A974" s="43"/>
      <c r="B974" s="43"/>
      <c r="C974" s="44" t="s">
        <v>2301</v>
      </c>
      <c r="D974" s="45">
        <v>1</v>
      </c>
      <c r="E974" s="46">
        <v>185000</v>
      </c>
      <c r="F974" s="47">
        <f>+$I$4+(CLIENT[[#This Row],[QUANTITE]]*CLIENT[[#This Row],[PRIX UNITAIRE]])</f>
        <v>185000</v>
      </c>
      <c r="G974" s="48"/>
      <c r="H974" s="49">
        <f>+SUM($F$9:F974)-SUM($G$9:G974)</f>
        <v>18968000</v>
      </c>
    </row>
    <row r="975" spans="1:8" ht="28.8" x14ac:dyDescent="0.55000000000000004">
      <c r="A975" s="43">
        <v>45233</v>
      </c>
      <c r="B975" s="43" t="s">
        <v>2302</v>
      </c>
      <c r="C975" s="44" t="s">
        <v>218</v>
      </c>
      <c r="D975" s="45">
        <v>2</v>
      </c>
      <c r="E975" s="46">
        <v>15000</v>
      </c>
      <c r="F975" s="47">
        <f>+$I$4+(CLIENT[[#This Row],[QUANTITE]]*CLIENT[[#This Row],[PRIX UNITAIRE]])</f>
        <v>30000</v>
      </c>
      <c r="G975" s="48"/>
      <c r="H975" s="49">
        <f>+SUM($F$9:F975)-SUM($G$9:G975)</f>
        <v>18998000</v>
      </c>
    </row>
    <row r="976" spans="1:8" ht="28.8" x14ac:dyDescent="0.55000000000000004">
      <c r="A976" s="43">
        <v>45233</v>
      </c>
      <c r="B976" s="43" t="s">
        <v>2303</v>
      </c>
      <c r="C976" s="44" t="s">
        <v>2304</v>
      </c>
      <c r="D976" s="45">
        <v>1</v>
      </c>
      <c r="E976" s="46">
        <v>45000</v>
      </c>
      <c r="F976" s="47">
        <f>+$I$4+(CLIENT[[#This Row],[QUANTITE]]*CLIENT[[#This Row],[PRIX UNITAIRE]])</f>
        <v>45000</v>
      </c>
      <c r="G976" s="48"/>
      <c r="H976" s="49">
        <f>+SUM($F$9:F976)-SUM($G$9:G976)</f>
        <v>19043000</v>
      </c>
    </row>
    <row r="977" spans="1:8" ht="28.8" x14ac:dyDescent="0.55000000000000004">
      <c r="A977" s="43">
        <v>45234</v>
      </c>
      <c r="B977" s="43" t="s">
        <v>1556</v>
      </c>
      <c r="C977" s="44" t="s">
        <v>2305</v>
      </c>
      <c r="D977" s="45">
        <v>2</v>
      </c>
      <c r="E977" s="46">
        <v>150000</v>
      </c>
      <c r="F977" s="47">
        <f>+$I$4+(CLIENT[[#This Row],[QUANTITE]]*CLIENT[[#This Row],[PRIX UNITAIRE]])</f>
        <v>300000</v>
      </c>
      <c r="G977" s="48"/>
      <c r="H977" s="49">
        <f>+SUM($F$9:F977)-SUM($G$9:G977)</f>
        <v>19343000</v>
      </c>
    </row>
    <row r="978" spans="1:8" ht="28.8" x14ac:dyDescent="0.55000000000000004">
      <c r="A978" s="43">
        <v>45236</v>
      </c>
      <c r="B978" s="43" t="s">
        <v>1907</v>
      </c>
      <c r="C978" s="44" t="s">
        <v>2306</v>
      </c>
      <c r="D978" s="45">
        <v>2</v>
      </c>
      <c r="E978" s="46">
        <v>185000</v>
      </c>
      <c r="F978" s="47">
        <f>+$I$4+(CLIENT[[#This Row],[QUANTITE]]*CLIENT[[#This Row],[PRIX UNITAIRE]])</f>
        <v>370000</v>
      </c>
      <c r="G978" s="48"/>
      <c r="H978" s="49">
        <f>+SUM($F$9:F978)-SUM($G$9:G978)</f>
        <v>19713000</v>
      </c>
    </row>
    <row r="979" spans="1:8" ht="28.8" x14ac:dyDescent="0.55000000000000004">
      <c r="A979" s="43">
        <v>45236</v>
      </c>
      <c r="B979" s="43" t="s">
        <v>2307</v>
      </c>
      <c r="C979" s="44" t="s">
        <v>2308</v>
      </c>
      <c r="D979" s="45">
        <v>1</v>
      </c>
      <c r="E979" s="46">
        <v>185000</v>
      </c>
      <c r="F979" s="47">
        <f>+$I$4+(CLIENT[[#This Row],[QUANTITE]]*CLIENT[[#This Row],[PRIX UNITAIRE]])</f>
        <v>185000</v>
      </c>
      <c r="G979" s="48"/>
      <c r="H979" s="49">
        <f>+SUM($F$9:F979)-SUM($G$9:G979)</f>
        <v>19898000</v>
      </c>
    </row>
    <row r="980" spans="1:8" ht="28.8" x14ac:dyDescent="0.55000000000000004">
      <c r="A980" s="43"/>
      <c r="B980" s="43"/>
      <c r="C980" s="44" t="s">
        <v>2304</v>
      </c>
      <c r="D980" s="45">
        <v>1</v>
      </c>
      <c r="E980" s="46">
        <v>45000</v>
      </c>
      <c r="F980" s="47">
        <f>+$I$4+(CLIENT[[#This Row],[QUANTITE]]*CLIENT[[#This Row],[PRIX UNITAIRE]])</f>
        <v>45000</v>
      </c>
      <c r="G980" s="48"/>
      <c r="H980" s="49">
        <f>+SUM($F$9:F980)-SUM($G$9:G980)</f>
        <v>19943000</v>
      </c>
    </row>
    <row r="981" spans="1:8" ht="28.8" x14ac:dyDescent="0.55000000000000004">
      <c r="A981" s="43">
        <v>45243</v>
      </c>
      <c r="B981" s="43" t="s">
        <v>1699</v>
      </c>
      <c r="C981" s="44" t="s">
        <v>624</v>
      </c>
      <c r="D981" s="45">
        <v>1</v>
      </c>
      <c r="E981" s="46">
        <v>100000</v>
      </c>
      <c r="F981" s="47">
        <f>+$I$4+(CLIENT[[#This Row],[QUANTITE]]*CLIENT[[#This Row],[PRIX UNITAIRE]])</f>
        <v>100000</v>
      </c>
      <c r="G981" s="48"/>
      <c r="H981" s="49">
        <f>+SUM($F$9:F981)-SUM($G$9:G981)</f>
        <v>20043000</v>
      </c>
    </row>
    <row r="982" spans="1:8" ht="28.8" x14ac:dyDescent="0.55000000000000004">
      <c r="A982" s="43">
        <v>45244</v>
      </c>
      <c r="B982" s="43" t="s">
        <v>2309</v>
      </c>
      <c r="C982" s="44" t="s">
        <v>2310</v>
      </c>
      <c r="D982" s="45">
        <v>1</v>
      </c>
      <c r="E982" s="46">
        <v>185000</v>
      </c>
      <c r="F982" s="47">
        <f>+$I$4+(CLIENT[[#This Row],[QUANTITE]]*CLIENT[[#This Row],[PRIX UNITAIRE]])</f>
        <v>185000</v>
      </c>
      <c r="G982" s="48"/>
      <c r="H982" s="49">
        <f>+SUM($F$9:F982)-SUM($G$9:G982)</f>
        <v>20228000</v>
      </c>
    </row>
    <row r="983" spans="1:8" ht="28.8" x14ac:dyDescent="0.55000000000000004">
      <c r="A983" s="43">
        <v>45244</v>
      </c>
      <c r="B983" s="43" t="s">
        <v>1238</v>
      </c>
      <c r="C983" s="44" t="s">
        <v>2291</v>
      </c>
      <c r="D983" s="45">
        <v>2</v>
      </c>
      <c r="E983" s="46">
        <v>100000</v>
      </c>
      <c r="F983" s="47">
        <f>+$I$4+(CLIENT[[#This Row],[QUANTITE]]*CLIENT[[#This Row],[PRIX UNITAIRE]])</f>
        <v>200000</v>
      </c>
      <c r="G983" s="48"/>
      <c r="H983" s="49">
        <f>+SUM($F$9:F983)-SUM($G$9:G983)</f>
        <v>20428000</v>
      </c>
    </row>
    <row r="984" spans="1:8" ht="28.8" x14ac:dyDescent="0.55000000000000004">
      <c r="A984" s="43">
        <v>45244</v>
      </c>
      <c r="B984" s="43" t="s">
        <v>1992</v>
      </c>
      <c r="C984" s="44" t="s">
        <v>2311</v>
      </c>
      <c r="D984" s="45">
        <v>1</v>
      </c>
      <c r="E984" s="46">
        <v>185000</v>
      </c>
      <c r="F984" s="47">
        <f>+$I$4+(CLIENT[[#This Row],[QUANTITE]]*CLIENT[[#This Row],[PRIX UNITAIRE]])</f>
        <v>185000</v>
      </c>
      <c r="G984" s="48"/>
      <c r="H984" s="49">
        <f>+SUM($F$9:F984)-SUM($G$9:G984)</f>
        <v>20613000</v>
      </c>
    </row>
    <row r="985" spans="1:8" ht="28.8" x14ac:dyDescent="0.55000000000000004">
      <c r="A985" s="43"/>
      <c r="B985" s="43"/>
      <c r="C985" s="44" t="s">
        <v>2304</v>
      </c>
      <c r="D985" s="45">
        <v>1</v>
      </c>
      <c r="E985" s="46">
        <v>45000</v>
      </c>
      <c r="F985" s="47">
        <f>+$I$4+(CLIENT[[#This Row],[QUANTITE]]*CLIENT[[#This Row],[PRIX UNITAIRE]])</f>
        <v>45000</v>
      </c>
      <c r="G985" s="48"/>
      <c r="H985" s="49">
        <f>+SUM($F$9:F985)-SUM($G$9:G985)</f>
        <v>20658000</v>
      </c>
    </row>
    <row r="986" spans="1:8" ht="28.8" x14ac:dyDescent="0.55000000000000004">
      <c r="A986" s="43">
        <v>45252</v>
      </c>
      <c r="B986" s="43" t="s">
        <v>2312</v>
      </c>
      <c r="C986" s="44" t="s">
        <v>2313</v>
      </c>
      <c r="D986" s="45">
        <v>1</v>
      </c>
      <c r="E986" s="46">
        <v>185000</v>
      </c>
      <c r="F986" s="47">
        <f>+$I$4+(CLIENT[[#This Row],[QUANTITE]]*CLIENT[[#This Row],[PRIX UNITAIRE]])</f>
        <v>185000</v>
      </c>
      <c r="G986" s="48"/>
      <c r="H986" s="49">
        <f>+SUM($F$9:F986)-SUM($G$9:G986)</f>
        <v>20843000</v>
      </c>
    </row>
    <row r="987" spans="1:8" ht="28.8" x14ac:dyDescent="0.55000000000000004">
      <c r="A987" s="43">
        <v>45252</v>
      </c>
      <c r="B987" s="43" t="s">
        <v>2312</v>
      </c>
      <c r="C987" s="44" t="s">
        <v>2314</v>
      </c>
      <c r="D987" s="45">
        <v>1</v>
      </c>
      <c r="E987" s="46">
        <v>185000</v>
      </c>
      <c r="F987" s="47">
        <f>+$I$4+(CLIENT[[#This Row],[QUANTITE]]*CLIENT[[#This Row],[PRIX UNITAIRE]])</f>
        <v>185000</v>
      </c>
      <c r="G987" s="48"/>
      <c r="H987" s="49">
        <f>+SUM($F$9:F987)-SUM($G$9:G987)</f>
        <v>21028000</v>
      </c>
    </row>
    <row r="988" spans="1:8" ht="28.8" x14ac:dyDescent="0.55000000000000004">
      <c r="A988" s="43"/>
      <c r="B988" s="43"/>
      <c r="C988" s="44" t="s">
        <v>1239</v>
      </c>
      <c r="D988" s="45">
        <v>1</v>
      </c>
      <c r="E988" s="46">
        <v>45000</v>
      </c>
      <c r="F988" s="47">
        <f>+$I$4+(CLIENT[[#This Row],[QUANTITE]]*CLIENT[[#This Row],[PRIX UNITAIRE]])</f>
        <v>45000</v>
      </c>
      <c r="G988" s="48"/>
      <c r="H988" s="49">
        <f>+SUM($F$9:F988)-SUM($G$9:G988)</f>
        <v>21073000</v>
      </c>
    </row>
    <row r="989" spans="1:8" ht="28.8" x14ac:dyDescent="0.55000000000000004">
      <c r="A989" s="43">
        <v>45252</v>
      </c>
      <c r="B989" s="43" t="s">
        <v>1737</v>
      </c>
      <c r="C989" s="44" t="s">
        <v>2315</v>
      </c>
      <c r="D989" s="45">
        <v>1</v>
      </c>
      <c r="E989" s="46">
        <v>150000</v>
      </c>
      <c r="F989" s="47">
        <f>+$I$4+(CLIENT[[#This Row],[QUANTITE]]*CLIENT[[#This Row],[PRIX UNITAIRE]])</f>
        <v>150000</v>
      </c>
      <c r="G989" s="48"/>
      <c r="H989" s="49">
        <f>+SUM($F$9:F989)-SUM($G$9:G989)</f>
        <v>21223000</v>
      </c>
    </row>
    <row r="990" spans="1:8" ht="28.8" x14ac:dyDescent="0.55000000000000004">
      <c r="A990" s="43">
        <v>45254</v>
      </c>
      <c r="B990" s="43" t="s">
        <v>1600</v>
      </c>
      <c r="C990" s="44" t="s">
        <v>1650</v>
      </c>
      <c r="D990" s="45">
        <v>2</v>
      </c>
      <c r="E990" s="46">
        <v>100000</v>
      </c>
      <c r="F990" s="47">
        <f>+$I$4+(CLIENT[[#This Row],[QUANTITE]]*CLIENT[[#This Row],[PRIX UNITAIRE]])</f>
        <v>200000</v>
      </c>
      <c r="G990" s="48"/>
      <c r="H990" s="49">
        <f>+SUM($F$9:F990)-SUM($G$9:G990)</f>
        <v>21423000</v>
      </c>
    </row>
    <row r="991" spans="1:8" ht="28.8" x14ac:dyDescent="0.55000000000000004">
      <c r="A991" s="43">
        <v>45255</v>
      </c>
      <c r="B991" s="43" t="s">
        <v>2046</v>
      </c>
      <c r="C991" s="44" t="s">
        <v>2316</v>
      </c>
      <c r="D991" s="45">
        <v>1</v>
      </c>
      <c r="E991" s="46">
        <v>185000</v>
      </c>
      <c r="F991" s="47">
        <f>+$I$4+(CLIENT[[#This Row],[QUANTITE]]*CLIENT[[#This Row],[PRIX UNITAIRE]])</f>
        <v>185000</v>
      </c>
      <c r="G991" s="48"/>
      <c r="H991" s="49">
        <f>+SUM($F$9:F991)-SUM($G$9:G991)</f>
        <v>21608000</v>
      </c>
    </row>
    <row r="992" spans="1:8" ht="28.8" x14ac:dyDescent="0.55000000000000004">
      <c r="A992" s="43">
        <v>45257</v>
      </c>
      <c r="B992" s="43" t="s">
        <v>1232</v>
      </c>
      <c r="C992" s="44" t="s">
        <v>218</v>
      </c>
      <c r="D992" s="45">
        <v>2</v>
      </c>
      <c r="E992" s="46">
        <v>15000</v>
      </c>
      <c r="F992" s="47">
        <f>+$I$4+(CLIENT[[#This Row],[QUANTITE]]*CLIENT[[#This Row],[PRIX UNITAIRE]])</f>
        <v>30000</v>
      </c>
      <c r="G992" s="48"/>
      <c r="H992" s="49">
        <f>+SUM($F$9:F992)-SUM($G$9:G992)</f>
        <v>21638000</v>
      </c>
    </row>
    <row r="993" spans="1:8" ht="28.8" x14ac:dyDescent="0.55000000000000004">
      <c r="A993" s="43">
        <v>45257</v>
      </c>
      <c r="B993" s="43"/>
      <c r="C993" s="44" t="s">
        <v>2317</v>
      </c>
      <c r="D993" s="45">
        <v>20</v>
      </c>
      <c r="E993" s="46">
        <v>2000</v>
      </c>
      <c r="F993" s="47">
        <f>+$I$4+(CLIENT[[#This Row],[QUANTITE]]*CLIENT[[#This Row],[PRIX UNITAIRE]])</f>
        <v>40000</v>
      </c>
      <c r="G993" s="48"/>
      <c r="H993" s="49">
        <f>+SUM($F$9:F993)-SUM($G$9:G993)</f>
        <v>21678000</v>
      </c>
    </row>
    <row r="994" spans="1:8" ht="28.8" x14ac:dyDescent="0.55000000000000004">
      <c r="A994" s="43"/>
      <c r="B994" s="43"/>
      <c r="C994" s="44" t="s">
        <v>2318</v>
      </c>
      <c r="D994" s="45">
        <v>1</v>
      </c>
      <c r="E994" s="46">
        <v>8000</v>
      </c>
      <c r="F994" s="47">
        <f>+$I$4+(CLIENT[[#This Row],[QUANTITE]]*CLIENT[[#This Row],[PRIX UNITAIRE]])</f>
        <v>8000</v>
      </c>
      <c r="G994" s="48"/>
      <c r="H994" s="49">
        <f>+SUM($F$9:F994)-SUM($G$9:G994)</f>
        <v>21686000</v>
      </c>
    </row>
    <row r="995" spans="1:8" ht="28.8" x14ac:dyDescent="0.55000000000000004">
      <c r="A995" s="43">
        <v>45257</v>
      </c>
      <c r="B995" s="43" t="s">
        <v>1727</v>
      </c>
      <c r="C995" s="44" t="s">
        <v>2319</v>
      </c>
      <c r="D995" s="45">
        <v>1</v>
      </c>
      <c r="E995" s="46">
        <v>185000</v>
      </c>
      <c r="F995" s="47">
        <f>+$I$4+(CLIENT[[#This Row],[QUANTITE]]*CLIENT[[#This Row],[PRIX UNITAIRE]])</f>
        <v>185000</v>
      </c>
      <c r="G995" s="48"/>
      <c r="H995" s="49">
        <f>+SUM($F$9:F995)-SUM($G$9:G995)</f>
        <v>21871000</v>
      </c>
    </row>
    <row r="996" spans="1:8" ht="28.8" x14ac:dyDescent="0.55000000000000004">
      <c r="A996" s="43">
        <v>45257</v>
      </c>
      <c r="B996" s="43" t="s">
        <v>1457</v>
      </c>
      <c r="C996" s="44" t="s">
        <v>2320</v>
      </c>
      <c r="D996" s="45">
        <v>2</v>
      </c>
      <c r="E996" s="46">
        <v>100000</v>
      </c>
      <c r="F996" s="47">
        <f>+$I$4+(CLIENT[[#This Row],[QUANTITE]]*CLIENT[[#This Row],[PRIX UNITAIRE]])</f>
        <v>200000</v>
      </c>
      <c r="G996" s="48"/>
      <c r="H996" s="49">
        <f>+SUM($F$9:F996)-SUM($G$9:G996)</f>
        <v>22071000</v>
      </c>
    </row>
    <row r="997" spans="1:8" ht="28.8" x14ac:dyDescent="0.55000000000000004">
      <c r="A997" s="43">
        <v>45259</v>
      </c>
      <c r="B997" s="43"/>
      <c r="C997" s="44" t="s">
        <v>2069</v>
      </c>
      <c r="D997" s="45">
        <v>1</v>
      </c>
      <c r="E997" s="46">
        <v>50000</v>
      </c>
      <c r="F997" s="47">
        <f>+$I$4+(CLIENT[[#This Row],[QUANTITE]]*CLIENT[[#This Row],[PRIX UNITAIRE]])</f>
        <v>50000</v>
      </c>
      <c r="G997" s="48"/>
      <c r="H997" s="49">
        <f>+SUM($F$9:F997)-SUM($G$9:G997)</f>
        <v>22121000</v>
      </c>
    </row>
    <row r="998" spans="1:8" ht="28.8" x14ac:dyDescent="0.55000000000000004">
      <c r="A998" s="43">
        <v>45260</v>
      </c>
      <c r="B998" s="43" t="s">
        <v>1907</v>
      </c>
      <c r="C998" s="44" t="s">
        <v>2321</v>
      </c>
      <c r="D998" s="45">
        <v>1</v>
      </c>
      <c r="E998" s="46">
        <v>185000</v>
      </c>
      <c r="F998" s="47">
        <f>+$I$4+(CLIENT[[#This Row],[QUANTITE]]*CLIENT[[#This Row],[PRIX UNITAIRE]])</f>
        <v>185000</v>
      </c>
      <c r="G998" s="48"/>
      <c r="H998" s="49">
        <f>+SUM($F$9:F998)-SUM($G$9:G998)</f>
        <v>22306000</v>
      </c>
    </row>
    <row r="999" spans="1:8" ht="28.8" x14ac:dyDescent="0.55000000000000004">
      <c r="A999" s="43">
        <v>45262</v>
      </c>
      <c r="B999" s="43" t="s">
        <v>1556</v>
      </c>
      <c r="C999" s="44" t="s">
        <v>2322</v>
      </c>
      <c r="D999" s="45">
        <v>1</v>
      </c>
      <c r="E999" s="46">
        <v>150000</v>
      </c>
      <c r="F999" s="47">
        <f>+$I$4+(CLIENT[[#This Row],[QUANTITE]]*CLIENT[[#This Row],[PRIX UNITAIRE]])</f>
        <v>150000</v>
      </c>
      <c r="G999" s="48"/>
      <c r="H999" s="49">
        <f>+SUM($F$9:F999)-SUM($G$9:G999)</f>
        <v>22456000</v>
      </c>
    </row>
    <row r="1000" spans="1:8" ht="28.8" x14ac:dyDescent="0.55000000000000004">
      <c r="A1000" s="43">
        <v>45262</v>
      </c>
      <c r="B1000" s="43" t="s">
        <v>1833</v>
      </c>
      <c r="C1000" s="44" t="s">
        <v>2323</v>
      </c>
      <c r="D1000" s="45">
        <v>1</v>
      </c>
      <c r="E1000" s="46">
        <v>150000</v>
      </c>
      <c r="F1000" s="47">
        <f>+$I$4+(CLIENT[[#This Row],[QUANTITE]]*CLIENT[[#This Row],[PRIX UNITAIRE]])</f>
        <v>150000</v>
      </c>
      <c r="G1000" s="48"/>
      <c r="H1000" s="49">
        <f>+SUM($F$9:F1000)-SUM($G$9:G1000)</f>
        <v>22606000</v>
      </c>
    </row>
    <row r="1001" spans="1:8" ht="28.8" x14ac:dyDescent="0.55000000000000004">
      <c r="A1001" s="43">
        <v>45264</v>
      </c>
      <c r="B1001" s="43" t="s">
        <v>2324</v>
      </c>
      <c r="C1001" s="44" t="s">
        <v>2325</v>
      </c>
      <c r="D1001" s="45">
        <v>1</v>
      </c>
      <c r="E1001" s="46">
        <v>150000</v>
      </c>
      <c r="F1001" s="47">
        <f>+$I$4+(CLIENT[[#This Row],[QUANTITE]]*CLIENT[[#This Row],[PRIX UNITAIRE]])</f>
        <v>150000</v>
      </c>
      <c r="G1001" s="48"/>
      <c r="H1001" s="49">
        <f>+SUM($F$9:F1001)-SUM($G$9:G1001)</f>
        <v>22756000</v>
      </c>
    </row>
    <row r="1002" spans="1:8" ht="28.8" x14ac:dyDescent="0.55000000000000004">
      <c r="A1002" s="43">
        <v>45267</v>
      </c>
      <c r="B1002" s="43" t="s">
        <v>1461</v>
      </c>
      <c r="C1002" s="44" t="s">
        <v>2320</v>
      </c>
      <c r="D1002" s="45">
        <v>2</v>
      </c>
      <c r="E1002" s="46">
        <v>100000</v>
      </c>
      <c r="F1002" s="47">
        <f>+$I$4+(CLIENT[[#This Row],[QUANTITE]]*CLIENT[[#This Row],[PRIX UNITAIRE]])</f>
        <v>200000</v>
      </c>
      <c r="G1002" s="48"/>
      <c r="H1002" s="49">
        <f>+SUM($F$9:F1002)-SUM($G$9:G1002)</f>
        <v>22956000</v>
      </c>
    </row>
    <row r="1003" spans="1:8" ht="28.8" x14ac:dyDescent="0.55000000000000004">
      <c r="A1003" s="43">
        <v>45269</v>
      </c>
      <c r="B1003" s="43" t="s">
        <v>2326</v>
      </c>
      <c r="C1003" s="44" t="s">
        <v>2327</v>
      </c>
      <c r="D1003" s="45">
        <v>1</v>
      </c>
      <c r="E1003" s="46">
        <v>185000</v>
      </c>
      <c r="F1003" s="47">
        <f>+$I$4+(CLIENT[[#This Row],[QUANTITE]]*CLIENT[[#This Row],[PRIX UNITAIRE]])</f>
        <v>185000</v>
      </c>
      <c r="G1003" s="48"/>
      <c r="H1003" s="49">
        <f>+SUM($F$9:F1003)-SUM($G$9:G1003)</f>
        <v>23141000</v>
      </c>
    </row>
    <row r="1004" spans="1:8" ht="28.8" x14ac:dyDescent="0.55000000000000004">
      <c r="A1004" s="43">
        <v>45269</v>
      </c>
      <c r="B1004" s="43"/>
      <c r="C1004" s="44" t="s">
        <v>1621</v>
      </c>
      <c r="D1004" s="45">
        <v>1</v>
      </c>
      <c r="E1004" s="46">
        <v>45000</v>
      </c>
      <c r="F1004" s="47">
        <f>+$I$4+(CLIENT[[#This Row],[QUANTITE]]*CLIENT[[#This Row],[PRIX UNITAIRE]])</f>
        <v>45000</v>
      </c>
      <c r="G1004" s="48"/>
      <c r="H1004" s="49">
        <f>+SUM($F$9:F1004)-SUM($G$9:G1004)</f>
        <v>23186000</v>
      </c>
    </row>
    <row r="1005" spans="1:8" ht="28.8" x14ac:dyDescent="0.55000000000000004">
      <c r="A1005" s="43">
        <v>45269</v>
      </c>
      <c r="B1005" s="43" t="s">
        <v>2328</v>
      </c>
      <c r="C1005" s="44" t="s">
        <v>2329</v>
      </c>
      <c r="D1005" s="45">
        <v>2</v>
      </c>
      <c r="E1005" s="46">
        <v>185000</v>
      </c>
      <c r="F1005" s="47">
        <f>+$I$4+(CLIENT[[#This Row],[QUANTITE]]*CLIENT[[#This Row],[PRIX UNITAIRE]])</f>
        <v>370000</v>
      </c>
      <c r="G1005" s="48"/>
      <c r="H1005" s="49">
        <f>+SUM($F$9:F1005)-SUM($G$9:G1005)</f>
        <v>23556000</v>
      </c>
    </row>
    <row r="1006" spans="1:8" ht="28.8" x14ac:dyDescent="0.55000000000000004">
      <c r="A1006" s="43">
        <v>45269</v>
      </c>
      <c r="B1006" s="43" t="s">
        <v>1302</v>
      </c>
      <c r="C1006" s="44" t="s">
        <v>2330</v>
      </c>
      <c r="D1006" s="45">
        <v>1</v>
      </c>
      <c r="E1006" s="46">
        <v>150000</v>
      </c>
      <c r="F1006" s="47">
        <f>+$I$4+(CLIENT[[#This Row],[QUANTITE]]*CLIENT[[#This Row],[PRIX UNITAIRE]])</f>
        <v>150000</v>
      </c>
      <c r="G1006" s="48"/>
      <c r="H1006" s="49">
        <f>+SUM($F$9:F1006)-SUM($G$9:G1006)</f>
        <v>23706000</v>
      </c>
    </row>
    <row r="1007" spans="1:8" ht="28.8" x14ac:dyDescent="0.55000000000000004">
      <c r="A1007" s="43">
        <v>45271</v>
      </c>
      <c r="B1007" s="43" t="s">
        <v>1132</v>
      </c>
      <c r="C1007" s="44" t="s">
        <v>2331</v>
      </c>
      <c r="D1007" s="45">
        <v>1</v>
      </c>
      <c r="E1007" s="46">
        <v>150000</v>
      </c>
      <c r="F1007" s="47">
        <f>+$I$4+(CLIENT[[#This Row],[QUANTITE]]*CLIENT[[#This Row],[PRIX UNITAIRE]])</f>
        <v>150000</v>
      </c>
      <c r="G1007" s="48"/>
      <c r="H1007" s="49">
        <f>+SUM($F$9:F1007)-SUM($G$9:G1007)</f>
        <v>23856000</v>
      </c>
    </row>
    <row r="1008" spans="1:8" ht="28.8" x14ac:dyDescent="0.55000000000000004">
      <c r="A1008" s="43">
        <v>45272</v>
      </c>
      <c r="B1008" s="43" t="s">
        <v>2332</v>
      </c>
      <c r="C1008" s="44" t="s">
        <v>2333</v>
      </c>
      <c r="D1008" s="45">
        <v>1</v>
      </c>
      <c r="E1008" s="46">
        <v>185000</v>
      </c>
      <c r="F1008" s="47">
        <f>+$I$4+(CLIENT[[#This Row],[QUANTITE]]*CLIENT[[#This Row],[PRIX UNITAIRE]])</f>
        <v>185000</v>
      </c>
      <c r="G1008" s="48"/>
      <c r="H1008" s="49">
        <f>+SUM($F$9:F1008)-SUM($G$9:G1008)</f>
        <v>24041000</v>
      </c>
    </row>
    <row r="1009" spans="1:8" ht="28.8" x14ac:dyDescent="0.55000000000000004">
      <c r="A1009" s="43"/>
      <c r="B1009" s="43"/>
      <c r="C1009" s="44" t="s">
        <v>1239</v>
      </c>
      <c r="D1009" s="45">
        <v>1</v>
      </c>
      <c r="E1009" s="46">
        <v>45000</v>
      </c>
      <c r="F1009" s="47">
        <f>+$I$4+(CLIENT[[#This Row],[QUANTITE]]*CLIENT[[#This Row],[PRIX UNITAIRE]])</f>
        <v>45000</v>
      </c>
      <c r="G1009" s="48"/>
      <c r="H1009" s="49">
        <f>+SUM($F$9:F1009)-SUM($G$9:G1009)</f>
        <v>24086000</v>
      </c>
    </row>
    <row r="1010" spans="1:8" ht="28.8" x14ac:dyDescent="0.55000000000000004">
      <c r="A1010" s="43">
        <v>45273</v>
      </c>
      <c r="B1010" s="43" t="s">
        <v>2280</v>
      </c>
      <c r="C1010" s="44" t="s">
        <v>2334</v>
      </c>
      <c r="D1010" s="45">
        <v>1</v>
      </c>
      <c r="E1010" s="46">
        <v>185000</v>
      </c>
      <c r="F1010" s="47">
        <f>+$I$4+(CLIENT[[#This Row],[QUANTITE]]*CLIENT[[#This Row],[PRIX UNITAIRE]])</f>
        <v>185000</v>
      </c>
      <c r="G1010" s="48"/>
      <c r="H1010" s="49">
        <f>+SUM($F$9:F1010)-SUM($G$9:G1010)</f>
        <v>24271000</v>
      </c>
    </row>
    <row r="1011" spans="1:8" ht="28.8" x14ac:dyDescent="0.55000000000000004">
      <c r="A1011" s="43"/>
      <c r="B1011" s="43"/>
      <c r="C1011" s="44" t="s">
        <v>1239</v>
      </c>
      <c r="D1011" s="45">
        <v>1</v>
      </c>
      <c r="E1011" s="46">
        <v>45000</v>
      </c>
      <c r="F1011" s="47">
        <f>+$I$4+(CLIENT[[#This Row],[QUANTITE]]*CLIENT[[#This Row],[PRIX UNITAIRE]])</f>
        <v>45000</v>
      </c>
      <c r="G1011" s="48"/>
      <c r="H1011" s="49">
        <f>+SUM($F$9:F1011)-SUM($G$9:G1011)</f>
        <v>24316000</v>
      </c>
    </row>
    <row r="1012" spans="1:8" ht="28.8" x14ac:dyDescent="0.55000000000000004">
      <c r="A1012" s="43"/>
      <c r="B1012" s="43"/>
      <c r="C1012" s="44" t="s">
        <v>1844</v>
      </c>
      <c r="D1012" s="45">
        <v>1</v>
      </c>
      <c r="E1012" s="46">
        <v>12000</v>
      </c>
      <c r="F1012" s="47">
        <f>+$I$4+(CLIENT[[#This Row],[QUANTITE]]*CLIENT[[#This Row],[PRIX UNITAIRE]])</f>
        <v>12000</v>
      </c>
      <c r="G1012" s="48"/>
      <c r="H1012" s="49">
        <f>+SUM($F$9:F1012)-SUM($G$9:G1012)</f>
        <v>24328000</v>
      </c>
    </row>
    <row r="1013" spans="1:8" ht="28.8" x14ac:dyDescent="0.55000000000000004">
      <c r="A1013" s="43">
        <v>45274</v>
      </c>
      <c r="B1013" s="43" t="s">
        <v>2140</v>
      </c>
      <c r="C1013" s="44" t="s">
        <v>2335</v>
      </c>
      <c r="D1013" s="45">
        <v>1</v>
      </c>
      <c r="E1013" s="46">
        <v>185000</v>
      </c>
      <c r="F1013" s="47">
        <f>+$I$4+(CLIENT[[#This Row],[QUANTITE]]*CLIENT[[#This Row],[PRIX UNITAIRE]])</f>
        <v>185000</v>
      </c>
      <c r="G1013" s="48"/>
      <c r="H1013" s="49">
        <f>+SUM($F$9:F1013)-SUM($G$9:G1013)</f>
        <v>24513000</v>
      </c>
    </row>
    <row r="1014" spans="1:8" ht="28.8" x14ac:dyDescent="0.55000000000000004">
      <c r="A1014" s="43"/>
      <c r="B1014" s="43"/>
      <c r="C1014" s="44" t="s">
        <v>1239</v>
      </c>
      <c r="D1014" s="45">
        <v>1</v>
      </c>
      <c r="E1014" s="46">
        <v>45000</v>
      </c>
      <c r="F1014" s="47">
        <f>+$I$4+(CLIENT[[#This Row],[QUANTITE]]*CLIENT[[#This Row],[PRIX UNITAIRE]])</f>
        <v>45000</v>
      </c>
      <c r="G1014" s="48"/>
      <c r="H1014" s="49">
        <f>+SUM($F$9:F1014)-SUM($G$9:G1014)</f>
        <v>24558000</v>
      </c>
    </row>
    <row r="1015" spans="1:8" ht="28.8" x14ac:dyDescent="0.55000000000000004">
      <c r="A1015" s="43">
        <v>45283</v>
      </c>
      <c r="B1015" s="43" t="s">
        <v>1601</v>
      </c>
      <c r="C1015" s="44" t="s">
        <v>1574</v>
      </c>
      <c r="D1015" s="45">
        <v>2</v>
      </c>
      <c r="E1015" s="46">
        <v>100000</v>
      </c>
      <c r="F1015" s="47">
        <f>+$I$4+(CLIENT[[#This Row],[QUANTITE]]*CLIENT[[#This Row],[PRIX UNITAIRE]])</f>
        <v>200000</v>
      </c>
      <c r="G1015" s="48"/>
      <c r="H1015" s="49">
        <f>+SUM($F$9:F1015)-SUM($G$9:G1015)</f>
        <v>24758000</v>
      </c>
    </row>
    <row r="1016" spans="1:8" ht="28.8" x14ac:dyDescent="0.55000000000000004">
      <c r="A1016" s="43">
        <v>45283</v>
      </c>
      <c r="B1016" s="43" t="s">
        <v>1330</v>
      </c>
      <c r="C1016" s="44" t="s">
        <v>2336</v>
      </c>
      <c r="D1016" s="45">
        <v>1</v>
      </c>
      <c r="E1016" s="46">
        <v>185000</v>
      </c>
      <c r="F1016" s="47">
        <f>+$I$4+(CLIENT[[#This Row],[QUANTITE]]*CLIENT[[#This Row],[PRIX UNITAIRE]])</f>
        <v>185000</v>
      </c>
      <c r="G1016" s="48"/>
      <c r="H1016" s="49">
        <f>+SUM($F$9:F1016)-SUM($G$9:G1016)</f>
        <v>24943000</v>
      </c>
    </row>
    <row r="1017" spans="1:8" ht="28.8" x14ac:dyDescent="0.55000000000000004">
      <c r="A1017" s="43">
        <v>45286</v>
      </c>
      <c r="B1017" s="43" t="s">
        <v>1181</v>
      </c>
      <c r="C1017" s="44" t="s">
        <v>2337</v>
      </c>
      <c r="D1017" s="45">
        <v>1</v>
      </c>
      <c r="E1017" s="46">
        <v>100000</v>
      </c>
      <c r="F1017" s="47">
        <f>+$I$4+(CLIENT[[#This Row],[QUANTITE]]*CLIENT[[#This Row],[PRIX UNITAIRE]])</f>
        <v>100000</v>
      </c>
      <c r="G1017" s="48"/>
      <c r="H1017" s="49">
        <f>+SUM($F$9:F1017)-SUM($G$9:G1017)</f>
        <v>25043000</v>
      </c>
    </row>
    <row r="1018" spans="1:8" ht="28.8" x14ac:dyDescent="0.55000000000000004">
      <c r="A1018" s="43">
        <v>45287</v>
      </c>
      <c r="B1018" s="43" t="s">
        <v>1424</v>
      </c>
      <c r="C1018" s="44" t="s">
        <v>2338</v>
      </c>
      <c r="D1018" s="45">
        <v>3</v>
      </c>
      <c r="E1018" s="46">
        <v>150000</v>
      </c>
      <c r="F1018" s="47">
        <f>+$I$4+(CLIENT[[#This Row],[QUANTITE]]*CLIENT[[#This Row],[PRIX UNITAIRE]])</f>
        <v>450000</v>
      </c>
      <c r="G1018" s="48"/>
      <c r="H1018" s="49">
        <f>+SUM($F$9:F1018)-SUM($G$9:G1018)</f>
        <v>25493000</v>
      </c>
    </row>
    <row r="1019" spans="1:8" ht="28.8" x14ac:dyDescent="0.55000000000000004">
      <c r="A1019" s="43">
        <v>45288</v>
      </c>
      <c r="B1019" s="43" t="s">
        <v>1233</v>
      </c>
      <c r="C1019" s="44" t="s">
        <v>634</v>
      </c>
      <c r="D1019" s="45">
        <v>1</v>
      </c>
      <c r="E1019" s="46">
        <v>100000</v>
      </c>
      <c r="F1019" s="47">
        <f>+$I$4+(CLIENT[[#This Row],[QUANTITE]]*CLIENT[[#This Row],[PRIX UNITAIRE]])</f>
        <v>100000</v>
      </c>
      <c r="G1019" s="48"/>
      <c r="H1019" s="49">
        <f>+SUM($F$9:F1019)-SUM($G$9:G1019)</f>
        <v>25593000</v>
      </c>
    </row>
    <row r="1020" spans="1:8" ht="28.8" x14ac:dyDescent="0.55000000000000004">
      <c r="A1020" s="43">
        <v>45288</v>
      </c>
      <c r="B1020" s="43" t="s">
        <v>2339</v>
      </c>
      <c r="C1020" s="44" t="s">
        <v>2340</v>
      </c>
      <c r="D1020" s="45">
        <v>1</v>
      </c>
      <c r="E1020" s="46">
        <v>185000</v>
      </c>
      <c r="F1020" s="47">
        <f>+$I$4+(CLIENT[[#This Row],[QUANTITE]]*CLIENT[[#This Row],[PRIX UNITAIRE]])</f>
        <v>185000</v>
      </c>
      <c r="G1020" s="48"/>
      <c r="H1020" s="49">
        <f>+SUM($F$9:F1020)-SUM($G$9:G1020)</f>
        <v>25778000</v>
      </c>
    </row>
    <row r="1021" spans="1:8" ht="28.8" x14ac:dyDescent="0.55000000000000004">
      <c r="A1021" s="43">
        <v>45290</v>
      </c>
      <c r="B1021" s="43" t="s">
        <v>1727</v>
      </c>
      <c r="C1021" s="44" t="s">
        <v>2341</v>
      </c>
      <c r="D1021" s="45">
        <v>1</v>
      </c>
      <c r="E1021" s="46">
        <v>185000</v>
      </c>
      <c r="F1021" s="47">
        <f>+$I$4+(CLIENT[[#This Row],[QUANTITE]]*CLIENT[[#This Row],[PRIX UNITAIRE]])</f>
        <v>185000</v>
      </c>
      <c r="G1021" s="48"/>
      <c r="H1021" s="49">
        <f>+SUM($F$9:F1021)-SUM($G$9:G1021)</f>
        <v>25963000</v>
      </c>
    </row>
    <row r="1022" spans="1:8" ht="28.8" x14ac:dyDescent="0.55000000000000004">
      <c r="A1022" s="43"/>
      <c r="B1022" s="43"/>
      <c r="C1022" s="44" t="s">
        <v>1239</v>
      </c>
      <c r="D1022" s="45">
        <v>1</v>
      </c>
      <c r="E1022" s="46">
        <v>45000</v>
      </c>
      <c r="F1022" s="47">
        <f>+$I$4+(CLIENT[[#This Row],[QUANTITE]]*CLIENT[[#This Row],[PRIX UNITAIRE]])</f>
        <v>45000</v>
      </c>
      <c r="G1022" s="48"/>
      <c r="H1022" s="49">
        <f>+SUM($F$9:F1022)-SUM($G$9:G1022)</f>
        <v>26008000</v>
      </c>
    </row>
    <row r="1023" spans="1:8" ht="28.8" x14ac:dyDescent="0.55000000000000004">
      <c r="A1023" s="43"/>
      <c r="B1023" s="43"/>
      <c r="C1023" s="44" t="s">
        <v>1844</v>
      </c>
      <c r="D1023" s="45">
        <v>1</v>
      </c>
      <c r="E1023" s="46">
        <v>10000</v>
      </c>
      <c r="F1023" s="47">
        <f>+$I$4+(CLIENT[[#This Row],[QUANTITE]]*CLIENT[[#This Row],[PRIX UNITAIRE]])</f>
        <v>10000</v>
      </c>
      <c r="G1023" s="48"/>
      <c r="H1023" s="49">
        <f>+SUM($F$9:F1023)-SUM($G$9:G1023)</f>
        <v>26018000</v>
      </c>
    </row>
    <row r="1024" spans="1:8" ht="28.8" x14ac:dyDescent="0.55000000000000004">
      <c r="A1024" s="43">
        <v>45295</v>
      </c>
      <c r="B1024" s="43" t="s">
        <v>1343</v>
      </c>
      <c r="C1024" s="44" t="s">
        <v>634</v>
      </c>
      <c r="D1024" s="45">
        <v>2</v>
      </c>
      <c r="E1024" s="46">
        <v>100000</v>
      </c>
      <c r="F1024" s="47">
        <f>+$I$4+(CLIENT[[#This Row],[QUANTITE]]*CLIENT[[#This Row],[PRIX UNITAIRE]])</f>
        <v>200000</v>
      </c>
      <c r="G1024" s="48"/>
      <c r="H1024" s="49">
        <f>+SUM($F$9:F1024)-SUM($G$9:G1024)</f>
        <v>26218000</v>
      </c>
    </row>
    <row r="1025" spans="1:8" ht="28.8" x14ac:dyDescent="0.55000000000000004">
      <c r="A1025" s="43">
        <v>45296</v>
      </c>
      <c r="B1025" s="43" t="s">
        <v>1233</v>
      </c>
      <c r="C1025" s="44" t="s">
        <v>2342</v>
      </c>
      <c r="D1025" s="45">
        <v>1</v>
      </c>
      <c r="E1025" s="46">
        <v>185000</v>
      </c>
      <c r="F1025" s="47">
        <f>+$I$4+(CLIENT[[#This Row],[QUANTITE]]*CLIENT[[#This Row],[PRIX UNITAIRE]])</f>
        <v>185000</v>
      </c>
      <c r="G1025" s="48"/>
      <c r="H1025" s="49">
        <f>+SUM($F$9:F1025)-SUM($G$9:G1025)</f>
        <v>26403000</v>
      </c>
    </row>
    <row r="1026" spans="1:8" ht="28.8" x14ac:dyDescent="0.55000000000000004">
      <c r="A1026" s="43">
        <v>45296</v>
      </c>
      <c r="B1026" s="43" t="s">
        <v>2234</v>
      </c>
      <c r="C1026" s="44" t="s">
        <v>2343</v>
      </c>
      <c r="D1026" s="45">
        <v>1</v>
      </c>
      <c r="E1026" s="46">
        <v>150000</v>
      </c>
      <c r="F1026" s="47">
        <f>+$I$4+(CLIENT[[#This Row],[QUANTITE]]*CLIENT[[#This Row],[PRIX UNITAIRE]])</f>
        <v>150000</v>
      </c>
      <c r="G1026" s="48"/>
      <c r="H1026" s="49">
        <f>+SUM($F$9:F1026)-SUM($G$9:G1026)</f>
        <v>26553000</v>
      </c>
    </row>
    <row r="1027" spans="1:8" ht="28.8" x14ac:dyDescent="0.55000000000000004">
      <c r="A1027" s="43">
        <v>45297</v>
      </c>
      <c r="B1027" s="43" t="s">
        <v>1307</v>
      </c>
      <c r="C1027" s="44" t="s">
        <v>2344</v>
      </c>
      <c r="D1027" s="45">
        <v>1</v>
      </c>
      <c r="E1027" s="46">
        <v>185000</v>
      </c>
      <c r="F1027" s="47">
        <f>+$I$4+(CLIENT[[#This Row],[QUANTITE]]*CLIENT[[#This Row],[PRIX UNITAIRE]])</f>
        <v>185000</v>
      </c>
      <c r="G1027" s="48"/>
      <c r="H1027" s="49">
        <f>+SUM($F$9:F1027)-SUM($G$9:G1027)</f>
        <v>26738000</v>
      </c>
    </row>
    <row r="1028" spans="1:8" ht="28.8" x14ac:dyDescent="0.55000000000000004">
      <c r="A1028" s="43">
        <v>45299</v>
      </c>
      <c r="B1028" s="43" t="s">
        <v>2345</v>
      </c>
      <c r="C1028" s="44" t="s">
        <v>2346</v>
      </c>
      <c r="D1028" s="45">
        <v>1</v>
      </c>
      <c r="E1028" s="46">
        <v>150000</v>
      </c>
      <c r="F1028" s="47">
        <f>+$I$4+(CLIENT[[#This Row],[QUANTITE]]*CLIENT[[#This Row],[PRIX UNITAIRE]])</f>
        <v>150000</v>
      </c>
      <c r="G1028" s="48"/>
      <c r="H1028" s="49">
        <f>+SUM($F$9:F1028)-SUM($G$9:G1028)</f>
        <v>26888000</v>
      </c>
    </row>
    <row r="1029" spans="1:8" ht="28.8" x14ac:dyDescent="0.55000000000000004">
      <c r="A1029" s="43">
        <v>45303</v>
      </c>
      <c r="B1029" s="43" t="s">
        <v>1600</v>
      </c>
      <c r="C1029" s="44" t="s">
        <v>634</v>
      </c>
      <c r="D1029" s="45">
        <v>1</v>
      </c>
      <c r="E1029" s="46">
        <v>100000</v>
      </c>
      <c r="F1029" s="47">
        <f>+$I$4+(CLIENT[[#This Row],[QUANTITE]]*CLIENT[[#This Row],[PRIX UNITAIRE]])</f>
        <v>100000</v>
      </c>
      <c r="G1029" s="48"/>
      <c r="H1029" s="49">
        <f>+SUM($F$9:F1029)-SUM($G$9:G1029)</f>
        <v>26988000</v>
      </c>
    </row>
    <row r="1030" spans="1:8" ht="28.8" x14ac:dyDescent="0.55000000000000004">
      <c r="A1030" s="43">
        <v>45304</v>
      </c>
      <c r="B1030" s="43" t="s">
        <v>1601</v>
      </c>
      <c r="C1030" s="44" t="s">
        <v>2347</v>
      </c>
      <c r="D1030" s="45">
        <v>1</v>
      </c>
      <c r="E1030" s="46">
        <v>150000</v>
      </c>
      <c r="F1030" s="47">
        <f>+$I$4+(CLIENT[[#This Row],[QUANTITE]]*CLIENT[[#This Row],[PRIX UNITAIRE]])</f>
        <v>150000</v>
      </c>
      <c r="G1030" s="48"/>
      <c r="H1030" s="49">
        <f>+SUM($F$9:F1030)-SUM($G$9:G1030)</f>
        <v>27138000</v>
      </c>
    </row>
    <row r="1031" spans="1:8" ht="28.8" x14ac:dyDescent="0.55000000000000004">
      <c r="A1031" s="43">
        <v>45304</v>
      </c>
      <c r="B1031" s="43" t="s">
        <v>2132</v>
      </c>
      <c r="C1031" s="44" t="s">
        <v>2348</v>
      </c>
      <c r="D1031" s="45">
        <v>1</v>
      </c>
      <c r="E1031" s="46">
        <v>185000</v>
      </c>
      <c r="F1031" s="47">
        <f>+$I$4+(CLIENT[[#This Row],[QUANTITE]]*CLIENT[[#This Row],[PRIX UNITAIRE]])</f>
        <v>185000</v>
      </c>
      <c r="G1031" s="48"/>
      <c r="H1031" s="49">
        <f>+SUM($F$9:F1031)-SUM($G$9:G1031)</f>
        <v>27323000</v>
      </c>
    </row>
    <row r="1032" spans="1:8" ht="28.8" x14ac:dyDescent="0.55000000000000004">
      <c r="A1032" s="43">
        <v>45308</v>
      </c>
      <c r="B1032" s="43" t="s">
        <v>2246</v>
      </c>
      <c r="C1032" s="44" t="s">
        <v>2349</v>
      </c>
      <c r="D1032" s="45">
        <v>1</v>
      </c>
      <c r="E1032" s="46">
        <v>185000</v>
      </c>
      <c r="F1032" s="47">
        <f>+$I$4+(CLIENT[[#This Row],[QUANTITE]]*CLIENT[[#This Row],[PRIX UNITAIRE]])</f>
        <v>185000</v>
      </c>
      <c r="G1032" s="48"/>
      <c r="H1032" s="49">
        <f>+SUM($F$9:F1032)-SUM($G$9:G1032)</f>
        <v>27508000</v>
      </c>
    </row>
    <row r="1033" spans="1:8" ht="28.8" x14ac:dyDescent="0.55000000000000004">
      <c r="A1033" s="43">
        <v>45400</v>
      </c>
      <c r="B1033" s="43" t="s">
        <v>2116</v>
      </c>
      <c r="C1033" s="44" t="s">
        <v>2350</v>
      </c>
      <c r="D1033" s="45">
        <v>1</v>
      </c>
      <c r="E1033" s="46">
        <v>150000</v>
      </c>
      <c r="F1033" s="47">
        <f>+$I$4+(CLIENT[[#This Row],[QUANTITE]]*CLIENT[[#This Row],[PRIX UNITAIRE]])</f>
        <v>150000</v>
      </c>
      <c r="G1033" s="48"/>
      <c r="H1033" s="49">
        <f>+SUM($F$9:F1033)-SUM($G$9:G1033)</f>
        <v>27658000</v>
      </c>
    </row>
    <row r="1034" spans="1:8" ht="28.8" x14ac:dyDescent="0.55000000000000004">
      <c r="A1034" s="43"/>
      <c r="B1034" s="43"/>
      <c r="C1034" s="44" t="s">
        <v>1862</v>
      </c>
      <c r="D1034" s="45">
        <v>1</v>
      </c>
      <c r="E1034" s="46">
        <v>10000</v>
      </c>
      <c r="F1034" s="47">
        <f>+$I$4+(CLIENT[[#This Row],[QUANTITE]]*CLIENT[[#This Row],[PRIX UNITAIRE]])</f>
        <v>10000</v>
      </c>
      <c r="G1034" s="48"/>
      <c r="H1034" s="49">
        <f>+SUM($F$9:F1034)-SUM($G$9:G1034)</f>
        <v>27668000</v>
      </c>
    </row>
    <row r="1035" spans="1:8" ht="28.8" x14ac:dyDescent="0.55000000000000004">
      <c r="A1035" s="43">
        <v>45311</v>
      </c>
      <c r="B1035" s="43" t="s">
        <v>1699</v>
      </c>
      <c r="C1035" s="44" t="s">
        <v>2351</v>
      </c>
      <c r="D1035" s="45">
        <v>2</v>
      </c>
      <c r="E1035" s="46">
        <v>125000</v>
      </c>
      <c r="F1035" s="47">
        <f>+$I$4+(CLIENT[[#This Row],[QUANTITE]]*CLIENT[[#This Row],[PRIX UNITAIRE]])</f>
        <v>250000</v>
      </c>
      <c r="G1035" s="48"/>
      <c r="H1035" s="49">
        <f>+SUM($F$9:F1035)-SUM($G$9:G1035)</f>
        <v>27918000</v>
      </c>
    </row>
    <row r="1036" spans="1:8" ht="28.8" x14ac:dyDescent="0.55000000000000004">
      <c r="A1036" s="43">
        <v>45311</v>
      </c>
      <c r="B1036" s="43" t="s">
        <v>1768</v>
      </c>
      <c r="C1036" s="44" t="s">
        <v>2352</v>
      </c>
      <c r="D1036" s="45">
        <v>1</v>
      </c>
      <c r="E1036" s="46">
        <v>150000</v>
      </c>
      <c r="F1036" s="47">
        <f>+$I$4+(CLIENT[[#This Row],[QUANTITE]]*CLIENT[[#This Row],[PRIX UNITAIRE]])</f>
        <v>150000</v>
      </c>
      <c r="G1036" s="48"/>
      <c r="H1036" s="49">
        <f>+SUM($F$9:F1036)-SUM($G$9:G1036)</f>
        <v>28068000</v>
      </c>
    </row>
    <row r="1037" spans="1:8" ht="28.8" x14ac:dyDescent="0.55000000000000004">
      <c r="A1037" s="43">
        <v>45311</v>
      </c>
      <c r="B1037" s="43" t="s">
        <v>2353</v>
      </c>
      <c r="C1037" s="44" t="s">
        <v>2354</v>
      </c>
      <c r="D1037" s="45">
        <v>1</v>
      </c>
      <c r="E1037" s="46">
        <v>150000</v>
      </c>
      <c r="F1037" s="47">
        <f>+$I$4+(CLIENT[[#This Row],[QUANTITE]]*CLIENT[[#This Row],[PRIX UNITAIRE]])</f>
        <v>150000</v>
      </c>
      <c r="G1037" s="48"/>
      <c r="H1037" s="49">
        <f>+SUM($F$9:F1037)-SUM($G$9:G1037)</f>
        <v>28218000</v>
      </c>
    </row>
    <row r="1038" spans="1:8" ht="28.8" x14ac:dyDescent="0.55000000000000004">
      <c r="A1038" s="43">
        <v>45313</v>
      </c>
      <c r="B1038" s="43" t="s">
        <v>2345</v>
      </c>
      <c r="C1038" s="44" t="s">
        <v>2355</v>
      </c>
      <c r="D1038" s="45">
        <v>1</v>
      </c>
      <c r="E1038" s="46">
        <v>185000</v>
      </c>
      <c r="F1038" s="47">
        <f>+$I$4+(CLIENT[[#This Row],[QUANTITE]]*CLIENT[[#This Row],[PRIX UNITAIRE]])</f>
        <v>185000</v>
      </c>
      <c r="G1038" s="48"/>
      <c r="H1038" s="49">
        <f>+SUM($F$9:F1038)-SUM($G$9:G1038)</f>
        <v>28403000</v>
      </c>
    </row>
    <row r="1039" spans="1:8" ht="28.8" x14ac:dyDescent="0.55000000000000004">
      <c r="A1039" s="43"/>
      <c r="B1039" s="43"/>
      <c r="C1039" s="44" t="s">
        <v>1239</v>
      </c>
      <c r="D1039" s="45">
        <v>1</v>
      </c>
      <c r="E1039" s="46">
        <v>45000</v>
      </c>
      <c r="F1039" s="47">
        <f>+$I$4+(CLIENT[[#This Row],[QUANTITE]]*CLIENT[[#This Row],[PRIX UNITAIRE]])</f>
        <v>45000</v>
      </c>
      <c r="G1039" s="48"/>
      <c r="H1039" s="49">
        <f>+SUM($F$9:F1039)-SUM($G$9:G1039)</f>
        <v>28448000</v>
      </c>
    </row>
    <row r="1040" spans="1:8" ht="28.8" x14ac:dyDescent="0.55000000000000004">
      <c r="A1040" s="43">
        <v>45314</v>
      </c>
      <c r="B1040" s="43" t="s">
        <v>2116</v>
      </c>
      <c r="C1040" s="44" t="s">
        <v>2356</v>
      </c>
      <c r="D1040" s="45">
        <v>1</v>
      </c>
      <c r="E1040" s="46">
        <v>150000</v>
      </c>
      <c r="F1040" s="47">
        <f>+$I$4+(CLIENT[[#This Row],[QUANTITE]]*CLIENT[[#This Row],[PRIX UNITAIRE]])</f>
        <v>150000</v>
      </c>
      <c r="G1040" s="48"/>
      <c r="H1040" s="49">
        <f>+SUM($F$9:F1040)-SUM($G$9:G1040)</f>
        <v>28598000</v>
      </c>
    </row>
    <row r="1041" spans="1:8" ht="28.8" x14ac:dyDescent="0.55000000000000004">
      <c r="A1041" s="43">
        <v>45314</v>
      </c>
      <c r="B1041" s="43" t="s">
        <v>2345</v>
      </c>
      <c r="C1041" s="44" t="s">
        <v>2357</v>
      </c>
      <c r="D1041" s="45">
        <v>1</v>
      </c>
      <c r="E1041" s="46">
        <v>185000</v>
      </c>
      <c r="F1041" s="47">
        <f>+$I$4+(CLIENT[[#This Row],[QUANTITE]]*CLIENT[[#This Row],[PRIX UNITAIRE]])</f>
        <v>185000</v>
      </c>
      <c r="G1041" s="48"/>
      <c r="H1041" s="49">
        <f>+SUM($F$9:F1041)-SUM($G$9:G1041)</f>
        <v>28783000</v>
      </c>
    </row>
    <row r="1042" spans="1:8" ht="28.8" x14ac:dyDescent="0.55000000000000004">
      <c r="A1042" s="43">
        <v>45316</v>
      </c>
      <c r="B1042" s="43" t="s">
        <v>1424</v>
      </c>
      <c r="C1042" s="44" t="s">
        <v>2358</v>
      </c>
      <c r="D1042" s="45">
        <v>2</v>
      </c>
      <c r="E1042" s="46">
        <v>150000</v>
      </c>
      <c r="F1042" s="47">
        <f>+$I$4+(CLIENT[[#This Row],[QUANTITE]]*CLIENT[[#This Row],[PRIX UNITAIRE]])</f>
        <v>300000</v>
      </c>
      <c r="G1042" s="48"/>
      <c r="H1042" s="49">
        <f>+SUM($F$9:F1042)-SUM($G$9:G1042)</f>
        <v>29083000</v>
      </c>
    </row>
    <row r="1043" spans="1:8" ht="28.8" x14ac:dyDescent="0.55000000000000004">
      <c r="A1043" s="43"/>
      <c r="B1043" s="43"/>
      <c r="C1043" s="44" t="s">
        <v>1844</v>
      </c>
      <c r="D1043" s="45">
        <v>1</v>
      </c>
      <c r="E1043" s="46">
        <v>15000</v>
      </c>
      <c r="F1043" s="47">
        <f>+$I$4+(CLIENT[[#This Row],[QUANTITE]]*CLIENT[[#This Row],[PRIX UNITAIRE]])</f>
        <v>15000</v>
      </c>
      <c r="G1043" s="48"/>
      <c r="H1043" s="49">
        <f>+SUM($F$9:F1043)-SUM($G$9:G1043)</f>
        <v>29098000</v>
      </c>
    </row>
    <row r="1044" spans="1:8" ht="28.8" x14ac:dyDescent="0.55000000000000004">
      <c r="A1044" s="43">
        <v>45323</v>
      </c>
      <c r="B1044" s="43" t="s">
        <v>2212</v>
      </c>
      <c r="C1044" s="44" t="s">
        <v>218</v>
      </c>
      <c r="D1044" s="45">
        <v>2</v>
      </c>
      <c r="E1044" s="46">
        <v>15000</v>
      </c>
      <c r="F1044" s="47">
        <f>+$I$4+(CLIENT[[#This Row],[QUANTITE]]*CLIENT[[#This Row],[PRIX UNITAIRE]])</f>
        <v>30000</v>
      </c>
      <c r="G1044" s="48"/>
      <c r="H1044" s="49">
        <f>+SUM($F$9:F1044)-SUM($G$9:G1044)</f>
        <v>29128000</v>
      </c>
    </row>
    <row r="1045" spans="1:8" ht="28.8" x14ac:dyDescent="0.55000000000000004">
      <c r="A1045" s="43">
        <v>45325</v>
      </c>
      <c r="B1045" s="43" t="s">
        <v>1737</v>
      </c>
      <c r="C1045" s="44" t="s">
        <v>2359</v>
      </c>
      <c r="D1045" s="45">
        <v>2</v>
      </c>
      <c r="E1045" s="46">
        <v>150000</v>
      </c>
      <c r="F1045" s="47">
        <f>+$I$4+(CLIENT[[#This Row],[QUANTITE]]*CLIENT[[#This Row],[PRIX UNITAIRE]])</f>
        <v>300000</v>
      </c>
      <c r="G1045" s="48"/>
      <c r="H1045" s="49">
        <f>+SUM($F$9:F1045)-SUM($G$9:G1045)</f>
        <v>29428000</v>
      </c>
    </row>
    <row r="1046" spans="1:8" ht="28.8" x14ac:dyDescent="0.55000000000000004">
      <c r="A1046" s="43">
        <v>45327</v>
      </c>
      <c r="B1046" s="43" t="s">
        <v>1992</v>
      </c>
      <c r="C1046" s="44" t="s">
        <v>2360</v>
      </c>
      <c r="D1046" s="45">
        <v>1</v>
      </c>
      <c r="E1046" s="46">
        <v>185000</v>
      </c>
      <c r="F1046" s="47">
        <f>+$I$4+(CLIENT[[#This Row],[QUANTITE]]*CLIENT[[#This Row],[PRIX UNITAIRE]])</f>
        <v>185000</v>
      </c>
      <c r="G1046" s="48"/>
      <c r="H1046" s="49">
        <f>+SUM($F$9:F1046)-SUM($G$9:G1046)</f>
        <v>29613000</v>
      </c>
    </row>
    <row r="1047" spans="1:8" ht="28.8" x14ac:dyDescent="0.55000000000000004">
      <c r="A1047" s="43">
        <v>45297</v>
      </c>
      <c r="B1047" s="43" t="s">
        <v>1474</v>
      </c>
      <c r="C1047" s="44" t="s">
        <v>2361</v>
      </c>
      <c r="D1047" s="45">
        <v>1</v>
      </c>
      <c r="E1047" s="46">
        <v>185000</v>
      </c>
      <c r="F1047" s="47">
        <f>+$I$4+(CLIENT[[#This Row],[QUANTITE]]*CLIENT[[#This Row],[PRIX UNITAIRE]])</f>
        <v>185000</v>
      </c>
      <c r="G1047" s="48"/>
      <c r="H1047" s="49">
        <f>+SUM($F$9:F1047)-SUM($G$9:G1047)</f>
        <v>29798000</v>
      </c>
    </row>
    <row r="1048" spans="1:8" ht="28.8" x14ac:dyDescent="0.55000000000000004">
      <c r="A1048" s="43">
        <v>45330</v>
      </c>
      <c r="B1048" s="43" t="s">
        <v>1992</v>
      </c>
      <c r="C1048" s="44" t="s">
        <v>2362</v>
      </c>
      <c r="D1048" s="45">
        <v>1</v>
      </c>
      <c r="E1048" s="46">
        <v>150000</v>
      </c>
      <c r="F1048" s="47">
        <f>+$I$4+(CLIENT[[#This Row],[QUANTITE]]*CLIENT[[#This Row],[PRIX UNITAIRE]])</f>
        <v>150000</v>
      </c>
      <c r="G1048" s="48"/>
      <c r="H1048" s="49">
        <f>+SUM($F$9:F1048)-SUM($G$9:G1048)</f>
        <v>29948000</v>
      </c>
    </row>
    <row r="1049" spans="1:8" ht="28.8" x14ac:dyDescent="0.55000000000000004">
      <c r="A1049" s="43">
        <v>45334</v>
      </c>
      <c r="B1049" s="43" t="s">
        <v>1307</v>
      </c>
      <c r="C1049" s="44" t="s">
        <v>2363</v>
      </c>
      <c r="D1049" s="45">
        <v>1</v>
      </c>
      <c r="E1049" s="46">
        <v>150000</v>
      </c>
      <c r="F1049" s="47">
        <f>+$I$4+(CLIENT[[#This Row],[QUANTITE]]*CLIENT[[#This Row],[PRIX UNITAIRE]])</f>
        <v>150000</v>
      </c>
      <c r="G1049" s="48"/>
      <c r="H1049" s="49">
        <f>+SUM($F$9:F1049)-SUM($G$9:G1049)</f>
        <v>30098000</v>
      </c>
    </row>
    <row r="1050" spans="1:8" ht="28.8" x14ac:dyDescent="0.55000000000000004">
      <c r="A1050" s="43"/>
      <c r="B1050" s="43" t="s">
        <v>2046</v>
      </c>
      <c r="C1050" s="44" t="s">
        <v>2364</v>
      </c>
      <c r="D1050" s="45">
        <v>1</v>
      </c>
      <c r="E1050" s="46">
        <v>185000</v>
      </c>
      <c r="F1050" s="47">
        <f>+$I$4+(CLIENT[[#This Row],[QUANTITE]]*CLIENT[[#This Row],[PRIX UNITAIRE]])</f>
        <v>185000</v>
      </c>
      <c r="G1050" s="48"/>
      <c r="H1050" s="49">
        <f>+SUM($F$9:F1050)-SUM($G$9:G1050)</f>
        <v>30283000</v>
      </c>
    </row>
    <row r="1051" spans="1:8" ht="28.8" x14ac:dyDescent="0.55000000000000004">
      <c r="A1051" s="43">
        <v>45335</v>
      </c>
      <c r="B1051" s="43" t="s">
        <v>2365</v>
      </c>
      <c r="C1051" s="44" t="s">
        <v>2366</v>
      </c>
      <c r="D1051" s="45">
        <v>1</v>
      </c>
      <c r="E1051" s="46">
        <v>180000</v>
      </c>
      <c r="F1051" s="47">
        <f>+$I$4+(CLIENT[[#This Row],[QUANTITE]]*CLIENT[[#This Row],[PRIX UNITAIRE]])</f>
        <v>180000</v>
      </c>
      <c r="G1051" s="48"/>
      <c r="H1051" s="49">
        <f>+SUM($F$9:F1051)-SUM($G$9:G1051)</f>
        <v>30463000</v>
      </c>
    </row>
    <row r="1052" spans="1:8" ht="28.8" x14ac:dyDescent="0.55000000000000004">
      <c r="A1052" s="43"/>
      <c r="B1052" s="43"/>
      <c r="C1052" s="44" t="s">
        <v>2367</v>
      </c>
      <c r="D1052" s="45">
        <v>1</v>
      </c>
      <c r="E1052" s="46">
        <v>45000</v>
      </c>
      <c r="F1052" s="47">
        <f>+$I$4+(CLIENT[[#This Row],[QUANTITE]]*CLIENT[[#This Row],[PRIX UNITAIRE]])</f>
        <v>45000</v>
      </c>
      <c r="G1052" s="48"/>
      <c r="H1052" s="49">
        <f>+SUM($F$9:F1052)-SUM($G$9:G1052)</f>
        <v>30508000</v>
      </c>
    </row>
    <row r="1053" spans="1:8" ht="28.8" x14ac:dyDescent="0.55000000000000004">
      <c r="A1053" s="43">
        <v>45335</v>
      </c>
      <c r="B1053" s="43" t="s">
        <v>1307</v>
      </c>
      <c r="C1053" s="44" t="s">
        <v>2368</v>
      </c>
      <c r="D1053" s="45">
        <v>2</v>
      </c>
      <c r="E1053" s="46">
        <v>150000</v>
      </c>
      <c r="F1053" s="47">
        <f>+$I$4+(CLIENT[[#This Row],[QUANTITE]]*CLIENT[[#This Row],[PRIX UNITAIRE]])</f>
        <v>300000</v>
      </c>
      <c r="G1053" s="48"/>
      <c r="H1053" s="49">
        <f>+SUM($F$9:F1053)-SUM($G$9:G1053)</f>
        <v>30808000</v>
      </c>
    </row>
    <row r="1054" spans="1:8" ht="28.8" x14ac:dyDescent="0.55000000000000004">
      <c r="A1054" s="43"/>
      <c r="B1054" s="43" t="s">
        <v>1307</v>
      </c>
      <c r="C1054" s="44" t="s">
        <v>1844</v>
      </c>
      <c r="D1054" s="45">
        <v>1</v>
      </c>
      <c r="E1054" s="46">
        <v>10000</v>
      </c>
      <c r="F1054" s="47">
        <f>+$I$4+(CLIENT[[#This Row],[QUANTITE]]*CLIENT[[#This Row],[PRIX UNITAIRE]])</f>
        <v>10000</v>
      </c>
      <c r="G1054" s="48"/>
      <c r="H1054" s="49">
        <f>+SUM($F$9:F1054)-SUM($G$9:G1054)</f>
        <v>30818000</v>
      </c>
    </row>
    <row r="1055" spans="1:8" ht="28.8" x14ac:dyDescent="0.55000000000000004">
      <c r="A1055" s="43">
        <v>45336</v>
      </c>
      <c r="B1055" s="43"/>
      <c r="C1055" s="44" t="s">
        <v>2369</v>
      </c>
      <c r="D1055" s="45">
        <v>8</v>
      </c>
      <c r="E1055" s="46">
        <v>1500</v>
      </c>
      <c r="F1055" s="47">
        <f>+$I$4+(CLIENT[[#This Row],[QUANTITE]]*CLIENT[[#This Row],[PRIX UNITAIRE]])</f>
        <v>12000</v>
      </c>
      <c r="G1055" s="48"/>
      <c r="H1055" s="49">
        <f>+SUM($F$9:F1055)-SUM($G$9:G1055)</f>
        <v>30830000</v>
      </c>
    </row>
    <row r="1056" spans="1:8" ht="28.8" x14ac:dyDescent="0.55000000000000004">
      <c r="A1056" s="43">
        <v>45336</v>
      </c>
      <c r="B1056" s="43" t="s">
        <v>2132</v>
      </c>
      <c r="C1056" s="44" t="s">
        <v>2370</v>
      </c>
      <c r="D1056" s="45">
        <v>1</v>
      </c>
      <c r="E1056" s="46">
        <v>150000</v>
      </c>
      <c r="F1056" s="47">
        <f>+$I$4+(CLIENT[[#This Row],[QUANTITE]]*CLIENT[[#This Row],[PRIX UNITAIRE]])</f>
        <v>150000</v>
      </c>
      <c r="G1056" s="48"/>
      <c r="H1056" s="49">
        <f>+SUM($F$9:F1056)-SUM($G$9:G1056)</f>
        <v>30980000</v>
      </c>
    </row>
    <row r="1057" spans="1:8" ht="28.8" x14ac:dyDescent="0.55000000000000004">
      <c r="A1057" s="43">
        <v>45339</v>
      </c>
      <c r="B1057" s="43" t="s">
        <v>2371</v>
      </c>
      <c r="C1057" s="44" t="s">
        <v>2372</v>
      </c>
      <c r="D1057" s="45">
        <v>1</v>
      </c>
      <c r="E1057" s="46">
        <v>185000</v>
      </c>
      <c r="F1057" s="47">
        <f>+$I$4+(CLIENT[[#This Row],[QUANTITE]]*CLIENT[[#This Row],[PRIX UNITAIRE]])</f>
        <v>185000</v>
      </c>
      <c r="G1057" s="48"/>
      <c r="H1057" s="49">
        <f>+SUM($F$9:F1057)-SUM($G$9:G1057)</f>
        <v>31165000</v>
      </c>
    </row>
    <row r="1058" spans="1:8" ht="28.8" x14ac:dyDescent="0.55000000000000004">
      <c r="A1058" s="43">
        <v>45339</v>
      </c>
      <c r="B1058" s="43" t="s">
        <v>2280</v>
      </c>
      <c r="C1058" s="44" t="s">
        <v>2373</v>
      </c>
      <c r="D1058" s="45">
        <v>2</v>
      </c>
      <c r="E1058" s="46">
        <v>185000</v>
      </c>
      <c r="F1058" s="47">
        <f>+$I$4+(CLIENT[[#This Row],[QUANTITE]]*CLIENT[[#This Row],[PRIX UNITAIRE]])</f>
        <v>370000</v>
      </c>
      <c r="G1058" s="48"/>
      <c r="H1058" s="49">
        <f>+SUM($F$9:F1058)-SUM($G$9:G1058)</f>
        <v>31535000</v>
      </c>
    </row>
    <row r="1059" spans="1:8" ht="28.8" x14ac:dyDescent="0.55000000000000004">
      <c r="A1059" s="43">
        <v>45339</v>
      </c>
      <c r="B1059" s="43" t="s">
        <v>2010</v>
      </c>
      <c r="C1059" s="44" t="s">
        <v>2374</v>
      </c>
      <c r="D1059" s="45">
        <v>1</v>
      </c>
      <c r="E1059" s="46">
        <v>185000</v>
      </c>
      <c r="F1059" s="47">
        <f>+$I$4+(CLIENT[[#This Row],[QUANTITE]]*CLIENT[[#This Row],[PRIX UNITAIRE]])</f>
        <v>185000</v>
      </c>
      <c r="G1059" s="48"/>
      <c r="H1059" s="49">
        <f>+SUM($F$9:F1059)-SUM($G$9:G1059)</f>
        <v>31720000</v>
      </c>
    </row>
    <row r="1060" spans="1:8" ht="28.8" x14ac:dyDescent="0.55000000000000004">
      <c r="A1060" s="43">
        <v>45341</v>
      </c>
      <c r="B1060" s="43" t="s">
        <v>1768</v>
      </c>
      <c r="C1060" s="44" t="s">
        <v>2375</v>
      </c>
      <c r="D1060" s="45">
        <v>1</v>
      </c>
      <c r="E1060" s="46">
        <v>185000</v>
      </c>
      <c r="F1060" s="47">
        <f>+$I$4+(CLIENT[[#This Row],[QUANTITE]]*CLIENT[[#This Row],[PRIX UNITAIRE]])</f>
        <v>185000</v>
      </c>
      <c r="G1060" s="48"/>
      <c r="H1060" s="49">
        <f>+SUM($F$9:F1060)-SUM($G$9:G1060)</f>
        <v>31905000</v>
      </c>
    </row>
    <row r="1061" spans="1:8" ht="28.8" x14ac:dyDescent="0.55000000000000004">
      <c r="A1061" s="43">
        <v>45342</v>
      </c>
      <c r="B1061" s="43" t="s">
        <v>1727</v>
      </c>
      <c r="C1061" s="44" t="s">
        <v>2376</v>
      </c>
      <c r="D1061" s="45">
        <v>2</v>
      </c>
      <c r="E1061" s="46">
        <v>150000</v>
      </c>
      <c r="F1061" s="47">
        <f>+$I$4+(CLIENT[[#This Row],[QUANTITE]]*CLIENT[[#This Row],[PRIX UNITAIRE]])</f>
        <v>300000</v>
      </c>
      <c r="G1061" s="48"/>
      <c r="H1061" s="49">
        <f>+SUM($F$9:F1061)-SUM($G$9:G1061)</f>
        <v>32205000</v>
      </c>
    </row>
    <row r="1062" spans="1:8" ht="28.8" x14ac:dyDescent="0.55000000000000004">
      <c r="A1062" s="43">
        <v>45342</v>
      </c>
      <c r="B1062" s="43" t="s">
        <v>1528</v>
      </c>
      <c r="C1062" s="44" t="s">
        <v>2377</v>
      </c>
      <c r="D1062" s="45">
        <v>1</v>
      </c>
      <c r="E1062" s="46">
        <v>185000</v>
      </c>
      <c r="F1062" s="47">
        <f>+$I$4+(CLIENT[[#This Row],[QUANTITE]]*CLIENT[[#This Row],[PRIX UNITAIRE]])</f>
        <v>185000</v>
      </c>
      <c r="G1062" s="48"/>
      <c r="H1062" s="49">
        <f>+SUM($F$9:F1062)-SUM($G$9:G1062)</f>
        <v>32390000</v>
      </c>
    </row>
    <row r="1063" spans="1:8" ht="28.8" x14ac:dyDescent="0.55000000000000004">
      <c r="A1063" s="43">
        <v>45342</v>
      </c>
      <c r="B1063" s="43" t="s">
        <v>259</v>
      </c>
      <c r="C1063" s="44" t="s">
        <v>2378</v>
      </c>
      <c r="D1063" s="45">
        <v>1</v>
      </c>
      <c r="E1063" s="46">
        <v>0</v>
      </c>
      <c r="F1063" s="47">
        <f>+$I$4+(CLIENT[[#This Row],[QUANTITE]]*CLIENT[[#This Row],[PRIX UNITAIRE]])</f>
        <v>0</v>
      </c>
      <c r="G1063" s="48">
        <v>5000000</v>
      </c>
      <c r="H1063" s="49">
        <f>+SUM($F$9:F1063)-SUM($G$9:G1063)</f>
        <v>27390000</v>
      </c>
    </row>
    <row r="1064" spans="1:8" ht="28.8" x14ac:dyDescent="0.55000000000000004">
      <c r="A1064" s="43"/>
      <c r="B1064" s="43" t="s">
        <v>259</v>
      </c>
      <c r="C1064" s="44" t="s">
        <v>68</v>
      </c>
      <c r="D1064" s="45">
        <v>1</v>
      </c>
      <c r="E1064" s="46">
        <v>0</v>
      </c>
      <c r="F1064" s="47">
        <f>+$I$4+(CLIENT[[#This Row],[QUANTITE]]*CLIENT[[#This Row],[PRIX UNITAIRE]])</f>
        <v>0</v>
      </c>
      <c r="G1064" s="48">
        <v>10000000</v>
      </c>
      <c r="H1064" s="49">
        <f>+SUM($F$9:F1064)-SUM($G$9:G1064)</f>
        <v>17390000</v>
      </c>
    </row>
    <row r="1065" spans="1:8" ht="28.8" x14ac:dyDescent="0.55000000000000004">
      <c r="A1065" s="43">
        <v>45347</v>
      </c>
      <c r="B1065" s="43" t="s">
        <v>1848</v>
      </c>
      <c r="C1065" s="44" t="s">
        <v>2379</v>
      </c>
      <c r="D1065" s="45">
        <v>1</v>
      </c>
      <c r="E1065" s="46">
        <v>185000</v>
      </c>
      <c r="F1065" s="47">
        <f>+$I$4+(CLIENT[[#This Row],[QUANTITE]]*CLIENT[[#This Row],[PRIX UNITAIRE]])</f>
        <v>185000</v>
      </c>
      <c r="G1065" s="48"/>
      <c r="H1065" s="49">
        <f>+SUM($F$9:F1065)-SUM($G$9:G1065)</f>
        <v>17575000</v>
      </c>
    </row>
    <row r="1066" spans="1:8" ht="28.8" x14ac:dyDescent="0.55000000000000004">
      <c r="A1066" s="43">
        <v>45349</v>
      </c>
      <c r="B1066" s="43" t="s">
        <v>1457</v>
      </c>
      <c r="C1066" s="44" t="s">
        <v>643</v>
      </c>
      <c r="D1066" s="45">
        <v>1</v>
      </c>
      <c r="E1066" s="46">
        <v>100000</v>
      </c>
      <c r="F1066" s="47">
        <f>+$I$4+(CLIENT[[#This Row],[QUANTITE]]*CLIENT[[#This Row],[PRIX UNITAIRE]])</f>
        <v>100000</v>
      </c>
      <c r="G1066" s="48"/>
      <c r="H1066" s="49">
        <f>+SUM($F$9:F1066)-SUM($G$9:G1066)</f>
        <v>17675000</v>
      </c>
    </row>
    <row r="1067" spans="1:8" ht="28.8" x14ac:dyDescent="0.55000000000000004">
      <c r="A1067" s="43">
        <v>45350</v>
      </c>
      <c r="B1067" s="43" t="s">
        <v>2116</v>
      </c>
      <c r="C1067" s="44" t="s">
        <v>2380</v>
      </c>
      <c r="D1067" s="45">
        <v>1</v>
      </c>
      <c r="E1067" s="46">
        <v>185000</v>
      </c>
      <c r="F1067" s="47">
        <f>+$I$4+(CLIENT[[#This Row],[QUANTITE]]*CLIENT[[#This Row],[PRIX UNITAIRE]])</f>
        <v>185000</v>
      </c>
      <c r="G1067" s="48"/>
      <c r="H1067" s="49">
        <f>+SUM($F$9:F1067)-SUM($G$9:G1067)</f>
        <v>17860000</v>
      </c>
    </row>
    <row r="1068" spans="1:8" ht="28.8" x14ac:dyDescent="0.55000000000000004">
      <c r="A1068" s="43">
        <v>45351</v>
      </c>
      <c r="B1068" s="43" t="s">
        <v>2381</v>
      </c>
      <c r="C1068" s="44" t="s">
        <v>2382</v>
      </c>
      <c r="D1068" s="45">
        <v>2</v>
      </c>
      <c r="E1068" s="46">
        <v>185000</v>
      </c>
      <c r="F1068" s="47">
        <f>+$I$4+(CLIENT[[#This Row],[QUANTITE]]*CLIENT[[#This Row],[PRIX UNITAIRE]])</f>
        <v>370000</v>
      </c>
      <c r="G1068" s="48"/>
      <c r="H1068" s="49">
        <f>+SUM($F$9:F1068)-SUM($G$9:G1068)</f>
        <v>18230000</v>
      </c>
    </row>
    <row r="1069" spans="1:8" ht="28.8" x14ac:dyDescent="0.55000000000000004">
      <c r="A1069" s="43">
        <v>45351</v>
      </c>
      <c r="B1069" s="43" t="s">
        <v>2383</v>
      </c>
      <c r="C1069" s="44" t="s">
        <v>2384</v>
      </c>
      <c r="D1069" s="45">
        <v>1</v>
      </c>
      <c r="E1069" s="46">
        <v>185000</v>
      </c>
      <c r="F1069" s="47">
        <f>+$I$4+(CLIENT[[#This Row],[QUANTITE]]*CLIENT[[#This Row],[PRIX UNITAIRE]])</f>
        <v>185000</v>
      </c>
      <c r="G1069" s="48"/>
      <c r="H1069" s="49">
        <f>+SUM($F$9:F1069)-SUM($G$9:G1069)</f>
        <v>18415000</v>
      </c>
    </row>
    <row r="1070" spans="1:8" ht="28.8" x14ac:dyDescent="0.55000000000000004">
      <c r="A1070" s="43">
        <v>45352</v>
      </c>
      <c r="B1070" s="43" t="s">
        <v>2385</v>
      </c>
      <c r="C1070" s="44" t="s">
        <v>2386</v>
      </c>
      <c r="D1070" s="45">
        <v>1</v>
      </c>
      <c r="E1070" s="46">
        <v>185000</v>
      </c>
      <c r="F1070" s="47">
        <f>+$I$4+(CLIENT[[#This Row],[QUANTITE]]*CLIENT[[#This Row],[PRIX UNITAIRE]])</f>
        <v>185000</v>
      </c>
      <c r="G1070" s="48"/>
      <c r="H1070" s="49">
        <f>+SUM($F$9:F1070)-SUM($G$9:G1070)</f>
        <v>18600000</v>
      </c>
    </row>
    <row r="1071" spans="1:8" ht="28.8" x14ac:dyDescent="0.55000000000000004">
      <c r="A1071" s="43">
        <v>45352</v>
      </c>
      <c r="B1071" s="43" t="s">
        <v>2387</v>
      </c>
      <c r="C1071" s="44" t="s">
        <v>2388</v>
      </c>
      <c r="D1071" s="45">
        <v>2</v>
      </c>
      <c r="E1071" s="46">
        <v>150000</v>
      </c>
      <c r="F1071" s="47">
        <f>+$I$4+(CLIENT[[#This Row],[QUANTITE]]*CLIENT[[#This Row],[PRIX UNITAIRE]])</f>
        <v>300000</v>
      </c>
      <c r="G1071" s="48"/>
      <c r="H1071" s="49">
        <f>+SUM($F$9:F1071)-SUM($G$9:G1071)</f>
        <v>18900000</v>
      </c>
    </row>
    <row r="1072" spans="1:8" ht="28.8" x14ac:dyDescent="0.55000000000000004">
      <c r="A1072" s="43">
        <v>45353</v>
      </c>
      <c r="B1072" s="43" t="s">
        <v>2339</v>
      </c>
      <c r="C1072" s="44" t="s">
        <v>2389</v>
      </c>
      <c r="D1072" s="45">
        <v>1</v>
      </c>
      <c r="E1072" s="46">
        <v>185000</v>
      </c>
      <c r="F1072" s="47">
        <f>+$I$4+(CLIENT[[#This Row],[QUANTITE]]*CLIENT[[#This Row],[PRIX UNITAIRE]])</f>
        <v>185000</v>
      </c>
      <c r="G1072" s="48"/>
      <c r="H1072" s="49">
        <f>+SUM($F$9:F1072)-SUM($G$9:G1072)</f>
        <v>19085000</v>
      </c>
    </row>
    <row r="1073" spans="1:8" ht="28.8" x14ac:dyDescent="0.55000000000000004">
      <c r="A1073" s="43">
        <v>45355</v>
      </c>
      <c r="B1073" s="43" t="s">
        <v>1768</v>
      </c>
      <c r="C1073" s="44" t="s">
        <v>2390</v>
      </c>
      <c r="D1073" s="45">
        <v>2</v>
      </c>
      <c r="E1073" s="46">
        <v>185000</v>
      </c>
      <c r="F1073" s="47">
        <f>+$I$4+(CLIENT[[#This Row],[QUANTITE]]*CLIENT[[#This Row],[PRIX UNITAIRE]])</f>
        <v>370000</v>
      </c>
      <c r="G1073" s="48"/>
      <c r="H1073" s="49">
        <f>+SUM($F$9:F1073)-SUM($G$9:G1073)</f>
        <v>19455000</v>
      </c>
    </row>
    <row r="1074" spans="1:8" ht="28.8" x14ac:dyDescent="0.55000000000000004">
      <c r="A1074" s="43">
        <v>45355</v>
      </c>
      <c r="B1074" s="43" t="s">
        <v>2391</v>
      </c>
      <c r="C1074" s="44" t="s">
        <v>218</v>
      </c>
      <c r="D1074" s="45">
        <v>4</v>
      </c>
      <c r="E1074" s="46">
        <v>15000</v>
      </c>
      <c r="F1074" s="47">
        <f>+$I$4+(CLIENT[[#This Row],[QUANTITE]]*CLIENT[[#This Row],[PRIX UNITAIRE]])</f>
        <v>60000</v>
      </c>
      <c r="G1074" s="48"/>
      <c r="H1074" s="49">
        <f>+SUM($F$9:F1074)-SUM($G$9:G1074)</f>
        <v>19515000</v>
      </c>
    </row>
    <row r="1075" spans="1:8" ht="28.8" x14ac:dyDescent="0.55000000000000004">
      <c r="A1075" s="43">
        <v>45356</v>
      </c>
      <c r="B1075" s="43" t="s">
        <v>2392</v>
      </c>
      <c r="C1075" s="44" t="s">
        <v>2393</v>
      </c>
      <c r="D1075" s="45">
        <v>1</v>
      </c>
      <c r="E1075" s="46">
        <v>180000</v>
      </c>
      <c r="F1075" s="47">
        <f>+$I$4+(CLIENT[[#This Row],[QUANTITE]]*CLIENT[[#This Row],[PRIX UNITAIRE]])</f>
        <v>180000</v>
      </c>
      <c r="G1075" s="48"/>
      <c r="H1075" s="49">
        <f>+SUM($F$9:F1075)-SUM($G$9:G1075)</f>
        <v>19695000</v>
      </c>
    </row>
    <row r="1076" spans="1:8" ht="28.8" x14ac:dyDescent="0.55000000000000004">
      <c r="A1076" s="43">
        <v>45358</v>
      </c>
      <c r="B1076" s="43" t="s">
        <v>2385</v>
      </c>
      <c r="C1076" s="44" t="s">
        <v>2394</v>
      </c>
      <c r="D1076" s="45">
        <v>1</v>
      </c>
      <c r="E1076" s="46">
        <v>150000</v>
      </c>
      <c r="F1076" s="47">
        <f>+$I$4+(CLIENT[[#This Row],[QUANTITE]]*CLIENT[[#This Row],[PRIX UNITAIRE]])</f>
        <v>150000</v>
      </c>
      <c r="G1076" s="48"/>
      <c r="H1076" s="49">
        <f>+SUM($F$9:F1076)-SUM($G$9:G1076)</f>
        <v>19845000</v>
      </c>
    </row>
    <row r="1077" spans="1:8" ht="28.8" x14ac:dyDescent="0.55000000000000004">
      <c r="A1077" s="43">
        <v>45371</v>
      </c>
      <c r="B1077" s="43" t="s">
        <v>1233</v>
      </c>
      <c r="C1077" s="44" t="s">
        <v>218</v>
      </c>
      <c r="D1077" s="45">
        <v>2</v>
      </c>
      <c r="E1077" s="46">
        <v>15000</v>
      </c>
      <c r="F1077" s="47">
        <f>+$I$4+(CLIENT[[#This Row],[QUANTITE]]*CLIENT[[#This Row],[PRIX UNITAIRE]])</f>
        <v>30000</v>
      </c>
      <c r="G1077" s="48"/>
      <c r="H1077" s="49">
        <f>+SUM($F$9:F1077)-SUM($G$9:G1077)</f>
        <v>19875000</v>
      </c>
    </row>
    <row r="1078" spans="1:8" ht="28.8" x14ac:dyDescent="0.55000000000000004">
      <c r="A1078" s="43">
        <v>45371</v>
      </c>
      <c r="B1078" s="43" t="s">
        <v>1600</v>
      </c>
      <c r="C1078" s="44" t="s">
        <v>10</v>
      </c>
      <c r="D1078" s="45">
        <v>2</v>
      </c>
      <c r="E1078" s="46">
        <v>100000</v>
      </c>
      <c r="F1078" s="47">
        <f>+$I$4+(CLIENT[[#This Row],[QUANTITE]]*CLIENT[[#This Row],[PRIX UNITAIRE]])</f>
        <v>200000</v>
      </c>
      <c r="G1078" s="48"/>
      <c r="H1078" s="49">
        <f>+SUM($F$9:F1078)-SUM($G$9:G1078)</f>
        <v>20075000</v>
      </c>
    </row>
    <row r="1079" spans="1:8" ht="28.8" x14ac:dyDescent="0.55000000000000004">
      <c r="A1079" s="43">
        <v>45372</v>
      </c>
      <c r="B1079" s="43" t="s">
        <v>1601</v>
      </c>
      <c r="C1079" s="44" t="s">
        <v>2395</v>
      </c>
      <c r="D1079" s="45">
        <v>2</v>
      </c>
      <c r="E1079" s="46">
        <v>18000</v>
      </c>
      <c r="F1079" s="47">
        <f>+$I$4+(CLIENT[[#This Row],[QUANTITE]]*CLIENT[[#This Row],[PRIX UNITAIRE]])</f>
        <v>36000</v>
      </c>
      <c r="G1079" s="48"/>
      <c r="H1079" s="49">
        <f>+SUM($F$9:F1079)-SUM($G$9:G1079)</f>
        <v>20111000</v>
      </c>
    </row>
    <row r="1080" spans="1:8" ht="28.8" x14ac:dyDescent="0.55000000000000004">
      <c r="A1080" s="43">
        <v>45372</v>
      </c>
      <c r="B1080" s="43">
        <v>1698</v>
      </c>
      <c r="C1080" s="44" t="s">
        <v>643</v>
      </c>
      <c r="D1080" s="45">
        <v>2</v>
      </c>
      <c r="E1080" s="46">
        <v>100000</v>
      </c>
      <c r="F1080" s="47">
        <f>+$I$4+(CLIENT[[#This Row],[QUANTITE]]*CLIENT[[#This Row],[PRIX UNITAIRE]])</f>
        <v>200000</v>
      </c>
      <c r="G1080" s="48"/>
      <c r="H1080" s="49">
        <f>+SUM($F$9:F1080)-SUM($G$9:G1080)</f>
        <v>20311000</v>
      </c>
    </row>
    <row r="1081" spans="1:8" ht="28.8" x14ac:dyDescent="0.55000000000000004">
      <c r="A1081" s="43">
        <v>45374</v>
      </c>
      <c r="B1081" s="43"/>
      <c r="C1081" s="44" t="s">
        <v>2395</v>
      </c>
      <c r="D1081" s="45">
        <v>1</v>
      </c>
      <c r="E1081" s="46">
        <v>18000</v>
      </c>
      <c r="F1081" s="47">
        <f>+$I$4+(CLIENT[[#This Row],[QUANTITE]]*CLIENT[[#This Row],[PRIX UNITAIRE]])</f>
        <v>18000</v>
      </c>
      <c r="G1081" s="48"/>
      <c r="H1081" s="49">
        <f>+SUM($F$9:F1081)-SUM($G$9:G1081)</f>
        <v>20329000</v>
      </c>
    </row>
    <row r="1082" spans="1:8" ht="28.8" x14ac:dyDescent="0.55000000000000004">
      <c r="A1082" s="43">
        <v>45374</v>
      </c>
      <c r="B1082" s="43" t="s">
        <v>2396</v>
      </c>
      <c r="C1082" s="44" t="s">
        <v>2397</v>
      </c>
      <c r="D1082" s="45">
        <v>7</v>
      </c>
      <c r="E1082" s="46">
        <v>40000</v>
      </c>
      <c r="F1082" s="47">
        <f>+$I$4+(CLIENT[[#This Row],[QUANTITE]]*CLIENT[[#This Row],[PRIX UNITAIRE]])</f>
        <v>280000</v>
      </c>
      <c r="G1082" s="48"/>
      <c r="H1082" s="49">
        <f>+SUM($F$9:F1082)-SUM($G$9:G1082)</f>
        <v>20609000</v>
      </c>
    </row>
    <row r="1083" spans="1:8" ht="28.8" x14ac:dyDescent="0.55000000000000004">
      <c r="A1083" s="43"/>
      <c r="B1083" s="43"/>
      <c r="C1083" s="44" t="s">
        <v>98</v>
      </c>
      <c r="D1083" s="45">
        <v>7</v>
      </c>
      <c r="E1083" s="46">
        <v>40000</v>
      </c>
      <c r="F1083" s="47">
        <f>+$I$4+(CLIENT[[#This Row],[QUANTITE]]*CLIENT[[#This Row],[PRIX UNITAIRE]])</f>
        <v>280000</v>
      </c>
      <c r="G1083" s="48"/>
      <c r="H1083" s="49">
        <f>+SUM($F$9:F1083)-SUM($G$9:G1083)</f>
        <v>20889000</v>
      </c>
    </row>
    <row r="1084" spans="1:8" ht="28.8" x14ac:dyDescent="0.55000000000000004">
      <c r="A1084" s="43">
        <v>45376</v>
      </c>
      <c r="B1084" s="43" t="s">
        <v>2324</v>
      </c>
      <c r="C1084" s="44" t="s">
        <v>2398</v>
      </c>
      <c r="D1084" s="45">
        <v>2</v>
      </c>
      <c r="E1084" s="46">
        <v>150000</v>
      </c>
      <c r="F1084" s="47">
        <f>+$I$4+(CLIENT[[#This Row],[QUANTITE]]*CLIENT[[#This Row],[PRIX UNITAIRE]])</f>
        <v>300000</v>
      </c>
      <c r="G1084" s="48"/>
      <c r="H1084" s="49">
        <f>+SUM($F$9:F1084)-SUM($G$9:G1084)</f>
        <v>21189000</v>
      </c>
    </row>
    <row r="1085" spans="1:8" ht="28.8" x14ac:dyDescent="0.55000000000000004">
      <c r="A1085" s="43">
        <v>45377</v>
      </c>
      <c r="B1085" s="43" t="s">
        <v>2234</v>
      </c>
      <c r="C1085" s="44" t="s">
        <v>2399</v>
      </c>
      <c r="D1085" s="45">
        <v>1</v>
      </c>
      <c r="E1085" s="46">
        <v>150000</v>
      </c>
      <c r="F1085" s="47">
        <f>+$I$4+(CLIENT[[#This Row],[QUANTITE]]*CLIENT[[#This Row],[PRIX UNITAIRE]])</f>
        <v>150000</v>
      </c>
      <c r="G1085" s="48"/>
      <c r="H1085" s="49">
        <f>+SUM($F$9:F1085)-SUM($G$9:G1085)</f>
        <v>21339000</v>
      </c>
    </row>
    <row r="1086" spans="1:8" ht="28.8" x14ac:dyDescent="0.55000000000000004">
      <c r="A1086" s="43">
        <v>45469</v>
      </c>
      <c r="B1086" s="43" t="s">
        <v>1737</v>
      </c>
      <c r="C1086" s="44" t="s">
        <v>2400</v>
      </c>
      <c r="D1086" s="45">
        <v>1</v>
      </c>
      <c r="E1086" s="46">
        <v>185000</v>
      </c>
      <c r="F1086" s="47">
        <f>+$I$4+(CLIENT[[#This Row],[QUANTITE]]*CLIENT[[#This Row],[PRIX UNITAIRE]])</f>
        <v>185000</v>
      </c>
      <c r="G1086" s="48"/>
      <c r="H1086" s="49">
        <f>+SUM($F$9:F1086)-SUM($G$9:G1086)</f>
        <v>21524000</v>
      </c>
    </row>
    <row r="1087" spans="1:8" ht="28.8" x14ac:dyDescent="0.55000000000000004">
      <c r="A1087" s="43"/>
      <c r="B1087" s="43"/>
      <c r="C1087" s="44" t="s">
        <v>1239</v>
      </c>
      <c r="D1087" s="45">
        <v>1</v>
      </c>
      <c r="E1087" s="46">
        <v>45000</v>
      </c>
      <c r="F1087" s="47">
        <f>+$I$4+(CLIENT[[#This Row],[QUANTITE]]*CLIENT[[#This Row],[PRIX UNITAIRE]])</f>
        <v>45000</v>
      </c>
      <c r="G1087" s="48"/>
      <c r="H1087" s="49">
        <f>+SUM($F$9:F1087)-SUM($G$9:G1087)</f>
        <v>21569000</v>
      </c>
    </row>
    <row r="1088" spans="1:8" ht="28.8" x14ac:dyDescent="0.55000000000000004">
      <c r="A1088" s="43">
        <v>45378</v>
      </c>
      <c r="B1088" s="43" t="s">
        <v>2401</v>
      </c>
      <c r="C1088" s="44" t="s">
        <v>2397</v>
      </c>
      <c r="D1088" s="45">
        <v>4</v>
      </c>
      <c r="E1088" s="46">
        <v>40000</v>
      </c>
      <c r="F1088" s="47">
        <f>+$I$4+(CLIENT[[#This Row],[QUANTITE]]*CLIENT[[#This Row],[PRIX UNITAIRE]])</f>
        <v>160000</v>
      </c>
      <c r="G1088" s="48"/>
      <c r="H1088" s="49">
        <f>+SUM($F$9:F1088)-SUM($G$9:G1088)</f>
        <v>21729000</v>
      </c>
    </row>
    <row r="1089" spans="1:8" ht="28.8" x14ac:dyDescent="0.55000000000000004">
      <c r="A1089" s="43"/>
      <c r="B1089" s="43"/>
      <c r="C1089" s="44" t="s">
        <v>663</v>
      </c>
      <c r="D1089" s="45">
        <v>3</v>
      </c>
      <c r="E1089" s="46">
        <v>9000</v>
      </c>
      <c r="F1089" s="47">
        <f>+$I$4+(CLIENT[[#This Row],[QUANTITE]]*CLIENT[[#This Row],[PRIX UNITAIRE]])</f>
        <v>27000</v>
      </c>
      <c r="G1089" s="48"/>
      <c r="H1089" s="49">
        <f>+SUM($F$9:F1089)-SUM($G$9:G1089)</f>
        <v>21756000</v>
      </c>
    </row>
    <row r="1090" spans="1:8" ht="28.8" x14ac:dyDescent="0.55000000000000004">
      <c r="A1090" s="43"/>
      <c r="B1090" s="43"/>
      <c r="C1090" s="44" t="s">
        <v>2402</v>
      </c>
      <c r="D1090" s="45">
        <v>3</v>
      </c>
      <c r="E1090" s="46">
        <v>9000</v>
      </c>
      <c r="F1090" s="47">
        <f>+$I$4+(CLIENT[[#This Row],[QUANTITE]]*CLIENT[[#This Row],[PRIX UNITAIRE]])</f>
        <v>27000</v>
      </c>
      <c r="G1090" s="48"/>
      <c r="H1090" s="49">
        <f>+SUM($F$9:F1090)-SUM($G$9:G1090)</f>
        <v>21783000</v>
      </c>
    </row>
    <row r="1091" spans="1:8" ht="28.8" x14ac:dyDescent="0.55000000000000004">
      <c r="A1091" s="43"/>
      <c r="B1091" s="43"/>
      <c r="C1091" s="44" t="s">
        <v>2403</v>
      </c>
      <c r="D1091" s="45">
        <v>3</v>
      </c>
      <c r="E1091" s="46">
        <v>9000</v>
      </c>
      <c r="F1091" s="47">
        <f>+$I$4+(CLIENT[[#This Row],[QUANTITE]]*CLIENT[[#This Row],[PRIX UNITAIRE]])</f>
        <v>27000</v>
      </c>
      <c r="G1091" s="48"/>
      <c r="H1091" s="49">
        <f>+SUM($F$9:F1091)-SUM($G$9:G1091)</f>
        <v>21810000</v>
      </c>
    </row>
    <row r="1092" spans="1:8" ht="28.8" x14ac:dyDescent="0.55000000000000004">
      <c r="A1092" s="43"/>
      <c r="B1092" s="43"/>
      <c r="C1092" s="44" t="s">
        <v>2404</v>
      </c>
      <c r="D1092" s="45">
        <v>3</v>
      </c>
      <c r="E1092" s="46">
        <v>9000</v>
      </c>
      <c r="F1092" s="47">
        <f>+$I$4+(CLIENT[[#This Row],[QUANTITE]]*CLIENT[[#This Row],[PRIX UNITAIRE]])</f>
        <v>27000</v>
      </c>
      <c r="G1092" s="48"/>
      <c r="H1092" s="49">
        <f>+SUM($F$9:F1092)-SUM($G$9:G1092)</f>
        <v>21837000</v>
      </c>
    </row>
    <row r="1093" spans="1:8" ht="28.8" x14ac:dyDescent="0.55000000000000004">
      <c r="A1093" s="43">
        <v>45378</v>
      </c>
      <c r="B1093" s="43" t="s">
        <v>2405</v>
      </c>
      <c r="C1093" s="44" t="s">
        <v>2406</v>
      </c>
      <c r="D1093" s="45">
        <v>1</v>
      </c>
      <c r="E1093" s="46">
        <v>150000</v>
      </c>
      <c r="F1093" s="47">
        <f>+$I$4+(CLIENT[[#This Row],[QUANTITE]]*CLIENT[[#This Row],[PRIX UNITAIRE]])</f>
        <v>150000</v>
      </c>
      <c r="G1093" s="48"/>
      <c r="H1093" s="49">
        <f>+SUM($F$9:F1093)-SUM($G$9:G1093)</f>
        <v>21987000</v>
      </c>
    </row>
    <row r="1094" spans="1:8" ht="28.8" x14ac:dyDescent="0.55000000000000004">
      <c r="A1094" s="43">
        <v>45380</v>
      </c>
      <c r="B1094" s="43" t="s">
        <v>1302</v>
      </c>
      <c r="C1094" s="44" t="s">
        <v>10</v>
      </c>
      <c r="D1094" s="45">
        <v>2</v>
      </c>
      <c r="E1094" s="46">
        <v>100000</v>
      </c>
      <c r="F1094" s="47">
        <f>+$I$4+(CLIENT[[#This Row],[QUANTITE]]*CLIENT[[#This Row],[PRIX UNITAIRE]])</f>
        <v>200000</v>
      </c>
      <c r="G1094" s="48"/>
      <c r="H1094" s="49">
        <f>+SUM($F$9:F1094)-SUM($G$9:G1094)</f>
        <v>22187000</v>
      </c>
    </row>
    <row r="1095" spans="1:8" ht="28.8" x14ac:dyDescent="0.55000000000000004">
      <c r="A1095" s="43">
        <v>45384</v>
      </c>
      <c r="B1095" s="43" t="s">
        <v>1371</v>
      </c>
      <c r="C1095" s="44" t="s">
        <v>2407</v>
      </c>
      <c r="D1095" s="45">
        <v>2</v>
      </c>
      <c r="E1095" s="46">
        <v>100000</v>
      </c>
      <c r="F1095" s="47">
        <f>+$I$4+(CLIENT[[#This Row],[QUANTITE]]*CLIENT[[#This Row],[PRIX UNITAIRE]])</f>
        <v>200000</v>
      </c>
      <c r="G1095" s="48"/>
      <c r="H1095" s="49">
        <f>+SUM($F$9:F1095)-SUM($G$9:G1095)</f>
        <v>22387000</v>
      </c>
    </row>
    <row r="1096" spans="1:8" ht="28.8" x14ac:dyDescent="0.55000000000000004">
      <c r="A1096" s="43">
        <v>45385</v>
      </c>
      <c r="B1096" s="43" t="s">
        <v>2408</v>
      </c>
      <c r="C1096" s="44" t="s">
        <v>2409</v>
      </c>
      <c r="D1096" s="45">
        <v>2</v>
      </c>
      <c r="E1096" s="46">
        <v>185000</v>
      </c>
      <c r="F1096" s="47">
        <f>+$I$4+(CLIENT[[#This Row],[QUANTITE]]*CLIENT[[#This Row],[PRIX UNITAIRE]])</f>
        <v>370000</v>
      </c>
      <c r="G1096" s="48"/>
      <c r="H1096" s="49">
        <f>+SUM($F$9:F1096)-SUM($G$9:G1096)</f>
        <v>22757000</v>
      </c>
    </row>
    <row r="1097" spans="1:8" ht="28.8" x14ac:dyDescent="0.55000000000000004">
      <c r="A1097" s="43"/>
      <c r="B1097" s="43"/>
      <c r="C1097" s="44" t="s">
        <v>2410</v>
      </c>
      <c r="D1097" s="45">
        <v>1</v>
      </c>
      <c r="E1097" s="46">
        <v>22000</v>
      </c>
      <c r="F1097" s="47">
        <f>+$I$4+(CLIENT[[#This Row],[QUANTITE]]*CLIENT[[#This Row],[PRIX UNITAIRE]])</f>
        <v>22000</v>
      </c>
      <c r="G1097" s="48"/>
      <c r="H1097" s="49">
        <f>+SUM($F$9:F1097)-SUM($G$9:G1097)</f>
        <v>22779000</v>
      </c>
    </row>
    <row r="1098" spans="1:8" ht="28.8" x14ac:dyDescent="0.55000000000000004">
      <c r="A1098" s="43">
        <v>45391</v>
      </c>
      <c r="B1098" s="43" t="s">
        <v>1737</v>
      </c>
      <c r="C1098" s="44" t="s">
        <v>2411</v>
      </c>
      <c r="D1098" s="45">
        <v>1</v>
      </c>
      <c r="E1098" s="46">
        <v>185000</v>
      </c>
      <c r="F1098" s="47">
        <f>+$I$4+(CLIENT[[#This Row],[QUANTITE]]*CLIENT[[#This Row],[PRIX UNITAIRE]])</f>
        <v>185000</v>
      </c>
      <c r="G1098" s="48"/>
      <c r="H1098" s="49">
        <f>+SUM($F$9:F1098)-SUM($G$9:G1098)</f>
        <v>22964000</v>
      </c>
    </row>
    <row r="1099" spans="1:8" ht="28.8" x14ac:dyDescent="0.55000000000000004">
      <c r="A1099" s="43"/>
      <c r="B1099" s="43"/>
      <c r="C1099" s="44" t="s">
        <v>1239</v>
      </c>
      <c r="D1099" s="45">
        <v>1</v>
      </c>
      <c r="E1099" s="46">
        <v>45000</v>
      </c>
      <c r="F1099" s="47">
        <f>+$I$4+(CLIENT[[#This Row],[QUANTITE]]*CLIENT[[#This Row],[PRIX UNITAIRE]])</f>
        <v>45000</v>
      </c>
      <c r="G1099" s="48"/>
      <c r="H1099" s="49">
        <f>+SUM($F$9:F1099)-SUM($G$9:G1099)</f>
        <v>23009000</v>
      </c>
    </row>
    <row r="1100" spans="1:8" ht="28.8" x14ac:dyDescent="0.55000000000000004">
      <c r="A1100" s="43">
        <v>45395</v>
      </c>
      <c r="B1100" s="43" t="s">
        <v>2412</v>
      </c>
      <c r="C1100" s="44" t="s">
        <v>2413</v>
      </c>
      <c r="D1100" s="45">
        <v>1</v>
      </c>
      <c r="E1100" s="46">
        <v>185000</v>
      </c>
      <c r="F1100" s="47">
        <f>+$I$4+(CLIENT[[#This Row],[QUANTITE]]*CLIENT[[#This Row],[PRIX UNITAIRE]])</f>
        <v>185000</v>
      </c>
      <c r="G1100" s="48"/>
      <c r="H1100" s="49">
        <f>+SUM($F$9:F1100)-SUM($G$9:G1100)</f>
        <v>23194000</v>
      </c>
    </row>
    <row r="1101" spans="1:8" ht="28.8" x14ac:dyDescent="0.55000000000000004">
      <c r="A1101" s="43"/>
      <c r="B1101" s="43"/>
      <c r="C1101" s="44" t="s">
        <v>1239</v>
      </c>
      <c r="D1101" s="45">
        <v>1</v>
      </c>
      <c r="E1101" s="46">
        <v>45000</v>
      </c>
      <c r="F1101" s="47">
        <f>+$I$4+(CLIENT[[#This Row],[QUANTITE]]*CLIENT[[#This Row],[PRIX UNITAIRE]])</f>
        <v>45000</v>
      </c>
      <c r="G1101" s="48"/>
      <c r="H1101" s="49">
        <f>+SUM($F$9:F1101)-SUM($G$9:G1101)</f>
        <v>23239000</v>
      </c>
    </row>
    <row r="1102" spans="1:8" ht="28.8" x14ac:dyDescent="0.55000000000000004">
      <c r="A1102" s="43">
        <v>45397</v>
      </c>
      <c r="B1102" s="43" t="s">
        <v>1768</v>
      </c>
      <c r="C1102" s="44" t="s">
        <v>2414</v>
      </c>
      <c r="D1102" s="45">
        <v>1</v>
      </c>
      <c r="E1102" s="46">
        <v>150000</v>
      </c>
      <c r="F1102" s="47">
        <f>+$I$4+(CLIENT[[#This Row],[QUANTITE]]*CLIENT[[#This Row],[PRIX UNITAIRE]])</f>
        <v>150000</v>
      </c>
      <c r="G1102" s="48"/>
      <c r="H1102" s="49">
        <f>+SUM($F$9:F1102)-SUM($G$9:G1102)</f>
        <v>23389000</v>
      </c>
    </row>
    <row r="1103" spans="1:8" ht="28.8" x14ac:dyDescent="0.55000000000000004">
      <c r="A1103" s="43">
        <v>45398</v>
      </c>
      <c r="B1103" s="43" t="s">
        <v>1457</v>
      </c>
      <c r="C1103" s="44" t="s">
        <v>10</v>
      </c>
      <c r="D1103" s="45">
        <v>2</v>
      </c>
      <c r="E1103" s="46">
        <v>100000</v>
      </c>
      <c r="F1103" s="47">
        <f>+$I$4+(CLIENT[[#This Row],[QUANTITE]]*CLIENT[[#This Row],[PRIX UNITAIRE]])</f>
        <v>200000</v>
      </c>
      <c r="G1103" s="48"/>
      <c r="H1103" s="49">
        <f>+SUM($F$9:F1103)-SUM($G$9:G1103)</f>
        <v>23589000</v>
      </c>
    </row>
    <row r="1104" spans="1:8" ht="28.8" x14ac:dyDescent="0.55000000000000004">
      <c r="A1104" s="43"/>
      <c r="B1104" s="43"/>
      <c r="C1104" s="44" t="s">
        <v>2415</v>
      </c>
      <c r="D1104" s="45">
        <v>4</v>
      </c>
      <c r="E1104" s="46">
        <v>2000</v>
      </c>
      <c r="F1104" s="47">
        <f>+$I$4+(CLIENT[[#This Row],[QUANTITE]]*CLIENT[[#This Row],[PRIX UNITAIRE]])</f>
        <v>8000</v>
      </c>
      <c r="G1104" s="48"/>
      <c r="H1104" s="49">
        <f>+SUM($F$9:F1104)-SUM($G$9:G1104)</f>
        <v>23597000</v>
      </c>
    </row>
    <row r="1105" spans="1:8" ht="28.8" x14ac:dyDescent="0.55000000000000004">
      <c r="A1105" s="43"/>
      <c r="B1105" s="43"/>
      <c r="C1105" s="44" t="s">
        <v>1844</v>
      </c>
      <c r="D1105" s="45">
        <v>1</v>
      </c>
      <c r="E1105" s="46">
        <v>5000</v>
      </c>
      <c r="F1105" s="47">
        <f>+$I$4+(CLIENT[[#This Row],[QUANTITE]]*CLIENT[[#This Row],[PRIX UNITAIRE]])</f>
        <v>5000</v>
      </c>
      <c r="G1105" s="48"/>
      <c r="H1105" s="49">
        <f>+SUM($F$9:F1105)-SUM($G$9:G1105)</f>
        <v>23602000</v>
      </c>
    </row>
    <row r="1106" spans="1:8" ht="28.8" x14ac:dyDescent="0.55000000000000004">
      <c r="A1106" s="43">
        <v>45399</v>
      </c>
      <c r="B1106" s="43" t="s">
        <v>1302</v>
      </c>
      <c r="C1106" s="44" t="s">
        <v>2416</v>
      </c>
      <c r="D1106" s="45">
        <v>1</v>
      </c>
      <c r="E1106" s="46">
        <v>150000</v>
      </c>
      <c r="F1106" s="47">
        <f>+$I$4+(CLIENT[[#This Row],[QUANTITE]]*CLIENT[[#This Row],[PRIX UNITAIRE]])</f>
        <v>150000</v>
      </c>
      <c r="G1106" s="48"/>
      <c r="H1106" s="49">
        <f>+SUM($F$9:F1106)-SUM($G$9:G1106)</f>
        <v>23752000</v>
      </c>
    </row>
    <row r="1107" spans="1:8" ht="28.8" x14ac:dyDescent="0.55000000000000004">
      <c r="A1107" s="43">
        <v>45400</v>
      </c>
      <c r="B1107" s="43" t="s">
        <v>1833</v>
      </c>
      <c r="C1107" s="44" t="s">
        <v>2417</v>
      </c>
      <c r="D1107" s="45">
        <v>1</v>
      </c>
      <c r="E1107" s="46">
        <v>150000</v>
      </c>
      <c r="F1107" s="47">
        <f>+$I$4+(CLIENT[[#This Row],[QUANTITE]]*CLIENT[[#This Row],[PRIX UNITAIRE]])</f>
        <v>150000</v>
      </c>
      <c r="G1107" s="48"/>
      <c r="H1107" s="49">
        <f>+SUM($F$9:F1107)-SUM($G$9:G1107)</f>
        <v>23902000</v>
      </c>
    </row>
    <row r="1108" spans="1:8" ht="28.8" x14ac:dyDescent="0.55000000000000004">
      <c r="A1108" s="43">
        <v>45400</v>
      </c>
      <c r="B1108" s="43" t="s">
        <v>1137</v>
      </c>
      <c r="C1108" s="44" t="s">
        <v>2418</v>
      </c>
      <c r="D1108" s="45">
        <v>2</v>
      </c>
      <c r="E1108" s="46">
        <v>110000</v>
      </c>
      <c r="F1108" s="47">
        <f>+$I$4+(CLIENT[[#This Row],[QUANTITE]]*CLIENT[[#This Row],[PRIX UNITAIRE]])</f>
        <v>220000</v>
      </c>
      <c r="G1108" s="48"/>
      <c r="H1108" s="49">
        <f>+SUM($F$9:F1108)-SUM($G$9:G1108)</f>
        <v>24122000</v>
      </c>
    </row>
    <row r="1109" spans="1:8" ht="28.8" x14ac:dyDescent="0.55000000000000004">
      <c r="A1109" s="43">
        <v>45401</v>
      </c>
      <c r="B1109" s="43" t="s">
        <v>1601</v>
      </c>
      <c r="C1109" s="44" t="s">
        <v>2419</v>
      </c>
      <c r="D1109" s="45">
        <v>1</v>
      </c>
      <c r="E1109" s="46">
        <v>185000</v>
      </c>
      <c r="F1109" s="47">
        <f>+$I$4+(CLIENT[[#This Row],[QUANTITE]]*CLIENT[[#This Row],[PRIX UNITAIRE]])</f>
        <v>185000</v>
      </c>
      <c r="G1109" s="48"/>
      <c r="H1109" s="49">
        <f>+SUM($F$9:F1109)-SUM($G$9:G1109)</f>
        <v>24307000</v>
      </c>
    </row>
    <row r="1110" spans="1:8" ht="28.8" x14ac:dyDescent="0.55000000000000004">
      <c r="A1110" s="43">
        <v>45401</v>
      </c>
      <c r="B1110" s="43" t="s">
        <v>2420</v>
      </c>
      <c r="C1110" s="44" t="s">
        <v>2421</v>
      </c>
      <c r="D1110" s="45">
        <v>2</v>
      </c>
      <c r="E1110" s="46">
        <v>150000</v>
      </c>
      <c r="F1110" s="47">
        <f>+$I$4+(CLIENT[[#This Row],[QUANTITE]]*CLIENT[[#This Row],[PRIX UNITAIRE]])</f>
        <v>300000</v>
      </c>
      <c r="G1110" s="48"/>
      <c r="H1110" s="49">
        <f>+SUM($F$9:F1110)-SUM($G$9:G1110)</f>
        <v>24607000</v>
      </c>
    </row>
    <row r="1111" spans="1:8" ht="28.8" x14ac:dyDescent="0.55000000000000004">
      <c r="A1111" s="43">
        <v>45401</v>
      </c>
      <c r="B1111" s="43" t="s">
        <v>2116</v>
      </c>
      <c r="C1111" s="44" t="s">
        <v>2422</v>
      </c>
      <c r="D1111" s="45">
        <v>1</v>
      </c>
      <c r="E1111" s="46">
        <v>185000</v>
      </c>
      <c r="F1111" s="47">
        <f>+$I$4+(CLIENT[[#This Row],[QUANTITE]]*CLIENT[[#This Row],[PRIX UNITAIRE]])</f>
        <v>185000</v>
      </c>
      <c r="G1111" s="48"/>
      <c r="H1111" s="49">
        <f>+SUM($F$9:F1111)-SUM($G$9:G1111)</f>
        <v>24792000</v>
      </c>
    </row>
    <row r="1112" spans="1:8" ht="28.8" x14ac:dyDescent="0.55000000000000004">
      <c r="A1112" s="43"/>
      <c r="B1112" s="43"/>
      <c r="C1112" s="44" t="s">
        <v>2423</v>
      </c>
      <c r="D1112" s="45">
        <v>1</v>
      </c>
      <c r="E1112" s="46">
        <v>150000</v>
      </c>
      <c r="F1112" s="47">
        <f>+$I$4+(CLIENT[[#This Row],[QUANTITE]]*CLIENT[[#This Row],[PRIX UNITAIRE]])</f>
        <v>150000</v>
      </c>
      <c r="G1112" s="48"/>
      <c r="H1112" s="49">
        <f>+SUM($F$9:F1112)-SUM($G$9:G1112)</f>
        <v>24942000</v>
      </c>
    </row>
    <row r="1113" spans="1:8" ht="28.8" x14ac:dyDescent="0.55000000000000004">
      <c r="A1113" s="43">
        <v>45401</v>
      </c>
      <c r="B1113" s="43" t="s">
        <v>1601</v>
      </c>
      <c r="C1113" s="44" t="s">
        <v>2424</v>
      </c>
      <c r="D1113" s="45">
        <v>1</v>
      </c>
      <c r="E1113" s="46">
        <v>95000</v>
      </c>
      <c r="F1113" s="47">
        <f>+$I$4+(CLIENT[[#This Row],[QUANTITE]]*CLIENT[[#This Row],[PRIX UNITAIRE]])</f>
        <v>95000</v>
      </c>
      <c r="G1113" s="48"/>
      <c r="H1113" s="49">
        <f>+SUM($F$9:F1113)-SUM($G$9:G1113)</f>
        <v>25037000</v>
      </c>
    </row>
    <row r="1114" spans="1:8" ht="28.8" x14ac:dyDescent="0.55000000000000004">
      <c r="A1114" s="43">
        <v>45402</v>
      </c>
      <c r="B1114" s="43" t="s">
        <v>1149</v>
      </c>
      <c r="C1114" s="44" t="s">
        <v>2418</v>
      </c>
      <c r="D1114" s="45">
        <v>2</v>
      </c>
      <c r="E1114" s="46">
        <v>110000</v>
      </c>
      <c r="F1114" s="47">
        <f>+$I$4+(CLIENT[[#This Row],[QUANTITE]]*CLIENT[[#This Row],[PRIX UNITAIRE]])</f>
        <v>220000</v>
      </c>
      <c r="G1114" s="48"/>
      <c r="H1114" s="49">
        <f>+SUM($F$9:F1114)-SUM($G$9:G1114)</f>
        <v>25257000</v>
      </c>
    </row>
    <row r="1115" spans="1:8" ht="28.8" x14ac:dyDescent="0.55000000000000004">
      <c r="A1115" s="43"/>
      <c r="B1115" s="43" t="s">
        <v>2212</v>
      </c>
      <c r="C1115" s="44" t="s">
        <v>2418</v>
      </c>
      <c r="D1115" s="45">
        <v>2</v>
      </c>
      <c r="E1115" s="46">
        <v>110000</v>
      </c>
      <c r="F1115" s="47">
        <f>+$I$4+(CLIENT[[#This Row],[QUANTITE]]*CLIENT[[#This Row],[PRIX UNITAIRE]])</f>
        <v>220000</v>
      </c>
      <c r="G1115" s="48"/>
      <c r="H1115" s="49">
        <f>+SUM($F$9:F1115)-SUM($G$9:G1115)</f>
        <v>25477000</v>
      </c>
    </row>
    <row r="1116" spans="1:8" ht="28.8" x14ac:dyDescent="0.55000000000000004">
      <c r="A1116" s="43">
        <v>45402</v>
      </c>
      <c r="B1116" s="43" t="s">
        <v>2280</v>
      </c>
      <c r="C1116" s="44" t="s">
        <v>2425</v>
      </c>
      <c r="D1116" s="45">
        <v>1</v>
      </c>
      <c r="E1116" s="46">
        <v>185000</v>
      </c>
      <c r="F1116" s="47">
        <f>+$I$4+(CLIENT[[#This Row],[QUANTITE]]*CLIENT[[#This Row],[PRIX UNITAIRE]])</f>
        <v>185000</v>
      </c>
      <c r="G1116" s="48"/>
      <c r="H1116" s="49">
        <f>+SUM($F$9:F1116)-SUM($G$9:G1116)</f>
        <v>25662000</v>
      </c>
    </row>
    <row r="1117" spans="1:8" ht="28.8" x14ac:dyDescent="0.55000000000000004">
      <c r="A1117" s="43">
        <v>45404</v>
      </c>
      <c r="B1117" s="43" t="s">
        <v>2076</v>
      </c>
      <c r="C1117" s="44" t="s">
        <v>2426</v>
      </c>
      <c r="D1117" s="45">
        <v>1</v>
      </c>
      <c r="E1117" s="46">
        <v>185000</v>
      </c>
      <c r="F1117" s="47">
        <f>+$I$4+(CLIENT[[#This Row],[QUANTITE]]*CLIENT[[#This Row],[PRIX UNITAIRE]])</f>
        <v>185000</v>
      </c>
      <c r="G1117" s="48"/>
      <c r="H1117" s="49">
        <f>+SUM($F$9:F1117)-SUM($G$9:G1117)</f>
        <v>25847000</v>
      </c>
    </row>
    <row r="1118" spans="1:8" ht="28.8" x14ac:dyDescent="0.55000000000000004">
      <c r="A1118" s="43">
        <v>45404</v>
      </c>
      <c r="B1118" s="43" t="s">
        <v>2427</v>
      </c>
      <c r="C1118" s="44" t="s">
        <v>2428</v>
      </c>
      <c r="D1118" s="45">
        <v>1</v>
      </c>
      <c r="E1118" s="46">
        <v>150000</v>
      </c>
      <c r="F1118" s="47">
        <f>+$I$4+(CLIENT[[#This Row],[QUANTITE]]*CLIENT[[#This Row],[PRIX UNITAIRE]])</f>
        <v>150000</v>
      </c>
      <c r="G1118" s="48"/>
      <c r="H1118" s="49">
        <f>+SUM($F$9:F1118)-SUM($G$9:G1118)</f>
        <v>25997000</v>
      </c>
    </row>
    <row r="1119" spans="1:8" ht="28.8" x14ac:dyDescent="0.55000000000000004">
      <c r="A1119" s="43">
        <v>45404</v>
      </c>
      <c r="B1119" s="43" t="s">
        <v>2429</v>
      </c>
      <c r="C1119" s="44" t="s">
        <v>1873</v>
      </c>
      <c r="D1119" s="45">
        <v>11</v>
      </c>
      <c r="E1119" s="46">
        <v>0</v>
      </c>
      <c r="F1119" s="47">
        <f>+$I$4+(CLIENT[[#This Row],[QUANTITE]]*CLIENT[[#This Row],[PRIX UNITAIRE]])</f>
        <v>0</v>
      </c>
      <c r="G1119" s="48">
        <v>110000</v>
      </c>
      <c r="H1119" s="49">
        <f>+SUM($F$9:F1119)-SUM($G$9:G1119)</f>
        <v>25887000</v>
      </c>
    </row>
    <row r="1120" spans="1:8" ht="28.8" x14ac:dyDescent="0.55000000000000004">
      <c r="A1120" s="43">
        <v>45405</v>
      </c>
      <c r="B1120" s="43" t="s">
        <v>1457</v>
      </c>
      <c r="C1120" s="44" t="s">
        <v>2430</v>
      </c>
      <c r="D1120" s="45">
        <v>1</v>
      </c>
      <c r="E1120" s="46">
        <v>150000</v>
      </c>
      <c r="F1120" s="47">
        <f>+$I$4+(CLIENT[[#This Row],[QUANTITE]]*CLIENT[[#This Row],[PRIX UNITAIRE]])</f>
        <v>150000</v>
      </c>
      <c r="G1120" s="48"/>
      <c r="H1120" s="49">
        <f>+SUM($F$9:F1120)-SUM($G$9:G1120)</f>
        <v>26037000</v>
      </c>
    </row>
    <row r="1121" spans="1:8" ht="28.8" x14ac:dyDescent="0.55000000000000004">
      <c r="A1121" s="43">
        <v>45405</v>
      </c>
      <c r="B1121" s="43" t="s">
        <v>2431</v>
      </c>
      <c r="C1121" s="44" t="s">
        <v>2432</v>
      </c>
      <c r="D1121" s="45">
        <v>1</v>
      </c>
      <c r="E1121" s="46">
        <v>185000</v>
      </c>
      <c r="F1121" s="47">
        <f>+$I$4+(CLIENT[[#This Row],[QUANTITE]]*CLIENT[[#This Row],[PRIX UNITAIRE]])</f>
        <v>185000</v>
      </c>
      <c r="G1121" s="48"/>
      <c r="H1121" s="49">
        <f>+SUM($F$9:F1121)-SUM($G$9:G1121)</f>
        <v>26222000</v>
      </c>
    </row>
    <row r="1122" spans="1:8" ht="28.8" x14ac:dyDescent="0.55000000000000004">
      <c r="A1122" s="43"/>
      <c r="B1122" s="43"/>
      <c r="C1122" s="44" t="s">
        <v>1239</v>
      </c>
      <c r="D1122" s="45">
        <v>1</v>
      </c>
      <c r="E1122" s="46">
        <v>45000</v>
      </c>
      <c r="F1122" s="47">
        <f>+$I$4+(CLIENT[[#This Row],[QUANTITE]]*CLIENT[[#This Row],[PRIX UNITAIRE]])</f>
        <v>45000</v>
      </c>
      <c r="G1122" s="48"/>
      <c r="H1122" s="49">
        <f>+SUM($F$9:F1122)-SUM($G$9:G1122)</f>
        <v>26267000</v>
      </c>
    </row>
    <row r="1123" spans="1:8" ht="28.8" x14ac:dyDescent="0.55000000000000004">
      <c r="A1123" s="43">
        <v>45406</v>
      </c>
      <c r="B1123" s="43"/>
      <c r="C1123" s="44" t="s">
        <v>2418</v>
      </c>
      <c r="D1123" s="45">
        <v>4</v>
      </c>
      <c r="E1123" s="46">
        <v>110000</v>
      </c>
      <c r="F1123" s="47">
        <f>+$I$4+(CLIENT[[#This Row],[QUANTITE]]*CLIENT[[#This Row],[PRIX UNITAIRE]])</f>
        <v>440000</v>
      </c>
      <c r="G1123" s="48"/>
      <c r="H1123" s="49">
        <f>+SUM($F$9:F1123)-SUM($G$9:G1123)</f>
        <v>26707000</v>
      </c>
    </row>
    <row r="1124" spans="1:8" ht="28.8" x14ac:dyDescent="0.55000000000000004">
      <c r="A1124" s="43">
        <v>45406</v>
      </c>
      <c r="B1124" s="43" t="s">
        <v>2433</v>
      </c>
      <c r="C1124" s="44" t="s">
        <v>2397</v>
      </c>
      <c r="D1124" s="45">
        <v>6</v>
      </c>
      <c r="E1124" s="46">
        <v>37500</v>
      </c>
      <c r="F1124" s="47">
        <f>+$I$4+(CLIENT[[#This Row],[QUANTITE]]*CLIENT[[#This Row],[PRIX UNITAIRE]])</f>
        <v>225000</v>
      </c>
      <c r="G1124" s="48"/>
      <c r="H1124" s="49">
        <f>+SUM($F$9:F1124)-SUM($G$9:G1124)</f>
        <v>26932000</v>
      </c>
    </row>
    <row r="1125" spans="1:8" ht="28.8" x14ac:dyDescent="0.55000000000000004">
      <c r="A1125" s="43">
        <v>45407</v>
      </c>
      <c r="B1125" s="43" t="s">
        <v>2433</v>
      </c>
      <c r="C1125" s="44" t="s">
        <v>10</v>
      </c>
      <c r="D1125" s="45">
        <v>2</v>
      </c>
      <c r="E1125" s="46">
        <v>100000</v>
      </c>
      <c r="F1125" s="47">
        <f>+$I$4+(CLIENT[[#This Row],[QUANTITE]]*CLIENT[[#This Row],[PRIX UNITAIRE]])</f>
        <v>200000</v>
      </c>
      <c r="G1125" s="48"/>
      <c r="H1125" s="49">
        <f>+SUM($F$9:F1125)-SUM($G$9:G1125)</f>
        <v>27132000</v>
      </c>
    </row>
    <row r="1126" spans="1:8" ht="28.8" x14ac:dyDescent="0.55000000000000004">
      <c r="A1126" s="43"/>
      <c r="B1126" s="43" t="s">
        <v>2433</v>
      </c>
      <c r="C1126" s="44" t="s">
        <v>2397</v>
      </c>
      <c r="D1126" s="45">
        <v>6</v>
      </c>
      <c r="E1126" s="46">
        <v>37500</v>
      </c>
      <c r="F1126" s="47">
        <f>+$I$4+(CLIENT[[#This Row],[QUANTITE]]*CLIENT[[#This Row],[PRIX UNITAIRE]])</f>
        <v>225000</v>
      </c>
      <c r="G1126" s="48"/>
      <c r="H1126" s="49">
        <f>+SUM($F$9:F1126)-SUM($G$9:G1126)</f>
        <v>27357000</v>
      </c>
    </row>
    <row r="1127" spans="1:8" ht="28.8" x14ac:dyDescent="0.55000000000000004">
      <c r="A1127" s="43">
        <v>45407</v>
      </c>
      <c r="B1127" s="43" t="s">
        <v>2434</v>
      </c>
      <c r="C1127" s="44" t="s">
        <v>2435</v>
      </c>
      <c r="D1127" s="45">
        <v>1</v>
      </c>
      <c r="E1127" s="46">
        <v>55000</v>
      </c>
      <c r="F1127" s="47">
        <f>+$I$4+(CLIENT[[#This Row],[QUANTITE]]*CLIENT[[#This Row],[PRIX UNITAIRE]])</f>
        <v>55000</v>
      </c>
      <c r="G1127" s="48"/>
      <c r="H1127" s="49">
        <f>+SUM($F$9:F1127)-SUM($G$9:G1127)</f>
        <v>27412000</v>
      </c>
    </row>
    <row r="1128" spans="1:8" ht="28.8" x14ac:dyDescent="0.55000000000000004">
      <c r="A1128" s="43">
        <v>45407</v>
      </c>
      <c r="B1128" s="43" t="s">
        <v>2229</v>
      </c>
      <c r="C1128" s="44" t="s">
        <v>2436</v>
      </c>
      <c r="D1128" s="45">
        <v>1</v>
      </c>
      <c r="E1128" s="46">
        <v>185000</v>
      </c>
      <c r="F1128" s="47">
        <f>+$I$4+(CLIENT[[#This Row],[QUANTITE]]*CLIENT[[#This Row],[PRIX UNITAIRE]])</f>
        <v>185000</v>
      </c>
      <c r="G1128" s="48"/>
      <c r="H1128" s="49">
        <f>+SUM($F$9:F1128)-SUM($G$9:G1128)</f>
        <v>27597000</v>
      </c>
    </row>
    <row r="1129" spans="1:8" ht="28.8" x14ac:dyDescent="0.55000000000000004">
      <c r="A1129" s="43"/>
      <c r="B1129" s="43"/>
      <c r="C1129" s="44" t="s">
        <v>1239</v>
      </c>
      <c r="D1129" s="45">
        <v>1</v>
      </c>
      <c r="E1129" s="46">
        <v>45000</v>
      </c>
      <c r="F1129" s="47">
        <f>+$I$4+(CLIENT[[#This Row],[QUANTITE]]*CLIENT[[#This Row],[PRIX UNITAIRE]])</f>
        <v>45000</v>
      </c>
      <c r="G1129" s="48"/>
      <c r="H1129" s="49">
        <f>+SUM($F$9:F1129)-SUM($G$9:G1129)</f>
        <v>27642000</v>
      </c>
    </row>
    <row r="1130" spans="1:8" ht="28.8" x14ac:dyDescent="0.55000000000000004">
      <c r="A1130" s="43">
        <v>45408</v>
      </c>
      <c r="B1130" s="43" t="s">
        <v>2385</v>
      </c>
      <c r="C1130" s="44" t="s">
        <v>2437</v>
      </c>
      <c r="D1130" s="45">
        <v>1</v>
      </c>
      <c r="E1130" s="46">
        <v>150000</v>
      </c>
      <c r="F1130" s="47">
        <f>+$I$4+(CLIENT[[#This Row],[QUANTITE]]*CLIENT[[#This Row],[PRIX UNITAIRE]])</f>
        <v>150000</v>
      </c>
      <c r="G1130" s="48"/>
      <c r="H1130" s="49">
        <f>+SUM($F$9:F1130)-SUM($G$9:G1130)</f>
        <v>27792000</v>
      </c>
    </row>
    <row r="1131" spans="1:8" ht="28.8" x14ac:dyDescent="0.55000000000000004">
      <c r="A1131" s="43">
        <v>45409</v>
      </c>
      <c r="B1131" s="43" t="s">
        <v>2427</v>
      </c>
      <c r="C1131" s="44" t="s">
        <v>2438</v>
      </c>
      <c r="D1131" s="45">
        <v>1</v>
      </c>
      <c r="E1131" s="46">
        <v>185000</v>
      </c>
      <c r="F1131" s="47">
        <f>+$I$4+(CLIENT[[#This Row],[QUANTITE]]*CLIENT[[#This Row],[PRIX UNITAIRE]])</f>
        <v>185000</v>
      </c>
      <c r="G1131" s="48"/>
      <c r="H1131" s="49">
        <f>+SUM($F$9:F1131)-SUM($G$9:G1131)</f>
        <v>27977000</v>
      </c>
    </row>
    <row r="1132" spans="1:8" ht="28.8" x14ac:dyDescent="0.55000000000000004">
      <c r="A1132" s="43">
        <v>45412</v>
      </c>
      <c r="B1132" s="43" t="s">
        <v>2324</v>
      </c>
      <c r="C1132" s="44" t="s">
        <v>2439</v>
      </c>
      <c r="D1132" s="45">
        <v>1</v>
      </c>
      <c r="E1132" s="46">
        <v>185000</v>
      </c>
      <c r="F1132" s="47">
        <f>+$I$4+(CLIENT[[#This Row],[QUANTITE]]*CLIENT[[#This Row],[PRIX UNITAIRE]])</f>
        <v>185000</v>
      </c>
      <c r="G1132" s="48"/>
      <c r="H1132" s="49">
        <f>+SUM($F$9:F1132)-SUM($G$9:G1132)</f>
        <v>28162000</v>
      </c>
    </row>
    <row r="1133" spans="1:8" ht="28.8" x14ac:dyDescent="0.55000000000000004">
      <c r="A1133" s="43"/>
      <c r="B1133" s="43"/>
      <c r="C1133" s="44" t="s">
        <v>2440</v>
      </c>
      <c r="D1133" s="45">
        <v>1</v>
      </c>
      <c r="E1133" s="46">
        <v>150000</v>
      </c>
      <c r="F1133" s="47">
        <f>+$I$4+(CLIENT[[#This Row],[QUANTITE]]*CLIENT[[#This Row],[PRIX UNITAIRE]])</f>
        <v>150000</v>
      </c>
      <c r="G1133" s="48"/>
      <c r="H1133" s="49">
        <f>+SUM($F$9:F1133)-SUM($G$9:G1133)</f>
        <v>28312000</v>
      </c>
    </row>
    <row r="1134" spans="1:8" ht="28.8" x14ac:dyDescent="0.55000000000000004">
      <c r="A1134" s="43">
        <v>45414</v>
      </c>
      <c r="B1134" s="43" t="s">
        <v>2441</v>
      </c>
      <c r="C1134" s="44" t="s">
        <v>2442</v>
      </c>
      <c r="D1134" s="45">
        <v>1</v>
      </c>
      <c r="E1134" s="46">
        <v>150000</v>
      </c>
      <c r="F1134" s="47">
        <f>+$I$4+(CLIENT[[#This Row],[QUANTITE]]*CLIENT[[#This Row],[PRIX UNITAIRE]])</f>
        <v>150000</v>
      </c>
      <c r="G1134" s="48"/>
      <c r="H1134" s="49">
        <f>+SUM($F$9:F1134)-SUM($G$9:G1134)</f>
        <v>28462000</v>
      </c>
    </row>
    <row r="1135" spans="1:8" ht="28.8" x14ac:dyDescent="0.55000000000000004">
      <c r="A1135" s="43">
        <v>45416</v>
      </c>
      <c r="B1135" s="43" t="s">
        <v>1371</v>
      </c>
      <c r="C1135" s="44" t="s">
        <v>2443</v>
      </c>
      <c r="D1135" s="45">
        <v>1</v>
      </c>
      <c r="E1135" s="46">
        <v>150000</v>
      </c>
      <c r="F1135" s="47">
        <f>+$I$4+(CLIENT[[#This Row],[QUANTITE]]*CLIENT[[#This Row],[PRIX UNITAIRE]])</f>
        <v>150000</v>
      </c>
      <c r="G1135" s="48"/>
      <c r="H1135" s="49">
        <f>+SUM($F$9:F1135)-SUM($G$9:G1135)</f>
        <v>28612000</v>
      </c>
    </row>
    <row r="1136" spans="1:8" ht="28.8" x14ac:dyDescent="0.55000000000000004">
      <c r="A1136" s="43">
        <v>45416</v>
      </c>
      <c r="B1136" s="43" t="s">
        <v>2444</v>
      </c>
      <c r="C1136" s="44" t="s">
        <v>2418</v>
      </c>
      <c r="D1136" s="45">
        <v>2</v>
      </c>
      <c r="E1136" s="46">
        <v>110000</v>
      </c>
      <c r="F1136" s="47">
        <f>+$I$4+(CLIENT[[#This Row],[QUANTITE]]*CLIENT[[#This Row],[PRIX UNITAIRE]])</f>
        <v>220000</v>
      </c>
      <c r="G1136" s="48"/>
      <c r="H1136" s="49">
        <f>+SUM($F$9:F1136)-SUM($G$9:G1136)</f>
        <v>28832000</v>
      </c>
    </row>
    <row r="1137" spans="1:8" ht="28.8" x14ac:dyDescent="0.55000000000000004">
      <c r="A1137" s="43"/>
      <c r="B1137" s="43"/>
      <c r="C1137" s="44" t="s">
        <v>2445</v>
      </c>
      <c r="D1137" s="45">
        <v>1</v>
      </c>
      <c r="E1137" s="46">
        <v>5000</v>
      </c>
      <c r="F1137" s="47">
        <f>+$I$4+(CLIENT[[#This Row],[QUANTITE]]*CLIENT[[#This Row],[PRIX UNITAIRE]])</f>
        <v>5000</v>
      </c>
      <c r="G1137" s="48"/>
      <c r="H1137" s="49">
        <f>+SUM($F$9:F1137)-SUM($G$9:G1137)</f>
        <v>28837000</v>
      </c>
    </row>
    <row r="1138" spans="1:8" ht="28.8" x14ac:dyDescent="0.55000000000000004">
      <c r="A1138" s="43">
        <v>45418</v>
      </c>
      <c r="B1138" s="43" t="s">
        <v>1461</v>
      </c>
      <c r="C1138" s="44" t="s">
        <v>2446</v>
      </c>
      <c r="D1138" s="45">
        <v>1</v>
      </c>
      <c r="E1138" s="46">
        <v>150000</v>
      </c>
      <c r="F1138" s="47">
        <f>+$I$4+(CLIENT[[#This Row],[QUANTITE]]*CLIENT[[#This Row],[PRIX UNITAIRE]])</f>
        <v>150000</v>
      </c>
      <c r="G1138" s="48"/>
      <c r="H1138" s="49">
        <f>+SUM($F$9:F1138)-SUM($G$9:G1138)</f>
        <v>28987000</v>
      </c>
    </row>
    <row r="1139" spans="1:8" ht="28.8" x14ac:dyDescent="0.55000000000000004">
      <c r="A1139" s="43">
        <v>45418</v>
      </c>
      <c r="B1139" s="43" t="s">
        <v>2387</v>
      </c>
      <c r="C1139" s="44" t="s">
        <v>2447</v>
      </c>
      <c r="D1139" s="45">
        <v>1</v>
      </c>
      <c r="E1139" s="46">
        <v>185000</v>
      </c>
      <c r="F1139" s="47">
        <f>+$I$4+(CLIENT[[#This Row],[QUANTITE]]*CLIENT[[#This Row],[PRIX UNITAIRE]])</f>
        <v>185000</v>
      </c>
      <c r="G1139" s="48"/>
      <c r="H1139" s="49">
        <f>+SUM($F$9:F1139)-SUM($G$9:G1139)</f>
        <v>29172000</v>
      </c>
    </row>
    <row r="1140" spans="1:8" ht="28.8" x14ac:dyDescent="0.55000000000000004">
      <c r="A1140" s="43">
        <v>45418</v>
      </c>
      <c r="B1140" s="43" t="s">
        <v>2431</v>
      </c>
      <c r="C1140" s="44" t="s">
        <v>2448</v>
      </c>
      <c r="D1140" s="45">
        <v>1</v>
      </c>
      <c r="E1140" s="46">
        <v>185000</v>
      </c>
      <c r="F1140" s="47">
        <f>+$I$4+(CLIENT[[#This Row],[QUANTITE]]*CLIENT[[#This Row],[PRIX UNITAIRE]])</f>
        <v>185000</v>
      </c>
      <c r="G1140" s="48"/>
      <c r="H1140" s="49">
        <f>+SUM($F$9:F1140)-SUM($G$9:G1140)</f>
        <v>29357000</v>
      </c>
    </row>
    <row r="1141" spans="1:8" ht="28.8" x14ac:dyDescent="0.55000000000000004">
      <c r="A1141" s="43">
        <v>45418</v>
      </c>
      <c r="B1141" s="43" t="s">
        <v>2234</v>
      </c>
      <c r="C1141" s="44" t="s">
        <v>2449</v>
      </c>
      <c r="D1141" s="45">
        <v>1</v>
      </c>
      <c r="E1141" s="46">
        <v>185000</v>
      </c>
      <c r="F1141" s="47">
        <f>+$I$4+(CLIENT[[#This Row],[QUANTITE]]*CLIENT[[#This Row],[PRIX UNITAIRE]])</f>
        <v>185000</v>
      </c>
      <c r="G1141" s="48"/>
      <c r="H1141" s="49">
        <f>+SUM($F$9:F1141)-SUM($G$9:G1141)</f>
        <v>29542000</v>
      </c>
    </row>
    <row r="1142" spans="1:8" ht="28.8" x14ac:dyDescent="0.55000000000000004">
      <c r="A1142" s="43"/>
      <c r="B1142" s="43"/>
      <c r="C1142" s="44" t="s">
        <v>1239</v>
      </c>
      <c r="D1142" s="45">
        <v>1</v>
      </c>
      <c r="E1142" s="46">
        <v>45000</v>
      </c>
      <c r="F1142" s="47">
        <f>+$I$4+(CLIENT[[#This Row],[QUANTITE]]*CLIENT[[#This Row],[PRIX UNITAIRE]])</f>
        <v>45000</v>
      </c>
      <c r="G1142" s="48"/>
      <c r="H1142" s="49">
        <f>+SUM($F$9:F1142)-SUM($G$9:G1142)</f>
        <v>29587000</v>
      </c>
    </row>
    <row r="1143" spans="1:8" ht="28.8" x14ac:dyDescent="0.55000000000000004">
      <c r="A1143" s="43">
        <v>45418</v>
      </c>
      <c r="B1143" s="43" t="s">
        <v>1768</v>
      </c>
      <c r="C1143" s="44" t="s">
        <v>2450</v>
      </c>
      <c r="D1143" s="45">
        <v>1</v>
      </c>
      <c r="E1143" s="46">
        <v>185000</v>
      </c>
      <c r="F1143" s="47">
        <f>+$I$4+(CLIENT[[#This Row],[QUANTITE]]*CLIENT[[#This Row],[PRIX UNITAIRE]])</f>
        <v>185000</v>
      </c>
      <c r="G1143" s="48"/>
      <c r="H1143" s="49">
        <f>+SUM($F$9:F1143)-SUM($G$9:G1143)</f>
        <v>29772000</v>
      </c>
    </row>
    <row r="1144" spans="1:8" ht="28.8" x14ac:dyDescent="0.55000000000000004">
      <c r="A1144" s="43">
        <v>45419</v>
      </c>
      <c r="B1144" s="43" t="s">
        <v>1327</v>
      </c>
      <c r="C1144" s="44" t="s">
        <v>2451</v>
      </c>
      <c r="D1144" s="45">
        <v>1</v>
      </c>
      <c r="E1144" s="46">
        <v>185000</v>
      </c>
      <c r="F1144" s="47">
        <f>+$I$4+(CLIENT[[#This Row],[QUANTITE]]*CLIENT[[#This Row],[PRIX UNITAIRE]])</f>
        <v>185000</v>
      </c>
      <c r="G1144" s="48"/>
      <c r="H1144" s="49">
        <f>+SUM($F$9:F1144)-SUM($G$9:G1144)</f>
        <v>29957000</v>
      </c>
    </row>
    <row r="1145" spans="1:8" ht="28.8" x14ac:dyDescent="0.55000000000000004">
      <c r="A1145" s="43">
        <v>56376</v>
      </c>
      <c r="B1145" s="43" t="s">
        <v>2396</v>
      </c>
      <c r="C1145" s="44" t="s">
        <v>2397</v>
      </c>
      <c r="D1145" s="45">
        <v>22</v>
      </c>
      <c r="E1145" s="46">
        <v>37500</v>
      </c>
      <c r="F1145" s="47">
        <f>+$I$4+(CLIENT[[#This Row],[QUANTITE]]*CLIENT[[#This Row],[PRIX UNITAIRE]])</f>
        <v>825000</v>
      </c>
      <c r="G1145" s="48"/>
      <c r="H1145" s="49">
        <f>+SUM($F$9:F1145)-SUM($G$9:G1145)</f>
        <v>30782000</v>
      </c>
    </row>
    <row r="1146" spans="1:8" ht="28.8" x14ac:dyDescent="0.55000000000000004">
      <c r="A1146" s="43"/>
      <c r="B1146" s="43"/>
      <c r="C1146" s="44" t="s">
        <v>663</v>
      </c>
      <c r="D1146" s="45">
        <v>13</v>
      </c>
      <c r="E1146" s="46">
        <v>9000</v>
      </c>
      <c r="F1146" s="47">
        <f>+$I$4+(CLIENT[[#This Row],[QUANTITE]]*CLIENT[[#This Row],[PRIX UNITAIRE]])</f>
        <v>117000</v>
      </c>
      <c r="G1146" s="48"/>
      <c r="H1146" s="49">
        <f>+SUM($F$9:F1146)-SUM($G$9:G1146)</f>
        <v>30899000</v>
      </c>
    </row>
    <row r="1147" spans="1:8" ht="28.8" x14ac:dyDescent="0.55000000000000004">
      <c r="A1147" s="43"/>
      <c r="B1147" s="43"/>
      <c r="C1147" s="44" t="s">
        <v>2402</v>
      </c>
      <c r="D1147" s="45">
        <v>5</v>
      </c>
      <c r="E1147" s="46">
        <v>9000</v>
      </c>
      <c r="F1147" s="47">
        <f>+$I$4+(CLIENT[[#This Row],[QUANTITE]]*CLIENT[[#This Row],[PRIX UNITAIRE]])</f>
        <v>45000</v>
      </c>
      <c r="G1147" s="48"/>
      <c r="H1147" s="49">
        <f>+SUM($F$9:F1147)-SUM($G$9:G1147)</f>
        <v>30944000</v>
      </c>
    </row>
    <row r="1148" spans="1:8" ht="28.8" x14ac:dyDescent="0.55000000000000004">
      <c r="A1148" s="43"/>
      <c r="B1148" s="43"/>
      <c r="C1148" s="44" t="s">
        <v>2403</v>
      </c>
      <c r="D1148" s="45">
        <v>13</v>
      </c>
      <c r="E1148" s="46">
        <v>9000</v>
      </c>
      <c r="F1148" s="47">
        <f>+$I$4+(CLIENT[[#This Row],[QUANTITE]]*CLIENT[[#This Row],[PRIX UNITAIRE]])</f>
        <v>117000</v>
      </c>
      <c r="G1148" s="48"/>
      <c r="H1148" s="49">
        <f>+SUM($F$9:F1148)-SUM($G$9:G1148)</f>
        <v>31061000</v>
      </c>
    </row>
    <row r="1149" spans="1:8" ht="28.8" x14ac:dyDescent="0.55000000000000004">
      <c r="A1149" s="43"/>
      <c r="B1149" s="43"/>
      <c r="C1149" s="44" t="s">
        <v>2404</v>
      </c>
      <c r="D1149" s="45">
        <v>5</v>
      </c>
      <c r="E1149" s="46">
        <v>9000</v>
      </c>
      <c r="F1149" s="47">
        <f>+$I$4+(CLIENT[[#This Row],[QUANTITE]]*CLIENT[[#This Row],[PRIX UNITAIRE]])</f>
        <v>45000</v>
      </c>
      <c r="G1149" s="48"/>
      <c r="H1149" s="49">
        <f>+SUM($F$9:F1149)-SUM($G$9:G1149)</f>
        <v>31106000</v>
      </c>
    </row>
    <row r="1150" spans="1:8" ht="28.8" x14ac:dyDescent="0.55000000000000004">
      <c r="A1150" s="43">
        <v>45421</v>
      </c>
      <c r="B1150" s="43" t="s">
        <v>1727</v>
      </c>
      <c r="C1150" s="44" t="s">
        <v>2452</v>
      </c>
      <c r="D1150" s="45">
        <v>1</v>
      </c>
      <c r="E1150" s="46">
        <v>185000</v>
      </c>
      <c r="F1150" s="47">
        <f>+$I$4+(CLIENT[[#This Row],[QUANTITE]]*CLIENT[[#This Row],[PRIX UNITAIRE]])</f>
        <v>185000</v>
      </c>
      <c r="G1150" s="48"/>
      <c r="H1150" s="49">
        <f>+SUM($F$9:F1150)-SUM($G$9:G1150)</f>
        <v>31291000</v>
      </c>
    </row>
    <row r="1151" spans="1:8" ht="28.8" x14ac:dyDescent="0.55000000000000004">
      <c r="A1151" s="43">
        <v>45421</v>
      </c>
      <c r="B1151" s="43" t="s">
        <v>2280</v>
      </c>
      <c r="C1151" s="44" t="s">
        <v>2453</v>
      </c>
      <c r="D1151" s="45">
        <v>1</v>
      </c>
      <c r="E1151" s="46">
        <v>150000</v>
      </c>
      <c r="F1151" s="47">
        <f>+$I$4+(CLIENT[[#This Row],[QUANTITE]]*CLIENT[[#This Row],[PRIX UNITAIRE]])</f>
        <v>150000</v>
      </c>
      <c r="G1151" s="48"/>
      <c r="H1151" s="49">
        <f>+SUM($F$9:F1151)-SUM($G$9:G1151)</f>
        <v>31441000</v>
      </c>
    </row>
    <row r="1152" spans="1:8" ht="28.8" x14ac:dyDescent="0.55000000000000004">
      <c r="A1152" s="43">
        <v>45421</v>
      </c>
      <c r="B1152" s="43" t="s">
        <v>1833</v>
      </c>
      <c r="C1152" s="44" t="s">
        <v>2454</v>
      </c>
      <c r="D1152" s="45">
        <v>3</v>
      </c>
      <c r="E1152" s="46">
        <v>185000</v>
      </c>
      <c r="F1152" s="47">
        <f>+$I$4+(CLIENT[[#This Row],[QUANTITE]]*CLIENT[[#This Row],[PRIX UNITAIRE]])</f>
        <v>555000</v>
      </c>
      <c r="G1152" s="48"/>
      <c r="H1152" s="49">
        <f>+SUM($F$9:F1152)-SUM($G$9:G1152)</f>
        <v>31996000</v>
      </c>
    </row>
    <row r="1153" spans="1:8" ht="28.8" x14ac:dyDescent="0.55000000000000004">
      <c r="A1153" s="43">
        <v>45422</v>
      </c>
      <c r="B1153" s="43" t="s">
        <v>2420</v>
      </c>
      <c r="C1153" s="44" t="s">
        <v>2455</v>
      </c>
      <c r="D1153" s="45">
        <v>1</v>
      </c>
      <c r="E1153" s="46">
        <v>185000</v>
      </c>
      <c r="F1153" s="47">
        <f>+$I$4+(CLIENT[[#This Row],[QUANTITE]]*CLIENT[[#This Row],[PRIX UNITAIRE]])</f>
        <v>185000</v>
      </c>
      <c r="G1153" s="48"/>
      <c r="H1153" s="49">
        <f>+SUM($F$9:F1153)-SUM($G$9:G1153)</f>
        <v>32181000</v>
      </c>
    </row>
    <row r="1154" spans="1:8" ht="28.8" x14ac:dyDescent="0.55000000000000004">
      <c r="A1154" s="43">
        <v>45423</v>
      </c>
      <c r="B1154" s="43" t="s">
        <v>2140</v>
      </c>
      <c r="C1154" s="44" t="s">
        <v>2456</v>
      </c>
      <c r="D1154" s="45">
        <v>1</v>
      </c>
      <c r="E1154" s="46">
        <v>185000</v>
      </c>
      <c r="F1154" s="47">
        <f>+$I$4+(CLIENT[[#This Row],[QUANTITE]]*CLIENT[[#This Row],[PRIX UNITAIRE]])</f>
        <v>185000</v>
      </c>
      <c r="G1154" s="48"/>
      <c r="H1154" s="49">
        <f>+SUM($F$9:F1154)-SUM($G$9:G1154)</f>
        <v>32366000</v>
      </c>
    </row>
    <row r="1155" spans="1:8" ht="28.8" x14ac:dyDescent="0.55000000000000004">
      <c r="A1155" s="43">
        <v>45426</v>
      </c>
      <c r="B1155" s="43" t="s">
        <v>2457</v>
      </c>
      <c r="C1155" s="44" t="s">
        <v>2458</v>
      </c>
      <c r="D1155" s="45">
        <v>10</v>
      </c>
      <c r="E1155" s="46">
        <v>37500</v>
      </c>
      <c r="F1155" s="47">
        <f>+$I$4+(CLIENT[[#This Row],[QUANTITE]]*CLIENT[[#This Row],[PRIX UNITAIRE]])</f>
        <v>375000</v>
      </c>
      <c r="G1155" s="48"/>
      <c r="H1155" s="49">
        <f>+SUM($F$9:F1155)-SUM($G$9:G1155)</f>
        <v>32741000</v>
      </c>
    </row>
    <row r="1156" spans="1:8" ht="28.8" x14ac:dyDescent="0.55000000000000004">
      <c r="A1156" s="43">
        <v>45427</v>
      </c>
      <c r="B1156" s="43" t="s">
        <v>2457</v>
      </c>
      <c r="C1156" s="44" t="s">
        <v>2459</v>
      </c>
      <c r="D1156" s="45">
        <v>2</v>
      </c>
      <c r="E1156" s="46">
        <v>370000</v>
      </c>
      <c r="F1156" s="47">
        <f>+$I$4+(CLIENT[[#This Row],[QUANTITE]]*CLIENT[[#This Row],[PRIX UNITAIRE]])</f>
        <v>740000</v>
      </c>
      <c r="G1156" s="48"/>
      <c r="H1156" s="49">
        <f>+SUM($F$9:F1156)-SUM($G$9:G1156)</f>
        <v>33481000</v>
      </c>
    </row>
    <row r="1157" spans="1:8" ht="28.8" x14ac:dyDescent="0.55000000000000004">
      <c r="A1157" s="43"/>
      <c r="B1157" s="43"/>
      <c r="C1157" s="44" t="s">
        <v>2460</v>
      </c>
      <c r="D1157" s="45">
        <v>2</v>
      </c>
      <c r="E1157" s="46">
        <v>370000</v>
      </c>
      <c r="F1157" s="47">
        <f>+$I$4+(CLIENT[[#This Row],[QUANTITE]]*CLIENT[[#This Row],[PRIX UNITAIRE]])</f>
        <v>740000</v>
      </c>
      <c r="G1157" s="48"/>
      <c r="H1157" s="49">
        <f>+SUM($F$9:F1157)-SUM($G$9:G1157)</f>
        <v>34221000</v>
      </c>
    </row>
    <row r="1158" spans="1:8" ht="28.8" x14ac:dyDescent="0.55000000000000004">
      <c r="A1158" s="43"/>
      <c r="B1158" s="43" t="s">
        <v>2461</v>
      </c>
      <c r="C1158" s="44" t="s">
        <v>2397</v>
      </c>
      <c r="D1158" s="45">
        <v>2</v>
      </c>
      <c r="E1158" s="46">
        <v>0</v>
      </c>
      <c r="F1158" s="47">
        <f>+$I$4+(CLIENT[[#This Row],[QUANTITE]]*CLIENT[[#This Row],[PRIX UNITAIRE]])</f>
        <v>0</v>
      </c>
      <c r="G1158" s="48">
        <v>75000</v>
      </c>
      <c r="H1158" s="49">
        <f>+SUM($F$9:F1158)-SUM($G$9:G1158)</f>
        <v>34146000</v>
      </c>
    </row>
    <row r="1159" spans="1:8" ht="28.8" x14ac:dyDescent="0.55000000000000004">
      <c r="A1159" s="43">
        <v>45429</v>
      </c>
      <c r="B1159" s="43" t="s">
        <v>2431</v>
      </c>
      <c r="C1159" s="44" t="s">
        <v>2462</v>
      </c>
      <c r="D1159" s="45">
        <v>1</v>
      </c>
      <c r="E1159" s="46">
        <v>150000</v>
      </c>
      <c r="F1159" s="47">
        <f>+$I$4+(CLIENT[[#This Row],[QUANTITE]]*CLIENT[[#This Row],[PRIX UNITAIRE]])</f>
        <v>150000</v>
      </c>
      <c r="G1159" s="48"/>
      <c r="H1159" s="49">
        <f>+SUM($F$9:F1159)-SUM($G$9:G1159)</f>
        <v>34296000</v>
      </c>
    </row>
    <row r="1160" spans="1:8" ht="28.8" x14ac:dyDescent="0.55000000000000004">
      <c r="A1160" s="43"/>
      <c r="B1160" s="43"/>
      <c r="C1160" s="44" t="s">
        <v>475</v>
      </c>
      <c r="D1160" s="45">
        <v>1</v>
      </c>
      <c r="E1160" s="46">
        <v>45000</v>
      </c>
      <c r="F1160" s="47">
        <f>+$I$4+(CLIENT[[#This Row],[QUANTITE]]*CLIENT[[#This Row],[PRIX UNITAIRE]])</f>
        <v>45000</v>
      </c>
      <c r="G1160" s="48"/>
      <c r="H1160" s="49">
        <f>+SUM($F$9:F1160)-SUM($G$9:G1160)</f>
        <v>34341000</v>
      </c>
    </row>
    <row r="1161" spans="1:8" ht="28.8" x14ac:dyDescent="0.55000000000000004">
      <c r="A1161" s="43">
        <v>45429</v>
      </c>
      <c r="B1161" s="43" t="s">
        <v>2212</v>
      </c>
      <c r="C1161" s="44" t="s">
        <v>218</v>
      </c>
      <c r="D1161" s="45">
        <v>2</v>
      </c>
      <c r="E1161" s="46">
        <v>15000</v>
      </c>
      <c r="F1161" s="47">
        <f>+$I$4+(CLIENT[[#This Row],[QUANTITE]]*CLIENT[[#This Row],[PRIX UNITAIRE]])</f>
        <v>30000</v>
      </c>
      <c r="G1161" s="48"/>
      <c r="H1161" s="49">
        <f>+SUM($F$9:F1161)-SUM($G$9:G1161)</f>
        <v>34371000</v>
      </c>
    </row>
    <row r="1162" spans="1:8" ht="28.8" x14ac:dyDescent="0.55000000000000004">
      <c r="A1162" s="43">
        <v>45423</v>
      </c>
      <c r="B1162" s="43" t="s">
        <v>2463</v>
      </c>
      <c r="C1162" s="44" t="s">
        <v>2464</v>
      </c>
      <c r="D1162" s="45">
        <v>1</v>
      </c>
      <c r="E1162" s="46">
        <v>150000</v>
      </c>
      <c r="F1162" s="47">
        <f>+$I$4+(CLIENT[[#This Row],[QUANTITE]]*CLIENT[[#This Row],[PRIX UNITAIRE]])</f>
        <v>150000</v>
      </c>
      <c r="G1162" s="48"/>
      <c r="H1162" s="49">
        <f>+SUM($F$9:F1162)-SUM($G$9:G1162)</f>
        <v>34521000</v>
      </c>
    </row>
    <row r="1163" spans="1:8" ht="28.8" x14ac:dyDescent="0.55000000000000004">
      <c r="A1163" s="43"/>
      <c r="B1163" s="43"/>
      <c r="C1163" s="44" t="s">
        <v>1844</v>
      </c>
      <c r="D1163" s="45">
        <v>1</v>
      </c>
      <c r="E1163" s="46">
        <v>5000</v>
      </c>
      <c r="F1163" s="47">
        <f>+$I$4+(CLIENT[[#This Row],[QUANTITE]]*CLIENT[[#This Row],[PRIX UNITAIRE]])</f>
        <v>5000</v>
      </c>
      <c r="G1163" s="48"/>
      <c r="H1163" s="49">
        <f>+SUM($F$9:F1163)-SUM($G$9:G1163)</f>
        <v>34526000</v>
      </c>
    </row>
    <row r="1164" spans="1:8" ht="28.8" x14ac:dyDescent="0.55000000000000004">
      <c r="A1164" s="43">
        <v>45432</v>
      </c>
      <c r="B1164" s="43" t="s">
        <v>2371</v>
      </c>
      <c r="C1164" s="44" t="s">
        <v>2465</v>
      </c>
      <c r="D1164" s="45">
        <v>1</v>
      </c>
      <c r="E1164" s="46">
        <v>185000</v>
      </c>
      <c r="F1164" s="47">
        <f>+$I$4+(CLIENT[[#This Row],[QUANTITE]]*CLIENT[[#This Row],[PRIX UNITAIRE]])</f>
        <v>185000</v>
      </c>
      <c r="G1164" s="48"/>
      <c r="H1164" s="49">
        <f>+SUM($F$9:F1164)-SUM($G$9:G1164)</f>
        <v>34711000</v>
      </c>
    </row>
    <row r="1165" spans="1:8" ht="28.8" x14ac:dyDescent="0.55000000000000004">
      <c r="A1165" s="43">
        <v>45432</v>
      </c>
      <c r="B1165" s="43" t="s">
        <v>2466</v>
      </c>
      <c r="C1165" s="44" t="s">
        <v>2467</v>
      </c>
      <c r="D1165" s="45">
        <v>1</v>
      </c>
      <c r="E1165" s="46">
        <v>185000</v>
      </c>
      <c r="F1165" s="47">
        <f>+$I$4+(CLIENT[[#This Row],[QUANTITE]]*CLIENT[[#This Row],[PRIX UNITAIRE]])</f>
        <v>185000</v>
      </c>
      <c r="G1165" s="48"/>
      <c r="H1165" s="49">
        <f>+SUM($F$9:F1165)-SUM($G$9:G1165)</f>
        <v>34896000</v>
      </c>
    </row>
    <row r="1166" spans="1:8" ht="28.8" x14ac:dyDescent="0.55000000000000004">
      <c r="A1166" s="43"/>
      <c r="B1166" s="43"/>
      <c r="C1166" s="44" t="s">
        <v>2468</v>
      </c>
      <c r="D1166" s="45">
        <v>1</v>
      </c>
      <c r="E1166" s="46">
        <v>150000</v>
      </c>
      <c r="F1166" s="47">
        <f>+$I$4+(CLIENT[[#This Row],[QUANTITE]]*CLIENT[[#This Row],[PRIX UNITAIRE]])</f>
        <v>150000</v>
      </c>
      <c r="G1166" s="48"/>
      <c r="H1166" s="49">
        <f>+SUM($F$9:F1166)-SUM($G$9:G1166)</f>
        <v>35046000</v>
      </c>
    </row>
    <row r="1167" spans="1:8" ht="28.8" x14ac:dyDescent="0.55000000000000004">
      <c r="A1167" s="43">
        <v>45433</v>
      </c>
      <c r="B1167" s="43" t="s">
        <v>2229</v>
      </c>
      <c r="C1167" s="44" t="s">
        <v>2469</v>
      </c>
      <c r="D1167" s="45">
        <v>1</v>
      </c>
      <c r="E1167" s="46">
        <v>185000</v>
      </c>
      <c r="F1167" s="47">
        <f>+$I$4+(CLIENT[[#This Row],[QUANTITE]]*CLIENT[[#This Row],[PRIX UNITAIRE]])</f>
        <v>185000</v>
      </c>
      <c r="G1167" s="48"/>
      <c r="H1167" s="49">
        <f>+SUM($F$9:F1167)-SUM($G$9:G1167)</f>
        <v>35231000</v>
      </c>
    </row>
    <row r="1168" spans="1:8" ht="28.8" x14ac:dyDescent="0.55000000000000004">
      <c r="A1168" s="43"/>
      <c r="B1168" s="43"/>
      <c r="C1168" s="44" t="s">
        <v>1239</v>
      </c>
      <c r="D1168" s="45">
        <v>1</v>
      </c>
      <c r="E1168" s="46">
        <v>45000</v>
      </c>
      <c r="F1168" s="47">
        <f>+$I$4+(CLIENT[[#This Row],[QUANTITE]]*CLIENT[[#This Row],[PRIX UNITAIRE]])</f>
        <v>45000</v>
      </c>
      <c r="G1168" s="48"/>
      <c r="H1168" s="49">
        <f>+SUM($F$9:F1168)-SUM($G$9:G1168)</f>
        <v>35276000</v>
      </c>
    </row>
    <row r="1169" spans="1:8" ht="28.8" x14ac:dyDescent="0.55000000000000004">
      <c r="A1169" s="43">
        <v>45433</v>
      </c>
      <c r="B1169" s="43" t="s">
        <v>2470</v>
      </c>
      <c r="C1169" s="44" t="s">
        <v>218</v>
      </c>
      <c r="D1169" s="45">
        <v>24</v>
      </c>
      <c r="E1169" s="46">
        <v>15000</v>
      </c>
      <c r="F1169" s="47">
        <f>+$I$4+(CLIENT[[#This Row],[QUANTITE]]*CLIENT[[#This Row],[PRIX UNITAIRE]])</f>
        <v>360000</v>
      </c>
      <c r="G1169" s="48"/>
      <c r="H1169" s="49">
        <f>+SUM($F$9:F1169)-SUM($G$9:G1169)</f>
        <v>35636000</v>
      </c>
    </row>
    <row r="1170" spans="1:8" ht="28.8" x14ac:dyDescent="0.55000000000000004">
      <c r="A1170" s="43">
        <v>45433</v>
      </c>
      <c r="B1170" s="43" t="s">
        <v>1343</v>
      </c>
      <c r="C1170" s="44" t="s">
        <v>2471</v>
      </c>
      <c r="D1170" s="45">
        <v>1</v>
      </c>
      <c r="E1170" s="46">
        <v>150000</v>
      </c>
      <c r="F1170" s="47">
        <f>+$I$4+(CLIENT[[#This Row],[QUANTITE]]*CLIENT[[#This Row],[PRIX UNITAIRE]])</f>
        <v>150000</v>
      </c>
      <c r="G1170" s="48"/>
      <c r="H1170" s="49">
        <f>+SUM($F$9:F1170)-SUM($G$9:G1170)</f>
        <v>35786000</v>
      </c>
    </row>
    <row r="1171" spans="1:8" ht="28.8" x14ac:dyDescent="0.55000000000000004">
      <c r="A1171" s="43">
        <v>45434</v>
      </c>
      <c r="B1171" s="43" t="s">
        <v>1737</v>
      </c>
      <c r="C1171" s="44" t="s">
        <v>2472</v>
      </c>
      <c r="D1171" s="45">
        <v>1</v>
      </c>
      <c r="E1171" s="46">
        <v>185000</v>
      </c>
      <c r="F1171" s="47">
        <f>+$I$4+(CLIENT[[#This Row],[QUANTITE]]*CLIENT[[#This Row],[PRIX UNITAIRE]])</f>
        <v>185000</v>
      </c>
      <c r="G1171" s="48"/>
      <c r="H1171" s="49">
        <f>+SUM($F$9:F1171)-SUM($G$9:G1171)</f>
        <v>35971000</v>
      </c>
    </row>
    <row r="1172" spans="1:8" ht="28.8" x14ac:dyDescent="0.55000000000000004">
      <c r="A1172" s="43"/>
      <c r="B1172" s="43"/>
      <c r="C1172" s="44" t="s">
        <v>1844</v>
      </c>
      <c r="D1172" s="45">
        <v>1</v>
      </c>
      <c r="E1172" s="46">
        <v>7000</v>
      </c>
      <c r="F1172" s="47">
        <f>+$I$4+(CLIENT[[#This Row],[QUANTITE]]*CLIENT[[#This Row],[PRIX UNITAIRE]])</f>
        <v>7000</v>
      </c>
      <c r="G1172" s="48"/>
      <c r="H1172" s="49">
        <f>+SUM($F$9:F1172)-SUM($G$9:G1172)</f>
        <v>35978000</v>
      </c>
    </row>
    <row r="1173" spans="1:8" ht="28.8" x14ac:dyDescent="0.55000000000000004">
      <c r="A1173" s="43">
        <v>45436</v>
      </c>
      <c r="B1173" s="43" t="s">
        <v>1592</v>
      </c>
      <c r="C1173" s="44" t="s">
        <v>2473</v>
      </c>
      <c r="D1173" s="45">
        <v>1</v>
      </c>
      <c r="E1173" s="46">
        <v>185000</v>
      </c>
      <c r="F1173" s="47">
        <f>+$I$4+(CLIENT[[#This Row],[QUANTITE]]*CLIENT[[#This Row],[PRIX UNITAIRE]])</f>
        <v>185000</v>
      </c>
      <c r="G1173" s="48"/>
      <c r="H1173" s="49">
        <f>+SUM($F$9:F1173)-SUM($G$9:G1173)</f>
        <v>36163000</v>
      </c>
    </row>
    <row r="1174" spans="1:8" ht="28.8" x14ac:dyDescent="0.55000000000000004">
      <c r="A1174" s="43"/>
      <c r="B1174" s="43"/>
      <c r="C1174" s="44" t="s">
        <v>1239</v>
      </c>
      <c r="D1174" s="45">
        <v>1</v>
      </c>
      <c r="E1174" s="46">
        <v>45000</v>
      </c>
      <c r="F1174" s="47">
        <f>+$I$4+(CLIENT[[#This Row],[QUANTITE]]*CLIENT[[#This Row],[PRIX UNITAIRE]])</f>
        <v>45000</v>
      </c>
      <c r="G1174" s="48"/>
      <c r="H1174" s="49">
        <f>+SUM($F$9:F1174)-SUM($G$9:G1174)</f>
        <v>36208000</v>
      </c>
    </row>
    <row r="1175" spans="1:8" ht="28.8" x14ac:dyDescent="0.55000000000000004">
      <c r="A1175" s="43">
        <v>45437</v>
      </c>
      <c r="B1175" s="43" t="s">
        <v>2474</v>
      </c>
      <c r="C1175" s="44" t="s">
        <v>2475</v>
      </c>
      <c r="D1175" s="45">
        <v>2</v>
      </c>
      <c r="E1175" s="46">
        <v>150000</v>
      </c>
      <c r="F1175" s="47">
        <f>+$I$4+(CLIENT[[#This Row],[QUANTITE]]*CLIENT[[#This Row],[PRIX UNITAIRE]])</f>
        <v>300000</v>
      </c>
      <c r="G1175" s="48"/>
      <c r="H1175" s="49">
        <f>+SUM($F$9:F1175)-SUM($G$9:G1175)</f>
        <v>36508000</v>
      </c>
    </row>
    <row r="1176" spans="1:8" ht="28.8" x14ac:dyDescent="0.55000000000000004">
      <c r="A1176" s="43">
        <v>45437</v>
      </c>
      <c r="B1176" s="43" t="s">
        <v>1692</v>
      </c>
      <c r="C1176" s="44" t="s">
        <v>10</v>
      </c>
      <c r="D1176" s="45">
        <v>2</v>
      </c>
      <c r="E1176" s="46">
        <v>100000</v>
      </c>
      <c r="F1176" s="47">
        <f>+$I$4+(CLIENT[[#This Row],[QUANTITE]]*CLIENT[[#This Row],[PRIX UNITAIRE]])</f>
        <v>200000</v>
      </c>
      <c r="G1176" s="48"/>
      <c r="H1176" s="49">
        <f>+SUM($F$9:F1176)-SUM($G$9:G1176)</f>
        <v>36708000</v>
      </c>
    </row>
    <row r="1177" spans="1:8" ht="28.8" x14ac:dyDescent="0.55000000000000004">
      <c r="A1177" s="43">
        <v>45437</v>
      </c>
      <c r="B1177" s="43" t="s">
        <v>1848</v>
      </c>
      <c r="C1177" s="44" t="s">
        <v>2476</v>
      </c>
      <c r="D1177" s="45">
        <v>1</v>
      </c>
      <c r="E1177" s="46">
        <v>185000</v>
      </c>
      <c r="F1177" s="47">
        <f>+$I$4+(CLIENT[[#This Row],[QUANTITE]]*CLIENT[[#This Row],[PRIX UNITAIRE]])</f>
        <v>185000</v>
      </c>
      <c r="G1177" s="48"/>
      <c r="H1177" s="49">
        <f>+SUM($F$9:F1177)-SUM($G$9:G1177)</f>
        <v>36893000</v>
      </c>
    </row>
    <row r="1178" spans="1:8" ht="28.8" x14ac:dyDescent="0.55000000000000004">
      <c r="A1178" s="43">
        <v>45437</v>
      </c>
      <c r="B1178" s="43" t="s">
        <v>1727</v>
      </c>
      <c r="C1178" s="44" t="s">
        <v>2477</v>
      </c>
      <c r="D1178" s="45">
        <v>1</v>
      </c>
      <c r="E1178" s="46">
        <v>150000</v>
      </c>
      <c r="F1178" s="47">
        <f>+$I$4+(CLIENT[[#This Row],[QUANTITE]]*CLIENT[[#This Row],[PRIX UNITAIRE]])</f>
        <v>150000</v>
      </c>
      <c r="G1178" s="48"/>
      <c r="H1178" s="49">
        <f>+SUM($F$9:F1178)-SUM($G$9:G1178)</f>
        <v>37043000</v>
      </c>
    </row>
    <row r="1179" spans="1:8" ht="28.8" x14ac:dyDescent="0.55000000000000004">
      <c r="A1179" s="43">
        <v>45437</v>
      </c>
      <c r="B1179" s="43" t="s">
        <v>2132</v>
      </c>
      <c r="C1179" s="44" t="s">
        <v>2478</v>
      </c>
      <c r="D1179" s="45">
        <v>2</v>
      </c>
      <c r="E1179" s="46">
        <v>150000</v>
      </c>
      <c r="F1179" s="47">
        <f>+$I$4+(CLIENT[[#This Row],[QUANTITE]]*CLIENT[[#This Row],[PRIX UNITAIRE]])</f>
        <v>300000</v>
      </c>
      <c r="G1179" s="48"/>
      <c r="H1179" s="49">
        <f>+SUM($F$9:F1179)-SUM($G$9:G1179)</f>
        <v>37343000</v>
      </c>
    </row>
    <row r="1180" spans="1:8" ht="28.8" x14ac:dyDescent="0.55000000000000004">
      <c r="A1180" s="43">
        <v>45439</v>
      </c>
      <c r="B1180" s="43" t="s">
        <v>2280</v>
      </c>
      <c r="C1180" s="44" t="s">
        <v>2479</v>
      </c>
      <c r="D1180" s="45">
        <v>1</v>
      </c>
      <c r="E1180" s="46">
        <v>150000</v>
      </c>
      <c r="F1180" s="47">
        <f>+$I$4+(CLIENT[[#This Row],[QUANTITE]]*CLIENT[[#This Row],[PRIX UNITAIRE]])</f>
        <v>150000</v>
      </c>
      <c r="G1180" s="48"/>
      <c r="H1180" s="49">
        <f>+SUM($F$9:F1180)-SUM($G$9:G1180)</f>
        <v>37493000</v>
      </c>
    </row>
    <row r="1181" spans="1:8" ht="28.8" x14ac:dyDescent="0.55000000000000004">
      <c r="A1181" s="43">
        <v>45420</v>
      </c>
      <c r="B1181" s="43" t="s">
        <v>2480</v>
      </c>
      <c r="C1181" s="44" t="s">
        <v>2481</v>
      </c>
      <c r="D1181" s="45">
        <v>2</v>
      </c>
      <c r="E1181" s="46">
        <v>135000</v>
      </c>
      <c r="F1181" s="47">
        <f>+$I$4+(CLIENT[[#This Row],[QUANTITE]]*CLIENT[[#This Row],[PRIX UNITAIRE]])</f>
        <v>270000</v>
      </c>
      <c r="G1181" s="48"/>
      <c r="H1181" s="49">
        <f>+SUM($F$9:F1181)-SUM($G$9:G1181)</f>
        <v>37763000</v>
      </c>
    </row>
    <row r="1182" spans="1:8" ht="28.8" x14ac:dyDescent="0.55000000000000004">
      <c r="A1182" s="43">
        <v>45443</v>
      </c>
      <c r="B1182" s="43" t="s">
        <v>2482</v>
      </c>
      <c r="C1182" s="44" t="s">
        <v>2483</v>
      </c>
      <c r="D1182" s="45">
        <v>1</v>
      </c>
      <c r="E1182" s="46">
        <v>150000</v>
      </c>
      <c r="F1182" s="47">
        <f>+$I$4+(CLIENT[[#This Row],[QUANTITE]]*CLIENT[[#This Row],[PRIX UNITAIRE]])</f>
        <v>150000</v>
      </c>
      <c r="G1182" s="48"/>
      <c r="H1182" s="49">
        <f>+SUM($F$9:F1182)-SUM($G$9:G1182)</f>
        <v>37913000</v>
      </c>
    </row>
    <row r="1183" spans="1:8" ht="28.8" x14ac:dyDescent="0.55000000000000004">
      <c r="A1183" s="43">
        <v>45446</v>
      </c>
      <c r="B1183" s="43" t="s">
        <v>2484</v>
      </c>
      <c r="C1183" s="44" t="s">
        <v>2485</v>
      </c>
      <c r="D1183" s="45">
        <v>2</v>
      </c>
      <c r="E1183" s="46">
        <v>150000</v>
      </c>
      <c r="F1183" s="47">
        <f>+$I$4+(CLIENT[[#This Row],[QUANTITE]]*CLIENT[[#This Row],[PRIX UNITAIRE]])</f>
        <v>300000</v>
      </c>
      <c r="G1183" s="48"/>
      <c r="H1183" s="49">
        <f>+SUM($F$9:F1183)-SUM($G$9:G1183)</f>
        <v>38213000</v>
      </c>
    </row>
    <row r="1184" spans="1:8" ht="28.8" x14ac:dyDescent="0.55000000000000004">
      <c r="A1184" s="43">
        <v>45450</v>
      </c>
      <c r="B1184" s="43" t="s">
        <v>1474</v>
      </c>
      <c r="C1184" s="44" t="s">
        <v>2486</v>
      </c>
      <c r="D1184" s="45">
        <v>2</v>
      </c>
      <c r="E1184" s="46">
        <v>60000</v>
      </c>
      <c r="F1184" s="47">
        <f>+$I$4+(CLIENT[[#This Row],[QUANTITE]]*CLIENT[[#This Row],[PRIX UNITAIRE]])</f>
        <v>120000</v>
      </c>
      <c r="G1184" s="48"/>
      <c r="H1184" s="49">
        <f>+SUM($F$9:F1184)-SUM($G$9:G1184)</f>
        <v>38333000</v>
      </c>
    </row>
    <row r="1185" spans="1:8" ht="28.8" x14ac:dyDescent="0.55000000000000004">
      <c r="A1185" s="43">
        <v>45451</v>
      </c>
      <c r="B1185" s="43" t="s">
        <v>1461</v>
      </c>
      <c r="C1185" s="44" t="s">
        <v>2418</v>
      </c>
      <c r="D1185" s="45">
        <v>2</v>
      </c>
      <c r="E1185" s="46">
        <v>110000</v>
      </c>
      <c r="F1185" s="47">
        <f>+$I$4+(CLIENT[[#This Row],[QUANTITE]]*CLIENT[[#This Row],[PRIX UNITAIRE]])</f>
        <v>220000</v>
      </c>
      <c r="G1185" s="48"/>
      <c r="H1185" s="49">
        <f>+SUM($F$9:F1185)-SUM($G$9:G1185)</f>
        <v>38553000</v>
      </c>
    </row>
    <row r="1186" spans="1:8" ht="28.8" x14ac:dyDescent="0.55000000000000004">
      <c r="A1186" s="43"/>
      <c r="B1186" s="43"/>
      <c r="C1186" s="44" t="s">
        <v>1844</v>
      </c>
      <c r="D1186" s="45">
        <v>1</v>
      </c>
      <c r="E1186" s="46">
        <v>5000</v>
      </c>
      <c r="F1186" s="47">
        <f>+$I$4+(CLIENT[[#This Row],[QUANTITE]]*CLIENT[[#This Row],[PRIX UNITAIRE]])</f>
        <v>5000</v>
      </c>
      <c r="G1186" s="48"/>
      <c r="H1186" s="49">
        <f>+SUM($F$9:F1186)-SUM($G$9:G1186)</f>
        <v>38558000</v>
      </c>
    </row>
    <row r="1187" spans="1:8" ht="28.8" x14ac:dyDescent="0.55000000000000004">
      <c r="A1187" s="43">
        <v>45451</v>
      </c>
      <c r="B1187" s="43" t="s">
        <v>2482</v>
      </c>
      <c r="C1187" s="44" t="s">
        <v>2487</v>
      </c>
      <c r="D1187" s="45">
        <v>1</v>
      </c>
      <c r="E1187" s="46">
        <v>185000</v>
      </c>
      <c r="F1187" s="47">
        <f>+$I$4+(CLIENT[[#This Row],[QUANTITE]]*CLIENT[[#This Row],[PRIX UNITAIRE]])</f>
        <v>185000</v>
      </c>
      <c r="G1187" s="48"/>
      <c r="H1187" s="49">
        <f>+SUM($F$9:F1187)-SUM($G$9:G1187)</f>
        <v>38743000</v>
      </c>
    </row>
    <row r="1188" spans="1:8" ht="28.8" x14ac:dyDescent="0.55000000000000004">
      <c r="A1188" s="43">
        <v>45453</v>
      </c>
      <c r="B1188" s="43" t="s">
        <v>2488</v>
      </c>
      <c r="C1188" s="44" t="s">
        <v>2489</v>
      </c>
      <c r="D1188" s="45">
        <v>1</v>
      </c>
      <c r="E1188" s="46">
        <v>185000</v>
      </c>
      <c r="F1188" s="47">
        <f>+$I$4+(CLIENT[[#This Row],[QUANTITE]]*CLIENT[[#This Row],[PRIX UNITAIRE]])</f>
        <v>185000</v>
      </c>
      <c r="G1188" s="48"/>
      <c r="H1188" s="49">
        <f>+SUM($F$9:F1188)-SUM($G$9:G1188)</f>
        <v>38928000</v>
      </c>
    </row>
    <row r="1189" spans="1:8" ht="28.8" x14ac:dyDescent="0.55000000000000004">
      <c r="A1189" s="43">
        <v>45453</v>
      </c>
      <c r="B1189" s="43" t="s">
        <v>1233</v>
      </c>
      <c r="C1189" s="44" t="s">
        <v>218</v>
      </c>
      <c r="D1189" s="45">
        <v>2</v>
      </c>
      <c r="E1189" s="46">
        <v>15000</v>
      </c>
      <c r="F1189" s="47">
        <f>+$I$4+(CLIENT[[#This Row],[QUANTITE]]*CLIENT[[#This Row],[PRIX UNITAIRE]])</f>
        <v>30000</v>
      </c>
      <c r="G1189" s="48"/>
      <c r="H1189" s="49">
        <f>+SUM($F$9:F1189)-SUM($G$9:G1189)</f>
        <v>38958000</v>
      </c>
    </row>
    <row r="1190" spans="1:8" ht="28.8" x14ac:dyDescent="0.55000000000000004">
      <c r="A1190" s="43">
        <v>45453</v>
      </c>
      <c r="B1190" s="43" t="s">
        <v>2234</v>
      </c>
      <c r="C1190" s="44" t="s">
        <v>2490</v>
      </c>
      <c r="D1190" s="45">
        <v>1</v>
      </c>
      <c r="E1190" s="46">
        <v>150000</v>
      </c>
      <c r="F1190" s="47">
        <f>+$I$4+(CLIENT[[#This Row],[QUANTITE]]*CLIENT[[#This Row],[PRIX UNITAIRE]])</f>
        <v>150000</v>
      </c>
      <c r="G1190" s="48"/>
      <c r="H1190" s="49">
        <f>+SUM($F$9:F1190)-SUM($G$9:G1190)</f>
        <v>39108000</v>
      </c>
    </row>
    <row r="1191" spans="1:8" ht="28.8" x14ac:dyDescent="0.55000000000000004">
      <c r="A1191" s="43">
        <v>45454</v>
      </c>
      <c r="B1191" s="43" t="s">
        <v>1302</v>
      </c>
      <c r="C1191" s="44" t="s">
        <v>666</v>
      </c>
      <c r="D1191" s="45">
        <v>1</v>
      </c>
      <c r="E1191" s="46">
        <v>150000</v>
      </c>
      <c r="F1191" s="47">
        <f>+$I$4+(CLIENT[[#This Row],[QUANTITE]]*CLIENT[[#This Row],[PRIX UNITAIRE]])</f>
        <v>150000</v>
      </c>
      <c r="G1191" s="48"/>
      <c r="H1191" s="49">
        <f>+SUM($F$9:F1191)-SUM($G$9:G1191)</f>
        <v>39258000</v>
      </c>
    </row>
    <row r="1192" spans="1:8" ht="28.8" x14ac:dyDescent="0.55000000000000004">
      <c r="A1192" s="43">
        <v>45454</v>
      </c>
      <c r="B1192" s="43" t="s">
        <v>1233</v>
      </c>
      <c r="C1192" s="44" t="s">
        <v>2418</v>
      </c>
      <c r="D1192" s="45">
        <v>2</v>
      </c>
      <c r="E1192" s="46">
        <v>110000</v>
      </c>
      <c r="F1192" s="47">
        <f>+$I$4+(CLIENT[[#This Row],[QUANTITE]]*CLIENT[[#This Row],[PRIX UNITAIRE]])</f>
        <v>220000</v>
      </c>
      <c r="G1192" s="48"/>
      <c r="H1192" s="49">
        <f>+SUM($F$9:F1192)-SUM($G$9:G1192)</f>
        <v>39478000</v>
      </c>
    </row>
    <row r="1193" spans="1:8" ht="28.8" x14ac:dyDescent="0.55000000000000004">
      <c r="A1193" s="43"/>
      <c r="B1193" s="43"/>
      <c r="C1193" s="44" t="s">
        <v>2491</v>
      </c>
      <c r="D1193" s="45">
        <v>1</v>
      </c>
      <c r="E1193" s="46">
        <v>10000</v>
      </c>
      <c r="F1193" s="47">
        <f>+$I$4+(CLIENT[[#This Row],[QUANTITE]]*CLIENT[[#This Row],[PRIX UNITAIRE]])</f>
        <v>10000</v>
      </c>
      <c r="G1193" s="48"/>
      <c r="H1193" s="49">
        <f>+SUM($F$9:F1193)-SUM($G$9:G1193)</f>
        <v>39488000</v>
      </c>
    </row>
    <row r="1194" spans="1:8" ht="28.8" x14ac:dyDescent="0.55000000000000004">
      <c r="A1194" s="43">
        <v>45455</v>
      </c>
      <c r="B1194" s="43" t="s">
        <v>1592</v>
      </c>
      <c r="C1194" s="44" t="s">
        <v>2492</v>
      </c>
      <c r="D1194" s="45">
        <v>1</v>
      </c>
      <c r="E1194" s="46">
        <v>185000</v>
      </c>
      <c r="F1194" s="47">
        <f>+$I$4+(CLIENT[[#This Row],[QUANTITE]]*CLIENT[[#This Row],[PRIX UNITAIRE]])</f>
        <v>185000</v>
      </c>
      <c r="G1194" s="48"/>
      <c r="H1194" s="49">
        <f>+SUM($F$9:F1194)-SUM($G$9:G1194)</f>
        <v>39673000</v>
      </c>
    </row>
    <row r="1195" spans="1:8" ht="28.8" x14ac:dyDescent="0.55000000000000004">
      <c r="A1195" s="43"/>
      <c r="B1195" s="43"/>
      <c r="C1195" s="44" t="s">
        <v>1239</v>
      </c>
      <c r="D1195" s="45">
        <v>1</v>
      </c>
      <c r="E1195" s="46">
        <v>45000</v>
      </c>
      <c r="F1195" s="47">
        <f>+$I$4+(CLIENT[[#This Row],[QUANTITE]]*CLIENT[[#This Row],[PRIX UNITAIRE]])</f>
        <v>45000</v>
      </c>
      <c r="G1195" s="48"/>
      <c r="H1195" s="49">
        <f>+SUM($F$9:F1195)-SUM($G$9:G1195)</f>
        <v>39718000</v>
      </c>
    </row>
    <row r="1196" spans="1:8" ht="28.8" x14ac:dyDescent="0.55000000000000004">
      <c r="A1196" s="43">
        <v>45455</v>
      </c>
      <c r="B1196" s="43" t="s">
        <v>1737</v>
      </c>
      <c r="C1196" s="44" t="s">
        <v>2493</v>
      </c>
      <c r="D1196" s="45">
        <v>1</v>
      </c>
      <c r="E1196" s="46">
        <v>185000</v>
      </c>
      <c r="F1196" s="47">
        <f>+$I$4+(CLIENT[[#This Row],[QUANTITE]]*CLIENT[[#This Row],[PRIX UNITAIRE]])</f>
        <v>185000</v>
      </c>
      <c r="G1196" s="48"/>
      <c r="H1196" s="49">
        <f>+SUM($F$9:F1196)-SUM($G$9:G1196)</f>
        <v>39903000</v>
      </c>
    </row>
    <row r="1197" spans="1:8" ht="28.8" x14ac:dyDescent="0.55000000000000004">
      <c r="A1197" s="43"/>
      <c r="B1197" s="43"/>
      <c r="C1197" s="44" t="s">
        <v>1239</v>
      </c>
      <c r="D1197" s="45">
        <v>1</v>
      </c>
      <c r="E1197" s="46">
        <v>45000</v>
      </c>
      <c r="F1197" s="47">
        <f>+$I$4+(CLIENT[[#This Row],[QUANTITE]]*CLIENT[[#This Row],[PRIX UNITAIRE]])</f>
        <v>45000</v>
      </c>
      <c r="G1197" s="48"/>
      <c r="H1197" s="49">
        <f>+SUM($F$9:F1197)-SUM($G$9:G1197)</f>
        <v>39948000</v>
      </c>
    </row>
    <row r="1198" spans="1:8" ht="28.8" x14ac:dyDescent="0.55000000000000004">
      <c r="A1198" s="43">
        <v>45456</v>
      </c>
      <c r="B1198" s="43" t="s">
        <v>1232</v>
      </c>
      <c r="C1198" s="44" t="s">
        <v>10</v>
      </c>
      <c r="D1198" s="45">
        <v>2</v>
      </c>
      <c r="E1198" s="46">
        <v>100000</v>
      </c>
      <c r="F1198" s="47">
        <f>+$I$4+(CLIENT[[#This Row],[QUANTITE]]*CLIENT[[#This Row],[PRIX UNITAIRE]])</f>
        <v>200000</v>
      </c>
      <c r="G1198" s="48"/>
      <c r="H1198" s="49">
        <f>+SUM($F$9:F1198)-SUM($G$9:G1198)</f>
        <v>40148000</v>
      </c>
    </row>
    <row r="1199" spans="1:8" ht="28.8" x14ac:dyDescent="0.55000000000000004">
      <c r="A1199" s="43">
        <v>45457</v>
      </c>
      <c r="B1199" s="43" t="s">
        <v>1330</v>
      </c>
      <c r="C1199" s="44" t="s">
        <v>10</v>
      </c>
      <c r="D1199" s="45">
        <v>2</v>
      </c>
      <c r="E1199" s="46">
        <v>100000</v>
      </c>
      <c r="F1199" s="47">
        <f>+$I$4+(CLIENT[[#This Row],[QUANTITE]]*CLIENT[[#This Row],[PRIX UNITAIRE]])</f>
        <v>200000</v>
      </c>
      <c r="G1199" s="48"/>
      <c r="H1199" s="49">
        <f>+SUM($F$9:F1199)-SUM($G$9:G1199)</f>
        <v>40348000</v>
      </c>
    </row>
    <row r="1200" spans="1:8" ht="28.8" x14ac:dyDescent="0.55000000000000004">
      <c r="A1200" s="43">
        <v>45457</v>
      </c>
      <c r="B1200" s="43" t="s">
        <v>1699</v>
      </c>
      <c r="C1200" s="44" t="s">
        <v>9</v>
      </c>
      <c r="D1200" s="45">
        <v>2</v>
      </c>
      <c r="E1200" s="46">
        <v>125000</v>
      </c>
      <c r="F1200" s="47">
        <f>+$I$4+(CLIENT[[#This Row],[QUANTITE]]*CLIENT[[#This Row],[PRIX UNITAIRE]])</f>
        <v>250000</v>
      </c>
      <c r="G1200" s="48"/>
      <c r="H1200" s="49">
        <f>+SUM($F$9:F1200)-SUM($G$9:G1200)</f>
        <v>40598000</v>
      </c>
    </row>
    <row r="1201" spans="1:8" ht="28.8" x14ac:dyDescent="0.55000000000000004">
      <c r="A1201" s="43">
        <v>45457</v>
      </c>
      <c r="B1201" s="43" t="s">
        <v>1234</v>
      </c>
      <c r="C1201" s="44" t="s">
        <v>10</v>
      </c>
      <c r="D1201" s="45">
        <v>2</v>
      </c>
      <c r="E1201" s="46">
        <v>100000</v>
      </c>
      <c r="F1201" s="47">
        <f>+$I$4+(CLIENT[[#This Row],[QUANTITE]]*CLIENT[[#This Row],[PRIX UNITAIRE]])</f>
        <v>200000</v>
      </c>
      <c r="G1201" s="48"/>
      <c r="H1201" s="49">
        <f>+SUM($F$9:F1201)-SUM($G$9:G1201)</f>
        <v>40798000</v>
      </c>
    </row>
    <row r="1202" spans="1:8" ht="28.8" x14ac:dyDescent="0.55000000000000004">
      <c r="A1202" s="43">
        <v>45458</v>
      </c>
      <c r="B1202" s="43" t="s">
        <v>2484</v>
      </c>
      <c r="C1202" s="44" t="s">
        <v>2494</v>
      </c>
      <c r="D1202" s="45">
        <v>1</v>
      </c>
      <c r="E1202" s="46">
        <v>185000</v>
      </c>
      <c r="F1202" s="47">
        <f>+$I$4+(CLIENT[[#This Row],[QUANTITE]]*CLIENT[[#This Row],[PRIX UNITAIRE]])</f>
        <v>185000</v>
      </c>
      <c r="G1202" s="48"/>
      <c r="H1202" s="49">
        <f>+SUM($F$9:F1202)-SUM($G$9:G1202)</f>
        <v>40983000</v>
      </c>
    </row>
    <row r="1203" spans="1:8" ht="28.8" x14ac:dyDescent="0.55000000000000004">
      <c r="A1203" s="43"/>
      <c r="B1203" s="43"/>
      <c r="C1203" s="44" t="s">
        <v>218</v>
      </c>
      <c r="D1203" s="45">
        <v>2</v>
      </c>
      <c r="E1203" s="46">
        <v>15000</v>
      </c>
      <c r="F1203" s="47">
        <f>+$I$4+(CLIENT[[#This Row],[QUANTITE]]*CLIENT[[#This Row],[PRIX UNITAIRE]])</f>
        <v>30000</v>
      </c>
      <c r="G1203" s="48"/>
      <c r="H1203" s="49">
        <f>+SUM($F$9:F1203)-SUM($G$9:G1203)</f>
        <v>41013000</v>
      </c>
    </row>
    <row r="1204" spans="1:8" ht="28.8" x14ac:dyDescent="0.55000000000000004">
      <c r="A1204" s="43">
        <v>45461</v>
      </c>
      <c r="B1204" s="43" t="s">
        <v>2495</v>
      </c>
      <c r="C1204" s="44" t="s">
        <v>2496</v>
      </c>
      <c r="D1204" s="45">
        <v>1</v>
      </c>
      <c r="E1204" s="46">
        <v>185000</v>
      </c>
      <c r="F1204" s="47">
        <f>+$I$4+(CLIENT[[#This Row],[QUANTITE]]*CLIENT[[#This Row],[PRIX UNITAIRE]])</f>
        <v>185000</v>
      </c>
      <c r="G1204" s="48"/>
      <c r="H1204" s="49">
        <f>+SUM($F$9:F1204)-SUM($G$9:G1204)</f>
        <v>41198000</v>
      </c>
    </row>
    <row r="1205" spans="1:8" ht="28.8" x14ac:dyDescent="0.55000000000000004">
      <c r="A1205" s="43">
        <v>45462</v>
      </c>
      <c r="B1205" s="43" t="s">
        <v>2497</v>
      </c>
      <c r="C1205" s="44" t="s">
        <v>2498</v>
      </c>
      <c r="D1205" s="45">
        <v>1</v>
      </c>
      <c r="E1205" s="46">
        <v>185000</v>
      </c>
      <c r="F1205" s="47">
        <f>+$I$4+(CLIENT[[#This Row],[QUANTITE]]*CLIENT[[#This Row],[PRIX UNITAIRE]])</f>
        <v>185000</v>
      </c>
      <c r="G1205" s="48"/>
      <c r="H1205" s="49">
        <f>+SUM($F$9:F1205)-SUM($G$9:G1205)</f>
        <v>41383000</v>
      </c>
    </row>
    <row r="1206" spans="1:8" ht="28.8" x14ac:dyDescent="0.55000000000000004">
      <c r="A1206" s="43">
        <v>45465</v>
      </c>
      <c r="B1206" s="43" t="s">
        <v>2499</v>
      </c>
      <c r="C1206" s="44" t="s">
        <v>2500</v>
      </c>
      <c r="D1206" s="45">
        <v>1</v>
      </c>
      <c r="E1206" s="46">
        <v>185000</v>
      </c>
      <c r="F1206" s="47">
        <f>+$I$4+(CLIENT[[#This Row],[QUANTITE]]*CLIENT[[#This Row],[PRIX UNITAIRE]])</f>
        <v>185000</v>
      </c>
      <c r="G1206" s="48"/>
      <c r="H1206" s="49">
        <f>+SUM($F$9:F1206)-SUM($G$9:G1206)</f>
        <v>41568000</v>
      </c>
    </row>
    <row r="1207" spans="1:8" ht="28.8" x14ac:dyDescent="0.55000000000000004">
      <c r="A1207" s="43">
        <v>45469</v>
      </c>
      <c r="B1207" s="43" t="s">
        <v>2501</v>
      </c>
      <c r="C1207" s="44" t="s">
        <v>2502</v>
      </c>
      <c r="D1207" s="45">
        <v>1</v>
      </c>
      <c r="E1207" s="46">
        <v>150000</v>
      </c>
      <c r="F1207" s="47">
        <f>+$I$4+(CLIENT[[#This Row],[QUANTITE]]*CLIENT[[#This Row],[PRIX UNITAIRE]])</f>
        <v>150000</v>
      </c>
      <c r="G1207" s="48"/>
      <c r="H1207" s="49">
        <f>+SUM($F$9:F1207)-SUM($G$9:G1207)</f>
        <v>41718000</v>
      </c>
    </row>
    <row r="1208" spans="1:8" ht="28.8" x14ac:dyDescent="0.55000000000000004">
      <c r="A1208" s="43">
        <v>45469</v>
      </c>
      <c r="B1208" s="43" t="s">
        <v>2482</v>
      </c>
      <c r="C1208" s="44" t="s">
        <v>2503</v>
      </c>
      <c r="D1208" s="45">
        <v>1</v>
      </c>
      <c r="E1208" s="46">
        <v>150000</v>
      </c>
      <c r="F1208" s="47">
        <f>+$I$4+(CLIENT[[#This Row],[QUANTITE]]*CLIENT[[#This Row],[PRIX UNITAIRE]])</f>
        <v>150000</v>
      </c>
      <c r="G1208" s="48"/>
      <c r="H1208" s="49">
        <f>+SUM($F$9:F1208)-SUM($G$9:G1208)</f>
        <v>41868000</v>
      </c>
    </row>
    <row r="1209" spans="1:8" ht="28.8" x14ac:dyDescent="0.55000000000000004">
      <c r="A1209" s="43">
        <v>45470</v>
      </c>
      <c r="B1209" s="43" t="s">
        <v>2212</v>
      </c>
      <c r="C1209" s="44" t="s">
        <v>218</v>
      </c>
      <c r="D1209" s="45">
        <v>2</v>
      </c>
      <c r="E1209" s="46">
        <v>15000</v>
      </c>
      <c r="F1209" s="47">
        <f>+$I$4+(CLIENT[[#This Row],[QUANTITE]]*CLIENT[[#This Row],[PRIX UNITAIRE]])</f>
        <v>30000</v>
      </c>
      <c r="G1209" s="48"/>
      <c r="H1209" s="49">
        <f>+SUM($F$9:F1209)-SUM($G$9:G1209)</f>
        <v>41898000</v>
      </c>
    </row>
    <row r="1210" spans="1:8" ht="28.8" x14ac:dyDescent="0.55000000000000004">
      <c r="A1210" s="43">
        <v>45470</v>
      </c>
      <c r="B1210" s="43" t="s">
        <v>2504</v>
      </c>
      <c r="C1210" s="44" t="s">
        <v>2505</v>
      </c>
      <c r="D1210" s="45">
        <v>2</v>
      </c>
      <c r="E1210" s="46">
        <v>150000</v>
      </c>
      <c r="F1210" s="47">
        <f>+$I$4+(CLIENT[[#This Row],[QUANTITE]]*CLIENT[[#This Row],[PRIX UNITAIRE]])</f>
        <v>300000</v>
      </c>
      <c r="G1210" s="48"/>
      <c r="H1210" s="49">
        <f>+SUM($F$9:F1210)-SUM($G$9:G1210)</f>
        <v>42198000</v>
      </c>
    </row>
    <row r="1211" spans="1:8" ht="28.8" x14ac:dyDescent="0.55000000000000004">
      <c r="A1211" s="43">
        <v>45470</v>
      </c>
      <c r="B1211" s="43" t="s">
        <v>2506</v>
      </c>
      <c r="C1211" s="44" t="s">
        <v>2507</v>
      </c>
      <c r="D1211" s="45">
        <v>1</v>
      </c>
      <c r="E1211" s="46">
        <v>150000</v>
      </c>
      <c r="F1211" s="47">
        <f>+$I$4+(CLIENT[[#This Row],[QUANTITE]]*CLIENT[[#This Row],[PRIX UNITAIRE]])</f>
        <v>150000</v>
      </c>
      <c r="G1211" s="48"/>
      <c r="H1211" s="49">
        <f>+SUM($F$9:F1211)-SUM($G$9:G1211)</f>
        <v>42348000</v>
      </c>
    </row>
    <row r="1212" spans="1:8" ht="28.8" x14ac:dyDescent="0.55000000000000004">
      <c r="A1212" s="43">
        <v>45470</v>
      </c>
      <c r="B1212" s="43" t="s">
        <v>2466</v>
      </c>
      <c r="C1212" s="44" t="s">
        <v>2508</v>
      </c>
      <c r="D1212" s="45">
        <v>1</v>
      </c>
      <c r="E1212" s="46">
        <v>185000</v>
      </c>
      <c r="F1212" s="47">
        <f>+$I$4+(CLIENT[[#This Row],[QUANTITE]]*CLIENT[[#This Row],[PRIX UNITAIRE]])</f>
        <v>185000</v>
      </c>
      <c r="G1212" s="48"/>
      <c r="H1212" s="49">
        <f>+SUM($F$9:F1212)-SUM($G$9:G1212)</f>
        <v>42533000</v>
      </c>
    </row>
    <row r="1213" spans="1:8" ht="28.8" x14ac:dyDescent="0.55000000000000004">
      <c r="A1213" s="43">
        <v>45470</v>
      </c>
      <c r="B1213" s="43" t="s">
        <v>2132</v>
      </c>
      <c r="C1213" s="44" t="s">
        <v>2509</v>
      </c>
      <c r="D1213" s="45">
        <v>1</v>
      </c>
      <c r="E1213" s="46">
        <v>185000</v>
      </c>
      <c r="F1213" s="47">
        <f>+$I$4+(CLIENT[[#This Row],[QUANTITE]]*CLIENT[[#This Row],[PRIX UNITAIRE]])</f>
        <v>185000</v>
      </c>
      <c r="G1213" s="48"/>
      <c r="H1213" s="49">
        <f>+SUM($F$9:F1213)-SUM($G$9:G1213)</f>
        <v>42718000</v>
      </c>
    </row>
    <row r="1214" spans="1:8" ht="28.8" x14ac:dyDescent="0.55000000000000004">
      <c r="A1214" s="43">
        <v>45471</v>
      </c>
      <c r="B1214" s="43" t="s">
        <v>2510</v>
      </c>
      <c r="C1214" s="44" t="s">
        <v>218</v>
      </c>
      <c r="D1214" s="45">
        <v>2</v>
      </c>
      <c r="E1214" s="46">
        <v>15000</v>
      </c>
      <c r="F1214" s="47">
        <f>+$I$4+(CLIENT[[#This Row],[QUANTITE]]*CLIENT[[#This Row],[PRIX UNITAIRE]])</f>
        <v>30000</v>
      </c>
      <c r="G1214" s="48"/>
      <c r="H1214" s="49">
        <f>+SUM($F$9:F1214)-SUM($G$9:G1214)</f>
        <v>42748000</v>
      </c>
    </row>
    <row r="1215" spans="1:8" ht="28.8" x14ac:dyDescent="0.55000000000000004">
      <c r="A1215" s="43">
        <v>45474</v>
      </c>
      <c r="B1215" s="43" t="s">
        <v>2511</v>
      </c>
      <c r="C1215" s="44" t="s">
        <v>860</v>
      </c>
      <c r="D1215" s="45">
        <v>1</v>
      </c>
      <c r="E1215" s="46">
        <v>45000</v>
      </c>
      <c r="F1215" s="47">
        <f>+$I$4+(CLIENT[[#This Row],[QUANTITE]]*CLIENT[[#This Row],[PRIX UNITAIRE]])</f>
        <v>45000</v>
      </c>
      <c r="G1215" s="48"/>
      <c r="H1215" s="49">
        <f>+SUM($F$9:F1215)-SUM($G$9:G1215)</f>
        <v>42793000</v>
      </c>
    </row>
    <row r="1216" spans="1:8" ht="28.8" x14ac:dyDescent="0.55000000000000004">
      <c r="A1216" s="43">
        <v>45474</v>
      </c>
      <c r="B1216" s="43" t="s">
        <v>2396</v>
      </c>
      <c r="C1216" s="44" t="s">
        <v>2458</v>
      </c>
      <c r="D1216" s="45">
        <v>5</v>
      </c>
      <c r="E1216" s="46">
        <v>38000</v>
      </c>
      <c r="F1216" s="47">
        <f>+$I$4+(CLIENT[[#This Row],[QUANTITE]]*CLIENT[[#This Row],[PRIX UNITAIRE]])</f>
        <v>190000</v>
      </c>
      <c r="G1216" s="48"/>
      <c r="H1216" s="49">
        <f>+SUM($F$9:F1216)-SUM($G$9:G1216)</f>
        <v>42983000</v>
      </c>
    </row>
    <row r="1217" spans="1:8" ht="28.8" x14ac:dyDescent="0.55000000000000004">
      <c r="A1217" s="43">
        <v>45476</v>
      </c>
      <c r="B1217" s="43" t="s">
        <v>1592</v>
      </c>
      <c r="C1217" s="44" t="s">
        <v>2512</v>
      </c>
      <c r="D1217" s="45">
        <v>1</v>
      </c>
      <c r="E1217" s="46">
        <v>185000</v>
      </c>
      <c r="F1217" s="47">
        <f>+$I$4+(CLIENT[[#This Row],[QUANTITE]]*CLIENT[[#This Row],[PRIX UNITAIRE]])</f>
        <v>185000</v>
      </c>
      <c r="G1217" s="48"/>
      <c r="H1217" s="49">
        <f>+SUM($F$9:F1217)-SUM($G$9:G1217)</f>
        <v>43168000</v>
      </c>
    </row>
    <row r="1218" spans="1:8" ht="28.8" x14ac:dyDescent="0.55000000000000004">
      <c r="A1218" s="43">
        <v>45489</v>
      </c>
      <c r="B1218" s="43" t="s">
        <v>259</v>
      </c>
      <c r="C1218" s="44" t="s">
        <v>856</v>
      </c>
      <c r="D1218" s="45">
        <v>1</v>
      </c>
      <c r="E1218" s="46">
        <v>0</v>
      </c>
      <c r="F1218" s="47">
        <f>+$I$4+(CLIENT[[#This Row],[QUANTITE]]*CLIENT[[#This Row],[PRIX UNITAIRE]])</f>
        <v>0</v>
      </c>
      <c r="G1218" s="48">
        <v>5000000</v>
      </c>
      <c r="H1218" s="49">
        <f>+SUM($F$9:F1218)-SUM($G$9:G1218)</f>
        <v>38168000</v>
      </c>
    </row>
    <row r="1219" spans="1:8" ht="28.8" x14ac:dyDescent="0.55000000000000004">
      <c r="A1219" s="43">
        <v>45491</v>
      </c>
      <c r="B1219" s="43" t="s">
        <v>1343</v>
      </c>
      <c r="C1219" s="44" t="s">
        <v>10</v>
      </c>
      <c r="D1219" s="45">
        <v>1</v>
      </c>
      <c r="E1219" s="46">
        <v>100000</v>
      </c>
      <c r="F1219" s="47">
        <f>+$I$4+(CLIENT[[#This Row],[QUANTITE]]*CLIENT[[#This Row],[PRIX UNITAIRE]])</f>
        <v>100000</v>
      </c>
      <c r="G1219" s="48"/>
      <c r="H1219" s="49">
        <f>+SUM($F$9:F1219)-SUM($G$9:G1219)</f>
        <v>38268000</v>
      </c>
    </row>
    <row r="1220" spans="1:8" ht="28.8" x14ac:dyDescent="0.55000000000000004">
      <c r="A1220" s="43">
        <v>45493</v>
      </c>
      <c r="B1220" s="43" t="s">
        <v>1238</v>
      </c>
      <c r="C1220" s="44" t="s">
        <v>2418</v>
      </c>
      <c r="D1220" s="45">
        <v>2</v>
      </c>
      <c r="E1220" s="46">
        <v>110000</v>
      </c>
      <c r="F1220" s="47">
        <f>+$I$4+(CLIENT[[#This Row],[QUANTITE]]*CLIENT[[#This Row],[PRIX UNITAIRE]])</f>
        <v>220000</v>
      </c>
      <c r="G1220" s="48"/>
      <c r="H1220" s="49">
        <f>+SUM($F$9:F1220)-SUM($G$9:G1220)</f>
        <v>38488000</v>
      </c>
    </row>
    <row r="1221" spans="1:8" ht="28.8" x14ac:dyDescent="0.55000000000000004">
      <c r="A1221" s="43">
        <v>45493</v>
      </c>
      <c r="B1221" s="43" t="s">
        <v>2513</v>
      </c>
      <c r="C1221" s="44" t="s">
        <v>2514</v>
      </c>
      <c r="D1221" s="45">
        <v>1</v>
      </c>
      <c r="E1221" s="46">
        <v>185000</v>
      </c>
      <c r="F1221" s="47">
        <f>+$I$4+(CLIENT[[#This Row],[QUANTITE]]*CLIENT[[#This Row],[PRIX UNITAIRE]])</f>
        <v>185000</v>
      </c>
      <c r="G1221" s="48"/>
      <c r="H1221" s="49">
        <f>+SUM($F$9:F1221)-SUM($G$9:G1221)</f>
        <v>38673000</v>
      </c>
    </row>
    <row r="1222" spans="1:8" ht="28.8" x14ac:dyDescent="0.55000000000000004">
      <c r="A1222" s="43">
        <v>45496</v>
      </c>
      <c r="B1222" s="43" t="s">
        <v>2480</v>
      </c>
      <c r="C1222" s="44" t="s">
        <v>2515</v>
      </c>
      <c r="D1222" s="45">
        <v>2</v>
      </c>
      <c r="E1222" s="46">
        <v>150000</v>
      </c>
      <c r="F1222" s="47">
        <f>+$I$4+(CLIENT[[#This Row],[QUANTITE]]*CLIENT[[#This Row],[PRIX UNITAIRE]])</f>
        <v>300000</v>
      </c>
      <c r="G1222" s="48"/>
      <c r="H1222" s="49">
        <f>+SUM($F$9:F1222)-SUM($G$9:G1222)</f>
        <v>38973000</v>
      </c>
    </row>
    <row r="1223" spans="1:8" ht="28.8" x14ac:dyDescent="0.55000000000000004">
      <c r="A1223" s="43">
        <v>45497</v>
      </c>
      <c r="B1223" s="43" t="s">
        <v>2516</v>
      </c>
      <c r="C1223" s="44" t="s">
        <v>2517</v>
      </c>
      <c r="D1223" s="45">
        <v>1</v>
      </c>
      <c r="E1223" s="46">
        <v>185000</v>
      </c>
      <c r="F1223" s="47">
        <f>+$I$4+(CLIENT[[#This Row],[QUANTITE]]*CLIENT[[#This Row],[PRIX UNITAIRE]])</f>
        <v>185000</v>
      </c>
      <c r="G1223" s="48"/>
      <c r="H1223" s="49">
        <f>+SUM($F$9:F1223)-SUM($G$9:G1223)</f>
        <v>39158000</v>
      </c>
    </row>
    <row r="1224" spans="1:8" ht="28.8" x14ac:dyDescent="0.55000000000000004">
      <c r="A1224" s="43"/>
      <c r="B1224" s="43"/>
      <c r="C1224" s="44" t="s">
        <v>860</v>
      </c>
      <c r="D1224" s="45">
        <v>1</v>
      </c>
      <c r="E1224" s="46">
        <v>45000</v>
      </c>
      <c r="F1224" s="47">
        <f>+$I$4+(CLIENT[[#This Row],[QUANTITE]]*CLIENT[[#This Row],[PRIX UNITAIRE]])</f>
        <v>45000</v>
      </c>
      <c r="G1224" s="48"/>
      <c r="H1224" s="49">
        <f>+SUM($F$9:F1224)-SUM($G$9:G1224)</f>
        <v>39203000</v>
      </c>
    </row>
    <row r="1225" spans="1:8" ht="28.8" x14ac:dyDescent="0.55000000000000004">
      <c r="A1225" s="43"/>
      <c r="B1225" s="43"/>
      <c r="C1225" s="44" t="s">
        <v>1844</v>
      </c>
      <c r="D1225" s="45">
        <v>1</v>
      </c>
      <c r="E1225" s="46">
        <v>10000</v>
      </c>
      <c r="F1225" s="47">
        <f>+$I$4+(CLIENT[[#This Row],[QUANTITE]]*CLIENT[[#This Row],[PRIX UNITAIRE]])</f>
        <v>10000</v>
      </c>
      <c r="G1225" s="48"/>
      <c r="H1225" s="49">
        <f>+SUM($F$9:F1225)-SUM($G$9:G1225)</f>
        <v>39213000</v>
      </c>
    </row>
    <row r="1226" spans="1:8" ht="28.8" x14ac:dyDescent="0.55000000000000004">
      <c r="A1226" s="43">
        <v>45500</v>
      </c>
      <c r="B1226" s="43" t="s">
        <v>2518</v>
      </c>
      <c r="C1226" s="44" t="s">
        <v>2519</v>
      </c>
      <c r="D1226" s="45">
        <v>1</v>
      </c>
      <c r="E1226" s="46">
        <v>185000</v>
      </c>
      <c r="F1226" s="47">
        <f>+$I$4+(CLIENT[[#This Row],[QUANTITE]]*CLIENT[[#This Row],[PRIX UNITAIRE]])</f>
        <v>185000</v>
      </c>
      <c r="G1226" s="48"/>
      <c r="H1226" s="49">
        <f>+SUM($F$9:F1226)-SUM($G$9:G1226)</f>
        <v>39398000</v>
      </c>
    </row>
    <row r="1227" spans="1:8" ht="28.8" x14ac:dyDescent="0.55000000000000004">
      <c r="A1227" s="43">
        <v>45498</v>
      </c>
      <c r="B1227" s="43" t="s">
        <v>2520</v>
      </c>
      <c r="C1227" s="44" t="s">
        <v>2521</v>
      </c>
      <c r="D1227" s="45">
        <v>2</v>
      </c>
      <c r="E1227" s="46">
        <v>130000</v>
      </c>
      <c r="F1227" s="47">
        <f>+$I$4+(CLIENT[[#This Row],[QUANTITE]]*CLIENT[[#This Row],[PRIX UNITAIRE]])</f>
        <v>260000</v>
      </c>
      <c r="G1227" s="48"/>
      <c r="H1227" s="49">
        <f>+SUM($F$9:F1227)-SUM($G$9:G1227)</f>
        <v>39658000</v>
      </c>
    </row>
    <row r="1228" spans="1:8" ht="28.8" x14ac:dyDescent="0.55000000000000004">
      <c r="A1228" s="43"/>
      <c r="B1228" s="43"/>
      <c r="C1228" s="44" t="s">
        <v>2522</v>
      </c>
      <c r="D1228" s="45">
        <v>2</v>
      </c>
      <c r="E1228" s="46">
        <v>185000</v>
      </c>
      <c r="F1228" s="47">
        <f>+$I$4+(CLIENT[[#This Row],[QUANTITE]]*CLIENT[[#This Row],[PRIX UNITAIRE]])</f>
        <v>370000</v>
      </c>
      <c r="G1228" s="48"/>
      <c r="H1228" s="49">
        <f>+SUM($F$9:F1228)-SUM($G$9:G1228)</f>
        <v>40028000</v>
      </c>
    </row>
    <row r="1229" spans="1:8" ht="28.8" x14ac:dyDescent="0.55000000000000004">
      <c r="A1229" s="43">
        <v>45503</v>
      </c>
      <c r="B1229" s="43" t="s">
        <v>1768</v>
      </c>
      <c r="C1229" s="44" t="s">
        <v>2523</v>
      </c>
      <c r="D1229" s="45">
        <v>1</v>
      </c>
      <c r="E1229" s="46">
        <v>185000</v>
      </c>
      <c r="F1229" s="47">
        <f>+$I$4+(CLIENT[[#This Row],[QUANTITE]]*CLIENT[[#This Row],[PRIX UNITAIRE]])</f>
        <v>185000</v>
      </c>
      <c r="G1229" s="48"/>
      <c r="H1229" s="49">
        <f>+SUM($F$9:F1229)-SUM($G$9:G1229)</f>
        <v>40213000</v>
      </c>
    </row>
    <row r="1230" spans="1:8" ht="28.8" x14ac:dyDescent="0.55000000000000004">
      <c r="A1230" s="43">
        <v>45504</v>
      </c>
      <c r="B1230" s="43" t="s">
        <v>2524</v>
      </c>
      <c r="C1230" s="44" t="s">
        <v>2525</v>
      </c>
      <c r="D1230" s="45">
        <v>1</v>
      </c>
      <c r="E1230" s="46">
        <v>150000</v>
      </c>
      <c r="F1230" s="47">
        <f>+$I$4+(CLIENT[[#This Row],[QUANTITE]]*CLIENT[[#This Row],[PRIX UNITAIRE]])</f>
        <v>150000</v>
      </c>
      <c r="G1230" s="48"/>
      <c r="H1230" s="49">
        <f>+SUM($F$9:F1230)-SUM($G$9:G1230)</f>
        <v>40363000</v>
      </c>
    </row>
    <row r="1231" spans="1:8" ht="28.8" x14ac:dyDescent="0.55000000000000004">
      <c r="A1231" s="43">
        <v>45506</v>
      </c>
      <c r="B1231" s="43" t="s">
        <v>2457</v>
      </c>
      <c r="C1231" s="44" t="s">
        <v>2459</v>
      </c>
      <c r="D1231" s="45">
        <v>2</v>
      </c>
      <c r="E1231" s="46">
        <v>370000</v>
      </c>
      <c r="F1231" s="47">
        <f>+$I$4+(CLIENT[[#This Row],[QUANTITE]]*CLIENT[[#This Row],[PRIX UNITAIRE]])</f>
        <v>740000</v>
      </c>
      <c r="G1231" s="48"/>
      <c r="H1231" s="49">
        <f>+SUM($F$9:F1231)-SUM($G$9:G1231)</f>
        <v>41103000</v>
      </c>
    </row>
    <row r="1232" spans="1:8" ht="28.8" x14ac:dyDescent="0.55000000000000004">
      <c r="A1232" s="43">
        <v>45511</v>
      </c>
      <c r="B1232" s="43" t="s">
        <v>2526</v>
      </c>
      <c r="C1232" s="44" t="s">
        <v>2527</v>
      </c>
      <c r="D1232" s="45">
        <v>1</v>
      </c>
      <c r="E1232" s="46">
        <v>50000</v>
      </c>
      <c r="F1232" s="47">
        <f>+$I$4+(CLIENT[[#This Row],[QUANTITE]]*CLIENT[[#This Row],[PRIX UNITAIRE]])</f>
        <v>50000</v>
      </c>
      <c r="G1232" s="48"/>
      <c r="H1232" s="49">
        <f>+SUM($F$9:F1232)-SUM($G$9:G1232)</f>
        <v>41153000</v>
      </c>
    </row>
    <row r="1233" spans="1:8" ht="28.8" x14ac:dyDescent="0.55000000000000004">
      <c r="A1233" s="43"/>
      <c r="B1233" s="43"/>
      <c r="C1233" s="44" t="s">
        <v>2528</v>
      </c>
      <c r="D1233" s="45">
        <v>1</v>
      </c>
      <c r="E1233" s="46">
        <v>50000</v>
      </c>
      <c r="F1233" s="47">
        <f>+$I$4+(CLIENT[[#This Row],[QUANTITE]]*CLIENT[[#This Row],[PRIX UNITAIRE]])</f>
        <v>50000</v>
      </c>
      <c r="G1233" s="48"/>
      <c r="H1233" s="49">
        <f>+SUM($F$9:F1233)-SUM($G$9:G1233)</f>
        <v>41203000</v>
      </c>
    </row>
    <row r="1234" spans="1:8" ht="28.8" x14ac:dyDescent="0.55000000000000004">
      <c r="A1234" s="43">
        <v>45517</v>
      </c>
      <c r="B1234" s="43" t="s">
        <v>2466</v>
      </c>
      <c r="C1234" s="44" t="s">
        <v>2529</v>
      </c>
      <c r="D1234" s="45">
        <v>1</v>
      </c>
      <c r="E1234" s="46">
        <v>150000</v>
      </c>
      <c r="F1234" s="47">
        <f>+$I$4+(CLIENT[[#This Row],[QUANTITE]]*CLIENT[[#This Row],[PRIX UNITAIRE]])</f>
        <v>150000</v>
      </c>
      <c r="G1234" s="48"/>
      <c r="H1234" s="49">
        <f>+SUM($F$9:F1234)-SUM($G$9:G1234)</f>
        <v>41353000</v>
      </c>
    </row>
    <row r="1235" spans="1:8" ht="28.8" x14ac:dyDescent="0.55000000000000004">
      <c r="A1235" s="43">
        <v>45517</v>
      </c>
      <c r="B1235" s="43" t="s">
        <v>2484</v>
      </c>
      <c r="C1235" s="44" t="s">
        <v>2530</v>
      </c>
      <c r="D1235" s="45">
        <v>2</v>
      </c>
      <c r="E1235" s="46">
        <v>185000</v>
      </c>
      <c r="F1235" s="47">
        <f>+$I$4+(CLIENT[[#This Row],[QUANTITE]]*CLIENT[[#This Row],[PRIX UNITAIRE]])</f>
        <v>370000</v>
      </c>
      <c r="G1235" s="48"/>
      <c r="H1235" s="49">
        <f>+SUM($F$9:F1235)-SUM($G$9:G1235)</f>
        <v>41723000</v>
      </c>
    </row>
    <row r="1236" spans="1:8" ht="28.8" x14ac:dyDescent="0.55000000000000004">
      <c r="A1236" s="43">
        <v>45523</v>
      </c>
      <c r="B1236" s="43" t="s">
        <v>1142</v>
      </c>
      <c r="C1236" s="44" t="s">
        <v>2531</v>
      </c>
      <c r="D1236" s="45">
        <v>1</v>
      </c>
      <c r="E1236" s="46">
        <v>55000</v>
      </c>
      <c r="F1236" s="47">
        <f>+$I$4+(CLIENT[[#This Row],[QUANTITE]]*CLIENT[[#This Row],[PRIX UNITAIRE]])</f>
        <v>55000</v>
      </c>
      <c r="G1236" s="48"/>
      <c r="H1236" s="49">
        <f>+SUM($F$9:F1236)-SUM($G$9:G1236)</f>
        <v>41778000</v>
      </c>
    </row>
    <row r="1237" spans="1:8" ht="28.8" x14ac:dyDescent="0.55000000000000004">
      <c r="A1237" s="43">
        <v>45525</v>
      </c>
      <c r="B1237" s="43" t="s">
        <v>1343</v>
      </c>
      <c r="C1237" s="44" t="s">
        <v>2532</v>
      </c>
      <c r="D1237" s="45">
        <v>2</v>
      </c>
      <c r="E1237" s="46">
        <v>110000</v>
      </c>
      <c r="F1237" s="47">
        <f>+$I$4+(CLIENT[[#This Row],[QUANTITE]]*CLIENT[[#This Row],[PRIX UNITAIRE]])</f>
        <v>220000</v>
      </c>
      <c r="G1237" s="48"/>
      <c r="H1237" s="49">
        <f>+SUM($F$9:F1237)-SUM($G$9:G1237)</f>
        <v>41998000</v>
      </c>
    </row>
    <row r="1238" spans="1:8" ht="28.8" x14ac:dyDescent="0.55000000000000004">
      <c r="A1238" s="43">
        <v>45527</v>
      </c>
      <c r="B1238" s="43" t="s">
        <v>2533</v>
      </c>
      <c r="C1238" s="44" t="s">
        <v>2534</v>
      </c>
      <c r="D1238" s="45">
        <v>1</v>
      </c>
      <c r="E1238" s="46">
        <v>185000</v>
      </c>
      <c r="F1238" s="47">
        <f>+$I$4+(CLIENT[[#This Row],[QUANTITE]]*CLIENT[[#This Row],[PRIX UNITAIRE]])</f>
        <v>185000</v>
      </c>
      <c r="G1238" s="48"/>
      <c r="H1238" s="49">
        <f>+SUM($F$9:F1238)-SUM($G$9:G1238)</f>
        <v>42183000</v>
      </c>
    </row>
    <row r="1239" spans="1:8" ht="28.8" x14ac:dyDescent="0.55000000000000004">
      <c r="A1239" s="43">
        <v>45528</v>
      </c>
      <c r="B1239" s="43" t="s">
        <v>2371</v>
      </c>
      <c r="C1239" s="44" t="s">
        <v>2535</v>
      </c>
      <c r="D1239" s="45">
        <v>1</v>
      </c>
      <c r="E1239" s="46">
        <v>150000</v>
      </c>
      <c r="F1239" s="47">
        <f>+$I$4+(CLIENT[[#This Row],[QUANTITE]]*CLIENT[[#This Row],[PRIX UNITAIRE]])</f>
        <v>150000</v>
      </c>
      <c r="G1239" s="48"/>
      <c r="H1239" s="49">
        <f>+SUM($F$9:F1239)-SUM($G$9:G1239)</f>
        <v>42333000</v>
      </c>
    </row>
    <row r="1240" spans="1:8" ht="28.8" x14ac:dyDescent="0.55000000000000004">
      <c r="A1240" s="43"/>
      <c r="B1240" s="43"/>
      <c r="C1240" s="44" t="s">
        <v>2536</v>
      </c>
      <c r="D1240" s="45">
        <v>1</v>
      </c>
      <c r="E1240" s="46">
        <v>150000</v>
      </c>
      <c r="F1240" s="47">
        <f>+$I$4+(CLIENT[[#This Row],[QUANTITE]]*CLIENT[[#This Row],[PRIX UNITAIRE]])</f>
        <v>150000</v>
      </c>
      <c r="G1240" s="48"/>
      <c r="H1240" s="49">
        <f>+SUM($F$9:F1240)-SUM($G$9:G1240)</f>
        <v>42483000</v>
      </c>
    </row>
    <row r="1241" spans="1:8" ht="28.8" x14ac:dyDescent="0.55000000000000004">
      <c r="A1241" s="43">
        <v>45531</v>
      </c>
      <c r="B1241" s="43" t="s">
        <v>1163</v>
      </c>
      <c r="C1241" s="44" t="s">
        <v>2537</v>
      </c>
      <c r="D1241" s="45">
        <v>2</v>
      </c>
      <c r="E1241" s="46">
        <v>125000</v>
      </c>
      <c r="F1241" s="47">
        <f>+$I$4+(CLIENT[[#This Row],[QUANTITE]]*CLIENT[[#This Row],[PRIX UNITAIRE]])</f>
        <v>250000</v>
      </c>
      <c r="G1241" s="48"/>
      <c r="H1241" s="49">
        <f>+SUM($F$9:F1241)-SUM($G$9:G1241)</f>
        <v>42733000</v>
      </c>
    </row>
    <row r="1242" spans="1:8" ht="28.8" x14ac:dyDescent="0.55000000000000004">
      <c r="A1242" s="43">
        <v>45532</v>
      </c>
      <c r="B1242" s="43" t="s">
        <v>2538</v>
      </c>
      <c r="C1242" s="44" t="s">
        <v>2539</v>
      </c>
      <c r="D1242" s="45">
        <v>1</v>
      </c>
      <c r="E1242" s="46">
        <v>150000</v>
      </c>
      <c r="F1242" s="47">
        <f>+$I$4+(CLIENT[[#This Row],[QUANTITE]]*CLIENT[[#This Row],[PRIX UNITAIRE]])</f>
        <v>150000</v>
      </c>
      <c r="G1242" s="48"/>
      <c r="H1242" s="49">
        <f>+SUM($F$9:F1242)-SUM($G$9:G1242)</f>
        <v>42883000</v>
      </c>
    </row>
    <row r="1243" spans="1:8" ht="28.8" x14ac:dyDescent="0.55000000000000004">
      <c r="A1243" s="43">
        <v>45535</v>
      </c>
      <c r="B1243" s="43" t="s">
        <v>2511</v>
      </c>
      <c r="C1243" s="44" t="s">
        <v>2540</v>
      </c>
      <c r="D1243" s="45">
        <v>1</v>
      </c>
      <c r="E1243" s="46">
        <v>185000</v>
      </c>
      <c r="F1243" s="47">
        <f>+$I$4+(CLIENT[[#This Row],[QUANTITE]]*CLIENT[[#This Row],[PRIX UNITAIRE]])</f>
        <v>185000</v>
      </c>
      <c r="G1243" s="48"/>
      <c r="H1243" s="49">
        <f>+SUM($F$9:F1243)-SUM($G$9:G1243)</f>
        <v>43068000</v>
      </c>
    </row>
    <row r="1244" spans="1:8" ht="28.8" x14ac:dyDescent="0.55000000000000004">
      <c r="A1244" s="43">
        <v>45537</v>
      </c>
      <c r="B1244" s="43" t="s">
        <v>2541</v>
      </c>
      <c r="C1244" s="44" t="s">
        <v>2542</v>
      </c>
      <c r="D1244" s="45">
        <v>1</v>
      </c>
      <c r="E1244" s="46">
        <v>185000</v>
      </c>
      <c r="F1244" s="47">
        <f>+$I$4+(CLIENT[[#This Row],[QUANTITE]]*CLIENT[[#This Row],[PRIX UNITAIRE]])</f>
        <v>185000</v>
      </c>
      <c r="G1244" s="48"/>
      <c r="H1244" s="49">
        <f>+SUM($F$9:F1244)-SUM($G$9:G1244)</f>
        <v>43253000</v>
      </c>
    </row>
    <row r="1245" spans="1:8" ht="28.8" x14ac:dyDescent="0.55000000000000004">
      <c r="A1245" s="43">
        <v>45446</v>
      </c>
      <c r="B1245" s="43" t="s">
        <v>1233</v>
      </c>
      <c r="C1245" s="44" t="s">
        <v>2543</v>
      </c>
      <c r="D1245" s="45">
        <v>2</v>
      </c>
      <c r="E1245" s="46">
        <v>150000</v>
      </c>
      <c r="F1245" s="47">
        <f>+$I$4+(CLIENT[[#This Row],[QUANTITE]]*CLIENT[[#This Row],[PRIX UNITAIRE]])</f>
        <v>300000</v>
      </c>
      <c r="G1245" s="48"/>
      <c r="H1245" s="49">
        <f>+SUM($F$9:F1245)-SUM($G$9:G1245)</f>
        <v>43553000</v>
      </c>
    </row>
    <row r="1246" spans="1:8" ht="28.8" x14ac:dyDescent="0.55000000000000004">
      <c r="A1246" s="43">
        <v>45539</v>
      </c>
      <c r="B1246" s="43" t="s">
        <v>2544</v>
      </c>
      <c r="C1246" s="44" t="s">
        <v>2545</v>
      </c>
      <c r="D1246" s="45">
        <v>1</v>
      </c>
      <c r="E1246" s="46">
        <v>65000</v>
      </c>
      <c r="F1246" s="47">
        <f>+$I$4+(CLIENT[[#This Row],[QUANTITE]]*CLIENT[[#This Row],[PRIX UNITAIRE]])</f>
        <v>65000</v>
      </c>
      <c r="G1246" s="48"/>
      <c r="H1246" s="49">
        <f>+SUM($F$9:F1246)-SUM($G$9:G1246)</f>
        <v>43618000</v>
      </c>
    </row>
    <row r="1247" spans="1:8" ht="28.8" x14ac:dyDescent="0.55000000000000004">
      <c r="A1247" s="43">
        <v>45540</v>
      </c>
      <c r="B1247" s="43" t="s">
        <v>1461</v>
      </c>
      <c r="C1247" s="44" t="s">
        <v>2546</v>
      </c>
      <c r="D1247" s="45">
        <v>1</v>
      </c>
      <c r="E1247" s="46">
        <v>185000</v>
      </c>
      <c r="F1247" s="47">
        <f>+$I$4+(CLIENT[[#This Row],[QUANTITE]]*CLIENT[[#This Row],[PRIX UNITAIRE]])</f>
        <v>185000</v>
      </c>
      <c r="G1247" s="48"/>
      <c r="H1247" s="49">
        <f>+SUM($F$9:F1247)-SUM($G$9:G1247)</f>
        <v>43803000</v>
      </c>
    </row>
    <row r="1248" spans="1:8" ht="28.8" x14ac:dyDescent="0.55000000000000004">
      <c r="A1248" s="43">
        <v>45541</v>
      </c>
      <c r="B1248" s="43" t="s">
        <v>2547</v>
      </c>
      <c r="C1248" s="44" t="s">
        <v>2548</v>
      </c>
      <c r="D1248" s="45">
        <v>1</v>
      </c>
      <c r="E1248" s="46">
        <v>185000</v>
      </c>
      <c r="F1248" s="47">
        <f>+$I$4+(CLIENT[[#This Row],[QUANTITE]]*CLIENT[[#This Row],[PRIX UNITAIRE]])</f>
        <v>185000</v>
      </c>
      <c r="G1248" s="48"/>
      <c r="H1248" s="49">
        <f>+SUM($F$9:F1248)-SUM($G$9:G1248)</f>
        <v>43988000</v>
      </c>
    </row>
    <row r="1249" spans="1:8" ht="28.8" x14ac:dyDescent="0.55000000000000004">
      <c r="A1249" s="43"/>
      <c r="B1249" s="43"/>
      <c r="C1249" s="44" t="s">
        <v>860</v>
      </c>
      <c r="D1249" s="45">
        <v>1</v>
      </c>
      <c r="E1249" s="46">
        <v>45000</v>
      </c>
      <c r="F1249" s="47">
        <f>+$I$4+(CLIENT[[#This Row],[QUANTITE]]*CLIENT[[#This Row],[PRIX UNITAIRE]])</f>
        <v>45000</v>
      </c>
      <c r="G1249" s="48"/>
      <c r="H1249" s="49">
        <f>+SUM($F$9:F1249)-SUM($G$9:G1249)</f>
        <v>44033000</v>
      </c>
    </row>
    <row r="1250" spans="1:8" ht="28.8" x14ac:dyDescent="0.55000000000000004">
      <c r="A1250" s="43"/>
      <c r="B1250" s="43"/>
      <c r="C1250" s="44" t="s">
        <v>1844</v>
      </c>
      <c r="D1250" s="45">
        <v>1</v>
      </c>
      <c r="E1250" s="46">
        <v>5000</v>
      </c>
      <c r="F1250" s="47">
        <f>+$I$4+(CLIENT[[#This Row],[QUANTITE]]*CLIENT[[#This Row],[PRIX UNITAIRE]])</f>
        <v>5000</v>
      </c>
      <c r="G1250" s="48"/>
      <c r="H1250" s="49">
        <f>+SUM($F$9:F1250)-SUM($G$9:G1250)</f>
        <v>44038000</v>
      </c>
    </row>
    <row r="1251" spans="1:8" ht="28.8" x14ac:dyDescent="0.55000000000000004">
      <c r="A1251" s="43">
        <v>45542</v>
      </c>
      <c r="B1251" s="43" t="s">
        <v>2549</v>
      </c>
      <c r="C1251" s="44" t="s">
        <v>2550</v>
      </c>
      <c r="D1251" s="45">
        <v>1</v>
      </c>
      <c r="E1251" s="46">
        <v>185000</v>
      </c>
      <c r="F1251" s="47">
        <f>+$I$4+(CLIENT[[#This Row],[QUANTITE]]*CLIENT[[#This Row],[PRIX UNITAIRE]])</f>
        <v>185000</v>
      </c>
      <c r="G1251" s="48"/>
      <c r="H1251" s="49">
        <f>+SUM($F$9:F1251)-SUM($G$9:G1251)</f>
        <v>44223000</v>
      </c>
    </row>
    <row r="1252" spans="1:8" ht="28.8" x14ac:dyDescent="0.55000000000000004">
      <c r="A1252" s="43">
        <v>45549</v>
      </c>
      <c r="B1252" s="43" t="s">
        <v>2549</v>
      </c>
      <c r="C1252" s="44" t="s">
        <v>2551</v>
      </c>
      <c r="D1252" s="45">
        <v>2</v>
      </c>
      <c r="E1252" s="46">
        <v>150000</v>
      </c>
      <c r="F1252" s="47">
        <f>+$I$4+(CLIENT[[#This Row],[QUANTITE]]*CLIENT[[#This Row],[PRIX UNITAIRE]])</f>
        <v>300000</v>
      </c>
      <c r="G1252" s="48"/>
      <c r="H1252" s="49">
        <f>+SUM($F$9:F1252)-SUM($G$9:G1252)</f>
        <v>44523000</v>
      </c>
    </row>
    <row r="1253" spans="1:8" ht="28.8" x14ac:dyDescent="0.55000000000000004">
      <c r="A1253" s="43"/>
      <c r="B1253" s="43"/>
      <c r="C1253" s="44" t="s">
        <v>2552</v>
      </c>
      <c r="D1253" s="45">
        <v>2</v>
      </c>
      <c r="E1253" s="46">
        <v>100000</v>
      </c>
      <c r="F1253" s="47">
        <f>+$I$4+(CLIENT[[#This Row],[QUANTITE]]*CLIENT[[#This Row],[PRIX UNITAIRE]])</f>
        <v>200000</v>
      </c>
      <c r="G1253" s="48"/>
      <c r="H1253" s="49">
        <f>+SUM($F$9:F1253)-SUM($G$9:G1253)</f>
        <v>44723000</v>
      </c>
    </row>
    <row r="1254" spans="1:8" ht="28.8" x14ac:dyDescent="0.55000000000000004">
      <c r="A1254" s="43">
        <v>45551</v>
      </c>
      <c r="B1254" s="43" t="s">
        <v>1142</v>
      </c>
      <c r="C1254" s="44" t="s">
        <v>2553</v>
      </c>
      <c r="D1254" s="45">
        <v>1</v>
      </c>
      <c r="E1254" s="46">
        <v>65000</v>
      </c>
      <c r="F1254" s="47">
        <f>+$I$4+(CLIENT[[#This Row],[QUANTITE]]*CLIENT[[#This Row],[PRIX UNITAIRE]])</f>
        <v>65000</v>
      </c>
      <c r="G1254" s="48"/>
      <c r="H1254" s="49">
        <f>+SUM($F$9:F1254)-SUM($G$9:G1254)</f>
        <v>44788000</v>
      </c>
    </row>
    <row r="1255" spans="1:8" ht="28.8" x14ac:dyDescent="0.55000000000000004">
      <c r="A1255" s="43">
        <v>45552</v>
      </c>
      <c r="B1255" s="43" t="s">
        <v>2499</v>
      </c>
      <c r="C1255" s="44" t="s">
        <v>2554</v>
      </c>
      <c r="D1255" s="45">
        <v>1</v>
      </c>
      <c r="E1255" s="46">
        <v>185000</v>
      </c>
      <c r="F1255" s="47">
        <f>+$I$4+(CLIENT[[#This Row],[QUANTITE]]*CLIENT[[#This Row],[PRIX UNITAIRE]])</f>
        <v>185000</v>
      </c>
      <c r="G1255" s="48"/>
      <c r="H1255" s="49">
        <f>+SUM($F$9:F1255)-SUM($G$9:G1255)</f>
        <v>44973000</v>
      </c>
    </row>
    <row r="1256" spans="1:8" ht="28.8" x14ac:dyDescent="0.55000000000000004">
      <c r="A1256" s="43"/>
      <c r="B1256" s="43"/>
      <c r="C1256" s="44" t="s">
        <v>2555</v>
      </c>
      <c r="D1256" s="45">
        <v>2</v>
      </c>
      <c r="E1256" s="46">
        <v>150000</v>
      </c>
      <c r="F1256" s="47">
        <f>+$I$4+(CLIENT[[#This Row],[QUANTITE]]*CLIENT[[#This Row],[PRIX UNITAIRE]])</f>
        <v>300000</v>
      </c>
      <c r="G1256" s="48"/>
      <c r="H1256" s="49">
        <f>+SUM($F$9:F1256)-SUM($G$9:G1256)</f>
        <v>45273000</v>
      </c>
    </row>
    <row r="1257" spans="1:8" ht="28.8" x14ac:dyDescent="0.55000000000000004">
      <c r="A1257" s="43"/>
      <c r="B1257" s="43"/>
      <c r="C1257" s="44" t="s">
        <v>486</v>
      </c>
      <c r="D1257" s="45">
        <v>1</v>
      </c>
      <c r="E1257" s="46">
        <v>15000</v>
      </c>
      <c r="F1257" s="47">
        <f>+$I$4+(CLIENT[[#This Row],[QUANTITE]]*CLIENT[[#This Row],[PRIX UNITAIRE]])</f>
        <v>15000</v>
      </c>
      <c r="G1257" s="48"/>
      <c r="H1257" s="49">
        <f>+SUM($F$9:F1257)-SUM($G$9:G1257)</f>
        <v>45288000</v>
      </c>
    </row>
    <row r="1258" spans="1:8" ht="28.8" x14ac:dyDescent="0.55000000000000004">
      <c r="A1258" s="43">
        <v>45552</v>
      </c>
      <c r="B1258" s="43" t="s">
        <v>1236</v>
      </c>
      <c r="C1258" s="44" t="s">
        <v>2556</v>
      </c>
      <c r="D1258" s="45">
        <v>1</v>
      </c>
      <c r="E1258" s="46">
        <v>150000</v>
      </c>
      <c r="F1258" s="47">
        <f>+$I$4+(CLIENT[[#This Row],[QUANTITE]]*CLIENT[[#This Row],[PRIX UNITAIRE]])</f>
        <v>150000</v>
      </c>
      <c r="G1258" s="48"/>
      <c r="H1258" s="49">
        <f>+SUM($F$9:F1258)-SUM($G$9:G1258)</f>
        <v>45438000</v>
      </c>
    </row>
    <row r="1259" spans="1:8" ht="28.8" x14ac:dyDescent="0.55000000000000004">
      <c r="A1259" s="43"/>
      <c r="B1259" s="43"/>
      <c r="C1259" s="44" t="s">
        <v>1239</v>
      </c>
      <c r="D1259" s="45">
        <v>1</v>
      </c>
      <c r="E1259" s="46">
        <v>45000</v>
      </c>
      <c r="F1259" s="47">
        <f>+$I$4+(CLIENT[[#This Row],[QUANTITE]]*CLIENT[[#This Row],[PRIX UNITAIRE]])</f>
        <v>45000</v>
      </c>
      <c r="G1259" s="48"/>
      <c r="H1259" s="49">
        <f>+SUM($F$9:F1259)-SUM($G$9:G1259)</f>
        <v>45483000</v>
      </c>
    </row>
    <row r="1260" spans="1:8" ht="28.8" x14ac:dyDescent="0.55000000000000004">
      <c r="A1260" s="43"/>
      <c r="B1260" s="43"/>
      <c r="C1260" s="44" t="s">
        <v>1844</v>
      </c>
      <c r="D1260" s="45">
        <v>1</v>
      </c>
      <c r="E1260" s="46">
        <v>10000</v>
      </c>
      <c r="F1260" s="47">
        <f>+$I$4+(CLIENT[[#This Row],[QUANTITE]]*CLIENT[[#This Row],[PRIX UNITAIRE]])</f>
        <v>10000</v>
      </c>
      <c r="G1260" s="48"/>
      <c r="H1260" s="49">
        <f>+SUM($F$9:F1260)-SUM($G$9:G1260)</f>
        <v>45493000</v>
      </c>
    </row>
    <row r="1261" spans="1:8" ht="28.8" x14ac:dyDescent="0.55000000000000004">
      <c r="A1261" s="43">
        <v>45552</v>
      </c>
      <c r="B1261" s="43" t="s">
        <v>1307</v>
      </c>
      <c r="C1261" s="44" t="s">
        <v>2557</v>
      </c>
      <c r="D1261" s="45">
        <v>2</v>
      </c>
      <c r="E1261" s="46">
        <v>100000</v>
      </c>
      <c r="F1261" s="47">
        <f>+$I$4+(CLIENT[[#This Row],[QUANTITE]]*CLIENT[[#This Row],[PRIX UNITAIRE]])</f>
        <v>200000</v>
      </c>
      <c r="G1261" s="48"/>
      <c r="H1261" s="49">
        <f>+SUM($F$9:F1261)-SUM($G$9:G1261)</f>
        <v>45693000</v>
      </c>
    </row>
    <row r="1262" spans="1:8" ht="28.8" x14ac:dyDescent="0.55000000000000004">
      <c r="A1262" s="43">
        <v>45559</v>
      </c>
      <c r="B1262" s="43" t="s">
        <v>2371</v>
      </c>
      <c r="C1262" s="44" t="s">
        <v>666</v>
      </c>
      <c r="D1262" s="45">
        <v>2</v>
      </c>
      <c r="E1262" s="46">
        <v>150000</v>
      </c>
      <c r="F1262" s="47">
        <f>+$I$4+(CLIENT[[#This Row],[QUANTITE]]*CLIENT[[#This Row],[PRIX UNITAIRE]])</f>
        <v>300000</v>
      </c>
      <c r="G1262" s="48"/>
      <c r="H1262" s="49">
        <f>+SUM($F$9:F1262)-SUM($G$9:G1262)</f>
        <v>45993000</v>
      </c>
    </row>
    <row r="1263" spans="1:8" ht="28.8" x14ac:dyDescent="0.55000000000000004">
      <c r="A1263" s="43">
        <v>45561</v>
      </c>
      <c r="B1263" s="43" t="s">
        <v>2499</v>
      </c>
      <c r="C1263" s="44" t="s">
        <v>2558</v>
      </c>
      <c r="D1263" s="45">
        <v>1</v>
      </c>
      <c r="E1263" s="46">
        <v>185000</v>
      </c>
      <c r="F1263" s="47">
        <f>+$I$4+(CLIENT[[#This Row],[QUANTITE]]*CLIENT[[#This Row],[PRIX UNITAIRE]])</f>
        <v>185000</v>
      </c>
      <c r="G1263" s="48"/>
      <c r="H1263" s="49">
        <f>+SUM($F$9:F1263)-SUM($G$9:G1263)</f>
        <v>46178000</v>
      </c>
    </row>
    <row r="1264" spans="1:8" ht="28.8" x14ac:dyDescent="0.55000000000000004">
      <c r="A1264" s="43">
        <v>45561</v>
      </c>
      <c r="B1264" s="43" t="s">
        <v>2533</v>
      </c>
      <c r="C1264" s="44" t="s">
        <v>2559</v>
      </c>
      <c r="D1264" s="45">
        <v>3</v>
      </c>
      <c r="E1264" s="46">
        <v>185000</v>
      </c>
      <c r="F1264" s="47">
        <f>+$I$4+(CLIENT[[#This Row],[QUANTITE]]*CLIENT[[#This Row],[PRIX UNITAIRE]])</f>
        <v>555000</v>
      </c>
      <c r="G1264" s="48"/>
      <c r="H1264" s="49">
        <f>+SUM($F$9:F1264)-SUM($G$9:G1264)</f>
        <v>46733000</v>
      </c>
    </row>
    <row r="1265" spans="1:8" ht="28.8" x14ac:dyDescent="0.55000000000000004">
      <c r="A1265" s="43"/>
      <c r="B1265" s="43"/>
      <c r="C1265" s="44" t="s">
        <v>480</v>
      </c>
      <c r="D1265" s="45">
        <v>1</v>
      </c>
      <c r="E1265" s="46">
        <v>15000</v>
      </c>
      <c r="F1265" s="47">
        <f>+$I$4+(CLIENT[[#This Row],[QUANTITE]]*CLIENT[[#This Row],[PRIX UNITAIRE]])</f>
        <v>15000</v>
      </c>
      <c r="G1265" s="48"/>
      <c r="H1265" s="49">
        <f>+SUM($F$9:F1265)-SUM($G$9:G1265)</f>
        <v>46748000</v>
      </c>
    </row>
    <row r="1266" spans="1:8" ht="28.8" x14ac:dyDescent="0.55000000000000004">
      <c r="A1266" s="43">
        <v>45563</v>
      </c>
      <c r="B1266" s="43" t="s">
        <v>2560</v>
      </c>
      <c r="C1266" s="44" t="s">
        <v>2561</v>
      </c>
      <c r="D1266" s="45">
        <v>4</v>
      </c>
      <c r="E1266" s="46">
        <v>150000</v>
      </c>
      <c r="F1266" s="47">
        <f>+$I$4+(CLIENT[[#This Row],[QUANTITE]]*CLIENT[[#This Row],[PRIX UNITAIRE]])</f>
        <v>600000</v>
      </c>
      <c r="G1266" s="48"/>
      <c r="H1266" s="49">
        <f>+SUM($F$9:F1266)-SUM($G$9:G1266)</f>
        <v>47348000</v>
      </c>
    </row>
    <row r="1267" spans="1:8" ht="28.8" x14ac:dyDescent="0.55000000000000004">
      <c r="A1267" s="43">
        <v>45564</v>
      </c>
      <c r="B1267" s="43" t="s">
        <v>1327</v>
      </c>
      <c r="C1267" s="44" t="s">
        <v>2562</v>
      </c>
      <c r="D1267" s="45">
        <v>1</v>
      </c>
      <c r="E1267" s="46">
        <v>150000</v>
      </c>
      <c r="F1267" s="47">
        <f>+$I$4+(CLIENT[[#This Row],[QUANTITE]]*CLIENT[[#This Row],[PRIX UNITAIRE]])</f>
        <v>150000</v>
      </c>
      <c r="G1267" s="48"/>
      <c r="H1267" s="49">
        <f>+SUM($F$9:F1267)-SUM($G$9:G1267)</f>
        <v>47498000</v>
      </c>
    </row>
    <row r="1268" spans="1:8" ht="28.8" x14ac:dyDescent="0.55000000000000004">
      <c r="A1268" s="43"/>
      <c r="B1268" s="43"/>
      <c r="C1268" s="44" t="s">
        <v>607</v>
      </c>
      <c r="D1268" s="45">
        <v>1</v>
      </c>
      <c r="E1268" s="46">
        <v>45000</v>
      </c>
      <c r="F1268" s="47">
        <f>+$I$4+(CLIENT[[#This Row],[QUANTITE]]*CLIENT[[#This Row],[PRIX UNITAIRE]])</f>
        <v>45000</v>
      </c>
      <c r="G1268" s="48"/>
      <c r="H1268" s="49">
        <f>+SUM($F$9:F1268)-SUM($G$9:G1268)</f>
        <v>47543000</v>
      </c>
    </row>
    <row r="1269" spans="1:8" ht="28.8" x14ac:dyDescent="0.55000000000000004">
      <c r="A1269" s="43">
        <v>45565</v>
      </c>
      <c r="B1269" s="43" t="s">
        <v>2563</v>
      </c>
      <c r="C1269" s="44" t="s">
        <v>2564</v>
      </c>
      <c r="D1269" s="45">
        <v>1</v>
      </c>
      <c r="E1269" s="46">
        <v>185000</v>
      </c>
      <c r="F1269" s="47">
        <f>+$I$4+(CLIENT[[#This Row],[QUANTITE]]*CLIENT[[#This Row],[PRIX UNITAIRE]])</f>
        <v>185000</v>
      </c>
      <c r="G1269" s="48"/>
      <c r="H1269" s="49">
        <f>+SUM($F$9:F1269)-SUM($G$9:G1269)</f>
        <v>47728000</v>
      </c>
    </row>
    <row r="1270" spans="1:8" ht="28.8" x14ac:dyDescent="0.55000000000000004">
      <c r="A1270" s="43">
        <v>45565</v>
      </c>
      <c r="B1270" s="43" t="s">
        <v>2565</v>
      </c>
      <c r="C1270" s="44" t="s">
        <v>2566</v>
      </c>
      <c r="D1270" s="45">
        <v>4</v>
      </c>
      <c r="E1270" s="46">
        <v>20000</v>
      </c>
      <c r="F1270" s="47">
        <f>+$I$4+(CLIENT[[#This Row],[QUANTITE]]*CLIENT[[#This Row],[PRIX UNITAIRE]])</f>
        <v>80000</v>
      </c>
      <c r="G1270" s="48"/>
      <c r="H1270" s="49">
        <f>+SUM($F$9:F1270)-SUM($G$9:G1270)</f>
        <v>47808000</v>
      </c>
    </row>
    <row r="1271" spans="1:8" ht="28.8" x14ac:dyDescent="0.55000000000000004">
      <c r="A1271" s="43"/>
      <c r="B1271" s="43"/>
      <c r="C1271" s="44" t="s">
        <v>95</v>
      </c>
      <c r="D1271" s="45">
        <v>4</v>
      </c>
      <c r="E1271" s="46">
        <v>8000</v>
      </c>
      <c r="F1271" s="47">
        <f>+$I$4+(CLIENT[[#This Row],[QUANTITE]]*CLIENT[[#This Row],[PRIX UNITAIRE]])</f>
        <v>32000</v>
      </c>
      <c r="G1271" s="48"/>
      <c r="H1271" s="49">
        <f>+SUM($F$9:F1271)-SUM($G$9:G1271)</f>
        <v>47840000</v>
      </c>
    </row>
    <row r="1272" spans="1:8" ht="28.8" x14ac:dyDescent="0.55000000000000004">
      <c r="A1272" s="43">
        <v>45570</v>
      </c>
      <c r="B1272" s="43" t="s">
        <v>2324</v>
      </c>
      <c r="C1272" s="44" t="s">
        <v>2567</v>
      </c>
      <c r="D1272" s="45">
        <v>2</v>
      </c>
      <c r="E1272" s="46">
        <v>185000</v>
      </c>
      <c r="F1272" s="47">
        <f>+$I$4+(CLIENT[[#This Row],[QUANTITE]]*CLIENT[[#This Row],[PRIX UNITAIRE]])</f>
        <v>370000</v>
      </c>
      <c r="G1272" s="48"/>
      <c r="H1272" s="49">
        <f>+SUM($F$9:F1272)-SUM($G$9:G1272)</f>
        <v>48210000</v>
      </c>
    </row>
    <row r="1273" spans="1:8" ht="28.8" x14ac:dyDescent="0.55000000000000004">
      <c r="A1273" s="43">
        <v>45568</v>
      </c>
      <c r="B1273" s="43" t="s">
        <v>1290</v>
      </c>
      <c r="C1273" s="44" t="s">
        <v>2568</v>
      </c>
      <c r="D1273" s="45">
        <v>1</v>
      </c>
      <c r="E1273" s="46">
        <v>150000</v>
      </c>
      <c r="F1273" s="47">
        <f>+$I$4+(CLIENT[[#This Row],[QUANTITE]]*CLIENT[[#This Row],[PRIX UNITAIRE]])</f>
        <v>150000</v>
      </c>
      <c r="G1273" s="48"/>
      <c r="H1273" s="49">
        <f>+SUM($F$9:F1273)-SUM($G$9:G1273)</f>
        <v>48360000</v>
      </c>
    </row>
    <row r="1274" spans="1:8" ht="28.8" x14ac:dyDescent="0.55000000000000004">
      <c r="A1274" s="43">
        <v>45568</v>
      </c>
      <c r="B1274" s="43" t="s">
        <v>1600</v>
      </c>
      <c r="C1274" s="44" t="s">
        <v>2569</v>
      </c>
      <c r="D1274" s="45">
        <v>1</v>
      </c>
      <c r="E1274" s="46">
        <v>150000</v>
      </c>
      <c r="F1274" s="47">
        <f>+$I$4+(CLIENT[[#This Row],[QUANTITE]]*CLIENT[[#This Row],[PRIX UNITAIRE]])</f>
        <v>150000</v>
      </c>
      <c r="G1274" s="48"/>
      <c r="H1274" s="49">
        <f>+SUM($F$9:F1274)-SUM($G$9:G1274)</f>
        <v>48510000</v>
      </c>
    </row>
    <row r="1275" spans="1:8" ht="28.8" x14ac:dyDescent="0.55000000000000004">
      <c r="A1275" s="43">
        <v>45567</v>
      </c>
      <c r="B1275" s="43" t="s">
        <v>2563</v>
      </c>
      <c r="C1275" s="44" t="s">
        <v>2570</v>
      </c>
      <c r="D1275" s="45">
        <v>1</v>
      </c>
      <c r="E1275" s="46">
        <v>185000</v>
      </c>
      <c r="F1275" s="47">
        <f>+$I$4+(CLIENT[[#This Row],[QUANTITE]]*CLIENT[[#This Row],[PRIX UNITAIRE]])</f>
        <v>185000</v>
      </c>
      <c r="G1275" s="48"/>
      <c r="H1275" s="49">
        <f>+SUM($F$9:F1275)-SUM($G$9:G1275)</f>
        <v>48695000</v>
      </c>
    </row>
    <row r="1276" spans="1:8" ht="28.8" x14ac:dyDescent="0.55000000000000004">
      <c r="A1276" s="43"/>
      <c r="B1276" s="43"/>
      <c r="C1276" s="44" t="s">
        <v>2571</v>
      </c>
      <c r="D1276" s="45">
        <v>1</v>
      </c>
      <c r="E1276" s="46">
        <v>75000</v>
      </c>
      <c r="F1276" s="47">
        <f>+$I$4+(CLIENT[[#This Row],[QUANTITE]]*CLIENT[[#This Row],[PRIX UNITAIRE]])</f>
        <v>75000</v>
      </c>
      <c r="G1276" s="48"/>
      <c r="H1276" s="49">
        <f>+SUM($F$9:F1276)-SUM($G$9:G1276)</f>
        <v>48770000</v>
      </c>
    </row>
    <row r="1277" spans="1:8" ht="28.8" x14ac:dyDescent="0.55000000000000004">
      <c r="A1277" s="43">
        <v>45566</v>
      </c>
      <c r="B1277" s="43" t="s">
        <v>2572</v>
      </c>
      <c r="C1277" s="44" t="s">
        <v>2573</v>
      </c>
      <c r="D1277" s="45">
        <v>1</v>
      </c>
      <c r="E1277" s="46">
        <v>185000</v>
      </c>
      <c r="F1277" s="47">
        <f>+$I$4+(CLIENT[[#This Row],[QUANTITE]]*CLIENT[[#This Row],[PRIX UNITAIRE]])</f>
        <v>185000</v>
      </c>
      <c r="G1277" s="48"/>
      <c r="H1277" s="49">
        <f>+SUM($F$9:F1277)-SUM($G$9:G1277)</f>
        <v>48955000</v>
      </c>
    </row>
    <row r="1278" spans="1:8" ht="28.8" x14ac:dyDescent="0.55000000000000004">
      <c r="A1278" s="43">
        <v>45566</v>
      </c>
      <c r="B1278" s="43" t="s">
        <v>1457</v>
      </c>
      <c r="C1278" s="44" t="s">
        <v>634</v>
      </c>
      <c r="D1278" s="45">
        <v>2</v>
      </c>
      <c r="E1278" s="46">
        <v>100000</v>
      </c>
      <c r="F1278" s="47">
        <f>+$I$4+(CLIENT[[#This Row],[QUANTITE]]*CLIENT[[#This Row],[PRIX UNITAIRE]])</f>
        <v>200000</v>
      </c>
      <c r="G1278" s="48"/>
      <c r="H1278" s="49">
        <f>+SUM($F$9:F1278)-SUM($G$9:G1278)</f>
        <v>49155000</v>
      </c>
    </row>
    <row r="1279" spans="1:8" ht="28.8" x14ac:dyDescent="0.55000000000000004">
      <c r="A1279" s="43">
        <v>45583</v>
      </c>
      <c r="B1279" s="43" t="s">
        <v>1459</v>
      </c>
      <c r="C1279" s="44" t="s">
        <v>2574</v>
      </c>
      <c r="D1279" s="45">
        <v>2</v>
      </c>
      <c r="E1279" s="46">
        <v>150000</v>
      </c>
      <c r="F1279" s="47">
        <f>+$I$4+(CLIENT[[#This Row],[QUANTITE]]*CLIENT[[#This Row],[PRIX UNITAIRE]])</f>
        <v>300000</v>
      </c>
      <c r="G1279" s="48"/>
      <c r="H1279" s="49">
        <f>+SUM($F$9:F1279)-SUM($G$9:G1279)</f>
        <v>49455000</v>
      </c>
    </row>
    <row r="1280" spans="1:8" ht="28.8" x14ac:dyDescent="0.55000000000000004">
      <c r="A1280" s="43"/>
      <c r="B1280" s="43"/>
      <c r="C1280" s="44" t="s">
        <v>1844</v>
      </c>
      <c r="D1280" s="45">
        <v>1</v>
      </c>
      <c r="E1280" s="46">
        <v>5000</v>
      </c>
      <c r="F1280" s="47">
        <f>+$I$4+(CLIENT[[#This Row],[QUANTITE]]*CLIENT[[#This Row],[PRIX UNITAIRE]])</f>
        <v>5000</v>
      </c>
      <c r="G1280" s="48"/>
      <c r="H1280" s="49">
        <f>+SUM($F$9:F1280)-SUM($G$9:G1280)</f>
        <v>49460000</v>
      </c>
    </row>
    <row r="1281" spans="1:8" ht="28.8" x14ac:dyDescent="0.55000000000000004">
      <c r="A1281" s="43"/>
      <c r="B1281" s="43"/>
      <c r="C1281" s="44" t="s">
        <v>2575</v>
      </c>
      <c r="D1281" s="45">
        <v>1</v>
      </c>
      <c r="E1281" s="46">
        <v>5000</v>
      </c>
      <c r="F1281" s="47">
        <f>+$I$4+(CLIENT[[#This Row],[QUANTITE]]*CLIENT[[#This Row],[PRIX UNITAIRE]])</f>
        <v>5000</v>
      </c>
      <c r="G1281" s="48"/>
      <c r="H1281" s="49">
        <f>+SUM($F$9:F1281)-SUM($G$9:G1281)</f>
        <v>49465000</v>
      </c>
    </row>
    <row r="1282" spans="1:8" ht="28.8" x14ac:dyDescent="0.55000000000000004">
      <c r="A1282" s="43">
        <v>45587</v>
      </c>
      <c r="B1282" s="43" t="s">
        <v>1640</v>
      </c>
      <c r="C1282" s="44" t="s">
        <v>2576</v>
      </c>
      <c r="D1282" s="45">
        <v>1</v>
      </c>
      <c r="E1282" s="46">
        <v>185000</v>
      </c>
      <c r="F1282" s="47">
        <f>+$I$4+(CLIENT[[#This Row],[QUANTITE]]*CLIENT[[#This Row],[PRIX UNITAIRE]])</f>
        <v>185000</v>
      </c>
      <c r="G1282" s="48"/>
      <c r="H1282" s="49">
        <f>+SUM($F$9:F1282)-SUM($G$9:G1282)</f>
        <v>49650000</v>
      </c>
    </row>
    <row r="1283" spans="1:8" ht="28.8" x14ac:dyDescent="0.55000000000000004">
      <c r="A1283" s="43"/>
      <c r="B1283" s="43"/>
      <c r="C1283" s="44" t="s">
        <v>2577</v>
      </c>
      <c r="D1283" s="45">
        <v>1</v>
      </c>
      <c r="E1283" s="46">
        <v>150000</v>
      </c>
      <c r="F1283" s="47">
        <f>+$I$4+(CLIENT[[#This Row],[QUANTITE]]*CLIENT[[#This Row],[PRIX UNITAIRE]])</f>
        <v>150000</v>
      </c>
      <c r="G1283" s="48"/>
      <c r="H1283" s="49">
        <f>+SUM($F$9:F1283)-SUM($G$9:G1283)</f>
        <v>49800000</v>
      </c>
    </row>
    <row r="1284" spans="1:8" ht="28.8" x14ac:dyDescent="0.55000000000000004">
      <c r="A1284" s="43"/>
      <c r="B1284" s="43"/>
      <c r="C1284" s="44" t="s">
        <v>2578</v>
      </c>
      <c r="D1284" s="45">
        <v>1</v>
      </c>
      <c r="E1284" s="46">
        <v>10000</v>
      </c>
      <c r="F1284" s="47">
        <f>+$I$4+(CLIENT[[#This Row],[QUANTITE]]*CLIENT[[#This Row],[PRIX UNITAIRE]])</f>
        <v>10000</v>
      </c>
      <c r="G1284" s="48"/>
      <c r="H1284" s="49">
        <f>+SUM($F$9:F1284)-SUM($G$9:G1284)</f>
        <v>49810000</v>
      </c>
    </row>
    <row r="1285" spans="1:8" ht="28.8" x14ac:dyDescent="0.55000000000000004">
      <c r="A1285" s="43">
        <v>45587</v>
      </c>
      <c r="B1285" s="43" t="s">
        <v>2042</v>
      </c>
      <c r="C1285" s="44" t="s">
        <v>2579</v>
      </c>
      <c r="D1285" s="45">
        <v>1</v>
      </c>
      <c r="E1285" s="46">
        <v>185000</v>
      </c>
      <c r="F1285" s="47">
        <f>+$I$4+(CLIENT[[#This Row],[QUANTITE]]*CLIENT[[#This Row],[PRIX UNITAIRE]])</f>
        <v>185000</v>
      </c>
      <c r="G1285" s="48"/>
      <c r="H1285" s="49">
        <f>+SUM($F$9:F1285)-SUM($G$9:G1285)</f>
        <v>49995000</v>
      </c>
    </row>
    <row r="1286" spans="1:8" ht="28.8" x14ac:dyDescent="0.55000000000000004">
      <c r="A1286" s="43"/>
      <c r="B1286" s="43"/>
      <c r="C1286" s="44" t="s">
        <v>2578</v>
      </c>
      <c r="D1286" s="45">
        <v>1</v>
      </c>
      <c r="E1286" s="46">
        <v>7000</v>
      </c>
      <c r="F1286" s="47">
        <f>+$I$4+(CLIENT[[#This Row],[QUANTITE]]*CLIENT[[#This Row],[PRIX UNITAIRE]])</f>
        <v>7000</v>
      </c>
      <c r="G1286" s="48"/>
      <c r="H1286" s="49">
        <f>+SUM($F$9:F1286)-SUM($G$9:G1286)</f>
        <v>50002000</v>
      </c>
    </row>
    <row r="1287" spans="1:8" ht="28.8" x14ac:dyDescent="0.55000000000000004">
      <c r="A1287" s="43">
        <v>45591</v>
      </c>
      <c r="B1287" s="43" t="s">
        <v>2482</v>
      </c>
      <c r="C1287" s="44" t="s">
        <v>2580</v>
      </c>
      <c r="D1287" s="45">
        <v>1</v>
      </c>
      <c r="E1287" s="46">
        <v>185000</v>
      </c>
      <c r="F1287" s="47">
        <f>+$I$4+(CLIENT[[#This Row],[QUANTITE]]*CLIENT[[#This Row],[PRIX UNITAIRE]])</f>
        <v>185000</v>
      </c>
      <c r="G1287" s="48"/>
      <c r="H1287" s="49">
        <f>+SUM($F$9:F1287)-SUM($G$9:G1287)</f>
        <v>50187000</v>
      </c>
    </row>
    <row r="1288" spans="1:8" ht="28.8" x14ac:dyDescent="0.55000000000000004">
      <c r="A1288" s="43"/>
      <c r="B1288" s="43"/>
      <c r="C1288" s="44" t="s">
        <v>1844</v>
      </c>
      <c r="D1288" s="45">
        <v>1</v>
      </c>
      <c r="E1288" s="46">
        <v>5000</v>
      </c>
      <c r="F1288" s="47">
        <f>+$I$4+(CLIENT[[#This Row],[QUANTITE]]*CLIENT[[#This Row],[PRIX UNITAIRE]])</f>
        <v>5000</v>
      </c>
      <c r="G1288" s="48"/>
      <c r="H1288" s="49">
        <f>+SUM($F$9:F1288)-SUM($G$9:G1288)</f>
        <v>50192000</v>
      </c>
    </row>
    <row r="1289" spans="1:8" ht="28.8" x14ac:dyDescent="0.55000000000000004">
      <c r="A1289" s="43">
        <v>45591</v>
      </c>
      <c r="B1289" s="43" t="s">
        <v>1343</v>
      </c>
      <c r="C1289" s="44" t="s">
        <v>2581</v>
      </c>
      <c r="D1289" s="45">
        <v>1</v>
      </c>
      <c r="E1289" s="46">
        <v>150000</v>
      </c>
      <c r="F1289" s="47">
        <f>+$I$4+(CLIENT[[#This Row],[QUANTITE]]*CLIENT[[#This Row],[PRIX UNITAIRE]])</f>
        <v>150000</v>
      </c>
      <c r="G1289" s="48"/>
      <c r="H1289" s="49">
        <f>+SUM($F$9:F1289)-SUM($G$9:G1289)</f>
        <v>50342000</v>
      </c>
    </row>
    <row r="1290" spans="1:8" ht="28.8" x14ac:dyDescent="0.55000000000000004">
      <c r="A1290" s="43">
        <v>45595</v>
      </c>
      <c r="B1290" s="43" t="s">
        <v>1640</v>
      </c>
      <c r="C1290" s="44" t="s">
        <v>2582</v>
      </c>
      <c r="D1290" s="45">
        <v>2</v>
      </c>
      <c r="E1290" s="46">
        <v>100000</v>
      </c>
      <c r="F1290" s="47">
        <f>+$I$4+(CLIENT[[#This Row],[QUANTITE]]*CLIENT[[#This Row],[PRIX UNITAIRE]])</f>
        <v>200000</v>
      </c>
      <c r="G1290" s="48"/>
      <c r="H1290" s="49">
        <f>+SUM($F$9:F1290)-SUM($G$9:G1290)</f>
        <v>50542000</v>
      </c>
    </row>
    <row r="1291" spans="1:8" ht="28.8" x14ac:dyDescent="0.55000000000000004">
      <c r="A1291" s="43"/>
      <c r="B1291" s="43"/>
      <c r="C1291" s="44" t="s">
        <v>1844</v>
      </c>
      <c r="D1291" s="45">
        <v>1</v>
      </c>
      <c r="E1291" s="46">
        <v>5000</v>
      </c>
      <c r="F1291" s="47">
        <f>+$I$4+(CLIENT[[#This Row],[QUANTITE]]*CLIENT[[#This Row],[PRIX UNITAIRE]])</f>
        <v>5000</v>
      </c>
      <c r="G1291" s="48"/>
      <c r="H1291" s="49">
        <f>+SUM($F$9:F1291)-SUM($G$9:G1291)</f>
        <v>50547000</v>
      </c>
    </row>
    <row r="1292" spans="1:8" ht="28.8" x14ac:dyDescent="0.55000000000000004">
      <c r="A1292" s="43">
        <v>45597</v>
      </c>
      <c r="B1292" s="43" t="s">
        <v>1327</v>
      </c>
      <c r="C1292" s="44" t="s">
        <v>2583</v>
      </c>
      <c r="D1292" s="45">
        <v>1</v>
      </c>
      <c r="E1292" s="46">
        <v>150000</v>
      </c>
      <c r="F1292" s="47">
        <f>+$I$4+(CLIENT[[#This Row],[QUANTITE]]*CLIENT[[#This Row],[PRIX UNITAIRE]])</f>
        <v>150000</v>
      </c>
      <c r="G1292" s="48"/>
      <c r="H1292" s="49">
        <f>+SUM($F$9:F1292)-SUM($G$9:G1292)</f>
        <v>50697000</v>
      </c>
    </row>
    <row r="1293" spans="1:8" ht="28.8" x14ac:dyDescent="0.55000000000000004">
      <c r="A1293" s="43">
        <v>45602</v>
      </c>
      <c r="B1293" s="43" t="s">
        <v>2584</v>
      </c>
      <c r="C1293" s="44" t="s">
        <v>2585</v>
      </c>
      <c r="D1293" s="45">
        <v>1</v>
      </c>
      <c r="E1293" s="46">
        <v>185000</v>
      </c>
      <c r="F1293" s="47">
        <f>+$I$4+(CLIENT[[#This Row],[QUANTITE]]*CLIENT[[#This Row],[PRIX UNITAIRE]])</f>
        <v>185000</v>
      </c>
      <c r="G1293" s="48"/>
      <c r="H1293" s="49">
        <f>+SUM($F$9:F1293)-SUM($G$9:G1293)</f>
        <v>50882000</v>
      </c>
    </row>
    <row r="1294" spans="1:8" ht="28.8" x14ac:dyDescent="0.55000000000000004">
      <c r="A1294" s="43">
        <v>45598</v>
      </c>
      <c r="B1294" s="43" t="s">
        <v>2586</v>
      </c>
      <c r="C1294" s="44" t="s">
        <v>2587</v>
      </c>
      <c r="D1294" s="45">
        <v>1</v>
      </c>
      <c r="E1294" s="46">
        <v>185000</v>
      </c>
      <c r="F1294" s="47">
        <f>+$I$4+(CLIENT[[#This Row],[QUANTITE]]*CLIENT[[#This Row],[PRIX UNITAIRE]])</f>
        <v>185000</v>
      </c>
      <c r="G1294" s="48"/>
      <c r="H1294" s="49">
        <f>+SUM($F$9:F1294)-SUM($G$9:G1294)</f>
        <v>51067000</v>
      </c>
    </row>
    <row r="1295" spans="1:8" ht="28.8" x14ac:dyDescent="0.55000000000000004">
      <c r="A1295" s="43">
        <v>45603</v>
      </c>
      <c r="B1295" s="43" t="s">
        <v>2588</v>
      </c>
      <c r="C1295" s="44" t="s">
        <v>2589</v>
      </c>
      <c r="D1295" s="45">
        <v>1</v>
      </c>
      <c r="E1295" s="46">
        <v>185000</v>
      </c>
      <c r="F1295" s="47">
        <f>+$I$4+(CLIENT[[#This Row],[QUANTITE]]*CLIENT[[#This Row],[PRIX UNITAIRE]])</f>
        <v>185000</v>
      </c>
      <c r="G1295" s="48"/>
      <c r="H1295" s="49">
        <f>+SUM($F$9:F1295)-SUM($G$9:G1295)</f>
        <v>51252000</v>
      </c>
    </row>
    <row r="1296" spans="1:8" ht="28.8" x14ac:dyDescent="0.55000000000000004">
      <c r="A1296" s="43"/>
      <c r="B1296" s="43"/>
      <c r="C1296" s="44" t="s">
        <v>1239</v>
      </c>
      <c r="D1296" s="45">
        <v>1</v>
      </c>
      <c r="E1296" s="46">
        <v>45000</v>
      </c>
      <c r="F1296" s="47">
        <f>+$I$4+(CLIENT[[#This Row],[QUANTITE]]*CLIENT[[#This Row],[PRIX UNITAIRE]])</f>
        <v>45000</v>
      </c>
      <c r="G1296" s="48"/>
      <c r="H1296" s="49">
        <f>+SUM($F$9:F1296)-SUM($G$9:G1296)</f>
        <v>51297000</v>
      </c>
    </row>
    <row r="1297" spans="1:8" ht="28.8" x14ac:dyDescent="0.55000000000000004">
      <c r="A1297" s="43">
        <v>45604</v>
      </c>
      <c r="B1297" s="43" t="s">
        <v>2538</v>
      </c>
      <c r="C1297" s="44" t="s">
        <v>2590</v>
      </c>
      <c r="D1297" s="45">
        <v>1</v>
      </c>
      <c r="E1297" s="46">
        <v>150000</v>
      </c>
      <c r="F1297" s="47">
        <f>+$I$4+(CLIENT[[#This Row],[QUANTITE]]*CLIENT[[#This Row],[PRIX UNITAIRE]])</f>
        <v>150000</v>
      </c>
      <c r="G1297" s="48"/>
      <c r="H1297" s="49">
        <f>+SUM($F$9:F1297)-SUM($G$9:G1297)</f>
        <v>51447000</v>
      </c>
    </row>
    <row r="1298" spans="1:8" ht="28.8" x14ac:dyDescent="0.55000000000000004">
      <c r="A1298" s="43">
        <v>45605</v>
      </c>
      <c r="B1298" s="43" t="s">
        <v>1149</v>
      </c>
      <c r="C1298" s="44" t="s">
        <v>2591</v>
      </c>
      <c r="D1298" s="45">
        <v>1</v>
      </c>
      <c r="E1298" s="46">
        <v>100000</v>
      </c>
      <c r="F1298" s="47">
        <f>+$I$4+(CLIENT[[#This Row],[QUANTITE]]*CLIENT[[#This Row],[PRIX UNITAIRE]])</f>
        <v>100000</v>
      </c>
      <c r="G1298" s="48"/>
      <c r="H1298" s="49">
        <f>+SUM($F$9:F1298)-SUM($G$9:G1298)</f>
        <v>51547000</v>
      </c>
    </row>
    <row r="1299" spans="1:8" ht="28.8" x14ac:dyDescent="0.55000000000000004">
      <c r="A1299" s="43">
        <v>45605</v>
      </c>
      <c r="B1299" s="43" t="s">
        <v>2586</v>
      </c>
      <c r="C1299" s="44" t="s">
        <v>2592</v>
      </c>
      <c r="D1299" s="45">
        <v>1</v>
      </c>
      <c r="E1299" s="46">
        <v>185000</v>
      </c>
      <c r="F1299" s="47">
        <f>+$I$4+(CLIENT[[#This Row],[QUANTITE]]*CLIENT[[#This Row],[PRIX UNITAIRE]])</f>
        <v>185000</v>
      </c>
      <c r="G1299" s="48"/>
      <c r="H1299" s="49">
        <f>+SUM($F$9:F1299)-SUM($G$9:G1299)</f>
        <v>51732000</v>
      </c>
    </row>
    <row r="1300" spans="1:8" ht="28.8" x14ac:dyDescent="0.55000000000000004">
      <c r="A1300" s="43">
        <v>45605</v>
      </c>
      <c r="B1300" s="43"/>
      <c r="C1300" s="44" t="s">
        <v>2593</v>
      </c>
      <c r="D1300" s="45">
        <v>1</v>
      </c>
      <c r="E1300" s="46">
        <v>15000</v>
      </c>
      <c r="F1300" s="47">
        <f>+$I$4+(CLIENT[[#This Row],[QUANTITE]]*CLIENT[[#This Row],[PRIX UNITAIRE]])</f>
        <v>15000</v>
      </c>
      <c r="G1300" s="48"/>
      <c r="H1300" s="49">
        <f>+SUM($F$9:F1300)-SUM($G$9:G1300)</f>
        <v>51747000</v>
      </c>
    </row>
    <row r="1301" spans="1:8" ht="28.8" x14ac:dyDescent="0.55000000000000004">
      <c r="A1301" s="43">
        <v>45607</v>
      </c>
      <c r="B1301" s="43" t="s">
        <v>2584</v>
      </c>
      <c r="C1301" s="44" t="s">
        <v>2594</v>
      </c>
      <c r="D1301" s="45">
        <v>1</v>
      </c>
      <c r="E1301" s="46">
        <v>185000</v>
      </c>
      <c r="F1301" s="47">
        <f>+$I$4+(CLIENT[[#This Row],[QUANTITE]]*CLIENT[[#This Row],[PRIX UNITAIRE]])</f>
        <v>185000</v>
      </c>
      <c r="G1301" s="48"/>
      <c r="H1301" s="49">
        <f>+SUM($F$9:F1301)-SUM($G$9:G1301)</f>
        <v>51932000</v>
      </c>
    </row>
    <row r="1302" spans="1:8" ht="28.8" x14ac:dyDescent="0.55000000000000004">
      <c r="A1302" s="43">
        <v>45608</v>
      </c>
      <c r="B1302" s="43" t="s">
        <v>2595</v>
      </c>
      <c r="C1302" s="44" t="s">
        <v>2596</v>
      </c>
      <c r="D1302" s="45">
        <v>1</v>
      </c>
      <c r="E1302" s="46">
        <v>185000</v>
      </c>
      <c r="F1302" s="47">
        <f>+$I$4+(CLIENT[[#This Row],[QUANTITE]]*CLIENT[[#This Row],[PRIX UNITAIRE]])</f>
        <v>185000</v>
      </c>
      <c r="G1302" s="48"/>
      <c r="H1302" s="49">
        <f>+SUM($F$9:F1302)-SUM($G$9:G1302)</f>
        <v>52117000</v>
      </c>
    </row>
    <row r="1303" spans="1:8" ht="28.8" x14ac:dyDescent="0.55000000000000004">
      <c r="A1303" s="43">
        <v>45608</v>
      </c>
      <c r="B1303" s="43" t="s">
        <v>2597</v>
      </c>
      <c r="C1303" s="44" t="s">
        <v>2598</v>
      </c>
      <c r="D1303" s="45">
        <v>1</v>
      </c>
      <c r="E1303" s="46">
        <v>185000</v>
      </c>
      <c r="F1303" s="47">
        <f>+$I$4+(CLIENT[[#This Row],[QUANTITE]]*CLIENT[[#This Row],[PRIX UNITAIRE]])</f>
        <v>185000</v>
      </c>
      <c r="G1303" s="48"/>
      <c r="H1303" s="49">
        <f>+SUM($F$9:F1303)-SUM($G$9:G1303)</f>
        <v>52302000</v>
      </c>
    </row>
    <row r="1304" spans="1:8" ht="28.8" x14ac:dyDescent="0.55000000000000004">
      <c r="A1304" s="43">
        <v>45609</v>
      </c>
      <c r="B1304" s="43" t="s">
        <v>2599</v>
      </c>
      <c r="C1304" s="44" t="s">
        <v>2600</v>
      </c>
      <c r="D1304" s="45">
        <v>2</v>
      </c>
      <c r="E1304" s="46">
        <v>150000</v>
      </c>
      <c r="F1304" s="47">
        <f>+$I$4+(CLIENT[[#This Row],[QUANTITE]]*CLIENT[[#This Row],[PRIX UNITAIRE]])</f>
        <v>300000</v>
      </c>
      <c r="G1304" s="48"/>
      <c r="H1304" s="49">
        <f>+SUM($F$9:F1304)-SUM($G$9:G1304)</f>
        <v>52602000</v>
      </c>
    </row>
    <row r="1305" spans="1:8" ht="28.8" x14ac:dyDescent="0.55000000000000004">
      <c r="A1305" s="43"/>
      <c r="B1305" s="43"/>
      <c r="C1305" s="44" t="s">
        <v>2601</v>
      </c>
      <c r="D1305" s="45">
        <v>1</v>
      </c>
      <c r="E1305" s="46">
        <v>185000</v>
      </c>
      <c r="F1305" s="47">
        <f>+$I$4+(CLIENT[[#This Row],[QUANTITE]]*CLIENT[[#This Row],[PRIX UNITAIRE]])</f>
        <v>185000</v>
      </c>
      <c r="G1305" s="48"/>
      <c r="H1305" s="49">
        <f>+SUM($F$9:F1305)-SUM($G$9:G1305)</f>
        <v>52787000</v>
      </c>
    </row>
    <row r="1306" spans="1:8" ht="28.8" x14ac:dyDescent="0.55000000000000004">
      <c r="A1306" s="43"/>
      <c r="B1306" s="43"/>
      <c r="C1306" s="44" t="s">
        <v>480</v>
      </c>
      <c r="D1306" s="45">
        <v>1</v>
      </c>
      <c r="E1306" s="46">
        <v>15000</v>
      </c>
      <c r="F1306" s="47">
        <f>+$I$4+(CLIENT[[#This Row],[QUANTITE]]*CLIENT[[#This Row],[PRIX UNITAIRE]])</f>
        <v>15000</v>
      </c>
      <c r="G1306" s="48"/>
      <c r="H1306" s="49">
        <f>+SUM($F$9:F1306)-SUM($G$9:G1306)</f>
        <v>52802000</v>
      </c>
    </row>
    <row r="1307" spans="1:8" ht="28.8" x14ac:dyDescent="0.55000000000000004">
      <c r="A1307" s="43">
        <v>45610</v>
      </c>
      <c r="B1307" s="43" t="s">
        <v>2482</v>
      </c>
      <c r="C1307" s="44" t="s">
        <v>2602</v>
      </c>
      <c r="D1307" s="45">
        <v>2</v>
      </c>
      <c r="E1307" s="46">
        <v>185000</v>
      </c>
      <c r="F1307" s="47">
        <f>+$I$4+(CLIENT[[#This Row],[QUANTITE]]*CLIENT[[#This Row],[PRIX UNITAIRE]])</f>
        <v>370000</v>
      </c>
      <c r="G1307" s="48"/>
      <c r="H1307" s="49">
        <f>+SUM($F$9:F1307)-SUM($G$9:G1307)</f>
        <v>53172000</v>
      </c>
    </row>
    <row r="1308" spans="1:8" ht="28.8" x14ac:dyDescent="0.55000000000000004">
      <c r="A1308" s="43">
        <v>45611</v>
      </c>
      <c r="B1308" s="43" t="s">
        <v>1600</v>
      </c>
      <c r="C1308" s="44" t="s">
        <v>2603</v>
      </c>
      <c r="D1308" s="45">
        <v>1</v>
      </c>
      <c r="E1308" s="46">
        <v>100000</v>
      </c>
      <c r="F1308" s="47">
        <f>+$I$4+(CLIENT[[#This Row],[QUANTITE]]*CLIENT[[#This Row],[PRIX UNITAIRE]])</f>
        <v>100000</v>
      </c>
      <c r="G1308" s="48"/>
      <c r="H1308" s="49">
        <f>+SUM($F$9:F1308)-SUM($G$9:G1308)</f>
        <v>53272000</v>
      </c>
    </row>
    <row r="1309" spans="1:8" ht="28.8" x14ac:dyDescent="0.55000000000000004">
      <c r="A1309" s="43">
        <v>45615</v>
      </c>
      <c r="B1309" s="43" t="s">
        <v>1233</v>
      </c>
      <c r="C1309" s="44" t="s">
        <v>634</v>
      </c>
      <c r="D1309" s="45">
        <v>2</v>
      </c>
      <c r="E1309" s="46">
        <v>100000</v>
      </c>
      <c r="F1309" s="47">
        <f>+$I$4+(CLIENT[[#This Row],[QUANTITE]]*CLIENT[[#This Row],[PRIX UNITAIRE]])</f>
        <v>200000</v>
      </c>
      <c r="G1309" s="48"/>
      <c r="H1309" s="49">
        <f>+SUM($F$9:F1309)-SUM($G$9:G1309)</f>
        <v>53472000</v>
      </c>
    </row>
    <row r="1310" spans="1:8" ht="28.8" x14ac:dyDescent="0.55000000000000004">
      <c r="A1310" s="43">
        <v>45616</v>
      </c>
      <c r="B1310" s="43" t="s">
        <v>2480</v>
      </c>
      <c r="C1310" s="44" t="s">
        <v>218</v>
      </c>
      <c r="D1310" s="45">
        <v>2</v>
      </c>
      <c r="E1310" s="46">
        <v>15000</v>
      </c>
      <c r="F1310" s="47">
        <f>+$I$4+(CLIENT[[#This Row],[QUANTITE]]*CLIENT[[#This Row],[PRIX UNITAIRE]])</f>
        <v>30000</v>
      </c>
      <c r="G1310" s="48"/>
      <c r="H1310" s="49">
        <f>+SUM($F$9:F1310)-SUM($G$9:G1310)</f>
        <v>53502000</v>
      </c>
    </row>
    <row r="1311" spans="1:8" ht="28.8" x14ac:dyDescent="0.55000000000000004">
      <c r="A1311" s="43"/>
      <c r="B1311" s="43" t="s">
        <v>2604</v>
      </c>
      <c r="C1311" s="44" t="s">
        <v>218</v>
      </c>
      <c r="D1311" s="45">
        <v>2</v>
      </c>
      <c r="E1311" s="46">
        <v>15000</v>
      </c>
      <c r="F1311" s="47">
        <f>+$I$4+(CLIENT[[#This Row],[QUANTITE]]*CLIENT[[#This Row],[PRIX UNITAIRE]])</f>
        <v>30000</v>
      </c>
      <c r="G1311" s="48"/>
      <c r="H1311" s="49">
        <f>+SUM($F$9:F1311)-SUM($G$9:G1311)</f>
        <v>53532000</v>
      </c>
    </row>
    <row r="1312" spans="1:8" ht="28.8" x14ac:dyDescent="0.55000000000000004">
      <c r="A1312" s="43">
        <v>45616</v>
      </c>
      <c r="B1312" s="43" t="s">
        <v>2234</v>
      </c>
      <c r="C1312" s="44" t="s">
        <v>879</v>
      </c>
      <c r="D1312" s="45">
        <v>2</v>
      </c>
      <c r="E1312" s="46">
        <v>125000</v>
      </c>
      <c r="F1312" s="47">
        <f>+$I$4+(CLIENT[[#This Row],[QUANTITE]]*CLIENT[[#This Row],[PRIX UNITAIRE]])</f>
        <v>250000</v>
      </c>
      <c r="G1312" s="48"/>
      <c r="H1312" s="49">
        <f>+SUM($F$9:F1312)-SUM($G$9:G1312)</f>
        <v>53782000</v>
      </c>
    </row>
    <row r="1313" spans="1:8" ht="28.8" x14ac:dyDescent="0.55000000000000004">
      <c r="A1313" s="43">
        <v>45617</v>
      </c>
      <c r="B1313" s="43" t="s">
        <v>2605</v>
      </c>
      <c r="C1313" s="44" t="s">
        <v>2606</v>
      </c>
      <c r="D1313" s="45">
        <v>1</v>
      </c>
      <c r="E1313" s="46">
        <v>185000</v>
      </c>
      <c r="F1313" s="47">
        <f>+$I$4+(CLIENT[[#This Row],[QUANTITE]]*CLIENT[[#This Row],[PRIX UNITAIRE]])</f>
        <v>185000</v>
      </c>
      <c r="G1313" s="48"/>
      <c r="H1313" s="49">
        <f>+SUM($F$9:F1313)-SUM($G$9:G1313)</f>
        <v>53967000</v>
      </c>
    </row>
    <row r="1314" spans="1:8" ht="28.8" x14ac:dyDescent="0.55000000000000004">
      <c r="A1314" s="43">
        <v>45617</v>
      </c>
      <c r="B1314" s="43" t="s">
        <v>2605</v>
      </c>
      <c r="C1314" s="44" t="s">
        <v>2607</v>
      </c>
      <c r="D1314" s="45">
        <v>1</v>
      </c>
      <c r="E1314" s="46">
        <v>150000</v>
      </c>
      <c r="F1314" s="47">
        <f>+$I$4+(CLIENT[[#This Row],[QUANTITE]]*CLIENT[[#This Row],[PRIX UNITAIRE]])</f>
        <v>150000</v>
      </c>
      <c r="G1314" s="48"/>
      <c r="H1314" s="49">
        <f>+SUM($F$9:F1314)-SUM($G$9:G1314)</f>
        <v>54117000</v>
      </c>
    </row>
    <row r="1315" spans="1:8" ht="28.8" x14ac:dyDescent="0.55000000000000004">
      <c r="A1315" s="43">
        <v>45618</v>
      </c>
      <c r="B1315" s="43" t="s">
        <v>2482</v>
      </c>
      <c r="C1315" s="44" t="s">
        <v>2608</v>
      </c>
      <c r="D1315" s="45">
        <v>1</v>
      </c>
      <c r="E1315" s="46">
        <v>185000</v>
      </c>
      <c r="F1315" s="47">
        <f>+$I$4+(CLIENT[[#This Row],[QUANTITE]]*CLIENT[[#This Row],[PRIX UNITAIRE]])</f>
        <v>185000</v>
      </c>
      <c r="G1315" s="48"/>
      <c r="H1315" s="49">
        <f>+SUM($F$9:F1315)-SUM($G$9:G1315)</f>
        <v>54302000</v>
      </c>
    </row>
    <row r="1316" spans="1:8" ht="28.8" x14ac:dyDescent="0.55000000000000004">
      <c r="A1316" s="43"/>
      <c r="B1316" s="43" t="s">
        <v>259</v>
      </c>
      <c r="C1316" s="44" t="s">
        <v>590</v>
      </c>
      <c r="D1316" s="45">
        <v>1</v>
      </c>
      <c r="E1316" s="46">
        <v>0</v>
      </c>
      <c r="F1316" s="47">
        <f>+$I$4+(CLIENT[[#This Row],[QUANTITE]]*CLIENT[[#This Row],[PRIX UNITAIRE]])</f>
        <v>0</v>
      </c>
      <c r="G1316" s="48">
        <v>5000000</v>
      </c>
      <c r="H1316" s="49">
        <f>+SUM($F$9:F1316)-SUM($G$9:G1316)</f>
        <v>49302000</v>
      </c>
    </row>
    <row r="1317" spans="1:8" ht="28.8" x14ac:dyDescent="0.55000000000000004">
      <c r="A1317" s="43">
        <v>45626</v>
      </c>
      <c r="B1317" s="43" t="s">
        <v>2609</v>
      </c>
      <c r="C1317" s="44" t="s">
        <v>2610</v>
      </c>
      <c r="D1317" s="45">
        <v>1</v>
      </c>
      <c r="E1317" s="46">
        <v>150000</v>
      </c>
      <c r="F1317" s="47">
        <f>+$I$4+(CLIENT[[#This Row],[QUANTITE]]*CLIENT[[#This Row],[PRIX UNITAIRE]])</f>
        <v>150000</v>
      </c>
      <c r="G1317" s="48"/>
      <c r="H1317" s="49">
        <f>+SUM($F$9:F1317)-SUM($G$9:G1317)</f>
        <v>49452000</v>
      </c>
    </row>
    <row r="1318" spans="1:8" ht="28.8" x14ac:dyDescent="0.55000000000000004">
      <c r="A1318" s="43">
        <v>45626</v>
      </c>
      <c r="B1318" s="43" t="s">
        <v>2611</v>
      </c>
      <c r="C1318" s="44" t="s">
        <v>2612</v>
      </c>
      <c r="D1318" s="45">
        <v>1</v>
      </c>
      <c r="E1318" s="46">
        <v>185000</v>
      </c>
      <c r="F1318" s="47">
        <f>+$I$4+(CLIENT[[#This Row],[QUANTITE]]*CLIENT[[#This Row],[PRIX UNITAIRE]])</f>
        <v>185000</v>
      </c>
      <c r="G1318" s="48"/>
      <c r="H1318" s="49">
        <f>+SUM($F$9:F1318)-SUM($G$9:G1318)</f>
        <v>49637000</v>
      </c>
    </row>
    <row r="1319" spans="1:8" ht="28.8" x14ac:dyDescent="0.55000000000000004">
      <c r="A1319" s="43"/>
      <c r="B1319" s="43"/>
      <c r="C1319" s="44" t="s">
        <v>218</v>
      </c>
      <c r="D1319" s="45">
        <v>1</v>
      </c>
      <c r="E1319" s="46">
        <v>15000</v>
      </c>
      <c r="F1319" s="47">
        <f>+$I$4+(CLIENT[[#This Row],[QUANTITE]]*CLIENT[[#This Row],[PRIX UNITAIRE]])</f>
        <v>15000</v>
      </c>
      <c r="G1319" s="48"/>
      <c r="H1319" s="49">
        <f>+SUM($F$9:F1319)-SUM($G$9:G1319)</f>
        <v>49652000</v>
      </c>
    </row>
    <row r="1320" spans="1:8" ht="28.8" x14ac:dyDescent="0.55000000000000004">
      <c r="A1320" s="43">
        <v>45628</v>
      </c>
      <c r="B1320" s="43" t="s">
        <v>1234</v>
      </c>
      <c r="C1320" s="44" t="s">
        <v>83</v>
      </c>
      <c r="D1320" s="45">
        <v>2</v>
      </c>
      <c r="E1320" s="46">
        <v>15000</v>
      </c>
      <c r="F1320" s="47">
        <f>+$I$4+(CLIENT[[#This Row],[QUANTITE]]*CLIENT[[#This Row],[PRIX UNITAIRE]])</f>
        <v>30000</v>
      </c>
      <c r="G1320" s="48"/>
      <c r="H1320" s="49">
        <f>+SUM($F$9:F1320)-SUM($G$9:G1320)</f>
        <v>49682000</v>
      </c>
    </row>
    <row r="1321" spans="1:8" ht="28.8" x14ac:dyDescent="0.55000000000000004">
      <c r="A1321" s="43">
        <v>45629</v>
      </c>
      <c r="B1321" s="43" t="s">
        <v>2605</v>
      </c>
      <c r="C1321" s="44" t="s">
        <v>2613</v>
      </c>
      <c r="D1321" s="45">
        <v>1</v>
      </c>
      <c r="E1321" s="46">
        <v>185000</v>
      </c>
      <c r="F1321" s="47">
        <f>+$I$4+(CLIENT[[#This Row],[QUANTITE]]*CLIENT[[#This Row],[PRIX UNITAIRE]])</f>
        <v>185000</v>
      </c>
      <c r="G1321" s="48"/>
      <c r="H1321" s="49">
        <f>+SUM($F$9:F1321)-SUM($G$9:G1321)</f>
        <v>49867000</v>
      </c>
    </row>
    <row r="1322" spans="1:8" ht="28.8" x14ac:dyDescent="0.55000000000000004">
      <c r="A1322" s="43">
        <v>45629</v>
      </c>
      <c r="B1322" s="43" t="s">
        <v>1233</v>
      </c>
      <c r="C1322" s="44" t="s">
        <v>83</v>
      </c>
      <c r="D1322" s="45">
        <v>3</v>
      </c>
      <c r="E1322" s="46">
        <v>15000</v>
      </c>
      <c r="F1322" s="47">
        <f>+$I$4+(CLIENT[[#This Row],[QUANTITE]]*CLIENT[[#This Row],[PRIX UNITAIRE]])</f>
        <v>45000</v>
      </c>
      <c r="G1322" s="48"/>
      <c r="H1322" s="49">
        <f>+SUM($F$9:F1322)-SUM($G$9:G1322)</f>
        <v>49912000</v>
      </c>
    </row>
    <row r="1323" spans="1:8" ht="28.8" x14ac:dyDescent="0.55000000000000004">
      <c r="A1323" s="43">
        <v>45630</v>
      </c>
      <c r="B1323" s="43" t="s">
        <v>2614</v>
      </c>
      <c r="C1323" s="44" t="s">
        <v>2615</v>
      </c>
      <c r="D1323" s="45">
        <v>1</v>
      </c>
      <c r="E1323" s="46">
        <v>185000</v>
      </c>
      <c r="F1323" s="47">
        <f>+$I$4+(CLIENT[[#This Row],[QUANTITE]]*CLIENT[[#This Row],[PRIX UNITAIRE]])</f>
        <v>185000</v>
      </c>
      <c r="G1323" s="48"/>
      <c r="H1323" s="49">
        <f>+SUM($F$9:F1323)-SUM($G$9:G1323)</f>
        <v>50097000</v>
      </c>
    </row>
    <row r="1324" spans="1:8" ht="28.8" x14ac:dyDescent="0.55000000000000004">
      <c r="A1324" s="43">
        <v>45630</v>
      </c>
      <c r="B1324" s="43" t="s">
        <v>2616</v>
      </c>
      <c r="C1324" s="44" t="s">
        <v>2617</v>
      </c>
      <c r="D1324" s="45">
        <v>2</v>
      </c>
      <c r="E1324" s="46">
        <v>150000</v>
      </c>
      <c r="F1324" s="47">
        <f>+$I$4+(CLIENT[[#This Row],[QUANTITE]]*CLIENT[[#This Row],[PRIX UNITAIRE]])</f>
        <v>300000</v>
      </c>
      <c r="G1324" s="48"/>
      <c r="H1324" s="49">
        <f>+SUM($F$9:F1324)-SUM($G$9:G1324)</f>
        <v>50397000</v>
      </c>
    </row>
    <row r="1325" spans="1:8" ht="28.8" x14ac:dyDescent="0.55000000000000004">
      <c r="A1325" s="43"/>
      <c r="B1325" s="43"/>
      <c r="C1325" s="44" t="s">
        <v>2618</v>
      </c>
      <c r="D1325" s="45">
        <v>1</v>
      </c>
      <c r="E1325" s="46">
        <v>150000</v>
      </c>
      <c r="F1325" s="47">
        <f>+$I$4+(CLIENT[[#This Row],[QUANTITE]]*CLIENT[[#This Row],[PRIX UNITAIRE]])</f>
        <v>150000</v>
      </c>
      <c r="G1325" s="48"/>
      <c r="H1325" s="49">
        <f>+SUM($F$9:F1325)-SUM($G$9:G1325)</f>
        <v>50547000</v>
      </c>
    </row>
    <row r="1326" spans="1:8" ht="28.8" x14ac:dyDescent="0.55000000000000004">
      <c r="A1326" s="43">
        <v>45633</v>
      </c>
      <c r="B1326" s="43" t="s">
        <v>2609</v>
      </c>
      <c r="C1326" s="44" t="s">
        <v>2619</v>
      </c>
      <c r="D1326" s="45">
        <v>1</v>
      </c>
      <c r="E1326" s="46">
        <v>185000</v>
      </c>
      <c r="F1326" s="47">
        <f>+$I$4+(CLIENT[[#This Row],[QUANTITE]]*CLIENT[[#This Row],[PRIX UNITAIRE]])</f>
        <v>185000</v>
      </c>
      <c r="G1326" s="48"/>
      <c r="H1326" s="49">
        <f>+SUM($F$9:F1326)-SUM($G$9:G1326)</f>
        <v>50732000</v>
      </c>
    </row>
    <row r="1327" spans="1:8" ht="28.8" x14ac:dyDescent="0.55000000000000004">
      <c r="A1327" s="43">
        <v>45635</v>
      </c>
      <c r="B1327" s="43" t="s">
        <v>2620</v>
      </c>
      <c r="C1327" s="44" t="s">
        <v>2621</v>
      </c>
      <c r="D1327" s="45">
        <v>1</v>
      </c>
      <c r="E1327" s="46">
        <v>150000</v>
      </c>
      <c r="F1327" s="47">
        <f>+$I$4+(CLIENT[[#This Row],[QUANTITE]]*CLIENT[[#This Row],[PRIX UNITAIRE]])</f>
        <v>150000</v>
      </c>
      <c r="G1327" s="48"/>
      <c r="H1327" s="49">
        <f>+SUM($F$9:F1327)-SUM($G$9:G1327)</f>
        <v>50882000</v>
      </c>
    </row>
    <row r="1328" spans="1:8" ht="28.8" x14ac:dyDescent="0.55000000000000004">
      <c r="A1328" s="43">
        <v>45636</v>
      </c>
      <c r="B1328" s="43" t="s">
        <v>2622</v>
      </c>
      <c r="C1328" s="44" t="s">
        <v>2623</v>
      </c>
      <c r="D1328" s="45">
        <v>1</v>
      </c>
      <c r="E1328" s="46">
        <v>185000</v>
      </c>
      <c r="F1328" s="47">
        <f>+$I$4+(CLIENT[[#This Row],[QUANTITE]]*CLIENT[[#This Row],[PRIX UNITAIRE]])</f>
        <v>185000</v>
      </c>
      <c r="G1328" s="48"/>
      <c r="H1328" s="49">
        <f>+SUM($F$9:F1328)-SUM($G$9:G1328)</f>
        <v>51067000</v>
      </c>
    </row>
    <row r="1329" spans="1:8" ht="28.8" x14ac:dyDescent="0.55000000000000004">
      <c r="A1329" s="43">
        <v>45637</v>
      </c>
      <c r="B1329" s="43" t="s">
        <v>2624</v>
      </c>
      <c r="C1329" s="44" t="s">
        <v>2625</v>
      </c>
      <c r="D1329" s="45">
        <v>1</v>
      </c>
      <c r="E1329" s="46">
        <v>185000</v>
      </c>
      <c r="F1329" s="47">
        <f>+$I$4+(CLIENT[[#This Row],[QUANTITE]]*CLIENT[[#This Row],[PRIX UNITAIRE]])</f>
        <v>185000</v>
      </c>
      <c r="G1329" s="48"/>
      <c r="H1329" s="49">
        <f>+SUM($F$9:F1329)-SUM($G$9:G1329)</f>
        <v>51252000</v>
      </c>
    </row>
    <row r="1330" spans="1:8" ht="28.8" x14ac:dyDescent="0.55000000000000004">
      <c r="A1330" s="43">
        <v>45651</v>
      </c>
      <c r="B1330" s="43" t="s">
        <v>1133</v>
      </c>
      <c r="C1330" s="44" t="s">
        <v>2626</v>
      </c>
      <c r="D1330" s="45">
        <v>1</v>
      </c>
      <c r="E1330" s="46">
        <v>185000</v>
      </c>
      <c r="F1330" s="47">
        <f>+$I$4+(CLIENT[[#This Row],[QUANTITE]]*CLIENT[[#This Row],[PRIX UNITAIRE]])</f>
        <v>185000</v>
      </c>
      <c r="G1330" s="48"/>
      <c r="H1330" s="49">
        <f>+SUM($F$9:F1330)-SUM($G$9:G1330)</f>
        <v>51437000</v>
      </c>
    </row>
    <row r="1331" spans="1:8" ht="28.8" x14ac:dyDescent="0.55000000000000004">
      <c r="A1331" s="43">
        <v>45653</v>
      </c>
      <c r="B1331" s="43" t="s">
        <v>1134</v>
      </c>
      <c r="C1331" s="44" t="s">
        <v>2627</v>
      </c>
      <c r="D1331" s="45">
        <v>1</v>
      </c>
      <c r="E1331" s="46">
        <v>185000</v>
      </c>
      <c r="F1331" s="47">
        <f>+$I$4+(CLIENT[[#This Row],[QUANTITE]]*CLIENT[[#This Row],[PRIX UNITAIRE]])</f>
        <v>185000</v>
      </c>
      <c r="G1331" s="48"/>
      <c r="H1331" s="49">
        <f>+SUM($F$9:F1331)-SUM($G$9:G1331)</f>
        <v>51622000</v>
      </c>
    </row>
    <row r="1332" spans="1:8" ht="28.8" x14ac:dyDescent="0.55000000000000004">
      <c r="A1332" s="43">
        <v>45653</v>
      </c>
      <c r="B1332" s="43" t="s">
        <v>2628</v>
      </c>
      <c r="C1332" s="44" t="s">
        <v>1239</v>
      </c>
      <c r="D1332" s="45">
        <v>1</v>
      </c>
      <c r="E1332" s="46">
        <v>40000</v>
      </c>
      <c r="F1332" s="47">
        <f>+$I$4+(CLIENT[[#This Row],[QUANTITE]]*CLIENT[[#This Row],[PRIX UNITAIRE]])</f>
        <v>40000</v>
      </c>
      <c r="G1332" s="48"/>
      <c r="H1332" s="49">
        <f>+SUM($F$9:F1332)-SUM($G$9:G1332)</f>
        <v>51662000</v>
      </c>
    </row>
    <row r="1333" spans="1:8" ht="28.8" x14ac:dyDescent="0.55000000000000004">
      <c r="A1333" s="43">
        <v>45653</v>
      </c>
      <c r="B1333" s="43" t="s">
        <v>2629</v>
      </c>
      <c r="C1333" s="44" t="s">
        <v>1135</v>
      </c>
      <c r="D1333" s="45">
        <v>1</v>
      </c>
      <c r="E1333" s="46">
        <v>10000</v>
      </c>
      <c r="F1333" s="47">
        <f>+$I$4+(CLIENT[[#This Row],[QUANTITE]]*CLIENT[[#This Row],[PRIX UNITAIRE]])</f>
        <v>10000</v>
      </c>
      <c r="G1333" s="48"/>
      <c r="H1333" s="49">
        <f>+SUM($F$9:F1333)-SUM($G$9:G1333)</f>
        <v>51672000</v>
      </c>
    </row>
    <row r="1334" spans="1:8" ht="28.8" x14ac:dyDescent="0.55000000000000004">
      <c r="A1334" s="43">
        <v>45657</v>
      </c>
      <c r="B1334" s="43" t="s">
        <v>2630</v>
      </c>
      <c r="C1334" s="44" t="s">
        <v>2631</v>
      </c>
      <c r="D1334" s="45">
        <v>1</v>
      </c>
      <c r="E1334" s="46">
        <v>150000</v>
      </c>
      <c r="F1334" s="47">
        <f>+$I$4+(CLIENT[[#This Row],[QUANTITE]]*CLIENT[[#This Row],[PRIX UNITAIRE]])</f>
        <v>150000</v>
      </c>
      <c r="G1334" s="48"/>
      <c r="H1334" s="49">
        <f>+SUM($F$9:F1334)-SUM($G$9:G1334)</f>
        <v>51822000</v>
      </c>
    </row>
    <row r="1335" spans="1:8" ht="28.8" x14ac:dyDescent="0.55000000000000004">
      <c r="A1335" s="43">
        <v>45659</v>
      </c>
      <c r="B1335" s="43" t="s">
        <v>1152</v>
      </c>
      <c r="C1335" s="44" t="s">
        <v>2632</v>
      </c>
      <c r="D1335" s="45">
        <v>1</v>
      </c>
      <c r="E1335" s="46">
        <v>185000</v>
      </c>
      <c r="F1335" s="47">
        <f>+$I$4+(CLIENT[[#This Row],[QUANTITE]]*CLIENT[[#This Row],[PRIX UNITAIRE]])</f>
        <v>185000</v>
      </c>
      <c r="G1335" s="48"/>
      <c r="H1335" s="49">
        <f>+SUM($F$9:F1335)-SUM($G$9:G1335)</f>
        <v>52007000</v>
      </c>
    </row>
    <row r="1336" spans="1:8" ht="28.8" x14ac:dyDescent="0.55000000000000004">
      <c r="A1336" s="43">
        <v>45659</v>
      </c>
      <c r="B1336" s="43" t="s">
        <v>2633</v>
      </c>
      <c r="C1336" s="44" t="s">
        <v>2634</v>
      </c>
      <c r="D1336" s="45">
        <v>2</v>
      </c>
      <c r="E1336" s="46">
        <v>185000</v>
      </c>
      <c r="F1336" s="47">
        <f>+$I$4+(CLIENT[[#This Row],[QUANTITE]]*CLIENT[[#This Row],[PRIX UNITAIRE]])</f>
        <v>370000</v>
      </c>
      <c r="G1336" s="48"/>
      <c r="H1336" s="49">
        <f>+SUM($F$9:F1336)-SUM($G$9:G1336)</f>
        <v>52377000</v>
      </c>
    </row>
    <row r="1337" spans="1:8" ht="28.8" x14ac:dyDescent="0.55000000000000004">
      <c r="A1337" s="43">
        <v>45659</v>
      </c>
      <c r="B1337" s="43" t="s">
        <v>2635</v>
      </c>
      <c r="C1337" s="44" t="s">
        <v>2636</v>
      </c>
      <c r="D1337" s="45">
        <v>1</v>
      </c>
      <c r="E1337" s="46">
        <v>185000</v>
      </c>
      <c r="F1337" s="47">
        <f>+$I$4+(CLIENT[[#This Row],[QUANTITE]]*CLIENT[[#This Row],[PRIX UNITAIRE]])</f>
        <v>185000</v>
      </c>
      <c r="G1337" s="48"/>
      <c r="H1337" s="49">
        <f>+SUM($F$9:F1337)-SUM($G$9:G1337)</f>
        <v>52562000</v>
      </c>
    </row>
    <row r="1338" spans="1:8" ht="28.8" x14ac:dyDescent="0.55000000000000004">
      <c r="A1338" s="43">
        <v>45665</v>
      </c>
      <c r="B1338" s="43" t="s">
        <v>1139</v>
      </c>
      <c r="C1338" s="44" t="s">
        <v>2637</v>
      </c>
      <c r="D1338" s="45">
        <v>1</v>
      </c>
      <c r="E1338" s="46">
        <v>185000</v>
      </c>
      <c r="F1338" s="47">
        <f>+$I$4+(CLIENT[[#This Row],[QUANTITE]]*CLIENT[[#This Row],[PRIX UNITAIRE]])</f>
        <v>185000</v>
      </c>
      <c r="G1338" s="48"/>
      <c r="H1338" s="49">
        <f>+SUM($F$9:F1338)-SUM($G$9:G1338)</f>
        <v>52747000</v>
      </c>
    </row>
    <row r="1339" spans="1:8" ht="28.8" x14ac:dyDescent="0.55000000000000004">
      <c r="A1339" s="43">
        <v>45665</v>
      </c>
      <c r="B1339" s="43" t="s">
        <v>2638</v>
      </c>
      <c r="C1339" s="44" t="s">
        <v>2639</v>
      </c>
      <c r="D1339" s="45">
        <v>1</v>
      </c>
      <c r="E1339" s="46">
        <v>150000</v>
      </c>
      <c r="F1339" s="47">
        <f>+$I$4+(CLIENT[[#This Row],[QUANTITE]]*CLIENT[[#This Row],[PRIX UNITAIRE]])</f>
        <v>150000</v>
      </c>
      <c r="G1339" s="48"/>
      <c r="H1339" s="49">
        <f>+SUM($F$9:F1339)-SUM($G$9:G1339)</f>
        <v>52897000</v>
      </c>
    </row>
    <row r="1340" spans="1:8" ht="28.8" x14ac:dyDescent="0.55000000000000004">
      <c r="A1340" s="43">
        <v>45666</v>
      </c>
      <c r="B1340" s="43" t="s">
        <v>2640</v>
      </c>
      <c r="C1340" s="44" t="s">
        <v>2641</v>
      </c>
      <c r="D1340" s="45">
        <v>2</v>
      </c>
      <c r="E1340" s="46">
        <v>185000</v>
      </c>
      <c r="F1340" s="47">
        <f>+$I$4+(CLIENT[[#This Row],[QUANTITE]]*CLIENT[[#This Row],[PRIX UNITAIRE]])</f>
        <v>370000</v>
      </c>
      <c r="G1340" s="48"/>
      <c r="H1340" s="49">
        <f>+SUM($F$9:F1340)-SUM($G$9:G1340)</f>
        <v>53267000</v>
      </c>
    </row>
    <row r="1341" spans="1:8" ht="28.8" x14ac:dyDescent="0.55000000000000004">
      <c r="A1341" s="43">
        <v>45666</v>
      </c>
      <c r="B1341" s="43" t="s">
        <v>2642</v>
      </c>
      <c r="C1341" s="44" t="s">
        <v>2643</v>
      </c>
      <c r="D1341" s="45">
        <v>2</v>
      </c>
      <c r="E1341" s="46">
        <v>185000</v>
      </c>
      <c r="F1341" s="47">
        <f>+$I$4+(CLIENT[[#This Row],[QUANTITE]]*CLIENT[[#This Row],[PRIX UNITAIRE]])</f>
        <v>370000</v>
      </c>
      <c r="G1341" s="48"/>
      <c r="H1341" s="49">
        <f>+SUM($F$9:F1341)-SUM($G$9:G1341)</f>
        <v>53637000</v>
      </c>
    </row>
    <row r="1342" spans="1:8" ht="28.8" x14ac:dyDescent="0.55000000000000004">
      <c r="A1342" s="43">
        <v>45672</v>
      </c>
      <c r="B1342" s="43" t="s">
        <v>2644</v>
      </c>
      <c r="C1342" s="44" t="s">
        <v>2645</v>
      </c>
      <c r="D1342" s="45">
        <v>2</v>
      </c>
      <c r="E1342" s="46">
        <v>150000</v>
      </c>
      <c r="F1342" s="47">
        <f>+$I$4+(CLIENT[[#This Row],[QUANTITE]]*CLIENT[[#This Row],[PRIX UNITAIRE]])</f>
        <v>300000</v>
      </c>
      <c r="G1342" s="48"/>
      <c r="H1342" s="49">
        <f>+SUM($F$9:F1342)-SUM($G$9:G1342)</f>
        <v>53937000</v>
      </c>
    </row>
    <row r="1343" spans="1:8" ht="28.8" x14ac:dyDescent="0.55000000000000004">
      <c r="A1343" s="43">
        <v>45672</v>
      </c>
      <c r="B1343" s="43" t="s">
        <v>2646</v>
      </c>
      <c r="C1343" s="44" t="s">
        <v>2647</v>
      </c>
      <c r="D1343" s="45">
        <v>2</v>
      </c>
      <c r="E1343" s="46">
        <v>150000</v>
      </c>
      <c r="F1343" s="47">
        <f>+$I$4+(CLIENT[[#This Row],[QUANTITE]]*CLIENT[[#This Row],[PRIX UNITAIRE]])</f>
        <v>300000</v>
      </c>
      <c r="G1343" s="48"/>
      <c r="H1343" s="49">
        <f>+SUM($F$9:F1343)-SUM($G$9:G1343)</f>
        <v>54237000</v>
      </c>
    </row>
    <row r="1344" spans="1:8" ht="28.8" x14ac:dyDescent="0.55000000000000004">
      <c r="A1344" s="43" t="s">
        <v>2648</v>
      </c>
      <c r="B1344" s="43" t="s">
        <v>1140</v>
      </c>
      <c r="C1344" s="44" t="s">
        <v>2649</v>
      </c>
      <c r="D1344" s="45">
        <v>1</v>
      </c>
      <c r="E1344" s="46">
        <v>185000</v>
      </c>
      <c r="F1344" s="47">
        <f>+$I$4+(CLIENT[[#This Row],[QUANTITE]]*CLIENT[[#This Row],[PRIX UNITAIRE]])</f>
        <v>185000</v>
      </c>
      <c r="G1344" s="48"/>
      <c r="H1344" s="49">
        <f>+SUM($F$9:F1344)-SUM($G$9:G1344)</f>
        <v>54422000</v>
      </c>
    </row>
    <row r="1345" spans="1:8" ht="28.8" x14ac:dyDescent="0.55000000000000004">
      <c r="A1345" s="43">
        <v>45681</v>
      </c>
      <c r="B1345" s="43" t="s">
        <v>2650</v>
      </c>
      <c r="C1345" s="44" t="s">
        <v>2651</v>
      </c>
      <c r="D1345" s="45">
        <v>2</v>
      </c>
      <c r="E1345" s="46">
        <v>250000</v>
      </c>
      <c r="F1345" s="47">
        <f>+$I$4+(CLIENT[[#This Row],[QUANTITE]]*CLIENT[[#This Row],[PRIX UNITAIRE]])</f>
        <v>500000</v>
      </c>
      <c r="G1345" s="48"/>
      <c r="H1345" s="49">
        <f>+SUM($F$9:F1345)-SUM($G$9:G1345)</f>
        <v>54922000</v>
      </c>
    </row>
    <row r="1346" spans="1:8" ht="28.8" x14ac:dyDescent="0.55000000000000004">
      <c r="A1346" s="43">
        <v>45681</v>
      </c>
      <c r="B1346" s="43" t="s">
        <v>2650</v>
      </c>
      <c r="C1346" s="44" t="s">
        <v>1239</v>
      </c>
      <c r="D1346" s="45">
        <v>1</v>
      </c>
      <c r="E1346" s="46">
        <v>40000</v>
      </c>
      <c r="F1346" s="47">
        <f>+$I$4+(CLIENT[[#This Row],[QUANTITE]]*CLIENT[[#This Row],[PRIX UNITAIRE]])</f>
        <v>40000</v>
      </c>
      <c r="G1346" s="48"/>
      <c r="H1346" s="49">
        <f>+SUM($F$9:F1346)-SUM($G$9:G1346)</f>
        <v>54962000</v>
      </c>
    </row>
    <row r="1347" spans="1:8" ht="28.8" x14ac:dyDescent="0.55000000000000004">
      <c r="A1347" s="43">
        <v>45682</v>
      </c>
      <c r="B1347" s="43" t="s">
        <v>2652</v>
      </c>
      <c r="C1347" s="44" t="s">
        <v>2653</v>
      </c>
      <c r="D1347" s="45">
        <v>1</v>
      </c>
      <c r="E1347" s="46">
        <v>150000</v>
      </c>
      <c r="F1347" s="47">
        <f>+$I$4+(CLIENT[[#This Row],[QUANTITE]]*CLIENT[[#This Row],[PRIX UNITAIRE]])</f>
        <v>150000</v>
      </c>
      <c r="G1347" s="48"/>
      <c r="H1347" s="49">
        <f>+SUM($F$9:F1347)-SUM($G$9:G1347)</f>
        <v>55112000</v>
      </c>
    </row>
    <row r="1348" spans="1:8" ht="28.8" x14ac:dyDescent="0.55000000000000004">
      <c r="A1348" s="43" t="s">
        <v>2654</v>
      </c>
      <c r="B1348" s="43" t="s">
        <v>2212</v>
      </c>
      <c r="C1348" s="44" t="s">
        <v>1141</v>
      </c>
      <c r="D1348" s="45">
        <v>3</v>
      </c>
      <c r="E1348" s="46">
        <v>200000</v>
      </c>
      <c r="F1348" s="47">
        <f>+$I$4+(CLIENT[[#This Row],[QUANTITE]]*CLIENT[[#This Row],[PRIX UNITAIRE]])</f>
        <v>600000</v>
      </c>
      <c r="G1348" s="48"/>
      <c r="H1348" s="49">
        <f>+SUM($F$9:F1348)-SUM($G$9:G1348)</f>
        <v>55712000</v>
      </c>
    </row>
    <row r="1349" spans="1:8" ht="28.8" x14ac:dyDescent="0.55000000000000004">
      <c r="A1349" s="43">
        <v>45687</v>
      </c>
      <c r="B1349" s="43"/>
      <c r="C1349" s="44" t="s">
        <v>2655</v>
      </c>
      <c r="D1349" s="45">
        <v>1</v>
      </c>
      <c r="E1349" s="46">
        <v>370000</v>
      </c>
      <c r="F1349" s="47">
        <f>+$I$4+(CLIENT[[#This Row],[QUANTITE]]*CLIENT[[#This Row],[PRIX UNITAIRE]])</f>
        <v>370000</v>
      </c>
      <c r="G1349" s="48"/>
      <c r="H1349" s="49">
        <f>+SUM($F$9:F1349)-SUM($G$9:G1349)</f>
        <v>56082000</v>
      </c>
    </row>
    <row r="1350" spans="1:8" ht="28.8" x14ac:dyDescent="0.55000000000000004">
      <c r="A1350" s="43">
        <v>45689</v>
      </c>
      <c r="B1350" s="43" t="s">
        <v>2656</v>
      </c>
      <c r="C1350" s="44" t="s">
        <v>2657</v>
      </c>
      <c r="D1350" s="45">
        <v>2</v>
      </c>
      <c r="E1350" s="46">
        <v>150000</v>
      </c>
      <c r="F1350" s="47">
        <f>+$I$4+(CLIENT[[#This Row],[QUANTITE]]*CLIENT[[#This Row],[PRIX UNITAIRE]])</f>
        <v>300000</v>
      </c>
      <c r="G1350" s="48"/>
      <c r="H1350" s="49">
        <f>+SUM($F$9:F1350)-SUM($G$9:G1350)</f>
        <v>56382000</v>
      </c>
    </row>
    <row r="1351" spans="1:8" ht="28.8" x14ac:dyDescent="0.55000000000000004">
      <c r="A1351" s="43">
        <v>45689</v>
      </c>
      <c r="B1351" s="43" t="s">
        <v>2111</v>
      </c>
      <c r="C1351" s="44" t="s">
        <v>2658</v>
      </c>
      <c r="D1351" s="45">
        <v>1</v>
      </c>
      <c r="E1351" s="46">
        <v>150000</v>
      </c>
      <c r="F1351" s="47">
        <f>+$I$4+(CLIENT[[#This Row],[QUANTITE]]*CLIENT[[#This Row],[PRIX UNITAIRE]])</f>
        <v>150000</v>
      </c>
      <c r="G1351" s="48"/>
      <c r="H1351" s="49">
        <f>+SUM($F$9:F1351)-SUM($G$9:G1351)</f>
        <v>56532000</v>
      </c>
    </row>
    <row r="1352" spans="1:8" ht="28.8" x14ac:dyDescent="0.55000000000000004">
      <c r="A1352" s="43">
        <v>45689</v>
      </c>
      <c r="B1352" s="43"/>
      <c r="C1352" s="44" t="s">
        <v>1034</v>
      </c>
      <c r="D1352" s="45">
        <v>1</v>
      </c>
      <c r="E1352" s="46">
        <v>200000</v>
      </c>
      <c r="F1352" s="47">
        <f>+$I$4+(CLIENT[[#This Row],[QUANTITE]]*CLIENT[[#This Row],[PRIX UNITAIRE]])</f>
        <v>200000</v>
      </c>
      <c r="G1352" s="48"/>
      <c r="H1352" s="49">
        <f>+SUM($F$9:F1352)-SUM($G$9:G1352)</f>
        <v>56732000</v>
      </c>
    </row>
    <row r="1353" spans="1:8" ht="28.8" x14ac:dyDescent="0.55000000000000004">
      <c r="A1353" s="43">
        <v>45707</v>
      </c>
      <c r="B1353" s="43" t="s">
        <v>1145</v>
      </c>
      <c r="C1353" s="44" t="s">
        <v>2659</v>
      </c>
      <c r="D1353" s="45">
        <v>1</v>
      </c>
      <c r="E1353" s="46">
        <v>150000</v>
      </c>
      <c r="F1353" s="47">
        <f>+$I$4+(CLIENT[[#This Row],[QUANTITE]]*CLIENT[[#This Row],[PRIX UNITAIRE]])</f>
        <v>150000</v>
      </c>
      <c r="G1353" s="48"/>
      <c r="H1353" s="49">
        <f>+SUM($F$9:F1353)-SUM($G$9:G1353)</f>
        <v>56882000</v>
      </c>
    </row>
    <row r="1354" spans="1:8" ht="28.8" x14ac:dyDescent="0.55000000000000004">
      <c r="A1354" s="43">
        <v>45708</v>
      </c>
      <c r="B1354" s="43" t="s">
        <v>1146</v>
      </c>
      <c r="C1354" s="44" t="s">
        <v>2660</v>
      </c>
      <c r="D1354" s="45">
        <v>1</v>
      </c>
      <c r="E1354" s="46">
        <v>150000</v>
      </c>
      <c r="F1354" s="47">
        <f>+$I$4+(CLIENT[[#This Row],[QUANTITE]]*CLIENT[[#This Row],[PRIX UNITAIRE]])</f>
        <v>150000</v>
      </c>
      <c r="G1354" s="48"/>
      <c r="H1354" s="49">
        <f>+SUM($F$9:F1354)-SUM($G$9:G1354)</f>
        <v>57032000</v>
      </c>
    </row>
    <row r="1355" spans="1:8" ht="28.8" x14ac:dyDescent="0.55000000000000004">
      <c r="A1355" s="43">
        <v>45708</v>
      </c>
      <c r="B1355" s="43" t="s">
        <v>1146</v>
      </c>
      <c r="C1355" s="44" t="s">
        <v>2661</v>
      </c>
      <c r="D1355" s="45">
        <v>1</v>
      </c>
      <c r="E1355" s="46">
        <v>150000</v>
      </c>
      <c r="F1355" s="47">
        <f>+$I$4+(CLIENT[[#This Row],[QUANTITE]]*CLIENT[[#This Row],[PRIX UNITAIRE]])</f>
        <v>150000</v>
      </c>
      <c r="G1355" s="48"/>
      <c r="H1355" s="49">
        <f>+SUM($F$9:F1355)-SUM($G$9:G1355)</f>
        <v>57182000</v>
      </c>
    </row>
    <row r="1356" spans="1:8" ht="28.8" x14ac:dyDescent="0.55000000000000004">
      <c r="A1356" s="43">
        <v>45712</v>
      </c>
      <c r="B1356" s="43" t="s">
        <v>1148</v>
      </c>
      <c r="C1356" s="44" t="s">
        <v>2662</v>
      </c>
      <c r="D1356" s="45">
        <v>2</v>
      </c>
      <c r="E1356" s="46">
        <v>185000</v>
      </c>
      <c r="F1356" s="47">
        <f>+$I$4+(CLIENT[[#This Row],[QUANTITE]]*CLIENT[[#This Row],[PRIX UNITAIRE]])</f>
        <v>370000</v>
      </c>
      <c r="G1356" s="48"/>
      <c r="H1356" s="49">
        <f>+SUM($F$9:F1356)-SUM($G$9:G1356)</f>
        <v>57552000</v>
      </c>
    </row>
    <row r="1357" spans="1:8" ht="28.8" x14ac:dyDescent="0.55000000000000004">
      <c r="A1357" s="43">
        <v>45713</v>
      </c>
      <c r="B1357" s="43" t="s">
        <v>1148</v>
      </c>
      <c r="C1357" s="44" t="s">
        <v>2663</v>
      </c>
      <c r="D1357" s="45">
        <v>1</v>
      </c>
      <c r="E1357" s="46">
        <v>230000</v>
      </c>
      <c r="F1357" s="47">
        <f>+$I$4+(CLIENT[[#This Row],[QUANTITE]]*CLIENT[[#This Row],[PRIX UNITAIRE]])</f>
        <v>230000</v>
      </c>
      <c r="G1357" s="48"/>
      <c r="H1357" s="49">
        <f>+SUM($F$9:F1357)-SUM($G$9:G1357)</f>
        <v>57782000</v>
      </c>
    </row>
    <row r="1358" spans="1:8" ht="28.8" x14ac:dyDescent="0.55000000000000004">
      <c r="A1358" s="43">
        <v>45714</v>
      </c>
      <c r="B1358" s="43" t="s">
        <v>2371</v>
      </c>
      <c r="C1358" s="44" t="s">
        <v>2664</v>
      </c>
      <c r="D1358" s="45">
        <v>2</v>
      </c>
      <c r="E1358" s="46">
        <v>180000</v>
      </c>
      <c r="F1358" s="47">
        <f>+$I$4+(CLIENT[[#This Row],[QUANTITE]]*CLIENT[[#This Row],[PRIX UNITAIRE]])</f>
        <v>360000</v>
      </c>
      <c r="G1358" s="48"/>
      <c r="H1358" s="49">
        <f>+SUM($F$9:F1358)-SUM($G$9:G1358)</f>
        <v>58142000</v>
      </c>
    </row>
    <row r="1359" spans="1:8" ht="28.8" x14ac:dyDescent="0.55000000000000004">
      <c r="A1359" s="43">
        <v>45715</v>
      </c>
      <c r="B1359" s="43" t="s">
        <v>2665</v>
      </c>
      <c r="C1359" s="44" t="s">
        <v>643</v>
      </c>
      <c r="D1359" s="45">
        <v>2</v>
      </c>
      <c r="E1359" s="46">
        <v>200000</v>
      </c>
      <c r="F1359" s="47">
        <f>+$I$4+(CLIENT[[#This Row],[QUANTITE]]*CLIENT[[#This Row],[PRIX UNITAIRE]])</f>
        <v>400000</v>
      </c>
      <c r="G1359" s="48"/>
      <c r="H1359" s="49">
        <f>+SUM($F$9:F1359)-SUM($G$9:G1359)</f>
        <v>58542000</v>
      </c>
    </row>
    <row r="1360" spans="1:8" ht="28.8" x14ac:dyDescent="0.55000000000000004">
      <c r="A1360" s="43">
        <v>45715</v>
      </c>
      <c r="B1360" s="43" t="s">
        <v>2666</v>
      </c>
      <c r="C1360" s="44" t="s">
        <v>2667</v>
      </c>
      <c r="D1360" s="45">
        <v>1</v>
      </c>
      <c r="E1360" s="46">
        <v>180000</v>
      </c>
      <c r="F1360" s="47">
        <f>+$I$4+(CLIENT[[#This Row],[QUANTITE]]*CLIENT[[#This Row],[PRIX UNITAIRE]])</f>
        <v>180000</v>
      </c>
      <c r="G1360" s="48"/>
      <c r="H1360" s="49">
        <f>+SUM($F$9:F1360)-SUM($G$9:G1360)</f>
        <v>58722000</v>
      </c>
    </row>
    <row r="1361" spans="1:8" ht="28.8" x14ac:dyDescent="0.55000000000000004">
      <c r="A1361" s="43">
        <v>45723</v>
      </c>
      <c r="B1361" s="43" t="s">
        <v>2668</v>
      </c>
      <c r="C1361" s="44" t="s">
        <v>2669</v>
      </c>
      <c r="D1361" s="45">
        <v>1</v>
      </c>
      <c r="E1361" s="46">
        <v>180000</v>
      </c>
      <c r="F1361" s="47">
        <f>+$I$4+(CLIENT[[#This Row],[QUANTITE]]*CLIENT[[#This Row],[PRIX UNITAIRE]])</f>
        <v>180000</v>
      </c>
      <c r="G1361" s="48"/>
      <c r="H1361" s="49">
        <f>+SUM($F$9:F1361)-SUM($G$9:G1361)</f>
        <v>58902000</v>
      </c>
    </row>
    <row r="1362" spans="1:8" ht="28.8" x14ac:dyDescent="0.55000000000000004">
      <c r="A1362" s="43">
        <v>45724</v>
      </c>
      <c r="B1362" s="43" t="s">
        <v>2670</v>
      </c>
      <c r="C1362" s="44" t="s">
        <v>2671</v>
      </c>
      <c r="D1362" s="45">
        <v>1</v>
      </c>
      <c r="E1362" s="46">
        <v>150000</v>
      </c>
      <c r="F1362" s="47">
        <f>+$I$4+(CLIENT[[#This Row],[QUANTITE]]*CLIENT[[#This Row],[PRIX UNITAIRE]])</f>
        <v>150000</v>
      </c>
      <c r="G1362" s="48"/>
      <c r="H1362" s="49">
        <f>+SUM($F$9:F1362)-SUM($G$9:G1362)</f>
        <v>59052000</v>
      </c>
    </row>
    <row r="1363" spans="1:8" ht="28.8" x14ac:dyDescent="0.55000000000000004">
      <c r="A1363" s="43">
        <v>45731</v>
      </c>
      <c r="B1363" s="43" t="s">
        <v>1151</v>
      </c>
      <c r="C1363" s="44" t="s">
        <v>2672</v>
      </c>
      <c r="D1363" s="45">
        <v>2</v>
      </c>
      <c r="E1363" s="46">
        <v>147500</v>
      </c>
      <c r="F1363" s="47">
        <f>+$I$4+(CLIENT[[#This Row],[QUANTITE]]*CLIENT[[#This Row],[PRIX UNITAIRE]])</f>
        <v>295000</v>
      </c>
      <c r="G1363" s="48"/>
      <c r="H1363" s="49">
        <f>+SUM($F$9:F1363)-SUM($G$9:G1363)</f>
        <v>59347000</v>
      </c>
    </row>
    <row r="1364" spans="1:8" ht="28.8" x14ac:dyDescent="0.55000000000000004">
      <c r="A1364" s="43">
        <v>45731</v>
      </c>
      <c r="B1364" s="43" t="s">
        <v>1151</v>
      </c>
      <c r="C1364" s="44" t="s">
        <v>2673</v>
      </c>
      <c r="D1364" s="45">
        <v>1</v>
      </c>
      <c r="E1364" s="46">
        <v>180000</v>
      </c>
      <c r="F1364" s="47">
        <f>+$I$4+(CLIENT[[#This Row],[QUANTITE]]*CLIENT[[#This Row],[PRIX UNITAIRE]])</f>
        <v>180000</v>
      </c>
      <c r="G1364" s="48"/>
      <c r="H1364" s="49">
        <f>+SUM($F$9:F1364)-SUM($G$9:G1364)</f>
        <v>59527000</v>
      </c>
    </row>
    <row r="1365" spans="1:8" ht="28.8" x14ac:dyDescent="0.55000000000000004">
      <c r="A1365" s="43">
        <v>45733</v>
      </c>
      <c r="B1365" s="43" t="s">
        <v>2674</v>
      </c>
      <c r="C1365" s="44" t="s">
        <v>2675</v>
      </c>
      <c r="D1365" s="45">
        <v>1</v>
      </c>
      <c r="E1365" s="46">
        <v>180000</v>
      </c>
      <c r="F1365" s="47">
        <f>+$I$4+(CLIENT[[#This Row],[QUANTITE]]*CLIENT[[#This Row],[PRIX UNITAIRE]])</f>
        <v>180000</v>
      </c>
      <c r="G1365" s="48"/>
      <c r="H1365" s="49">
        <f>+SUM($F$9:F1365)-SUM($G$9:G1365)</f>
        <v>59707000</v>
      </c>
    </row>
    <row r="1366" spans="1:8" ht="28.8" x14ac:dyDescent="0.55000000000000004">
      <c r="A1366" s="43">
        <v>45741</v>
      </c>
      <c r="B1366" s="43" t="s">
        <v>2676</v>
      </c>
      <c r="C1366" s="44"/>
      <c r="D1366" s="45"/>
      <c r="E1366" s="46">
        <v>0</v>
      </c>
      <c r="F1366" s="47">
        <f>+$I$4+(CLIENT[[#This Row],[QUANTITE]]*CLIENT[[#This Row],[PRIX UNITAIRE]])</f>
        <v>0</v>
      </c>
      <c r="G1366" s="48">
        <v>10000000</v>
      </c>
      <c r="H1366" s="49">
        <f>+SUM($F$9:F1366)-SUM($G$9:G1366)</f>
        <v>49707000</v>
      </c>
    </row>
    <row r="1367" spans="1:8" ht="28.8" x14ac:dyDescent="0.55000000000000004">
      <c r="A1367" s="43">
        <v>45741</v>
      </c>
      <c r="B1367" s="43" t="s">
        <v>1143</v>
      </c>
      <c r="C1367" s="44" t="s">
        <v>1150</v>
      </c>
      <c r="D1367" s="45">
        <v>2</v>
      </c>
      <c r="E1367" s="46">
        <v>200000</v>
      </c>
      <c r="F1367" s="47">
        <f>+$I$4+(CLIENT[[#This Row],[QUANTITE]]*CLIENT[[#This Row],[PRIX UNITAIRE]])</f>
        <v>400000</v>
      </c>
      <c r="G1367" s="48"/>
      <c r="H1367" s="49">
        <f>+SUM($F$9:F1367)-SUM($G$9:G1367)</f>
        <v>50107000</v>
      </c>
    </row>
    <row r="1368" spans="1:8" ht="28.8" x14ac:dyDescent="0.55000000000000004">
      <c r="A1368" s="43">
        <v>45741</v>
      </c>
      <c r="B1368" s="43" t="s">
        <v>1154</v>
      </c>
      <c r="C1368" s="44" t="s">
        <v>218</v>
      </c>
      <c r="D1368" s="45">
        <v>5</v>
      </c>
      <c r="E1368" s="46">
        <v>30000</v>
      </c>
      <c r="F1368" s="47">
        <f>+$I$4+(CLIENT[[#This Row],[QUANTITE]]*CLIENT[[#This Row],[PRIX UNITAIRE]])</f>
        <v>150000</v>
      </c>
      <c r="G1368" s="48"/>
      <c r="H1368" s="49">
        <f>+SUM($F$9:F1368)-SUM($G$9:G1368)</f>
        <v>50257000</v>
      </c>
    </row>
    <row r="1369" spans="1:8" ht="28.8" x14ac:dyDescent="0.55000000000000004">
      <c r="A1369" s="43">
        <v>45750</v>
      </c>
      <c r="B1369" s="43" t="s">
        <v>1155</v>
      </c>
      <c r="C1369" s="44" t="s">
        <v>1156</v>
      </c>
      <c r="D1369" s="45">
        <v>1</v>
      </c>
      <c r="E1369" s="46">
        <v>295000</v>
      </c>
      <c r="F1369" s="47">
        <f>+$I$4+(CLIENT[[#This Row],[QUANTITE]]*CLIENT[[#This Row],[PRIX UNITAIRE]])</f>
        <v>295000</v>
      </c>
      <c r="G1369" s="48"/>
      <c r="H1369" s="49">
        <f>+SUM($F$9:F1369)-SUM($G$9:G1369)</f>
        <v>50552000</v>
      </c>
    </row>
    <row r="1370" spans="1:8" ht="28.8" x14ac:dyDescent="0.55000000000000004">
      <c r="A1370" s="43">
        <v>45750</v>
      </c>
      <c r="B1370" s="43" t="s">
        <v>1138</v>
      </c>
      <c r="C1370" s="44" t="s">
        <v>1157</v>
      </c>
      <c r="D1370" s="45">
        <v>1</v>
      </c>
      <c r="E1370" s="46">
        <v>180000</v>
      </c>
      <c r="F1370" s="47">
        <f>+$I$4+(CLIENT[[#This Row],[QUANTITE]]*CLIENT[[#This Row],[PRIX UNITAIRE]])</f>
        <v>180000</v>
      </c>
      <c r="G1370" s="48"/>
      <c r="H1370" s="49">
        <f>+SUM($F$9:F1370)-SUM($G$9:G1370)</f>
        <v>50732000</v>
      </c>
    </row>
    <row r="1371" spans="1:8" ht="28.8" x14ac:dyDescent="0.55000000000000004">
      <c r="A1371" s="43">
        <v>45751</v>
      </c>
      <c r="B1371" s="43" t="s">
        <v>1133</v>
      </c>
      <c r="C1371" s="44" t="s">
        <v>1158</v>
      </c>
      <c r="D1371" s="45">
        <v>2</v>
      </c>
      <c r="E1371" s="46">
        <v>180000</v>
      </c>
      <c r="F1371" s="47">
        <f>+$I$4+(CLIENT[[#This Row],[QUANTITE]]*CLIENT[[#This Row],[PRIX UNITAIRE]])</f>
        <v>360000</v>
      </c>
      <c r="G1371" s="48"/>
      <c r="H1371" s="49">
        <f>+SUM($F$9:F1371)-SUM($G$9:G1371)</f>
        <v>51092000</v>
      </c>
    </row>
    <row r="1372" spans="1:8" ht="28.8" x14ac:dyDescent="0.55000000000000004">
      <c r="A1372" s="43">
        <v>45754</v>
      </c>
      <c r="B1372" s="43" t="s">
        <v>1148</v>
      </c>
      <c r="C1372" s="44" t="s">
        <v>1159</v>
      </c>
      <c r="D1372" s="45">
        <v>1</v>
      </c>
      <c r="E1372" s="46">
        <v>150000</v>
      </c>
      <c r="F1372" s="47">
        <f>+$I$4+(CLIENT[[#This Row],[QUANTITE]]*CLIENT[[#This Row],[PRIX UNITAIRE]])</f>
        <v>150000</v>
      </c>
      <c r="G1372" s="48"/>
      <c r="H1372" s="49">
        <f>+SUM($F$9:F1372)-SUM($G$9:G1372)</f>
        <v>51242000</v>
      </c>
    </row>
    <row r="1373" spans="1:8" ht="28.8" x14ac:dyDescent="0.55000000000000004">
      <c r="A1373" s="43">
        <v>45754</v>
      </c>
      <c r="B1373" s="43" t="s">
        <v>1147</v>
      </c>
      <c r="C1373" s="44" t="s">
        <v>1160</v>
      </c>
      <c r="D1373" s="45">
        <v>1</v>
      </c>
      <c r="E1373" s="46">
        <v>180000</v>
      </c>
      <c r="F1373" s="47">
        <f>+$I$4+(CLIENT[[#This Row],[QUANTITE]]*CLIENT[[#This Row],[PRIX UNITAIRE]])</f>
        <v>180000</v>
      </c>
      <c r="G1373" s="48"/>
      <c r="H1373" s="49">
        <f>+SUM($F$9:F1373)-SUM($G$9:G1373)</f>
        <v>51422000</v>
      </c>
    </row>
    <row r="1374" spans="1:8" ht="28.8" x14ac:dyDescent="0.55000000000000004">
      <c r="A1374" s="43">
        <v>45757</v>
      </c>
      <c r="B1374" s="43" t="s">
        <v>1161</v>
      </c>
      <c r="C1374" s="44" t="s">
        <v>1162</v>
      </c>
      <c r="D1374" s="45">
        <v>1</v>
      </c>
      <c r="E1374" s="46">
        <v>180000</v>
      </c>
      <c r="F1374" s="47">
        <f>+$I$4+(CLIENT[[#This Row],[QUANTITE]]*CLIENT[[#This Row],[PRIX UNITAIRE]])</f>
        <v>180000</v>
      </c>
      <c r="G1374" s="48"/>
      <c r="H1374" s="49">
        <f>+SUM($F$9:F1374)-SUM($G$9:G1374)</f>
        <v>51602000</v>
      </c>
    </row>
    <row r="1375" spans="1:8" ht="28.8" x14ac:dyDescent="0.55000000000000004">
      <c r="A1375" s="43">
        <v>45761</v>
      </c>
      <c r="B1375" s="43" t="s">
        <v>1163</v>
      </c>
      <c r="C1375" s="44" t="s">
        <v>1164</v>
      </c>
      <c r="D1375" s="45">
        <v>1</v>
      </c>
      <c r="E1375" s="46">
        <v>185000</v>
      </c>
      <c r="F1375" s="47">
        <f>+$I$4+(CLIENT[[#This Row],[QUANTITE]]*CLIENT[[#This Row],[PRIX UNITAIRE]])</f>
        <v>185000</v>
      </c>
      <c r="G1375" s="48"/>
      <c r="H1375" s="49">
        <f>+SUM($F$9:F1375)-SUM($G$9:G1375)</f>
        <v>51787000</v>
      </c>
    </row>
    <row r="1376" spans="1:8" ht="28.8" x14ac:dyDescent="0.55000000000000004">
      <c r="A1376" s="43">
        <v>45761</v>
      </c>
      <c r="B1376" s="43" t="s">
        <v>1165</v>
      </c>
      <c r="C1376" s="44" t="s">
        <v>1166</v>
      </c>
      <c r="D1376" s="45">
        <v>1</v>
      </c>
      <c r="E1376" s="46">
        <v>180000</v>
      </c>
      <c r="F1376" s="47">
        <f>+$I$4+(CLIENT[[#This Row],[QUANTITE]]*CLIENT[[#This Row],[PRIX UNITAIRE]])</f>
        <v>180000</v>
      </c>
      <c r="G1376" s="48"/>
      <c r="H1376" s="49">
        <f>+SUM($F$9:F1376)-SUM($G$9:G1376)</f>
        <v>51967000</v>
      </c>
    </row>
    <row r="1377" spans="1:8" ht="28.8" x14ac:dyDescent="0.55000000000000004">
      <c r="A1377" s="43">
        <v>45762</v>
      </c>
      <c r="B1377" s="43" t="s">
        <v>1167</v>
      </c>
      <c r="C1377" s="44" t="s">
        <v>1168</v>
      </c>
      <c r="D1377" s="45">
        <v>1</v>
      </c>
      <c r="E1377" s="46">
        <v>150000</v>
      </c>
      <c r="F1377" s="47">
        <f>+$I$4+(CLIENT[[#This Row],[QUANTITE]]*CLIENT[[#This Row],[PRIX UNITAIRE]])</f>
        <v>150000</v>
      </c>
      <c r="G1377" s="48"/>
      <c r="H1377" s="49">
        <f>+SUM($F$9:F1377)-SUM($G$9:G1377)</f>
        <v>52117000</v>
      </c>
    </row>
    <row r="1378" spans="1:8" ht="28.8" x14ac:dyDescent="0.55000000000000004">
      <c r="A1378" s="43">
        <v>45763</v>
      </c>
      <c r="B1378" s="43"/>
      <c r="C1378" s="44" t="s">
        <v>1169</v>
      </c>
      <c r="D1378" s="45">
        <v>12</v>
      </c>
      <c r="E1378" s="46">
        <v>150000</v>
      </c>
      <c r="F1378" s="47">
        <f>+$I$4+(CLIENT[[#This Row],[QUANTITE]]*CLIENT[[#This Row],[PRIX UNITAIRE]])</f>
        <v>1800000</v>
      </c>
      <c r="G1378" s="48"/>
      <c r="H1378" s="49">
        <f>+SUM($F$9:F1378)-SUM($G$9:G1378)</f>
        <v>53917000</v>
      </c>
    </row>
    <row r="1379" spans="1:8" ht="28.8" x14ac:dyDescent="0.55000000000000004">
      <c r="A1379" s="43">
        <v>45766</v>
      </c>
      <c r="B1379" s="43" t="s">
        <v>1170</v>
      </c>
      <c r="C1379" s="44" t="s">
        <v>1171</v>
      </c>
      <c r="D1379" s="45">
        <v>1</v>
      </c>
      <c r="E1379" s="46">
        <v>180000</v>
      </c>
      <c r="F1379" s="47">
        <f>+$I$4+(CLIENT[[#This Row],[QUANTITE]]*CLIENT[[#This Row],[PRIX UNITAIRE]])</f>
        <v>180000</v>
      </c>
      <c r="G1379" s="48"/>
      <c r="H1379" s="49">
        <f>+SUM($F$9:F1379)-SUM($G$9:G1379)</f>
        <v>54097000</v>
      </c>
    </row>
    <row r="1380" spans="1:8" ht="28.8" x14ac:dyDescent="0.55000000000000004">
      <c r="A1380" s="43">
        <v>45766</v>
      </c>
      <c r="B1380" s="43"/>
      <c r="C1380" s="44" t="s">
        <v>1169</v>
      </c>
      <c r="D1380" s="45">
        <v>8</v>
      </c>
      <c r="E1380" s="46">
        <v>150000</v>
      </c>
      <c r="F1380" s="47">
        <f>+$I$4+(CLIENT[[#This Row],[QUANTITE]]*CLIENT[[#This Row],[PRIX UNITAIRE]])</f>
        <v>1200000</v>
      </c>
      <c r="G1380" s="48"/>
      <c r="H1380" s="49">
        <f>+SUM($F$9:F1380)-SUM($G$9:G1380)</f>
        <v>55297000</v>
      </c>
    </row>
    <row r="1381" spans="1:8" ht="28.8" x14ac:dyDescent="0.55000000000000004">
      <c r="A1381" s="43">
        <v>45766</v>
      </c>
      <c r="B1381" s="43"/>
      <c r="C1381" s="44" t="s">
        <v>1172</v>
      </c>
      <c r="D1381" s="45">
        <v>10</v>
      </c>
      <c r="E1381" s="46">
        <v>185000</v>
      </c>
      <c r="F1381" s="47">
        <f>+$I$4+(CLIENT[[#This Row],[QUANTITE]]*CLIENT[[#This Row],[PRIX UNITAIRE]])</f>
        <v>1850000</v>
      </c>
      <c r="G1381" s="48"/>
      <c r="H1381" s="49">
        <f>+SUM($F$9:F1381)-SUM($G$9:G1381)</f>
        <v>57147000</v>
      </c>
    </row>
    <row r="1382" spans="1:8" ht="28.8" x14ac:dyDescent="0.55000000000000004">
      <c r="A1382" s="43">
        <v>45766</v>
      </c>
      <c r="B1382" s="43" t="s">
        <v>1170</v>
      </c>
      <c r="C1382" s="44" t="s">
        <v>1136</v>
      </c>
      <c r="D1382" s="45">
        <v>1</v>
      </c>
      <c r="E1382" s="46">
        <v>45000</v>
      </c>
      <c r="F1382" s="47">
        <f>+$I$4+(CLIENT[[#This Row],[QUANTITE]]*CLIENT[[#This Row],[PRIX UNITAIRE]])</f>
        <v>45000</v>
      </c>
      <c r="G1382" s="48"/>
      <c r="H1382" s="49">
        <f>+SUM($F$9:F1382)-SUM($G$9:G1382)</f>
        <v>57192000</v>
      </c>
    </row>
    <row r="1383" spans="1:8" ht="28.8" x14ac:dyDescent="0.55000000000000004">
      <c r="A1383" s="43">
        <v>45766</v>
      </c>
      <c r="B1383" s="43"/>
      <c r="C1383" s="44" t="s">
        <v>237</v>
      </c>
      <c r="D1383" s="45">
        <v>2</v>
      </c>
      <c r="E1383" s="46">
        <v>45000</v>
      </c>
      <c r="F1383" s="47">
        <f>+$I$4+(CLIENT[[#This Row],[QUANTITE]]*CLIENT[[#This Row],[PRIX UNITAIRE]])</f>
        <v>90000</v>
      </c>
      <c r="G1383" s="48"/>
      <c r="H1383" s="49">
        <f>+SUM($F$9:F1383)-SUM($G$9:G1383)</f>
        <v>57282000</v>
      </c>
    </row>
    <row r="1384" spans="1:8" ht="28.8" x14ac:dyDescent="0.55000000000000004">
      <c r="A1384" s="43">
        <v>45766</v>
      </c>
      <c r="B1384" s="43"/>
      <c r="C1384" s="44" t="s">
        <v>1173</v>
      </c>
      <c r="D1384" s="45">
        <v>2</v>
      </c>
      <c r="E1384" s="46">
        <v>250000</v>
      </c>
      <c r="F1384" s="47">
        <f>+$I$4+(CLIENT[[#This Row],[QUANTITE]]*CLIENT[[#This Row],[PRIX UNITAIRE]])</f>
        <v>500000</v>
      </c>
      <c r="G1384" s="48"/>
      <c r="H1384" s="49">
        <f>+SUM($F$9:F1384)-SUM($G$9:G1384)</f>
        <v>57782000</v>
      </c>
    </row>
    <row r="1385" spans="1:8" ht="28.8" x14ac:dyDescent="0.55000000000000004">
      <c r="A1385" s="43">
        <v>45766</v>
      </c>
      <c r="B1385" s="43"/>
      <c r="C1385" s="44" t="s">
        <v>1174</v>
      </c>
      <c r="D1385" s="45">
        <v>2</v>
      </c>
      <c r="E1385" s="46">
        <v>250000</v>
      </c>
      <c r="F1385" s="47">
        <f>+$I$4+(CLIENT[[#This Row],[QUANTITE]]*CLIENT[[#This Row],[PRIX UNITAIRE]])</f>
        <v>500000</v>
      </c>
      <c r="G1385" s="48"/>
      <c r="H1385" s="49">
        <f>+SUM($F$9:F1385)-SUM($G$9:G1385)</f>
        <v>58282000</v>
      </c>
    </row>
    <row r="1386" spans="1:8" ht="28.8" x14ac:dyDescent="0.55000000000000004">
      <c r="A1386" s="43">
        <v>45766</v>
      </c>
      <c r="B1386" s="43"/>
      <c r="C1386" s="44" t="s">
        <v>237</v>
      </c>
      <c r="D1386" s="45">
        <v>15</v>
      </c>
      <c r="E1386" s="46">
        <v>45000</v>
      </c>
      <c r="F1386" s="47">
        <f>+$I$4+(CLIENT[[#This Row],[QUANTITE]]*CLIENT[[#This Row],[PRIX UNITAIRE]])</f>
        <v>675000</v>
      </c>
      <c r="G1386" s="48"/>
      <c r="H1386" s="49">
        <f>+SUM($F$9:F1386)-SUM($G$9:G1386)</f>
        <v>58957000</v>
      </c>
    </row>
    <row r="1387" spans="1:8" ht="28.8" x14ac:dyDescent="0.55000000000000004">
      <c r="A1387" s="43">
        <v>45773</v>
      </c>
      <c r="B1387" s="43"/>
      <c r="C1387" s="44" t="s">
        <v>1153</v>
      </c>
      <c r="D1387" s="45">
        <v>1</v>
      </c>
      <c r="E1387" s="46">
        <v>0</v>
      </c>
      <c r="F1387" s="47">
        <f>+$I$4+(CLIENT[[#This Row],[QUANTITE]]*CLIENT[[#This Row],[PRIX UNITAIRE]])</f>
        <v>0</v>
      </c>
      <c r="G1387" s="48">
        <v>5000000</v>
      </c>
      <c r="H1387" s="49">
        <f>+SUM($F$9:F1387)-SUM($G$9:G1387)</f>
        <v>53957000</v>
      </c>
    </row>
    <row r="1388" spans="1:8" ht="28.8" x14ac:dyDescent="0.55000000000000004">
      <c r="A1388" s="43">
        <v>45773</v>
      </c>
      <c r="B1388" s="43" t="s">
        <v>1142</v>
      </c>
      <c r="C1388" s="44" t="s">
        <v>1175</v>
      </c>
      <c r="D1388" s="45">
        <v>3</v>
      </c>
      <c r="E1388" s="46">
        <v>180000</v>
      </c>
      <c r="F1388" s="47">
        <f>+$I$4+(CLIENT[[#This Row],[QUANTITE]]*CLIENT[[#This Row],[PRIX UNITAIRE]])</f>
        <v>540000</v>
      </c>
      <c r="G1388" s="48"/>
      <c r="H1388" s="49">
        <f>+SUM($F$9:F1388)-SUM($G$9:G1388)</f>
        <v>54497000</v>
      </c>
    </row>
    <row r="1389" spans="1:8" ht="28.8" x14ac:dyDescent="0.55000000000000004">
      <c r="A1389" s="43">
        <v>45775</v>
      </c>
      <c r="B1389" s="43" t="s">
        <v>1176</v>
      </c>
      <c r="C1389" s="44" t="s">
        <v>1177</v>
      </c>
      <c r="D1389" s="45">
        <v>1</v>
      </c>
      <c r="E1389" s="46">
        <v>180000</v>
      </c>
      <c r="F1389" s="47">
        <f>+$I$4+(CLIENT[[#This Row],[QUANTITE]]*CLIENT[[#This Row],[PRIX UNITAIRE]])</f>
        <v>180000</v>
      </c>
      <c r="G1389" s="48"/>
      <c r="H1389" s="49">
        <f>+SUM($F$9:F1389)-SUM($G$9:G1389)</f>
        <v>54677000</v>
      </c>
    </row>
    <row r="1390" spans="1:8" ht="28.8" x14ac:dyDescent="0.55000000000000004">
      <c r="A1390" s="43">
        <v>45779</v>
      </c>
      <c r="B1390" s="43" t="s">
        <v>1179</v>
      </c>
      <c r="C1390" s="44" t="s">
        <v>2677</v>
      </c>
      <c r="D1390" s="45">
        <v>2</v>
      </c>
      <c r="E1390" s="46">
        <v>180000</v>
      </c>
      <c r="F1390" s="47">
        <f>+$I$4+(CLIENT[[#This Row],[QUANTITE]]*CLIENT[[#This Row],[PRIX UNITAIRE]])</f>
        <v>360000</v>
      </c>
      <c r="G1390" s="48"/>
      <c r="H1390" s="49">
        <f>+SUM($F$9:F1390)-SUM($G$9:G1390)</f>
        <v>55037000</v>
      </c>
    </row>
    <row r="1391" spans="1:8" ht="28.8" x14ac:dyDescent="0.55000000000000004">
      <c r="A1391" s="43">
        <v>45782</v>
      </c>
      <c r="B1391" s="43" t="s">
        <v>1180</v>
      </c>
      <c r="C1391" s="44" t="s">
        <v>440</v>
      </c>
      <c r="D1391" s="45">
        <v>1</v>
      </c>
      <c r="E1391" s="46">
        <v>180000</v>
      </c>
      <c r="F1391" s="47">
        <f>+$I$4+(CLIENT[[#This Row],[QUANTITE]]*CLIENT[[#This Row],[PRIX UNITAIRE]])</f>
        <v>180000</v>
      </c>
      <c r="G1391" s="48"/>
      <c r="H1391" s="49">
        <f>+SUM($F$9:F1391)-SUM($G$9:G1391)</f>
        <v>55217000</v>
      </c>
    </row>
    <row r="1392" spans="1:8" ht="28.8" x14ac:dyDescent="0.55000000000000004">
      <c r="A1392" s="43">
        <v>45783</v>
      </c>
      <c r="B1392" s="43" t="s">
        <v>1181</v>
      </c>
      <c r="C1392" s="44" t="s">
        <v>1037</v>
      </c>
      <c r="D1392" s="45">
        <v>2</v>
      </c>
      <c r="E1392" s="46">
        <v>200000</v>
      </c>
      <c r="F1392" s="47">
        <f>+$I$4+(CLIENT[[#This Row],[QUANTITE]]*CLIENT[[#This Row],[PRIX UNITAIRE]])</f>
        <v>400000</v>
      </c>
      <c r="G1392" s="48"/>
      <c r="H1392" s="49">
        <f>+SUM($F$9:F1392)-SUM($G$9:G1392)</f>
        <v>55617000</v>
      </c>
    </row>
    <row r="1393" spans="1:8" ht="28.8" x14ac:dyDescent="0.55000000000000004">
      <c r="A1393" s="43">
        <v>45784</v>
      </c>
      <c r="B1393" s="43" t="s">
        <v>1178</v>
      </c>
      <c r="C1393" s="44" t="s">
        <v>2678</v>
      </c>
      <c r="D1393" s="45">
        <v>1</v>
      </c>
      <c r="E1393" s="46">
        <v>180000</v>
      </c>
      <c r="F1393" s="47">
        <f>+$I$4+(CLIENT[[#This Row],[QUANTITE]]*CLIENT[[#This Row],[PRIX UNITAIRE]])</f>
        <v>180000</v>
      </c>
      <c r="G1393" s="48"/>
      <c r="H1393" s="49">
        <f>+SUM($F$9:F1393)-SUM($G$9:G1393)</f>
        <v>55797000</v>
      </c>
    </row>
    <row r="1394" spans="1:8" ht="28.8" x14ac:dyDescent="0.55000000000000004">
      <c r="A1394" s="43">
        <v>45784</v>
      </c>
      <c r="B1394" s="43" t="s">
        <v>1178</v>
      </c>
      <c r="C1394" s="44" t="s">
        <v>2679</v>
      </c>
      <c r="D1394" s="45">
        <v>1</v>
      </c>
      <c r="E1394" s="46">
        <v>150000</v>
      </c>
      <c r="F1394" s="47">
        <f>+$I$4+(CLIENT[[#This Row],[QUANTITE]]*CLIENT[[#This Row],[PRIX UNITAIRE]])</f>
        <v>150000</v>
      </c>
      <c r="G1394" s="48"/>
      <c r="H1394" s="49">
        <f>+SUM($F$9:F1394)-SUM($G$9:G1394)</f>
        <v>55947000</v>
      </c>
    </row>
    <row r="1395" spans="1:8" ht="28.8" x14ac:dyDescent="0.55000000000000004">
      <c r="A1395" s="43">
        <v>45787</v>
      </c>
      <c r="B1395" s="43" t="s">
        <v>1182</v>
      </c>
      <c r="C1395" s="44" t="s">
        <v>2680</v>
      </c>
      <c r="D1395" s="45">
        <v>1</v>
      </c>
      <c r="E1395" s="46">
        <v>150000</v>
      </c>
      <c r="F1395" s="47">
        <f>+$I$4+(CLIENT[[#This Row],[QUANTITE]]*CLIENT[[#This Row],[PRIX UNITAIRE]])</f>
        <v>150000</v>
      </c>
      <c r="G1395" s="48"/>
      <c r="H1395" s="49">
        <f>+SUM($F$9:F1395)-SUM($G$9:G1395)</f>
        <v>56097000</v>
      </c>
    </row>
    <row r="1396" spans="1:8" ht="28.8" x14ac:dyDescent="0.55000000000000004">
      <c r="A1396" s="43">
        <v>45790</v>
      </c>
      <c r="B1396" s="43" t="s">
        <v>2681</v>
      </c>
      <c r="C1396" s="44" t="s">
        <v>2682</v>
      </c>
      <c r="D1396" s="45">
        <v>1</v>
      </c>
      <c r="E1396" s="46">
        <v>180000</v>
      </c>
      <c r="F1396" s="47">
        <f>+$I$4+(CLIENT[[#This Row],[QUANTITE]]*CLIENT[[#This Row],[PRIX UNITAIRE]])</f>
        <v>180000</v>
      </c>
      <c r="G1396" s="48"/>
      <c r="H1396" s="49">
        <f>+SUM($F$9:F1396)-SUM($G$9:G1396)</f>
        <v>56277000</v>
      </c>
    </row>
    <row r="1397" spans="1:8" ht="28.8" x14ac:dyDescent="0.55000000000000004">
      <c r="A1397" s="43">
        <v>45792</v>
      </c>
      <c r="B1397" s="43"/>
      <c r="C1397" s="44" t="s">
        <v>2683</v>
      </c>
      <c r="D1397" s="45">
        <v>4</v>
      </c>
      <c r="E1397" s="46">
        <v>45000</v>
      </c>
      <c r="F1397" s="47">
        <f>+$I$4+(CLIENT[[#This Row],[QUANTITE]]*CLIENT[[#This Row],[PRIX UNITAIRE]])</f>
        <v>180000</v>
      </c>
      <c r="G1397" s="48"/>
      <c r="H1397" s="49">
        <f>+SUM($F$9:F1397)-SUM($G$9:G1397)</f>
        <v>56457000</v>
      </c>
    </row>
    <row r="1398" spans="1:8" ht="28.8" x14ac:dyDescent="0.55000000000000004">
      <c r="A1398" s="43">
        <v>45793</v>
      </c>
      <c r="B1398" s="43" t="s">
        <v>2212</v>
      </c>
      <c r="C1398" s="44" t="s">
        <v>2684</v>
      </c>
      <c r="D1398" s="45">
        <v>1</v>
      </c>
      <c r="E1398" s="46">
        <v>180000</v>
      </c>
      <c r="F1398" s="47">
        <f>+$I$4+(CLIENT[[#This Row],[QUANTITE]]*CLIENT[[#This Row],[PRIX UNITAIRE]])</f>
        <v>180000</v>
      </c>
      <c r="G1398" s="48"/>
      <c r="H1398" s="49">
        <f>+SUM($F$9:F1398)-SUM($G$9:G1398)</f>
        <v>56637000</v>
      </c>
    </row>
    <row r="1399" spans="1:8" ht="28.8" x14ac:dyDescent="0.55000000000000004">
      <c r="A1399" s="43">
        <v>45793</v>
      </c>
      <c r="B1399" s="43" t="s">
        <v>1133</v>
      </c>
      <c r="C1399" s="44" t="s">
        <v>2685</v>
      </c>
      <c r="D1399" s="45">
        <v>1</v>
      </c>
      <c r="E1399" s="46">
        <v>180000</v>
      </c>
      <c r="F1399" s="47">
        <f>+$I$4+(CLIENT[[#This Row],[QUANTITE]]*CLIENT[[#This Row],[PRIX UNITAIRE]])</f>
        <v>180000</v>
      </c>
      <c r="G1399" s="48"/>
      <c r="H1399" s="49">
        <f>+SUM($F$9:F1399)-SUM($G$9:G1399)</f>
        <v>56817000</v>
      </c>
    </row>
    <row r="1400" spans="1:8" ht="28.8" x14ac:dyDescent="0.55000000000000004">
      <c r="A1400" s="43">
        <v>45793</v>
      </c>
      <c r="B1400" s="43" t="s">
        <v>1144</v>
      </c>
      <c r="C1400" s="44" t="s">
        <v>2686</v>
      </c>
      <c r="D1400" s="45">
        <v>1</v>
      </c>
      <c r="E1400" s="46">
        <v>150000</v>
      </c>
      <c r="F1400" s="47">
        <f>+$I$4+(CLIENT[[#This Row],[QUANTITE]]*CLIENT[[#This Row],[PRIX UNITAIRE]])</f>
        <v>150000</v>
      </c>
      <c r="G1400" s="48"/>
      <c r="H1400" s="49">
        <f>+SUM($F$9:F1400)-SUM($G$9:G1400)</f>
        <v>56967000</v>
      </c>
    </row>
    <row r="1401" spans="1:8" ht="28.8" x14ac:dyDescent="0.55000000000000004">
      <c r="A1401" s="43">
        <v>45793</v>
      </c>
      <c r="B1401" s="43" t="s">
        <v>2687</v>
      </c>
      <c r="C1401" s="44" t="s">
        <v>2688</v>
      </c>
      <c r="D1401" s="45">
        <v>1</v>
      </c>
      <c r="E1401" s="46">
        <v>180000</v>
      </c>
      <c r="F1401" s="47">
        <f>+$I$4+(CLIENT[[#This Row],[QUANTITE]]*CLIENT[[#This Row],[PRIX UNITAIRE]])</f>
        <v>180000</v>
      </c>
      <c r="G1401" s="48"/>
      <c r="H1401" s="49">
        <f>+SUM($F$9:F1401)-SUM($G$9:G1401)</f>
        <v>57147000</v>
      </c>
    </row>
    <row r="1402" spans="1:8" ht="28.8" x14ac:dyDescent="0.55000000000000004">
      <c r="A1402" s="43">
        <v>45794</v>
      </c>
      <c r="B1402" s="43" t="s">
        <v>2689</v>
      </c>
      <c r="C1402" s="44" t="s">
        <v>2690</v>
      </c>
      <c r="D1402" s="45">
        <v>1</v>
      </c>
      <c r="E1402" s="46">
        <v>180000</v>
      </c>
      <c r="F1402" s="47">
        <f>+$I$4+(CLIENT[[#This Row],[QUANTITE]]*CLIENT[[#This Row],[PRIX UNITAIRE]])</f>
        <v>180000</v>
      </c>
      <c r="G1402" s="48"/>
      <c r="H1402" s="49">
        <f>+SUM($F$9:F1402)-SUM($G$9:G1402)</f>
        <v>57327000</v>
      </c>
    </row>
    <row r="1403" spans="1:8" ht="28.8" x14ac:dyDescent="0.55000000000000004">
      <c r="A1403" s="43">
        <v>45794</v>
      </c>
      <c r="B1403" s="43"/>
      <c r="C1403" s="44" t="s">
        <v>2691</v>
      </c>
      <c r="D1403" s="45">
        <v>1</v>
      </c>
      <c r="E1403" s="46">
        <v>45000</v>
      </c>
      <c r="F1403" s="47">
        <f>+$I$4+(CLIENT[[#This Row],[QUANTITE]]*CLIENT[[#This Row],[PRIX UNITAIRE]])</f>
        <v>45000</v>
      </c>
      <c r="G1403" s="48"/>
      <c r="H1403" s="49">
        <f>+SUM($F$9:F1403)-SUM($G$9:G1403)</f>
        <v>57372000</v>
      </c>
    </row>
    <row r="1404" spans="1:8" ht="28.8" x14ac:dyDescent="0.55000000000000004">
      <c r="A1404" s="43">
        <v>45794</v>
      </c>
      <c r="B1404" s="43" t="s">
        <v>2656</v>
      </c>
      <c r="C1404" s="44" t="s">
        <v>2692</v>
      </c>
      <c r="D1404" s="45">
        <v>2</v>
      </c>
      <c r="E1404" s="46">
        <v>180000</v>
      </c>
      <c r="F1404" s="47">
        <f>+$I$4+(CLIENT[[#This Row],[QUANTITE]]*CLIENT[[#This Row],[PRIX UNITAIRE]])</f>
        <v>360000</v>
      </c>
      <c r="G1404" s="48"/>
      <c r="H1404" s="49">
        <f>+SUM($F$9:F1404)-SUM($G$9:G1404)</f>
        <v>57732000</v>
      </c>
    </row>
    <row r="1405" spans="1:8" ht="28.8" x14ac:dyDescent="0.55000000000000004">
      <c r="A1405" s="43">
        <v>45794</v>
      </c>
      <c r="B1405" s="43" t="s">
        <v>1181</v>
      </c>
      <c r="C1405" s="44" t="s">
        <v>1239</v>
      </c>
      <c r="D1405" s="45">
        <v>2</v>
      </c>
      <c r="E1405" s="46">
        <v>45000</v>
      </c>
      <c r="F1405" s="47">
        <f>+$I$4+(CLIENT[[#This Row],[QUANTITE]]*CLIENT[[#This Row],[PRIX UNITAIRE]])</f>
        <v>90000</v>
      </c>
      <c r="G1405" s="48"/>
      <c r="H1405" s="49">
        <f>+SUM($F$9:F1405)-SUM($G$9:G1405)</f>
        <v>57822000</v>
      </c>
    </row>
    <row r="1406" spans="1:8" ht="28.8" x14ac:dyDescent="0.55000000000000004">
      <c r="A1406" s="43">
        <v>45794</v>
      </c>
      <c r="B1406" s="43" t="s">
        <v>2693</v>
      </c>
      <c r="C1406" s="44" t="s">
        <v>2694</v>
      </c>
      <c r="D1406" s="45">
        <v>1</v>
      </c>
      <c r="E1406" s="46">
        <v>180000</v>
      </c>
      <c r="F1406" s="47">
        <f>+$I$4+(CLIENT[[#This Row],[QUANTITE]]*CLIENT[[#This Row],[PRIX UNITAIRE]])</f>
        <v>180000</v>
      </c>
      <c r="G1406" s="48"/>
      <c r="H1406" s="49">
        <f>+SUM($F$9:F1406)-SUM($G$9:G1406)</f>
        <v>58002000</v>
      </c>
    </row>
    <row r="1407" spans="1:8" ht="28.8" x14ac:dyDescent="0.55000000000000004">
      <c r="A1407" s="43">
        <v>45798</v>
      </c>
      <c r="B1407" s="43" t="s">
        <v>1183</v>
      </c>
      <c r="C1407" s="44" t="s">
        <v>2695</v>
      </c>
      <c r="D1407" s="45">
        <v>1</v>
      </c>
      <c r="E1407" s="46">
        <v>265000</v>
      </c>
      <c r="F1407" s="47">
        <f>+$I$4+(CLIENT[[#This Row],[QUANTITE]]*CLIENT[[#This Row],[PRIX UNITAIRE]])</f>
        <v>265000</v>
      </c>
      <c r="G1407" s="48"/>
      <c r="H1407" s="49">
        <f>+SUM($F$9:F1407)-SUM($G$9:G1407)</f>
        <v>58267000</v>
      </c>
    </row>
    <row r="1408" spans="1:8" ht="28.8" x14ac:dyDescent="0.55000000000000004">
      <c r="A1408" s="43">
        <v>45800</v>
      </c>
      <c r="B1408" s="43" t="s">
        <v>1457</v>
      </c>
      <c r="C1408" s="44" t="s">
        <v>2696</v>
      </c>
      <c r="D1408" s="45">
        <v>1</v>
      </c>
      <c r="E1408" s="46">
        <v>200000</v>
      </c>
      <c r="F1408" s="47">
        <f>+$I$4+(CLIENT[[#This Row],[QUANTITE]]*CLIENT[[#This Row],[PRIX UNITAIRE]])</f>
        <v>200000</v>
      </c>
      <c r="G1408" s="48"/>
      <c r="H1408" s="49">
        <f>+SUM($F$9:F1408)-SUM($G$9:G1408)</f>
        <v>58467000</v>
      </c>
    </row>
    <row r="1409" spans="1:8" ht="28.8" x14ac:dyDescent="0.55000000000000004">
      <c r="A1409" s="43">
        <v>45801</v>
      </c>
      <c r="B1409" s="43" t="s">
        <v>1371</v>
      </c>
      <c r="C1409" s="44" t="s">
        <v>1037</v>
      </c>
      <c r="D1409" s="45">
        <v>2</v>
      </c>
      <c r="E1409" s="46">
        <v>200000</v>
      </c>
      <c r="F1409" s="47">
        <f>+$I$4+(CLIENT[[#This Row],[QUANTITE]]*CLIENT[[#This Row],[PRIX UNITAIRE]])</f>
        <v>400000</v>
      </c>
      <c r="G1409" s="48"/>
      <c r="H1409" s="49">
        <f>+SUM($F$9:F1409)-SUM($G$9:G1409)</f>
        <v>58867000</v>
      </c>
    </row>
    <row r="1410" spans="1:8" ht="28.8" x14ac:dyDescent="0.55000000000000004">
      <c r="A1410" s="43">
        <v>45804</v>
      </c>
      <c r="B1410" s="43" t="s">
        <v>2697</v>
      </c>
      <c r="C1410" s="44" t="s">
        <v>2698</v>
      </c>
      <c r="D1410" s="45">
        <v>1</v>
      </c>
      <c r="E1410" s="46">
        <v>180000</v>
      </c>
      <c r="F1410" s="47">
        <f>+$I$4+(CLIENT[[#This Row],[QUANTITE]]*CLIENT[[#This Row],[PRIX UNITAIRE]])</f>
        <v>180000</v>
      </c>
      <c r="G1410" s="48"/>
      <c r="H1410" s="49">
        <f>+SUM($F$9:F1410)-SUM($G$9:G1410)</f>
        <v>59047000</v>
      </c>
    </row>
    <row r="1411" spans="1:8" ht="28.8" x14ac:dyDescent="0.55000000000000004">
      <c r="A1411" s="43">
        <v>45808</v>
      </c>
      <c r="B1411" s="43" t="s">
        <v>1371</v>
      </c>
      <c r="C1411" s="44" t="s">
        <v>2699</v>
      </c>
      <c r="D1411" s="45">
        <v>2</v>
      </c>
      <c r="E1411" s="46">
        <v>75000</v>
      </c>
      <c r="F1411" s="47">
        <f>+$I$4+(CLIENT[[#This Row],[QUANTITE]]*CLIENT[[#This Row],[PRIX UNITAIRE]])</f>
        <v>150000</v>
      </c>
      <c r="G1411" s="48"/>
      <c r="H1411" s="49">
        <f>+SUM($F$9:F1411)-SUM($G$9:G1411)</f>
        <v>59197000</v>
      </c>
    </row>
    <row r="1412" spans="1:8" ht="28.8" x14ac:dyDescent="0.55000000000000004">
      <c r="A1412" s="43">
        <v>45812</v>
      </c>
      <c r="B1412" s="43" t="s">
        <v>2700</v>
      </c>
      <c r="C1412" s="44" t="s">
        <v>2701</v>
      </c>
      <c r="D1412" s="45">
        <v>10</v>
      </c>
      <c r="E1412" s="46">
        <v>45000</v>
      </c>
      <c r="F1412" s="47">
        <f>+$I$4+(CLIENT[[#This Row],[QUANTITE]]*CLIENT[[#This Row],[PRIX UNITAIRE]])</f>
        <v>450000</v>
      </c>
      <c r="G1412" s="48"/>
      <c r="H1412" s="49">
        <f>+SUM($F$9:F1412)-SUM($G$9:G1412)</f>
        <v>59647000</v>
      </c>
    </row>
    <row r="1413" spans="1:8" ht="28.8" x14ac:dyDescent="0.55000000000000004">
      <c r="A1413" s="43">
        <v>45821</v>
      </c>
      <c r="B1413" s="43"/>
      <c r="C1413" s="44" t="s">
        <v>68</v>
      </c>
      <c r="D1413" s="45"/>
      <c r="E1413" s="46">
        <v>0</v>
      </c>
      <c r="F1413" s="47">
        <f>+$I$4+(CLIENT[[#This Row],[QUANTITE]]*CLIENT[[#This Row],[PRIX UNITAIRE]])</f>
        <v>0</v>
      </c>
      <c r="G1413" s="48">
        <v>5000000</v>
      </c>
      <c r="H1413" s="49">
        <f>+SUM($F$9:F1413)-SUM($G$9:G1413)</f>
        <v>54647000</v>
      </c>
    </row>
    <row r="1414" spans="1:8" ht="28.8" x14ac:dyDescent="0.55000000000000004">
      <c r="A1414" s="43">
        <v>45822</v>
      </c>
      <c r="B1414" s="43" t="s">
        <v>1184</v>
      </c>
      <c r="C1414" s="44" t="s">
        <v>2702</v>
      </c>
      <c r="D1414" s="45">
        <v>2</v>
      </c>
      <c r="E1414" s="46">
        <v>185000</v>
      </c>
      <c r="F1414" s="47">
        <f>+$I$4+(CLIENT[[#This Row],[QUANTITE]]*CLIENT[[#This Row],[PRIX UNITAIRE]])</f>
        <v>370000</v>
      </c>
      <c r="G1414" s="48"/>
      <c r="H1414" s="49">
        <f>+SUM($F$9:F1414)-SUM($G$9:G1414)</f>
        <v>55017000</v>
      </c>
    </row>
    <row r="1415" spans="1:8" ht="28.8" x14ac:dyDescent="0.55000000000000004">
      <c r="A1415" s="43">
        <v>45824</v>
      </c>
      <c r="B1415" s="43" t="s">
        <v>1147</v>
      </c>
      <c r="C1415" s="44" t="s">
        <v>2703</v>
      </c>
      <c r="D1415" s="45">
        <v>1</v>
      </c>
      <c r="E1415" s="46">
        <v>180000</v>
      </c>
      <c r="F1415" s="47">
        <f>+$I$4+(CLIENT[[#This Row],[QUANTITE]]*CLIENT[[#This Row],[PRIX UNITAIRE]])</f>
        <v>180000</v>
      </c>
      <c r="G1415" s="48"/>
      <c r="H1415" s="49">
        <f>+SUM($F$9:F1415)-SUM($G$9:G1415)</f>
        <v>55197000</v>
      </c>
    </row>
    <row r="1416" spans="1:8" ht="28.8" x14ac:dyDescent="0.55000000000000004">
      <c r="A1416" s="43">
        <v>45825</v>
      </c>
      <c r="B1416" s="43" t="s">
        <v>1232</v>
      </c>
      <c r="C1416" s="44" t="s">
        <v>710</v>
      </c>
      <c r="D1416" s="45">
        <v>1</v>
      </c>
      <c r="E1416" s="46">
        <v>250000</v>
      </c>
      <c r="F1416" s="47">
        <f>+$I$4+(CLIENT[[#This Row],[QUANTITE]]*CLIENT[[#This Row],[PRIX UNITAIRE]])</f>
        <v>250000</v>
      </c>
      <c r="G1416" s="48"/>
      <c r="H1416" s="49">
        <f>+SUM($F$9:F1416)-SUM($G$9:G1416)</f>
        <v>55447000</v>
      </c>
    </row>
    <row r="1417" spans="1:8" ht="28.8" x14ac:dyDescent="0.55000000000000004">
      <c r="A1417" s="43">
        <v>45828</v>
      </c>
      <c r="B1417" s="43" t="s">
        <v>2704</v>
      </c>
      <c r="C1417" s="44" t="s">
        <v>2705</v>
      </c>
      <c r="D1417" s="45">
        <v>1</v>
      </c>
      <c r="E1417" s="46">
        <v>185000</v>
      </c>
      <c r="F1417" s="47">
        <f>+$I$4+(CLIENT[[#This Row],[QUANTITE]]*CLIENT[[#This Row],[PRIX UNITAIRE]])</f>
        <v>185000</v>
      </c>
      <c r="G1417" s="48"/>
      <c r="H1417" s="49">
        <f>+SUM($F$9:F1417)-SUM($G$9:G1417)</f>
        <v>55632000</v>
      </c>
    </row>
    <row r="1418" spans="1:8" ht="28.8" x14ac:dyDescent="0.55000000000000004">
      <c r="A1418" s="43">
        <v>45835</v>
      </c>
      <c r="B1418" s="43"/>
      <c r="C1418" s="44" t="s">
        <v>1034</v>
      </c>
      <c r="D1418" s="45">
        <v>1</v>
      </c>
      <c r="E1418" s="46">
        <v>200000</v>
      </c>
      <c r="F1418" s="47">
        <f>+$I$4+(CLIENT[[#This Row],[QUANTITE]]*CLIENT[[#This Row],[PRIX UNITAIRE]])</f>
        <v>200000</v>
      </c>
      <c r="G1418" s="48"/>
      <c r="H1418" s="49">
        <f>+SUM($F$9:F1418)-SUM($G$9:G1418)</f>
        <v>55832000</v>
      </c>
    </row>
    <row r="1419" spans="1:8" ht="28.8" x14ac:dyDescent="0.55000000000000004">
      <c r="A1419" s="43">
        <v>45838</v>
      </c>
      <c r="B1419" s="43"/>
      <c r="C1419" s="44" t="s">
        <v>1237</v>
      </c>
      <c r="D1419" s="45">
        <v>1</v>
      </c>
      <c r="E1419" s="46">
        <v>45000</v>
      </c>
      <c r="F1419" s="47">
        <f>+$I$4+(CLIENT[[#This Row],[QUANTITE]]*CLIENT[[#This Row],[PRIX UNITAIRE]])</f>
        <v>45000</v>
      </c>
      <c r="G1419" s="48"/>
      <c r="H1419" s="49">
        <f>+SUM($F$9:F1419)-SUM($G$9:G1419)</f>
        <v>55877000</v>
      </c>
    </row>
    <row r="1420" spans="1:8" ht="28.8" x14ac:dyDescent="0.55000000000000004">
      <c r="A1420" s="43">
        <v>45838</v>
      </c>
      <c r="B1420" s="43"/>
      <c r="C1420" s="44" t="s">
        <v>2706</v>
      </c>
      <c r="D1420" s="45">
        <v>10</v>
      </c>
      <c r="E1420" s="46">
        <v>4000</v>
      </c>
      <c r="F1420" s="47">
        <f>+$I$4+(CLIENT[[#This Row],[QUANTITE]]*CLIENT[[#This Row],[PRIX UNITAIRE]])</f>
        <v>40000</v>
      </c>
      <c r="G1420" s="48"/>
      <c r="H1420" s="49">
        <f>+SUM($F$9:F1420)-SUM($G$9:G1420)</f>
        <v>55917000</v>
      </c>
    </row>
    <row r="1421" spans="1:8" ht="28.8" x14ac:dyDescent="0.55000000000000004">
      <c r="A1421" s="43">
        <v>45839</v>
      </c>
      <c r="B1421" s="43"/>
      <c r="C1421" s="44" t="s">
        <v>2707</v>
      </c>
      <c r="D1421" s="45">
        <v>1</v>
      </c>
      <c r="E1421" s="46">
        <v>150000</v>
      </c>
      <c r="F1421" s="47">
        <f>+$I$4+(CLIENT[[#This Row],[QUANTITE]]*CLIENT[[#This Row],[PRIX UNITAIRE]])</f>
        <v>150000</v>
      </c>
      <c r="G1421" s="48"/>
      <c r="H1421" s="49">
        <f>+SUM($F$9:F1421)-SUM($G$9:G1421)</f>
        <v>56067000</v>
      </c>
    </row>
    <row r="1422" spans="1:8" ht="28.8" x14ac:dyDescent="0.55000000000000004">
      <c r="A1422" s="43">
        <v>45839</v>
      </c>
      <c r="B1422" s="43"/>
      <c r="C1422" s="44" t="s">
        <v>2708</v>
      </c>
      <c r="D1422" s="45">
        <v>2</v>
      </c>
      <c r="E1422" s="46">
        <v>200000</v>
      </c>
      <c r="F1422" s="47">
        <f>+$I$4+(CLIENT[[#This Row],[QUANTITE]]*CLIENT[[#This Row],[PRIX UNITAIRE]])</f>
        <v>400000</v>
      </c>
      <c r="G1422" s="48"/>
      <c r="H1422" s="49">
        <f>+SUM($F$9:F1422)-SUM($G$9:G1422)</f>
        <v>56467000</v>
      </c>
    </row>
    <row r="1423" spans="1:8" ht="28.8" x14ac:dyDescent="0.55000000000000004">
      <c r="A1423" s="43">
        <v>45845</v>
      </c>
      <c r="B1423" s="43"/>
      <c r="C1423" s="44" t="s">
        <v>1243</v>
      </c>
      <c r="D1423" s="45">
        <v>1</v>
      </c>
      <c r="E1423" s="46">
        <v>180000</v>
      </c>
      <c r="F1423" s="47">
        <f>+$I$4+(CLIENT[[#This Row],[QUANTITE]]*CLIENT[[#This Row],[PRIX UNITAIRE]])</f>
        <v>180000</v>
      </c>
      <c r="G1423" s="48"/>
      <c r="H1423" s="49">
        <f>+SUM($F$9:F1423)-SUM($G$9:G1423)</f>
        <v>56647000</v>
      </c>
    </row>
    <row r="1424" spans="1:8" ht="28.8" x14ac:dyDescent="0.55000000000000004">
      <c r="A1424" s="43">
        <v>45845</v>
      </c>
      <c r="B1424" s="43"/>
      <c r="C1424" s="44" t="s">
        <v>1090</v>
      </c>
      <c r="D1424" s="45">
        <v>1</v>
      </c>
      <c r="E1424" s="46">
        <v>150000</v>
      </c>
      <c r="F1424" s="47">
        <f>+$I$4+(CLIENT[[#This Row],[QUANTITE]]*CLIENT[[#This Row],[PRIX UNITAIRE]])</f>
        <v>150000</v>
      </c>
      <c r="G1424" s="48"/>
      <c r="H1424" s="49">
        <f>+SUM($F$9:F1424)-SUM($G$9:G1424)</f>
        <v>56797000</v>
      </c>
    </row>
    <row r="1425" spans="1:8" ht="28.8" x14ac:dyDescent="0.55000000000000004">
      <c r="A1425" s="43">
        <v>45836</v>
      </c>
      <c r="B1425" s="43"/>
      <c r="C1425" s="44" t="s">
        <v>2709</v>
      </c>
      <c r="D1425" s="45">
        <v>2</v>
      </c>
      <c r="E1425" s="46">
        <v>180000</v>
      </c>
      <c r="F1425" s="47">
        <f>+$I$4+(CLIENT[[#This Row],[QUANTITE]]*CLIENT[[#This Row],[PRIX UNITAIRE]])</f>
        <v>360000</v>
      </c>
      <c r="G1425" s="48"/>
      <c r="H1425" s="49">
        <f>+SUM($F$9:F1425)-SUM($G$9:G1425)</f>
        <v>57157000</v>
      </c>
    </row>
    <row r="1426" spans="1:8" ht="28.8" x14ac:dyDescent="0.55000000000000004">
      <c r="A1426" s="43">
        <v>45842</v>
      </c>
      <c r="B1426" s="43"/>
      <c r="C1426" s="44" t="s">
        <v>2710</v>
      </c>
      <c r="D1426" s="45">
        <v>2</v>
      </c>
      <c r="E1426" s="46">
        <v>200000</v>
      </c>
      <c r="F1426" s="47">
        <f>+$I$4+(CLIENT[[#This Row],[QUANTITE]]*CLIENT[[#This Row],[PRIX UNITAIRE]])</f>
        <v>400000</v>
      </c>
      <c r="G1426" s="48"/>
      <c r="H1426" s="49">
        <f>+SUM($F$9:F1426)-SUM($G$9:G1426)</f>
        <v>57557000</v>
      </c>
    </row>
    <row r="1427" spans="1:8" ht="28.8" x14ac:dyDescent="0.55000000000000004">
      <c r="A1427" s="43">
        <v>45841</v>
      </c>
      <c r="B1427" s="43"/>
      <c r="C1427" s="44" t="s">
        <v>435</v>
      </c>
      <c r="D1427" s="45">
        <v>1</v>
      </c>
      <c r="E1427" s="46">
        <v>180000</v>
      </c>
      <c r="F1427" s="47">
        <f>+$I$4+(CLIENT[[#This Row],[QUANTITE]]*CLIENT[[#This Row],[PRIX UNITAIRE]])</f>
        <v>180000</v>
      </c>
      <c r="G1427" s="48"/>
      <c r="H1427" s="49">
        <f>+SUM($F$9:F1427)-SUM($G$9:G1427)</f>
        <v>57737000</v>
      </c>
    </row>
    <row r="1428" spans="1:8" ht="28.8" x14ac:dyDescent="0.55000000000000004">
      <c r="A1428" s="43">
        <v>45841</v>
      </c>
      <c r="B1428" s="43"/>
      <c r="C1428" s="44" t="s">
        <v>2711</v>
      </c>
      <c r="D1428" s="45">
        <v>25</v>
      </c>
      <c r="E1428" s="46">
        <v>45000</v>
      </c>
      <c r="F1428" s="47">
        <f>+$I$4+(CLIENT[[#This Row],[QUANTITE]]*CLIENT[[#This Row],[PRIX UNITAIRE]])</f>
        <v>1125000</v>
      </c>
      <c r="G1428" s="48"/>
      <c r="H1428" s="49">
        <f>+SUM($F$9:F1428)-SUM($G$9:G1428)</f>
        <v>58862000</v>
      </c>
    </row>
    <row r="1429" spans="1:8" ht="28.8" x14ac:dyDescent="0.55000000000000004">
      <c r="A1429" s="43">
        <v>45841</v>
      </c>
      <c r="B1429" s="43"/>
      <c r="C1429" s="44" t="s">
        <v>435</v>
      </c>
      <c r="D1429" s="45">
        <v>2</v>
      </c>
      <c r="E1429" s="46">
        <v>180000</v>
      </c>
      <c r="F1429" s="47">
        <f>+$I$4+(CLIENT[[#This Row],[QUANTITE]]*CLIENT[[#This Row],[PRIX UNITAIRE]])</f>
        <v>360000</v>
      </c>
      <c r="G1429" s="48"/>
      <c r="H1429" s="49">
        <f>+SUM($F$9:F1429)-SUM($G$9:G1429)</f>
        <v>59222000</v>
      </c>
    </row>
    <row r="1430" spans="1:8" ht="28.8" x14ac:dyDescent="0.55000000000000004">
      <c r="A1430" s="43"/>
      <c r="B1430" s="43"/>
      <c r="C1430" s="44" t="s">
        <v>2750</v>
      </c>
      <c r="D1430" s="45">
        <v>1</v>
      </c>
      <c r="E1430" s="46">
        <v>180000</v>
      </c>
      <c r="F1430" s="47">
        <f>+$I$4+(CLIENT[[#This Row],[QUANTITE]]*CLIENT[[#This Row],[PRIX UNITAIRE]])</f>
        <v>180000</v>
      </c>
      <c r="G1430" s="48"/>
      <c r="H1430" s="49">
        <f>+SUM($F$9:F1430)-SUM($G$9:G1430)</f>
        <v>59402000</v>
      </c>
    </row>
    <row r="1431" spans="1:8" ht="28.8" x14ac:dyDescent="0.55000000000000004">
      <c r="A1431" s="43">
        <v>45841</v>
      </c>
      <c r="B1431" s="43"/>
      <c r="C1431" s="69" t="s">
        <v>1239</v>
      </c>
      <c r="D1431" s="45">
        <v>1</v>
      </c>
      <c r="E1431" s="46">
        <v>45000</v>
      </c>
      <c r="F1431" s="47">
        <f>+$I$4+(CLIENT[[#This Row],[QUANTITE]]*CLIENT[[#This Row],[PRIX UNITAIRE]])</f>
        <v>45000</v>
      </c>
      <c r="G1431" s="48"/>
      <c r="H1431" s="49">
        <f>+SUM($F$9:F1431)-SUM($G$9:G1431)</f>
        <v>59447000</v>
      </c>
    </row>
    <row r="1432" spans="1:8" ht="28.8" x14ac:dyDescent="0.55000000000000004">
      <c r="A1432" s="43">
        <v>45842</v>
      </c>
      <c r="B1432" s="43"/>
      <c r="C1432" s="69" t="s">
        <v>2710</v>
      </c>
      <c r="D1432" s="45">
        <v>2</v>
      </c>
      <c r="E1432" s="46">
        <v>180000</v>
      </c>
      <c r="F1432" s="47">
        <f>+$I$4+(CLIENT[[#This Row],[QUANTITE]]*CLIENT[[#This Row],[PRIX UNITAIRE]])</f>
        <v>360000</v>
      </c>
      <c r="G1432" s="48"/>
      <c r="H1432" s="49">
        <f>+SUM($F$9:F1432)-SUM($G$9:G1432)</f>
        <v>59807000</v>
      </c>
    </row>
    <row r="1433" spans="1:8" ht="28.8" x14ac:dyDescent="0.55000000000000004">
      <c r="A1433" s="43">
        <v>45849</v>
      </c>
      <c r="B1433" s="43"/>
      <c r="C1433" s="69" t="s">
        <v>2761</v>
      </c>
      <c r="D1433" s="45">
        <v>12</v>
      </c>
      <c r="E1433" s="46">
        <v>45000</v>
      </c>
      <c r="F1433" s="47">
        <f>+$I$4+(CLIENT[[#This Row],[QUANTITE]]*CLIENT[[#This Row],[PRIX UNITAIRE]])</f>
        <v>540000</v>
      </c>
      <c r="G1433" s="48"/>
      <c r="H1433" s="49">
        <f>+SUM($F$9:F1433)-SUM($G$9:G1433)</f>
        <v>60347000</v>
      </c>
    </row>
    <row r="1434" spans="1:8" ht="28.8" x14ac:dyDescent="0.55000000000000004">
      <c r="A1434" s="43">
        <v>45854</v>
      </c>
      <c r="B1434" s="43"/>
      <c r="C1434" s="69" t="s">
        <v>1243</v>
      </c>
      <c r="D1434" s="45">
        <v>1</v>
      </c>
      <c r="E1434" s="46">
        <v>180000</v>
      </c>
      <c r="F1434" s="47">
        <f>+$I$4+(CLIENT[[#This Row],[QUANTITE]]*CLIENT[[#This Row],[PRIX UNITAIRE]])</f>
        <v>180000</v>
      </c>
      <c r="G1434" s="48"/>
      <c r="H1434" s="49">
        <f>+SUM($F$9:F1434)-SUM($G$9:G1434)</f>
        <v>60527000</v>
      </c>
    </row>
    <row r="1435" spans="1:8" ht="28.8" x14ac:dyDescent="0.55000000000000004">
      <c r="A1435" s="43">
        <v>45860</v>
      </c>
      <c r="B1435" s="43"/>
      <c r="C1435" s="69" t="s">
        <v>2730</v>
      </c>
      <c r="D1435" s="45">
        <v>6</v>
      </c>
      <c r="E1435" s="46">
        <v>45000</v>
      </c>
      <c r="F1435" s="47">
        <f>+$I$4+(CLIENT[[#This Row],[QUANTITE]]*CLIENT[[#This Row],[PRIX UNITAIRE]])</f>
        <v>270000</v>
      </c>
      <c r="G1435" s="48"/>
      <c r="H1435" s="49">
        <f>+SUM($F$9:F1435)-SUM($G$9:G1435)</f>
        <v>60797000</v>
      </c>
    </row>
    <row r="1436" spans="1:8" ht="28.8" x14ac:dyDescent="0.55000000000000004">
      <c r="A1436" s="43">
        <v>45861</v>
      </c>
      <c r="B1436" s="43"/>
      <c r="C1436" s="69" t="s">
        <v>2772</v>
      </c>
      <c r="D1436" s="45">
        <v>1</v>
      </c>
      <c r="E1436" s="46">
        <v>180000</v>
      </c>
      <c r="F1436" s="47">
        <f>+$I$4+(CLIENT[[#This Row],[QUANTITE]]*CLIENT[[#This Row],[PRIX UNITAIRE]])</f>
        <v>180000</v>
      </c>
      <c r="G1436" s="48"/>
      <c r="H1436" s="49">
        <f>+SUM($F$9:F1436)-SUM($G$9:G1436)</f>
        <v>60977000</v>
      </c>
    </row>
    <row r="1437" spans="1:8" ht="28.8" x14ac:dyDescent="0.55000000000000004">
      <c r="A1437" s="43">
        <v>45863</v>
      </c>
      <c r="B1437" s="43"/>
      <c r="C1437" s="69" t="s">
        <v>2780</v>
      </c>
      <c r="D1437" s="45">
        <v>2</v>
      </c>
      <c r="E1437" s="46">
        <v>200000</v>
      </c>
      <c r="F1437" s="47">
        <f>+$I$4+(CLIENT[[#This Row],[QUANTITE]]*CLIENT[[#This Row],[PRIX UNITAIRE]])</f>
        <v>400000</v>
      </c>
      <c r="G1437" s="48"/>
      <c r="H1437" s="49">
        <f>+SUM($F$9:F1437)-SUM($G$9:G1437)</f>
        <v>61377000</v>
      </c>
    </row>
    <row r="1438" spans="1:8" ht="28.8" x14ac:dyDescent="0.55000000000000004">
      <c r="A1438" s="43">
        <v>45862</v>
      </c>
      <c r="B1438" s="43"/>
      <c r="C1438" s="69" t="s">
        <v>276</v>
      </c>
      <c r="D1438" s="45">
        <v>2</v>
      </c>
      <c r="E1438" s="46">
        <v>200000</v>
      </c>
      <c r="F1438" s="47">
        <f>+$I$4+(CLIENT[[#This Row],[QUANTITE]]*CLIENT[[#This Row],[PRIX UNITAIRE]])</f>
        <v>400000</v>
      </c>
      <c r="G1438" s="48"/>
      <c r="H1438" s="49">
        <f>+SUM($F$9:F1438)-SUM($G$9:G1438)</f>
        <v>61777000</v>
      </c>
    </row>
    <row r="1439" spans="1:8" ht="28.8" x14ac:dyDescent="0.55000000000000004">
      <c r="A1439" s="43">
        <v>45863</v>
      </c>
      <c r="B1439" s="43"/>
      <c r="C1439" s="69" t="s">
        <v>2784</v>
      </c>
      <c r="D1439" s="45">
        <v>2</v>
      </c>
      <c r="E1439" s="46">
        <v>180000</v>
      </c>
      <c r="F1439" s="47">
        <f>+$I$4+(CLIENT[[#This Row],[QUANTITE]]*CLIENT[[#This Row],[PRIX UNITAIRE]])</f>
        <v>360000</v>
      </c>
      <c r="G1439" s="48"/>
      <c r="H1439" s="49">
        <f>+SUM($F$9:F1439)-SUM($G$9:G1439)</f>
        <v>62137000</v>
      </c>
    </row>
    <row r="1440" spans="1:8" ht="28.8" x14ac:dyDescent="0.55000000000000004">
      <c r="A1440" s="43">
        <v>45863</v>
      </c>
      <c r="B1440" s="43"/>
      <c r="C1440" s="69" t="s">
        <v>1239</v>
      </c>
      <c r="D1440" s="45">
        <v>2</v>
      </c>
      <c r="E1440" s="46">
        <v>45000</v>
      </c>
      <c r="F1440" s="47">
        <f>+$I$4+(CLIENT[[#This Row],[QUANTITE]]*CLIENT[[#This Row],[PRIX UNITAIRE]])</f>
        <v>90000</v>
      </c>
      <c r="G1440" s="48"/>
      <c r="H1440" s="49">
        <f>+SUM($F$9:F1440)-SUM($G$9:G1440)</f>
        <v>62227000</v>
      </c>
    </row>
    <row r="1441" spans="1:8" ht="28.8" x14ac:dyDescent="0.55000000000000004">
      <c r="A1441" s="43">
        <v>45864</v>
      </c>
      <c r="B1441" s="43"/>
      <c r="C1441" s="69" t="s">
        <v>2788</v>
      </c>
      <c r="D1441" s="45">
        <v>2</v>
      </c>
      <c r="E1441" s="46">
        <v>200000</v>
      </c>
      <c r="F1441" s="47">
        <f>+$I$4+(CLIENT[[#This Row],[QUANTITE]]*CLIENT[[#This Row],[PRIX UNITAIRE]])</f>
        <v>400000</v>
      </c>
      <c r="G1441" s="48"/>
      <c r="H1441" s="49">
        <f>+SUM($F$9:F1441)-SUM($G$9:G1441)</f>
        <v>62627000</v>
      </c>
    </row>
    <row r="1442" spans="1:8" ht="28.8" x14ac:dyDescent="0.55000000000000004">
      <c r="A1442" s="43">
        <v>45868</v>
      </c>
      <c r="B1442" s="43"/>
      <c r="C1442" s="69" t="s">
        <v>2793</v>
      </c>
      <c r="D1442" s="45">
        <v>1</v>
      </c>
      <c r="E1442" s="46">
        <v>180000</v>
      </c>
      <c r="F1442" s="47">
        <f>+$I$4+(CLIENT[[#This Row],[QUANTITE]]*CLIENT[[#This Row],[PRIX UNITAIRE]])</f>
        <v>180000</v>
      </c>
      <c r="G1442" s="48"/>
      <c r="H1442" s="49">
        <f>+SUM($F$9:F1442)-SUM($G$9:G1442)</f>
        <v>62807000</v>
      </c>
    </row>
    <row r="1443" spans="1:8" ht="28.8" x14ac:dyDescent="0.55000000000000004">
      <c r="A1443" s="43">
        <v>45869</v>
      </c>
      <c r="B1443" s="43"/>
      <c r="C1443" s="69" t="s">
        <v>1243</v>
      </c>
      <c r="D1443" s="45">
        <v>1</v>
      </c>
      <c r="E1443" s="46">
        <v>180000</v>
      </c>
      <c r="F1443" s="47">
        <f>+$I$4+(CLIENT[[#This Row],[QUANTITE]]*CLIENT[[#This Row],[PRIX UNITAIRE]])</f>
        <v>180000</v>
      </c>
      <c r="G1443" s="48"/>
      <c r="H1443" s="49">
        <f>+SUM($F$9:F1443)-SUM($G$9:G1443)</f>
        <v>62987000</v>
      </c>
    </row>
    <row r="1444" spans="1:8" ht="28.8" x14ac:dyDescent="0.55000000000000004">
      <c r="A1444" s="43">
        <v>45871</v>
      </c>
      <c r="B1444" s="43"/>
      <c r="C1444" s="44" t="s">
        <v>2946</v>
      </c>
      <c r="D1444" s="45"/>
      <c r="E1444" s="46"/>
      <c r="F1444" s="47">
        <f>+$I$4+(CLIENT[[#This Row],[QUANTITE]]*CLIENT[[#This Row],[PRIX UNITAIRE]])</f>
        <v>0</v>
      </c>
      <c r="G1444" s="48"/>
      <c r="H1444" s="49">
        <f>+SUM($F$9:F1444)-SUM($G$9:G1444)</f>
        <v>62987000</v>
      </c>
    </row>
    <row r="1445" spans="1:8" ht="28.8" x14ac:dyDescent="0.55000000000000004">
      <c r="A1445" s="43">
        <v>45871</v>
      </c>
      <c r="B1445" s="43"/>
      <c r="C1445" s="44" t="s">
        <v>2947</v>
      </c>
      <c r="D1445" s="45">
        <v>1</v>
      </c>
      <c r="E1445" s="46">
        <v>150000</v>
      </c>
      <c r="F1445" s="47">
        <f>+$I$4+(CLIENT[[#This Row],[QUANTITE]]*CLIENT[[#This Row],[PRIX UNITAIRE]])</f>
        <v>150000</v>
      </c>
      <c r="G1445" s="48"/>
      <c r="H1445" s="49">
        <f>+SUM($F$9:F1445)-SUM($G$9:G1445)</f>
        <v>63137000</v>
      </c>
    </row>
    <row r="1446" spans="1:8" ht="28.8" x14ac:dyDescent="0.55000000000000004">
      <c r="A1446" s="43">
        <v>45871</v>
      </c>
      <c r="B1446" s="43"/>
      <c r="C1446" s="44" t="s">
        <v>475</v>
      </c>
      <c r="D1446" s="45">
        <v>1</v>
      </c>
      <c r="E1446" s="46">
        <v>45000</v>
      </c>
      <c r="F1446" s="47">
        <f>+$I$4+(CLIENT[[#This Row],[QUANTITE]]*CLIENT[[#This Row],[PRIX UNITAIRE]])</f>
        <v>45000</v>
      </c>
      <c r="G1446" s="48"/>
      <c r="H1446" s="49">
        <f>+SUM($F$9:F1446)-SUM($G$9:G1446)</f>
        <v>63182000</v>
      </c>
    </row>
    <row r="1447" spans="1:8" ht="28.8" x14ac:dyDescent="0.55000000000000004">
      <c r="A1447" s="43">
        <v>45874</v>
      </c>
      <c r="B1447" s="43"/>
      <c r="C1447" s="44" t="s">
        <v>2948</v>
      </c>
      <c r="D1447" s="45">
        <v>6</v>
      </c>
      <c r="E1447" s="46">
        <v>45000</v>
      </c>
      <c r="F1447" s="47">
        <f>+$I$4+(CLIENT[[#This Row],[QUANTITE]]*CLIENT[[#This Row],[PRIX UNITAIRE]])</f>
        <v>270000</v>
      </c>
      <c r="G1447" s="48"/>
      <c r="H1447" s="49">
        <f>+SUM($F$9:F1447)-SUM($G$9:G1447)</f>
        <v>63452000</v>
      </c>
    </row>
    <row r="1448" spans="1:8" ht="28.8" x14ac:dyDescent="0.55000000000000004">
      <c r="A1448" s="43">
        <v>45874</v>
      </c>
      <c r="B1448" s="43"/>
      <c r="C1448" s="44" t="s">
        <v>2946</v>
      </c>
      <c r="D1448" s="45">
        <v>1</v>
      </c>
      <c r="E1448" s="46">
        <v>180000</v>
      </c>
      <c r="F1448" s="47">
        <f>+$I$4+(CLIENT[[#This Row],[QUANTITE]]*CLIENT[[#This Row],[PRIX UNITAIRE]])</f>
        <v>180000</v>
      </c>
      <c r="G1448" s="48"/>
      <c r="H1448" s="49">
        <f>+SUM($F$9:F1448)-SUM($G$9:G1448)</f>
        <v>63632000</v>
      </c>
    </row>
    <row r="1449" spans="1:8" ht="28.8" x14ac:dyDescent="0.55000000000000004">
      <c r="A1449" s="43">
        <v>45880</v>
      </c>
      <c r="B1449" s="43"/>
      <c r="C1449" s="44" t="s">
        <v>2958</v>
      </c>
      <c r="D1449" s="45">
        <v>2</v>
      </c>
      <c r="E1449" s="46">
        <v>45000</v>
      </c>
      <c r="F1449" s="47">
        <f>+$I$4+(CLIENT[[#This Row],[QUANTITE]]*CLIENT[[#This Row],[PRIX UNITAIRE]])</f>
        <v>90000</v>
      </c>
      <c r="G1449" s="48"/>
      <c r="H1449" s="49">
        <f>+SUM($F$9:F1449)-SUM($G$9:G1449)</f>
        <v>63722000</v>
      </c>
    </row>
    <row r="1450" spans="1:8" ht="28.8" x14ac:dyDescent="0.55000000000000004">
      <c r="A1450" s="43">
        <v>45884</v>
      </c>
      <c r="B1450" s="43"/>
      <c r="C1450" s="44" t="s">
        <v>2959</v>
      </c>
      <c r="D1450" s="45">
        <v>1</v>
      </c>
      <c r="E1450" s="46">
        <v>180000</v>
      </c>
      <c r="F1450" s="47">
        <f>+$I$4+(CLIENT[[#This Row],[QUANTITE]]*CLIENT[[#This Row],[PRIX UNITAIRE]])</f>
        <v>180000</v>
      </c>
      <c r="G1450" s="48"/>
      <c r="H1450" s="49">
        <f>+SUM($F$9:F1450)-SUM($G$9:G1450)</f>
        <v>63902000</v>
      </c>
    </row>
    <row r="1451" spans="1:8" ht="28.8" x14ac:dyDescent="0.55000000000000004">
      <c r="A1451" s="43">
        <v>45887</v>
      </c>
      <c r="B1451" s="43"/>
      <c r="C1451" s="44" t="s">
        <v>2997</v>
      </c>
      <c r="D1451" s="45">
        <v>2</v>
      </c>
      <c r="E1451" s="46">
        <v>150000</v>
      </c>
      <c r="F1451" s="47">
        <f>+$I$4+(CLIENT[[#This Row],[QUANTITE]]*CLIENT[[#This Row],[PRIX UNITAIRE]])</f>
        <v>300000</v>
      </c>
      <c r="G1451" s="48"/>
      <c r="H1451" s="49">
        <f>+SUM($F$9:F1451)-SUM($G$9:G1451)</f>
        <v>64202000</v>
      </c>
    </row>
    <row r="1452" spans="1:8" ht="28.8" x14ac:dyDescent="0.55000000000000004">
      <c r="A1452" s="43">
        <v>45885</v>
      </c>
      <c r="B1452" s="43"/>
      <c r="C1452" s="44" t="s">
        <v>2998</v>
      </c>
      <c r="D1452" s="45">
        <v>1</v>
      </c>
      <c r="E1452" s="46">
        <v>180000</v>
      </c>
      <c r="F1452" s="47">
        <f>+$I$4+(CLIENT[[#This Row],[QUANTITE]]*CLIENT[[#This Row],[PRIX UNITAIRE]])</f>
        <v>180000</v>
      </c>
      <c r="G1452" s="48"/>
      <c r="H1452" s="49">
        <f>+SUM($F$9:F1452)-SUM($G$9:G1452)</f>
        <v>64382000</v>
      </c>
    </row>
    <row r="1453" spans="1:8" ht="28.8" x14ac:dyDescent="0.55000000000000004">
      <c r="A1453" s="43">
        <v>45892</v>
      </c>
      <c r="B1453" s="43"/>
      <c r="C1453" s="44" t="s">
        <v>2999</v>
      </c>
      <c r="D1453" s="45">
        <v>1</v>
      </c>
      <c r="E1453" s="46">
        <v>150000</v>
      </c>
      <c r="F1453" s="47">
        <f>+$I$4+(CLIENT[[#This Row],[QUANTITE]]*CLIENT[[#This Row],[PRIX UNITAIRE]])</f>
        <v>150000</v>
      </c>
      <c r="G1453" s="48"/>
      <c r="H1453" s="49">
        <f>+SUM($F$9:F1453)-SUM($G$9:G1453)</f>
        <v>64532000</v>
      </c>
    </row>
    <row r="1454" spans="1:8" ht="28.8" x14ac:dyDescent="0.55000000000000004">
      <c r="A1454" s="43">
        <v>45892</v>
      </c>
      <c r="B1454" s="43"/>
      <c r="C1454" s="44" t="s">
        <v>3003</v>
      </c>
      <c r="D1454" s="45">
        <v>1</v>
      </c>
      <c r="E1454" s="46">
        <v>180000</v>
      </c>
      <c r="F1454" s="47">
        <f>+$I$4+(CLIENT[[#This Row],[QUANTITE]]*CLIENT[[#This Row],[PRIX UNITAIRE]])</f>
        <v>180000</v>
      </c>
      <c r="G1454" s="48"/>
      <c r="H1454" s="49">
        <f>+SUM($F$9:F1454)-SUM($G$9:G1454)</f>
        <v>64712000</v>
      </c>
    </row>
    <row r="1455" spans="1:8" ht="28.8" x14ac:dyDescent="0.55000000000000004">
      <c r="A1455" s="43">
        <v>45892</v>
      </c>
      <c r="B1455" s="43"/>
      <c r="C1455" s="44" t="s">
        <v>3004</v>
      </c>
      <c r="D1455" s="45">
        <v>1</v>
      </c>
      <c r="E1455" s="46">
        <v>180000</v>
      </c>
      <c r="F1455" s="47">
        <f>+$I$4+(CLIENT[[#This Row],[QUANTITE]]*CLIENT[[#This Row],[PRIX UNITAIRE]])</f>
        <v>180000</v>
      </c>
      <c r="G1455" s="48"/>
      <c r="H1455" s="49">
        <f>+SUM($F$9:F1455)-SUM($G$9:G1455)</f>
        <v>64892000</v>
      </c>
    </row>
    <row r="1456" spans="1:8" ht="28.8" x14ac:dyDescent="0.55000000000000004">
      <c r="A1456" s="43">
        <v>45892</v>
      </c>
      <c r="B1456" s="43"/>
      <c r="C1456" s="44" t="s">
        <v>3005</v>
      </c>
      <c r="D1456" s="45">
        <v>1</v>
      </c>
      <c r="E1456" s="46">
        <v>150000</v>
      </c>
      <c r="F1456" s="47">
        <f>+$I$4+(CLIENT[[#This Row],[QUANTITE]]*CLIENT[[#This Row],[PRIX UNITAIRE]])</f>
        <v>150000</v>
      </c>
      <c r="G1456" s="48"/>
      <c r="H1456" s="49">
        <f>+SUM($F$9:F1456)-SUM($G$9:G1456)</f>
        <v>65042000</v>
      </c>
    </row>
    <row r="1457" spans="1:8" ht="28.8" x14ac:dyDescent="0.55000000000000004">
      <c r="A1457" s="43">
        <v>45894</v>
      </c>
      <c r="B1457" s="43"/>
      <c r="C1457" s="44" t="s">
        <v>237</v>
      </c>
      <c r="D1457" s="45">
        <v>4</v>
      </c>
      <c r="E1457" s="46">
        <v>45000</v>
      </c>
      <c r="F1457" s="47">
        <f>+$I$4+(CLIENT[[#This Row],[QUANTITE]]*CLIENT[[#This Row],[PRIX UNITAIRE]])</f>
        <v>180000</v>
      </c>
      <c r="G1457" s="48"/>
      <c r="H1457" s="49">
        <f>+SUM($F$9:F1457)-SUM($G$9:G1457)</f>
        <v>65222000</v>
      </c>
    </row>
    <row r="1458" spans="1:8" ht="28.8" x14ac:dyDescent="0.55000000000000004">
      <c r="A1458" s="43">
        <v>45894</v>
      </c>
      <c r="B1458" s="43"/>
      <c r="C1458" s="44" t="s">
        <v>3006</v>
      </c>
      <c r="D1458" s="45">
        <v>1</v>
      </c>
      <c r="E1458" s="46">
        <v>180000</v>
      </c>
      <c r="F1458" s="47">
        <f>+$I$4+(CLIENT[[#This Row],[QUANTITE]]*CLIENT[[#This Row],[PRIX UNITAIRE]])</f>
        <v>180000</v>
      </c>
      <c r="G1458" s="48"/>
      <c r="H1458" s="49">
        <f>+SUM($F$9:F1458)-SUM($G$9:G1458)</f>
        <v>65402000</v>
      </c>
    </row>
    <row r="1459" spans="1:8" ht="28.8" x14ac:dyDescent="0.55000000000000004">
      <c r="A1459" s="43">
        <v>45894</v>
      </c>
      <c r="B1459" s="43"/>
      <c r="C1459" s="44" t="s">
        <v>3007</v>
      </c>
      <c r="D1459" s="45">
        <v>1</v>
      </c>
      <c r="E1459" s="46">
        <v>150000</v>
      </c>
      <c r="F1459" s="47">
        <f>+$I$4+(CLIENT[[#This Row],[QUANTITE]]*CLIENT[[#This Row],[PRIX UNITAIRE]])</f>
        <v>150000</v>
      </c>
      <c r="G1459" s="48"/>
      <c r="H1459" s="49">
        <f>+SUM($F$9:F1459)-SUM($G$9:G1459)</f>
        <v>65552000</v>
      </c>
    </row>
    <row r="1460" spans="1:8" ht="28.8" x14ac:dyDescent="0.55000000000000004">
      <c r="A1460" s="43">
        <v>45894</v>
      </c>
      <c r="B1460" s="43"/>
      <c r="C1460" s="44" t="s">
        <v>3008</v>
      </c>
      <c r="D1460" s="45">
        <v>3</v>
      </c>
      <c r="E1460" s="46">
        <v>150000</v>
      </c>
      <c r="F1460" s="47">
        <f>+$I$4+(CLIENT[[#This Row],[QUANTITE]]*CLIENT[[#This Row],[PRIX UNITAIRE]])</f>
        <v>450000</v>
      </c>
      <c r="G1460" s="48"/>
      <c r="H1460" s="49">
        <f>+SUM($F$9:F1460)-SUM($G$9:G1460)</f>
        <v>66002000</v>
      </c>
    </row>
    <row r="1461" spans="1:8" ht="28.8" x14ac:dyDescent="0.55000000000000004">
      <c r="A1461" s="43">
        <v>45895</v>
      </c>
      <c r="B1461" s="43"/>
      <c r="C1461" s="44" t="s">
        <v>3009</v>
      </c>
      <c r="D1461" s="45">
        <v>1</v>
      </c>
      <c r="E1461" s="46">
        <v>150000</v>
      </c>
      <c r="F1461" s="47">
        <f>+$I$4+(CLIENT[[#This Row],[QUANTITE]]*CLIENT[[#This Row],[PRIX UNITAIRE]])</f>
        <v>150000</v>
      </c>
      <c r="G1461" s="48"/>
      <c r="H1461" s="49">
        <f>+SUM($F$9:F1461)-SUM($G$9:G1461)</f>
        <v>66152000</v>
      </c>
    </row>
    <row r="1462" spans="1:8" ht="28.8" x14ac:dyDescent="0.55000000000000004">
      <c r="A1462" s="43">
        <v>45895</v>
      </c>
      <c r="B1462" s="43"/>
      <c r="C1462" s="44" t="s">
        <v>3010</v>
      </c>
      <c r="D1462" s="45">
        <v>1</v>
      </c>
      <c r="E1462" s="46">
        <v>150000</v>
      </c>
      <c r="F1462" s="47">
        <f>+$I$4+(CLIENT[[#This Row],[QUANTITE]]*CLIENT[[#This Row],[PRIX UNITAIRE]])</f>
        <v>150000</v>
      </c>
      <c r="G1462" s="48"/>
      <c r="H1462" s="49">
        <f>+SUM($F$9:F1462)-SUM($G$9:G1462)</f>
        <v>66302000</v>
      </c>
    </row>
    <row r="1463" spans="1:8" ht="28.8" x14ac:dyDescent="0.55000000000000004">
      <c r="A1463" s="43">
        <v>45897</v>
      </c>
      <c r="B1463" s="43"/>
      <c r="C1463" s="44" t="s">
        <v>3011</v>
      </c>
      <c r="D1463" s="45">
        <v>1</v>
      </c>
      <c r="E1463" s="46">
        <v>150000</v>
      </c>
      <c r="F1463" s="47">
        <f>+$I$4+(CLIENT[[#This Row],[QUANTITE]]*CLIENT[[#This Row],[PRIX UNITAIRE]])</f>
        <v>150000</v>
      </c>
      <c r="G1463" s="48"/>
      <c r="H1463" s="49">
        <f>+SUM($F$9:F1463)-SUM($G$9:G1463)</f>
        <v>66452000</v>
      </c>
    </row>
    <row r="1464" spans="1:8" ht="28.8" x14ac:dyDescent="0.55000000000000004">
      <c r="A1464" s="43">
        <v>45897</v>
      </c>
      <c r="B1464" s="43"/>
      <c r="C1464" s="44" t="s">
        <v>1239</v>
      </c>
      <c r="D1464" s="45">
        <v>1</v>
      </c>
      <c r="E1464" s="46">
        <v>50000</v>
      </c>
      <c r="F1464" s="47">
        <f>+$I$4+(CLIENT[[#This Row],[QUANTITE]]*CLIENT[[#This Row],[PRIX UNITAIRE]])</f>
        <v>50000</v>
      </c>
      <c r="G1464" s="48"/>
      <c r="H1464" s="49">
        <f>+SUM($F$9:F1464)-SUM($G$9:G1464)</f>
        <v>66502000</v>
      </c>
    </row>
    <row r="1465" spans="1:8" ht="28.8" x14ac:dyDescent="0.55000000000000004">
      <c r="A1465" s="43">
        <v>45898</v>
      </c>
      <c r="B1465" s="43"/>
      <c r="C1465" s="44" t="s">
        <v>3012</v>
      </c>
      <c r="D1465" s="45">
        <v>1</v>
      </c>
      <c r="E1465" s="46">
        <v>180000</v>
      </c>
      <c r="F1465" s="47">
        <f>+$I$4+(CLIENT[[#This Row],[QUANTITE]]*CLIENT[[#This Row],[PRIX UNITAIRE]])</f>
        <v>180000</v>
      </c>
      <c r="G1465" s="48"/>
      <c r="H1465" s="49">
        <f>+SUM($F$9:F1465)-SUM($G$9:G1465)</f>
        <v>66682000</v>
      </c>
    </row>
    <row r="1466" spans="1:8" ht="28.8" x14ac:dyDescent="0.55000000000000004">
      <c r="A1466" s="43">
        <v>45898</v>
      </c>
      <c r="B1466" s="43"/>
      <c r="C1466" s="44" t="s">
        <v>3013</v>
      </c>
      <c r="D1466" s="45">
        <v>1</v>
      </c>
      <c r="E1466" s="46">
        <v>45000</v>
      </c>
      <c r="F1466" s="47">
        <f>+$I$4+(CLIENT[[#This Row],[QUANTITE]]*CLIENT[[#This Row],[PRIX UNITAIRE]])</f>
        <v>45000</v>
      </c>
      <c r="G1466" s="48"/>
      <c r="H1466" s="49">
        <f>+SUM($F$9:F1466)-SUM($G$9:G1466)</f>
        <v>66727000</v>
      </c>
    </row>
    <row r="1467" spans="1:8" ht="28.8" x14ac:dyDescent="0.55000000000000004">
      <c r="A1467" s="43">
        <v>45899</v>
      </c>
      <c r="B1467" s="43"/>
      <c r="C1467" s="44" t="s">
        <v>3014</v>
      </c>
      <c r="D1467" s="45">
        <v>2</v>
      </c>
      <c r="E1467" s="46">
        <v>200000</v>
      </c>
      <c r="F1467" s="47">
        <f>+$I$4+(CLIENT[[#This Row],[QUANTITE]]*CLIENT[[#This Row],[PRIX UNITAIRE]])</f>
        <v>400000</v>
      </c>
      <c r="G1467" s="48"/>
      <c r="H1467" s="49">
        <f>+SUM($F$9:F1467)-SUM($G$9:G1467)</f>
        <v>67127000</v>
      </c>
    </row>
    <row r="1468" spans="1:8" ht="28.8" x14ac:dyDescent="0.55000000000000004">
      <c r="A1468" s="43">
        <v>45903</v>
      </c>
      <c r="B1468" s="43"/>
      <c r="C1468" s="44" t="s">
        <v>3015</v>
      </c>
      <c r="D1468" s="45">
        <v>1</v>
      </c>
      <c r="E1468" s="46">
        <v>180000</v>
      </c>
      <c r="F1468" s="47">
        <f>+$I$4+(CLIENT[[#This Row],[QUANTITE]]*CLIENT[[#This Row],[PRIX UNITAIRE]])</f>
        <v>180000</v>
      </c>
      <c r="G1468" s="48"/>
      <c r="H1468" s="49">
        <f>+SUM($F$9:F1468)-SUM($G$9:G1468)</f>
        <v>67307000</v>
      </c>
    </row>
    <row r="1469" spans="1:8" ht="28.8" x14ac:dyDescent="0.55000000000000004">
      <c r="A1469" s="43">
        <v>45905</v>
      </c>
      <c r="B1469" s="43"/>
      <c r="C1469" s="44" t="s">
        <v>3016</v>
      </c>
      <c r="D1469" s="45">
        <v>1</v>
      </c>
      <c r="E1469" s="46">
        <v>180000</v>
      </c>
      <c r="F1469" s="47">
        <f>+$I$4+(CLIENT[[#This Row],[QUANTITE]]*CLIENT[[#This Row],[PRIX UNITAIRE]])</f>
        <v>180000</v>
      </c>
      <c r="G1469" s="48"/>
      <c r="H1469" s="49">
        <f>+SUM($F$9:F1469)-SUM($G$9:G1469)</f>
        <v>67487000</v>
      </c>
    </row>
    <row r="1470" spans="1:8" ht="28.8" x14ac:dyDescent="0.55000000000000004">
      <c r="A1470" s="43">
        <v>45874</v>
      </c>
      <c r="B1470" s="43"/>
      <c r="C1470" s="44" t="s">
        <v>3017</v>
      </c>
      <c r="D1470" s="45">
        <v>1</v>
      </c>
      <c r="E1470" s="46">
        <v>180000</v>
      </c>
      <c r="F1470" s="47">
        <f>+$I$4+(CLIENT[[#This Row],[QUANTITE]]*CLIENT[[#This Row],[PRIX UNITAIRE]])</f>
        <v>180000</v>
      </c>
      <c r="G1470" s="48"/>
      <c r="H1470" s="49">
        <f>+SUM($F$9:F1470)-SUM($G$9:G1470)</f>
        <v>67667000</v>
      </c>
    </row>
    <row r="1471" spans="1:8" ht="28.8" x14ac:dyDescent="0.55000000000000004">
      <c r="A1471" s="43">
        <v>45875</v>
      </c>
      <c r="B1471" s="43"/>
      <c r="C1471" s="44" t="s">
        <v>3018</v>
      </c>
      <c r="D1471" s="45">
        <v>1</v>
      </c>
      <c r="E1471" s="46">
        <v>180000</v>
      </c>
      <c r="F1471" s="47">
        <f>+$I$4+(CLIENT[[#This Row],[QUANTITE]]*CLIENT[[#This Row],[PRIX UNITAIRE]])</f>
        <v>180000</v>
      </c>
      <c r="G1471" s="48"/>
      <c r="H1471" s="49">
        <f>+SUM($F$9:F1471)-SUM($G$9:G1471)</f>
        <v>67847000</v>
      </c>
    </row>
    <row r="1472" spans="1:8" ht="28.8" x14ac:dyDescent="0.55000000000000004">
      <c r="A1472" s="43">
        <v>45909</v>
      </c>
      <c r="B1472" s="43"/>
      <c r="C1472" s="44" t="s">
        <v>3019</v>
      </c>
      <c r="D1472" s="45">
        <v>1</v>
      </c>
      <c r="E1472" s="46">
        <v>150000</v>
      </c>
      <c r="F1472" s="47">
        <f>+$I$4+(CLIENT[[#This Row],[QUANTITE]]*CLIENT[[#This Row],[PRIX UNITAIRE]])</f>
        <v>150000</v>
      </c>
      <c r="G1472" s="48"/>
      <c r="H1472" s="49">
        <f>+SUM($F$9:F1472)-SUM($G$9:G1472)</f>
        <v>67997000</v>
      </c>
    </row>
    <row r="1473" spans="1:8" ht="29.4" thickBot="1" x14ac:dyDescent="0.6">
      <c r="A1473" s="97">
        <v>45909</v>
      </c>
      <c r="B1473" s="97"/>
      <c r="C1473" s="96" t="s">
        <v>3020</v>
      </c>
      <c r="D1473" s="98">
        <v>2</v>
      </c>
      <c r="E1473" s="99">
        <v>185000</v>
      </c>
      <c r="F1473" s="100">
        <f>+$I$4+(CLIENT[[#This Row],[QUANTITE]]*CLIENT[[#This Row],[PRIX UNITAIRE]])</f>
        <v>370000</v>
      </c>
      <c r="G1473" s="101"/>
      <c r="H1473" s="49">
        <f>+SUM($F$9:F1473)-SUM($G$9:G1473)</f>
        <v>68367000</v>
      </c>
    </row>
    <row r="1474" spans="1:8" ht="28.8" x14ac:dyDescent="0.55000000000000004">
      <c r="A1474" s="102">
        <v>45915</v>
      </c>
      <c r="B1474" s="103"/>
      <c r="C1474" s="104" t="s">
        <v>3044</v>
      </c>
      <c r="D1474" s="105">
        <v>2</v>
      </c>
      <c r="E1474" s="106">
        <v>200000</v>
      </c>
      <c r="F1474" s="107">
        <f>+$I$4+(CLIENT[[#This Row],[QUANTITE]]*CLIENT[[#This Row],[PRIX UNITAIRE]])</f>
        <v>400000</v>
      </c>
      <c r="G1474" s="108"/>
      <c r="H1474" s="49">
        <f>+SUM($F$9:F1474)-SUM($G$9:G1474)</f>
        <v>68767000</v>
      </c>
    </row>
    <row r="1475" spans="1:8" ht="28.8" x14ac:dyDescent="0.55000000000000004">
      <c r="A1475" s="43">
        <v>45922</v>
      </c>
      <c r="B1475" s="43"/>
      <c r="C1475" s="44" t="s">
        <v>237</v>
      </c>
      <c r="D1475" s="45">
        <v>10</v>
      </c>
      <c r="E1475" s="46">
        <v>45000</v>
      </c>
      <c r="F1475" s="47">
        <f>+$I$4+(CLIENT[[#This Row],[QUANTITE]]*CLIENT[[#This Row],[PRIX UNITAIRE]])</f>
        <v>450000</v>
      </c>
      <c r="G1475" s="48"/>
      <c r="H1475" s="49">
        <f>+SUM($F$9:F1475)-SUM($G$9:G1475)</f>
        <v>69217000</v>
      </c>
    </row>
    <row r="1476" spans="1:8" ht="28.8" x14ac:dyDescent="0.55000000000000004">
      <c r="A1476" s="43">
        <v>45924</v>
      </c>
      <c r="B1476" s="43"/>
      <c r="C1476" s="44" t="s">
        <v>3082</v>
      </c>
      <c r="D1476" s="45">
        <v>1</v>
      </c>
      <c r="E1476" s="46">
        <v>180000</v>
      </c>
      <c r="F1476" s="47">
        <f>+$I$4+(CLIENT[[#This Row],[QUANTITE]]*CLIENT[[#This Row],[PRIX UNITAIRE]])</f>
        <v>180000</v>
      </c>
      <c r="G1476" s="48"/>
      <c r="H1476" s="49">
        <f>+SUM($F$9:F1476)-SUM($G$9:G1476)</f>
        <v>69397000</v>
      </c>
    </row>
    <row r="1477" spans="1:8" ht="28.8" x14ac:dyDescent="0.55000000000000004">
      <c r="A1477" s="43">
        <v>45924</v>
      </c>
      <c r="B1477" s="43"/>
      <c r="C1477" s="44" t="s">
        <v>3083</v>
      </c>
      <c r="D1477" s="45">
        <v>1</v>
      </c>
      <c r="E1477" s="46">
        <v>180000</v>
      </c>
      <c r="F1477" s="47">
        <f>+$I$4+(CLIENT[[#This Row],[QUANTITE]]*CLIENT[[#This Row],[PRIX UNITAIRE]])</f>
        <v>180000</v>
      </c>
      <c r="G1477" s="48"/>
      <c r="H1477" s="49">
        <f>+SUM($F$9:F1477)-SUM($G$9:G1477)</f>
        <v>69577000</v>
      </c>
    </row>
    <row r="1478" spans="1:8" ht="28.8" x14ac:dyDescent="0.55000000000000004">
      <c r="A1478" s="43">
        <v>45936</v>
      </c>
      <c r="B1478" s="43"/>
      <c r="C1478" s="44" t="s">
        <v>3083</v>
      </c>
      <c r="D1478" s="45">
        <v>1</v>
      </c>
      <c r="E1478" s="46">
        <v>180000</v>
      </c>
      <c r="F1478" s="47">
        <f>+$I$4+(CLIENT[[#This Row],[QUANTITE]]*CLIENT[[#This Row],[PRIX UNITAIRE]])</f>
        <v>180000</v>
      </c>
      <c r="G1478" s="48"/>
      <c r="H1478" s="49">
        <f>+SUM($F$9:F1478)-SUM($G$9:G1478)</f>
        <v>69757000</v>
      </c>
    </row>
    <row r="1479" spans="1:8" ht="28.8" x14ac:dyDescent="0.55000000000000004">
      <c r="A1479" s="43">
        <v>45936</v>
      </c>
      <c r="B1479" s="43"/>
      <c r="C1479" s="44" t="s">
        <v>3152</v>
      </c>
      <c r="D1479" s="45">
        <v>1</v>
      </c>
      <c r="E1479" s="46">
        <v>180000</v>
      </c>
      <c r="F1479" s="47">
        <f>+$I$4+(CLIENT[[#This Row],[QUANTITE]]*CLIENT[[#This Row],[PRIX UNITAIRE]])</f>
        <v>180000</v>
      </c>
      <c r="G1479" s="48"/>
      <c r="H1479" s="49">
        <f>+SUM($F$9:F1479)-SUM($G$9:G1479)</f>
        <v>69937000</v>
      </c>
    </row>
    <row r="1480" spans="1:8" ht="28.8" x14ac:dyDescent="0.55000000000000004">
      <c r="A1480" s="43">
        <v>45938</v>
      </c>
      <c r="B1480" s="43"/>
      <c r="C1480" s="44" t="s">
        <v>3168</v>
      </c>
      <c r="D1480" s="45">
        <v>3</v>
      </c>
      <c r="E1480" s="46">
        <v>370000</v>
      </c>
      <c r="F1480" s="47">
        <f>+$I$4+(CLIENT[[#This Row],[QUANTITE]]*CLIENT[[#This Row],[PRIX UNITAIRE]])</f>
        <v>1110000</v>
      </c>
      <c r="G1480" s="48"/>
      <c r="H1480" s="49">
        <f>+SUM($F$9:F1480)-SUM($G$9:G1480)</f>
        <v>71047000</v>
      </c>
    </row>
    <row r="1481" spans="1:8" ht="28.8" x14ac:dyDescent="0.55000000000000004">
      <c r="A1481" s="43">
        <v>45939</v>
      </c>
      <c r="B1481" s="43"/>
      <c r="C1481" s="44" t="s">
        <v>3169</v>
      </c>
      <c r="D1481" s="45">
        <v>2</v>
      </c>
      <c r="E1481" s="46">
        <v>200000</v>
      </c>
      <c r="F1481" s="47">
        <f>+$I$4+(CLIENT[[#This Row],[QUANTITE]]*CLIENT[[#This Row],[PRIX UNITAIRE]])</f>
        <v>400000</v>
      </c>
      <c r="G1481" s="48"/>
      <c r="H1481" s="49">
        <f>+SUM($F$9:F1481)-SUM($G$9:G1481)</f>
        <v>71447000</v>
      </c>
    </row>
    <row r="1482" spans="1:8" ht="28.8" x14ac:dyDescent="0.55000000000000004">
      <c r="A1482" s="43">
        <v>45954</v>
      </c>
      <c r="B1482" s="43"/>
      <c r="C1482" s="44" t="s">
        <v>3212</v>
      </c>
      <c r="D1482" s="45">
        <v>1</v>
      </c>
      <c r="E1482" s="46">
        <v>180000</v>
      </c>
      <c r="F1482" s="47">
        <f>+$I$4+(CLIENT[[#This Row],[QUANTITE]]*CLIENT[[#This Row],[PRIX UNITAIRE]])</f>
        <v>180000</v>
      </c>
      <c r="G1482" s="48"/>
      <c r="H1482" s="49">
        <f>+SUM($F$9:F1482)-SUM($G$9:G1482)</f>
        <v>71627000</v>
      </c>
    </row>
    <row r="1483" spans="1:8" ht="28.8" x14ac:dyDescent="0.55000000000000004">
      <c r="A1483" s="43">
        <v>45954</v>
      </c>
      <c r="B1483" s="43"/>
      <c r="C1483" s="44" t="s">
        <v>3213</v>
      </c>
      <c r="D1483" s="45">
        <v>1</v>
      </c>
      <c r="E1483" s="46">
        <v>150000</v>
      </c>
      <c r="F1483" s="47">
        <f>+$I$4+(CLIENT[[#This Row],[QUANTITE]]*CLIENT[[#This Row],[PRIX UNITAIRE]])</f>
        <v>150000</v>
      </c>
      <c r="G1483" s="48"/>
      <c r="H1483" s="49">
        <f>+SUM($F$9:F1483)-SUM($G$9:G1483)</f>
        <v>71777000</v>
      </c>
    </row>
    <row r="1484" spans="1:8" ht="28.8" x14ac:dyDescent="0.55000000000000004">
      <c r="A1484" s="43">
        <v>45967</v>
      </c>
      <c r="B1484" s="43"/>
      <c r="C1484" s="44" t="s">
        <v>3228</v>
      </c>
      <c r="D1484" s="45">
        <v>1</v>
      </c>
      <c r="E1484" s="46">
        <v>150000</v>
      </c>
      <c r="F1484" s="47">
        <f>+$I$4+(CLIENT[[#This Row],[QUANTITE]]*CLIENT[[#This Row],[PRIX UNITAIRE]])</f>
        <v>150000</v>
      </c>
      <c r="G1484" s="48"/>
      <c r="H1484" s="49">
        <f>+SUM($F$9:F1484)-SUM($G$9:G1484)</f>
        <v>71927000</v>
      </c>
    </row>
    <row r="1485" spans="1:8" ht="28.8" x14ac:dyDescent="0.55000000000000004">
      <c r="A1485" s="43">
        <v>46001</v>
      </c>
      <c r="B1485" s="43"/>
      <c r="C1485" s="44" t="s">
        <v>3122</v>
      </c>
      <c r="D1485" s="45">
        <v>1</v>
      </c>
      <c r="E1485" s="46">
        <v>180000</v>
      </c>
      <c r="F1485" s="47">
        <f>+$I$4+(CLIENT[[#This Row],[QUANTITE]]*CLIENT[[#This Row],[PRIX UNITAIRE]])</f>
        <v>180000</v>
      </c>
      <c r="G1485" s="48"/>
      <c r="H1485" s="49">
        <f>+SUM($F$9:F1485)-SUM($G$9:G1485)</f>
        <v>72107000</v>
      </c>
    </row>
    <row r="1486" spans="1:8" ht="28.8" x14ac:dyDescent="0.55000000000000004">
      <c r="A1486" s="43">
        <v>46009</v>
      </c>
      <c r="B1486" s="43"/>
      <c r="C1486" s="44" t="s">
        <v>3308</v>
      </c>
      <c r="D1486" s="45">
        <v>1</v>
      </c>
      <c r="E1486" s="46">
        <v>150000</v>
      </c>
      <c r="F1486" s="47">
        <f>+$I$4+(CLIENT[[#This Row],[QUANTITE]]*CLIENT[[#This Row],[PRIX UNITAIRE]])</f>
        <v>150000</v>
      </c>
      <c r="G1486" s="48"/>
      <c r="H1486" s="49">
        <f>+SUM($F$9:F1486)-SUM($G$9:G1486)</f>
        <v>72257000</v>
      </c>
    </row>
    <row r="1487" spans="1:8" ht="28.8" x14ac:dyDescent="0.55000000000000004">
      <c r="A1487" s="43">
        <v>46013</v>
      </c>
      <c r="B1487" s="43"/>
      <c r="C1487" s="44" t="s">
        <v>2896</v>
      </c>
      <c r="D1487" s="45">
        <v>1</v>
      </c>
      <c r="E1487" s="46">
        <v>160000</v>
      </c>
      <c r="F1487" s="47">
        <f>+$I$4+(CLIENT[[#This Row],[QUANTITE]]*CLIENT[[#This Row],[PRIX UNITAIRE]])</f>
        <v>160000</v>
      </c>
      <c r="G1487" s="48"/>
      <c r="H1487" s="49">
        <f>+SUM($F$9:F1487)-SUM($G$9:G1487)</f>
        <v>72417000</v>
      </c>
    </row>
    <row r="1488" spans="1:8" ht="28.8" x14ac:dyDescent="0.55000000000000004">
      <c r="A1488" s="43"/>
      <c r="B1488" s="43"/>
      <c r="C1488" s="44"/>
      <c r="D1488" s="45"/>
      <c r="E1488" s="46"/>
      <c r="F1488" s="47">
        <f>+$I$4+(CLIENT[[#This Row],[QUANTITE]]*CLIENT[[#This Row],[PRIX UNITAIRE]])</f>
        <v>0</v>
      </c>
      <c r="G1488" s="48"/>
      <c r="H1488" s="49">
        <f>+SUM($F$9:F1488)-SUM($G$9:G1488)</f>
        <v>72417000</v>
      </c>
    </row>
    <row r="1489" spans="1:8" ht="28.8" x14ac:dyDescent="0.55000000000000004">
      <c r="A1489" s="43"/>
      <c r="B1489" s="43"/>
      <c r="C1489" s="44"/>
      <c r="D1489" s="45"/>
      <c r="E1489" s="46"/>
      <c r="F1489" s="47">
        <f>+$I$4+(CLIENT[[#This Row],[QUANTITE]]*CLIENT[[#This Row],[PRIX UNITAIRE]])</f>
        <v>0</v>
      </c>
      <c r="G1489" s="48"/>
      <c r="H1489" s="49">
        <f>+SUM($F$9:F1489)-SUM($G$9:G1489)</f>
        <v>72417000</v>
      </c>
    </row>
    <row r="1490" spans="1:8" ht="28.8" x14ac:dyDescent="0.55000000000000004">
      <c r="A1490" s="43">
        <v>46024</v>
      </c>
      <c r="B1490" s="43"/>
      <c r="C1490" s="44" t="s">
        <v>2709</v>
      </c>
      <c r="D1490" s="45">
        <v>1</v>
      </c>
      <c r="E1490" s="46">
        <v>180000</v>
      </c>
      <c r="F1490" s="47">
        <f>+$I$4+(CLIENT[[#This Row],[QUANTITE]]*CLIENT[[#This Row],[PRIX UNITAIRE]])</f>
        <v>180000</v>
      </c>
      <c r="G1490" s="48"/>
      <c r="H1490" s="49">
        <f>+SUM($F$9:F1490)-SUM($G$9:G1490)</f>
        <v>72597000</v>
      </c>
    </row>
    <row r="1491" spans="1:8" ht="28.8" x14ac:dyDescent="0.55000000000000004">
      <c r="A1491" s="43"/>
      <c r="B1491" s="43"/>
      <c r="C1491" s="44"/>
      <c r="D1491" s="45"/>
      <c r="E1491" s="46"/>
      <c r="F1491" s="47">
        <f>+$I$4+(CLIENT[[#This Row],[QUANTITE]]*CLIENT[[#This Row],[PRIX UNITAIRE]])</f>
        <v>0</v>
      </c>
      <c r="G1491" s="48"/>
      <c r="H1491" s="49">
        <f>+SUM($F$9:F1491)-SUM($G$9:G1491)</f>
        <v>72597000</v>
      </c>
    </row>
    <row r="1492" spans="1:8" ht="28.8" x14ac:dyDescent="0.55000000000000004">
      <c r="A1492" s="43"/>
      <c r="B1492" s="43"/>
      <c r="C1492" s="44"/>
      <c r="D1492" s="45"/>
      <c r="E1492" s="46"/>
      <c r="F1492" s="47">
        <f>+$I$4+(CLIENT[[#This Row],[QUANTITE]]*CLIENT[[#This Row],[PRIX UNITAIRE]])</f>
        <v>0</v>
      </c>
      <c r="G1492" s="48"/>
      <c r="H1492" s="49">
        <f>+SUM($F$9:F1492)-SUM($G$9:G1492)</f>
        <v>72597000</v>
      </c>
    </row>
    <row r="1493" spans="1:8" ht="28.8" x14ac:dyDescent="0.55000000000000004">
      <c r="A1493" s="43"/>
      <c r="B1493" s="43"/>
      <c r="C1493" s="44"/>
      <c r="D1493" s="45"/>
      <c r="E1493" s="46"/>
      <c r="F1493" s="47">
        <f>+$I$4+(CLIENT[[#This Row],[QUANTITE]]*CLIENT[[#This Row],[PRIX UNITAIRE]])</f>
        <v>0</v>
      </c>
      <c r="G1493" s="48"/>
      <c r="H1493" s="49">
        <f>+SUM($F$9:F1493)-SUM($G$9:G1493)</f>
        <v>72597000</v>
      </c>
    </row>
    <row r="1494" spans="1:8" ht="28.8" x14ac:dyDescent="0.55000000000000004">
      <c r="A1494" s="43"/>
      <c r="B1494" s="43"/>
      <c r="C1494" s="44"/>
      <c r="D1494" s="45"/>
      <c r="E1494" s="46"/>
      <c r="F1494" s="47">
        <f>+$I$4+(CLIENT[[#This Row],[QUANTITE]]*CLIENT[[#This Row],[PRIX UNITAIRE]])</f>
        <v>0</v>
      </c>
      <c r="G1494" s="48"/>
      <c r="H1494" s="49">
        <f>+SUM($F$9:F1494)-SUM($G$9:G1494)</f>
        <v>72597000</v>
      </c>
    </row>
    <row r="1495" spans="1:8" ht="28.8" x14ac:dyDescent="0.55000000000000004">
      <c r="A1495" s="43"/>
      <c r="B1495" s="43"/>
      <c r="C1495" s="44"/>
      <c r="D1495" s="45"/>
      <c r="E1495" s="46"/>
      <c r="F1495" s="47">
        <f>+$I$4+(CLIENT[[#This Row],[QUANTITE]]*CLIENT[[#This Row],[PRIX UNITAIRE]])</f>
        <v>0</v>
      </c>
      <c r="G1495" s="48"/>
      <c r="H1495" s="49">
        <f>+SUM($F$9:F1495)-SUM($G$9:G1495)</f>
        <v>72597000</v>
      </c>
    </row>
    <row r="1496" spans="1:8" ht="28.8" x14ac:dyDescent="0.55000000000000004">
      <c r="A1496" s="43"/>
      <c r="B1496" s="43"/>
      <c r="C1496" s="44"/>
      <c r="D1496" s="45"/>
      <c r="E1496" s="46"/>
      <c r="F1496" s="47">
        <f>+$I$4+(CLIENT[[#This Row],[QUANTITE]]*CLIENT[[#This Row],[PRIX UNITAIRE]])</f>
        <v>0</v>
      </c>
      <c r="G1496" s="48"/>
      <c r="H1496" s="49">
        <f>+SUM($F$9:F1496)-SUM($G$9:G1496)</f>
        <v>72597000</v>
      </c>
    </row>
    <row r="1497" spans="1:8" ht="28.8" x14ac:dyDescent="0.55000000000000004">
      <c r="A1497" s="43"/>
      <c r="B1497" s="43"/>
      <c r="C1497" s="44"/>
      <c r="D1497" s="45"/>
      <c r="E1497" s="46"/>
      <c r="F1497" s="47">
        <f>+$I$4+(CLIENT[[#This Row],[QUANTITE]]*CLIENT[[#This Row],[PRIX UNITAIRE]])</f>
        <v>0</v>
      </c>
      <c r="G1497" s="48"/>
      <c r="H1497" s="49">
        <f>+SUM($F$9:F1497)-SUM($G$9:G1497)</f>
        <v>72597000</v>
      </c>
    </row>
    <row r="1498" spans="1:8" ht="28.8" x14ac:dyDescent="0.55000000000000004">
      <c r="A1498" s="43"/>
      <c r="B1498" s="43"/>
      <c r="C1498" s="44"/>
      <c r="D1498" s="45"/>
      <c r="E1498" s="46"/>
      <c r="F1498" s="47">
        <f>+$I$4+(CLIENT[[#This Row],[QUANTITE]]*CLIENT[[#This Row],[PRIX UNITAIRE]])</f>
        <v>0</v>
      </c>
      <c r="G1498" s="48"/>
      <c r="H1498" s="49">
        <f>+SUM($F$9:F1498)-SUM($G$9:G1498)</f>
        <v>72597000</v>
      </c>
    </row>
    <row r="1499" spans="1:8" ht="28.8" x14ac:dyDescent="0.55000000000000004">
      <c r="A1499" s="43"/>
      <c r="B1499" s="43"/>
      <c r="C1499" s="44"/>
      <c r="D1499" s="45"/>
      <c r="E1499" s="46"/>
      <c r="F1499" s="47">
        <f>+$I$4+(CLIENT[[#This Row],[QUANTITE]]*CLIENT[[#This Row],[PRIX UNITAIRE]])</f>
        <v>0</v>
      </c>
      <c r="G1499" s="48"/>
      <c r="H1499" s="49">
        <f>+SUM($F$9:F1499)-SUM($G$9:G1499)</f>
        <v>72597000</v>
      </c>
    </row>
    <row r="1500" spans="1:8" ht="28.8" x14ac:dyDescent="0.55000000000000004">
      <c r="A1500" s="43"/>
      <c r="B1500" s="43"/>
      <c r="C1500" s="44"/>
      <c r="D1500" s="45"/>
      <c r="E1500" s="46"/>
      <c r="F1500" s="47">
        <f>+$I$4+(CLIENT[[#This Row],[QUANTITE]]*CLIENT[[#This Row],[PRIX UNITAIRE]])</f>
        <v>0</v>
      </c>
      <c r="G1500" s="48"/>
      <c r="H1500" s="49">
        <f>+SUM($F$9:F1500)-SUM($G$9:G1500)</f>
        <v>72597000</v>
      </c>
    </row>
    <row r="1501" spans="1:8" ht="28.8" x14ac:dyDescent="0.55000000000000004">
      <c r="A1501" s="43"/>
      <c r="B1501" s="43"/>
      <c r="C1501" s="44"/>
      <c r="D1501" s="45"/>
      <c r="E1501" s="46"/>
      <c r="F1501" s="47">
        <f>+$I$4+(CLIENT[[#This Row],[QUANTITE]]*CLIENT[[#This Row],[PRIX UNITAIRE]])</f>
        <v>0</v>
      </c>
      <c r="G1501" s="48"/>
      <c r="H1501" s="49">
        <f>+SUM($F$9:F1501)-SUM($G$9:G1501)</f>
        <v>72597000</v>
      </c>
    </row>
    <row r="1502" spans="1:8" ht="28.8" x14ac:dyDescent="0.55000000000000004">
      <c r="A1502" s="43"/>
      <c r="B1502" s="43"/>
      <c r="C1502" s="44"/>
      <c r="D1502" s="45"/>
      <c r="E1502" s="46"/>
      <c r="F1502" s="47">
        <f>+$I$4+(CLIENT[[#This Row],[QUANTITE]]*CLIENT[[#This Row],[PRIX UNITAIRE]])</f>
        <v>0</v>
      </c>
      <c r="G1502" s="48"/>
      <c r="H1502" s="49">
        <f>+SUM($F$9:F1502)-SUM($G$9:G1502)</f>
        <v>72597000</v>
      </c>
    </row>
    <row r="1503" spans="1:8" ht="28.8" x14ac:dyDescent="0.55000000000000004">
      <c r="A1503" s="43"/>
      <c r="B1503" s="43"/>
      <c r="C1503" s="44"/>
      <c r="D1503" s="45"/>
      <c r="E1503" s="46"/>
      <c r="F1503" s="47">
        <f>+$I$4+(CLIENT[[#This Row],[QUANTITE]]*CLIENT[[#This Row],[PRIX UNITAIRE]])</f>
        <v>0</v>
      </c>
      <c r="G1503" s="48"/>
      <c r="H1503" s="49">
        <f>+SUM($F$9:F1503)-SUM($G$9:G1503)</f>
        <v>72597000</v>
      </c>
    </row>
    <row r="1504" spans="1:8" ht="28.8" x14ac:dyDescent="0.55000000000000004">
      <c r="A1504" s="43"/>
      <c r="B1504" s="43"/>
      <c r="C1504" s="44"/>
      <c r="D1504" s="45"/>
      <c r="E1504" s="46"/>
      <c r="F1504" s="47">
        <f>+$I$4+(CLIENT[[#This Row],[QUANTITE]]*CLIENT[[#This Row],[PRIX UNITAIRE]])</f>
        <v>0</v>
      </c>
      <c r="G1504" s="48"/>
      <c r="H1504" s="49">
        <f>+SUM($F$9:F1504)-SUM($G$9:G1504)</f>
        <v>72597000</v>
      </c>
    </row>
    <row r="1505" spans="1:8" ht="28.8" x14ac:dyDescent="0.55000000000000004">
      <c r="A1505" s="43"/>
      <c r="B1505" s="43"/>
      <c r="C1505" s="44"/>
      <c r="D1505" s="45"/>
      <c r="E1505" s="46"/>
      <c r="F1505" s="47">
        <f>+$I$4+(CLIENT[[#This Row],[QUANTITE]]*CLIENT[[#This Row],[PRIX UNITAIRE]])</f>
        <v>0</v>
      </c>
      <c r="G1505" s="48"/>
      <c r="H1505" s="49">
        <f>+SUM($F$9:F1505)-SUM($G$9:G1505)</f>
        <v>72597000</v>
      </c>
    </row>
    <row r="1506" spans="1:8" ht="28.8" x14ac:dyDescent="0.55000000000000004">
      <c r="A1506" s="43"/>
      <c r="B1506" s="43"/>
      <c r="C1506" s="44"/>
      <c r="D1506" s="45"/>
      <c r="E1506" s="46"/>
      <c r="F1506" s="47">
        <f>+$I$4+(CLIENT[[#This Row],[QUANTITE]]*CLIENT[[#This Row],[PRIX UNITAIRE]])</f>
        <v>0</v>
      </c>
      <c r="G1506" s="48"/>
      <c r="H1506" s="49">
        <f>+SUM($F$9:F1506)-SUM($G$9:G1506)</f>
        <v>72597000</v>
      </c>
    </row>
    <row r="1507" spans="1:8" ht="28.8" x14ac:dyDescent="0.55000000000000004">
      <c r="A1507" s="43"/>
      <c r="B1507" s="43"/>
      <c r="C1507" s="44"/>
      <c r="D1507" s="45"/>
      <c r="E1507" s="46"/>
      <c r="F1507" s="47">
        <f>+$I$4+(CLIENT[[#This Row],[QUANTITE]]*CLIENT[[#This Row],[PRIX UNITAIRE]])</f>
        <v>0</v>
      </c>
      <c r="G1507" s="48"/>
      <c r="H1507" s="49">
        <f>+SUM($F$9:F1507)-SUM($G$9:G1507)</f>
        <v>72597000</v>
      </c>
    </row>
    <row r="1508" spans="1:8" ht="28.8" x14ac:dyDescent="0.55000000000000004">
      <c r="A1508" s="43"/>
      <c r="B1508" s="43"/>
      <c r="C1508" s="44"/>
      <c r="D1508" s="45"/>
      <c r="E1508" s="46"/>
      <c r="F1508" s="47">
        <f>+$I$4+(CLIENT[[#This Row],[QUANTITE]]*CLIENT[[#This Row],[PRIX UNITAIRE]])</f>
        <v>0</v>
      </c>
      <c r="G1508" s="48"/>
      <c r="H1508" s="49">
        <f>+SUM($F$9:F1508)-SUM($G$9:G1508)</f>
        <v>72597000</v>
      </c>
    </row>
    <row r="1509" spans="1:8" ht="28.8" x14ac:dyDescent="0.55000000000000004">
      <c r="A1509" s="43"/>
      <c r="B1509" s="43"/>
      <c r="C1509" s="44"/>
      <c r="D1509" s="45"/>
      <c r="E1509" s="46"/>
      <c r="F1509" s="47">
        <f>+$I$4+(CLIENT[[#This Row],[QUANTITE]]*CLIENT[[#This Row],[PRIX UNITAIRE]])</f>
        <v>0</v>
      </c>
      <c r="G1509" s="48"/>
      <c r="H1509" s="49">
        <f>+SUM($F$9:F1509)-SUM($G$9:G1509)</f>
        <v>72597000</v>
      </c>
    </row>
    <row r="1510" spans="1:8" ht="28.8" x14ac:dyDescent="0.55000000000000004">
      <c r="A1510" s="43"/>
      <c r="B1510" s="43"/>
      <c r="C1510" s="44"/>
      <c r="D1510" s="45"/>
      <c r="E1510" s="46"/>
      <c r="F1510" s="47">
        <f>+$I$4+(CLIENT[[#This Row],[QUANTITE]]*CLIENT[[#This Row],[PRIX UNITAIRE]])</f>
        <v>0</v>
      </c>
      <c r="G1510" s="48"/>
      <c r="H1510" s="49">
        <f>+SUM($F$9:F1510)-SUM($G$9:G1510)</f>
        <v>72597000</v>
      </c>
    </row>
    <row r="1511" spans="1:8" ht="28.8" x14ac:dyDescent="0.55000000000000004">
      <c r="A1511" s="43"/>
      <c r="B1511" s="43"/>
      <c r="C1511" s="44"/>
      <c r="D1511" s="45"/>
      <c r="E1511" s="46"/>
      <c r="F1511" s="47">
        <f>+$I$4+(CLIENT[[#This Row],[QUANTITE]]*CLIENT[[#This Row],[PRIX UNITAIRE]])</f>
        <v>0</v>
      </c>
      <c r="G1511" s="48"/>
      <c r="H1511" s="49">
        <f>+SUM($F$9:F1511)-SUM($G$9:G1511)</f>
        <v>72597000</v>
      </c>
    </row>
    <row r="1512" spans="1:8" ht="28.8" x14ac:dyDescent="0.55000000000000004">
      <c r="A1512" s="43"/>
      <c r="B1512" s="43"/>
      <c r="C1512" s="44"/>
      <c r="D1512" s="45"/>
      <c r="E1512" s="46"/>
      <c r="F1512" s="47">
        <f>+$I$4+(CLIENT[[#This Row],[QUANTITE]]*CLIENT[[#This Row],[PRIX UNITAIRE]])</f>
        <v>0</v>
      </c>
      <c r="G1512" s="48"/>
      <c r="H1512" s="49">
        <f>+SUM($F$9:F1512)-SUM($G$9:G1512)</f>
        <v>72597000</v>
      </c>
    </row>
    <row r="1513" spans="1:8" ht="28.8" x14ac:dyDescent="0.55000000000000004">
      <c r="A1513" s="43"/>
      <c r="B1513" s="43"/>
      <c r="C1513" s="44"/>
      <c r="D1513" s="45"/>
      <c r="E1513" s="46"/>
      <c r="F1513" s="47">
        <f>+$I$4+(CLIENT[[#This Row],[QUANTITE]]*CLIENT[[#This Row],[PRIX UNITAIRE]])</f>
        <v>0</v>
      </c>
      <c r="G1513" s="48"/>
      <c r="H1513" s="49">
        <f>+SUM($F$9:F1513)-SUM($G$9:G1513)</f>
        <v>72597000</v>
      </c>
    </row>
    <row r="1514" spans="1:8" ht="28.8" x14ac:dyDescent="0.55000000000000004">
      <c r="A1514" s="43"/>
      <c r="B1514" s="43"/>
      <c r="C1514" s="44"/>
      <c r="D1514" s="45"/>
      <c r="E1514" s="46"/>
      <c r="F1514" s="47">
        <f>+$I$4+(CLIENT[[#This Row],[QUANTITE]]*CLIENT[[#This Row],[PRIX UNITAIRE]])</f>
        <v>0</v>
      </c>
      <c r="G1514" s="48"/>
      <c r="H1514" s="49">
        <f>+SUM($F$9:F1514)-SUM($G$9:G1514)</f>
        <v>72597000</v>
      </c>
    </row>
    <row r="1515" spans="1:8" ht="28.8" x14ac:dyDescent="0.55000000000000004">
      <c r="A1515" s="43"/>
      <c r="B1515" s="43"/>
      <c r="C1515" s="44"/>
      <c r="D1515" s="45"/>
      <c r="E1515" s="46"/>
      <c r="F1515" s="47">
        <f>+$I$4+(CLIENT[[#This Row],[QUANTITE]]*CLIENT[[#This Row],[PRIX UNITAIRE]])</f>
        <v>0</v>
      </c>
      <c r="G1515" s="48"/>
      <c r="H1515" s="49">
        <f>+SUM($F$9:F1515)-SUM($G$9:G1515)</f>
        <v>72597000</v>
      </c>
    </row>
    <row r="1516" spans="1:8" ht="28.8" x14ac:dyDescent="0.55000000000000004">
      <c r="A1516" s="43"/>
      <c r="B1516" s="43"/>
      <c r="C1516" s="44"/>
      <c r="D1516" s="45"/>
      <c r="E1516" s="46"/>
      <c r="F1516" s="47">
        <f>+$I$4+(CLIENT[[#This Row],[QUANTITE]]*CLIENT[[#This Row],[PRIX UNITAIRE]])</f>
        <v>0</v>
      </c>
      <c r="G1516" s="48"/>
      <c r="H1516" s="49">
        <f>+SUM($F$9:F1516)-SUM($G$9:G1516)</f>
        <v>72597000</v>
      </c>
    </row>
    <row r="1517" spans="1:8" ht="28.8" x14ac:dyDescent="0.55000000000000004">
      <c r="A1517" s="43"/>
      <c r="B1517" s="43"/>
      <c r="C1517" s="44"/>
      <c r="D1517" s="45"/>
      <c r="E1517" s="46"/>
      <c r="F1517" s="47">
        <f>+$I$4+(CLIENT[[#This Row],[QUANTITE]]*CLIENT[[#This Row],[PRIX UNITAIRE]])</f>
        <v>0</v>
      </c>
      <c r="G1517" s="48"/>
      <c r="H1517" s="49">
        <f>+SUM($F$9:F1517)-SUM($G$9:G1517)</f>
        <v>72597000</v>
      </c>
    </row>
    <row r="1518" spans="1:8" ht="28.8" x14ac:dyDescent="0.55000000000000004">
      <c r="A1518" s="43"/>
      <c r="B1518" s="43"/>
      <c r="C1518" s="44"/>
      <c r="D1518" s="45"/>
      <c r="E1518" s="46"/>
      <c r="F1518" s="47">
        <f>+$I$4+(CLIENT[[#This Row],[QUANTITE]]*CLIENT[[#This Row],[PRIX UNITAIRE]])</f>
        <v>0</v>
      </c>
      <c r="G1518" s="48"/>
      <c r="H1518" s="49">
        <f>+SUM($F$9:F1518)-SUM($G$9:G1518)</f>
        <v>72597000</v>
      </c>
    </row>
    <row r="1519" spans="1:8" ht="28.8" x14ac:dyDescent="0.55000000000000004">
      <c r="A1519" s="43"/>
      <c r="B1519" s="43"/>
      <c r="C1519" s="44"/>
      <c r="D1519" s="45"/>
      <c r="E1519" s="46"/>
      <c r="F1519" s="47">
        <f>+$I$4+(CLIENT[[#This Row],[QUANTITE]]*CLIENT[[#This Row],[PRIX UNITAIRE]])</f>
        <v>0</v>
      </c>
      <c r="G1519" s="48"/>
      <c r="H1519" s="49">
        <f>+SUM($F$9:F1519)-SUM($G$9:G1519)</f>
        <v>72597000</v>
      </c>
    </row>
    <row r="1520" spans="1:8" ht="28.8" x14ac:dyDescent="0.55000000000000004">
      <c r="A1520" s="43"/>
      <c r="B1520" s="43"/>
      <c r="C1520" s="44"/>
      <c r="D1520" s="45"/>
      <c r="E1520" s="46"/>
      <c r="F1520" s="47">
        <f>+$I$4+(CLIENT[[#This Row],[QUANTITE]]*CLIENT[[#This Row],[PRIX UNITAIRE]])</f>
        <v>0</v>
      </c>
      <c r="G1520" s="48"/>
      <c r="H1520" s="49">
        <f>+SUM($F$9:F1520)-SUM($G$9:G1520)</f>
        <v>72597000</v>
      </c>
    </row>
    <row r="1521" spans="1:8" ht="28.8" x14ac:dyDescent="0.55000000000000004">
      <c r="A1521" s="43"/>
      <c r="B1521" s="43"/>
      <c r="C1521" s="44"/>
      <c r="D1521" s="45"/>
      <c r="E1521" s="46"/>
      <c r="F1521" s="47">
        <f>+$I$4+(CLIENT[[#This Row],[QUANTITE]]*CLIENT[[#This Row],[PRIX UNITAIRE]])</f>
        <v>0</v>
      </c>
      <c r="G1521" s="48"/>
      <c r="H1521" s="49">
        <f>+SUM($F$9:F1521)-SUM($G$9:G1521)</f>
        <v>72597000</v>
      </c>
    </row>
    <row r="1522" spans="1:8" ht="28.8" x14ac:dyDescent="0.55000000000000004">
      <c r="A1522" s="43"/>
      <c r="B1522" s="43"/>
      <c r="C1522" s="44"/>
      <c r="D1522" s="45"/>
      <c r="E1522" s="46"/>
      <c r="F1522" s="47">
        <f>+$I$4+(CLIENT[[#This Row],[QUANTITE]]*CLIENT[[#This Row],[PRIX UNITAIRE]])</f>
        <v>0</v>
      </c>
      <c r="G1522" s="48"/>
      <c r="H1522" s="49">
        <f>+SUM($F$9:F1522)-SUM($G$9:G1522)</f>
        <v>72597000</v>
      </c>
    </row>
    <row r="1523" spans="1:8" ht="28.8" x14ac:dyDescent="0.55000000000000004">
      <c r="A1523" s="43"/>
      <c r="B1523" s="43"/>
      <c r="C1523" s="44"/>
      <c r="D1523" s="45"/>
      <c r="E1523" s="46"/>
      <c r="F1523" s="47">
        <f>+$I$4+(CLIENT[[#This Row],[QUANTITE]]*CLIENT[[#This Row],[PRIX UNITAIRE]])</f>
        <v>0</v>
      </c>
      <c r="G1523" s="48"/>
      <c r="H1523" s="49">
        <f>+SUM($F$9:F1523)-SUM($G$9:G1523)</f>
        <v>72597000</v>
      </c>
    </row>
    <row r="1524" spans="1:8" ht="28.8" x14ac:dyDescent="0.55000000000000004">
      <c r="A1524" s="43"/>
      <c r="B1524" s="43"/>
      <c r="C1524" s="44"/>
      <c r="D1524" s="45"/>
      <c r="E1524" s="46"/>
      <c r="F1524" s="47">
        <f>+$I$4+(CLIENT[[#This Row],[QUANTITE]]*CLIENT[[#This Row],[PRIX UNITAIRE]])</f>
        <v>0</v>
      </c>
      <c r="G1524" s="48"/>
      <c r="H1524" s="49">
        <f>+SUM($F$9:F1524)-SUM($G$9:G1524)</f>
        <v>72597000</v>
      </c>
    </row>
    <row r="1525" spans="1:8" ht="28.8" x14ac:dyDescent="0.55000000000000004">
      <c r="A1525" s="43"/>
      <c r="B1525" s="43"/>
      <c r="C1525" s="44"/>
      <c r="D1525" s="45"/>
      <c r="E1525" s="46"/>
      <c r="F1525" s="47">
        <f>+$I$4+(CLIENT[[#This Row],[QUANTITE]]*CLIENT[[#This Row],[PRIX UNITAIRE]])</f>
        <v>0</v>
      </c>
      <c r="G1525" s="48"/>
      <c r="H1525" s="49">
        <f>+SUM($F$9:F1525)-SUM($G$9:G1525)</f>
        <v>72597000</v>
      </c>
    </row>
    <row r="1526" spans="1:8" ht="28.8" x14ac:dyDescent="0.55000000000000004">
      <c r="A1526" s="43"/>
      <c r="B1526" s="43"/>
      <c r="C1526" s="44"/>
      <c r="D1526" s="45"/>
      <c r="E1526" s="46"/>
      <c r="F1526" s="47">
        <f>+$I$4+(CLIENT[[#This Row],[QUANTITE]]*CLIENT[[#This Row],[PRIX UNITAIRE]])</f>
        <v>0</v>
      </c>
      <c r="G1526" s="48"/>
      <c r="H1526" s="49">
        <f>+SUM($F$9:F1526)-SUM($G$9:G1526)</f>
        <v>72597000</v>
      </c>
    </row>
    <row r="1527" spans="1:8" ht="28.8" x14ac:dyDescent="0.55000000000000004">
      <c r="A1527" s="43"/>
      <c r="B1527" s="43"/>
      <c r="C1527" s="44"/>
      <c r="D1527" s="45"/>
      <c r="E1527" s="46"/>
      <c r="F1527" s="47">
        <f>+$I$4+(CLIENT[[#This Row],[QUANTITE]]*CLIENT[[#This Row],[PRIX UNITAIRE]])</f>
        <v>0</v>
      </c>
      <c r="G1527" s="48"/>
      <c r="H1527" s="49">
        <f>+SUM($F$9:F1527)-SUM($G$9:G1527)</f>
        <v>72597000</v>
      </c>
    </row>
    <row r="1528" spans="1:8" ht="28.8" x14ac:dyDescent="0.55000000000000004">
      <c r="A1528" s="43"/>
      <c r="B1528" s="43"/>
      <c r="C1528" s="44"/>
      <c r="D1528" s="45"/>
      <c r="E1528" s="46"/>
      <c r="F1528" s="47">
        <f>+$I$4+(CLIENT[[#This Row],[QUANTITE]]*CLIENT[[#This Row],[PRIX UNITAIRE]])</f>
        <v>0</v>
      </c>
      <c r="G1528" s="48"/>
      <c r="H1528" s="49">
        <f>+SUM($F$9:F1528)-SUM($G$9:G1528)</f>
        <v>72597000</v>
      </c>
    </row>
    <row r="1529" spans="1:8" ht="28.8" x14ac:dyDescent="0.55000000000000004">
      <c r="A1529" s="43"/>
      <c r="B1529" s="43"/>
      <c r="C1529" s="44"/>
      <c r="D1529" s="45"/>
      <c r="E1529" s="46"/>
      <c r="F1529" s="47">
        <f>+$I$4+(CLIENT[[#This Row],[QUANTITE]]*CLIENT[[#This Row],[PRIX UNITAIRE]])</f>
        <v>0</v>
      </c>
      <c r="G1529" s="48"/>
      <c r="H1529" s="49">
        <f>+SUM($F$9:F1529)-SUM($G$9:G1529)</f>
        <v>72597000</v>
      </c>
    </row>
    <row r="1530" spans="1:8" ht="28.8" x14ac:dyDescent="0.55000000000000004">
      <c r="A1530" s="43"/>
      <c r="B1530" s="43"/>
      <c r="C1530" s="44"/>
      <c r="D1530" s="45"/>
      <c r="E1530" s="46"/>
      <c r="F1530" s="47">
        <f>+$I$4+(CLIENT[[#This Row],[QUANTITE]]*CLIENT[[#This Row],[PRIX UNITAIRE]])</f>
        <v>0</v>
      </c>
      <c r="G1530" s="48"/>
      <c r="H1530" s="49">
        <f>+SUM($F$9:F1530)-SUM($G$9:G1530)</f>
        <v>72597000</v>
      </c>
    </row>
    <row r="1531" spans="1:8" ht="28.8" x14ac:dyDescent="0.55000000000000004">
      <c r="A1531" s="43"/>
      <c r="B1531" s="43"/>
      <c r="C1531" s="44"/>
      <c r="D1531" s="45"/>
      <c r="E1531" s="46"/>
      <c r="F1531" s="47">
        <f>+$I$4+(CLIENT[[#This Row],[QUANTITE]]*CLIENT[[#This Row],[PRIX UNITAIRE]])</f>
        <v>0</v>
      </c>
      <c r="G1531" s="48"/>
      <c r="H1531" s="49">
        <f>+SUM($F$9:F1531)-SUM($G$9:G1531)</f>
        <v>72597000</v>
      </c>
    </row>
    <row r="1532" spans="1:8" ht="28.8" x14ac:dyDescent="0.55000000000000004">
      <c r="A1532" s="43"/>
      <c r="B1532" s="43"/>
      <c r="C1532" s="44"/>
      <c r="D1532" s="45"/>
      <c r="E1532" s="46"/>
      <c r="F1532" s="47">
        <f>+$I$4+(CLIENT[[#This Row],[QUANTITE]]*CLIENT[[#This Row],[PRIX UNITAIRE]])</f>
        <v>0</v>
      </c>
      <c r="G1532" s="48"/>
      <c r="H1532" s="49">
        <f>+SUM($F$9:F1532)-SUM($G$9:G1532)</f>
        <v>72597000</v>
      </c>
    </row>
    <row r="1533" spans="1:8" ht="28.8" x14ac:dyDescent="0.55000000000000004">
      <c r="A1533" s="43"/>
      <c r="B1533" s="43"/>
      <c r="C1533" s="44"/>
      <c r="D1533" s="45"/>
      <c r="E1533" s="46"/>
      <c r="F1533" s="47">
        <f>+$I$4+(CLIENT[[#This Row],[QUANTITE]]*CLIENT[[#This Row],[PRIX UNITAIRE]])</f>
        <v>0</v>
      </c>
      <c r="G1533" s="48"/>
      <c r="H1533" s="49">
        <f>+SUM($F$9:F1533)-SUM($G$9:G1533)</f>
        <v>72597000</v>
      </c>
    </row>
    <row r="1534" spans="1:8" ht="28.8" x14ac:dyDescent="0.55000000000000004">
      <c r="A1534" s="43"/>
      <c r="B1534" s="43"/>
      <c r="C1534" s="44"/>
      <c r="D1534" s="45"/>
      <c r="E1534" s="46"/>
      <c r="F1534" s="47">
        <f>+$I$4+(CLIENT[[#This Row],[QUANTITE]]*CLIENT[[#This Row],[PRIX UNITAIRE]])</f>
        <v>0</v>
      </c>
      <c r="G1534" s="48"/>
      <c r="H1534" s="49">
        <f>+SUM($F$9:F1534)-SUM($G$9:G1534)</f>
        <v>72597000</v>
      </c>
    </row>
    <row r="1535" spans="1:8" ht="28.8" x14ac:dyDescent="0.55000000000000004">
      <c r="A1535" s="43"/>
      <c r="B1535" s="43"/>
      <c r="C1535" s="44"/>
      <c r="D1535" s="45"/>
      <c r="E1535" s="46"/>
      <c r="F1535" s="47">
        <f>+$I$4+(CLIENT[[#This Row],[QUANTITE]]*CLIENT[[#This Row],[PRIX UNITAIRE]])</f>
        <v>0</v>
      </c>
      <c r="G1535" s="48"/>
      <c r="H1535" s="49">
        <f>+SUM($F$9:F1535)-SUM($G$9:G1535)</f>
        <v>72597000</v>
      </c>
    </row>
    <row r="1536" spans="1:8" ht="28.8" x14ac:dyDescent="0.55000000000000004">
      <c r="A1536" s="43"/>
      <c r="B1536" s="43"/>
      <c r="C1536" s="44"/>
      <c r="D1536" s="45"/>
      <c r="E1536" s="46"/>
      <c r="F1536" s="47">
        <f>+$I$4+(CLIENT[[#This Row],[QUANTITE]]*CLIENT[[#This Row],[PRIX UNITAIRE]])</f>
        <v>0</v>
      </c>
      <c r="G1536" s="48"/>
      <c r="H1536" s="49">
        <f>+SUM($F$9:F1536)-SUM($G$9:G1536)</f>
        <v>72597000</v>
      </c>
    </row>
    <row r="1537" spans="1:8" ht="28.8" x14ac:dyDescent="0.55000000000000004">
      <c r="A1537" s="43"/>
      <c r="B1537" s="43"/>
      <c r="C1537" s="44"/>
      <c r="D1537" s="45"/>
      <c r="E1537" s="46"/>
      <c r="F1537" s="47">
        <f>+$I$4+(CLIENT[[#This Row],[QUANTITE]]*CLIENT[[#This Row],[PRIX UNITAIRE]])</f>
        <v>0</v>
      </c>
      <c r="G1537" s="48"/>
      <c r="H1537" s="49">
        <f>+SUM($F$9:F1537)-SUM($G$9:G1537)</f>
        <v>72597000</v>
      </c>
    </row>
    <row r="1538" spans="1:8" ht="28.8" x14ac:dyDescent="0.55000000000000004">
      <c r="A1538" s="43"/>
      <c r="B1538" s="43"/>
      <c r="C1538" s="44"/>
      <c r="D1538" s="45"/>
      <c r="E1538" s="46"/>
      <c r="F1538" s="47">
        <f>+$I$4+(CLIENT[[#This Row],[QUANTITE]]*CLIENT[[#This Row],[PRIX UNITAIRE]])</f>
        <v>0</v>
      </c>
      <c r="G1538" s="48"/>
      <c r="H1538" s="49">
        <f>+SUM($F$9:F1538)-SUM($G$9:G1538)</f>
        <v>72597000</v>
      </c>
    </row>
    <row r="1539" spans="1:8" ht="28.8" x14ac:dyDescent="0.55000000000000004">
      <c r="A1539" s="43"/>
      <c r="B1539" s="43"/>
      <c r="C1539" s="44"/>
      <c r="D1539" s="45"/>
      <c r="E1539" s="46"/>
      <c r="F1539" s="47">
        <f>+$I$4+(CLIENT[[#This Row],[QUANTITE]]*CLIENT[[#This Row],[PRIX UNITAIRE]])</f>
        <v>0</v>
      </c>
      <c r="G1539" s="48"/>
      <c r="H1539" s="49">
        <f>+SUM($F$9:F1539)-SUM($G$9:G1539)</f>
        <v>72597000</v>
      </c>
    </row>
    <row r="1540" spans="1:8" ht="28.8" x14ac:dyDescent="0.55000000000000004">
      <c r="A1540" s="43"/>
      <c r="B1540" s="43"/>
      <c r="C1540" s="44"/>
      <c r="D1540" s="45"/>
      <c r="E1540" s="46"/>
      <c r="F1540" s="47">
        <f>+$I$4+(CLIENT[[#This Row],[QUANTITE]]*CLIENT[[#This Row],[PRIX UNITAIRE]])</f>
        <v>0</v>
      </c>
      <c r="G1540" s="48"/>
      <c r="H1540" s="49">
        <f>+SUM($F$9:F1540)-SUM($G$9:G1540)</f>
        <v>72597000</v>
      </c>
    </row>
    <row r="1541" spans="1:8" ht="28.8" x14ac:dyDescent="0.55000000000000004">
      <c r="A1541" s="43"/>
      <c r="B1541" s="43"/>
      <c r="C1541" s="44"/>
      <c r="D1541" s="45"/>
      <c r="E1541" s="46"/>
      <c r="F1541" s="47">
        <f>+$I$4+(CLIENT[[#This Row],[QUANTITE]]*CLIENT[[#This Row],[PRIX UNITAIRE]])</f>
        <v>0</v>
      </c>
      <c r="G1541" s="48"/>
      <c r="H1541" s="49">
        <f>+SUM($F$9:F1541)-SUM($G$9:G1541)</f>
        <v>72597000</v>
      </c>
    </row>
    <row r="1542" spans="1:8" ht="28.8" x14ac:dyDescent="0.55000000000000004">
      <c r="A1542" s="43"/>
      <c r="B1542" s="43"/>
      <c r="C1542" s="44"/>
      <c r="D1542" s="45"/>
      <c r="E1542" s="46"/>
      <c r="F1542" s="47">
        <f>+$I$4+(CLIENT[[#This Row],[QUANTITE]]*CLIENT[[#This Row],[PRIX UNITAIRE]])</f>
        <v>0</v>
      </c>
      <c r="G1542" s="48"/>
      <c r="H1542" s="49">
        <f>+SUM($F$9:F1542)-SUM($G$9:G1542)</f>
        <v>72597000</v>
      </c>
    </row>
    <row r="1543" spans="1:8" ht="28.8" x14ac:dyDescent="0.55000000000000004">
      <c r="A1543" s="43"/>
      <c r="B1543" s="43"/>
      <c r="C1543" s="44"/>
      <c r="D1543" s="45"/>
      <c r="E1543" s="46"/>
      <c r="F1543" s="47">
        <f>+$I$4+(CLIENT[[#This Row],[QUANTITE]]*CLIENT[[#This Row],[PRIX UNITAIRE]])</f>
        <v>0</v>
      </c>
      <c r="G1543" s="48"/>
      <c r="H1543" s="49">
        <f>+SUM($F$9:F1543)-SUM($G$9:G1543)</f>
        <v>72597000</v>
      </c>
    </row>
    <row r="1544" spans="1:8" ht="28.8" x14ac:dyDescent="0.55000000000000004">
      <c r="A1544" s="43"/>
      <c r="B1544" s="43"/>
      <c r="C1544" s="44"/>
      <c r="D1544" s="45"/>
      <c r="E1544" s="46"/>
      <c r="F1544" s="47">
        <f>+$I$4+(CLIENT[[#This Row],[QUANTITE]]*CLIENT[[#This Row],[PRIX UNITAIRE]])</f>
        <v>0</v>
      </c>
      <c r="G1544" s="48"/>
      <c r="H1544" s="49">
        <f>+SUM($F$9:F1544)-SUM($G$9:G1544)</f>
        <v>72597000</v>
      </c>
    </row>
    <row r="1545" spans="1:8" ht="28.8" x14ac:dyDescent="0.55000000000000004">
      <c r="A1545" s="43"/>
      <c r="B1545" s="43"/>
      <c r="C1545" s="44"/>
      <c r="D1545" s="45"/>
      <c r="E1545" s="46"/>
      <c r="F1545" s="47">
        <f>+$I$4+(CLIENT[[#This Row],[QUANTITE]]*CLIENT[[#This Row],[PRIX UNITAIRE]])</f>
        <v>0</v>
      </c>
      <c r="G1545" s="48"/>
      <c r="H1545" s="49">
        <f>+SUM($F$9:F1545)-SUM($G$9:G1545)</f>
        <v>72597000</v>
      </c>
    </row>
    <row r="1546" spans="1:8" ht="28.8" x14ac:dyDescent="0.55000000000000004">
      <c r="A1546" s="43"/>
      <c r="B1546" s="43"/>
      <c r="C1546" s="44"/>
      <c r="D1546" s="45"/>
      <c r="E1546" s="46"/>
      <c r="F1546" s="47">
        <f>+$I$4+(CLIENT[[#This Row],[QUANTITE]]*CLIENT[[#This Row],[PRIX UNITAIRE]])</f>
        <v>0</v>
      </c>
      <c r="G1546" s="48"/>
      <c r="H1546" s="49">
        <f>+SUM($F$9:F1546)-SUM($G$9:G1546)</f>
        <v>72597000</v>
      </c>
    </row>
    <row r="1547" spans="1:8" ht="28.8" x14ac:dyDescent="0.55000000000000004">
      <c r="A1547" s="43"/>
      <c r="B1547" s="43"/>
      <c r="C1547" s="44"/>
      <c r="D1547" s="45"/>
      <c r="E1547" s="46"/>
      <c r="F1547" s="47">
        <f>+$I$4+(CLIENT[[#This Row],[QUANTITE]]*CLIENT[[#This Row],[PRIX UNITAIRE]])</f>
        <v>0</v>
      </c>
      <c r="G1547" s="48"/>
      <c r="H1547" s="49">
        <f>+SUM($F$9:F1547)-SUM($G$9:G1547)</f>
        <v>72597000</v>
      </c>
    </row>
    <row r="1548" spans="1:8" ht="28.8" x14ac:dyDescent="0.55000000000000004">
      <c r="A1548" s="43"/>
      <c r="B1548" s="43"/>
      <c r="C1548" s="44"/>
      <c r="D1548" s="45"/>
      <c r="E1548" s="46"/>
      <c r="F1548" s="47">
        <f>+$I$4+(CLIENT[[#This Row],[QUANTITE]]*CLIENT[[#This Row],[PRIX UNITAIRE]])</f>
        <v>0</v>
      </c>
      <c r="G1548" s="48"/>
      <c r="H1548" s="49">
        <f>+SUM($F$9:F1548)-SUM($G$9:G1548)</f>
        <v>72597000</v>
      </c>
    </row>
    <row r="1549" spans="1:8" ht="28.8" x14ac:dyDescent="0.55000000000000004">
      <c r="A1549" s="43"/>
      <c r="B1549" s="43"/>
      <c r="C1549" s="44"/>
      <c r="D1549" s="45"/>
      <c r="E1549" s="46"/>
      <c r="F1549" s="47">
        <f>+$I$4+(CLIENT[[#This Row],[QUANTITE]]*CLIENT[[#This Row],[PRIX UNITAIRE]])</f>
        <v>0</v>
      </c>
      <c r="G1549" s="48"/>
      <c r="H1549" s="49">
        <f>+SUM($F$9:F1549)-SUM($G$9:G1549)</f>
        <v>72597000</v>
      </c>
    </row>
    <row r="1550" spans="1:8" ht="28.8" x14ac:dyDescent="0.55000000000000004">
      <c r="A1550" s="43"/>
      <c r="B1550" s="43"/>
      <c r="C1550" s="44"/>
      <c r="D1550" s="45"/>
      <c r="E1550" s="46"/>
      <c r="F1550" s="47">
        <f>+$I$4+(CLIENT[[#This Row],[QUANTITE]]*CLIENT[[#This Row],[PRIX UNITAIRE]])</f>
        <v>0</v>
      </c>
      <c r="G1550" s="48"/>
      <c r="H1550" s="49">
        <f>+SUM($F$9:F1550)-SUM($G$9:G1550)</f>
        <v>72597000</v>
      </c>
    </row>
    <row r="1551" spans="1:8" ht="28.8" x14ac:dyDescent="0.55000000000000004">
      <c r="A1551" s="43"/>
      <c r="B1551" s="43"/>
      <c r="C1551" s="44"/>
      <c r="D1551" s="45"/>
      <c r="E1551" s="46"/>
      <c r="F1551" s="47">
        <f>+$I$4+(CLIENT[[#This Row],[QUANTITE]]*CLIENT[[#This Row],[PRIX UNITAIRE]])</f>
        <v>0</v>
      </c>
      <c r="G1551" s="48"/>
      <c r="H1551" s="49">
        <f>+SUM($F$9:F1551)-SUM($G$9:G1551)</f>
        <v>72597000</v>
      </c>
    </row>
    <row r="1552" spans="1:8" ht="28.8" x14ac:dyDescent="0.55000000000000004">
      <c r="A1552" s="43"/>
      <c r="B1552" s="43"/>
      <c r="C1552" s="44"/>
      <c r="D1552" s="45"/>
      <c r="E1552" s="46"/>
      <c r="F1552" s="47">
        <f>+$I$4+(CLIENT[[#This Row],[QUANTITE]]*CLIENT[[#This Row],[PRIX UNITAIRE]])</f>
        <v>0</v>
      </c>
      <c r="G1552" s="48"/>
      <c r="H1552" s="49">
        <f>+SUM($F$9:F1552)-SUM($G$9:G1552)</f>
        <v>72597000</v>
      </c>
    </row>
    <row r="1553" spans="1:8" ht="28.8" x14ac:dyDescent="0.55000000000000004">
      <c r="A1553" s="43"/>
      <c r="B1553" s="43"/>
      <c r="C1553" s="44"/>
      <c r="D1553" s="45"/>
      <c r="E1553" s="46"/>
      <c r="F1553" s="47">
        <f>+$I$4+(CLIENT[[#This Row],[QUANTITE]]*CLIENT[[#This Row],[PRIX UNITAIRE]])</f>
        <v>0</v>
      </c>
      <c r="G1553" s="48"/>
      <c r="H1553" s="49">
        <f>+SUM($F$9:F1553)-SUM($G$9:G1553)</f>
        <v>72597000</v>
      </c>
    </row>
    <row r="1554" spans="1:8" ht="28.8" x14ac:dyDescent="0.55000000000000004">
      <c r="A1554" s="43"/>
      <c r="B1554" s="43"/>
      <c r="C1554" s="44"/>
      <c r="D1554" s="45"/>
      <c r="E1554" s="46"/>
      <c r="F1554" s="47">
        <f>+$I$4+(CLIENT[[#This Row],[QUANTITE]]*CLIENT[[#This Row],[PRIX UNITAIRE]])</f>
        <v>0</v>
      </c>
      <c r="G1554" s="48"/>
      <c r="H1554" s="49">
        <f>+SUM($F$9:F1554)-SUM($G$9:G1554)</f>
        <v>72597000</v>
      </c>
    </row>
    <row r="1555" spans="1:8" ht="28.8" x14ac:dyDescent="0.55000000000000004">
      <c r="A1555" s="43"/>
      <c r="B1555" s="43"/>
      <c r="C1555" s="44"/>
      <c r="D1555" s="45"/>
      <c r="E1555" s="46"/>
      <c r="F1555" s="47">
        <f>+$I$4+(CLIENT[[#This Row],[QUANTITE]]*CLIENT[[#This Row],[PRIX UNITAIRE]])</f>
        <v>0</v>
      </c>
      <c r="G1555" s="48"/>
      <c r="H1555" s="49">
        <f>+SUM($F$9:F1555)-SUM($G$9:G1555)</f>
        <v>72597000</v>
      </c>
    </row>
    <row r="1556" spans="1:8" ht="28.8" x14ac:dyDescent="0.55000000000000004">
      <c r="A1556" s="43"/>
      <c r="B1556" s="43"/>
      <c r="C1556" s="44"/>
      <c r="D1556" s="45"/>
      <c r="E1556" s="46"/>
      <c r="F1556" s="47">
        <f>+$I$4+(CLIENT[[#This Row],[QUANTITE]]*CLIENT[[#This Row],[PRIX UNITAIRE]])</f>
        <v>0</v>
      </c>
      <c r="G1556" s="48"/>
      <c r="H1556" s="49">
        <f>+SUM($F$9:F1556)-SUM($G$9:G1556)</f>
        <v>72597000</v>
      </c>
    </row>
    <row r="1557" spans="1:8" ht="28.8" x14ac:dyDescent="0.55000000000000004">
      <c r="A1557" s="43"/>
      <c r="B1557" s="43"/>
      <c r="C1557" s="44"/>
      <c r="D1557" s="45"/>
      <c r="E1557" s="46"/>
      <c r="F1557" s="47">
        <f>+$I$4+(CLIENT[[#This Row],[QUANTITE]]*CLIENT[[#This Row],[PRIX UNITAIRE]])</f>
        <v>0</v>
      </c>
      <c r="G1557" s="48"/>
      <c r="H1557" s="49">
        <f>+SUM($F$9:F1557)-SUM($G$9:G1557)</f>
        <v>72597000</v>
      </c>
    </row>
    <row r="1558" spans="1:8" ht="28.8" x14ac:dyDescent="0.55000000000000004">
      <c r="A1558" s="43"/>
      <c r="B1558" s="43"/>
      <c r="C1558" s="44"/>
      <c r="D1558" s="45"/>
      <c r="E1558" s="46"/>
      <c r="F1558" s="47">
        <f>+$I$4+(CLIENT[[#This Row],[QUANTITE]]*CLIENT[[#This Row],[PRIX UNITAIRE]])</f>
        <v>0</v>
      </c>
      <c r="G1558" s="48"/>
      <c r="H1558" s="49">
        <f>+SUM($F$9:F1558)-SUM($G$9:G1558)</f>
        <v>72597000</v>
      </c>
    </row>
    <row r="1559" spans="1:8" ht="28.8" x14ac:dyDescent="0.55000000000000004">
      <c r="A1559" s="43"/>
      <c r="B1559" s="43"/>
      <c r="C1559" s="44"/>
      <c r="D1559" s="45"/>
      <c r="E1559" s="46"/>
      <c r="F1559" s="47">
        <f>+$I$4+(CLIENT[[#This Row],[QUANTITE]]*CLIENT[[#This Row],[PRIX UNITAIRE]])</f>
        <v>0</v>
      </c>
      <c r="G1559" s="48"/>
      <c r="H1559" s="49">
        <f>+SUM($F$9:F1559)-SUM($G$9:G1559)</f>
        <v>72597000</v>
      </c>
    </row>
    <row r="1560" spans="1:8" ht="28.8" x14ac:dyDescent="0.55000000000000004">
      <c r="A1560" s="43"/>
      <c r="B1560" s="43"/>
      <c r="C1560" s="44"/>
      <c r="D1560" s="45"/>
      <c r="E1560" s="46"/>
      <c r="F1560" s="47">
        <f>+$I$4+(CLIENT[[#This Row],[QUANTITE]]*CLIENT[[#This Row],[PRIX UNITAIRE]])</f>
        <v>0</v>
      </c>
      <c r="G1560" s="48"/>
      <c r="H1560" s="49">
        <f>+SUM($F$9:F1560)-SUM($G$9:G1560)</f>
        <v>72597000</v>
      </c>
    </row>
    <row r="1561" spans="1:8" ht="28.8" x14ac:dyDescent="0.55000000000000004">
      <c r="A1561" s="43"/>
      <c r="B1561" s="43"/>
      <c r="C1561" s="44"/>
      <c r="D1561" s="45"/>
      <c r="E1561" s="46"/>
      <c r="F1561" s="47">
        <f>+$I$4+(CLIENT[[#This Row],[QUANTITE]]*CLIENT[[#This Row],[PRIX UNITAIRE]])</f>
        <v>0</v>
      </c>
      <c r="G1561" s="48"/>
      <c r="H1561" s="49">
        <f>+SUM($F$9:F1561)-SUM($G$9:G1561)</f>
        <v>72597000</v>
      </c>
    </row>
    <row r="1562" spans="1:8" ht="28.8" x14ac:dyDescent="0.55000000000000004">
      <c r="A1562" s="43"/>
      <c r="B1562" s="43"/>
      <c r="C1562" s="44"/>
      <c r="D1562" s="45"/>
      <c r="E1562" s="46"/>
      <c r="F1562" s="47">
        <f>+$I$4+(CLIENT[[#This Row],[QUANTITE]]*CLIENT[[#This Row],[PRIX UNITAIRE]])</f>
        <v>0</v>
      </c>
      <c r="G1562" s="48"/>
      <c r="H1562" s="49">
        <f>+SUM($F$9:F1562)-SUM($G$9:G1562)</f>
        <v>72597000</v>
      </c>
    </row>
    <row r="1563" spans="1:8" ht="28.8" x14ac:dyDescent="0.55000000000000004">
      <c r="A1563" s="43"/>
      <c r="B1563" s="43"/>
      <c r="C1563" s="44"/>
      <c r="D1563" s="45"/>
      <c r="E1563" s="46"/>
      <c r="F1563" s="47">
        <f>+$I$4+(CLIENT[[#This Row],[QUANTITE]]*CLIENT[[#This Row],[PRIX UNITAIRE]])</f>
        <v>0</v>
      </c>
      <c r="G1563" s="48"/>
      <c r="H1563" s="49">
        <f>+SUM($F$9:F1563)-SUM($G$9:G1563)</f>
        <v>72597000</v>
      </c>
    </row>
    <row r="1564" spans="1:8" ht="28.8" x14ac:dyDescent="0.55000000000000004">
      <c r="A1564" s="43"/>
      <c r="B1564" s="43"/>
      <c r="C1564" s="44"/>
      <c r="D1564" s="45"/>
      <c r="E1564" s="46"/>
      <c r="F1564" s="47">
        <f>+$I$4+(CLIENT[[#This Row],[QUANTITE]]*CLIENT[[#This Row],[PRIX UNITAIRE]])</f>
        <v>0</v>
      </c>
      <c r="G1564" s="48"/>
      <c r="H1564" s="49">
        <f>+SUM($F$9:F1564)-SUM($G$9:G1564)</f>
        <v>72597000</v>
      </c>
    </row>
    <row r="1565" spans="1:8" ht="28.8" x14ac:dyDescent="0.55000000000000004">
      <c r="A1565" s="43"/>
      <c r="B1565" s="43"/>
      <c r="C1565" s="44"/>
      <c r="D1565" s="45"/>
      <c r="E1565" s="46"/>
      <c r="F1565" s="47">
        <f>+$I$4+(CLIENT[[#This Row],[QUANTITE]]*CLIENT[[#This Row],[PRIX UNITAIRE]])</f>
        <v>0</v>
      </c>
      <c r="G1565" s="48"/>
      <c r="H1565" s="49">
        <f>+SUM($F$9:F1565)-SUM($G$9:G1565)</f>
        <v>72597000</v>
      </c>
    </row>
    <row r="1566" spans="1:8" ht="28.8" x14ac:dyDescent="0.55000000000000004">
      <c r="A1566" s="43"/>
      <c r="B1566" s="43"/>
      <c r="C1566" s="44"/>
      <c r="D1566" s="45"/>
      <c r="E1566" s="46"/>
      <c r="F1566" s="47">
        <f>+$I$4+(CLIENT[[#This Row],[QUANTITE]]*CLIENT[[#This Row],[PRIX UNITAIRE]])</f>
        <v>0</v>
      </c>
      <c r="G1566" s="48"/>
      <c r="H1566" s="49">
        <f>+SUM($F$9:F1566)-SUM($G$9:G1566)</f>
        <v>72597000</v>
      </c>
    </row>
    <row r="1567" spans="1:8" ht="28.8" x14ac:dyDescent="0.55000000000000004">
      <c r="A1567" s="43"/>
      <c r="B1567" s="43"/>
      <c r="C1567" s="44"/>
      <c r="D1567" s="45"/>
      <c r="E1567" s="46"/>
      <c r="F1567" s="47">
        <f>+$I$4+(CLIENT[[#This Row],[QUANTITE]]*CLIENT[[#This Row],[PRIX UNITAIRE]])</f>
        <v>0</v>
      </c>
      <c r="G1567" s="48"/>
      <c r="H1567" s="49">
        <f>+SUM($F$9:F1567)-SUM($G$9:G1567)</f>
        <v>72597000</v>
      </c>
    </row>
    <row r="1568" spans="1:8" ht="28.8" x14ac:dyDescent="0.55000000000000004">
      <c r="A1568" s="43"/>
      <c r="B1568" s="43"/>
      <c r="C1568" s="44"/>
      <c r="D1568" s="45"/>
      <c r="E1568" s="46"/>
      <c r="F1568" s="47">
        <f>+$I$4+(CLIENT[[#This Row],[QUANTITE]]*CLIENT[[#This Row],[PRIX UNITAIRE]])</f>
        <v>0</v>
      </c>
      <c r="G1568" s="48"/>
      <c r="H1568" s="49">
        <f>+SUM($F$9:F1568)-SUM($G$9:G1568)</f>
        <v>72597000</v>
      </c>
    </row>
    <row r="1569" spans="1:8" ht="28.8" x14ac:dyDescent="0.55000000000000004">
      <c r="A1569" s="43"/>
      <c r="B1569" s="43"/>
      <c r="C1569" s="44"/>
      <c r="D1569" s="45"/>
      <c r="E1569" s="46"/>
      <c r="F1569" s="47">
        <f>+$I$4+(CLIENT[[#This Row],[QUANTITE]]*CLIENT[[#This Row],[PRIX UNITAIRE]])</f>
        <v>0</v>
      </c>
      <c r="G1569" s="48"/>
      <c r="H1569" s="49">
        <f>+SUM($F$9:F1569)-SUM($G$9:G1569)</f>
        <v>72597000</v>
      </c>
    </row>
    <row r="1570" spans="1:8" ht="28.8" x14ac:dyDescent="0.55000000000000004">
      <c r="A1570" s="43"/>
      <c r="B1570" s="43"/>
      <c r="C1570" s="44"/>
      <c r="D1570" s="45"/>
      <c r="E1570" s="46"/>
      <c r="F1570" s="47">
        <f>+$I$4+(CLIENT[[#This Row],[QUANTITE]]*CLIENT[[#This Row],[PRIX UNITAIRE]])</f>
        <v>0</v>
      </c>
      <c r="G1570" s="48"/>
      <c r="H1570" s="49">
        <f>+SUM($F$9:F1570)-SUM($G$9:G1570)</f>
        <v>72597000</v>
      </c>
    </row>
    <row r="1571" spans="1:8" ht="28.8" x14ac:dyDescent="0.55000000000000004">
      <c r="A1571" s="43"/>
      <c r="B1571" s="43"/>
      <c r="C1571" s="44"/>
      <c r="D1571" s="45"/>
      <c r="E1571" s="46"/>
      <c r="F1571" s="47">
        <f>+$I$4+(CLIENT[[#This Row],[QUANTITE]]*CLIENT[[#This Row],[PRIX UNITAIRE]])</f>
        <v>0</v>
      </c>
      <c r="G1571" s="48"/>
      <c r="H1571" s="49">
        <f>+SUM($F$9:F1571)-SUM($G$9:G1571)</f>
        <v>72597000</v>
      </c>
    </row>
    <row r="1572" spans="1:8" ht="28.8" x14ac:dyDescent="0.55000000000000004">
      <c r="A1572" s="43"/>
      <c r="B1572" s="43"/>
      <c r="C1572" s="44"/>
      <c r="D1572" s="45"/>
      <c r="E1572" s="46"/>
      <c r="F1572" s="47">
        <f>+$I$4+(CLIENT[[#This Row],[QUANTITE]]*CLIENT[[#This Row],[PRIX UNITAIRE]])</f>
        <v>0</v>
      </c>
      <c r="G1572" s="48"/>
      <c r="H1572" s="49">
        <f>+SUM($F$9:F1572)-SUM($G$9:G1572)</f>
        <v>72597000</v>
      </c>
    </row>
    <row r="1573" spans="1:8" ht="28.8" x14ac:dyDescent="0.55000000000000004">
      <c r="A1573" s="43"/>
      <c r="B1573" s="43"/>
      <c r="C1573" s="44"/>
      <c r="D1573" s="45"/>
      <c r="E1573" s="46"/>
      <c r="F1573" s="47">
        <f>+$I$4+(CLIENT[[#This Row],[QUANTITE]]*CLIENT[[#This Row],[PRIX UNITAIRE]])</f>
        <v>0</v>
      </c>
      <c r="G1573" s="48"/>
      <c r="H1573" s="49">
        <f>+SUM($F$9:F1573)-SUM($G$9:G1573)</f>
        <v>72597000</v>
      </c>
    </row>
    <row r="1574" spans="1:8" ht="28.8" x14ac:dyDescent="0.55000000000000004">
      <c r="A1574" s="43"/>
      <c r="B1574" s="43"/>
      <c r="C1574" s="44"/>
      <c r="D1574" s="45"/>
      <c r="E1574" s="46"/>
      <c r="F1574" s="47">
        <f>+$I$4+(CLIENT[[#This Row],[QUANTITE]]*CLIENT[[#This Row],[PRIX UNITAIRE]])</f>
        <v>0</v>
      </c>
      <c r="G1574" s="48"/>
      <c r="H1574" s="49">
        <f>+SUM($F$9:F1574)-SUM($G$9:G1574)</f>
        <v>72597000</v>
      </c>
    </row>
    <row r="1575" spans="1:8" ht="28.8" x14ac:dyDescent="0.55000000000000004">
      <c r="A1575" s="43"/>
      <c r="B1575" s="43"/>
      <c r="C1575" s="44"/>
      <c r="D1575" s="45"/>
      <c r="E1575" s="46"/>
      <c r="F1575" s="47">
        <f>+$I$4+(CLIENT[[#This Row],[QUANTITE]]*CLIENT[[#This Row],[PRIX UNITAIRE]])</f>
        <v>0</v>
      </c>
      <c r="G1575" s="48"/>
      <c r="H1575" s="49">
        <f>+SUM($F$9:F1575)-SUM($G$9:G1575)</f>
        <v>72597000</v>
      </c>
    </row>
    <row r="1576" spans="1:8" ht="28.8" x14ac:dyDescent="0.55000000000000004">
      <c r="A1576" s="43"/>
      <c r="B1576" s="43"/>
      <c r="C1576" s="44"/>
      <c r="D1576" s="45"/>
      <c r="E1576" s="46"/>
      <c r="F1576" s="47">
        <f>+$I$4+(CLIENT[[#This Row],[QUANTITE]]*CLIENT[[#This Row],[PRIX UNITAIRE]])</f>
        <v>0</v>
      </c>
      <c r="G1576" s="48"/>
      <c r="H1576" s="49">
        <f>+SUM($F$9:F1576)-SUM($G$9:G1576)</f>
        <v>72597000</v>
      </c>
    </row>
    <row r="1577" spans="1:8" ht="28.8" x14ac:dyDescent="0.55000000000000004">
      <c r="A1577" s="43"/>
      <c r="B1577" s="43"/>
      <c r="C1577" s="44"/>
      <c r="D1577" s="45"/>
      <c r="E1577" s="46"/>
      <c r="F1577" s="47">
        <f>+$I$4+(CLIENT[[#This Row],[QUANTITE]]*CLIENT[[#This Row],[PRIX UNITAIRE]])</f>
        <v>0</v>
      </c>
      <c r="G1577" s="48"/>
      <c r="H1577" s="49">
        <f>+SUM($F$9:F1577)-SUM($G$9:G1577)</f>
        <v>72597000</v>
      </c>
    </row>
    <row r="1578" spans="1:8" ht="28.8" x14ac:dyDescent="0.55000000000000004">
      <c r="A1578" s="43"/>
      <c r="B1578" s="43"/>
      <c r="C1578" s="44"/>
      <c r="D1578" s="45"/>
      <c r="E1578" s="46"/>
      <c r="F1578" s="47">
        <f>+$I$4+(CLIENT[[#This Row],[QUANTITE]]*CLIENT[[#This Row],[PRIX UNITAIRE]])</f>
        <v>0</v>
      </c>
      <c r="G1578" s="48"/>
      <c r="H1578" s="49">
        <f>+SUM($F$9:F1578)-SUM($G$9:G1578)</f>
        <v>72597000</v>
      </c>
    </row>
    <row r="1579" spans="1:8" ht="28.8" x14ac:dyDescent="0.55000000000000004">
      <c r="A1579" s="43"/>
      <c r="B1579" s="43"/>
      <c r="C1579" s="44"/>
      <c r="D1579" s="45"/>
      <c r="E1579" s="46"/>
      <c r="F1579" s="47">
        <f>+$I$4+(CLIENT[[#This Row],[QUANTITE]]*CLIENT[[#This Row],[PRIX UNITAIRE]])</f>
        <v>0</v>
      </c>
      <c r="G1579" s="48"/>
      <c r="H1579" s="49">
        <f>+SUM($F$9:F1579)-SUM($G$9:G1579)</f>
        <v>72597000</v>
      </c>
    </row>
    <row r="1580" spans="1:8" ht="28.8" x14ac:dyDescent="0.55000000000000004">
      <c r="A1580" s="43"/>
      <c r="B1580" s="43"/>
      <c r="C1580" s="44"/>
      <c r="D1580" s="45"/>
      <c r="E1580" s="46"/>
      <c r="F1580" s="47">
        <f>+$I$4+(CLIENT[[#This Row],[QUANTITE]]*CLIENT[[#This Row],[PRIX UNITAIRE]])</f>
        <v>0</v>
      </c>
      <c r="G1580" s="48"/>
      <c r="H1580" s="49">
        <f>+SUM($F$9:F1580)-SUM($G$9:G1580)</f>
        <v>72597000</v>
      </c>
    </row>
    <row r="1581" spans="1:8" ht="28.8" x14ac:dyDescent="0.55000000000000004">
      <c r="A1581" s="43"/>
      <c r="B1581" s="43"/>
      <c r="C1581" s="44"/>
      <c r="D1581" s="45"/>
      <c r="E1581" s="46"/>
      <c r="F1581" s="47">
        <f>+$I$4+(CLIENT[[#This Row],[QUANTITE]]*CLIENT[[#This Row],[PRIX UNITAIRE]])</f>
        <v>0</v>
      </c>
      <c r="G1581" s="48"/>
      <c r="H1581" s="49">
        <f>+SUM($F$9:F1581)-SUM($G$9:G1581)</f>
        <v>72597000</v>
      </c>
    </row>
    <row r="1582" spans="1:8" ht="28.8" x14ac:dyDescent="0.55000000000000004">
      <c r="A1582" s="43"/>
      <c r="B1582" s="43"/>
      <c r="C1582" s="44"/>
      <c r="D1582" s="45"/>
      <c r="E1582" s="46"/>
      <c r="F1582" s="47">
        <f>+$I$4+(CLIENT[[#This Row],[QUANTITE]]*CLIENT[[#This Row],[PRIX UNITAIRE]])</f>
        <v>0</v>
      </c>
      <c r="G1582" s="48"/>
      <c r="H1582" s="49">
        <f>+SUM($F$9:F1582)-SUM($G$9:G1582)</f>
        <v>72597000</v>
      </c>
    </row>
    <row r="1583" spans="1:8" ht="28.8" x14ac:dyDescent="0.55000000000000004">
      <c r="A1583" s="43"/>
      <c r="B1583" s="43"/>
      <c r="C1583" s="44"/>
      <c r="D1583" s="45"/>
      <c r="E1583" s="46"/>
      <c r="F1583" s="47">
        <f>+$I$4+(CLIENT[[#This Row],[QUANTITE]]*CLIENT[[#This Row],[PRIX UNITAIRE]])</f>
        <v>0</v>
      </c>
      <c r="G1583" s="48"/>
      <c r="H1583" s="49">
        <f>+SUM($F$9:F1583)-SUM($G$9:G1583)</f>
        <v>72597000</v>
      </c>
    </row>
    <row r="1584" spans="1:8" ht="28.8" x14ac:dyDescent="0.55000000000000004">
      <c r="A1584" s="43"/>
      <c r="B1584" s="43"/>
      <c r="C1584" s="44"/>
      <c r="D1584" s="45"/>
      <c r="E1584" s="46"/>
      <c r="F1584" s="47">
        <f>+$I$4+(CLIENT[[#This Row],[QUANTITE]]*CLIENT[[#This Row],[PRIX UNITAIRE]])</f>
        <v>0</v>
      </c>
      <c r="G1584" s="48"/>
      <c r="H1584" s="49">
        <f>+SUM($F$9:F1584)-SUM($G$9:G1584)</f>
        <v>72597000</v>
      </c>
    </row>
    <row r="1585" spans="1:8" ht="28.8" x14ac:dyDescent="0.55000000000000004">
      <c r="A1585" s="43"/>
      <c r="B1585" s="43"/>
      <c r="C1585" s="44"/>
      <c r="D1585" s="45"/>
      <c r="E1585" s="46"/>
      <c r="F1585" s="47">
        <f>+$I$4+(CLIENT[[#This Row],[QUANTITE]]*CLIENT[[#This Row],[PRIX UNITAIRE]])</f>
        <v>0</v>
      </c>
      <c r="G1585" s="48"/>
      <c r="H1585" s="49">
        <f>+SUM($F$9:F1585)-SUM($G$9:G1585)</f>
        <v>72597000</v>
      </c>
    </row>
    <row r="1586" spans="1:8" ht="28.8" x14ac:dyDescent="0.55000000000000004">
      <c r="A1586" s="43"/>
      <c r="B1586" s="43"/>
      <c r="C1586" s="44"/>
      <c r="D1586" s="45"/>
      <c r="E1586" s="46"/>
      <c r="F1586" s="47">
        <f>+$I$4+(CLIENT[[#This Row],[QUANTITE]]*CLIENT[[#This Row],[PRIX UNITAIRE]])</f>
        <v>0</v>
      </c>
      <c r="G1586" s="48"/>
      <c r="H1586" s="49">
        <f>+SUM($F$9:F1586)-SUM($G$9:G1586)</f>
        <v>72597000</v>
      </c>
    </row>
    <row r="1587" spans="1:8" ht="28.8" x14ac:dyDescent="0.55000000000000004">
      <c r="A1587" s="43"/>
      <c r="B1587" s="43"/>
      <c r="C1587" s="44"/>
      <c r="D1587" s="45"/>
      <c r="E1587" s="46"/>
      <c r="F1587" s="47">
        <f>+$I$4+(CLIENT[[#This Row],[QUANTITE]]*CLIENT[[#This Row],[PRIX UNITAIRE]])</f>
        <v>0</v>
      </c>
      <c r="G1587" s="48"/>
      <c r="H1587" s="49">
        <f>+SUM($F$9:F1587)-SUM($G$9:G1587)</f>
        <v>72597000</v>
      </c>
    </row>
    <row r="1588" spans="1:8" ht="28.8" x14ac:dyDescent="0.55000000000000004">
      <c r="A1588" s="43"/>
      <c r="B1588" s="43"/>
      <c r="C1588" s="44"/>
      <c r="D1588" s="45"/>
      <c r="E1588" s="46"/>
      <c r="F1588" s="47">
        <f>+$I$4+(CLIENT[[#This Row],[QUANTITE]]*CLIENT[[#This Row],[PRIX UNITAIRE]])</f>
        <v>0</v>
      </c>
      <c r="G1588" s="48"/>
      <c r="H1588" s="49">
        <f>+SUM($F$9:F1588)-SUM($G$9:G1588)</f>
        <v>72597000</v>
      </c>
    </row>
    <row r="1589" spans="1:8" ht="28.8" x14ac:dyDescent="0.55000000000000004">
      <c r="A1589" s="43"/>
      <c r="B1589" s="43"/>
      <c r="C1589" s="44"/>
      <c r="D1589" s="45"/>
      <c r="E1589" s="46"/>
      <c r="F1589" s="47">
        <f>+$I$4+(CLIENT[[#This Row],[QUANTITE]]*CLIENT[[#This Row],[PRIX UNITAIRE]])</f>
        <v>0</v>
      </c>
      <c r="G1589" s="48"/>
      <c r="H1589" s="49">
        <f>+SUM($F$9:F1589)-SUM($G$9:G1589)</f>
        <v>72597000</v>
      </c>
    </row>
    <row r="1590" spans="1:8" ht="28.8" x14ac:dyDescent="0.55000000000000004">
      <c r="A1590" s="43"/>
      <c r="B1590" s="43"/>
      <c r="C1590" s="44"/>
      <c r="D1590" s="45"/>
      <c r="E1590" s="46"/>
      <c r="F1590" s="47">
        <f>+$I$4+(CLIENT[[#This Row],[QUANTITE]]*CLIENT[[#This Row],[PRIX UNITAIRE]])</f>
        <v>0</v>
      </c>
      <c r="G1590" s="48"/>
      <c r="H1590" s="49">
        <f>+SUM($F$9:F1590)-SUM($G$9:G1590)</f>
        <v>72597000</v>
      </c>
    </row>
    <row r="1591" spans="1:8" ht="28.8" x14ac:dyDescent="0.55000000000000004">
      <c r="A1591" s="43"/>
      <c r="B1591" s="43"/>
      <c r="C1591" s="44"/>
      <c r="D1591" s="45"/>
      <c r="E1591" s="46"/>
      <c r="F1591" s="47">
        <f>+$I$4+(CLIENT[[#This Row],[QUANTITE]]*CLIENT[[#This Row],[PRIX UNITAIRE]])</f>
        <v>0</v>
      </c>
      <c r="G1591" s="48"/>
      <c r="H1591" s="49">
        <f>+SUM($F$9:F1591)-SUM($G$9:G1591)</f>
        <v>72597000</v>
      </c>
    </row>
    <row r="1592" spans="1:8" ht="28.8" x14ac:dyDescent="0.55000000000000004">
      <c r="A1592" s="43"/>
      <c r="B1592" s="43"/>
      <c r="C1592" s="44"/>
      <c r="D1592" s="45"/>
      <c r="E1592" s="46"/>
      <c r="F1592" s="47">
        <f>+$I$4+(CLIENT[[#This Row],[QUANTITE]]*CLIENT[[#This Row],[PRIX UNITAIRE]])</f>
        <v>0</v>
      </c>
      <c r="G1592" s="48"/>
      <c r="H1592" s="49">
        <f>+SUM($F$9:F1592)-SUM($G$9:G1592)</f>
        <v>72597000</v>
      </c>
    </row>
    <row r="1593" spans="1:8" ht="28.8" x14ac:dyDescent="0.55000000000000004">
      <c r="A1593" s="43"/>
      <c r="B1593" s="43"/>
      <c r="C1593" s="44"/>
      <c r="D1593" s="45"/>
      <c r="E1593" s="46"/>
      <c r="F1593" s="47">
        <f>+$I$4+(CLIENT[[#This Row],[QUANTITE]]*CLIENT[[#This Row],[PRIX UNITAIRE]])</f>
        <v>0</v>
      </c>
      <c r="G1593" s="48"/>
      <c r="H1593" s="49">
        <f>+SUM($F$9:F1593)-SUM($G$9:G1593)</f>
        <v>72597000</v>
      </c>
    </row>
    <row r="1594" spans="1:8" ht="28.8" x14ac:dyDescent="0.55000000000000004">
      <c r="A1594" s="43"/>
      <c r="B1594" s="43"/>
      <c r="C1594" s="44"/>
      <c r="D1594" s="45"/>
      <c r="E1594" s="46"/>
      <c r="F1594" s="47">
        <f>+$I$4+(CLIENT[[#This Row],[QUANTITE]]*CLIENT[[#This Row],[PRIX UNITAIRE]])</f>
        <v>0</v>
      </c>
      <c r="G1594" s="48"/>
      <c r="H1594" s="49">
        <f>+SUM($F$9:F1594)-SUM($G$9:G1594)</f>
        <v>72597000</v>
      </c>
    </row>
    <row r="1595" spans="1:8" ht="28.8" x14ac:dyDescent="0.55000000000000004">
      <c r="A1595" s="43"/>
      <c r="B1595" s="43"/>
      <c r="C1595" s="44"/>
      <c r="D1595" s="45"/>
      <c r="E1595" s="46"/>
      <c r="F1595" s="47">
        <f>+$I$4+(CLIENT[[#This Row],[QUANTITE]]*CLIENT[[#This Row],[PRIX UNITAIRE]])</f>
        <v>0</v>
      </c>
      <c r="G1595" s="48"/>
      <c r="H1595" s="49">
        <f>+SUM($F$9:F1595)-SUM($G$9:G1595)</f>
        <v>72597000</v>
      </c>
    </row>
    <row r="1596" spans="1:8" ht="28.8" x14ac:dyDescent="0.55000000000000004">
      <c r="A1596" s="43"/>
      <c r="B1596" s="43"/>
      <c r="C1596" s="44"/>
      <c r="D1596" s="45"/>
      <c r="E1596" s="46"/>
      <c r="F1596" s="47">
        <f>+$I$4+(CLIENT[[#This Row],[QUANTITE]]*CLIENT[[#This Row],[PRIX UNITAIRE]])</f>
        <v>0</v>
      </c>
      <c r="G1596" s="48"/>
      <c r="H1596" s="49">
        <f>+SUM($F$9:F1596)-SUM($G$9:G1596)</f>
        <v>72597000</v>
      </c>
    </row>
    <row r="1597" spans="1:8" ht="28.8" x14ac:dyDescent="0.55000000000000004">
      <c r="A1597" s="43"/>
      <c r="B1597" s="43"/>
      <c r="C1597" s="44"/>
      <c r="D1597" s="45"/>
      <c r="E1597" s="46"/>
      <c r="F1597" s="47">
        <f>+$I$4+(CLIENT[[#This Row],[QUANTITE]]*CLIENT[[#This Row],[PRIX UNITAIRE]])</f>
        <v>0</v>
      </c>
      <c r="G1597" s="48"/>
      <c r="H1597" s="49">
        <f>+SUM($F$9:F1597)-SUM($G$9:G1597)</f>
        <v>72597000</v>
      </c>
    </row>
    <row r="1598" spans="1:8" ht="28.8" x14ac:dyDescent="0.55000000000000004">
      <c r="A1598" s="43"/>
      <c r="B1598" s="43"/>
      <c r="C1598" s="44"/>
      <c r="D1598" s="45"/>
      <c r="E1598" s="46"/>
      <c r="F1598" s="47">
        <f>+$I$4+(CLIENT[[#This Row],[QUANTITE]]*CLIENT[[#This Row],[PRIX UNITAIRE]])</f>
        <v>0</v>
      </c>
      <c r="G1598" s="48"/>
      <c r="H1598" s="49">
        <f>+SUM($F$9:F1598)-SUM($G$9:G1598)</f>
        <v>72597000</v>
      </c>
    </row>
    <row r="1599" spans="1:8" ht="28.8" x14ac:dyDescent="0.55000000000000004">
      <c r="A1599" s="43"/>
      <c r="B1599" s="43"/>
      <c r="C1599" s="44"/>
      <c r="D1599" s="45"/>
      <c r="E1599" s="46"/>
      <c r="F1599" s="47">
        <f>+$I$4+(CLIENT[[#This Row],[QUANTITE]]*CLIENT[[#This Row],[PRIX UNITAIRE]])</f>
        <v>0</v>
      </c>
      <c r="G1599" s="48"/>
      <c r="H1599" s="49">
        <f>+SUM($F$9:F1599)-SUM($G$9:G1599)</f>
        <v>72597000</v>
      </c>
    </row>
    <row r="1600" spans="1:8" ht="28.8" x14ac:dyDescent="0.55000000000000004">
      <c r="A1600" s="43"/>
      <c r="B1600" s="43"/>
      <c r="C1600" s="44"/>
      <c r="D1600" s="45"/>
      <c r="E1600" s="46"/>
      <c r="F1600" s="47">
        <f>+$I$4+(CLIENT[[#This Row],[QUANTITE]]*CLIENT[[#This Row],[PRIX UNITAIRE]])</f>
        <v>0</v>
      </c>
      <c r="G1600" s="48"/>
      <c r="H1600" s="49">
        <f>+SUM($F$9:F1600)-SUM($G$9:G1600)</f>
        <v>72597000</v>
      </c>
    </row>
    <row r="1601" spans="1:8" ht="28.8" x14ac:dyDescent="0.55000000000000004">
      <c r="A1601" s="43"/>
      <c r="B1601" s="43"/>
      <c r="C1601" s="44"/>
      <c r="D1601" s="45"/>
      <c r="E1601" s="46"/>
      <c r="F1601" s="47">
        <f>+$I$4+(CLIENT[[#This Row],[QUANTITE]]*CLIENT[[#This Row],[PRIX UNITAIRE]])</f>
        <v>0</v>
      </c>
      <c r="G1601" s="48"/>
      <c r="H1601" s="49">
        <f>+SUM($F$9:F1601)-SUM($G$9:G1601)</f>
        <v>72597000</v>
      </c>
    </row>
    <row r="1602" spans="1:8" ht="28.8" x14ac:dyDescent="0.55000000000000004">
      <c r="A1602" s="43"/>
      <c r="B1602" s="43"/>
      <c r="C1602" s="44"/>
      <c r="D1602" s="45"/>
      <c r="E1602" s="46"/>
      <c r="F1602" s="47">
        <f>+$I$4+(CLIENT[[#This Row],[QUANTITE]]*CLIENT[[#This Row],[PRIX UNITAIRE]])</f>
        <v>0</v>
      </c>
      <c r="G1602" s="48"/>
      <c r="H1602" s="49">
        <f>+SUM($F$9:F1602)-SUM($G$9:G1602)</f>
        <v>72597000</v>
      </c>
    </row>
    <row r="1603" spans="1:8" ht="28.8" x14ac:dyDescent="0.55000000000000004">
      <c r="A1603" s="43"/>
      <c r="B1603" s="43"/>
      <c r="C1603" s="44"/>
      <c r="D1603" s="45"/>
      <c r="E1603" s="46"/>
      <c r="F1603" s="47">
        <f>+$I$4+(CLIENT[[#This Row],[QUANTITE]]*CLIENT[[#This Row],[PRIX UNITAIRE]])</f>
        <v>0</v>
      </c>
      <c r="G1603" s="48"/>
      <c r="H1603" s="49">
        <f>+SUM($F$9:F1603)-SUM($G$9:G1603)</f>
        <v>72597000</v>
      </c>
    </row>
    <row r="1604" spans="1:8" ht="28.8" x14ac:dyDescent="0.55000000000000004">
      <c r="A1604" s="43"/>
      <c r="B1604" s="43"/>
      <c r="C1604" s="44"/>
      <c r="D1604" s="45"/>
      <c r="E1604" s="46"/>
      <c r="F1604" s="47">
        <f>+$I$4+(CLIENT[[#This Row],[QUANTITE]]*CLIENT[[#This Row],[PRIX UNITAIRE]])</f>
        <v>0</v>
      </c>
      <c r="G1604" s="48"/>
      <c r="H1604" s="49">
        <f>+SUM($F$9:F1604)-SUM($G$9:G1604)</f>
        <v>72597000</v>
      </c>
    </row>
    <row r="1605" spans="1:8" ht="28.8" x14ac:dyDescent="0.55000000000000004">
      <c r="A1605" s="43"/>
      <c r="B1605" s="43"/>
      <c r="C1605" s="44"/>
      <c r="D1605" s="45"/>
      <c r="E1605" s="46"/>
      <c r="F1605" s="47">
        <f>+$I$4+(CLIENT[[#This Row],[QUANTITE]]*CLIENT[[#This Row],[PRIX UNITAIRE]])</f>
        <v>0</v>
      </c>
      <c r="G1605" s="48"/>
      <c r="H1605" s="49">
        <f>+SUM($F$9:F1605)-SUM($G$9:G1605)</f>
        <v>72597000</v>
      </c>
    </row>
    <row r="1606" spans="1:8" ht="28.8" x14ac:dyDescent="0.55000000000000004">
      <c r="A1606" s="43"/>
      <c r="B1606" s="43"/>
      <c r="C1606" s="44"/>
      <c r="D1606" s="45"/>
      <c r="E1606" s="46"/>
      <c r="F1606" s="47">
        <f>+$I$4+(CLIENT[[#This Row],[QUANTITE]]*CLIENT[[#This Row],[PRIX UNITAIRE]])</f>
        <v>0</v>
      </c>
      <c r="G1606" s="48"/>
      <c r="H1606" s="49">
        <f>+SUM($F$9:F1606)-SUM($G$9:G1606)</f>
        <v>72597000</v>
      </c>
    </row>
    <row r="1607" spans="1:8" ht="28.8" x14ac:dyDescent="0.55000000000000004">
      <c r="A1607" s="43"/>
      <c r="B1607" s="43"/>
      <c r="C1607" s="44"/>
      <c r="D1607" s="45"/>
      <c r="E1607" s="46"/>
      <c r="F1607" s="47">
        <f>+$I$4+(CLIENT[[#This Row],[QUANTITE]]*CLIENT[[#This Row],[PRIX UNITAIRE]])</f>
        <v>0</v>
      </c>
      <c r="G1607" s="48"/>
      <c r="H1607" s="49">
        <f>+SUM($F$9:F1607)-SUM($G$9:G1607)</f>
        <v>72597000</v>
      </c>
    </row>
    <row r="1608" spans="1:8" ht="28.8" x14ac:dyDescent="0.55000000000000004">
      <c r="A1608" s="43"/>
      <c r="B1608" s="43"/>
      <c r="C1608" s="44"/>
      <c r="D1608" s="45"/>
      <c r="E1608" s="46"/>
      <c r="F1608" s="47">
        <f>+$I$4+(CLIENT[[#This Row],[QUANTITE]]*CLIENT[[#This Row],[PRIX UNITAIRE]])</f>
        <v>0</v>
      </c>
      <c r="G1608" s="48"/>
      <c r="H1608" s="49">
        <f>+SUM($F$9:F1608)-SUM($G$9:G1608)</f>
        <v>72597000</v>
      </c>
    </row>
    <row r="1609" spans="1:8" ht="28.8" x14ac:dyDescent="0.55000000000000004">
      <c r="A1609" s="43"/>
      <c r="B1609" s="43"/>
      <c r="C1609" s="44"/>
      <c r="D1609" s="45"/>
      <c r="E1609" s="46"/>
      <c r="F1609" s="47">
        <f>+$I$4+(CLIENT[[#This Row],[QUANTITE]]*CLIENT[[#This Row],[PRIX UNITAIRE]])</f>
        <v>0</v>
      </c>
      <c r="G1609" s="48"/>
      <c r="H1609" s="49">
        <f>+SUM($F$9:F1609)-SUM($G$9:G1609)</f>
        <v>72597000</v>
      </c>
    </row>
    <row r="1610" spans="1:8" ht="28.8" x14ac:dyDescent="0.55000000000000004">
      <c r="A1610" s="43"/>
      <c r="B1610" s="43"/>
      <c r="C1610" s="44"/>
      <c r="D1610" s="45"/>
      <c r="E1610" s="46"/>
      <c r="F1610" s="47">
        <f>+$I$4+(CLIENT[[#This Row],[QUANTITE]]*CLIENT[[#This Row],[PRIX UNITAIRE]])</f>
        <v>0</v>
      </c>
      <c r="G1610" s="48"/>
      <c r="H1610" s="49">
        <f>+SUM($F$9:F1610)-SUM($G$9:G1610)</f>
        <v>72597000</v>
      </c>
    </row>
    <row r="1611" spans="1:8" ht="28.8" x14ac:dyDescent="0.55000000000000004">
      <c r="A1611" s="43"/>
      <c r="B1611" s="43"/>
      <c r="C1611" s="44"/>
      <c r="D1611" s="45"/>
      <c r="E1611" s="46"/>
      <c r="F1611" s="47">
        <f>+$I$4+(CLIENT[[#This Row],[QUANTITE]]*CLIENT[[#This Row],[PRIX UNITAIRE]])</f>
        <v>0</v>
      </c>
      <c r="G1611" s="48"/>
      <c r="H1611" s="49">
        <f>+SUM($F$9:F1611)-SUM($G$9:G1611)</f>
        <v>72597000</v>
      </c>
    </row>
    <row r="1612" spans="1:8" ht="28.8" x14ac:dyDescent="0.55000000000000004">
      <c r="A1612" s="43"/>
      <c r="B1612" s="43"/>
      <c r="C1612" s="44"/>
      <c r="D1612" s="45"/>
      <c r="E1612" s="46"/>
      <c r="F1612" s="47">
        <f>+$I$4+(CLIENT[[#This Row],[QUANTITE]]*CLIENT[[#This Row],[PRIX UNITAIRE]])</f>
        <v>0</v>
      </c>
      <c r="G1612" s="48"/>
      <c r="H1612" s="49">
        <f>+SUM($F$9:F1612)-SUM($G$9:G1612)</f>
        <v>72597000</v>
      </c>
    </row>
    <row r="1613" spans="1:8" ht="28.8" x14ac:dyDescent="0.55000000000000004">
      <c r="A1613" s="43"/>
      <c r="B1613" s="43"/>
      <c r="C1613" s="44"/>
      <c r="D1613" s="45"/>
      <c r="E1613" s="46"/>
      <c r="F1613" s="47">
        <f>+$I$4+(CLIENT[[#This Row],[QUANTITE]]*CLIENT[[#This Row],[PRIX UNITAIRE]])</f>
        <v>0</v>
      </c>
      <c r="G1613" s="48"/>
      <c r="H1613" s="49">
        <f>+SUM($F$9:F1613)-SUM($G$9:G1613)</f>
        <v>72597000</v>
      </c>
    </row>
    <row r="1614" spans="1:8" ht="28.8" x14ac:dyDescent="0.55000000000000004">
      <c r="A1614" s="43"/>
      <c r="B1614" s="43"/>
      <c r="C1614" s="44"/>
      <c r="D1614" s="45"/>
      <c r="E1614" s="46"/>
      <c r="F1614" s="47">
        <f>+$I$4+(CLIENT[[#This Row],[QUANTITE]]*CLIENT[[#This Row],[PRIX UNITAIRE]])</f>
        <v>0</v>
      </c>
      <c r="G1614" s="48"/>
      <c r="H1614" s="49">
        <f>+SUM($F$9:F1614)-SUM($G$9:G1614)</f>
        <v>72597000</v>
      </c>
    </row>
    <row r="1615" spans="1:8" ht="28.8" x14ac:dyDescent="0.55000000000000004">
      <c r="A1615" s="43"/>
      <c r="B1615" s="43"/>
      <c r="C1615" s="44"/>
      <c r="D1615" s="45"/>
      <c r="E1615" s="46"/>
      <c r="F1615" s="47">
        <f>+$I$4+(CLIENT[[#This Row],[QUANTITE]]*CLIENT[[#This Row],[PRIX UNITAIRE]])</f>
        <v>0</v>
      </c>
      <c r="G1615" s="48"/>
      <c r="H1615" s="49">
        <f>+SUM($F$9:F1615)-SUM($G$9:G1615)</f>
        <v>72597000</v>
      </c>
    </row>
    <row r="1616" spans="1:8" ht="28.8" x14ac:dyDescent="0.55000000000000004">
      <c r="A1616" s="43"/>
      <c r="B1616" s="43"/>
      <c r="C1616" s="44"/>
      <c r="D1616" s="45"/>
      <c r="E1616" s="46"/>
      <c r="F1616" s="47">
        <f>+$I$4+(CLIENT[[#This Row],[QUANTITE]]*CLIENT[[#This Row],[PRIX UNITAIRE]])</f>
        <v>0</v>
      </c>
      <c r="G1616" s="48"/>
      <c r="H1616" s="49">
        <f>+SUM($F$9:F1616)-SUM($G$9:G1616)</f>
        <v>72597000</v>
      </c>
    </row>
    <row r="1617" spans="1:8" ht="28.8" x14ac:dyDescent="0.55000000000000004">
      <c r="A1617" s="43"/>
      <c r="B1617" s="43"/>
      <c r="C1617" s="44"/>
      <c r="D1617" s="45"/>
      <c r="E1617" s="46"/>
      <c r="F1617" s="47">
        <f>+$I$4+(CLIENT[[#This Row],[QUANTITE]]*CLIENT[[#This Row],[PRIX UNITAIRE]])</f>
        <v>0</v>
      </c>
      <c r="G1617" s="48"/>
      <c r="H1617" s="49">
        <f>+SUM($F$9:F1617)-SUM($G$9:G1617)</f>
        <v>72597000</v>
      </c>
    </row>
    <row r="1618" spans="1:8" ht="28.8" x14ac:dyDescent="0.55000000000000004">
      <c r="A1618" s="43"/>
      <c r="B1618" s="43"/>
      <c r="C1618" s="44"/>
      <c r="D1618" s="45"/>
      <c r="E1618" s="46"/>
      <c r="F1618" s="47">
        <f>+$I$4+(CLIENT[[#This Row],[QUANTITE]]*CLIENT[[#This Row],[PRIX UNITAIRE]])</f>
        <v>0</v>
      </c>
      <c r="G1618" s="48"/>
      <c r="H1618" s="49">
        <f>+SUM($F$9:F1618)-SUM($G$9:G1618)</f>
        <v>72597000</v>
      </c>
    </row>
    <row r="1619" spans="1:8" ht="28.8" x14ac:dyDescent="0.55000000000000004">
      <c r="A1619" s="43"/>
      <c r="B1619" s="43"/>
      <c r="C1619" s="44"/>
      <c r="D1619" s="45"/>
      <c r="E1619" s="46"/>
      <c r="F1619" s="47">
        <f>+$I$4+(CLIENT[[#This Row],[QUANTITE]]*CLIENT[[#This Row],[PRIX UNITAIRE]])</f>
        <v>0</v>
      </c>
      <c r="G1619" s="48"/>
      <c r="H1619" s="49">
        <f>+SUM($F$9:F1619)-SUM($G$9:G1619)</f>
        <v>72597000</v>
      </c>
    </row>
    <row r="1620" spans="1:8" ht="28.8" x14ac:dyDescent="0.55000000000000004">
      <c r="A1620" s="43"/>
      <c r="B1620" s="43"/>
      <c r="C1620" s="44"/>
      <c r="D1620" s="45"/>
      <c r="E1620" s="46"/>
      <c r="F1620" s="47">
        <f>+$I$4+(CLIENT[[#This Row],[QUANTITE]]*CLIENT[[#This Row],[PRIX UNITAIRE]])</f>
        <v>0</v>
      </c>
      <c r="G1620" s="48"/>
      <c r="H1620" s="49">
        <f>+SUM($F$9:F1620)-SUM($G$9:G1620)</f>
        <v>72597000</v>
      </c>
    </row>
    <row r="1621" spans="1:8" ht="28.8" x14ac:dyDescent="0.55000000000000004">
      <c r="A1621" s="43"/>
      <c r="B1621" s="43"/>
      <c r="C1621" s="44"/>
      <c r="D1621" s="45"/>
      <c r="E1621" s="46"/>
      <c r="F1621" s="47">
        <f>+$I$4+(CLIENT[[#This Row],[QUANTITE]]*CLIENT[[#This Row],[PRIX UNITAIRE]])</f>
        <v>0</v>
      </c>
      <c r="G1621" s="48"/>
      <c r="H1621" s="49">
        <f>+SUM($F$9:F1621)-SUM($G$9:G1621)</f>
        <v>72597000</v>
      </c>
    </row>
    <row r="1622" spans="1:8" ht="28.8" x14ac:dyDescent="0.55000000000000004">
      <c r="A1622" s="43"/>
      <c r="B1622" s="43"/>
      <c r="C1622" s="44"/>
      <c r="D1622" s="45"/>
      <c r="E1622" s="46"/>
      <c r="F1622" s="47">
        <f>+$I$4+(CLIENT[[#This Row],[QUANTITE]]*CLIENT[[#This Row],[PRIX UNITAIRE]])</f>
        <v>0</v>
      </c>
      <c r="G1622" s="48"/>
      <c r="H1622" s="49">
        <f>+SUM($F$9:F1622)-SUM($G$9:G1622)</f>
        <v>72597000</v>
      </c>
    </row>
    <row r="1623" spans="1:8" ht="28.8" x14ac:dyDescent="0.55000000000000004">
      <c r="A1623" s="43"/>
      <c r="B1623" s="43"/>
      <c r="C1623" s="44"/>
      <c r="D1623" s="45"/>
      <c r="E1623" s="46"/>
      <c r="F1623" s="47">
        <f>+$I$4+(CLIENT[[#This Row],[QUANTITE]]*CLIENT[[#This Row],[PRIX UNITAIRE]])</f>
        <v>0</v>
      </c>
      <c r="G1623" s="48"/>
      <c r="H1623" s="49">
        <f>+SUM($F$9:F1623)-SUM($G$9:G1623)</f>
        <v>72597000</v>
      </c>
    </row>
    <row r="1624" spans="1:8" ht="28.8" x14ac:dyDescent="0.55000000000000004">
      <c r="A1624" s="43"/>
      <c r="B1624" s="43"/>
      <c r="C1624" s="44"/>
      <c r="D1624" s="45"/>
      <c r="E1624" s="46"/>
      <c r="F1624" s="47">
        <f>+$I$4+(CLIENT[[#This Row],[QUANTITE]]*CLIENT[[#This Row],[PRIX UNITAIRE]])</f>
        <v>0</v>
      </c>
      <c r="G1624" s="48"/>
      <c r="H1624" s="49">
        <f>+SUM($F$9:F1624)-SUM($G$9:G1624)</f>
        <v>72597000</v>
      </c>
    </row>
    <row r="1625" spans="1:8" ht="28.8" x14ac:dyDescent="0.55000000000000004">
      <c r="A1625" s="43"/>
      <c r="B1625" s="43"/>
      <c r="C1625" s="44"/>
      <c r="D1625" s="45"/>
      <c r="E1625" s="46"/>
      <c r="F1625" s="47">
        <f>+$I$4+(CLIENT[[#This Row],[QUANTITE]]*CLIENT[[#This Row],[PRIX UNITAIRE]])</f>
        <v>0</v>
      </c>
      <c r="G1625" s="48"/>
      <c r="H1625" s="49">
        <f>+SUM($F$9:F1625)-SUM($G$9:G1625)</f>
        <v>72597000</v>
      </c>
    </row>
    <row r="1626" spans="1:8" ht="28.8" x14ac:dyDescent="0.55000000000000004">
      <c r="A1626" s="43"/>
      <c r="B1626" s="43"/>
      <c r="C1626" s="44"/>
      <c r="D1626" s="45"/>
      <c r="E1626" s="46"/>
      <c r="F1626" s="47">
        <f>+$I$4+(CLIENT[[#This Row],[QUANTITE]]*CLIENT[[#This Row],[PRIX UNITAIRE]])</f>
        <v>0</v>
      </c>
      <c r="G1626" s="48"/>
      <c r="H1626" s="49">
        <f>+SUM($F$9:F1626)-SUM($G$9:G1626)</f>
        <v>72597000</v>
      </c>
    </row>
    <row r="1627" spans="1:8" ht="28.8" x14ac:dyDescent="0.55000000000000004">
      <c r="A1627" s="43"/>
      <c r="B1627" s="43"/>
      <c r="C1627" s="44"/>
      <c r="D1627" s="45"/>
      <c r="E1627" s="46"/>
      <c r="F1627" s="47">
        <f>+$I$4+(CLIENT[[#This Row],[QUANTITE]]*CLIENT[[#This Row],[PRIX UNITAIRE]])</f>
        <v>0</v>
      </c>
      <c r="G1627" s="48"/>
      <c r="H1627" s="49">
        <f>+SUM($F$9:F1627)-SUM($G$9:G1627)</f>
        <v>72597000</v>
      </c>
    </row>
    <row r="1628" spans="1:8" ht="28.8" x14ac:dyDescent="0.55000000000000004">
      <c r="A1628" s="43"/>
      <c r="B1628" s="43"/>
      <c r="C1628" s="44"/>
      <c r="D1628" s="45"/>
      <c r="E1628" s="46"/>
      <c r="F1628" s="47">
        <f>+$I$4+(CLIENT[[#This Row],[QUANTITE]]*CLIENT[[#This Row],[PRIX UNITAIRE]])</f>
        <v>0</v>
      </c>
      <c r="G1628" s="48"/>
      <c r="H1628" s="49">
        <f>+SUM($F$9:F1628)-SUM($G$9:G1628)</f>
        <v>72597000</v>
      </c>
    </row>
    <row r="1629" spans="1:8" ht="28.8" x14ac:dyDescent="0.55000000000000004">
      <c r="A1629" s="43"/>
      <c r="B1629" s="43"/>
      <c r="C1629" s="44"/>
      <c r="D1629" s="45"/>
      <c r="E1629" s="46"/>
      <c r="F1629" s="47">
        <f>+$I$4+(CLIENT[[#This Row],[QUANTITE]]*CLIENT[[#This Row],[PRIX UNITAIRE]])</f>
        <v>0</v>
      </c>
      <c r="G1629" s="48"/>
      <c r="H1629" s="49">
        <f>+SUM($F$9:F1629)-SUM($G$9:G1629)</f>
        <v>72597000</v>
      </c>
    </row>
    <row r="1630" spans="1:8" ht="28.8" x14ac:dyDescent="0.55000000000000004">
      <c r="A1630" s="43"/>
      <c r="B1630" s="43"/>
      <c r="C1630" s="44"/>
      <c r="D1630" s="45"/>
      <c r="E1630" s="46"/>
      <c r="F1630" s="47">
        <f>+$I$4+(CLIENT[[#This Row],[QUANTITE]]*CLIENT[[#This Row],[PRIX UNITAIRE]])</f>
        <v>0</v>
      </c>
      <c r="G1630" s="48"/>
      <c r="H1630" s="49">
        <f>+SUM($F$9:F1630)-SUM($G$9:G1630)</f>
        <v>72597000</v>
      </c>
    </row>
    <row r="1631" spans="1:8" ht="28.8" x14ac:dyDescent="0.55000000000000004">
      <c r="A1631" s="43"/>
      <c r="B1631" s="43"/>
      <c r="C1631" s="44"/>
      <c r="D1631" s="45"/>
      <c r="E1631" s="46"/>
      <c r="F1631" s="47">
        <f>+$I$4+(CLIENT[[#This Row],[QUANTITE]]*CLIENT[[#This Row],[PRIX UNITAIRE]])</f>
        <v>0</v>
      </c>
      <c r="G1631" s="48"/>
      <c r="H1631" s="49">
        <f>+SUM($F$9:F1631)-SUM($G$9:G1631)</f>
        <v>72597000</v>
      </c>
    </row>
    <row r="1632" spans="1:8" ht="28.8" x14ac:dyDescent="0.55000000000000004">
      <c r="A1632" s="43"/>
      <c r="B1632" s="43"/>
      <c r="C1632" s="44"/>
      <c r="D1632" s="45"/>
      <c r="E1632" s="46"/>
      <c r="F1632" s="47">
        <f>+$I$4+(CLIENT[[#This Row],[QUANTITE]]*CLIENT[[#This Row],[PRIX UNITAIRE]])</f>
        <v>0</v>
      </c>
      <c r="G1632" s="48"/>
      <c r="H1632" s="49">
        <f>+SUM($F$9:F1632)-SUM($G$9:G1632)</f>
        <v>72597000</v>
      </c>
    </row>
    <row r="1633" spans="1:8" ht="28.8" x14ac:dyDescent="0.55000000000000004">
      <c r="A1633" s="43"/>
      <c r="B1633" s="43"/>
      <c r="C1633" s="44"/>
      <c r="D1633" s="45"/>
      <c r="E1633" s="46"/>
      <c r="F1633" s="47">
        <f>+$I$4+(CLIENT[[#This Row],[QUANTITE]]*CLIENT[[#This Row],[PRIX UNITAIRE]])</f>
        <v>0</v>
      </c>
      <c r="G1633" s="48"/>
      <c r="H1633" s="49">
        <f>+SUM($F$9:F1633)-SUM($G$9:G1633)</f>
        <v>72597000</v>
      </c>
    </row>
    <row r="1634" spans="1:8" ht="28.8" x14ac:dyDescent="0.55000000000000004">
      <c r="A1634" s="43"/>
      <c r="B1634" s="43"/>
      <c r="C1634" s="44"/>
      <c r="D1634" s="45"/>
      <c r="E1634" s="46"/>
      <c r="F1634" s="47">
        <f>+$I$4+(CLIENT[[#This Row],[QUANTITE]]*CLIENT[[#This Row],[PRIX UNITAIRE]])</f>
        <v>0</v>
      </c>
      <c r="G1634" s="48"/>
      <c r="H1634" s="49">
        <f>+SUM($F$9:F1634)-SUM($G$9:G1634)</f>
        <v>72597000</v>
      </c>
    </row>
    <row r="1635" spans="1:8" ht="28.8" x14ac:dyDescent="0.55000000000000004">
      <c r="A1635" s="43"/>
      <c r="B1635" s="43"/>
      <c r="C1635" s="44"/>
      <c r="D1635" s="45"/>
      <c r="E1635" s="46"/>
      <c r="F1635" s="47">
        <f>+$I$4+(CLIENT[[#This Row],[QUANTITE]]*CLIENT[[#This Row],[PRIX UNITAIRE]])</f>
        <v>0</v>
      </c>
      <c r="G1635" s="48"/>
      <c r="H1635" s="49">
        <f>+SUM($F$9:F1635)-SUM($G$9:G1635)</f>
        <v>72597000</v>
      </c>
    </row>
    <row r="1636" spans="1:8" ht="28.8" x14ac:dyDescent="0.55000000000000004">
      <c r="A1636" s="43"/>
      <c r="B1636" s="43"/>
      <c r="C1636" s="44"/>
      <c r="D1636" s="45"/>
      <c r="E1636" s="46"/>
      <c r="F1636" s="47">
        <f>+$I$4+(CLIENT[[#This Row],[QUANTITE]]*CLIENT[[#This Row],[PRIX UNITAIRE]])</f>
        <v>0</v>
      </c>
      <c r="G1636" s="48"/>
      <c r="H1636" s="49">
        <f>+SUM($F$9:F1636)-SUM($G$9:G1636)</f>
        <v>72597000</v>
      </c>
    </row>
    <row r="1637" spans="1:8" ht="28.8" x14ac:dyDescent="0.55000000000000004">
      <c r="A1637" s="43"/>
      <c r="B1637" s="43"/>
      <c r="C1637" s="44"/>
      <c r="D1637" s="45"/>
      <c r="E1637" s="46"/>
      <c r="F1637" s="47">
        <f>+$I$4+(CLIENT[[#This Row],[QUANTITE]]*CLIENT[[#This Row],[PRIX UNITAIRE]])</f>
        <v>0</v>
      </c>
      <c r="G1637" s="48"/>
      <c r="H1637" s="49">
        <f>+SUM($F$9:F1637)-SUM($G$9:G1637)</f>
        <v>72597000</v>
      </c>
    </row>
    <row r="1638" spans="1:8" ht="28.8" x14ac:dyDescent="0.55000000000000004">
      <c r="A1638" s="43"/>
      <c r="B1638" s="43"/>
      <c r="C1638" s="44"/>
      <c r="D1638" s="45"/>
      <c r="E1638" s="46"/>
      <c r="F1638" s="47">
        <f>+$I$4+(CLIENT[[#This Row],[QUANTITE]]*CLIENT[[#This Row],[PRIX UNITAIRE]])</f>
        <v>0</v>
      </c>
      <c r="G1638" s="48"/>
      <c r="H1638" s="49">
        <f>+SUM($F$9:F1638)-SUM($G$9:G1638)</f>
        <v>72597000</v>
      </c>
    </row>
    <row r="1639" spans="1:8" ht="28.8" x14ac:dyDescent="0.55000000000000004">
      <c r="A1639" s="43"/>
      <c r="B1639" s="43"/>
      <c r="C1639" s="44"/>
      <c r="D1639" s="45"/>
      <c r="E1639" s="46"/>
      <c r="F1639" s="47">
        <f>+$I$4+(CLIENT[[#This Row],[QUANTITE]]*CLIENT[[#This Row],[PRIX UNITAIRE]])</f>
        <v>0</v>
      </c>
      <c r="G1639" s="48"/>
      <c r="H1639" s="49">
        <f>+SUM($F$9:F1639)-SUM($G$9:G1639)</f>
        <v>72597000</v>
      </c>
    </row>
    <row r="1640" spans="1:8" ht="28.8" x14ac:dyDescent="0.55000000000000004">
      <c r="A1640" s="43"/>
      <c r="B1640" s="43"/>
      <c r="C1640" s="44"/>
      <c r="D1640" s="45"/>
      <c r="E1640" s="46"/>
      <c r="F1640" s="47">
        <f>+$I$4+(CLIENT[[#This Row],[QUANTITE]]*CLIENT[[#This Row],[PRIX UNITAIRE]])</f>
        <v>0</v>
      </c>
      <c r="G1640" s="48"/>
      <c r="H1640" s="49">
        <f>+SUM($F$9:F1640)-SUM($G$9:G1640)</f>
        <v>72597000</v>
      </c>
    </row>
    <row r="1641" spans="1:8" ht="28.8" x14ac:dyDescent="0.55000000000000004">
      <c r="A1641" s="43"/>
      <c r="B1641" s="43"/>
      <c r="C1641" s="44"/>
      <c r="D1641" s="45"/>
      <c r="E1641" s="46"/>
      <c r="F1641" s="47">
        <f>+$I$4+(CLIENT[[#This Row],[QUANTITE]]*CLIENT[[#This Row],[PRIX UNITAIRE]])</f>
        <v>0</v>
      </c>
      <c r="G1641" s="48"/>
      <c r="H1641" s="49">
        <f>+SUM($F$9:F1641)-SUM($G$9:G1641)</f>
        <v>72597000</v>
      </c>
    </row>
    <row r="1642" spans="1:8" ht="28.8" x14ac:dyDescent="0.55000000000000004">
      <c r="A1642" s="43"/>
      <c r="B1642" s="43"/>
      <c r="C1642" s="44"/>
      <c r="D1642" s="45"/>
      <c r="E1642" s="46"/>
      <c r="F1642" s="47">
        <f>+$I$4+(CLIENT[[#This Row],[QUANTITE]]*CLIENT[[#This Row],[PRIX UNITAIRE]])</f>
        <v>0</v>
      </c>
      <c r="G1642" s="48"/>
      <c r="H1642" s="49">
        <f>+SUM($F$9:F1642)-SUM($G$9:G1642)</f>
        <v>72597000</v>
      </c>
    </row>
    <row r="1643" spans="1:8" ht="28.8" x14ac:dyDescent="0.55000000000000004">
      <c r="A1643" s="43"/>
      <c r="B1643" s="43"/>
      <c r="C1643" s="44"/>
      <c r="D1643" s="45"/>
      <c r="E1643" s="46"/>
      <c r="F1643" s="47">
        <f>+$I$4+(CLIENT[[#This Row],[QUANTITE]]*CLIENT[[#This Row],[PRIX UNITAIRE]])</f>
        <v>0</v>
      </c>
      <c r="G1643" s="48"/>
      <c r="H1643" s="49">
        <f>+SUM($F$9:F1643)-SUM($G$9:G1643)</f>
        <v>72597000</v>
      </c>
    </row>
    <row r="1644" spans="1:8" ht="28.8" x14ac:dyDescent="0.55000000000000004">
      <c r="A1644" s="43"/>
      <c r="B1644" s="43"/>
      <c r="C1644" s="44"/>
      <c r="D1644" s="45"/>
      <c r="E1644" s="46"/>
      <c r="F1644" s="47">
        <f>+$I$4+(CLIENT[[#This Row],[QUANTITE]]*CLIENT[[#This Row],[PRIX UNITAIRE]])</f>
        <v>0</v>
      </c>
      <c r="G1644" s="48"/>
      <c r="H1644" s="49">
        <f>+SUM($F$9:F1644)-SUM($G$9:G1644)</f>
        <v>72597000</v>
      </c>
    </row>
    <row r="1645" spans="1:8" ht="28.8" x14ac:dyDescent="0.55000000000000004">
      <c r="A1645" s="43"/>
      <c r="B1645" s="43"/>
      <c r="C1645" s="44"/>
      <c r="D1645" s="45"/>
      <c r="E1645" s="46"/>
      <c r="F1645" s="47">
        <f>+$I$4+(CLIENT[[#This Row],[QUANTITE]]*CLIENT[[#This Row],[PRIX UNITAIRE]])</f>
        <v>0</v>
      </c>
      <c r="G1645" s="48"/>
      <c r="H1645" s="49">
        <f>+SUM($F$9:F1645)-SUM($G$9:G1645)</f>
        <v>72597000</v>
      </c>
    </row>
    <row r="1646" spans="1:8" ht="28.8" x14ac:dyDescent="0.55000000000000004">
      <c r="A1646" s="43"/>
      <c r="B1646" s="43"/>
      <c r="C1646" s="44"/>
      <c r="D1646" s="45"/>
      <c r="E1646" s="46"/>
      <c r="F1646" s="47">
        <f>+$I$4+(CLIENT[[#This Row],[QUANTITE]]*CLIENT[[#This Row],[PRIX UNITAIRE]])</f>
        <v>0</v>
      </c>
      <c r="G1646" s="48"/>
      <c r="H1646" s="49">
        <f>+SUM($F$9:F1646)-SUM($G$9:G1646)</f>
        <v>72597000</v>
      </c>
    </row>
    <row r="1647" spans="1:8" ht="28.8" x14ac:dyDescent="0.55000000000000004">
      <c r="A1647" s="43"/>
      <c r="B1647" s="43"/>
      <c r="C1647" s="44"/>
      <c r="D1647" s="45"/>
      <c r="E1647" s="46"/>
      <c r="F1647" s="47">
        <f>+$I$4+(CLIENT[[#This Row],[QUANTITE]]*CLIENT[[#This Row],[PRIX UNITAIRE]])</f>
        <v>0</v>
      </c>
      <c r="G1647" s="48"/>
      <c r="H1647" s="49">
        <f>+SUM($F$9:F1647)-SUM($G$9:G1647)</f>
        <v>72597000</v>
      </c>
    </row>
    <row r="1648" spans="1:8" ht="28.8" x14ac:dyDescent="0.55000000000000004">
      <c r="A1648" s="43"/>
      <c r="B1648" s="43"/>
      <c r="C1648" s="44"/>
      <c r="D1648" s="45"/>
      <c r="E1648" s="46"/>
      <c r="F1648" s="47">
        <f>+$I$4+(CLIENT[[#This Row],[QUANTITE]]*CLIENT[[#This Row],[PRIX UNITAIRE]])</f>
        <v>0</v>
      </c>
      <c r="G1648" s="48"/>
      <c r="H1648" s="49">
        <f>+SUM($F$9:F1648)-SUM($G$9:G1648)</f>
        <v>72597000</v>
      </c>
    </row>
    <row r="1649" spans="1:8" ht="28.8" x14ac:dyDescent="0.55000000000000004">
      <c r="A1649" s="43"/>
      <c r="B1649" s="43"/>
      <c r="C1649" s="44"/>
      <c r="D1649" s="45"/>
      <c r="E1649" s="46"/>
      <c r="F1649" s="47">
        <f>+$I$4+(CLIENT[[#This Row],[QUANTITE]]*CLIENT[[#This Row],[PRIX UNITAIRE]])</f>
        <v>0</v>
      </c>
      <c r="G1649" s="48"/>
      <c r="H1649" s="49">
        <f>+SUM($F$9:F1649)-SUM($G$9:G1649)</f>
        <v>72597000</v>
      </c>
    </row>
    <row r="1650" spans="1:8" ht="28.8" x14ac:dyDescent="0.55000000000000004">
      <c r="A1650" s="43"/>
      <c r="B1650" s="43"/>
      <c r="C1650" s="44"/>
      <c r="D1650" s="45"/>
      <c r="E1650" s="46"/>
      <c r="F1650" s="47">
        <f>+$I$4+(CLIENT[[#This Row],[QUANTITE]]*CLIENT[[#This Row],[PRIX UNITAIRE]])</f>
        <v>0</v>
      </c>
      <c r="G1650" s="48"/>
      <c r="H1650" s="49">
        <f>+SUM($F$9:F1650)-SUM($G$9:G1650)</f>
        <v>72597000</v>
      </c>
    </row>
    <row r="1651" spans="1:8" ht="28.8" x14ac:dyDescent="0.55000000000000004">
      <c r="A1651" s="43"/>
      <c r="B1651" s="43"/>
      <c r="C1651" s="44"/>
      <c r="D1651" s="45"/>
      <c r="E1651" s="46"/>
      <c r="F1651" s="47">
        <f>+$I$4+(CLIENT[[#This Row],[QUANTITE]]*CLIENT[[#This Row],[PRIX UNITAIRE]])</f>
        <v>0</v>
      </c>
      <c r="G1651" s="48"/>
      <c r="H1651" s="49">
        <f>+SUM($F$9:F1651)-SUM($G$9:G1651)</f>
        <v>72597000</v>
      </c>
    </row>
    <row r="1652" spans="1:8" ht="28.8" x14ac:dyDescent="0.55000000000000004">
      <c r="A1652" s="43"/>
      <c r="B1652" s="43"/>
      <c r="C1652" s="44"/>
      <c r="D1652" s="45"/>
      <c r="E1652" s="46"/>
      <c r="F1652" s="47">
        <f>+$I$4+(CLIENT[[#This Row],[QUANTITE]]*CLIENT[[#This Row],[PRIX UNITAIRE]])</f>
        <v>0</v>
      </c>
      <c r="G1652" s="48"/>
      <c r="H1652" s="49">
        <f>+SUM($F$9:F1652)-SUM($G$9:G1652)</f>
        <v>72597000</v>
      </c>
    </row>
    <row r="1653" spans="1:8" ht="28.8" x14ac:dyDescent="0.55000000000000004">
      <c r="A1653" s="43"/>
      <c r="B1653" s="43"/>
      <c r="C1653" s="44"/>
      <c r="D1653" s="45"/>
      <c r="E1653" s="46"/>
      <c r="F1653" s="47">
        <f>+$I$4+(CLIENT[[#This Row],[QUANTITE]]*CLIENT[[#This Row],[PRIX UNITAIRE]])</f>
        <v>0</v>
      </c>
      <c r="G1653" s="48"/>
      <c r="H1653" s="49">
        <f>+SUM($F$9:F1653)-SUM($G$9:G1653)</f>
        <v>72597000</v>
      </c>
    </row>
    <row r="1654" spans="1:8" ht="28.8" x14ac:dyDescent="0.55000000000000004">
      <c r="A1654" s="43"/>
      <c r="B1654" s="43"/>
      <c r="C1654" s="44"/>
      <c r="D1654" s="45"/>
      <c r="E1654" s="46"/>
      <c r="F1654" s="47">
        <f>+$I$4+(CLIENT[[#This Row],[QUANTITE]]*CLIENT[[#This Row],[PRIX UNITAIRE]])</f>
        <v>0</v>
      </c>
      <c r="G1654" s="48"/>
      <c r="H1654" s="49">
        <f>+SUM($F$9:F1654)-SUM($G$9:G1654)</f>
        <v>72597000</v>
      </c>
    </row>
    <row r="1655" spans="1:8" ht="28.8" x14ac:dyDescent="0.55000000000000004">
      <c r="A1655" s="43"/>
      <c r="B1655" s="43"/>
      <c r="C1655" s="44"/>
      <c r="D1655" s="45"/>
      <c r="E1655" s="46"/>
      <c r="F1655" s="47">
        <f>+$I$4+(CLIENT[[#This Row],[QUANTITE]]*CLIENT[[#This Row],[PRIX UNITAIRE]])</f>
        <v>0</v>
      </c>
      <c r="G1655" s="48"/>
      <c r="H1655" s="49">
        <f>+SUM($F$9:F1655)-SUM($G$9:G1655)</f>
        <v>72597000</v>
      </c>
    </row>
    <row r="1656" spans="1:8" ht="28.8" x14ac:dyDescent="0.55000000000000004">
      <c r="A1656" s="43"/>
      <c r="B1656" s="43"/>
      <c r="C1656" s="44"/>
      <c r="D1656" s="45"/>
      <c r="E1656" s="46"/>
      <c r="F1656" s="47">
        <f>+$I$4+(CLIENT[[#This Row],[QUANTITE]]*CLIENT[[#This Row],[PRIX UNITAIRE]])</f>
        <v>0</v>
      </c>
      <c r="G1656" s="48"/>
      <c r="H1656" s="49">
        <f>+SUM($F$9:F1656)-SUM($G$9:G1656)</f>
        <v>72597000</v>
      </c>
    </row>
    <row r="1657" spans="1:8" ht="28.8" x14ac:dyDescent="0.55000000000000004">
      <c r="A1657" s="43"/>
      <c r="B1657" s="43"/>
      <c r="C1657" s="44"/>
      <c r="D1657" s="45"/>
      <c r="E1657" s="46"/>
      <c r="F1657" s="47">
        <f>+$I$4+(CLIENT[[#This Row],[QUANTITE]]*CLIENT[[#This Row],[PRIX UNITAIRE]])</f>
        <v>0</v>
      </c>
      <c r="G1657" s="48"/>
      <c r="H1657" s="49">
        <f>+SUM($F$9:F1657)-SUM($G$9:G1657)</f>
        <v>72597000</v>
      </c>
    </row>
    <row r="1658" spans="1:8" ht="28.8" x14ac:dyDescent="0.55000000000000004">
      <c r="A1658" s="43"/>
      <c r="B1658" s="43"/>
      <c r="C1658" s="44"/>
      <c r="D1658" s="45"/>
      <c r="E1658" s="46"/>
      <c r="F1658" s="47">
        <f>+$I$4+(CLIENT[[#This Row],[QUANTITE]]*CLIENT[[#This Row],[PRIX UNITAIRE]])</f>
        <v>0</v>
      </c>
      <c r="G1658" s="48"/>
      <c r="H1658" s="49">
        <f>+SUM($F$9:F1658)-SUM($G$9:G1658)</f>
        <v>72597000</v>
      </c>
    </row>
    <row r="1659" spans="1:8" ht="28.8" x14ac:dyDescent="0.55000000000000004">
      <c r="A1659" s="43"/>
      <c r="B1659" s="43"/>
      <c r="C1659" s="44"/>
      <c r="D1659" s="45"/>
      <c r="E1659" s="46"/>
      <c r="F1659" s="47">
        <f>+$I$4+(CLIENT[[#This Row],[QUANTITE]]*CLIENT[[#This Row],[PRIX UNITAIRE]])</f>
        <v>0</v>
      </c>
      <c r="G1659" s="48"/>
      <c r="H1659" s="49">
        <f>+SUM($F$9:F1659)-SUM($G$9:G1659)</f>
        <v>72597000</v>
      </c>
    </row>
    <row r="1660" spans="1:8" ht="28.8" x14ac:dyDescent="0.55000000000000004">
      <c r="A1660" s="43"/>
      <c r="B1660" s="43"/>
      <c r="C1660" s="44"/>
      <c r="D1660" s="45"/>
      <c r="E1660" s="46"/>
      <c r="F1660" s="47">
        <f>+$I$4+(CLIENT[[#This Row],[QUANTITE]]*CLIENT[[#This Row],[PRIX UNITAIRE]])</f>
        <v>0</v>
      </c>
      <c r="G1660" s="48"/>
      <c r="H1660" s="49">
        <f>+SUM($F$9:F1660)-SUM($G$9:G1660)</f>
        <v>72597000</v>
      </c>
    </row>
    <row r="1661" spans="1:8" ht="28.8" x14ac:dyDescent="0.55000000000000004">
      <c r="A1661" s="43"/>
      <c r="B1661" s="43"/>
      <c r="C1661" s="44"/>
      <c r="D1661" s="45"/>
      <c r="E1661" s="46"/>
      <c r="F1661" s="47">
        <f>+$I$4+(CLIENT[[#This Row],[QUANTITE]]*CLIENT[[#This Row],[PRIX UNITAIRE]])</f>
        <v>0</v>
      </c>
      <c r="G1661" s="48"/>
      <c r="H1661" s="49">
        <f>+SUM($F$9:F1661)-SUM($G$9:G1661)</f>
        <v>72597000</v>
      </c>
    </row>
    <row r="1662" spans="1:8" ht="28.8" x14ac:dyDescent="0.55000000000000004">
      <c r="A1662" s="43"/>
      <c r="B1662" s="43"/>
      <c r="C1662" s="44"/>
      <c r="D1662" s="45"/>
      <c r="E1662" s="46"/>
      <c r="F1662" s="47">
        <f>+$I$4+(CLIENT[[#This Row],[QUANTITE]]*CLIENT[[#This Row],[PRIX UNITAIRE]])</f>
        <v>0</v>
      </c>
      <c r="G1662" s="48"/>
      <c r="H1662" s="49">
        <f>+SUM($F$9:F1662)-SUM($G$9:G1662)</f>
        <v>72597000</v>
      </c>
    </row>
    <row r="1663" spans="1:8" ht="28.8" x14ac:dyDescent="0.55000000000000004">
      <c r="A1663" s="43"/>
      <c r="B1663" s="43"/>
      <c r="C1663" s="44"/>
      <c r="D1663" s="45"/>
      <c r="E1663" s="46"/>
      <c r="F1663" s="47">
        <f>+$I$4+(CLIENT[[#This Row],[QUANTITE]]*CLIENT[[#This Row],[PRIX UNITAIRE]])</f>
        <v>0</v>
      </c>
      <c r="G1663" s="48"/>
      <c r="H1663" s="49">
        <f>+SUM($F$9:F1663)-SUM($G$9:G1663)</f>
        <v>72597000</v>
      </c>
    </row>
    <row r="1664" spans="1:8" ht="28.8" x14ac:dyDescent="0.55000000000000004">
      <c r="A1664" s="43"/>
      <c r="B1664" s="43"/>
      <c r="C1664" s="44"/>
      <c r="D1664" s="45"/>
      <c r="E1664" s="46"/>
      <c r="F1664" s="47">
        <f>+$I$4+(CLIENT[[#This Row],[QUANTITE]]*CLIENT[[#This Row],[PRIX UNITAIRE]])</f>
        <v>0</v>
      </c>
      <c r="G1664" s="48"/>
      <c r="H1664" s="49">
        <f>+SUM($F$9:F1664)-SUM($G$9:G1664)</f>
        <v>72597000</v>
      </c>
    </row>
    <row r="1665" spans="1:8" ht="28.8" x14ac:dyDescent="0.55000000000000004">
      <c r="A1665" s="43"/>
      <c r="B1665" s="43"/>
      <c r="C1665" s="44"/>
      <c r="D1665" s="45"/>
      <c r="E1665" s="46"/>
      <c r="F1665" s="47">
        <f>+$I$4+(CLIENT[[#This Row],[QUANTITE]]*CLIENT[[#This Row],[PRIX UNITAIRE]])</f>
        <v>0</v>
      </c>
      <c r="G1665" s="48"/>
      <c r="H1665" s="49">
        <f>+SUM($F$9:F1665)-SUM($G$9:G1665)</f>
        <v>72597000</v>
      </c>
    </row>
    <row r="1666" spans="1:8" ht="28.8" x14ac:dyDescent="0.55000000000000004">
      <c r="A1666" s="43"/>
      <c r="B1666" s="43"/>
      <c r="C1666" s="44"/>
      <c r="D1666" s="45"/>
      <c r="E1666" s="46"/>
      <c r="F1666" s="47">
        <f>+$I$4+(CLIENT[[#This Row],[QUANTITE]]*CLIENT[[#This Row],[PRIX UNITAIRE]])</f>
        <v>0</v>
      </c>
      <c r="G1666" s="48"/>
      <c r="H1666" s="49">
        <f>+SUM($F$9:F1666)-SUM($G$9:G1666)</f>
        <v>72597000</v>
      </c>
    </row>
    <row r="1667" spans="1:8" ht="28.8" x14ac:dyDescent="0.55000000000000004">
      <c r="A1667" s="43"/>
      <c r="B1667" s="43"/>
      <c r="C1667" s="44"/>
      <c r="D1667" s="45"/>
      <c r="E1667" s="46"/>
      <c r="F1667" s="47">
        <f>+$I$4+(CLIENT[[#This Row],[QUANTITE]]*CLIENT[[#This Row],[PRIX UNITAIRE]])</f>
        <v>0</v>
      </c>
      <c r="G1667" s="48"/>
      <c r="H1667" s="49">
        <f>+SUM($F$9:F1667)-SUM($G$9:G1667)</f>
        <v>72597000</v>
      </c>
    </row>
    <row r="1668" spans="1:8" ht="28.8" x14ac:dyDescent="0.55000000000000004">
      <c r="A1668" s="43"/>
      <c r="B1668" s="43"/>
      <c r="C1668" s="44"/>
      <c r="D1668" s="45"/>
      <c r="E1668" s="46"/>
      <c r="F1668" s="47">
        <f>+$I$4+(CLIENT[[#This Row],[QUANTITE]]*CLIENT[[#This Row],[PRIX UNITAIRE]])</f>
        <v>0</v>
      </c>
      <c r="G1668" s="48"/>
      <c r="H1668" s="49">
        <f>+SUM($F$9:F1668)-SUM($G$9:G1668)</f>
        <v>72597000</v>
      </c>
    </row>
    <row r="1669" spans="1:8" ht="28.8" x14ac:dyDescent="0.55000000000000004">
      <c r="A1669" s="43"/>
      <c r="B1669" s="43"/>
      <c r="C1669" s="44"/>
      <c r="D1669" s="45"/>
      <c r="E1669" s="46"/>
      <c r="F1669" s="47">
        <f>+$I$4+(CLIENT[[#This Row],[QUANTITE]]*CLIENT[[#This Row],[PRIX UNITAIRE]])</f>
        <v>0</v>
      </c>
      <c r="G1669" s="48"/>
      <c r="H1669" s="49">
        <f>+SUM($F$9:F1669)-SUM($G$9:G1669)</f>
        <v>72597000</v>
      </c>
    </row>
    <row r="1670" spans="1:8" ht="28.8" x14ac:dyDescent="0.55000000000000004">
      <c r="A1670" s="43"/>
      <c r="B1670" s="43"/>
      <c r="C1670" s="44"/>
      <c r="D1670" s="45"/>
      <c r="E1670" s="46"/>
      <c r="F1670" s="47">
        <f>+$I$4+(CLIENT[[#This Row],[QUANTITE]]*CLIENT[[#This Row],[PRIX UNITAIRE]])</f>
        <v>0</v>
      </c>
      <c r="G1670" s="48"/>
      <c r="H1670" s="49">
        <f>+SUM($F$9:F1670)-SUM($G$9:G1670)</f>
        <v>72597000</v>
      </c>
    </row>
    <row r="1671" spans="1:8" ht="28.8" x14ac:dyDescent="0.55000000000000004">
      <c r="A1671" s="43"/>
      <c r="B1671" s="43"/>
      <c r="C1671" s="44"/>
      <c r="D1671" s="45"/>
      <c r="E1671" s="46"/>
      <c r="F1671" s="47">
        <f>+$I$4+(CLIENT[[#This Row],[QUANTITE]]*CLIENT[[#This Row],[PRIX UNITAIRE]])</f>
        <v>0</v>
      </c>
      <c r="G1671" s="48"/>
      <c r="H1671" s="49">
        <f>+SUM($F$9:F1671)-SUM($G$9:G1671)</f>
        <v>72597000</v>
      </c>
    </row>
    <row r="1672" spans="1:8" ht="28.8" x14ac:dyDescent="0.55000000000000004">
      <c r="A1672" s="43"/>
      <c r="B1672" s="43"/>
      <c r="C1672" s="44"/>
      <c r="D1672" s="45"/>
      <c r="E1672" s="46"/>
      <c r="F1672" s="47">
        <f>+$I$4+(CLIENT[[#This Row],[QUANTITE]]*CLIENT[[#This Row],[PRIX UNITAIRE]])</f>
        <v>0</v>
      </c>
      <c r="G1672" s="48"/>
      <c r="H1672" s="49">
        <f>+SUM($F$9:F1672)-SUM($G$9:G1672)</f>
        <v>72597000</v>
      </c>
    </row>
    <row r="1673" spans="1:8" ht="28.8" x14ac:dyDescent="0.55000000000000004">
      <c r="A1673" s="43"/>
      <c r="B1673" s="43"/>
      <c r="C1673" s="44"/>
      <c r="D1673" s="45"/>
      <c r="E1673" s="46"/>
      <c r="F1673" s="47">
        <f>+$I$4+(CLIENT[[#This Row],[QUANTITE]]*CLIENT[[#This Row],[PRIX UNITAIRE]])</f>
        <v>0</v>
      </c>
      <c r="G1673" s="48"/>
      <c r="H1673" s="49">
        <f>+SUM($F$9:F1673)-SUM($G$9:G1673)</f>
        <v>72597000</v>
      </c>
    </row>
    <row r="1674" spans="1:8" ht="28.8" x14ac:dyDescent="0.55000000000000004">
      <c r="A1674" s="43"/>
      <c r="B1674" s="43"/>
      <c r="C1674" s="44"/>
      <c r="D1674" s="45"/>
      <c r="E1674" s="46"/>
      <c r="F1674" s="47">
        <f>+$I$4+(CLIENT[[#This Row],[QUANTITE]]*CLIENT[[#This Row],[PRIX UNITAIRE]])</f>
        <v>0</v>
      </c>
      <c r="G1674" s="48"/>
      <c r="H1674" s="49">
        <f>+SUM($F$9:F1674)-SUM($G$9:G1674)</f>
        <v>72597000</v>
      </c>
    </row>
    <row r="1675" spans="1:8" ht="28.8" x14ac:dyDescent="0.55000000000000004">
      <c r="A1675" s="43"/>
      <c r="B1675" s="43"/>
      <c r="C1675" s="44"/>
      <c r="D1675" s="45"/>
      <c r="E1675" s="46"/>
      <c r="F1675" s="47">
        <f>+$I$4+(CLIENT[[#This Row],[QUANTITE]]*CLIENT[[#This Row],[PRIX UNITAIRE]])</f>
        <v>0</v>
      </c>
      <c r="G1675" s="48"/>
      <c r="H1675" s="49">
        <f>+SUM($F$9:F1675)-SUM($G$9:G1675)</f>
        <v>72597000</v>
      </c>
    </row>
    <row r="1676" spans="1:8" ht="28.8" x14ac:dyDescent="0.55000000000000004">
      <c r="A1676" s="43"/>
      <c r="B1676" s="43"/>
      <c r="C1676" s="44"/>
      <c r="D1676" s="45"/>
      <c r="E1676" s="46"/>
      <c r="F1676" s="47">
        <f>+$I$4+(CLIENT[[#This Row],[QUANTITE]]*CLIENT[[#This Row],[PRIX UNITAIRE]])</f>
        <v>0</v>
      </c>
      <c r="G1676" s="48"/>
      <c r="H1676" s="49">
        <f>+SUM($F$9:F1676)-SUM($G$9:G1676)</f>
        <v>72597000</v>
      </c>
    </row>
    <row r="1677" spans="1:8" ht="28.8" x14ac:dyDescent="0.55000000000000004">
      <c r="A1677" s="43"/>
      <c r="B1677" s="43"/>
      <c r="C1677" s="44"/>
      <c r="D1677" s="45"/>
      <c r="E1677" s="46"/>
      <c r="F1677" s="47">
        <f>+$I$4+(CLIENT[[#This Row],[QUANTITE]]*CLIENT[[#This Row],[PRIX UNITAIRE]])</f>
        <v>0</v>
      </c>
      <c r="G1677" s="48"/>
      <c r="H1677" s="49">
        <f>+SUM($F$9:F1677)-SUM($G$9:G1677)</f>
        <v>72597000</v>
      </c>
    </row>
    <row r="1678" spans="1:8" ht="28.8" x14ac:dyDescent="0.55000000000000004">
      <c r="A1678" s="43"/>
      <c r="B1678" s="43"/>
      <c r="C1678" s="44"/>
      <c r="D1678" s="45"/>
      <c r="E1678" s="46"/>
      <c r="F1678" s="47">
        <f>+$I$4+(CLIENT[[#This Row],[QUANTITE]]*CLIENT[[#This Row],[PRIX UNITAIRE]])</f>
        <v>0</v>
      </c>
      <c r="G1678" s="48"/>
      <c r="H1678" s="49">
        <f>+SUM($F$9:F1678)-SUM($G$9:G1678)</f>
        <v>72597000</v>
      </c>
    </row>
    <row r="1679" spans="1:8" ht="28.8" x14ac:dyDescent="0.55000000000000004">
      <c r="A1679" s="43"/>
      <c r="B1679" s="43"/>
      <c r="C1679" s="44"/>
      <c r="D1679" s="45"/>
      <c r="E1679" s="46"/>
      <c r="F1679" s="47">
        <f>+$I$4+(CLIENT[[#This Row],[QUANTITE]]*CLIENT[[#This Row],[PRIX UNITAIRE]])</f>
        <v>0</v>
      </c>
      <c r="G1679" s="48"/>
      <c r="H1679" s="49">
        <f>+SUM($F$9:F1679)-SUM($G$9:G1679)</f>
        <v>72597000</v>
      </c>
    </row>
    <row r="1680" spans="1:8" ht="28.8" x14ac:dyDescent="0.55000000000000004">
      <c r="A1680" s="43"/>
      <c r="B1680" s="43"/>
      <c r="C1680" s="44"/>
      <c r="D1680" s="45"/>
      <c r="E1680" s="46"/>
      <c r="F1680" s="47">
        <f>+$I$4+(CLIENT[[#This Row],[QUANTITE]]*CLIENT[[#This Row],[PRIX UNITAIRE]])</f>
        <v>0</v>
      </c>
      <c r="G1680" s="48"/>
      <c r="H1680" s="49">
        <f>+SUM($F$9:F1680)-SUM($G$9:G1680)</f>
        <v>72597000</v>
      </c>
    </row>
    <row r="1681" spans="1:8" ht="28.8" x14ac:dyDescent="0.55000000000000004">
      <c r="A1681" s="43"/>
      <c r="B1681" s="43"/>
      <c r="C1681" s="44"/>
      <c r="D1681" s="45"/>
      <c r="E1681" s="46"/>
      <c r="F1681" s="47">
        <f>+$I$4+(CLIENT[[#This Row],[QUANTITE]]*CLIENT[[#This Row],[PRIX UNITAIRE]])</f>
        <v>0</v>
      </c>
      <c r="G1681" s="48"/>
      <c r="H1681" s="49">
        <f>+SUM($F$9:F1681)-SUM($G$9:G1681)</f>
        <v>72597000</v>
      </c>
    </row>
    <row r="1682" spans="1:8" ht="28.8" x14ac:dyDescent="0.55000000000000004">
      <c r="A1682" s="43"/>
      <c r="B1682" s="43"/>
      <c r="C1682" s="44"/>
      <c r="D1682" s="45"/>
      <c r="E1682" s="46"/>
      <c r="F1682" s="47">
        <f>+$I$4+(CLIENT[[#This Row],[QUANTITE]]*CLIENT[[#This Row],[PRIX UNITAIRE]])</f>
        <v>0</v>
      </c>
      <c r="G1682" s="48"/>
      <c r="H1682" s="49">
        <f>+SUM($F$9:F1682)-SUM($G$9:G1682)</f>
        <v>72597000</v>
      </c>
    </row>
    <row r="1683" spans="1:8" ht="28.8" x14ac:dyDescent="0.55000000000000004">
      <c r="A1683" s="43"/>
      <c r="B1683" s="43"/>
      <c r="C1683" s="44"/>
      <c r="D1683" s="45"/>
      <c r="E1683" s="46"/>
      <c r="F1683" s="47">
        <f>+$I$4+(CLIENT[[#This Row],[QUANTITE]]*CLIENT[[#This Row],[PRIX UNITAIRE]])</f>
        <v>0</v>
      </c>
      <c r="G1683" s="48"/>
      <c r="H1683" s="49">
        <f>+SUM($F$9:F1683)-SUM($G$9:G1683)</f>
        <v>72597000</v>
      </c>
    </row>
    <row r="1684" spans="1:8" ht="28.8" x14ac:dyDescent="0.55000000000000004">
      <c r="A1684" s="43"/>
      <c r="B1684" s="43"/>
      <c r="C1684" s="44"/>
      <c r="D1684" s="45"/>
      <c r="E1684" s="46"/>
      <c r="F1684" s="47">
        <f>+$I$4+(CLIENT[[#This Row],[QUANTITE]]*CLIENT[[#This Row],[PRIX UNITAIRE]])</f>
        <v>0</v>
      </c>
      <c r="G1684" s="48"/>
      <c r="H1684" s="49">
        <f>+SUM($F$9:F1684)-SUM($G$9:G1684)</f>
        <v>72597000</v>
      </c>
    </row>
    <row r="1685" spans="1:8" ht="28.8" x14ac:dyDescent="0.55000000000000004">
      <c r="A1685" s="43"/>
      <c r="B1685" s="43"/>
      <c r="C1685" s="44"/>
      <c r="D1685" s="45"/>
      <c r="E1685" s="46"/>
      <c r="F1685" s="47">
        <f>+$I$4+(CLIENT[[#This Row],[QUANTITE]]*CLIENT[[#This Row],[PRIX UNITAIRE]])</f>
        <v>0</v>
      </c>
      <c r="G1685" s="48"/>
      <c r="H1685" s="49">
        <f>+SUM($F$9:F1685)-SUM($G$9:G1685)</f>
        <v>72597000</v>
      </c>
    </row>
    <row r="1686" spans="1:8" ht="28.8" x14ac:dyDescent="0.55000000000000004">
      <c r="A1686" s="43"/>
      <c r="B1686" s="43"/>
      <c r="C1686" s="44"/>
      <c r="D1686" s="45"/>
      <c r="E1686" s="46"/>
      <c r="F1686" s="47">
        <f>+$I$4+(CLIENT[[#This Row],[QUANTITE]]*CLIENT[[#This Row],[PRIX UNITAIRE]])</f>
        <v>0</v>
      </c>
      <c r="G1686" s="48"/>
      <c r="H1686" s="49">
        <f>+SUM($F$9:F1686)-SUM($G$9:G1686)</f>
        <v>72597000</v>
      </c>
    </row>
    <row r="1687" spans="1:8" ht="28.8" x14ac:dyDescent="0.55000000000000004">
      <c r="A1687" s="43"/>
      <c r="B1687" s="43"/>
      <c r="C1687" s="44"/>
      <c r="D1687" s="45"/>
      <c r="E1687" s="46"/>
      <c r="F1687" s="47">
        <f>+$I$4+(CLIENT[[#This Row],[QUANTITE]]*CLIENT[[#This Row],[PRIX UNITAIRE]])</f>
        <v>0</v>
      </c>
      <c r="G1687" s="48"/>
      <c r="H1687" s="49">
        <f>+SUM($F$9:F1687)-SUM($G$9:G1687)</f>
        <v>72597000</v>
      </c>
    </row>
    <row r="1688" spans="1:8" ht="28.8" x14ac:dyDescent="0.55000000000000004">
      <c r="A1688" s="43"/>
      <c r="B1688" s="43"/>
      <c r="C1688" s="44"/>
      <c r="D1688" s="45"/>
      <c r="E1688" s="46"/>
      <c r="F1688" s="47">
        <f>+$I$4+(CLIENT[[#This Row],[QUANTITE]]*CLIENT[[#This Row],[PRIX UNITAIRE]])</f>
        <v>0</v>
      </c>
      <c r="G1688" s="48"/>
      <c r="H1688" s="49">
        <f>+SUM($F$9:F1688)-SUM($G$9:G1688)</f>
        <v>72597000</v>
      </c>
    </row>
    <row r="1689" spans="1:8" ht="28.8" x14ac:dyDescent="0.55000000000000004">
      <c r="A1689" s="43"/>
      <c r="B1689" s="43"/>
      <c r="C1689" s="44"/>
      <c r="D1689" s="45"/>
      <c r="E1689" s="46"/>
      <c r="F1689" s="47">
        <f>+$I$4+(CLIENT[[#This Row],[QUANTITE]]*CLIENT[[#This Row],[PRIX UNITAIRE]])</f>
        <v>0</v>
      </c>
      <c r="G1689" s="48"/>
      <c r="H1689" s="49">
        <f>+SUM($F$9:F1689)-SUM($G$9:G1689)</f>
        <v>72597000</v>
      </c>
    </row>
    <row r="1690" spans="1:8" ht="28.8" x14ac:dyDescent="0.55000000000000004">
      <c r="A1690" s="43"/>
      <c r="B1690" s="43"/>
      <c r="C1690" s="44"/>
      <c r="D1690" s="45"/>
      <c r="E1690" s="46"/>
      <c r="F1690" s="47">
        <f>+$I$4+(CLIENT[[#This Row],[QUANTITE]]*CLIENT[[#This Row],[PRIX UNITAIRE]])</f>
        <v>0</v>
      </c>
      <c r="G1690" s="48"/>
      <c r="H1690" s="49">
        <f>+SUM($F$9:F1690)-SUM($G$9:G1690)</f>
        <v>72597000</v>
      </c>
    </row>
    <row r="1691" spans="1:8" ht="28.8" x14ac:dyDescent="0.55000000000000004">
      <c r="A1691" s="43"/>
      <c r="B1691" s="43"/>
      <c r="C1691" s="44"/>
      <c r="D1691" s="45"/>
      <c r="E1691" s="46"/>
      <c r="F1691" s="47">
        <f>+$I$4+(CLIENT[[#This Row],[QUANTITE]]*CLIENT[[#This Row],[PRIX UNITAIRE]])</f>
        <v>0</v>
      </c>
      <c r="G1691" s="48"/>
      <c r="H1691" s="49">
        <f>+SUM($F$9:F1691)-SUM($G$9:G1691)</f>
        <v>72597000</v>
      </c>
    </row>
    <row r="1692" spans="1:8" ht="28.8" x14ac:dyDescent="0.55000000000000004">
      <c r="A1692" s="43"/>
      <c r="B1692" s="43"/>
      <c r="C1692" s="44"/>
      <c r="D1692" s="45"/>
      <c r="E1692" s="46"/>
      <c r="F1692" s="47">
        <f>+$I$4+(CLIENT[[#This Row],[QUANTITE]]*CLIENT[[#This Row],[PRIX UNITAIRE]])</f>
        <v>0</v>
      </c>
      <c r="G1692" s="48"/>
      <c r="H1692" s="49">
        <f>+SUM($F$9:F1692)-SUM($G$9:G1692)</f>
        <v>72597000</v>
      </c>
    </row>
    <row r="1693" spans="1:8" ht="28.8" x14ac:dyDescent="0.55000000000000004">
      <c r="A1693" s="43"/>
      <c r="B1693" s="43"/>
      <c r="C1693" s="44"/>
      <c r="D1693" s="45"/>
      <c r="E1693" s="46"/>
      <c r="F1693" s="47">
        <f>+$I$4+(CLIENT[[#This Row],[QUANTITE]]*CLIENT[[#This Row],[PRIX UNITAIRE]])</f>
        <v>0</v>
      </c>
      <c r="G1693" s="48"/>
      <c r="H1693" s="49">
        <f>+SUM($F$9:F1693)-SUM($G$9:G1693)</f>
        <v>72597000</v>
      </c>
    </row>
    <row r="1694" spans="1:8" ht="28.8" x14ac:dyDescent="0.55000000000000004">
      <c r="A1694" s="43"/>
      <c r="B1694" s="43"/>
      <c r="C1694" s="44"/>
      <c r="D1694" s="45"/>
      <c r="E1694" s="46"/>
      <c r="F1694" s="47">
        <f>+$I$4+(CLIENT[[#This Row],[QUANTITE]]*CLIENT[[#This Row],[PRIX UNITAIRE]])</f>
        <v>0</v>
      </c>
      <c r="G1694" s="48"/>
      <c r="H1694" s="49">
        <f>+SUM($F$9:F1694)-SUM($G$9:G1694)</f>
        <v>72597000</v>
      </c>
    </row>
    <row r="1695" spans="1:8" ht="28.8" x14ac:dyDescent="0.55000000000000004">
      <c r="A1695" s="43"/>
      <c r="B1695" s="43"/>
      <c r="C1695" s="44"/>
      <c r="D1695" s="45"/>
      <c r="E1695" s="46"/>
      <c r="F1695" s="47">
        <f>+$I$4+(CLIENT[[#This Row],[QUANTITE]]*CLIENT[[#This Row],[PRIX UNITAIRE]])</f>
        <v>0</v>
      </c>
      <c r="G1695" s="48"/>
      <c r="H1695" s="49">
        <f>+SUM($F$9:F1695)-SUM($G$9:G1695)</f>
        <v>72597000</v>
      </c>
    </row>
    <row r="1696" spans="1:8" ht="28.8" x14ac:dyDescent="0.55000000000000004">
      <c r="A1696" s="43"/>
      <c r="B1696" s="43"/>
      <c r="C1696" s="44"/>
      <c r="D1696" s="45"/>
      <c r="E1696" s="46"/>
      <c r="F1696" s="47">
        <f>+$I$4+(CLIENT[[#This Row],[QUANTITE]]*CLIENT[[#This Row],[PRIX UNITAIRE]])</f>
        <v>0</v>
      </c>
      <c r="G1696" s="48"/>
      <c r="H1696" s="49">
        <f>+SUM($F$9:F1696)-SUM($G$9:G1696)</f>
        <v>72597000</v>
      </c>
    </row>
    <row r="1697" spans="1:8" ht="28.8" x14ac:dyDescent="0.55000000000000004">
      <c r="A1697" s="43"/>
      <c r="B1697" s="43"/>
      <c r="C1697" s="44"/>
      <c r="D1697" s="45"/>
      <c r="E1697" s="46"/>
      <c r="F1697" s="47">
        <f>+$I$4+(CLIENT[[#This Row],[QUANTITE]]*CLIENT[[#This Row],[PRIX UNITAIRE]])</f>
        <v>0</v>
      </c>
      <c r="G1697" s="48"/>
      <c r="H1697" s="49">
        <f>+SUM($F$9:F1697)-SUM($G$9:G1697)</f>
        <v>72597000</v>
      </c>
    </row>
    <row r="1698" spans="1:8" ht="28.8" x14ac:dyDescent="0.55000000000000004">
      <c r="A1698" s="43"/>
      <c r="B1698" s="43"/>
      <c r="C1698" s="44"/>
      <c r="D1698" s="45"/>
      <c r="E1698" s="46"/>
      <c r="F1698" s="47">
        <f>+$I$4+(CLIENT[[#This Row],[QUANTITE]]*CLIENT[[#This Row],[PRIX UNITAIRE]])</f>
        <v>0</v>
      </c>
      <c r="G1698" s="48"/>
      <c r="H1698" s="49">
        <f>+SUM($F$9:F1698)-SUM($G$9:G1698)</f>
        <v>72597000</v>
      </c>
    </row>
    <row r="1699" spans="1:8" ht="28.8" x14ac:dyDescent="0.55000000000000004">
      <c r="A1699" s="43"/>
      <c r="B1699" s="43"/>
      <c r="C1699" s="44"/>
      <c r="D1699" s="45"/>
      <c r="E1699" s="46"/>
      <c r="F1699" s="47">
        <f>+$I$4+(CLIENT[[#This Row],[QUANTITE]]*CLIENT[[#This Row],[PRIX UNITAIRE]])</f>
        <v>0</v>
      </c>
      <c r="G1699" s="48"/>
      <c r="H1699" s="49">
        <f>+SUM($F$9:F1699)-SUM($G$9:G1699)</f>
        <v>72597000</v>
      </c>
    </row>
    <row r="1700" spans="1:8" ht="28.8" x14ac:dyDescent="0.55000000000000004">
      <c r="A1700" s="43"/>
      <c r="B1700" s="43"/>
      <c r="C1700" s="44"/>
      <c r="D1700" s="45"/>
      <c r="E1700" s="46"/>
      <c r="F1700" s="47">
        <f>+$I$4+(CLIENT[[#This Row],[QUANTITE]]*CLIENT[[#This Row],[PRIX UNITAIRE]])</f>
        <v>0</v>
      </c>
      <c r="G1700" s="48"/>
      <c r="H1700" s="49">
        <f>+SUM($F$9:F1700)-SUM($G$9:G1700)</f>
        <v>72597000</v>
      </c>
    </row>
    <row r="1701" spans="1:8" ht="28.8" x14ac:dyDescent="0.55000000000000004">
      <c r="A1701" s="43"/>
      <c r="B1701" s="43"/>
      <c r="C1701" s="44"/>
      <c r="D1701" s="45"/>
      <c r="E1701" s="46"/>
      <c r="F1701" s="47">
        <f>+$I$4+(CLIENT[[#This Row],[QUANTITE]]*CLIENT[[#This Row],[PRIX UNITAIRE]])</f>
        <v>0</v>
      </c>
      <c r="G1701" s="48"/>
      <c r="H1701" s="49">
        <f>+SUM($F$9:F1701)-SUM($G$9:G1701)</f>
        <v>72597000</v>
      </c>
    </row>
    <row r="1702" spans="1:8" ht="28.8" x14ac:dyDescent="0.55000000000000004">
      <c r="A1702" s="43"/>
      <c r="B1702" s="43"/>
      <c r="C1702" s="44"/>
      <c r="D1702" s="45"/>
      <c r="E1702" s="46"/>
      <c r="F1702" s="47">
        <f>+$I$4+(CLIENT[[#This Row],[QUANTITE]]*CLIENT[[#This Row],[PRIX UNITAIRE]])</f>
        <v>0</v>
      </c>
      <c r="G1702" s="48"/>
      <c r="H1702" s="49">
        <f>+SUM($F$9:F1702)-SUM($G$9:G1702)</f>
        <v>72597000</v>
      </c>
    </row>
    <row r="1703" spans="1:8" ht="28.8" x14ac:dyDescent="0.55000000000000004">
      <c r="A1703" s="43"/>
      <c r="B1703" s="43"/>
      <c r="C1703" s="44"/>
      <c r="D1703" s="45"/>
      <c r="E1703" s="46"/>
      <c r="F1703" s="47">
        <f>+$I$4+(CLIENT[[#This Row],[QUANTITE]]*CLIENT[[#This Row],[PRIX UNITAIRE]])</f>
        <v>0</v>
      </c>
      <c r="G1703" s="48"/>
      <c r="H1703" s="49">
        <f>+SUM($F$9:F1703)-SUM($G$9:G1703)</f>
        <v>72597000</v>
      </c>
    </row>
    <row r="1704" spans="1:8" ht="28.8" x14ac:dyDescent="0.55000000000000004">
      <c r="A1704" s="43"/>
      <c r="B1704" s="43"/>
      <c r="C1704" s="44"/>
      <c r="D1704" s="45"/>
      <c r="E1704" s="46"/>
      <c r="F1704" s="47">
        <f>+$I$4+(CLIENT[[#This Row],[QUANTITE]]*CLIENT[[#This Row],[PRIX UNITAIRE]])</f>
        <v>0</v>
      </c>
      <c r="G1704" s="48"/>
      <c r="H1704" s="49">
        <f>+SUM($F$9:F1704)-SUM($G$9:G1704)</f>
        <v>72597000</v>
      </c>
    </row>
    <row r="1705" spans="1:8" ht="28.8" x14ac:dyDescent="0.55000000000000004">
      <c r="A1705" s="43"/>
      <c r="B1705" s="43"/>
      <c r="C1705" s="44"/>
      <c r="D1705" s="45"/>
      <c r="E1705" s="46"/>
      <c r="F1705" s="47">
        <f>+$I$4+(CLIENT[[#This Row],[QUANTITE]]*CLIENT[[#This Row],[PRIX UNITAIRE]])</f>
        <v>0</v>
      </c>
      <c r="G1705" s="48"/>
      <c r="H1705" s="49">
        <f>+SUM($F$9:F1705)-SUM($G$9:G1705)</f>
        <v>72597000</v>
      </c>
    </row>
    <row r="1706" spans="1:8" ht="28.8" x14ac:dyDescent="0.55000000000000004">
      <c r="A1706" s="43"/>
      <c r="B1706" s="43"/>
      <c r="C1706" s="44"/>
      <c r="D1706" s="45"/>
      <c r="E1706" s="46"/>
      <c r="F1706" s="47">
        <f>+$I$4+(CLIENT[[#This Row],[QUANTITE]]*CLIENT[[#This Row],[PRIX UNITAIRE]])</f>
        <v>0</v>
      </c>
      <c r="G1706" s="48"/>
      <c r="H1706" s="49">
        <f>+SUM($F$9:F1706)-SUM($G$9:G1706)</f>
        <v>72597000</v>
      </c>
    </row>
    <row r="1707" spans="1:8" ht="28.8" x14ac:dyDescent="0.55000000000000004">
      <c r="A1707" s="43"/>
      <c r="B1707" s="43"/>
      <c r="C1707" s="44"/>
      <c r="D1707" s="45"/>
      <c r="E1707" s="46"/>
      <c r="F1707" s="47">
        <f>+$I$4+(CLIENT[[#This Row],[QUANTITE]]*CLIENT[[#This Row],[PRIX UNITAIRE]])</f>
        <v>0</v>
      </c>
      <c r="G1707" s="48"/>
      <c r="H1707" s="49">
        <f>+SUM($F$9:F1707)-SUM($G$9:G1707)</f>
        <v>72597000</v>
      </c>
    </row>
    <row r="1708" spans="1:8" ht="28.8" x14ac:dyDescent="0.55000000000000004">
      <c r="A1708" s="43"/>
      <c r="B1708" s="43"/>
      <c r="C1708" s="44"/>
      <c r="D1708" s="45"/>
      <c r="E1708" s="46"/>
      <c r="F1708" s="47">
        <f>+$I$4+(CLIENT[[#This Row],[QUANTITE]]*CLIENT[[#This Row],[PRIX UNITAIRE]])</f>
        <v>0</v>
      </c>
      <c r="G1708" s="48"/>
      <c r="H1708" s="49">
        <f>+SUM($F$9:F1708)-SUM($G$9:G1708)</f>
        <v>72597000</v>
      </c>
    </row>
    <row r="1709" spans="1:8" ht="28.8" x14ac:dyDescent="0.55000000000000004">
      <c r="A1709" s="43"/>
      <c r="B1709" s="43"/>
      <c r="C1709" s="44"/>
      <c r="D1709" s="45"/>
      <c r="E1709" s="46"/>
      <c r="F1709" s="47">
        <f>+$I$4+(CLIENT[[#This Row],[QUANTITE]]*CLIENT[[#This Row],[PRIX UNITAIRE]])</f>
        <v>0</v>
      </c>
      <c r="G1709" s="48"/>
      <c r="H1709" s="49">
        <f>+SUM($F$9:F1709)-SUM($G$9:G1709)</f>
        <v>72597000</v>
      </c>
    </row>
    <row r="1710" spans="1:8" ht="28.8" x14ac:dyDescent="0.55000000000000004">
      <c r="A1710" s="43"/>
      <c r="B1710" s="43"/>
      <c r="C1710" s="44"/>
      <c r="D1710" s="45"/>
      <c r="E1710" s="46"/>
      <c r="F1710" s="47">
        <f>+$I$4+(CLIENT[[#This Row],[QUANTITE]]*CLIENT[[#This Row],[PRIX UNITAIRE]])</f>
        <v>0</v>
      </c>
      <c r="G1710" s="48"/>
      <c r="H1710" s="49">
        <f>+SUM($F$9:F1710)-SUM($G$9:G1710)</f>
        <v>72597000</v>
      </c>
    </row>
    <row r="1711" spans="1:8" ht="28.8" x14ac:dyDescent="0.55000000000000004">
      <c r="A1711" s="43"/>
      <c r="B1711" s="43"/>
      <c r="C1711" s="44"/>
      <c r="D1711" s="45"/>
      <c r="E1711" s="46"/>
      <c r="F1711" s="47">
        <f>+$I$4+(CLIENT[[#This Row],[QUANTITE]]*CLIENT[[#This Row],[PRIX UNITAIRE]])</f>
        <v>0</v>
      </c>
      <c r="G1711" s="48"/>
      <c r="H1711" s="49">
        <f>+SUM($F$9:F1711)-SUM($G$9:G1711)</f>
        <v>72597000</v>
      </c>
    </row>
    <row r="1712" spans="1:8" ht="28.8" x14ac:dyDescent="0.55000000000000004">
      <c r="A1712" s="43"/>
      <c r="B1712" s="43"/>
      <c r="C1712" s="44"/>
      <c r="D1712" s="45"/>
      <c r="E1712" s="46"/>
      <c r="F1712" s="47">
        <f>+$I$4+(CLIENT[[#This Row],[QUANTITE]]*CLIENT[[#This Row],[PRIX UNITAIRE]])</f>
        <v>0</v>
      </c>
      <c r="G1712" s="48"/>
      <c r="H1712" s="49">
        <f>+SUM($F$9:F1712)-SUM($G$9:G1712)</f>
        <v>72597000</v>
      </c>
    </row>
    <row r="1713" spans="1:8" ht="28.8" x14ac:dyDescent="0.55000000000000004">
      <c r="A1713" s="43"/>
      <c r="B1713" s="43"/>
      <c r="C1713" s="44"/>
      <c r="D1713" s="45"/>
      <c r="E1713" s="46"/>
      <c r="F1713" s="47">
        <f>+$I$4+(CLIENT[[#This Row],[QUANTITE]]*CLIENT[[#This Row],[PRIX UNITAIRE]])</f>
        <v>0</v>
      </c>
      <c r="G1713" s="48"/>
      <c r="H1713" s="49">
        <f>+SUM($F$9:F1713)-SUM($G$9:G1713)</f>
        <v>72597000</v>
      </c>
    </row>
    <row r="1714" spans="1:8" ht="28.8" x14ac:dyDescent="0.55000000000000004">
      <c r="A1714" s="43"/>
      <c r="B1714" s="43"/>
      <c r="C1714" s="44"/>
      <c r="D1714" s="45"/>
      <c r="E1714" s="46"/>
      <c r="F1714" s="47">
        <f>+$I$4+(CLIENT[[#This Row],[QUANTITE]]*CLIENT[[#This Row],[PRIX UNITAIRE]])</f>
        <v>0</v>
      </c>
      <c r="G1714" s="48"/>
      <c r="H1714" s="49">
        <f>+SUM($F$9:F1714)-SUM($G$9:G1714)</f>
        <v>72597000</v>
      </c>
    </row>
    <row r="1715" spans="1:8" ht="28.8" x14ac:dyDescent="0.55000000000000004">
      <c r="A1715" s="43"/>
      <c r="B1715" s="43"/>
      <c r="C1715" s="44"/>
      <c r="D1715" s="45"/>
      <c r="E1715" s="46"/>
      <c r="F1715" s="47">
        <f>+$I$4+(CLIENT[[#This Row],[QUANTITE]]*CLIENT[[#This Row],[PRIX UNITAIRE]])</f>
        <v>0</v>
      </c>
      <c r="G1715" s="48"/>
      <c r="H1715" s="49">
        <f>+SUM($F$9:F1715)-SUM($G$9:G1715)</f>
        <v>72597000</v>
      </c>
    </row>
    <row r="1716" spans="1:8" ht="28.8" x14ac:dyDescent="0.55000000000000004">
      <c r="A1716" s="43"/>
      <c r="B1716" s="43"/>
      <c r="C1716" s="44"/>
      <c r="D1716" s="45"/>
      <c r="E1716" s="46"/>
      <c r="F1716" s="47">
        <f>+$I$4+(CLIENT[[#This Row],[QUANTITE]]*CLIENT[[#This Row],[PRIX UNITAIRE]])</f>
        <v>0</v>
      </c>
      <c r="G1716" s="48"/>
      <c r="H1716" s="49">
        <f>+SUM($F$9:F1716)-SUM($G$9:G1716)</f>
        <v>72597000</v>
      </c>
    </row>
    <row r="1717" spans="1:8" ht="28.8" x14ac:dyDescent="0.55000000000000004">
      <c r="A1717" s="43"/>
      <c r="B1717" s="43"/>
      <c r="C1717" s="44"/>
      <c r="D1717" s="45"/>
      <c r="E1717" s="46"/>
      <c r="F1717" s="47">
        <f>+$I$4+(CLIENT[[#This Row],[QUANTITE]]*CLIENT[[#This Row],[PRIX UNITAIRE]])</f>
        <v>0</v>
      </c>
      <c r="G1717" s="48"/>
      <c r="H1717" s="49">
        <f>+SUM($F$9:F1717)-SUM($G$9:G1717)</f>
        <v>72597000</v>
      </c>
    </row>
    <row r="1718" spans="1:8" ht="28.8" x14ac:dyDescent="0.55000000000000004">
      <c r="A1718" s="43"/>
      <c r="B1718" s="43"/>
      <c r="C1718" s="44"/>
      <c r="D1718" s="45"/>
      <c r="E1718" s="46"/>
      <c r="F1718" s="47">
        <f>+$I$4+(CLIENT[[#This Row],[QUANTITE]]*CLIENT[[#This Row],[PRIX UNITAIRE]])</f>
        <v>0</v>
      </c>
      <c r="G1718" s="48"/>
      <c r="H1718" s="49">
        <f>+SUM($F$9:F1718)-SUM($G$9:G1718)</f>
        <v>72597000</v>
      </c>
    </row>
    <row r="1719" spans="1:8" ht="28.8" x14ac:dyDescent="0.55000000000000004">
      <c r="A1719" s="43"/>
      <c r="B1719" s="43"/>
      <c r="C1719" s="44"/>
      <c r="D1719" s="45"/>
      <c r="E1719" s="46"/>
      <c r="F1719" s="47">
        <f>+$I$4+(CLIENT[[#This Row],[QUANTITE]]*CLIENT[[#This Row],[PRIX UNITAIRE]])</f>
        <v>0</v>
      </c>
      <c r="G1719" s="48"/>
      <c r="H1719" s="49">
        <f>+SUM($F$9:F1719)-SUM($G$9:G1719)</f>
        <v>72597000</v>
      </c>
    </row>
    <row r="1720" spans="1:8" ht="28.8" x14ac:dyDescent="0.55000000000000004">
      <c r="A1720" s="43"/>
      <c r="B1720" s="43"/>
      <c r="C1720" s="44"/>
      <c r="D1720" s="45"/>
      <c r="E1720" s="46"/>
      <c r="F1720" s="47">
        <f>+$I$4+(CLIENT[[#This Row],[QUANTITE]]*CLIENT[[#This Row],[PRIX UNITAIRE]])</f>
        <v>0</v>
      </c>
      <c r="G1720" s="48"/>
      <c r="H1720" s="49">
        <f>+SUM($F$9:F1720)-SUM($G$9:G1720)</f>
        <v>72597000</v>
      </c>
    </row>
    <row r="1721" spans="1:8" ht="28.8" x14ac:dyDescent="0.55000000000000004">
      <c r="A1721" s="43"/>
      <c r="B1721" s="43"/>
      <c r="C1721" s="44"/>
      <c r="D1721" s="45"/>
      <c r="E1721" s="46"/>
      <c r="F1721" s="47">
        <f>+$I$4+(CLIENT[[#This Row],[QUANTITE]]*CLIENT[[#This Row],[PRIX UNITAIRE]])</f>
        <v>0</v>
      </c>
      <c r="G1721" s="48"/>
      <c r="H1721" s="49">
        <f>+SUM($F$9:F1721)-SUM($G$9:G1721)</f>
        <v>72597000</v>
      </c>
    </row>
    <row r="1722" spans="1:8" ht="28.8" x14ac:dyDescent="0.55000000000000004">
      <c r="A1722" s="43"/>
      <c r="B1722" s="43"/>
      <c r="C1722" s="44"/>
      <c r="D1722" s="45"/>
      <c r="E1722" s="46"/>
      <c r="F1722" s="47">
        <f>+$I$4+(CLIENT[[#This Row],[QUANTITE]]*CLIENT[[#This Row],[PRIX UNITAIRE]])</f>
        <v>0</v>
      </c>
      <c r="G1722" s="48"/>
      <c r="H1722" s="49">
        <f>+SUM($F$9:F1722)-SUM($G$9:G1722)</f>
        <v>72597000</v>
      </c>
    </row>
    <row r="1723" spans="1:8" ht="28.8" x14ac:dyDescent="0.55000000000000004">
      <c r="A1723" s="43"/>
      <c r="B1723" s="43"/>
      <c r="C1723" s="44"/>
      <c r="D1723" s="45"/>
      <c r="E1723" s="46"/>
      <c r="F1723" s="47">
        <f>+$I$4+(CLIENT[[#This Row],[QUANTITE]]*CLIENT[[#This Row],[PRIX UNITAIRE]])</f>
        <v>0</v>
      </c>
      <c r="G1723" s="48"/>
      <c r="H1723" s="49">
        <f>+SUM($F$9:F1723)-SUM($G$9:G1723)</f>
        <v>72597000</v>
      </c>
    </row>
    <row r="1724" spans="1:8" ht="28.8" x14ac:dyDescent="0.55000000000000004">
      <c r="A1724" s="43"/>
      <c r="B1724" s="43"/>
      <c r="C1724" s="44"/>
      <c r="D1724" s="45"/>
      <c r="E1724" s="46"/>
      <c r="F1724" s="47">
        <f>+$I$4+(CLIENT[[#This Row],[QUANTITE]]*CLIENT[[#This Row],[PRIX UNITAIRE]])</f>
        <v>0</v>
      </c>
      <c r="G1724" s="48"/>
      <c r="H1724" s="49">
        <f>+SUM($F$9:F1724)-SUM($G$9:G1724)</f>
        <v>72597000</v>
      </c>
    </row>
    <row r="1725" spans="1:8" ht="28.8" x14ac:dyDescent="0.55000000000000004">
      <c r="A1725" s="43"/>
      <c r="B1725" s="43"/>
      <c r="C1725" s="44"/>
      <c r="D1725" s="45"/>
      <c r="E1725" s="46"/>
      <c r="F1725" s="47">
        <f>+$I$4+(CLIENT[[#This Row],[QUANTITE]]*CLIENT[[#This Row],[PRIX UNITAIRE]])</f>
        <v>0</v>
      </c>
      <c r="G1725" s="48"/>
      <c r="H1725" s="49">
        <f>+SUM($F$9:F1725)-SUM($G$9:G1725)</f>
        <v>72597000</v>
      </c>
    </row>
    <row r="1726" spans="1:8" ht="28.8" x14ac:dyDescent="0.55000000000000004">
      <c r="A1726" s="43"/>
      <c r="B1726" s="43"/>
      <c r="C1726" s="44"/>
      <c r="D1726" s="45"/>
      <c r="E1726" s="46"/>
      <c r="F1726" s="47">
        <f>+$I$4+(CLIENT[[#This Row],[QUANTITE]]*CLIENT[[#This Row],[PRIX UNITAIRE]])</f>
        <v>0</v>
      </c>
      <c r="G1726" s="48"/>
      <c r="H1726" s="49">
        <f>+SUM($F$9:F1726)-SUM($G$9:G1726)</f>
        <v>72597000</v>
      </c>
    </row>
    <row r="1727" spans="1:8" ht="28.8" x14ac:dyDescent="0.55000000000000004">
      <c r="A1727" s="43"/>
      <c r="B1727" s="43"/>
      <c r="C1727" s="44"/>
      <c r="D1727" s="45"/>
      <c r="E1727" s="46"/>
      <c r="F1727" s="47">
        <f>+$I$4+(CLIENT[[#This Row],[QUANTITE]]*CLIENT[[#This Row],[PRIX UNITAIRE]])</f>
        <v>0</v>
      </c>
      <c r="G1727" s="48"/>
      <c r="H1727" s="49">
        <f>+SUM($F$9:F1727)-SUM($G$9:G1727)</f>
        <v>72597000</v>
      </c>
    </row>
    <row r="1728" spans="1:8" ht="28.8" x14ac:dyDescent="0.55000000000000004">
      <c r="A1728" s="43"/>
      <c r="B1728" s="43"/>
      <c r="C1728" s="44"/>
      <c r="D1728" s="45"/>
      <c r="E1728" s="46"/>
      <c r="F1728" s="47">
        <f>+$I$4+(CLIENT[[#This Row],[QUANTITE]]*CLIENT[[#This Row],[PRIX UNITAIRE]])</f>
        <v>0</v>
      </c>
      <c r="G1728" s="48"/>
      <c r="H1728" s="49">
        <f>+SUM($F$9:F1728)-SUM($G$9:G1728)</f>
        <v>72597000</v>
      </c>
    </row>
    <row r="1729" spans="1:8" ht="28.8" x14ac:dyDescent="0.55000000000000004">
      <c r="A1729" s="43"/>
      <c r="B1729" s="43"/>
      <c r="C1729" s="44"/>
      <c r="D1729" s="45"/>
      <c r="E1729" s="46"/>
      <c r="F1729" s="47">
        <f>+$I$4+(CLIENT[[#This Row],[QUANTITE]]*CLIENT[[#This Row],[PRIX UNITAIRE]])</f>
        <v>0</v>
      </c>
      <c r="G1729" s="48"/>
      <c r="H1729" s="49">
        <f>+SUM($F$9:F1729)-SUM($G$9:G1729)</f>
        <v>72597000</v>
      </c>
    </row>
    <row r="1730" spans="1:8" ht="28.8" x14ac:dyDescent="0.55000000000000004">
      <c r="A1730" s="43"/>
      <c r="B1730" s="43"/>
      <c r="C1730" s="44"/>
      <c r="D1730" s="45"/>
      <c r="E1730" s="46"/>
      <c r="F1730" s="47">
        <f>+$I$4+(CLIENT[[#This Row],[QUANTITE]]*CLIENT[[#This Row],[PRIX UNITAIRE]])</f>
        <v>0</v>
      </c>
      <c r="G1730" s="48"/>
      <c r="H1730" s="49">
        <f>+SUM($F$9:F1730)-SUM($G$9:G1730)</f>
        <v>72597000</v>
      </c>
    </row>
    <row r="1731" spans="1:8" ht="28.8" x14ac:dyDescent="0.55000000000000004">
      <c r="A1731" s="43"/>
      <c r="B1731" s="43"/>
      <c r="C1731" s="44"/>
      <c r="D1731" s="45"/>
      <c r="E1731" s="46"/>
      <c r="F1731" s="47">
        <f>+$I$4+(CLIENT[[#This Row],[QUANTITE]]*CLIENT[[#This Row],[PRIX UNITAIRE]])</f>
        <v>0</v>
      </c>
      <c r="G1731" s="48"/>
      <c r="H1731" s="49">
        <f>+SUM($F$9:F1731)-SUM($G$9:G1731)</f>
        <v>72597000</v>
      </c>
    </row>
    <row r="1732" spans="1:8" ht="28.8" x14ac:dyDescent="0.55000000000000004">
      <c r="A1732" s="43"/>
      <c r="B1732" s="43"/>
      <c r="C1732" s="44"/>
      <c r="D1732" s="45"/>
      <c r="E1732" s="46"/>
      <c r="F1732" s="47">
        <f>+$I$4+(CLIENT[[#This Row],[QUANTITE]]*CLIENT[[#This Row],[PRIX UNITAIRE]])</f>
        <v>0</v>
      </c>
      <c r="G1732" s="48"/>
      <c r="H1732" s="49">
        <f>+SUM($F$9:F1732)-SUM($G$9:G1732)</f>
        <v>72597000</v>
      </c>
    </row>
    <row r="1733" spans="1:8" ht="28.8" x14ac:dyDescent="0.55000000000000004">
      <c r="A1733" s="43"/>
      <c r="B1733" s="43"/>
      <c r="C1733" s="44"/>
      <c r="D1733" s="45"/>
      <c r="E1733" s="46"/>
      <c r="F1733" s="47">
        <f>+$I$4+(CLIENT[[#This Row],[QUANTITE]]*CLIENT[[#This Row],[PRIX UNITAIRE]])</f>
        <v>0</v>
      </c>
      <c r="G1733" s="48"/>
      <c r="H1733" s="49">
        <f>+SUM($F$9:F1733)-SUM($G$9:G1733)</f>
        <v>72597000</v>
      </c>
    </row>
    <row r="1734" spans="1:8" ht="28.8" x14ac:dyDescent="0.55000000000000004">
      <c r="A1734" s="43"/>
      <c r="B1734" s="43"/>
      <c r="C1734" s="44"/>
      <c r="D1734" s="45"/>
      <c r="E1734" s="46"/>
      <c r="F1734" s="47">
        <f>+$I$4+(CLIENT[[#This Row],[QUANTITE]]*CLIENT[[#This Row],[PRIX UNITAIRE]])</f>
        <v>0</v>
      </c>
      <c r="G1734" s="48"/>
      <c r="H1734" s="49">
        <f>+SUM($F$9:F1734)-SUM($G$9:G1734)</f>
        <v>72597000</v>
      </c>
    </row>
    <row r="1735" spans="1:8" ht="28.8" x14ac:dyDescent="0.55000000000000004">
      <c r="A1735" s="43"/>
      <c r="B1735" s="43"/>
      <c r="C1735" s="44"/>
      <c r="D1735" s="45"/>
      <c r="E1735" s="46"/>
      <c r="F1735" s="47">
        <f>+$I$4+(CLIENT[[#This Row],[QUANTITE]]*CLIENT[[#This Row],[PRIX UNITAIRE]])</f>
        <v>0</v>
      </c>
      <c r="G1735" s="48"/>
      <c r="H1735" s="49">
        <f>+SUM($F$9:F1735)-SUM($G$9:G1735)</f>
        <v>72597000</v>
      </c>
    </row>
    <row r="1736" spans="1:8" ht="28.8" x14ac:dyDescent="0.55000000000000004">
      <c r="A1736" s="43"/>
      <c r="B1736" s="43"/>
      <c r="C1736" s="44"/>
      <c r="D1736" s="45"/>
      <c r="E1736" s="46"/>
      <c r="F1736" s="47">
        <f>+$I$4+(CLIENT[[#This Row],[QUANTITE]]*CLIENT[[#This Row],[PRIX UNITAIRE]])</f>
        <v>0</v>
      </c>
      <c r="G1736" s="48"/>
      <c r="H1736" s="49">
        <f>+SUM($F$9:F1736)-SUM($G$9:G1736)</f>
        <v>72597000</v>
      </c>
    </row>
    <row r="1737" spans="1:8" ht="28.8" x14ac:dyDescent="0.55000000000000004">
      <c r="A1737" s="43"/>
      <c r="B1737" s="43"/>
      <c r="C1737" s="44"/>
      <c r="D1737" s="45"/>
      <c r="E1737" s="46"/>
      <c r="F1737" s="47">
        <f>+$I$4+(CLIENT[[#This Row],[QUANTITE]]*CLIENT[[#This Row],[PRIX UNITAIRE]])</f>
        <v>0</v>
      </c>
      <c r="G1737" s="48"/>
      <c r="H1737" s="49">
        <f>+SUM($F$9:F1737)-SUM($G$9:G1737)</f>
        <v>72597000</v>
      </c>
    </row>
    <row r="1738" spans="1:8" ht="28.8" x14ac:dyDescent="0.55000000000000004">
      <c r="A1738" s="43"/>
      <c r="B1738" s="43"/>
      <c r="C1738" s="44"/>
      <c r="D1738" s="45"/>
      <c r="E1738" s="46"/>
      <c r="F1738" s="47">
        <f>+$I$4+(CLIENT[[#This Row],[QUANTITE]]*CLIENT[[#This Row],[PRIX UNITAIRE]])</f>
        <v>0</v>
      </c>
      <c r="G1738" s="48"/>
      <c r="H1738" s="49">
        <f>+SUM($F$9:F1738)-SUM($G$9:G1738)</f>
        <v>72597000</v>
      </c>
    </row>
    <row r="1739" spans="1:8" ht="28.8" x14ac:dyDescent="0.55000000000000004">
      <c r="A1739" s="43"/>
      <c r="B1739" s="43"/>
      <c r="C1739" s="44"/>
      <c r="D1739" s="45"/>
      <c r="E1739" s="46"/>
      <c r="F1739" s="47">
        <f>+$I$4+(CLIENT[[#This Row],[QUANTITE]]*CLIENT[[#This Row],[PRIX UNITAIRE]])</f>
        <v>0</v>
      </c>
      <c r="G1739" s="48"/>
      <c r="H1739" s="49">
        <f>+SUM($F$9:F1739)-SUM($G$9:G1739)</f>
        <v>72597000</v>
      </c>
    </row>
    <row r="1740" spans="1:8" ht="28.8" x14ac:dyDescent="0.55000000000000004">
      <c r="A1740" s="43"/>
      <c r="B1740" s="43"/>
      <c r="C1740" s="44"/>
      <c r="D1740" s="45"/>
      <c r="E1740" s="46"/>
      <c r="F1740" s="47">
        <f>+$I$4+(CLIENT[[#This Row],[QUANTITE]]*CLIENT[[#This Row],[PRIX UNITAIRE]])</f>
        <v>0</v>
      </c>
      <c r="G1740" s="48"/>
      <c r="H1740" s="49">
        <f>+SUM($F$9:F1740)-SUM($G$9:G1740)</f>
        <v>72597000</v>
      </c>
    </row>
    <row r="1741" spans="1:8" ht="28.8" x14ac:dyDescent="0.55000000000000004">
      <c r="A1741" s="43"/>
      <c r="B1741" s="43"/>
      <c r="C1741" s="44"/>
      <c r="D1741" s="45"/>
      <c r="E1741" s="46"/>
      <c r="F1741" s="47">
        <f>+$I$4+(CLIENT[[#This Row],[QUANTITE]]*CLIENT[[#This Row],[PRIX UNITAIRE]])</f>
        <v>0</v>
      </c>
      <c r="G1741" s="48"/>
      <c r="H1741" s="49">
        <f>+SUM($F$9:F1741)-SUM($G$9:G1741)</f>
        <v>72597000</v>
      </c>
    </row>
    <row r="1742" spans="1:8" ht="28.8" x14ac:dyDescent="0.55000000000000004">
      <c r="A1742" s="43"/>
      <c r="B1742" s="43"/>
      <c r="C1742" s="44"/>
      <c r="D1742" s="45"/>
      <c r="E1742" s="46"/>
      <c r="F1742" s="47">
        <f>+$I$4+(CLIENT[[#This Row],[QUANTITE]]*CLIENT[[#This Row],[PRIX UNITAIRE]])</f>
        <v>0</v>
      </c>
      <c r="G1742" s="48"/>
      <c r="H1742" s="49">
        <f>+SUM($F$9:F1742)-SUM($G$9:G1742)</f>
        <v>72597000</v>
      </c>
    </row>
    <row r="1743" spans="1:8" ht="28.8" x14ac:dyDescent="0.55000000000000004">
      <c r="A1743" s="43"/>
      <c r="B1743" s="43"/>
      <c r="C1743" s="44"/>
      <c r="D1743" s="45"/>
      <c r="E1743" s="46"/>
      <c r="F1743" s="47">
        <f>+$I$4+(CLIENT[[#This Row],[QUANTITE]]*CLIENT[[#This Row],[PRIX UNITAIRE]])</f>
        <v>0</v>
      </c>
      <c r="G1743" s="48"/>
      <c r="H1743" s="49">
        <f>+SUM($F$9:F1743)-SUM($G$9:G1743)</f>
        <v>72597000</v>
      </c>
    </row>
    <row r="1744" spans="1:8" ht="28.8" x14ac:dyDescent="0.55000000000000004">
      <c r="A1744" s="43"/>
      <c r="B1744" s="43"/>
      <c r="C1744" s="44"/>
      <c r="D1744" s="45"/>
      <c r="E1744" s="46"/>
      <c r="F1744" s="47">
        <f>+$I$4+(CLIENT[[#This Row],[QUANTITE]]*CLIENT[[#This Row],[PRIX UNITAIRE]])</f>
        <v>0</v>
      </c>
      <c r="G1744" s="48"/>
      <c r="H1744" s="49">
        <f>+SUM($F$9:F1744)-SUM($G$9:G1744)</f>
        <v>72597000</v>
      </c>
    </row>
    <row r="1745" spans="1:8" ht="28.8" x14ac:dyDescent="0.55000000000000004">
      <c r="A1745" s="43"/>
      <c r="B1745" s="43"/>
      <c r="C1745" s="44"/>
      <c r="D1745" s="45"/>
      <c r="E1745" s="46"/>
      <c r="F1745" s="47">
        <f>+$I$4+(CLIENT[[#This Row],[QUANTITE]]*CLIENT[[#This Row],[PRIX UNITAIRE]])</f>
        <v>0</v>
      </c>
      <c r="G1745" s="48"/>
      <c r="H1745" s="49">
        <f>+SUM($F$9:F1745)-SUM($G$9:G1745)</f>
        <v>72597000</v>
      </c>
    </row>
    <row r="1746" spans="1:8" ht="28.8" x14ac:dyDescent="0.55000000000000004">
      <c r="A1746" s="43"/>
      <c r="B1746" s="43"/>
      <c r="C1746" s="44"/>
      <c r="D1746" s="45"/>
      <c r="E1746" s="46"/>
      <c r="F1746" s="47">
        <f>+$I$4+(CLIENT[[#This Row],[QUANTITE]]*CLIENT[[#This Row],[PRIX UNITAIRE]])</f>
        <v>0</v>
      </c>
      <c r="G1746" s="48"/>
      <c r="H1746" s="49">
        <f>+SUM($F$9:F1746)-SUM($G$9:G1746)</f>
        <v>72597000</v>
      </c>
    </row>
    <row r="1747" spans="1:8" ht="28.8" x14ac:dyDescent="0.55000000000000004">
      <c r="A1747" s="43"/>
      <c r="B1747" s="43"/>
      <c r="C1747" s="44"/>
      <c r="D1747" s="45"/>
      <c r="E1747" s="46"/>
      <c r="F1747" s="47">
        <f>+$I$4+(CLIENT[[#This Row],[QUANTITE]]*CLIENT[[#This Row],[PRIX UNITAIRE]])</f>
        <v>0</v>
      </c>
      <c r="G1747" s="48"/>
      <c r="H1747" s="49">
        <f>+SUM($F$9:F1747)-SUM($G$9:G1747)</f>
        <v>72597000</v>
      </c>
    </row>
    <row r="1748" spans="1:8" ht="28.8" x14ac:dyDescent="0.55000000000000004">
      <c r="A1748" s="43"/>
      <c r="B1748" s="43"/>
      <c r="C1748" s="44"/>
      <c r="D1748" s="45"/>
      <c r="E1748" s="46"/>
      <c r="F1748" s="47">
        <f>+$I$4+(CLIENT[[#This Row],[QUANTITE]]*CLIENT[[#This Row],[PRIX UNITAIRE]])</f>
        <v>0</v>
      </c>
      <c r="G1748" s="48"/>
      <c r="H1748" s="49">
        <f>+SUM($F$9:F1748)-SUM($G$9:G1748)</f>
        <v>72597000</v>
      </c>
    </row>
    <row r="1749" spans="1:8" ht="28.8" x14ac:dyDescent="0.55000000000000004">
      <c r="A1749" s="43"/>
      <c r="B1749" s="43"/>
      <c r="C1749" s="44"/>
      <c r="D1749" s="45"/>
      <c r="E1749" s="46"/>
      <c r="F1749" s="47">
        <f>+$I$4+(CLIENT[[#This Row],[QUANTITE]]*CLIENT[[#This Row],[PRIX UNITAIRE]])</f>
        <v>0</v>
      </c>
      <c r="G1749" s="48"/>
      <c r="H1749" s="49">
        <f>+SUM($F$9:F1749)-SUM($G$9:G1749)</f>
        <v>72597000</v>
      </c>
    </row>
    <row r="1750" spans="1:8" ht="28.8" x14ac:dyDescent="0.55000000000000004">
      <c r="A1750" s="43"/>
      <c r="B1750" s="43"/>
      <c r="C1750" s="44"/>
      <c r="D1750" s="45"/>
      <c r="E1750" s="46"/>
      <c r="F1750" s="47">
        <f>+$I$4+(CLIENT[[#This Row],[QUANTITE]]*CLIENT[[#This Row],[PRIX UNITAIRE]])</f>
        <v>0</v>
      </c>
      <c r="G1750" s="48"/>
      <c r="H1750" s="49">
        <f>+SUM($F$9:F1750)-SUM($G$9:G1750)</f>
        <v>72597000</v>
      </c>
    </row>
    <row r="1751" spans="1:8" ht="28.8" x14ac:dyDescent="0.55000000000000004">
      <c r="A1751" s="43"/>
      <c r="B1751" s="43"/>
      <c r="C1751" s="44"/>
      <c r="D1751" s="45"/>
      <c r="E1751" s="46"/>
      <c r="F1751" s="47">
        <f>+$I$4+(CLIENT[[#This Row],[QUANTITE]]*CLIENT[[#This Row],[PRIX UNITAIRE]])</f>
        <v>0</v>
      </c>
      <c r="G1751" s="48"/>
      <c r="H1751" s="49">
        <f>+SUM($F$9:F1751)-SUM($G$9:G1751)</f>
        <v>72597000</v>
      </c>
    </row>
    <row r="1752" spans="1:8" ht="28.8" x14ac:dyDescent="0.55000000000000004">
      <c r="A1752" s="43"/>
      <c r="B1752" s="43"/>
      <c r="C1752" s="44"/>
      <c r="D1752" s="45"/>
      <c r="E1752" s="46"/>
      <c r="F1752" s="47">
        <f>+$I$4+(CLIENT[[#This Row],[QUANTITE]]*CLIENT[[#This Row],[PRIX UNITAIRE]])</f>
        <v>0</v>
      </c>
      <c r="G1752" s="48"/>
      <c r="H1752" s="49">
        <f>+SUM($F$9:F1752)-SUM($G$9:G1752)</f>
        <v>72597000</v>
      </c>
    </row>
    <row r="1753" spans="1:8" ht="28.8" x14ac:dyDescent="0.55000000000000004">
      <c r="A1753" s="43"/>
      <c r="B1753" s="43"/>
      <c r="C1753" s="44"/>
      <c r="D1753" s="45"/>
      <c r="E1753" s="46"/>
      <c r="F1753" s="47">
        <f>+$I$4+(CLIENT[[#This Row],[QUANTITE]]*CLIENT[[#This Row],[PRIX UNITAIRE]])</f>
        <v>0</v>
      </c>
      <c r="G1753" s="48"/>
      <c r="H1753" s="49">
        <f>+SUM($F$9:F1753)-SUM($G$9:G1753)</f>
        <v>72597000</v>
      </c>
    </row>
    <row r="1754" spans="1:8" ht="28.8" x14ac:dyDescent="0.55000000000000004">
      <c r="A1754" s="43"/>
      <c r="B1754" s="43"/>
      <c r="C1754" s="44"/>
      <c r="D1754" s="45"/>
      <c r="E1754" s="46"/>
      <c r="F1754" s="47">
        <f>+$I$4+(CLIENT[[#This Row],[QUANTITE]]*CLIENT[[#This Row],[PRIX UNITAIRE]])</f>
        <v>0</v>
      </c>
      <c r="G1754" s="48"/>
      <c r="H1754" s="49">
        <f>+SUM($F$9:F1754)-SUM($G$9:G1754)</f>
        <v>72597000</v>
      </c>
    </row>
    <row r="1755" spans="1:8" ht="28.8" x14ac:dyDescent="0.55000000000000004">
      <c r="A1755" s="43"/>
      <c r="B1755" s="43"/>
      <c r="C1755" s="44"/>
      <c r="D1755" s="45"/>
      <c r="E1755" s="46"/>
      <c r="F1755" s="47">
        <f>+$I$4+(CLIENT[[#This Row],[QUANTITE]]*CLIENT[[#This Row],[PRIX UNITAIRE]])</f>
        <v>0</v>
      </c>
      <c r="G1755" s="48"/>
      <c r="H1755" s="49">
        <f>+SUM($F$9:F1755)-SUM($G$9:G1755)</f>
        <v>72597000</v>
      </c>
    </row>
    <row r="1756" spans="1:8" ht="28.8" x14ac:dyDescent="0.55000000000000004">
      <c r="A1756" s="43"/>
      <c r="B1756" s="43"/>
      <c r="C1756" s="44"/>
      <c r="D1756" s="45"/>
      <c r="E1756" s="46"/>
      <c r="F1756" s="47">
        <f>+$I$4+(CLIENT[[#This Row],[QUANTITE]]*CLIENT[[#This Row],[PRIX UNITAIRE]])</f>
        <v>0</v>
      </c>
      <c r="G1756" s="48"/>
      <c r="H1756" s="49">
        <f>+SUM($F$9:F1756)-SUM($G$9:G1756)</f>
        <v>72597000</v>
      </c>
    </row>
    <row r="1757" spans="1:8" ht="28.8" x14ac:dyDescent="0.55000000000000004">
      <c r="A1757" s="43"/>
      <c r="B1757" s="43"/>
      <c r="C1757" s="44"/>
      <c r="D1757" s="45"/>
      <c r="E1757" s="46"/>
      <c r="F1757" s="47">
        <f>+$I$4+(CLIENT[[#This Row],[QUANTITE]]*CLIENT[[#This Row],[PRIX UNITAIRE]])</f>
        <v>0</v>
      </c>
      <c r="G1757" s="48"/>
      <c r="H1757" s="49">
        <f>+SUM($F$9:F1757)-SUM($G$9:G1757)</f>
        <v>72597000</v>
      </c>
    </row>
    <row r="1758" spans="1:8" ht="28.8" x14ac:dyDescent="0.55000000000000004">
      <c r="A1758" s="43"/>
      <c r="B1758" s="43"/>
      <c r="C1758" s="44"/>
      <c r="D1758" s="45"/>
      <c r="E1758" s="46"/>
      <c r="F1758" s="47">
        <f>+$I$4+(CLIENT[[#This Row],[QUANTITE]]*CLIENT[[#This Row],[PRIX UNITAIRE]])</f>
        <v>0</v>
      </c>
      <c r="G1758" s="48"/>
      <c r="H1758" s="49">
        <f>+SUM($F$9:F1758)-SUM($G$9:G1758)</f>
        <v>72597000</v>
      </c>
    </row>
    <row r="1759" spans="1:8" ht="28.8" x14ac:dyDescent="0.55000000000000004">
      <c r="A1759" s="43"/>
      <c r="B1759" s="43"/>
      <c r="C1759" s="44"/>
      <c r="D1759" s="45"/>
      <c r="E1759" s="46"/>
      <c r="F1759" s="47">
        <f>+$I$4+(CLIENT[[#This Row],[QUANTITE]]*CLIENT[[#This Row],[PRIX UNITAIRE]])</f>
        <v>0</v>
      </c>
      <c r="G1759" s="48"/>
      <c r="H1759" s="49">
        <f>+SUM($F$9:F1759)-SUM($G$9:G1759)</f>
        <v>72597000</v>
      </c>
    </row>
    <row r="1760" spans="1:8" ht="28.8" x14ac:dyDescent="0.55000000000000004">
      <c r="A1760" s="43"/>
      <c r="B1760" s="43"/>
      <c r="C1760" s="44"/>
      <c r="D1760" s="45"/>
      <c r="E1760" s="46"/>
      <c r="F1760" s="47">
        <f>+$I$4+(CLIENT[[#This Row],[QUANTITE]]*CLIENT[[#This Row],[PRIX UNITAIRE]])</f>
        <v>0</v>
      </c>
      <c r="G1760" s="48"/>
      <c r="H1760" s="49">
        <f>+SUM($F$9:F1760)-SUM($G$9:G1760)</f>
        <v>72597000</v>
      </c>
    </row>
    <row r="1761" spans="1:8" ht="28.8" x14ac:dyDescent="0.55000000000000004">
      <c r="A1761" s="43"/>
      <c r="B1761" s="43"/>
      <c r="C1761" s="44"/>
      <c r="D1761" s="45"/>
      <c r="E1761" s="46"/>
      <c r="F1761" s="47">
        <f>+$I$4+(CLIENT[[#This Row],[QUANTITE]]*CLIENT[[#This Row],[PRIX UNITAIRE]])</f>
        <v>0</v>
      </c>
      <c r="G1761" s="48"/>
      <c r="H1761" s="49">
        <f>+SUM($F$9:F1761)-SUM($G$9:G1761)</f>
        <v>72597000</v>
      </c>
    </row>
    <row r="1762" spans="1:8" ht="28.8" x14ac:dyDescent="0.55000000000000004">
      <c r="A1762" s="43"/>
      <c r="B1762" s="43"/>
      <c r="C1762" s="44"/>
      <c r="D1762" s="45"/>
      <c r="E1762" s="46"/>
      <c r="F1762" s="47">
        <f>+$I$4+(CLIENT[[#This Row],[QUANTITE]]*CLIENT[[#This Row],[PRIX UNITAIRE]])</f>
        <v>0</v>
      </c>
      <c r="G1762" s="48"/>
      <c r="H1762" s="49">
        <f>+SUM($F$9:F1762)-SUM($G$9:G1762)</f>
        <v>72597000</v>
      </c>
    </row>
    <row r="1763" spans="1:8" ht="28.8" x14ac:dyDescent="0.55000000000000004">
      <c r="A1763" s="43"/>
      <c r="B1763" s="43"/>
      <c r="C1763" s="44"/>
      <c r="D1763" s="45"/>
      <c r="E1763" s="46"/>
      <c r="F1763" s="47">
        <f>+$I$4+(CLIENT[[#This Row],[QUANTITE]]*CLIENT[[#This Row],[PRIX UNITAIRE]])</f>
        <v>0</v>
      </c>
      <c r="G1763" s="48"/>
      <c r="H1763" s="49">
        <f>+SUM($F$9:F1763)-SUM($G$9:G1763)</f>
        <v>72597000</v>
      </c>
    </row>
    <row r="1764" spans="1:8" ht="28.8" x14ac:dyDescent="0.55000000000000004">
      <c r="A1764" s="43"/>
      <c r="B1764" s="43"/>
      <c r="C1764" s="44"/>
      <c r="D1764" s="45"/>
      <c r="E1764" s="46"/>
      <c r="F1764" s="47">
        <f>+$I$4+(CLIENT[[#This Row],[QUANTITE]]*CLIENT[[#This Row],[PRIX UNITAIRE]])</f>
        <v>0</v>
      </c>
      <c r="G1764" s="48"/>
      <c r="H1764" s="49">
        <f>+SUM($F$9:F1764)-SUM($G$9:G1764)</f>
        <v>72597000</v>
      </c>
    </row>
    <row r="1765" spans="1:8" ht="28.8" x14ac:dyDescent="0.55000000000000004">
      <c r="A1765" s="43"/>
      <c r="B1765" s="43"/>
      <c r="C1765" s="44"/>
      <c r="D1765" s="45"/>
      <c r="E1765" s="46"/>
      <c r="F1765" s="47">
        <f>+$I$4+(CLIENT[[#This Row],[QUANTITE]]*CLIENT[[#This Row],[PRIX UNITAIRE]])</f>
        <v>0</v>
      </c>
      <c r="G1765" s="48"/>
      <c r="H1765" s="49">
        <f>+SUM($F$9:F1765)-SUM($G$9:G1765)</f>
        <v>72597000</v>
      </c>
    </row>
    <row r="1766" spans="1:8" ht="28.8" x14ac:dyDescent="0.55000000000000004">
      <c r="A1766" s="43"/>
      <c r="B1766" s="43"/>
      <c r="C1766" s="44"/>
      <c r="D1766" s="45"/>
      <c r="E1766" s="46"/>
      <c r="F1766" s="47">
        <f>+$I$4+(CLIENT[[#This Row],[QUANTITE]]*CLIENT[[#This Row],[PRIX UNITAIRE]])</f>
        <v>0</v>
      </c>
      <c r="G1766" s="48"/>
      <c r="H1766" s="49">
        <f>+SUM($F$9:F1766)-SUM($G$9:G1766)</f>
        <v>72597000</v>
      </c>
    </row>
    <row r="1767" spans="1:8" ht="28.8" x14ac:dyDescent="0.55000000000000004">
      <c r="A1767" s="43"/>
      <c r="B1767" s="43"/>
      <c r="C1767" s="44"/>
      <c r="D1767" s="45"/>
      <c r="E1767" s="46"/>
      <c r="F1767" s="47">
        <f>+$I$4+(CLIENT[[#This Row],[QUANTITE]]*CLIENT[[#This Row],[PRIX UNITAIRE]])</f>
        <v>0</v>
      </c>
      <c r="G1767" s="48"/>
      <c r="H1767" s="49">
        <f>+SUM($F$9:F1767)-SUM($G$9:G1767)</f>
        <v>72597000</v>
      </c>
    </row>
    <row r="1768" spans="1:8" ht="28.8" x14ac:dyDescent="0.55000000000000004">
      <c r="A1768" s="43"/>
      <c r="B1768" s="43"/>
      <c r="C1768" s="44"/>
      <c r="D1768" s="45"/>
      <c r="E1768" s="46"/>
      <c r="F1768" s="47">
        <f>+$I$4+(CLIENT[[#This Row],[QUANTITE]]*CLIENT[[#This Row],[PRIX UNITAIRE]])</f>
        <v>0</v>
      </c>
      <c r="G1768" s="48"/>
      <c r="H1768" s="49">
        <f>+SUM($F$9:F1768)-SUM($G$9:G1768)</f>
        <v>72597000</v>
      </c>
    </row>
    <row r="1769" spans="1:8" ht="28.8" x14ac:dyDescent="0.55000000000000004">
      <c r="A1769" s="43"/>
      <c r="B1769" s="43"/>
      <c r="C1769" s="44"/>
      <c r="D1769" s="45"/>
      <c r="E1769" s="46"/>
      <c r="F1769" s="47">
        <f>+$I$4+(CLIENT[[#This Row],[QUANTITE]]*CLIENT[[#This Row],[PRIX UNITAIRE]])</f>
        <v>0</v>
      </c>
      <c r="G1769" s="48"/>
      <c r="H1769" s="49">
        <f>+SUM($F$9:F1769)-SUM($G$9:G1769)</f>
        <v>72597000</v>
      </c>
    </row>
    <row r="1770" spans="1:8" ht="28.8" x14ac:dyDescent="0.55000000000000004">
      <c r="A1770" s="43"/>
      <c r="B1770" s="43"/>
      <c r="C1770" s="44"/>
      <c r="D1770" s="45"/>
      <c r="E1770" s="46"/>
      <c r="F1770" s="47">
        <f>+$I$4+(CLIENT[[#This Row],[QUANTITE]]*CLIENT[[#This Row],[PRIX UNITAIRE]])</f>
        <v>0</v>
      </c>
      <c r="G1770" s="48"/>
      <c r="H1770" s="49">
        <f>+SUM($F$9:F1770)-SUM($G$9:G1770)</f>
        <v>72597000</v>
      </c>
    </row>
    <row r="1771" spans="1:8" ht="28.8" x14ac:dyDescent="0.55000000000000004">
      <c r="A1771" s="43"/>
      <c r="B1771" s="43"/>
      <c r="C1771" s="44"/>
      <c r="D1771" s="45"/>
      <c r="E1771" s="46"/>
      <c r="F1771" s="47">
        <f>+$I$4+(CLIENT[[#This Row],[QUANTITE]]*CLIENT[[#This Row],[PRIX UNITAIRE]])</f>
        <v>0</v>
      </c>
      <c r="G1771" s="48"/>
      <c r="H1771" s="49">
        <f>+SUM($F$9:F1771)-SUM($G$9:G1771)</f>
        <v>72597000</v>
      </c>
    </row>
    <row r="1772" spans="1:8" ht="28.8" x14ac:dyDescent="0.55000000000000004">
      <c r="A1772" s="43"/>
      <c r="B1772" s="43"/>
      <c r="C1772" s="44"/>
      <c r="D1772" s="45"/>
      <c r="E1772" s="46"/>
      <c r="F1772" s="47">
        <f>+$I$4+(CLIENT[[#This Row],[QUANTITE]]*CLIENT[[#This Row],[PRIX UNITAIRE]])</f>
        <v>0</v>
      </c>
      <c r="G1772" s="48"/>
      <c r="H1772" s="49">
        <f>+SUM($F$9:F1772)-SUM($G$9:G1772)</f>
        <v>72597000</v>
      </c>
    </row>
    <row r="1773" spans="1:8" ht="28.8" x14ac:dyDescent="0.55000000000000004">
      <c r="A1773" s="43"/>
      <c r="B1773" s="43"/>
      <c r="C1773" s="44"/>
      <c r="D1773" s="45"/>
      <c r="E1773" s="46"/>
      <c r="F1773" s="47">
        <f>+$I$4+(CLIENT[[#This Row],[QUANTITE]]*CLIENT[[#This Row],[PRIX UNITAIRE]])</f>
        <v>0</v>
      </c>
      <c r="G1773" s="48"/>
      <c r="H1773" s="49">
        <f>+SUM($F$9:F1773)-SUM($G$9:G1773)</f>
        <v>72597000</v>
      </c>
    </row>
    <row r="1774" spans="1:8" ht="28.8" x14ac:dyDescent="0.55000000000000004">
      <c r="A1774" s="43"/>
      <c r="B1774" s="43"/>
      <c r="C1774" s="44"/>
      <c r="D1774" s="45"/>
      <c r="E1774" s="46"/>
      <c r="F1774" s="47">
        <f>+$I$4+(CLIENT[[#This Row],[QUANTITE]]*CLIENT[[#This Row],[PRIX UNITAIRE]])</f>
        <v>0</v>
      </c>
      <c r="G1774" s="48"/>
      <c r="H1774" s="49">
        <f>+SUM($F$9:F1774)-SUM($G$9:G1774)</f>
        <v>72597000</v>
      </c>
    </row>
    <row r="1775" spans="1:8" ht="28.8" x14ac:dyDescent="0.55000000000000004">
      <c r="A1775" s="43"/>
      <c r="B1775" s="43"/>
      <c r="C1775" s="44"/>
      <c r="D1775" s="45"/>
      <c r="E1775" s="46"/>
      <c r="F1775" s="47">
        <f>+$I$4+(CLIENT[[#This Row],[QUANTITE]]*CLIENT[[#This Row],[PRIX UNITAIRE]])</f>
        <v>0</v>
      </c>
      <c r="G1775" s="48"/>
      <c r="H1775" s="49">
        <f>+SUM($F$9:F1775)-SUM($G$9:G1775)</f>
        <v>72597000</v>
      </c>
    </row>
    <row r="1776" spans="1:8" ht="28.8" x14ac:dyDescent="0.55000000000000004">
      <c r="A1776" s="43"/>
      <c r="B1776" s="43"/>
      <c r="C1776" s="44"/>
      <c r="D1776" s="45"/>
      <c r="E1776" s="46"/>
      <c r="F1776" s="47">
        <f>+$I$4+(CLIENT[[#This Row],[QUANTITE]]*CLIENT[[#This Row],[PRIX UNITAIRE]])</f>
        <v>0</v>
      </c>
      <c r="G1776" s="48"/>
      <c r="H1776" s="49">
        <f>+SUM($F$9:F1776)-SUM($G$9:G1776)</f>
        <v>72597000</v>
      </c>
    </row>
    <row r="1777" spans="1:8" ht="28.8" x14ac:dyDescent="0.55000000000000004">
      <c r="A1777" s="43"/>
      <c r="B1777" s="43"/>
      <c r="C1777" s="44"/>
      <c r="D1777" s="45"/>
      <c r="E1777" s="46"/>
      <c r="F1777" s="47">
        <f>+$I$4+(CLIENT[[#This Row],[QUANTITE]]*CLIENT[[#This Row],[PRIX UNITAIRE]])</f>
        <v>0</v>
      </c>
      <c r="G1777" s="48"/>
      <c r="H1777" s="49">
        <f>+SUM($F$9:F1777)-SUM($G$9:G1777)</f>
        <v>72597000</v>
      </c>
    </row>
    <row r="1778" spans="1:8" ht="28.8" x14ac:dyDescent="0.55000000000000004">
      <c r="A1778" s="43"/>
      <c r="B1778" s="43"/>
      <c r="C1778" s="44"/>
      <c r="D1778" s="45"/>
      <c r="E1778" s="46"/>
      <c r="F1778" s="47">
        <f>+$I$4+(CLIENT[[#This Row],[QUANTITE]]*CLIENT[[#This Row],[PRIX UNITAIRE]])</f>
        <v>0</v>
      </c>
      <c r="G1778" s="48"/>
      <c r="H1778" s="49">
        <f>+SUM($F$9:F1778)-SUM($G$9:G1778)</f>
        <v>72597000</v>
      </c>
    </row>
    <row r="1779" spans="1:8" ht="28.8" x14ac:dyDescent="0.55000000000000004">
      <c r="A1779" s="43"/>
      <c r="B1779" s="43"/>
      <c r="C1779" s="44"/>
      <c r="D1779" s="45"/>
      <c r="E1779" s="46"/>
      <c r="F1779" s="47">
        <f>+$I$4+(CLIENT[[#This Row],[QUANTITE]]*CLIENT[[#This Row],[PRIX UNITAIRE]])</f>
        <v>0</v>
      </c>
      <c r="G1779" s="48"/>
      <c r="H1779" s="49">
        <f>+SUM($F$9:F1779)-SUM($G$9:G1779)</f>
        <v>72597000</v>
      </c>
    </row>
  </sheetData>
  <sheetProtection selectLockedCells="1" autoFilter="0"/>
  <mergeCells count="1">
    <mergeCell ref="B6:C6"/>
  </mergeCells>
  <conditionalFormatting sqref="H4">
    <cfRule type="cellIs" dxfId="270" priority="5" operator="lessThan">
      <formula>0</formula>
    </cfRule>
    <cfRule type="cellIs" dxfId="269" priority="6" operator="greaterThan">
      <formula>0</formula>
    </cfRule>
  </conditionalFormatting>
  <conditionalFormatting sqref="C9:C103 C106:C1729">
    <cfRule type="expression" dxfId="268" priority="4">
      <formula>$G9</formula>
    </cfRule>
  </conditionalFormatting>
  <conditionalFormatting sqref="C105">
    <cfRule type="expression" dxfId="267" priority="109">
      <formula>$G104</formula>
    </cfRule>
  </conditionalFormatting>
  <conditionalFormatting sqref="G104">
    <cfRule type="expression" dxfId="266" priority="112">
      <formula>$A105&lt;$M$1</formula>
    </cfRule>
  </conditionalFormatting>
  <dataValidations count="3">
    <dataValidation type="date" operator="greaterThan" allowBlank="1" showInputMessage="1" showErrorMessage="1" error="VEILLEZ ENTRER UNE DATE VALIDE" sqref="B9:B1430 A1431:A1443 B1444:B1729">
      <formula1>45261</formula1>
    </dataValidation>
    <dataValidation type="custom" allowBlank="1" showInputMessage="1" showErrorMessage="1" sqref="C9:C1430 C1444:C1729">
      <formula1>A9&lt;NOW()</formula1>
    </dataValidation>
    <dataValidation type="custom" allowBlank="1" showInputMessage="1" showErrorMessage="1" sqref="C1431:C1443">
      <formula1>#REF!&lt;NOW()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/>
  <dimension ref="A1:I82"/>
  <sheetViews>
    <sheetView showGridLines="0" zoomScale="54" zoomScaleNormal="40" workbookViewId="0">
      <pane ySplit="8" topLeftCell="A29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9.21875" style="1" bestFit="1" customWidth="1"/>
    <col min="2" max="2" width="63.5546875" style="1" bestFit="1" customWidth="1"/>
    <col min="3" max="3" width="19.77734375" style="1" bestFit="1" customWidth="1"/>
    <col min="4" max="4" width="43.5546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+SUM(BERNARD40[TOTAL MONTANT])</f>
        <v>2378000</v>
      </c>
      <c r="F4" s="41">
        <f>+SUM(BERNARD40[VERSEMENT])</f>
        <v>960000</v>
      </c>
      <c r="G4" s="130">
        <f>+E4-F4</f>
        <v>1418000</v>
      </c>
    </row>
    <row r="5" spans="1:9" ht="29.4" thickBot="1" x14ac:dyDescent="0.35">
      <c r="A5" s="131"/>
      <c r="B5" s="3" t="s">
        <v>7</v>
      </c>
      <c r="C5" s="132"/>
      <c r="D5" s="133"/>
      <c r="E5" s="133"/>
      <c r="F5" s="132"/>
      <c r="G5" s="134"/>
    </row>
    <row r="6" spans="1:9" ht="37.200000000000003" thickBot="1" x14ac:dyDescent="0.75">
      <c r="A6" s="131"/>
      <c r="B6" s="168" t="s">
        <v>1226</v>
      </c>
      <c r="C6" s="169"/>
      <c r="D6" s="133"/>
      <c r="E6" s="133"/>
      <c r="F6" s="132"/>
      <c r="G6" s="134"/>
    </row>
    <row r="7" spans="1:9" ht="15" thickBot="1" x14ac:dyDescent="0.35">
      <c r="A7" s="136"/>
      <c r="B7" s="137"/>
      <c r="C7" s="137"/>
      <c r="D7" s="138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45678</v>
      </c>
      <c r="B9" s="13" t="s">
        <v>1254</v>
      </c>
      <c r="C9" s="10">
        <v>4</v>
      </c>
      <c r="D9" s="10">
        <v>25000</v>
      </c>
      <c r="E9" s="7">
        <f>+$I$2+(BERNARD40[[#This Row],[QUANTITE]]*BERNARD40[[#This Row],[PRIX UNITAIRE]])</f>
        <v>100000</v>
      </c>
      <c r="F9" s="20"/>
      <c r="G9" s="6">
        <f>+SUM(E$9:$E9)-SUM(F$9:$F9)</f>
        <v>100000</v>
      </c>
    </row>
    <row r="10" spans="1:9" ht="28.8" x14ac:dyDescent="0.55000000000000004">
      <c r="A10" s="12">
        <v>45748</v>
      </c>
      <c r="B10" s="13" t="s">
        <v>1254</v>
      </c>
      <c r="C10" s="10">
        <v>1</v>
      </c>
      <c r="D10" s="10">
        <v>30000</v>
      </c>
      <c r="E10" s="7">
        <f>+$I$2+(BERNARD40[[#This Row],[QUANTITE]]*BERNARD40[[#This Row],[PRIX UNITAIRE]])</f>
        <v>30000</v>
      </c>
      <c r="F10" s="21"/>
      <c r="G10" s="6">
        <f>+SUM(E$9:$E10)-SUM(F$9:$F10)</f>
        <v>130000</v>
      </c>
    </row>
    <row r="11" spans="1:9" ht="28.8" x14ac:dyDescent="0.55000000000000004">
      <c r="A11" s="12">
        <v>45748</v>
      </c>
      <c r="B11" s="13" t="s">
        <v>1255</v>
      </c>
      <c r="C11" s="10">
        <v>1</v>
      </c>
      <c r="D11" s="10">
        <v>45000</v>
      </c>
      <c r="E11" s="7">
        <f>+$I$2+(BERNARD40[[#This Row],[QUANTITE]]*BERNARD40[[#This Row],[PRIX UNITAIRE]])</f>
        <v>45000</v>
      </c>
      <c r="F11" s="14"/>
      <c r="G11" s="6">
        <f>+SUM(E$9:$E11)-SUM(F$9:$F11)</f>
        <v>175000</v>
      </c>
    </row>
    <row r="12" spans="1:9" ht="28.8" x14ac:dyDescent="0.55000000000000004">
      <c r="A12" s="12">
        <v>45666</v>
      </c>
      <c r="B12" s="13" t="s">
        <v>1256</v>
      </c>
      <c r="C12" s="10">
        <v>2</v>
      </c>
      <c r="D12" s="10">
        <v>60000</v>
      </c>
      <c r="E12" s="7">
        <f>+$I$2+(BERNARD40[[#This Row],[QUANTITE]]*BERNARD40[[#This Row],[PRIX UNITAIRE]])</f>
        <v>120000</v>
      </c>
      <c r="F12" s="14"/>
      <c r="G12" s="6">
        <f>+SUM(E$9:$E12)-SUM(F$9:$F12)</f>
        <v>295000</v>
      </c>
    </row>
    <row r="13" spans="1:9" ht="28.8" x14ac:dyDescent="0.55000000000000004">
      <c r="A13" s="12">
        <v>45757</v>
      </c>
      <c r="B13" s="13" t="s">
        <v>1257</v>
      </c>
      <c r="C13" s="10">
        <v>2</v>
      </c>
      <c r="D13" s="10">
        <v>35000</v>
      </c>
      <c r="E13" s="7">
        <f>+$I$2+(BERNARD40[[#This Row],[QUANTITE]]*BERNARD40[[#This Row],[PRIX UNITAIRE]])</f>
        <v>70000</v>
      </c>
      <c r="F13" s="14"/>
      <c r="G13" s="6">
        <f>+SUM(E$9:$E13)-SUM(F$9:$F13)</f>
        <v>365000</v>
      </c>
    </row>
    <row r="14" spans="1:9" ht="28.8" x14ac:dyDescent="0.55000000000000004">
      <c r="A14" s="12">
        <v>45772</v>
      </c>
      <c r="B14" s="13" t="s">
        <v>1255</v>
      </c>
      <c r="C14" s="10">
        <v>1</v>
      </c>
      <c r="D14" s="10">
        <v>45000</v>
      </c>
      <c r="E14" s="7">
        <f>+$I$2+(BERNARD40[[#This Row],[QUANTITE]]*BERNARD40[[#This Row],[PRIX UNITAIRE]])</f>
        <v>45000</v>
      </c>
      <c r="F14" s="14"/>
      <c r="G14" s="6">
        <f>+SUM(E$9:$E14)-SUM(F$9:$F14)</f>
        <v>410000</v>
      </c>
    </row>
    <row r="15" spans="1:9" ht="28.8" x14ac:dyDescent="0.55000000000000004">
      <c r="A15" s="12">
        <v>45780</v>
      </c>
      <c r="B15" s="13" t="s">
        <v>1258</v>
      </c>
      <c r="C15" s="10">
        <v>2</v>
      </c>
      <c r="D15" s="10">
        <v>120000</v>
      </c>
      <c r="E15" s="7">
        <f>+$I$2+(BERNARD40[[#This Row],[QUANTITE]]*BERNARD40[[#This Row],[PRIX UNITAIRE]])</f>
        <v>240000</v>
      </c>
      <c r="F15" s="14"/>
      <c r="G15" s="6">
        <f>+SUM(E$9:$E15)-SUM(F$9:$F15)</f>
        <v>650000</v>
      </c>
    </row>
    <row r="16" spans="1:9" ht="28.8" x14ac:dyDescent="0.55000000000000004">
      <c r="A16" s="12">
        <v>45793</v>
      </c>
      <c r="B16" s="13" t="s">
        <v>1259</v>
      </c>
      <c r="C16" s="10">
        <v>1</v>
      </c>
      <c r="D16" s="10">
        <v>0</v>
      </c>
      <c r="E16" s="7">
        <f>+$I$2+(BERNARD40[[#This Row],[QUANTITE]]*BERNARD40[[#This Row],[PRIX UNITAIRE]])</f>
        <v>0</v>
      </c>
      <c r="F16" s="14">
        <v>225000</v>
      </c>
      <c r="G16" s="6">
        <f>+SUM(E$9:$E16)-SUM(F$9:$F16)</f>
        <v>425000</v>
      </c>
    </row>
    <row r="17" spans="1:7" ht="28.8" x14ac:dyDescent="0.55000000000000004">
      <c r="A17" s="12">
        <v>45808</v>
      </c>
      <c r="B17" s="13" t="s">
        <v>1260</v>
      </c>
      <c r="C17" s="10">
        <v>1</v>
      </c>
      <c r="D17" s="10">
        <v>80000</v>
      </c>
      <c r="E17" s="7">
        <f>+$I$2+(BERNARD40[[#This Row],[QUANTITE]]*BERNARD40[[#This Row],[PRIX UNITAIRE]])</f>
        <v>80000</v>
      </c>
      <c r="F17" s="14"/>
      <c r="G17" s="6">
        <f>+SUM(E$9:$E17)-SUM(F$9:$F17)</f>
        <v>505000</v>
      </c>
    </row>
    <row r="18" spans="1:7" ht="28.8" x14ac:dyDescent="0.55000000000000004">
      <c r="A18" s="12">
        <v>45810</v>
      </c>
      <c r="B18" s="13" t="s">
        <v>1261</v>
      </c>
      <c r="C18" s="10">
        <v>2</v>
      </c>
      <c r="D18" s="10">
        <v>95000</v>
      </c>
      <c r="E18" s="7">
        <f>+$I$2+(BERNARD40[[#This Row],[QUANTITE]]*BERNARD40[[#This Row],[PRIX UNITAIRE]])</f>
        <v>190000</v>
      </c>
      <c r="F18" s="14"/>
      <c r="G18" s="6">
        <f>+SUM(E$9:$E18)-SUM(F$9:$F18)</f>
        <v>695000</v>
      </c>
    </row>
    <row r="19" spans="1:7" ht="28.8" x14ac:dyDescent="0.55000000000000004">
      <c r="A19" s="12">
        <v>45831</v>
      </c>
      <c r="B19" s="13" t="s">
        <v>218</v>
      </c>
      <c r="C19" s="10">
        <v>2</v>
      </c>
      <c r="D19" s="10">
        <v>25000</v>
      </c>
      <c r="E19" s="7">
        <f>+$I$2+(BERNARD40[[#This Row],[QUANTITE]]*BERNARD40[[#This Row],[PRIX UNITAIRE]])</f>
        <v>50000</v>
      </c>
      <c r="F19" s="14"/>
      <c r="G19" s="6">
        <f>+SUM(E$9:$E19)-SUM(F$9:$F19)</f>
        <v>745000</v>
      </c>
    </row>
    <row r="20" spans="1:7" ht="28.8" x14ac:dyDescent="0.55000000000000004">
      <c r="A20" s="12">
        <v>45860</v>
      </c>
      <c r="B20" s="13" t="s">
        <v>2769</v>
      </c>
      <c r="C20" s="10">
        <v>2</v>
      </c>
      <c r="D20" s="10">
        <v>2000</v>
      </c>
      <c r="E20" s="7">
        <f>+$I$2+(BERNARD40[[#This Row],[QUANTITE]]*BERNARD40[[#This Row],[PRIX UNITAIRE]])</f>
        <v>4000</v>
      </c>
      <c r="F20" s="14"/>
      <c r="G20" s="6">
        <f>+SUM(E$9:$E20)-SUM(F$9:$F20)</f>
        <v>749000</v>
      </c>
    </row>
    <row r="21" spans="1:7" ht="28.8" x14ac:dyDescent="0.55000000000000004">
      <c r="A21" s="12">
        <v>45860</v>
      </c>
      <c r="B21" s="13" t="s">
        <v>2770</v>
      </c>
      <c r="C21" s="10">
        <v>1</v>
      </c>
      <c r="D21" s="10">
        <v>60000</v>
      </c>
      <c r="E21" s="7">
        <f>+$I$2+(BERNARD40[[#This Row],[QUANTITE]]*BERNARD40[[#This Row],[PRIX UNITAIRE]])</f>
        <v>60000</v>
      </c>
      <c r="F21" s="14"/>
      <c r="G21" s="6">
        <f>+SUM(E$9:$E21)-SUM(F$9:$F21)</f>
        <v>809000</v>
      </c>
    </row>
    <row r="22" spans="1:7" ht="28.8" x14ac:dyDescent="0.55000000000000004">
      <c r="A22" s="12">
        <v>45860</v>
      </c>
      <c r="B22" s="13" t="s">
        <v>3002</v>
      </c>
      <c r="C22" s="10">
        <v>2</v>
      </c>
      <c r="D22" s="10">
        <v>2000</v>
      </c>
      <c r="E22" s="7">
        <f>+$I$2+(BERNARD40[[#This Row],[QUANTITE]]*BERNARD40[[#This Row],[PRIX UNITAIRE]])</f>
        <v>4000</v>
      </c>
      <c r="F22" s="14"/>
      <c r="G22" s="6">
        <f>+SUM(E$9:$E22)-SUM(F$9:$F22)</f>
        <v>813000</v>
      </c>
    </row>
    <row r="23" spans="1:7" ht="28.8" x14ac:dyDescent="0.55000000000000004">
      <c r="A23" s="12">
        <v>45891</v>
      </c>
      <c r="B23" s="13" t="s">
        <v>276</v>
      </c>
      <c r="C23" s="10">
        <v>2</v>
      </c>
      <c r="D23" s="10">
        <v>125000</v>
      </c>
      <c r="E23" s="7">
        <f>+$I$2+(BERNARD40[[#This Row],[QUANTITE]]*BERNARD40[[#This Row],[PRIX UNITAIRE]])</f>
        <v>250000</v>
      </c>
      <c r="F23" s="14"/>
      <c r="G23" s="6">
        <f>+SUM(E$9:$E23)-SUM(F$9:$F23)</f>
        <v>1063000</v>
      </c>
    </row>
    <row r="24" spans="1:7" ht="28.8" x14ac:dyDescent="0.55000000000000004">
      <c r="A24" s="12">
        <v>45891</v>
      </c>
      <c r="B24" s="13" t="s">
        <v>3021</v>
      </c>
      <c r="C24" s="10">
        <v>1</v>
      </c>
      <c r="D24" s="10">
        <v>60000</v>
      </c>
      <c r="E24" s="7">
        <f>+$I$2+(BERNARD40[[#This Row],[QUANTITE]]*BERNARD40[[#This Row],[PRIX UNITAIRE]])</f>
        <v>60000</v>
      </c>
      <c r="F24" s="14"/>
      <c r="G24" s="6">
        <f>+SUM(E$9:$E24)-SUM(F$9:$F24)</f>
        <v>1123000</v>
      </c>
    </row>
    <row r="25" spans="1:7" ht="28.8" x14ac:dyDescent="0.55000000000000004">
      <c r="A25" s="12">
        <v>45910</v>
      </c>
      <c r="B25" s="13" t="s">
        <v>2770</v>
      </c>
      <c r="C25" s="10">
        <v>1</v>
      </c>
      <c r="D25" s="10">
        <v>60000</v>
      </c>
      <c r="E25" s="7">
        <f>+$I$2+(BERNARD40[[#This Row],[QUANTITE]]*BERNARD40[[#This Row],[PRIX UNITAIRE]])</f>
        <v>60000</v>
      </c>
      <c r="F25" s="14"/>
      <c r="G25" s="6">
        <f>+SUM(E$9:$E25)-SUM(F$9:$F25)</f>
        <v>1183000</v>
      </c>
    </row>
    <row r="26" spans="1:7" ht="28.8" x14ac:dyDescent="0.55000000000000004">
      <c r="A26" s="12">
        <v>45936</v>
      </c>
      <c r="B26" s="13" t="s">
        <v>3170</v>
      </c>
      <c r="C26" s="10">
        <v>1</v>
      </c>
      <c r="D26" s="10">
        <v>45000</v>
      </c>
      <c r="E26" s="7">
        <f>+$I$2+(BERNARD40[[#This Row],[QUANTITE]]*BERNARD40[[#This Row],[PRIX UNITAIRE]])</f>
        <v>45000</v>
      </c>
      <c r="F26" s="14"/>
      <c r="G26" s="6">
        <f>+SUM(E$9:$E26)-SUM(F$9:$F26)</f>
        <v>1228000</v>
      </c>
    </row>
    <row r="27" spans="1:7" ht="28.8" x14ac:dyDescent="0.55000000000000004">
      <c r="A27" s="12">
        <v>45936</v>
      </c>
      <c r="B27" s="13" t="s">
        <v>251</v>
      </c>
      <c r="C27" s="10">
        <v>1</v>
      </c>
      <c r="D27" s="10">
        <v>60000</v>
      </c>
      <c r="E27" s="7">
        <f>+$I$2+(BERNARD40[[#This Row],[QUANTITE]]*BERNARD40[[#This Row],[PRIX UNITAIRE]])</f>
        <v>60000</v>
      </c>
      <c r="F27" s="14"/>
      <c r="G27" s="6">
        <f>+SUM(E$9:$E27)-SUM(F$9:$F27)</f>
        <v>1288000</v>
      </c>
    </row>
    <row r="28" spans="1:7" ht="28.8" x14ac:dyDescent="0.55000000000000004">
      <c r="A28" s="12">
        <v>45936</v>
      </c>
      <c r="B28" s="13" t="s">
        <v>3171</v>
      </c>
      <c r="C28" s="10">
        <v>2</v>
      </c>
      <c r="D28" s="10">
        <v>70000</v>
      </c>
      <c r="E28" s="7">
        <f>+$I$2+(BERNARD40[[#This Row],[QUANTITE]]*BERNARD40[[#This Row],[PRIX UNITAIRE]])</f>
        <v>140000</v>
      </c>
      <c r="F28" s="14"/>
      <c r="G28" s="6">
        <f>+SUM(E$9:$E28)-SUM(F$9:$F28)</f>
        <v>1428000</v>
      </c>
    </row>
    <row r="29" spans="1:7" ht="28.8" x14ac:dyDescent="0.55000000000000004">
      <c r="A29" s="12">
        <v>46006</v>
      </c>
      <c r="B29" s="13" t="s">
        <v>3296</v>
      </c>
      <c r="C29" s="10">
        <v>1</v>
      </c>
      <c r="D29" s="10">
        <v>75000</v>
      </c>
      <c r="E29" s="7">
        <f>+$I$2+(BERNARD40[[#This Row],[QUANTITE]]*BERNARD40[[#This Row],[PRIX UNITAIRE]])</f>
        <v>75000</v>
      </c>
      <c r="F29" s="14"/>
      <c r="G29" s="6">
        <f>+SUM(E$9:$E29)-SUM(F$9:$F29)</f>
        <v>1503000</v>
      </c>
    </row>
    <row r="30" spans="1:7" ht="28.8" x14ac:dyDescent="0.55000000000000004">
      <c r="A30" s="12">
        <v>46009</v>
      </c>
      <c r="B30" s="13" t="s">
        <v>451</v>
      </c>
      <c r="C30" s="10"/>
      <c r="D30" s="10"/>
      <c r="E30" s="7">
        <f>+$I$2+(BERNARD40[[#This Row],[QUANTITE]]*BERNARD40[[#This Row],[PRIX UNITAIRE]])</f>
        <v>0</v>
      </c>
      <c r="F30" s="14">
        <v>735000</v>
      </c>
      <c r="G30" s="6">
        <f>+SUM(E$9:$E30)-SUM(F$9:$F30)</f>
        <v>768000</v>
      </c>
    </row>
    <row r="31" spans="1:7" ht="28.8" x14ac:dyDescent="0.55000000000000004">
      <c r="A31" s="12">
        <v>46009</v>
      </c>
      <c r="B31" s="13" t="s">
        <v>1257</v>
      </c>
      <c r="C31" s="10">
        <v>2</v>
      </c>
      <c r="D31" s="10">
        <v>35000</v>
      </c>
      <c r="E31" s="7">
        <f>+$I$2+(BERNARD40[[#This Row],[QUANTITE]]*BERNARD40[[#This Row],[PRIX UNITAIRE]])</f>
        <v>70000</v>
      </c>
      <c r="F31" s="14"/>
      <c r="G31" s="6">
        <f>+SUM(E$9:$E31)-SUM(F$9:$F31)</f>
        <v>838000</v>
      </c>
    </row>
    <row r="32" spans="1:7" ht="28.8" x14ac:dyDescent="0.55000000000000004">
      <c r="A32" s="12">
        <v>46017</v>
      </c>
      <c r="B32" s="13" t="s">
        <v>2951</v>
      </c>
      <c r="C32" s="10">
        <v>2</v>
      </c>
      <c r="D32" s="10">
        <v>85000</v>
      </c>
      <c r="E32" s="7">
        <f>+$I$2+(BERNARD40[[#This Row],[QUANTITE]]*BERNARD40[[#This Row],[PRIX UNITAIRE]])</f>
        <v>170000</v>
      </c>
      <c r="F32" s="14"/>
      <c r="G32" s="6">
        <f>+SUM(E$9:$E32)-SUM(F$9:$F32)</f>
        <v>1008000</v>
      </c>
    </row>
    <row r="33" spans="1:7" ht="28.8" x14ac:dyDescent="0.55000000000000004">
      <c r="A33" s="12">
        <v>46035</v>
      </c>
      <c r="B33" s="13" t="s">
        <v>3373</v>
      </c>
      <c r="C33" s="10">
        <v>1</v>
      </c>
      <c r="D33" s="10">
        <v>45000</v>
      </c>
      <c r="E33" s="7">
        <f>+$I$2+(BERNARD40[[#This Row],[QUANTITE]]*BERNARD40[[#This Row],[PRIX UNITAIRE]])</f>
        <v>45000</v>
      </c>
      <c r="F33" s="14"/>
      <c r="G33" s="6">
        <f>+SUM(E$9:$E33)-SUM(F$9:$F33)</f>
        <v>1053000</v>
      </c>
    </row>
    <row r="34" spans="1:7" ht="28.8" x14ac:dyDescent="0.55000000000000004">
      <c r="A34" s="12">
        <v>46055</v>
      </c>
      <c r="B34" s="13" t="s">
        <v>3397</v>
      </c>
      <c r="C34" s="10">
        <v>2</v>
      </c>
      <c r="D34" s="10">
        <v>95000</v>
      </c>
      <c r="E34" s="7">
        <f>+$I$2+(BERNARD40[[#This Row],[QUANTITE]]*BERNARD40[[#This Row],[PRIX UNITAIRE]])</f>
        <v>190000</v>
      </c>
      <c r="F34" s="14"/>
      <c r="G34" s="6">
        <f>+SUM(E$9:$E34)-SUM(F$9:$F34)</f>
        <v>1243000</v>
      </c>
    </row>
    <row r="35" spans="1:7" ht="28.8" x14ac:dyDescent="0.55000000000000004">
      <c r="A35" s="12">
        <v>46057</v>
      </c>
      <c r="B35" s="13" t="s">
        <v>3408</v>
      </c>
      <c r="C35" s="10">
        <v>4</v>
      </c>
      <c r="D35" s="10">
        <v>35000</v>
      </c>
      <c r="E35" s="7">
        <f>+$I$2+(BERNARD40[[#This Row],[QUANTITE]]*BERNARD40[[#This Row],[PRIX UNITAIRE]])</f>
        <v>140000</v>
      </c>
      <c r="F35" s="14"/>
      <c r="G35" s="6">
        <f>+SUM(E$9:$E35)-SUM(F$9:$F35)</f>
        <v>1383000</v>
      </c>
    </row>
    <row r="36" spans="1:7" ht="28.8" x14ac:dyDescent="0.55000000000000004">
      <c r="A36" s="12">
        <v>46072</v>
      </c>
      <c r="B36" s="13" t="s">
        <v>3441</v>
      </c>
      <c r="C36" s="10">
        <v>1</v>
      </c>
      <c r="D36" s="10">
        <v>35000</v>
      </c>
      <c r="E36" s="7">
        <f>+$I$2+(BERNARD40[[#This Row],[QUANTITE]]*BERNARD40[[#This Row],[PRIX UNITAIRE]])</f>
        <v>35000</v>
      </c>
      <c r="F36" s="14"/>
      <c r="G36" s="6">
        <f>+SUM(E$9:$E36)-SUM(F$9:$F36)</f>
        <v>1418000</v>
      </c>
    </row>
    <row r="37" spans="1:7" ht="28.8" x14ac:dyDescent="0.55000000000000004">
      <c r="A37" s="12"/>
      <c r="B37" s="13"/>
      <c r="C37" s="10"/>
      <c r="D37" s="10"/>
      <c r="E37" s="7">
        <f>+$I$2+(BERNARD40[[#This Row],[QUANTITE]]*BERNARD40[[#This Row],[PRIX UNITAIRE]])</f>
        <v>0</v>
      </c>
      <c r="F37" s="14"/>
      <c r="G37" s="6">
        <f>+SUM(E$9:$E37)-SUM(F$9:$F37)</f>
        <v>1418000</v>
      </c>
    </row>
    <row r="38" spans="1:7" ht="28.8" x14ac:dyDescent="0.55000000000000004">
      <c r="A38" s="12"/>
      <c r="B38" s="13"/>
      <c r="C38" s="10"/>
      <c r="D38" s="10"/>
      <c r="E38" s="7">
        <f>+$I$2+(BERNARD40[[#This Row],[QUANTITE]]*BERNARD40[[#This Row],[PRIX UNITAIRE]])</f>
        <v>0</v>
      </c>
      <c r="F38" s="14"/>
      <c r="G38" s="6">
        <f>+SUM(E$9:$E38)-SUM(F$9:$F38)</f>
        <v>1418000</v>
      </c>
    </row>
    <row r="39" spans="1:7" ht="28.8" x14ac:dyDescent="0.55000000000000004">
      <c r="A39" s="12"/>
      <c r="B39" s="13"/>
      <c r="C39" s="10"/>
      <c r="D39" s="10"/>
      <c r="E39" s="7">
        <f>+$I$2+(BERNARD40[[#This Row],[QUANTITE]]*BERNARD40[[#This Row],[PRIX UNITAIRE]])</f>
        <v>0</v>
      </c>
      <c r="F39" s="14"/>
      <c r="G39" s="6">
        <f>+SUM(E$9:$E39)-SUM(F$9:$F39)</f>
        <v>1418000</v>
      </c>
    </row>
    <row r="40" spans="1:7" ht="28.8" x14ac:dyDescent="0.55000000000000004">
      <c r="A40" s="12"/>
      <c r="B40" s="13"/>
      <c r="C40" s="10"/>
      <c r="D40" s="10"/>
      <c r="E40" s="7">
        <f>+$I$2+(BERNARD40[[#This Row],[QUANTITE]]*BERNARD40[[#This Row],[PRIX UNITAIRE]])</f>
        <v>0</v>
      </c>
      <c r="F40" s="14"/>
      <c r="G40" s="6">
        <f>+SUM(E$9:$E40)-SUM(F$9:$F40)</f>
        <v>1418000</v>
      </c>
    </row>
    <row r="41" spans="1:7" ht="28.8" x14ac:dyDescent="0.55000000000000004">
      <c r="A41" s="12"/>
      <c r="B41" s="13"/>
      <c r="C41" s="10"/>
      <c r="D41" s="10"/>
      <c r="E41" s="7">
        <f>+$I$2+(BERNARD40[[#This Row],[QUANTITE]]*BERNARD40[[#This Row],[PRIX UNITAIRE]])</f>
        <v>0</v>
      </c>
      <c r="F41" s="14"/>
      <c r="G41" s="6">
        <f>+SUM(E$9:$E41)-SUM(F$9:$F41)</f>
        <v>1418000</v>
      </c>
    </row>
    <row r="42" spans="1:7" ht="28.8" x14ac:dyDescent="0.55000000000000004">
      <c r="A42" s="12"/>
      <c r="B42" s="13"/>
      <c r="C42" s="10"/>
      <c r="D42" s="10"/>
      <c r="E42" s="7">
        <f>+$I$2+(BERNARD40[[#This Row],[QUANTITE]]*BERNARD40[[#This Row],[PRIX UNITAIRE]])</f>
        <v>0</v>
      </c>
      <c r="F42" s="14"/>
      <c r="G42" s="6">
        <f>+SUM(E$9:$E42)-SUM(F$9:$F42)</f>
        <v>1418000</v>
      </c>
    </row>
    <row r="43" spans="1:7" ht="28.8" x14ac:dyDescent="0.55000000000000004">
      <c r="A43" s="12"/>
      <c r="B43" s="13"/>
      <c r="C43" s="10"/>
      <c r="D43" s="10"/>
      <c r="E43" s="7">
        <f>+$I$2+(BERNARD40[[#This Row],[QUANTITE]]*BERNARD40[[#This Row],[PRIX UNITAIRE]])</f>
        <v>0</v>
      </c>
      <c r="F43" s="14"/>
      <c r="G43" s="6">
        <f>+SUM(E$9:$E43)-SUM(F$9:$F43)</f>
        <v>1418000</v>
      </c>
    </row>
    <row r="44" spans="1:7" ht="28.8" x14ac:dyDescent="0.55000000000000004">
      <c r="A44" s="12"/>
      <c r="B44" s="13"/>
      <c r="C44" s="10"/>
      <c r="D44" s="10"/>
      <c r="E44" s="7">
        <f>+$I$2+(BERNARD40[[#This Row],[QUANTITE]]*BERNARD40[[#This Row],[PRIX UNITAIRE]])</f>
        <v>0</v>
      </c>
      <c r="F44" s="14"/>
      <c r="G44" s="6">
        <f>+SUM(E$9:$E44)-SUM(F$9:$F44)</f>
        <v>1418000</v>
      </c>
    </row>
    <row r="45" spans="1:7" ht="28.8" x14ac:dyDescent="0.55000000000000004">
      <c r="A45" s="12"/>
      <c r="B45" s="13"/>
      <c r="C45" s="10"/>
      <c r="D45" s="10"/>
      <c r="E45" s="7">
        <f>+$I$2+(BERNARD40[[#This Row],[QUANTITE]]*BERNARD40[[#This Row],[PRIX UNITAIRE]])</f>
        <v>0</v>
      </c>
      <c r="F45" s="14"/>
      <c r="G45" s="6">
        <f>+SUM(E$9:$E45)-SUM(F$9:$F45)</f>
        <v>1418000</v>
      </c>
    </row>
    <row r="46" spans="1:7" ht="28.8" x14ac:dyDescent="0.55000000000000004">
      <c r="A46" s="12"/>
      <c r="B46" s="13"/>
      <c r="C46" s="10"/>
      <c r="D46" s="10"/>
      <c r="E46" s="7">
        <f>+$I$2+(BERNARD40[[#This Row],[QUANTITE]]*BERNARD40[[#This Row],[PRIX UNITAIRE]])</f>
        <v>0</v>
      </c>
      <c r="F46" s="14"/>
      <c r="G46" s="6">
        <f>+SUM(E$9:$E46)-SUM(F$9:$F46)</f>
        <v>1418000</v>
      </c>
    </row>
    <row r="47" spans="1:7" ht="28.8" x14ac:dyDescent="0.55000000000000004">
      <c r="A47" s="12"/>
      <c r="B47" s="13"/>
      <c r="C47" s="10"/>
      <c r="D47" s="10"/>
      <c r="E47" s="7">
        <f>+$I$2+(BERNARD40[[#This Row],[QUANTITE]]*BERNARD40[[#This Row],[PRIX UNITAIRE]])</f>
        <v>0</v>
      </c>
      <c r="F47" s="14"/>
      <c r="G47" s="6">
        <f>+SUM(E$9:$E47)-SUM(F$9:$F47)</f>
        <v>1418000</v>
      </c>
    </row>
    <row r="48" spans="1:7" ht="28.8" x14ac:dyDescent="0.55000000000000004">
      <c r="A48" s="12"/>
      <c r="B48" s="13"/>
      <c r="C48" s="10"/>
      <c r="D48" s="10"/>
      <c r="E48" s="7">
        <f>+$I$2+(BERNARD40[[#This Row],[QUANTITE]]*BERNARD40[[#This Row],[PRIX UNITAIRE]])</f>
        <v>0</v>
      </c>
      <c r="F48" s="14"/>
      <c r="G48" s="6">
        <f>+SUM(E$9:$E48)-SUM(F$9:$F48)</f>
        <v>1418000</v>
      </c>
    </row>
    <row r="49" spans="1:7" ht="28.8" x14ac:dyDescent="0.55000000000000004">
      <c r="A49" s="12"/>
      <c r="B49" s="13"/>
      <c r="C49" s="10"/>
      <c r="D49" s="10"/>
      <c r="E49" s="7">
        <f>+$I$2+(BERNARD40[[#This Row],[QUANTITE]]*BERNARD40[[#This Row],[PRIX UNITAIRE]])</f>
        <v>0</v>
      </c>
      <c r="F49" s="14"/>
      <c r="G49" s="6">
        <f>+SUM(E$9:$E49)-SUM(F$9:$F49)</f>
        <v>1418000</v>
      </c>
    </row>
    <row r="50" spans="1:7" ht="28.8" x14ac:dyDescent="0.55000000000000004">
      <c r="A50" s="12"/>
      <c r="B50" s="13"/>
      <c r="C50" s="10"/>
      <c r="D50" s="10"/>
      <c r="E50" s="7">
        <f>+$I$2+(BERNARD40[[#This Row],[QUANTITE]]*BERNARD40[[#This Row],[PRIX UNITAIRE]])</f>
        <v>0</v>
      </c>
      <c r="F50" s="14"/>
      <c r="G50" s="6">
        <f>+SUM(E$9:$E50)-SUM(F$9:$F50)</f>
        <v>1418000</v>
      </c>
    </row>
    <row r="51" spans="1:7" ht="28.8" x14ac:dyDescent="0.55000000000000004">
      <c r="A51" s="12"/>
      <c r="B51" s="13"/>
      <c r="C51" s="10"/>
      <c r="D51" s="10"/>
      <c r="E51" s="7">
        <f>+$I$2+(BERNARD40[[#This Row],[QUANTITE]]*BERNARD40[[#This Row],[PRIX UNITAIRE]])</f>
        <v>0</v>
      </c>
      <c r="F51" s="14"/>
      <c r="G51" s="6">
        <f>+SUM(E$9:$E51)-SUM(F$9:$F51)</f>
        <v>1418000</v>
      </c>
    </row>
    <row r="52" spans="1:7" ht="28.8" x14ac:dyDescent="0.55000000000000004">
      <c r="A52" s="12"/>
      <c r="B52" s="13"/>
      <c r="C52" s="10"/>
      <c r="D52" s="10"/>
      <c r="E52" s="7">
        <f>+$I$2+(BERNARD40[[#This Row],[QUANTITE]]*BERNARD40[[#This Row],[PRIX UNITAIRE]])</f>
        <v>0</v>
      </c>
      <c r="F52" s="14"/>
      <c r="G52" s="6">
        <f>+SUM(E$9:$E52)-SUM(F$9:$F52)</f>
        <v>1418000</v>
      </c>
    </row>
    <row r="53" spans="1:7" ht="28.8" x14ac:dyDescent="0.55000000000000004">
      <c r="A53" s="12"/>
      <c r="B53" s="13"/>
      <c r="C53" s="10"/>
      <c r="D53" s="10"/>
      <c r="E53" s="7">
        <f>+$I$2+(BERNARD40[[#This Row],[QUANTITE]]*BERNARD40[[#This Row],[PRIX UNITAIRE]])</f>
        <v>0</v>
      </c>
      <c r="F53" s="14"/>
      <c r="G53" s="6">
        <f>+SUM(E$9:$E53)-SUM(F$9:$F53)</f>
        <v>1418000</v>
      </c>
    </row>
    <row r="54" spans="1:7" ht="28.8" x14ac:dyDescent="0.55000000000000004">
      <c r="A54" s="12"/>
      <c r="B54" s="13"/>
      <c r="C54" s="10"/>
      <c r="D54" s="10"/>
      <c r="E54" s="7">
        <f>+$I$2+(BERNARD40[[#This Row],[QUANTITE]]*BERNARD40[[#This Row],[PRIX UNITAIRE]])</f>
        <v>0</v>
      </c>
      <c r="F54" s="14"/>
      <c r="G54" s="6">
        <f>+SUM(E$9:$E54)-SUM(F$9:$F54)</f>
        <v>1418000</v>
      </c>
    </row>
    <row r="55" spans="1:7" ht="28.8" x14ac:dyDescent="0.55000000000000004">
      <c r="A55" s="12"/>
      <c r="B55" s="13"/>
      <c r="C55" s="10"/>
      <c r="D55" s="10"/>
      <c r="E55" s="7">
        <f>+$I$2+(BERNARD40[[#This Row],[QUANTITE]]*BERNARD40[[#This Row],[PRIX UNITAIRE]])</f>
        <v>0</v>
      </c>
      <c r="F55" s="14"/>
      <c r="G55" s="6">
        <f>+SUM(E$9:$E55)-SUM(F$9:$F55)</f>
        <v>1418000</v>
      </c>
    </row>
    <row r="56" spans="1:7" ht="28.8" x14ac:dyDescent="0.55000000000000004">
      <c r="A56" s="12"/>
      <c r="B56" s="13"/>
      <c r="C56" s="10"/>
      <c r="D56" s="10"/>
      <c r="E56" s="7">
        <f>+$I$2+(BERNARD40[[#This Row],[QUANTITE]]*BERNARD40[[#This Row],[PRIX UNITAIRE]])</f>
        <v>0</v>
      </c>
      <c r="F56" s="14"/>
      <c r="G56" s="6">
        <f>+SUM(E$9:$E56)-SUM(F$9:$F56)</f>
        <v>1418000</v>
      </c>
    </row>
    <row r="57" spans="1:7" ht="28.8" x14ac:dyDescent="0.55000000000000004">
      <c r="A57" s="12"/>
      <c r="B57" s="13"/>
      <c r="C57" s="10"/>
      <c r="D57" s="10"/>
      <c r="E57" s="7">
        <f>+$I$2+(BERNARD40[[#This Row],[QUANTITE]]*BERNARD40[[#This Row],[PRIX UNITAIRE]])</f>
        <v>0</v>
      </c>
      <c r="F57" s="14"/>
      <c r="G57" s="6">
        <f>+SUM(E$9:$E57)-SUM(F$9:$F57)</f>
        <v>1418000</v>
      </c>
    </row>
    <row r="58" spans="1:7" ht="28.8" x14ac:dyDescent="0.55000000000000004">
      <c r="A58" s="12"/>
      <c r="B58" s="13"/>
      <c r="C58" s="10"/>
      <c r="D58" s="10"/>
      <c r="E58" s="7">
        <f>+$I$2+(BERNARD40[[#This Row],[QUANTITE]]*BERNARD40[[#This Row],[PRIX UNITAIRE]])</f>
        <v>0</v>
      </c>
      <c r="F58" s="14"/>
      <c r="G58" s="6">
        <f>+SUM(E$9:$E58)-SUM(F$9:$F58)</f>
        <v>1418000</v>
      </c>
    </row>
    <row r="59" spans="1:7" ht="28.8" x14ac:dyDescent="0.55000000000000004">
      <c r="A59" s="12"/>
      <c r="B59" s="13"/>
      <c r="C59" s="10"/>
      <c r="D59" s="10"/>
      <c r="E59" s="7">
        <f>+$I$2+(BERNARD40[[#This Row],[QUANTITE]]*BERNARD40[[#This Row],[PRIX UNITAIRE]])</f>
        <v>0</v>
      </c>
      <c r="F59" s="14"/>
      <c r="G59" s="6">
        <f>+SUM(E$9:$E59)-SUM(F$9:$F59)</f>
        <v>1418000</v>
      </c>
    </row>
    <row r="60" spans="1:7" ht="28.8" x14ac:dyDescent="0.55000000000000004">
      <c r="A60" s="12"/>
      <c r="B60" s="13"/>
      <c r="C60" s="10"/>
      <c r="D60" s="10"/>
      <c r="E60" s="7">
        <f>+$I$2+(BERNARD40[[#This Row],[QUANTITE]]*BERNARD40[[#This Row],[PRIX UNITAIRE]])</f>
        <v>0</v>
      </c>
      <c r="F60" s="14"/>
      <c r="G60" s="6">
        <f>+SUM(E$9:$E60)-SUM(F$9:$F60)</f>
        <v>1418000</v>
      </c>
    </row>
    <row r="61" spans="1:7" ht="28.8" x14ac:dyDescent="0.55000000000000004">
      <c r="A61" s="12"/>
      <c r="B61" s="13"/>
      <c r="C61" s="10"/>
      <c r="D61" s="10"/>
      <c r="E61" s="7">
        <f>+$I$2+(BERNARD40[[#This Row],[QUANTITE]]*BERNARD40[[#This Row],[PRIX UNITAIRE]])</f>
        <v>0</v>
      </c>
      <c r="F61" s="14"/>
      <c r="G61" s="6">
        <f>+SUM(E$9:$E61)-SUM(F$9:$F61)</f>
        <v>1418000</v>
      </c>
    </row>
    <row r="62" spans="1:7" ht="28.8" x14ac:dyDescent="0.55000000000000004">
      <c r="A62" s="12"/>
      <c r="B62" s="13"/>
      <c r="C62" s="10"/>
      <c r="D62" s="10"/>
      <c r="E62" s="7">
        <f>+$I$2+(BERNARD40[[#This Row],[QUANTITE]]*BERNARD40[[#This Row],[PRIX UNITAIRE]])</f>
        <v>0</v>
      </c>
      <c r="F62" s="14"/>
      <c r="G62" s="6">
        <f>+SUM(E$9:$E62)-SUM(F$9:$F62)</f>
        <v>1418000</v>
      </c>
    </row>
    <row r="63" spans="1:7" ht="28.8" x14ac:dyDescent="0.55000000000000004">
      <c r="A63" s="12"/>
      <c r="B63" s="13"/>
      <c r="C63" s="10"/>
      <c r="D63" s="10"/>
      <c r="E63" s="7">
        <f>+$I$2+(BERNARD40[[#This Row],[QUANTITE]]*BERNARD40[[#This Row],[PRIX UNITAIRE]])</f>
        <v>0</v>
      </c>
      <c r="F63" s="14"/>
      <c r="G63" s="6">
        <f>+SUM(E$9:$E63)-SUM(F$9:$F63)</f>
        <v>1418000</v>
      </c>
    </row>
    <row r="64" spans="1:7" ht="28.8" x14ac:dyDescent="0.55000000000000004">
      <c r="A64" s="12"/>
      <c r="B64" s="13"/>
      <c r="C64" s="10"/>
      <c r="D64" s="10"/>
      <c r="E64" s="7">
        <f>+$I$2+(BERNARD40[[#This Row],[QUANTITE]]*BERNARD40[[#This Row],[PRIX UNITAIRE]])</f>
        <v>0</v>
      </c>
      <c r="F64" s="14"/>
      <c r="G64" s="6">
        <f>+SUM(E$9:$E64)-SUM(F$9:$F64)</f>
        <v>1418000</v>
      </c>
    </row>
    <row r="65" spans="1:7" ht="28.8" x14ac:dyDescent="0.55000000000000004">
      <c r="A65" s="12"/>
      <c r="B65" s="13"/>
      <c r="C65" s="10"/>
      <c r="D65" s="10"/>
      <c r="E65" s="7">
        <f>+$I$2+(BERNARD40[[#This Row],[QUANTITE]]*BERNARD40[[#This Row],[PRIX UNITAIRE]])</f>
        <v>0</v>
      </c>
      <c r="F65" s="14"/>
      <c r="G65" s="6">
        <f>+SUM(E$9:$E65)-SUM(F$9:$F65)</f>
        <v>1418000</v>
      </c>
    </row>
    <row r="66" spans="1:7" ht="28.8" x14ac:dyDescent="0.55000000000000004">
      <c r="A66" s="12"/>
      <c r="B66" s="13"/>
      <c r="C66" s="10"/>
      <c r="D66" s="10"/>
      <c r="E66" s="7">
        <f>+$I$2+(BERNARD40[[#This Row],[QUANTITE]]*BERNARD40[[#This Row],[PRIX UNITAIRE]])</f>
        <v>0</v>
      </c>
      <c r="F66" s="14"/>
      <c r="G66" s="6">
        <f>+SUM(E$9:$E66)-SUM(F$9:$F66)</f>
        <v>1418000</v>
      </c>
    </row>
    <row r="67" spans="1:7" ht="28.8" x14ac:dyDescent="0.55000000000000004">
      <c r="A67" s="12"/>
      <c r="B67" s="13"/>
      <c r="C67" s="10"/>
      <c r="D67" s="10"/>
      <c r="E67" s="7">
        <f>+$I$2+(BERNARD40[[#This Row],[QUANTITE]]*BERNARD40[[#This Row],[PRIX UNITAIRE]])</f>
        <v>0</v>
      </c>
      <c r="F67" s="14"/>
      <c r="G67" s="6">
        <f>+SUM(E$9:$E67)-SUM(F$9:$F67)</f>
        <v>1418000</v>
      </c>
    </row>
    <row r="68" spans="1:7" ht="28.8" x14ac:dyDescent="0.55000000000000004">
      <c r="A68" s="12"/>
      <c r="B68" s="13"/>
      <c r="C68" s="10"/>
      <c r="D68" s="10"/>
      <c r="E68" s="7">
        <f>+$I$2+(BERNARD40[[#This Row],[QUANTITE]]*BERNARD40[[#This Row],[PRIX UNITAIRE]])</f>
        <v>0</v>
      </c>
      <c r="F68" s="14"/>
      <c r="G68" s="6">
        <f>+SUM(E$9:$E68)-SUM(F$9:$F68)</f>
        <v>1418000</v>
      </c>
    </row>
    <row r="69" spans="1:7" ht="28.8" x14ac:dyDescent="0.55000000000000004">
      <c r="A69" s="12"/>
      <c r="B69" s="13"/>
      <c r="C69" s="10"/>
      <c r="D69" s="10"/>
      <c r="E69" s="7">
        <f>+$I$2+(BERNARD40[[#This Row],[QUANTITE]]*BERNARD40[[#This Row],[PRIX UNITAIRE]])</f>
        <v>0</v>
      </c>
      <c r="F69" s="14"/>
      <c r="G69" s="6">
        <f>+SUM(E$9:$E69)-SUM(F$9:$F69)</f>
        <v>1418000</v>
      </c>
    </row>
    <row r="70" spans="1:7" ht="28.8" x14ac:dyDescent="0.55000000000000004">
      <c r="A70" s="12"/>
      <c r="B70" s="13"/>
      <c r="C70" s="10"/>
      <c r="D70" s="10"/>
      <c r="E70" s="7">
        <f>+$I$2+(BERNARD40[[#This Row],[QUANTITE]]*BERNARD40[[#This Row],[PRIX UNITAIRE]])</f>
        <v>0</v>
      </c>
      <c r="F70" s="14"/>
      <c r="G70" s="6">
        <f>+SUM(E$9:$E70)-SUM(F$9:$F70)</f>
        <v>1418000</v>
      </c>
    </row>
    <row r="71" spans="1:7" ht="28.8" x14ac:dyDescent="0.55000000000000004">
      <c r="A71" s="12"/>
      <c r="B71" s="13"/>
      <c r="C71" s="10"/>
      <c r="D71" s="10"/>
      <c r="E71" s="7">
        <f>+$I$2+(BERNARD40[[#This Row],[QUANTITE]]*BERNARD40[[#This Row],[PRIX UNITAIRE]])</f>
        <v>0</v>
      </c>
      <c r="F71" s="14"/>
      <c r="G71" s="6">
        <f>+SUM(E$9:$E71)-SUM(F$9:$F71)</f>
        <v>1418000</v>
      </c>
    </row>
    <row r="72" spans="1:7" ht="28.8" x14ac:dyDescent="0.55000000000000004">
      <c r="A72" s="12"/>
      <c r="B72" s="13"/>
      <c r="C72" s="10"/>
      <c r="D72" s="10"/>
      <c r="E72" s="7">
        <f>+$I$2+(BERNARD40[[#This Row],[QUANTITE]]*BERNARD40[[#This Row],[PRIX UNITAIRE]])</f>
        <v>0</v>
      </c>
      <c r="F72" s="14"/>
      <c r="G72" s="6">
        <f>+SUM(E$9:$E72)-SUM(F$9:$F72)</f>
        <v>1418000</v>
      </c>
    </row>
    <row r="73" spans="1:7" ht="28.8" x14ac:dyDescent="0.55000000000000004">
      <c r="A73" s="12"/>
      <c r="B73" s="13"/>
      <c r="C73" s="10"/>
      <c r="D73" s="10"/>
      <c r="E73" s="7">
        <f>+$I$2+(BERNARD40[[#This Row],[QUANTITE]]*BERNARD40[[#This Row],[PRIX UNITAIRE]])</f>
        <v>0</v>
      </c>
      <c r="F73" s="14"/>
      <c r="G73" s="6">
        <f>+SUM(E$9:$E73)-SUM(F$9:$F73)</f>
        <v>1418000</v>
      </c>
    </row>
    <row r="74" spans="1:7" ht="28.8" x14ac:dyDescent="0.55000000000000004">
      <c r="A74" s="12"/>
      <c r="B74" s="13"/>
      <c r="C74" s="10"/>
      <c r="D74" s="10"/>
      <c r="E74" s="7">
        <f>+$I$2+(BERNARD40[[#This Row],[QUANTITE]]*BERNARD40[[#This Row],[PRIX UNITAIRE]])</f>
        <v>0</v>
      </c>
      <c r="F74" s="14"/>
      <c r="G74" s="6">
        <f>+SUM(E$9:$E74)-SUM(F$9:$F74)</f>
        <v>1418000</v>
      </c>
    </row>
    <row r="75" spans="1:7" ht="28.8" x14ac:dyDescent="0.55000000000000004">
      <c r="A75" s="12"/>
      <c r="B75" s="13"/>
      <c r="C75" s="10"/>
      <c r="D75" s="10"/>
      <c r="E75" s="7">
        <f>+$I$2+(BERNARD40[[#This Row],[QUANTITE]]*BERNARD40[[#This Row],[PRIX UNITAIRE]])</f>
        <v>0</v>
      </c>
      <c r="F75" s="14"/>
      <c r="G75" s="6">
        <f>+SUM(E$9:$E75)-SUM(F$9:$F75)</f>
        <v>1418000</v>
      </c>
    </row>
    <row r="76" spans="1:7" ht="28.8" x14ac:dyDescent="0.55000000000000004">
      <c r="A76" s="12"/>
      <c r="B76" s="13"/>
      <c r="C76" s="10"/>
      <c r="D76" s="10"/>
      <c r="E76" s="7">
        <f>+$I$2+(BERNARD40[[#This Row],[QUANTITE]]*BERNARD40[[#This Row],[PRIX UNITAIRE]])</f>
        <v>0</v>
      </c>
      <c r="F76" s="14"/>
      <c r="G76" s="6">
        <f>+SUM(E$9:$E76)-SUM(F$9:$F76)</f>
        <v>1418000</v>
      </c>
    </row>
    <row r="77" spans="1:7" ht="28.8" x14ac:dyDescent="0.55000000000000004">
      <c r="A77" s="12"/>
      <c r="B77" s="13"/>
      <c r="C77" s="10"/>
      <c r="D77" s="10"/>
      <c r="E77" s="7">
        <f>+$I$2+(BERNARD40[[#This Row],[QUANTITE]]*BERNARD40[[#This Row],[PRIX UNITAIRE]])</f>
        <v>0</v>
      </c>
      <c r="F77" s="14"/>
      <c r="G77" s="6">
        <f>+SUM(E$9:$E77)-SUM(F$9:$F77)</f>
        <v>1418000</v>
      </c>
    </row>
    <row r="78" spans="1:7" ht="28.8" x14ac:dyDescent="0.55000000000000004">
      <c r="A78" s="12"/>
      <c r="B78" s="13"/>
      <c r="C78" s="10"/>
      <c r="D78" s="10"/>
      <c r="E78" s="7">
        <f>+$I$2+(BERNARD40[[#This Row],[QUANTITE]]*BERNARD40[[#This Row],[PRIX UNITAIRE]])</f>
        <v>0</v>
      </c>
      <c r="F78" s="14"/>
      <c r="G78" s="6">
        <f>+SUM(E$9:$E78)-SUM(F$9:$F78)</f>
        <v>1418000</v>
      </c>
    </row>
    <row r="79" spans="1:7" ht="28.8" x14ac:dyDescent="0.55000000000000004">
      <c r="A79" s="12"/>
      <c r="B79" s="13"/>
      <c r="C79" s="10"/>
      <c r="D79" s="10"/>
      <c r="E79" s="7">
        <f>+$I$2+(BERNARD40[[#This Row],[QUANTITE]]*BERNARD40[[#This Row],[PRIX UNITAIRE]])</f>
        <v>0</v>
      </c>
      <c r="F79" s="14"/>
      <c r="G79" s="6">
        <f>+SUM(E$9:$E79)-SUM(F$9:$F79)</f>
        <v>1418000</v>
      </c>
    </row>
    <row r="80" spans="1:7" ht="28.8" x14ac:dyDescent="0.55000000000000004">
      <c r="A80" s="12"/>
      <c r="B80" s="13"/>
      <c r="C80" s="10"/>
      <c r="D80" s="10"/>
      <c r="E80" s="7">
        <f>+$I$2+(BERNARD40[[#This Row],[QUANTITE]]*BERNARD40[[#This Row],[PRIX UNITAIRE]])</f>
        <v>0</v>
      </c>
      <c r="F80" s="14"/>
      <c r="G80" s="6">
        <f>+SUM(E$9:$E80)-SUM(F$9:$F80)</f>
        <v>1418000</v>
      </c>
    </row>
    <row r="81" spans="1:7" ht="28.8" x14ac:dyDescent="0.55000000000000004">
      <c r="A81" s="12"/>
      <c r="B81" s="13"/>
      <c r="C81" s="10"/>
      <c r="D81" s="10"/>
      <c r="E81" s="7">
        <f>+$I$2+(BERNARD40[[#This Row],[QUANTITE]]*BERNARD40[[#This Row],[PRIX UNITAIRE]])</f>
        <v>0</v>
      </c>
      <c r="F81" s="14"/>
      <c r="G81" s="6">
        <f>+SUM(E$9:$E81)-SUM(F$9:$F81)</f>
        <v>1418000</v>
      </c>
    </row>
    <row r="82" spans="1:7" ht="28.8" x14ac:dyDescent="0.55000000000000004">
      <c r="A82" s="12"/>
      <c r="B82" s="13"/>
      <c r="C82" s="10"/>
      <c r="D82" s="10"/>
      <c r="E82" s="7">
        <f>+$I$2+(BERNARD40[[#This Row],[QUANTITE]]*BERNARD40[[#This Row],[PRIX UNITAIRE]])</f>
        <v>0</v>
      </c>
      <c r="F82" s="14"/>
      <c r="G82" s="6">
        <f>+SUM(E$9:$E82)-SUM(F$9:$F82)</f>
        <v>1418000</v>
      </c>
    </row>
  </sheetData>
  <sheetProtection selectLockedCells="1" autoFilter="0"/>
  <mergeCells count="1">
    <mergeCell ref="B6:C6"/>
  </mergeCells>
  <conditionalFormatting sqref="G4">
    <cfRule type="cellIs" dxfId="247" priority="2" operator="lessThan">
      <formula>0</formula>
    </cfRule>
    <cfRule type="cellIs" dxfId="246" priority="3" operator="greaterThan">
      <formula>0</formula>
    </cfRule>
  </conditionalFormatting>
  <conditionalFormatting sqref="B9:B82">
    <cfRule type="expression" dxfId="245" priority="5">
      <formula>$F9</formula>
    </cfRule>
  </conditionalFormatting>
  <dataValidations count="1">
    <dataValidation type="date" operator="greaterThan" allowBlank="1" showInputMessage="1" showErrorMessage="1" error="VEILLEZ ENTRER UNE DATE VALIDE" sqref="A9:A8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/>
  <dimension ref="A1:I82"/>
  <sheetViews>
    <sheetView showGridLines="0" zoomScale="60" zoomScaleNormal="60" workbookViewId="0">
      <pane ySplit="8" topLeftCell="A33" activePane="bottomLeft" state="frozen"/>
      <selection activeCell="L10" sqref="L10"/>
      <selection pane="bottomLeft" activeCell="A47" sqref="A47"/>
    </sheetView>
  </sheetViews>
  <sheetFormatPr baseColWidth="10" defaultColWidth="11.5546875" defaultRowHeight="14.4" x14ac:dyDescent="0.3"/>
  <cols>
    <col min="1" max="1" width="19.21875" style="1" bestFit="1" customWidth="1"/>
    <col min="2" max="2" width="63.5546875" style="1" bestFit="1" customWidth="1"/>
    <col min="3" max="3" width="19.77734375" style="1" bestFit="1" customWidth="1"/>
    <col min="4" max="4" width="43.5546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+SUM(BERNARD4041[TOTAL MONTANT])</f>
        <v>2020000</v>
      </c>
      <c r="F4" s="41">
        <f>+SUM(BERNARD4041[VERSEMENT])</f>
        <v>1465000</v>
      </c>
      <c r="G4" s="130">
        <f>+E4-F4</f>
        <v>555000</v>
      </c>
    </row>
    <row r="5" spans="1:9" ht="29.4" thickBot="1" x14ac:dyDescent="0.35">
      <c r="A5" s="131"/>
      <c r="B5" s="3" t="s">
        <v>7</v>
      </c>
      <c r="C5" s="132"/>
      <c r="D5" s="133"/>
      <c r="E5" s="133"/>
      <c r="F5" s="132"/>
      <c r="G5" s="134"/>
    </row>
    <row r="6" spans="1:9" ht="37.200000000000003" thickBot="1" x14ac:dyDescent="0.75">
      <c r="A6" s="131"/>
      <c r="B6" s="168" t="s">
        <v>1227</v>
      </c>
      <c r="C6" s="169"/>
      <c r="D6" s="133"/>
      <c r="E6" s="133"/>
      <c r="F6" s="132"/>
      <c r="G6" s="134"/>
    </row>
    <row r="7" spans="1:9" ht="15" thickBot="1" x14ac:dyDescent="0.35">
      <c r="A7" s="136"/>
      <c r="B7" s="137"/>
      <c r="C7" s="137"/>
      <c r="D7" s="138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45834</v>
      </c>
      <c r="B9" s="13" t="s">
        <v>1272</v>
      </c>
      <c r="C9" s="10">
        <v>4</v>
      </c>
      <c r="D9" s="10">
        <v>65000</v>
      </c>
      <c r="E9" s="7">
        <f>+$I$2+(BERNARD4041[[#This Row],[QUANTITE]]*BERNARD4041[[#This Row],[PRIX UNITAIRE]])</f>
        <v>260000</v>
      </c>
      <c r="F9" s="20"/>
      <c r="G9" s="6">
        <f>+SUM(E$9:$E9)-SUM(F$9:$F9)</f>
        <v>260000</v>
      </c>
    </row>
    <row r="10" spans="1:9" ht="28.8" x14ac:dyDescent="0.55000000000000004">
      <c r="A10" s="12">
        <v>45847</v>
      </c>
      <c r="B10" s="13" t="s">
        <v>1275</v>
      </c>
      <c r="C10" s="10">
        <v>1</v>
      </c>
      <c r="D10" s="10">
        <v>40000</v>
      </c>
      <c r="E10" s="7">
        <f>+$I$2+(BERNARD4041[[#This Row],[QUANTITE]]*BERNARD4041[[#This Row],[PRIX UNITAIRE]])</f>
        <v>40000</v>
      </c>
      <c r="F10" s="21"/>
      <c r="G10" s="6">
        <f>+SUM(E$9:$E10)-SUM(F$9:$F10)</f>
        <v>300000</v>
      </c>
    </row>
    <row r="11" spans="1:9" ht="28.8" x14ac:dyDescent="0.55000000000000004">
      <c r="A11" s="12">
        <v>45852</v>
      </c>
      <c r="B11" s="13" t="s">
        <v>2743</v>
      </c>
      <c r="C11" s="10">
        <v>4</v>
      </c>
      <c r="D11" s="10">
        <v>50000</v>
      </c>
      <c r="E11" s="7">
        <f>+$I$2+(BERNARD4041[[#This Row],[QUANTITE]]*BERNARD4041[[#This Row],[PRIX UNITAIRE]])</f>
        <v>200000</v>
      </c>
      <c r="F11" s="14"/>
      <c r="G11" s="6">
        <f>+SUM(E$9:$E11)-SUM(F$9:$F11)</f>
        <v>500000</v>
      </c>
    </row>
    <row r="12" spans="1:9" ht="28.8" x14ac:dyDescent="0.55000000000000004">
      <c r="A12" s="12">
        <v>45852</v>
      </c>
      <c r="B12" s="13" t="s">
        <v>2744</v>
      </c>
      <c r="C12" s="10">
        <v>2</v>
      </c>
      <c r="D12" s="10">
        <v>80000</v>
      </c>
      <c r="E12" s="7">
        <f>+$I$2+(BERNARD4041[[#This Row],[QUANTITE]]*BERNARD4041[[#This Row],[PRIX UNITAIRE]])</f>
        <v>160000</v>
      </c>
      <c r="F12" s="14"/>
      <c r="G12" s="6">
        <f>+SUM(E$9:$E12)-SUM(F$9:$F12)</f>
        <v>660000</v>
      </c>
    </row>
    <row r="13" spans="1:9" ht="28.8" x14ac:dyDescent="0.55000000000000004">
      <c r="A13" s="12"/>
      <c r="B13" s="13" t="s">
        <v>2766</v>
      </c>
      <c r="C13" s="10">
        <v>1</v>
      </c>
      <c r="D13" s="10">
        <v>15000</v>
      </c>
      <c r="E13" s="7">
        <f>+$I$2+(BERNARD4041[[#This Row],[QUANTITE]]*BERNARD4041[[#This Row],[PRIX UNITAIRE]])</f>
        <v>15000</v>
      </c>
      <c r="F13" s="14"/>
      <c r="G13" s="6">
        <f>+SUM(E$9:$E13)-SUM(F$9:$F13)</f>
        <v>675000</v>
      </c>
    </row>
    <row r="14" spans="1:9" ht="28.8" x14ac:dyDescent="0.55000000000000004">
      <c r="A14" s="12"/>
      <c r="B14" s="13" t="s">
        <v>2767</v>
      </c>
      <c r="C14" s="10">
        <v>1</v>
      </c>
      <c r="D14" s="10">
        <v>45000</v>
      </c>
      <c r="E14" s="7">
        <f>+$I$2+(BERNARD4041[[#This Row],[QUANTITE]]*BERNARD4041[[#This Row],[PRIX UNITAIRE]])</f>
        <v>45000</v>
      </c>
      <c r="F14" s="14"/>
      <c r="G14" s="6">
        <f>+SUM(E$9:$E14)-SUM(F$9:$F14)</f>
        <v>720000</v>
      </c>
    </row>
    <row r="15" spans="1:9" ht="28.8" x14ac:dyDescent="0.55000000000000004">
      <c r="A15" s="12"/>
      <c r="B15" s="13" t="s">
        <v>2768</v>
      </c>
      <c r="C15" s="10">
        <v>1</v>
      </c>
      <c r="D15" s="10">
        <v>30000</v>
      </c>
      <c r="E15" s="7">
        <f>+$I$2+(BERNARD4041[[#This Row],[QUANTITE]]*BERNARD4041[[#This Row],[PRIX UNITAIRE]])</f>
        <v>30000</v>
      </c>
      <c r="F15" s="14"/>
      <c r="G15" s="6">
        <f>+SUM(E$9:$E15)-SUM(F$9:$F15)</f>
        <v>750000</v>
      </c>
    </row>
    <row r="16" spans="1:9" ht="28.8" x14ac:dyDescent="0.55000000000000004">
      <c r="A16" s="12">
        <v>45868</v>
      </c>
      <c r="B16" s="13" t="s">
        <v>2792</v>
      </c>
      <c r="C16" s="10">
        <v>2</v>
      </c>
      <c r="D16" s="10">
        <v>45000</v>
      </c>
      <c r="E16" s="7">
        <f>+$I$2+(BERNARD4041[[#This Row],[QUANTITE]]*BERNARD4041[[#This Row],[PRIX UNITAIRE]])</f>
        <v>90000</v>
      </c>
      <c r="F16" s="14"/>
      <c r="G16" s="6">
        <f>+SUM(E$9:$E16)-SUM(F$9:$F16)</f>
        <v>840000</v>
      </c>
    </row>
    <row r="17" spans="1:7" ht="28.8" x14ac:dyDescent="0.55000000000000004">
      <c r="A17" s="12">
        <v>45875</v>
      </c>
      <c r="B17" s="13" t="s">
        <v>2960</v>
      </c>
      <c r="C17" s="10">
        <v>1</v>
      </c>
      <c r="D17" s="10">
        <v>60000</v>
      </c>
      <c r="E17" s="7">
        <f>+$I$2+(BERNARD4041[[#This Row],[QUANTITE]]*BERNARD4041[[#This Row],[PRIX UNITAIRE]])</f>
        <v>60000</v>
      </c>
      <c r="F17" s="14"/>
      <c r="G17" s="6">
        <f>+SUM(E$9:$E17)-SUM(F$9:$F17)</f>
        <v>900000</v>
      </c>
    </row>
    <row r="18" spans="1:7" ht="28.8" x14ac:dyDescent="0.55000000000000004">
      <c r="A18" s="12">
        <v>45875</v>
      </c>
      <c r="B18" s="13" t="s">
        <v>2961</v>
      </c>
      <c r="C18" s="10">
        <v>1</v>
      </c>
      <c r="D18" s="10">
        <v>45000</v>
      </c>
      <c r="E18" s="7">
        <f>+$I$2+(BERNARD4041[[#This Row],[QUANTITE]]*BERNARD4041[[#This Row],[PRIX UNITAIRE]])</f>
        <v>45000</v>
      </c>
      <c r="F18" s="14"/>
      <c r="G18" s="6">
        <f>+SUM(E$9:$E18)-SUM(F$9:$F18)</f>
        <v>945000</v>
      </c>
    </row>
    <row r="19" spans="1:7" ht="28.8" x14ac:dyDescent="0.55000000000000004">
      <c r="A19" s="12">
        <v>45889</v>
      </c>
      <c r="B19" s="13" t="s">
        <v>1275</v>
      </c>
      <c r="C19" s="10">
        <v>1</v>
      </c>
      <c r="D19" s="10">
        <v>40000</v>
      </c>
      <c r="E19" s="7">
        <f>+$I$2+(BERNARD4041[[#This Row],[QUANTITE]]*BERNARD4041[[#This Row],[PRIX UNITAIRE]])</f>
        <v>40000</v>
      </c>
      <c r="F19" s="14"/>
      <c r="G19" s="6">
        <f>+SUM(E$9:$E19)-SUM(F$9:$F19)</f>
        <v>985000</v>
      </c>
    </row>
    <row r="20" spans="1:7" ht="28.8" x14ac:dyDescent="0.55000000000000004">
      <c r="A20" s="12">
        <v>45898</v>
      </c>
      <c r="B20" s="13" t="s">
        <v>1275</v>
      </c>
      <c r="C20" s="10">
        <v>1</v>
      </c>
      <c r="D20" s="10">
        <v>40000</v>
      </c>
      <c r="E20" s="7">
        <f>+$I$2+(BERNARD4041[[#This Row],[QUANTITE]]*BERNARD4041[[#This Row],[PRIX UNITAIRE]])</f>
        <v>40000</v>
      </c>
      <c r="F20" s="14"/>
      <c r="G20" s="6">
        <f>+SUM(E$9:$E20)-SUM(F$9:$F20)</f>
        <v>1025000</v>
      </c>
    </row>
    <row r="21" spans="1:7" ht="28.8" x14ac:dyDescent="0.55000000000000004">
      <c r="A21" s="12">
        <v>45972</v>
      </c>
      <c r="B21" s="13" t="s">
        <v>3216</v>
      </c>
      <c r="C21" s="10">
        <v>1</v>
      </c>
      <c r="D21" s="10">
        <v>60000</v>
      </c>
      <c r="E21" s="7">
        <f>+$I$2+(BERNARD4041[[#This Row],[QUANTITE]]*BERNARD4041[[#This Row],[PRIX UNITAIRE]])</f>
        <v>60000</v>
      </c>
      <c r="F21" s="14"/>
      <c r="G21" s="6">
        <f>+SUM(E$9:$E21)-SUM(F$9:$F21)</f>
        <v>1085000</v>
      </c>
    </row>
    <row r="22" spans="1:7" ht="28.8" x14ac:dyDescent="0.55000000000000004">
      <c r="A22" s="12">
        <v>45972</v>
      </c>
      <c r="B22" s="13" t="s">
        <v>3217</v>
      </c>
      <c r="C22" s="10">
        <v>1</v>
      </c>
      <c r="D22" s="10">
        <v>85000</v>
      </c>
      <c r="E22" s="7">
        <f>+$I$2+(BERNARD4041[[#This Row],[QUANTITE]]*BERNARD4041[[#This Row],[PRIX UNITAIRE]])</f>
        <v>85000</v>
      </c>
      <c r="F22" s="14"/>
      <c r="G22" s="6">
        <f>+SUM(E$9:$E22)-SUM(F$9:$F22)</f>
        <v>1170000</v>
      </c>
    </row>
    <row r="23" spans="1:7" ht="28.8" x14ac:dyDescent="0.55000000000000004">
      <c r="A23" s="12">
        <v>45973</v>
      </c>
      <c r="B23" s="13" t="s">
        <v>3224</v>
      </c>
      <c r="C23" s="10">
        <v>1</v>
      </c>
      <c r="D23" s="10">
        <v>60000</v>
      </c>
      <c r="E23" s="7">
        <f>+$I$2+(BERNARD4041[[#This Row],[QUANTITE]]*BERNARD4041[[#This Row],[PRIX UNITAIRE]])</f>
        <v>60000</v>
      </c>
      <c r="F23" s="14"/>
      <c r="G23" s="6">
        <f>+SUM(E$9:$E23)-SUM(F$9:$F23)</f>
        <v>1230000</v>
      </c>
    </row>
    <row r="24" spans="1:7" ht="28.8" x14ac:dyDescent="0.55000000000000004">
      <c r="A24" s="12">
        <v>45973</v>
      </c>
      <c r="B24" s="13" t="s">
        <v>3225</v>
      </c>
      <c r="C24" s="10">
        <v>1</v>
      </c>
      <c r="D24" s="10">
        <v>15000</v>
      </c>
      <c r="E24" s="7">
        <f>+$I$2+(BERNARD4041[[#This Row],[QUANTITE]]*BERNARD4041[[#This Row],[PRIX UNITAIRE]])</f>
        <v>15000</v>
      </c>
      <c r="F24" s="14"/>
      <c r="G24" s="6">
        <f>+SUM(E$9:$E24)-SUM(F$9:$F24)</f>
        <v>1245000</v>
      </c>
    </row>
    <row r="25" spans="1:7" ht="28.8" x14ac:dyDescent="0.55000000000000004">
      <c r="A25" s="12">
        <v>45992</v>
      </c>
      <c r="B25" s="13" t="s">
        <v>3267</v>
      </c>
      <c r="C25" s="10">
        <v>1</v>
      </c>
      <c r="D25" s="10">
        <v>60000</v>
      </c>
      <c r="E25" s="7">
        <f>+$I$2+(BERNARD4041[[#This Row],[QUANTITE]]*BERNARD4041[[#This Row],[PRIX UNITAIRE]])</f>
        <v>60000</v>
      </c>
      <c r="F25" s="14"/>
      <c r="G25" s="6">
        <f>+SUM(E$9:$E25)-SUM(F$9:$F25)</f>
        <v>1305000</v>
      </c>
    </row>
    <row r="26" spans="1:7" ht="28.8" x14ac:dyDescent="0.55000000000000004">
      <c r="A26" s="12">
        <v>45992</v>
      </c>
      <c r="B26" s="13" t="s">
        <v>3268</v>
      </c>
      <c r="C26" s="10">
        <v>1</v>
      </c>
      <c r="D26" s="10">
        <v>40000</v>
      </c>
      <c r="E26" s="7">
        <f>+$I$2+(BERNARD4041[[#This Row],[QUANTITE]]*BERNARD4041[[#This Row],[PRIX UNITAIRE]])</f>
        <v>40000</v>
      </c>
      <c r="F26" s="14"/>
      <c r="G26" s="6">
        <f>+SUM(E$9:$E26)-SUM(F$9:$F26)</f>
        <v>1345000</v>
      </c>
    </row>
    <row r="27" spans="1:7" ht="28.8" x14ac:dyDescent="0.55000000000000004">
      <c r="A27" s="12">
        <v>45993</v>
      </c>
      <c r="B27" s="13" t="s">
        <v>3271</v>
      </c>
      <c r="C27" s="10">
        <v>1</v>
      </c>
      <c r="D27" s="10">
        <v>90000</v>
      </c>
      <c r="E27" s="7">
        <f>+$I$2+(BERNARD4041[[#This Row],[QUANTITE]]*BERNARD4041[[#This Row],[PRIX UNITAIRE]])</f>
        <v>90000</v>
      </c>
      <c r="F27" s="14"/>
      <c r="G27" s="6">
        <f>+SUM(E$9:$E27)-SUM(F$9:$F27)</f>
        <v>1435000</v>
      </c>
    </row>
    <row r="28" spans="1:7" ht="28.8" x14ac:dyDescent="0.55000000000000004">
      <c r="A28" s="12">
        <v>45993</v>
      </c>
      <c r="B28" s="13" t="s">
        <v>3272</v>
      </c>
      <c r="C28" s="10">
        <v>1</v>
      </c>
      <c r="D28" s="10">
        <v>5000</v>
      </c>
      <c r="E28" s="7">
        <f>+$I$2+(BERNARD4041[[#This Row],[QUANTITE]]*BERNARD4041[[#This Row],[PRIX UNITAIRE]])</f>
        <v>5000</v>
      </c>
      <c r="F28" s="14"/>
      <c r="G28" s="6">
        <f>+SUM(E$9:$E28)-SUM(F$9:$F28)</f>
        <v>1440000</v>
      </c>
    </row>
    <row r="29" spans="1:7" ht="28.8" x14ac:dyDescent="0.55000000000000004">
      <c r="A29" s="12">
        <v>45993</v>
      </c>
      <c r="B29" s="13" t="s">
        <v>3273</v>
      </c>
      <c r="C29" s="10">
        <v>1</v>
      </c>
      <c r="D29" s="10">
        <v>10000</v>
      </c>
      <c r="E29" s="7">
        <f>+$I$2+(BERNARD4041[[#This Row],[QUANTITE]]*BERNARD4041[[#This Row],[PRIX UNITAIRE]])</f>
        <v>10000</v>
      </c>
      <c r="F29" s="14"/>
      <c r="G29" s="6">
        <f>+SUM(E$9:$E29)-SUM(F$9:$F29)</f>
        <v>1450000</v>
      </c>
    </row>
    <row r="30" spans="1:7" ht="28.8" x14ac:dyDescent="0.55000000000000004">
      <c r="A30" s="12">
        <v>45993</v>
      </c>
      <c r="B30" s="13" t="s">
        <v>425</v>
      </c>
      <c r="C30" s="10">
        <v>1</v>
      </c>
      <c r="D30" s="10">
        <v>15000</v>
      </c>
      <c r="E30" s="7">
        <f>+$I$2+(BERNARD4041[[#This Row],[QUANTITE]]*BERNARD4041[[#This Row],[PRIX UNITAIRE]])</f>
        <v>15000</v>
      </c>
      <c r="F30" s="14"/>
      <c r="G30" s="6">
        <f>+SUM(E$9:$E30)-SUM(F$9:$F30)</f>
        <v>1465000</v>
      </c>
    </row>
    <row r="31" spans="1:7" ht="28.8" x14ac:dyDescent="0.55000000000000004">
      <c r="A31" s="12">
        <v>46004</v>
      </c>
      <c r="B31" s="13" t="s">
        <v>433</v>
      </c>
      <c r="C31" s="10"/>
      <c r="D31" s="10"/>
      <c r="E31" s="7">
        <f>+$I$2+(BERNARD4041[[#This Row],[QUANTITE]]*BERNARD4041[[#This Row],[PRIX UNITAIRE]])</f>
        <v>0</v>
      </c>
      <c r="F31" s="14">
        <v>1465000</v>
      </c>
      <c r="G31" s="6">
        <f>+SUM(E$9:$E31)-SUM(F$9:$F31)</f>
        <v>0</v>
      </c>
    </row>
    <row r="32" spans="1:7" ht="28.8" x14ac:dyDescent="0.55000000000000004">
      <c r="A32" s="12">
        <v>46027</v>
      </c>
      <c r="B32" s="13" t="s">
        <v>1275</v>
      </c>
      <c r="C32" s="10">
        <v>1</v>
      </c>
      <c r="D32" s="10">
        <v>40000</v>
      </c>
      <c r="E32" s="7">
        <f>+$I$2+(BERNARD4041[[#This Row],[QUANTITE]]*BERNARD4041[[#This Row],[PRIX UNITAIRE]])</f>
        <v>40000</v>
      </c>
      <c r="F32" s="14"/>
      <c r="G32" s="6">
        <f>+SUM(E$9:$E32)-SUM(F$9:$F32)</f>
        <v>40000</v>
      </c>
    </row>
    <row r="33" spans="1:7" ht="28.8" x14ac:dyDescent="0.55000000000000004">
      <c r="A33" s="12">
        <v>46034</v>
      </c>
      <c r="B33" s="13" t="s">
        <v>3363</v>
      </c>
      <c r="C33" s="10"/>
      <c r="D33" s="10"/>
      <c r="E33" s="7">
        <f>+$I$2+(BERNARD4041[[#This Row],[QUANTITE]]*BERNARD4041[[#This Row],[PRIX UNITAIRE]])</f>
        <v>0</v>
      </c>
      <c r="F33" s="14"/>
      <c r="G33" s="6">
        <f>+SUM(E$9:$E33)-SUM(F$9:$F33)</f>
        <v>40000</v>
      </c>
    </row>
    <row r="34" spans="1:7" ht="28.8" x14ac:dyDescent="0.55000000000000004">
      <c r="A34" s="12">
        <v>46046</v>
      </c>
      <c r="B34" s="13" t="s">
        <v>3385</v>
      </c>
      <c r="C34" s="10">
        <v>1</v>
      </c>
      <c r="D34" s="10">
        <v>60000</v>
      </c>
      <c r="E34" s="7">
        <f>+$I$2+(BERNARD4041[[#This Row],[QUANTITE]]*BERNARD4041[[#This Row],[PRIX UNITAIRE]])</f>
        <v>60000</v>
      </c>
      <c r="F34" s="14"/>
      <c r="G34" s="6">
        <f>+SUM(E$9:$E34)-SUM(F$9:$F34)</f>
        <v>100000</v>
      </c>
    </row>
    <row r="35" spans="1:7" ht="28.8" x14ac:dyDescent="0.55000000000000004">
      <c r="A35" s="12">
        <v>46046</v>
      </c>
      <c r="B35" s="13" t="s">
        <v>1275</v>
      </c>
      <c r="C35" s="10">
        <v>1</v>
      </c>
      <c r="D35" s="10">
        <v>40000</v>
      </c>
      <c r="E35" s="7">
        <f>+$I$2+(BERNARD4041[[#This Row],[QUANTITE]]*BERNARD4041[[#This Row],[PRIX UNITAIRE]])</f>
        <v>40000</v>
      </c>
      <c r="F35" s="14"/>
      <c r="G35" s="6">
        <f>+SUM(E$9:$E35)-SUM(F$9:$F35)</f>
        <v>140000</v>
      </c>
    </row>
    <row r="36" spans="1:7" ht="28.8" x14ac:dyDescent="0.55000000000000004">
      <c r="A36" s="12">
        <v>46062</v>
      </c>
      <c r="B36" s="13" t="s">
        <v>3420</v>
      </c>
      <c r="C36" s="10">
        <v>2</v>
      </c>
      <c r="D36" s="10">
        <v>25000</v>
      </c>
      <c r="E36" s="7">
        <f>+$I$2+(BERNARD4041[[#This Row],[QUANTITE]]*BERNARD4041[[#This Row],[PRIX UNITAIRE]])</f>
        <v>50000</v>
      </c>
      <c r="F36" s="14"/>
      <c r="G36" s="6">
        <f>+SUM(E$9:$E36)-SUM(F$9:$F36)</f>
        <v>190000</v>
      </c>
    </row>
    <row r="37" spans="1:7" ht="28.8" x14ac:dyDescent="0.55000000000000004">
      <c r="A37" s="12">
        <v>46062</v>
      </c>
      <c r="B37" s="13" t="s">
        <v>3421</v>
      </c>
      <c r="C37" s="10">
        <v>1</v>
      </c>
      <c r="D37" s="10">
        <v>25000</v>
      </c>
      <c r="E37" s="7">
        <f>+$I$2+(BERNARD4041[[#This Row],[QUANTITE]]*BERNARD4041[[#This Row],[PRIX UNITAIRE]])</f>
        <v>25000</v>
      </c>
      <c r="F37" s="14"/>
      <c r="G37" s="6">
        <f>+SUM(E$9:$E37)-SUM(F$9:$F37)</f>
        <v>215000</v>
      </c>
    </row>
    <row r="38" spans="1:7" ht="28.8" x14ac:dyDescent="0.55000000000000004">
      <c r="A38" s="12">
        <v>46072</v>
      </c>
      <c r="B38" s="13" t="s">
        <v>3442</v>
      </c>
      <c r="C38" s="10">
        <v>1</v>
      </c>
      <c r="D38" s="10">
        <v>30000</v>
      </c>
      <c r="E38" s="7">
        <f>+$I$2+(BERNARD4041[[#This Row],[QUANTITE]]*BERNARD4041[[#This Row],[PRIX UNITAIRE]])</f>
        <v>30000</v>
      </c>
      <c r="F38" s="14"/>
      <c r="G38" s="6">
        <f>+SUM(E$9:$E38)-SUM(F$9:$F38)</f>
        <v>245000</v>
      </c>
    </row>
    <row r="39" spans="1:7" ht="28.8" x14ac:dyDescent="0.55000000000000004">
      <c r="A39" s="12">
        <v>45707</v>
      </c>
      <c r="B39" s="13" t="s">
        <v>3443</v>
      </c>
      <c r="C39" s="10">
        <v>1</v>
      </c>
      <c r="D39" s="10">
        <v>10000</v>
      </c>
      <c r="E39" s="7">
        <f>+$I$2+(BERNARD4041[[#This Row],[QUANTITE]]*BERNARD4041[[#This Row],[PRIX UNITAIRE]])</f>
        <v>10000</v>
      </c>
      <c r="F39" s="14"/>
      <c r="G39" s="6">
        <f>+SUM(E$9:$E39)-SUM(F$9:$F39)</f>
        <v>255000</v>
      </c>
    </row>
    <row r="40" spans="1:7" ht="28.8" x14ac:dyDescent="0.55000000000000004">
      <c r="A40" s="12">
        <v>46072</v>
      </c>
      <c r="B40" s="13" t="s">
        <v>3444</v>
      </c>
      <c r="C40" s="10">
        <v>1</v>
      </c>
      <c r="D40" s="10">
        <v>10000</v>
      </c>
      <c r="E40" s="7">
        <f>+$I$2+(BERNARD4041[[#This Row],[QUANTITE]]*BERNARD4041[[#This Row],[PRIX UNITAIRE]])</f>
        <v>10000</v>
      </c>
      <c r="F40" s="14"/>
      <c r="G40" s="6">
        <f>+SUM(E$9:$E40)-SUM(F$9:$F40)</f>
        <v>265000</v>
      </c>
    </row>
    <row r="41" spans="1:7" ht="28.8" x14ac:dyDescent="0.55000000000000004">
      <c r="A41" s="12">
        <v>46072</v>
      </c>
      <c r="B41" s="13" t="s">
        <v>3445</v>
      </c>
      <c r="C41" s="10">
        <v>1</v>
      </c>
      <c r="D41" s="10">
        <v>10000</v>
      </c>
      <c r="E41" s="7">
        <f>+$I$2+(BERNARD4041[[#This Row],[QUANTITE]]*BERNARD4041[[#This Row],[PRIX UNITAIRE]])</f>
        <v>10000</v>
      </c>
      <c r="F41" s="14"/>
      <c r="G41" s="6">
        <f>+SUM(E$9:$E41)-SUM(F$9:$F41)</f>
        <v>275000</v>
      </c>
    </row>
    <row r="42" spans="1:7" ht="28.8" x14ac:dyDescent="0.55000000000000004">
      <c r="A42" s="12">
        <v>46073</v>
      </c>
      <c r="B42" s="13" t="s">
        <v>3455</v>
      </c>
      <c r="C42" s="10">
        <v>1</v>
      </c>
      <c r="D42" s="10">
        <v>5000</v>
      </c>
      <c r="E42" s="7">
        <f>+$I$2+(BERNARD4041[[#This Row],[QUANTITE]]*BERNARD4041[[#This Row],[PRIX UNITAIRE]])</f>
        <v>5000</v>
      </c>
      <c r="F42" s="14"/>
      <c r="G42" s="6">
        <f>+SUM(E$9:$E42)-SUM(F$9:$F42)</f>
        <v>280000</v>
      </c>
    </row>
    <row r="43" spans="1:7" ht="28.8" x14ac:dyDescent="0.55000000000000004">
      <c r="A43" s="12">
        <v>46090</v>
      </c>
      <c r="B43" s="13" t="s">
        <v>3505</v>
      </c>
      <c r="C43" s="10">
        <v>1</v>
      </c>
      <c r="D43" s="10">
        <v>110000</v>
      </c>
      <c r="E43" s="7">
        <f>+$I$2+(BERNARD4041[[#This Row],[QUANTITE]]*BERNARD4041[[#This Row],[PRIX UNITAIRE]])</f>
        <v>110000</v>
      </c>
      <c r="F43" s="14"/>
      <c r="G43" s="6">
        <f>+SUM(E$9:$E43)-SUM(F$9:$F43)</f>
        <v>390000</v>
      </c>
    </row>
    <row r="44" spans="1:7" ht="28.8" x14ac:dyDescent="0.55000000000000004">
      <c r="A44" s="12">
        <v>46094</v>
      </c>
      <c r="B44" s="13" t="s">
        <v>1275</v>
      </c>
      <c r="C44" s="10">
        <v>1</v>
      </c>
      <c r="D44" s="10">
        <v>40000</v>
      </c>
      <c r="E44" s="7">
        <f>+$I$2+(BERNARD4041[[#This Row],[QUANTITE]]*BERNARD4041[[#This Row],[PRIX UNITAIRE]])</f>
        <v>40000</v>
      </c>
      <c r="F44" s="14"/>
      <c r="G44" s="6">
        <f>+SUM(E$9:$E44)-SUM(F$9:$F44)</f>
        <v>430000</v>
      </c>
    </row>
    <row r="45" spans="1:7" ht="28.8" x14ac:dyDescent="0.55000000000000004">
      <c r="A45" s="12">
        <v>46099</v>
      </c>
      <c r="B45" s="13" t="s">
        <v>3540</v>
      </c>
      <c r="C45" s="10">
        <v>1</v>
      </c>
      <c r="D45" s="10">
        <v>65000</v>
      </c>
      <c r="E45" s="7">
        <f>+$I$2+(BERNARD4041[[#This Row],[QUANTITE]]*BERNARD4041[[#This Row],[PRIX UNITAIRE]])</f>
        <v>65000</v>
      </c>
      <c r="F45" s="14"/>
      <c r="G45" s="6">
        <f>+SUM(E$9:$E45)-SUM(F$9:$F45)</f>
        <v>495000</v>
      </c>
    </row>
    <row r="46" spans="1:7" ht="28.8" x14ac:dyDescent="0.55000000000000004">
      <c r="A46" s="12">
        <v>46100</v>
      </c>
      <c r="B46" s="13" t="s">
        <v>3559</v>
      </c>
      <c r="C46" s="10">
        <v>1</v>
      </c>
      <c r="D46" s="10">
        <v>60000</v>
      </c>
      <c r="E46" s="7">
        <f>+$I$2+(BERNARD4041[[#This Row],[QUANTITE]]*BERNARD4041[[#This Row],[PRIX UNITAIRE]])</f>
        <v>60000</v>
      </c>
      <c r="F46" s="14"/>
      <c r="G46" s="6">
        <f>+SUM(E$9:$E46)-SUM(F$9:$F46)</f>
        <v>555000</v>
      </c>
    </row>
    <row r="47" spans="1:7" ht="28.8" x14ac:dyDescent="0.55000000000000004">
      <c r="A47" s="12"/>
      <c r="B47" s="13"/>
      <c r="C47" s="10"/>
      <c r="D47" s="10"/>
      <c r="E47" s="7">
        <f>+$I$2+(BERNARD4041[[#This Row],[QUANTITE]]*BERNARD4041[[#This Row],[PRIX UNITAIRE]])</f>
        <v>0</v>
      </c>
      <c r="F47" s="14"/>
      <c r="G47" s="6">
        <f>+SUM(E$9:$E47)-SUM(F$9:$F47)</f>
        <v>555000</v>
      </c>
    </row>
    <row r="48" spans="1:7" ht="28.8" x14ac:dyDescent="0.55000000000000004">
      <c r="A48" s="12"/>
      <c r="B48" s="13"/>
      <c r="C48" s="10"/>
      <c r="D48" s="10"/>
      <c r="E48" s="7">
        <f>+$I$2+(BERNARD4041[[#This Row],[QUANTITE]]*BERNARD4041[[#This Row],[PRIX UNITAIRE]])</f>
        <v>0</v>
      </c>
      <c r="F48" s="14"/>
      <c r="G48" s="6">
        <f>+SUM(E$9:$E48)-SUM(F$9:$F48)</f>
        <v>555000</v>
      </c>
    </row>
    <row r="49" spans="1:7" ht="28.8" x14ac:dyDescent="0.55000000000000004">
      <c r="A49" s="12"/>
      <c r="B49" s="13"/>
      <c r="C49" s="10"/>
      <c r="D49" s="10"/>
      <c r="E49" s="7">
        <f>+$I$2+(BERNARD4041[[#This Row],[QUANTITE]]*BERNARD4041[[#This Row],[PRIX UNITAIRE]])</f>
        <v>0</v>
      </c>
      <c r="F49" s="14"/>
      <c r="G49" s="6">
        <f>+SUM(E$9:$E49)-SUM(F$9:$F49)</f>
        <v>555000</v>
      </c>
    </row>
    <row r="50" spans="1:7" ht="28.8" x14ac:dyDescent="0.55000000000000004">
      <c r="A50" s="12"/>
      <c r="B50" s="13"/>
      <c r="C50" s="10"/>
      <c r="D50" s="10"/>
      <c r="E50" s="7">
        <f>+$I$2+(BERNARD4041[[#This Row],[QUANTITE]]*BERNARD4041[[#This Row],[PRIX UNITAIRE]])</f>
        <v>0</v>
      </c>
      <c r="F50" s="14"/>
      <c r="G50" s="6">
        <f>+SUM(E$9:$E50)-SUM(F$9:$F50)</f>
        <v>555000</v>
      </c>
    </row>
    <row r="51" spans="1:7" ht="28.8" x14ac:dyDescent="0.55000000000000004">
      <c r="A51" s="12"/>
      <c r="B51" s="13"/>
      <c r="C51" s="10"/>
      <c r="D51" s="10"/>
      <c r="E51" s="7">
        <f>+$I$2+(BERNARD4041[[#This Row],[QUANTITE]]*BERNARD4041[[#This Row],[PRIX UNITAIRE]])</f>
        <v>0</v>
      </c>
      <c r="F51" s="14"/>
      <c r="G51" s="6">
        <f>+SUM(E$9:$E51)-SUM(F$9:$F51)</f>
        <v>555000</v>
      </c>
    </row>
    <row r="52" spans="1:7" ht="28.8" x14ac:dyDescent="0.55000000000000004">
      <c r="A52" s="12"/>
      <c r="B52" s="13"/>
      <c r="C52" s="10"/>
      <c r="D52" s="10"/>
      <c r="E52" s="7">
        <f>+$I$2+(BERNARD4041[[#This Row],[QUANTITE]]*BERNARD4041[[#This Row],[PRIX UNITAIRE]])</f>
        <v>0</v>
      </c>
      <c r="F52" s="14"/>
      <c r="G52" s="6">
        <f>+SUM(E$9:$E52)-SUM(F$9:$F52)</f>
        <v>555000</v>
      </c>
    </row>
    <row r="53" spans="1:7" ht="28.8" x14ac:dyDescent="0.55000000000000004">
      <c r="A53" s="12"/>
      <c r="B53" s="13"/>
      <c r="C53" s="10"/>
      <c r="D53" s="10"/>
      <c r="E53" s="7">
        <f>+$I$2+(BERNARD4041[[#This Row],[QUANTITE]]*BERNARD4041[[#This Row],[PRIX UNITAIRE]])</f>
        <v>0</v>
      </c>
      <c r="F53" s="14"/>
      <c r="G53" s="6">
        <f>+SUM(E$9:$E53)-SUM(F$9:$F53)</f>
        <v>555000</v>
      </c>
    </row>
    <row r="54" spans="1:7" ht="28.8" x14ac:dyDescent="0.55000000000000004">
      <c r="A54" s="12"/>
      <c r="B54" s="13"/>
      <c r="C54" s="10"/>
      <c r="D54" s="10"/>
      <c r="E54" s="7">
        <f>+$I$2+(BERNARD4041[[#This Row],[QUANTITE]]*BERNARD4041[[#This Row],[PRIX UNITAIRE]])</f>
        <v>0</v>
      </c>
      <c r="F54" s="14"/>
      <c r="G54" s="6">
        <f>+SUM(E$9:$E54)-SUM(F$9:$F54)</f>
        <v>555000</v>
      </c>
    </row>
    <row r="55" spans="1:7" ht="28.8" x14ac:dyDescent="0.55000000000000004">
      <c r="A55" s="12"/>
      <c r="B55" s="13"/>
      <c r="C55" s="10"/>
      <c r="D55" s="10"/>
      <c r="E55" s="7">
        <f>+$I$2+(BERNARD4041[[#This Row],[QUANTITE]]*BERNARD4041[[#This Row],[PRIX UNITAIRE]])</f>
        <v>0</v>
      </c>
      <c r="F55" s="14"/>
      <c r="G55" s="6">
        <f>+SUM(E$9:$E55)-SUM(F$9:$F55)</f>
        <v>555000</v>
      </c>
    </row>
    <row r="56" spans="1:7" ht="28.8" x14ac:dyDescent="0.55000000000000004">
      <c r="A56" s="12"/>
      <c r="B56" s="13"/>
      <c r="C56" s="10"/>
      <c r="D56" s="10"/>
      <c r="E56" s="7">
        <f>+$I$2+(BERNARD4041[[#This Row],[QUANTITE]]*BERNARD4041[[#This Row],[PRIX UNITAIRE]])</f>
        <v>0</v>
      </c>
      <c r="F56" s="14"/>
      <c r="G56" s="6">
        <f>+SUM(E$9:$E56)-SUM(F$9:$F56)</f>
        <v>555000</v>
      </c>
    </row>
    <row r="57" spans="1:7" ht="28.8" x14ac:dyDescent="0.55000000000000004">
      <c r="A57" s="12"/>
      <c r="B57" s="13"/>
      <c r="C57" s="10"/>
      <c r="D57" s="10"/>
      <c r="E57" s="7">
        <f>+$I$2+(BERNARD4041[[#This Row],[QUANTITE]]*BERNARD4041[[#This Row],[PRIX UNITAIRE]])</f>
        <v>0</v>
      </c>
      <c r="F57" s="14"/>
      <c r="G57" s="6">
        <f>+SUM(E$9:$E57)-SUM(F$9:$F57)</f>
        <v>555000</v>
      </c>
    </row>
    <row r="58" spans="1:7" ht="28.8" x14ac:dyDescent="0.55000000000000004">
      <c r="A58" s="12"/>
      <c r="B58" s="13"/>
      <c r="C58" s="10"/>
      <c r="D58" s="10"/>
      <c r="E58" s="7">
        <f>+$I$2+(BERNARD4041[[#This Row],[QUANTITE]]*BERNARD4041[[#This Row],[PRIX UNITAIRE]])</f>
        <v>0</v>
      </c>
      <c r="F58" s="14"/>
      <c r="G58" s="6">
        <f>+SUM(E$9:$E58)-SUM(F$9:$F58)</f>
        <v>555000</v>
      </c>
    </row>
    <row r="59" spans="1:7" ht="28.8" x14ac:dyDescent="0.55000000000000004">
      <c r="A59" s="12"/>
      <c r="B59" s="13"/>
      <c r="C59" s="10"/>
      <c r="D59" s="10"/>
      <c r="E59" s="7">
        <f>+$I$2+(BERNARD4041[[#This Row],[QUANTITE]]*BERNARD4041[[#This Row],[PRIX UNITAIRE]])</f>
        <v>0</v>
      </c>
      <c r="F59" s="14"/>
      <c r="G59" s="6">
        <f>+SUM(E$9:$E59)-SUM(F$9:$F59)</f>
        <v>555000</v>
      </c>
    </row>
    <row r="60" spans="1:7" ht="28.8" x14ac:dyDescent="0.55000000000000004">
      <c r="A60" s="12"/>
      <c r="B60" s="13"/>
      <c r="C60" s="10"/>
      <c r="D60" s="10"/>
      <c r="E60" s="7">
        <f>+$I$2+(BERNARD4041[[#This Row],[QUANTITE]]*BERNARD4041[[#This Row],[PRIX UNITAIRE]])</f>
        <v>0</v>
      </c>
      <c r="F60" s="14"/>
      <c r="G60" s="6">
        <f>+SUM(E$9:$E60)-SUM(F$9:$F60)</f>
        <v>555000</v>
      </c>
    </row>
    <row r="61" spans="1:7" ht="28.8" x14ac:dyDescent="0.55000000000000004">
      <c r="A61" s="12"/>
      <c r="B61" s="13"/>
      <c r="C61" s="10"/>
      <c r="D61" s="10"/>
      <c r="E61" s="7">
        <f>+$I$2+(BERNARD4041[[#This Row],[QUANTITE]]*BERNARD4041[[#This Row],[PRIX UNITAIRE]])</f>
        <v>0</v>
      </c>
      <c r="F61" s="14"/>
      <c r="G61" s="6">
        <f>+SUM(E$9:$E61)-SUM(F$9:$F61)</f>
        <v>555000</v>
      </c>
    </row>
    <row r="62" spans="1:7" ht="28.8" x14ac:dyDescent="0.55000000000000004">
      <c r="A62" s="12"/>
      <c r="B62" s="13"/>
      <c r="C62" s="10"/>
      <c r="D62" s="10"/>
      <c r="E62" s="7">
        <f>+$I$2+(BERNARD4041[[#This Row],[QUANTITE]]*BERNARD4041[[#This Row],[PRIX UNITAIRE]])</f>
        <v>0</v>
      </c>
      <c r="F62" s="14"/>
      <c r="G62" s="6">
        <f>+SUM(E$9:$E62)-SUM(F$9:$F62)</f>
        <v>555000</v>
      </c>
    </row>
    <row r="63" spans="1:7" ht="28.8" x14ac:dyDescent="0.55000000000000004">
      <c r="A63" s="12"/>
      <c r="B63" s="13"/>
      <c r="C63" s="10"/>
      <c r="D63" s="10"/>
      <c r="E63" s="7">
        <f>+$I$2+(BERNARD4041[[#This Row],[QUANTITE]]*BERNARD4041[[#This Row],[PRIX UNITAIRE]])</f>
        <v>0</v>
      </c>
      <c r="F63" s="14"/>
      <c r="G63" s="6">
        <f>+SUM(E$9:$E63)-SUM(F$9:$F63)</f>
        <v>555000</v>
      </c>
    </row>
    <row r="64" spans="1:7" ht="28.8" x14ac:dyDescent="0.55000000000000004">
      <c r="A64" s="12"/>
      <c r="B64" s="13"/>
      <c r="C64" s="10"/>
      <c r="D64" s="10"/>
      <c r="E64" s="7">
        <f>+$I$2+(BERNARD4041[[#This Row],[QUANTITE]]*BERNARD4041[[#This Row],[PRIX UNITAIRE]])</f>
        <v>0</v>
      </c>
      <c r="F64" s="14"/>
      <c r="G64" s="6">
        <f>+SUM(E$9:$E64)-SUM(F$9:$F64)</f>
        <v>555000</v>
      </c>
    </row>
    <row r="65" spans="1:7" ht="28.8" x14ac:dyDescent="0.55000000000000004">
      <c r="A65" s="12"/>
      <c r="B65" s="13"/>
      <c r="C65" s="10"/>
      <c r="D65" s="10"/>
      <c r="E65" s="7">
        <f>+$I$2+(BERNARD4041[[#This Row],[QUANTITE]]*BERNARD4041[[#This Row],[PRIX UNITAIRE]])</f>
        <v>0</v>
      </c>
      <c r="F65" s="14"/>
      <c r="G65" s="6">
        <f>+SUM(E$9:$E65)-SUM(F$9:$F65)</f>
        <v>555000</v>
      </c>
    </row>
    <row r="66" spans="1:7" ht="28.8" x14ac:dyDescent="0.55000000000000004">
      <c r="A66" s="12"/>
      <c r="B66" s="13"/>
      <c r="C66" s="10"/>
      <c r="D66" s="10"/>
      <c r="E66" s="7">
        <f>+$I$2+(BERNARD4041[[#This Row],[QUANTITE]]*BERNARD4041[[#This Row],[PRIX UNITAIRE]])</f>
        <v>0</v>
      </c>
      <c r="F66" s="14"/>
      <c r="G66" s="6">
        <f>+SUM(E$9:$E66)-SUM(F$9:$F66)</f>
        <v>555000</v>
      </c>
    </row>
    <row r="67" spans="1:7" ht="28.8" x14ac:dyDescent="0.55000000000000004">
      <c r="A67" s="12"/>
      <c r="B67" s="13"/>
      <c r="C67" s="10"/>
      <c r="D67" s="10"/>
      <c r="E67" s="7">
        <f>+$I$2+(BERNARD4041[[#This Row],[QUANTITE]]*BERNARD4041[[#This Row],[PRIX UNITAIRE]])</f>
        <v>0</v>
      </c>
      <c r="F67" s="14"/>
      <c r="G67" s="6">
        <f>+SUM(E$9:$E67)-SUM(F$9:$F67)</f>
        <v>555000</v>
      </c>
    </row>
    <row r="68" spans="1:7" ht="28.8" x14ac:dyDescent="0.55000000000000004">
      <c r="A68" s="12"/>
      <c r="B68" s="13"/>
      <c r="C68" s="10"/>
      <c r="D68" s="10"/>
      <c r="E68" s="7">
        <f>+$I$2+(BERNARD4041[[#This Row],[QUANTITE]]*BERNARD4041[[#This Row],[PRIX UNITAIRE]])</f>
        <v>0</v>
      </c>
      <c r="F68" s="14"/>
      <c r="G68" s="6">
        <f>+SUM(E$9:$E68)-SUM(F$9:$F68)</f>
        <v>555000</v>
      </c>
    </row>
    <row r="69" spans="1:7" ht="28.8" x14ac:dyDescent="0.55000000000000004">
      <c r="A69" s="12"/>
      <c r="B69" s="13"/>
      <c r="C69" s="10"/>
      <c r="D69" s="10"/>
      <c r="E69" s="7">
        <f>+$I$2+(BERNARD4041[[#This Row],[QUANTITE]]*BERNARD4041[[#This Row],[PRIX UNITAIRE]])</f>
        <v>0</v>
      </c>
      <c r="F69" s="14"/>
      <c r="G69" s="6">
        <f>+SUM(E$9:$E69)-SUM(F$9:$F69)</f>
        <v>555000</v>
      </c>
    </row>
    <row r="70" spans="1:7" ht="28.8" x14ac:dyDescent="0.55000000000000004">
      <c r="A70" s="12"/>
      <c r="B70" s="13"/>
      <c r="C70" s="10"/>
      <c r="D70" s="10"/>
      <c r="E70" s="7">
        <f>+$I$2+(BERNARD4041[[#This Row],[QUANTITE]]*BERNARD4041[[#This Row],[PRIX UNITAIRE]])</f>
        <v>0</v>
      </c>
      <c r="F70" s="14"/>
      <c r="G70" s="6">
        <f>+SUM(E$9:$E70)-SUM(F$9:$F70)</f>
        <v>555000</v>
      </c>
    </row>
    <row r="71" spans="1:7" ht="28.8" x14ac:dyDescent="0.55000000000000004">
      <c r="A71" s="12"/>
      <c r="B71" s="13"/>
      <c r="C71" s="10"/>
      <c r="D71" s="10"/>
      <c r="E71" s="7">
        <f>+$I$2+(BERNARD4041[[#This Row],[QUANTITE]]*BERNARD4041[[#This Row],[PRIX UNITAIRE]])</f>
        <v>0</v>
      </c>
      <c r="F71" s="14"/>
      <c r="G71" s="6">
        <f>+SUM(E$9:$E71)-SUM(F$9:$F71)</f>
        <v>555000</v>
      </c>
    </row>
    <row r="72" spans="1:7" ht="28.8" x14ac:dyDescent="0.55000000000000004">
      <c r="A72" s="12"/>
      <c r="B72" s="13"/>
      <c r="C72" s="10"/>
      <c r="D72" s="10"/>
      <c r="E72" s="7">
        <f>+$I$2+(BERNARD4041[[#This Row],[QUANTITE]]*BERNARD4041[[#This Row],[PRIX UNITAIRE]])</f>
        <v>0</v>
      </c>
      <c r="F72" s="14"/>
      <c r="G72" s="6">
        <f>+SUM(E$9:$E72)-SUM(F$9:$F72)</f>
        <v>555000</v>
      </c>
    </row>
    <row r="73" spans="1:7" ht="28.8" x14ac:dyDescent="0.55000000000000004">
      <c r="A73" s="12"/>
      <c r="B73" s="13"/>
      <c r="C73" s="10"/>
      <c r="D73" s="10"/>
      <c r="E73" s="7">
        <f>+$I$2+(BERNARD4041[[#This Row],[QUANTITE]]*BERNARD4041[[#This Row],[PRIX UNITAIRE]])</f>
        <v>0</v>
      </c>
      <c r="F73" s="14"/>
      <c r="G73" s="6">
        <f>+SUM(E$9:$E73)-SUM(F$9:$F73)</f>
        <v>555000</v>
      </c>
    </row>
    <row r="74" spans="1:7" ht="28.8" x14ac:dyDescent="0.55000000000000004">
      <c r="A74" s="12"/>
      <c r="B74" s="13"/>
      <c r="C74" s="10"/>
      <c r="D74" s="10"/>
      <c r="E74" s="7">
        <f>+$I$2+(BERNARD4041[[#This Row],[QUANTITE]]*BERNARD4041[[#This Row],[PRIX UNITAIRE]])</f>
        <v>0</v>
      </c>
      <c r="F74" s="14"/>
      <c r="G74" s="6">
        <f>+SUM(E$9:$E74)-SUM(F$9:$F74)</f>
        <v>555000</v>
      </c>
    </row>
    <row r="75" spans="1:7" ht="28.8" x14ac:dyDescent="0.55000000000000004">
      <c r="A75" s="12"/>
      <c r="B75" s="13"/>
      <c r="C75" s="10"/>
      <c r="D75" s="10"/>
      <c r="E75" s="7">
        <f>+$I$2+(BERNARD4041[[#This Row],[QUANTITE]]*BERNARD4041[[#This Row],[PRIX UNITAIRE]])</f>
        <v>0</v>
      </c>
      <c r="F75" s="14"/>
      <c r="G75" s="6">
        <f>+SUM(E$9:$E75)-SUM(F$9:$F75)</f>
        <v>555000</v>
      </c>
    </row>
    <row r="76" spans="1:7" ht="28.8" x14ac:dyDescent="0.55000000000000004">
      <c r="A76" s="12"/>
      <c r="B76" s="13"/>
      <c r="C76" s="10"/>
      <c r="D76" s="10"/>
      <c r="E76" s="7">
        <f>+$I$2+(BERNARD4041[[#This Row],[QUANTITE]]*BERNARD4041[[#This Row],[PRIX UNITAIRE]])</f>
        <v>0</v>
      </c>
      <c r="F76" s="14"/>
      <c r="G76" s="6">
        <f>+SUM(E$9:$E76)-SUM(F$9:$F76)</f>
        <v>555000</v>
      </c>
    </row>
    <row r="77" spans="1:7" ht="28.8" x14ac:dyDescent="0.55000000000000004">
      <c r="A77" s="12"/>
      <c r="B77" s="13"/>
      <c r="C77" s="10"/>
      <c r="D77" s="10"/>
      <c r="E77" s="7">
        <f>+$I$2+(BERNARD4041[[#This Row],[QUANTITE]]*BERNARD4041[[#This Row],[PRIX UNITAIRE]])</f>
        <v>0</v>
      </c>
      <c r="F77" s="14"/>
      <c r="G77" s="6">
        <f>+SUM(E$9:$E77)-SUM(F$9:$F77)</f>
        <v>555000</v>
      </c>
    </row>
    <row r="78" spans="1:7" ht="28.8" x14ac:dyDescent="0.55000000000000004">
      <c r="A78" s="12"/>
      <c r="B78" s="13"/>
      <c r="C78" s="10"/>
      <c r="D78" s="10"/>
      <c r="E78" s="7">
        <f>+$I$2+(BERNARD4041[[#This Row],[QUANTITE]]*BERNARD4041[[#This Row],[PRIX UNITAIRE]])</f>
        <v>0</v>
      </c>
      <c r="F78" s="14"/>
      <c r="G78" s="6">
        <f>+SUM(E$9:$E78)-SUM(F$9:$F78)</f>
        <v>555000</v>
      </c>
    </row>
    <row r="79" spans="1:7" ht="28.8" x14ac:dyDescent="0.55000000000000004">
      <c r="A79" s="12"/>
      <c r="B79" s="13"/>
      <c r="C79" s="10"/>
      <c r="D79" s="10"/>
      <c r="E79" s="7">
        <f>+$I$2+(BERNARD4041[[#This Row],[QUANTITE]]*BERNARD4041[[#This Row],[PRIX UNITAIRE]])</f>
        <v>0</v>
      </c>
      <c r="F79" s="14"/>
      <c r="G79" s="6">
        <f>+SUM(E$9:$E79)-SUM(F$9:$F79)</f>
        <v>555000</v>
      </c>
    </row>
    <row r="80" spans="1:7" ht="28.8" x14ac:dyDescent="0.55000000000000004">
      <c r="A80" s="12"/>
      <c r="B80" s="13"/>
      <c r="C80" s="10"/>
      <c r="D80" s="10"/>
      <c r="E80" s="7">
        <f>+$I$2+(BERNARD4041[[#This Row],[QUANTITE]]*BERNARD4041[[#This Row],[PRIX UNITAIRE]])</f>
        <v>0</v>
      </c>
      <c r="F80" s="14"/>
      <c r="G80" s="6">
        <f>+SUM(E$9:$E80)-SUM(F$9:$F80)</f>
        <v>555000</v>
      </c>
    </row>
    <row r="81" spans="1:7" ht="28.8" x14ac:dyDescent="0.55000000000000004">
      <c r="A81" s="12"/>
      <c r="B81" s="13"/>
      <c r="C81" s="10"/>
      <c r="D81" s="10"/>
      <c r="E81" s="7">
        <f>+$I$2+(BERNARD4041[[#This Row],[QUANTITE]]*BERNARD4041[[#This Row],[PRIX UNITAIRE]])</f>
        <v>0</v>
      </c>
      <c r="F81" s="14"/>
      <c r="G81" s="6">
        <f>+SUM(E$9:$E81)-SUM(F$9:$F81)</f>
        <v>555000</v>
      </c>
    </row>
    <row r="82" spans="1:7" ht="28.8" x14ac:dyDescent="0.55000000000000004">
      <c r="A82" s="12"/>
      <c r="B82" s="13"/>
      <c r="C82" s="10"/>
      <c r="D82" s="10"/>
      <c r="E82" s="7">
        <f>+$I$2+(BERNARD4041[[#This Row],[QUANTITE]]*BERNARD4041[[#This Row],[PRIX UNITAIRE]])</f>
        <v>0</v>
      </c>
      <c r="F82" s="14"/>
      <c r="G82" s="6">
        <f>+SUM(E$9:$E82)-SUM(F$9:$F82)</f>
        <v>555000</v>
      </c>
    </row>
  </sheetData>
  <sheetProtection selectLockedCells="1" autoFilter="0"/>
  <mergeCells count="1">
    <mergeCell ref="B6:C6"/>
  </mergeCells>
  <conditionalFormatting sqref="G4">
    <cfRule type="cellIs" dxfId="228" priority="2" operator="lessThan">
      <formula>0</formula>
    </cfRule>
    <cfRule type="cellIs" dxfId="227" priority="3" operator="greaterThan">
      <formula>0</formula>
    </cfRule>
  </conditionalFormatting>
  <conditionalFormatting sqref="B9:B82">
    <cfRule type="expression" dxfId="226" priority="5">
      <formula>$F9</formula>
    </cfRule>
  </conditionalFormatting>
  <dataValidations count="1">
    <dataValidation type="date" operator="greaterThan" allowBlank="1" showInputMessage="1" showErrorMessage="1" error="VEILLEZ ENTRER UNE DATE VALIDE" sqref="A9:A8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/>
  <dimension ref="A1:I82"/>
  <sheetViews>
    <sheetView showGridLines="0" zoomScale="60" zoomScaleNormal="60" workbookViewId="0">
      <pane ySplit="8" topLeftCell="A9" activePane="bottomLeft" state="frozen"/>
      <selection activeCell="L10" sqref="L10"/>
      <selection pane="bottomLeft" activeCell="C13" sqref="C13"/>
    </sheetView>
  </sheetViews>
  <sheetFormatPr baseColWidth="10" defaultColWidth="11.5546875" defaultRowHeight="14.4" x14ac:dyDescent="0.3"/>
  <cols>
    <col min="1" max="1" width="19.21875" style="1" bestFit="1" customWidth="1"/>
    <col min="2" max="2" width="63.5546875" style="1" bestFit="1" customWidth="1"/>
    <col min="3" max="3" width="39.77734375" style="1" customWidth="1"/>
    <col min="4" max="4" width="43.5546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8"/>
      <c r="D1" s="128"/>
      <c r="E1" s="128"/>
      <c r="F1" s="128"/>
      <c r="G1" s="128"/>
    </row>
    <row r="2" spans="1:9" ht="36" customHeight="1" thickBot="1" x14ac:dyDescent="0.35">
      <c r="A2" s="127"/>
      <c r="B2" s="128"/>
      <c r="C2" s="128"/>
      <c r="D2" s="128"/>
      <c r="E2" s="128"/>
      <c r="F2" s="128"/>
      <c r="G2" s="128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+SUM(BERNARD404142[TOTAL MONTANT])</f>
        <v>765000</v>
      </c>
      <c r="F4" s="41">
        <f>+SUM(BERNARD404142[VERSEMENT])</f>
        <v>0</v>
      </c>
      <c r="G4" s="130">
        <f>+E4-F4</f>
        <v>765000</v>
      </c>
    </row>
    <row r="5" spans="1:9" ht="29.4" thickBot="1" x14ac:dyDescent="0.35">
      <c r="A5" s="131"/>
      <c r="B5" s="3" t="s">
        <v>7</v>
      </c>
      <c r="C5" s="132"/>
      <c r="D5" s="133"/>
      <c r="E5" s="133"/>
      <c r="F5" s="132"/>
      <c r="G5" s="134"/>
    </row>
    <row r="6" spans="1:9" ht="37.200000000000003" thickBot="1" x14ac:dyDescent="0.75">
      <c r="A6" s="131"/>
      <c r="B6" s="168" t="s">
        <v>3528</v>
      </c>
      <c r="C6" s="169"/>
      <c r="D6" s="133"/>
      <c r="E6" s="133"/>
      <c r="F6" s="132"/>
      <c r="G6" s="134"/>
    </row>
    <row r="7" spans="1:9" ht="15" thickBot="1" x14ac:dyDescent="0.35">
      <c r="A7" s="136"/>
      <c r="B7" s="137"/>
      <c r="C7" s="137"/>
      <c r="D7" s="138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46098</v>
      </c>
      <c r="B9" s="13" t="s">
        <v>3529</v>
      </c>
      <c r="C9" s="10">
        <v>4</v>
      </c>
      <c r="D9" s="10">
        <v>95000</v>
      </c>
      <c r="E9" s="7">
        <f>+$I$2+(BERNARD404142[[#This Row],[QUANTITE]]*BERNARD404142[[#This Row],[PRIX UNITAIRE]])</f>
        <v>380000</v>
      </c>
      <c r="F9" s="20"/>
      <c r="G9" s="6">
        <f>+SUM(E$9:$E9)-SUM(F$9:$F9)</f>
        <v>380000</v>
      </c>
    </row>
    <row r="10" spans="1:9" ht="28.8" x14ac:dyDescent="0.55000000000000004">
      <c r="A10" s="12">
        <v>46098</v>
      </c>
      <c r="B10" s="13" t="s">
        <v>3530</v>
      </c>
      <c r="C10" s="10">
        <v>1</v>
      </c>
      <c r="D10" s="10">
        <v>385000</v>
      </c>
      <c r="E10" s="7">
        <f>+$I$2+(BERNARD404142[[#This Row],[QUANTITE]]*BERNARD404142[[#This Row],[PRIX UNITAIRE]])</f>
        <v>385000</v>
      </c>
      <c r="F10" s="21"/>
      <c r="G10" s="6">
        <f>+SUM(E$9:$E10)-SUM(F$9:$F10)</f>
        <v>765000</v>
      </c>
    </row>
    <row r="11" spans="1:9" ht="28.8" x14ac:dyDescent="0.55000000000000004">
      <c r="A11" s="12"/>
      <c r="B11" s="13"/>
      <c r="C11" s="10"/>
      <c r="D11" s="10"/>
      <c r="E11" s="7">
        <f>+$I$2+(BERNARD404142[[#This Row],[QUANTITE]]*BERNARD404142[[#This Row],[PRIX UNITAIRE]])</f>
        <v>0</v>
      </c>
      <c r="F11" s="14"/>
      <c r="G11" s="6">
        <f>+SUM(E$9:$E11)-SUM(F$9:$F11)</f>
        <v>765000</v>
      </c>
    </row>
    <row r="12" spans="1:9" ht="28.8" x14ac:dyDescent="0.55000000000000004">
      <c r="A12" s="12"/>
      <c r="B12" s="13"/>
      <c r="C12" s="10"/>
      <c r="D12" s="10"/>
      <c r="E12" s="7">
        <f>+$I$2+(BERNARD404142[[#This Row],[QUANTITE]]*BERNARD404142[[#This Row],[PRIX UNITAIRE]])</f>
        <v>0</v>
      </c>
      <c r="F12" s="14"/>
      <c r="G12" s="6">
        <f>+SUM(E$9:$E12)-SUM(F$9:$F12)</f>
        <v>765000</v>
      </c>
    </row>
    <row r="13" spans="1:9" ht="28.8" x14ac:dyDescent="0.55000000000000004">
      <c r="A13" s="12"/>
      <c r="B13" s="13"/>
      <c r="C13" s="10"/>
      <c r="D13" s="10"/>
      <c r="E13" s="7">
        <f>+$I$2+(BERNARD404142[[#This Row],[QUANTITE]]*BERNARD404142[[#This Row],[PRIX UNITAIRE]])</f>
        <v>0</v>
      </c>
      <c r="F13" s="14"/>
      <c r="G13" s="6">
        <f>+SUM(E$9:$E13)-SUM(F$9:$F13)</f>
        <v>765000</v>
      </c>
    </row>
    <row r="14" spans="1:9" ht="28.8" x14ac:dyDescent="0.55000000000000004">
      <c r="A14" s="12"/>
      <c r="B14" s="13"/>
      <c r="C14" s="10"/>
      <c r="D14" s="10"/>
      <c r="E14" s="7">
        <f>+$I$2+(BERNARD404142[[#This Row],[QUANTITE]]*BERNARD404142[[#This Row],[PRIX UNITAIRE]])</f>
        <v>0</v>
      </c>
      <c r="F14" s="14"/>
      <c r="G14" s="6">
        <f>+SUM(E$9:$E14)-SUM(F$9:$F14)</f>
        <v>765000</v>
      </c>
    </row>
    <row r="15" spans="1:9" ht="28.8" x14ac:dyDescent="0.55000000000000004">
      <c r="A15" s="12"/>
      <c r="B15" s="13"/>
      <c r="C15" s="10"/>
      <c r="D15" s="10"/>
      <c r="E15" s="7">
        <f>+$I$2+(BERNARD404142[[#This Row],[QUANTITE]]*BERNARD404142[[#This Row],[PRIX UNITAIRE]])</f>
        <v>0</v>
      </c>
      <c r="F15" s="14"/>
      <c r="G15" s="6">
        <f>+SUM(E$9:$E15)-SUM(F$9:$F15)</f>
        <v>765000</v>
      </c>
    </row>
    <row r="16" spans="1:9" ht="28.8" x14ac:dyDescent="0.55000000000000004">
      <c r="A16" s="12"/>
      <c r="B16" s="13"/>
      <c r="C16" s="10"/>
      <c r="D16" s="10"/>
      <c r="E16" s="7">
        <f>+$I$2+(BERNARD404142[[#This Row],[QUANTITE]]*BERNARD404142[[#This Row],[PRIX UNITAIRE]])</f>
        <v>0</v>
      </c>
      <c r="F16" s="14"/>
      <c r="G16" s="6">
        <f>+SUM(E$9:$E16)-SUM(F$9:$F16)</f>
        <v>765000</v>
      </c>
    </row>
    <row r="17" spans="1:7" ht="28.8" x14ac:dyDescent="0.55000000000000004">
      <c r="A17" s="12"/>
      <c r="B17" s="13"/>
      <c r="C17" s="10"/>
      <c r="D17" s="10"/>
      <c r="E17" s="7">
        <f>+$I$2+(BERNARD404142[[#This Row],[QUANTITE]]*BERNARD404142[[#This Row],[PRIX UNITAIRE]])</f>
        <v>0</v>
      </c>
      <c r="F17" s="14"/>
      <c r="G17" s="6">
        <f>+SUM(E$9:$E17)-SUM(F$9:$F17)</f>
        <v>765000</v>
      </c>
    </row>
    <row r="18" spans="1:7" ht="28.8" x14ac:dyDescent="0.55000000000000004">
      <c r="A18" s="12"/>
      <c r="B18" s="13"/>
      <c r="C18" s="10"/>
      <c r="D18" s="10"/>
      <c r="E18" s="7">
        <f>+$I$2+(BERNARD404142[[#This Row],[QUANTITE]]*BERNARD404142[[#This Row],[PRIX UNITAIRE]])</f>
        <v>0</v>
      </c>
      <c r="F18" s="14"/>
      <c r="G18" s="6">
        <f>+SUM(E$9:$E18)-SUM(F$9:$F18)</f>
        <v>765000</v>
      </c>
    </row>
    <row r="19" spans="1:7" ht="28.8" x14ac:dyDescent="0.55000000000000004">
      <c r="A19" s="12"/>
      <c r="B19" s="13"/>
      <c r="C19" s="10"/>
      <c r="D19" s="10"/>
      <c r="E19" s="7">
        <f>+$I$2+(BERNARD404142[[#This Row],[QUANTITE]]*BERNARD404142[[#This Row],[PRIX UNITAIRE]])</f>
        <v>0</v>
      </c>
      <c r="F19" s="14"/>
      <c r="G19" s="6">
        <f>+SUM(E$9:$E19)-SUM(F$9:$F19)</f>
        <v>765000</v>
      </c>
    </row>
    <row r="20" spans="1:7" ht="28.8" x14ac:dyDescent="0.55000000000000004">
      <c r="A20" s="12"/>
      <c r="B20" s="13"/>
      <c r="C20" s="10"/>
      <c r="D20" s="10"/>
      <c r="E20" s="7">
        <f>+$I$2+(BERNARD404142[[#This Row],[QUANTITE]]*BERNARD404142[[#This Row],[PRIX UNITAIRE]])</f>
        <v>0</v>
      </c>
      <c r="F20" s="14"/>
      <c r="G20" s="6">
        <f>+SUM(E$9:$E20)-SUM(F$9:$F20)</f>
        <v>765000</v>
      </c>
    </row>
    <row r="21" spans="1:7" ht="28.8" x14ac:dyDescent="0.55000000000000004">
      <c r="A21" s="12"/>
      <c r="B21" s="13"/>
      <c r="C21" s="10"/>
      <c r="D21" s="10"/>
      <c r="E21" s="7">
        <f>+$I$2+(BERNARD404142[[#This Row],[QUANTITE]]*BERNARD404142[[#This Row],[PRIX UNITAIRE]])</f>
        <v>0</v>
      </c>
      <c r="F21" s="14"/>
      <c r="G21" s="6">
        <f>+SUM(E$9:$E21)-SUM(F$9:$F21)</f>
        <v>765000</v>
      </c>
    </row>
    <row r="22" spans="1:7" ht="28.8" x14ac:dyDescent="0.55000000000000004">
      <c r="A22" s="12"/>
      <c r="B22" s="13"/>
      <c r="C22" s="10"/>
      <c r="D22" s="10"/>
      <c r="E22" s="7">
        <f>+$I$2+(BERNARD404142[[#This Row],[QUANTITE]]*BERNARD404142[[#This Row],[PRIX UNITAIRE]])</f>
        <v>0</v>
      </c>
      <c r="F22" s="14"/>
      <c r="G22" s="6">
        <f>+SUM(E$9:$E22)-SUM(F$9:$F22)</f>
        <v>765000</v>
      </c>
    </row>
    <row r="23" spans="1:7" ht="28.8" x14ac:dyDescent="0.55000000000000004">
      <c r="A23" s="12"/>
      <c r="B23" s="13"/>
      <c r="C23" s="10"/>
      <c r="D23" s="10"/>
      <c r="E23" s="7">
        <f>+$I$2+(BERNARD404142[[#This Row],[QUANTITE]]*BERNARD404142[[#This Row],[PRIX UNITAIRE]])</f>
        <v>0</v>
      </c>
      <c r="F23" s="14"/>
      <c r="G23" s="6">
        <f>+SUM(E$9:$E23)-SUM(F$9:$F23)</f>
        <v>765000</v>
      </c>
    </row>
    <row r="24" spans="1:7" ht="28.8" x14ac:dyDescent="0.55000000000000004">
      <c r="A24" s="12"/>
      <c r="B24" s="13"/>
      <c r="C24" s="10"/>
      <c r="D24" s="10"/>
      <c r="E24" s="7">
        <f>+$I$2+(BERNARD404142[[#This Row],[QUANTITE]]*BERNARD404142[[#This Row],[PRIX UNITAIRE]])</f>
        <v>0</v>
      </c>
      <c r="F24" s="14"/>
      <c r="G24" s="6">
        <f>+SUM(E$9:$E24)-SUM(F$9:$F24)</f>
        <v>765000</v>
      </c>
    </row>
    <row r="25" spans="1:7" ht="28.8" x14ac:dyDescent="0.55000000000000004">
      <c r="A25" s="12"/>
      <c r="B25" s="13"/>
      <c r="C25" s="10"/>
      <c r="D25" s="10"/>
      <c r="E25" s="7">
        <f>+$I$2+(BERNARD404142[[#This Row],[QUANTITE]]*BERNARD404142[[#This Row],[PRIX UNITAIRE]])</f>
        <v>0</v>
      </c>
      <c r="F25" s="14"/>
      <c r="G25" s="6">
        <f>+SUM(E$9:$E25)-SUM(F$9:$F25)</f>
        <v>765000</v>
      </c>
    </row>
    <row r="26" spans="1:7" ht="28.8" x14ac:dyDescent="0.55000000000000004">
      <c r="A26" s="12"/>
      <c r="B26" s="13"/>
      <c r="C26" s="10"/>
      <c r="D26" s="10"/>
      <c r="E26" s="7">
        <f>+$I$2+(BERNARD404142[[#This Row],[QUANTITE]]*BERNARD404142[[#This Row],[PRIX UNITAIRE]])</f>
        <v>0</v>
      </c>
      <c r="F26" s="14"/>
      <c r="G26" s="6">
        <f>+SUM(E$9:$E26)-SUM(F$9:$F26)</f>
        <v>765000</v>
      </c>
    </row>
    <row r="27" spans="1:7" ht="28.8" x14ac:dyDescent="0.55000000000000004">
      <c r="A27" s="12"/>
      <c r="B27" s="13"/>
      <c r="C27" s="10"/>
      <c r="D27" s="10"/>
      <c r="E27" s="7">
        <f>+$I$2+(BERNARD404142[[#This Row],[QUANTITE]]*BERNARD404142[[#This Row],[PRIX UNITAIRE]])</f>
        <v>0</v>
      </c>
      <c r="F27" s="14"/>
      <c r="G27" s="6">
        <f>+SUM(E$9:$E27)-SUM(F$9:$F27)</f>
        <v>765000</v>
      </c>
    </row>
    <row r="28" spans="1:7" ht="28.8" x14ac:dyDescent="0.55000000000000004">
      <c r="A28" s="12"/>
      <c r="B28" s="13"/>
      <c r="C28" s="10"/>
      <c r="D28" s="10"/>
      <c r="E28" s="7">
        <f>+$I$2+(BERNARD404142[[#This Row],[QUANTITE]]*BERNARD404142[[#This Row],[PRIX UNITAIRE]])</f>
        <v>0</v>
      </c>
      <c r="F28" s="14"/>
      <c r="G28" s="6">
        <f>+SUM(E$9:$E28)-SUM(F$9:$F28)</f>
        <v>765000</v>
      </c>
    </row>
    <row r="29" spans="1:7" ht="28.8" x14ac:dyDescent="0.55000000000000004">
      <c r="A29" s="12"/>
      <c r="B29" s="13"/>
      <c r="C29" s="10"/>
      <c r="D29" s="10"/>
      <c r="E29" s="7">
        <f>+$I$2+(BERNARD404142[[#This Row],[QUANTITE]]*BERNARD404142[[#This Row],[PRIX UNITAIRE]])</f>
        <v>0</v>
      </c>
      <c r="F29" s="14"/>
      <c r="G29" s="6">
        <f>+SUM(E$9:$E29)-SUM(F$9:$F29)</f>
        <v>765000</v>
      </c>
    </row>
    <row r="30" spans="1:7" ht="28.8" x14ac:dyDescent="0.55000000000000004">
      <c r="A30" s="12"/>
      <c r="B30" s="13"/>
      <c r="C30" s="10"/>
      <c r="D30" s="10"/>
      <c r="E30" s="7">
        <f>+$I$2+(BERNARD404142[[#This Row],[QUANTITE]]*BERNARD404142[[#This Row],[PRIX UNITAIRE]])</f>
        <v>0</v>
      </c>
      <c r="F30" s="14"/>
      <c r="G30" s="6">
        <f>+SUM(E$9:$E30)-SUM(F$9:$F30)</f>
        <v>765000</v>
      </c>
    </row>
    <row r="31" spans="1:7" ht="28.8" x14ac:dyDescent="0.55000000000000004">
      <c r="A31" s="12"/>
      <c r="B31" s="13"/>
      <c r="C31" s="10"/>
      <c r="D31" s="10"/>
      <c r="E31" s="7">
        <f>+$I$2+(BERNARD404142[[#This Row],[QUANTITE]]*BERNARD404142[[#This Row],[PRIX UNITAIRE]])</f>
        <v>0</v>
      </c>
      <c r="F31" s="14"/>
      <c r="G31" s="6">
        <f>+SUM(E$9:$E31)-SUM(F$9:$F31)</f>
        <v>765000</v>
      </c>
    </row>
    <row r="32" spans="1:7" ht="28.8" x14ac:dyDescent="0.55000000000000004">
      <c r="A32" s="12"/>
      <c r="B32" s="13"/>
      <c r="C32" s="10"/>
      <c r="D32" s="10"/>
      <c r="E32" s="7">
        <f>+$I$2+(BERNARD404142[[#This Row],[QUANTITE]]*BERNARD404142[[#This Row],[PRIX UNITAIRE]])</f>
        <v>0</v>
      </c>
      <c r="F32" s="14"/>
      <c r="G32" s="6">
        <f>+SUM(E$9:$E32)-SUM(F$9:$F32)</f>
        <v>765000</v>
      </c>
    </row>
    <row r="33" spans="1:7" ht="28.8" x14ac:dyDescent="0.55000000000000004">
      <c r="A33" s="12"/>
      <c r="B33" s="13"/>
      <c r="C33" s="10"/>
      <c r="D33" s="10"/>
      <c r="E33" s="7">
        <f>+$I$2+(BERNARD404142[[#This Row],[QUANTITE]]*BERNARD404142[[#This Row],[PRIX UNITAIRE]])</f>
        <v>0</v>
      </c>
      <c r="F33" s="14"/>
      <c r="G33" s="6">
        <f>+SUM(E$9:$E33)-SUM(F$9:$F33)</f>
        <v>765000</v>
      </c>
    </row>
    <row r="34" spans="1:7" ht="28.8" x14ac:dyDescent="0.55000000000000004">
      <c r="A34" s="12"/>
      <c r="B34" s="13"/>
      <c r="C34" s="10"/>
      <c r="D34" s="10"/>
      <c r="E34" s="7">
        <f>+$I$2+(BERNARD404142[[#This Row],[QUANTITE]]*BERNARD404142[[#This Row],[PRIX UNITAIRE]])</f>
        <v>0</v>
      </c>
      <c r="F34" s="14"/>
      <c r="G34" s="6">
        <f>+SUM(E$9:$E34)-SUM(F$9:$F34)</f>
        <v>765000</v>
      </c>
    </row>
    <row r="35" spans="1:7" ht="28.8" x14ac:dyDescent="0.55000000000000004">
      <c r="A35" s="12"/>
      <c r="B35" s="13"/>
      <c r="C35" s="10"/>
      <c r="D35" s="10"/>
      <c r="E35" s="7">
        <f>+$I$2+(BERNARD404142[[#This Row],[QUANTITE]]*BERNARD404142[[#This Row],[PRIX UNITAIRE]])</f>
        <v>0</v>
      </c>
      <c r="F35" s="14"/>
      <c r="G35" s="6">
        <f>+SUM(E$9:$E35)-SUM(F$9:$F35)</f>
        <v>765000</v>
      </c>
    </row>
    <row r="36" spans="1:7" ht="28.8" x14ac:dyDescent="0.55000000000000004">
      <c r="A36" s="12"/>
      <c r="B36" s="13"/>
      <c r="C36" s="10"/>
      <c r="D36" s="10"/>
      <c r="E36" s="7">
        <f>+$I$2+(BERNARD404142[[#This Row],[QUANTITE]]*BERNARD404142[[#This Row],[PRIX UNITAIRE]])</f>
        <v>0</v>
      </c>
      <c r="F36" s="14"/>
      <c r="G36" s="6">
        <f>+SUM(E$9:$E36)-SUM(F$9:$F36)</f>
        <v>765000</v>
      </c>
    </row>
    <row r="37" spans="1:7" ht="28.8" x14ac:dyDescent="0.55000000000000004">
      <c r="A37" s="12"/>
      <c r="B37" s="13"/>
      <c r="C37" s="10"/>
      <c r="D37" s="10"/>
      <c r="E37" s="7">
        <f>+$I$2+(BERNARD404142[[#This Row],[QUANTITE]]*BERNARD404142[[#This Row],[PRIX UNITAIRE]])</f>
        <v>0</v>
      </c>
      <c r="F37" s="14"/>
      <c r="G37" s="6">
        <f>+SUM(E$9:$E37)-SUM(F$9:$F37)</f>
        <v>765000</v>
      </c>
    </row>
    <row r="38" spans="1:7" ht="28.8" x14ac:dyDescent="0.55000000000000004">
      <c r="A38" s="12"/>
      <c r="B38" s="13"/>
      <c r="C38" s="10"/>
      <c r="D38" s="10"/>
      <c r="E38" s="7">
        <f>+$I$2+(BERNARD404142[[#This Row],[QUANTITE]]*BERNARD404142[[#This Row],[PRIX UNITAIRE]])</f>
        <v>0</v>
      </c>
      <c r="F38" s="14"/>
      <c r="G38" s="6">
        <f>+SUM(E$9:$E38)-SUM(F$9:$F38)</f>
        <v>765000</v>
      </c>
    </row>
    <row r="39" spans="1:7" ht="28.8" x14ac:dyDescent="0.55000000000000004">
      <c r="A39" s="12"/>
      <c r="B39" s="13"/>
      <c r="C39" s="10"/>
      <c r="D39" s="10"/>
      <c r="E39" s="7">
        <f>+$I$2+(BERNARD404142[[#This Row],[QUANTITE]]*BERNARD404142[[#This Row],[PRIX UNITAIRE]])</f>
        <v>0</v>
      </c>
      <c r="F39" s="14"/>
      <c r="G39" s="6">
        <f>+SUM(E$9:$E39)-SUM(F$9:$F39)</f>
        <v>765000</v>
      </c>
    </row>
    <row r="40" spans="1:7" ht="28.8" x14ac:dyDescent="0.55000000000000004">
      <c r="A40" s="12"/>
      <c r="B40" s="13"/>
      <c r="C40" s="10"/>
      <c r="D40" s="10"/>
      <c r="E40" s="7">
        <f>+$I$2+(BERNARD404142[[#This Row],[QUANTITE]]*BERNARD404142[[#This Row],[PRIX UNITAIRE]])</f>
        <v>0</v>
      </c>
      <c r="F40" s="14"/>
      <c r="G40" s="6">
        <f>+SUM(E$9:$E40)-SUM(F$9:$F40)</f>
        <v>765000</v>
      </c>
    </row>
    <row r="41" spans="1:7" ht="28.8" x14ac:dyDescent="0.55000000000000004">
      <c r="A41" s="12"/>
      <c r="B41" s="13"/>
      <c r="C41" s="10"/>
      <c r="D41" s="10"/>
      <c r="E41" s="7">
        <f>+$I$2+(BERNARD404142[[#This Row],[QUANTITE]]*BERNARD404142[[#This Row],[PRIX UNITAIRE]])</f>
        <v>0</v>
      </c>
      <c r="F41" s="14"/>
      <c r="G41" s="6">
        <f>+SUM(E$9:$E41)-SUM(F$9:$F41)</f>
        <v>765000</v>
      </c>
    </row>
    <row r="42" spans="1:7" ht="28.8" x14ac:dyDescent="0.55000000000000004">
      <c r="A42" s="12"/>
      <c r="B42" s="13"/>
      <c r="C42" s="10"/>
      <c r="D42" s="10"/>
      <c r="E42" s="7">
        <f>+$I$2+(BERNARD404142[[#This Row],[QUANTITE]]*BERNARD404142[[#This Row],[PRIX UNITAIRE]])</f>
        <v>0</v>
      </c>
      <c r="F42" s="14"/>
      <c r="G42" s="6">
        <f>+SUM(E$9:$E42)-SUM(F$9:$F42)</f>
        <v>765000</v>
      </c>
    </row>
    <row r="43" spans="1:7" ht="28.8" x14ac:dyDescent="0.55000000000000004">
      <c r="A43" s="12"/>
      <c r="B43" s="13"/>
      <c r="C43" s="10"/>
      <c r="D43" s="10"/>
      <c r="E43" s="7">
        <f>+$I$2+(BERNARD404142[[#This Row],[QUANTITE]]*BERNARD404142[[#This Row],[PRIX UNITAIRE]])</f>
        <v>0</v>
      </c>
      <c r="F43" s="14"/>
      <c r="G43" s="6">
        <f>+SUM(E$9:$E43)-SUM(F$9:$F43)</f>
        <v>765000</v>
      </c>
    </row>
    <row r="44" spans="1:7" ht="28.8" x14ac:dyDescent="0.55000000000000004">
      <c r="A44" s="12"/>
      <c r="B44" s="13"/>
      <c r="C44" s="10"/>
      <c r="D44" s="10"/>
      <c r="E44" s="7">
        <f>+$I$2+(BERNARD404142[[#This Row],[QUANTITE]]*BERNARD404142[[#This Row],[PRIX UNITAIRE]])</f>
        <v>0</v>
      </c>
      <c r="F44" s="14"/>
      <c r="G44" s="6">
        <f>+SUM(E$9:$E44)-SUM(F$9:$F44)</f>
        <v>765000</v>
      </c>
    </row>
    <row r="45" spans="1:7" ht="28.8" x14ac:dyDescent="0.55000000000000004">
      <c r="A45" s="12"/>
      <c r="B45" s="13"/>
      <c r="C45" s="10"/>
      <c r="D45" s="10"/>
      <c r="E45" s="7">
        <f>+$I$2+(BERNARD404142[[#This Row],[QUANTITE]]*BERNARD404142[[#This Row],[PRIX UNITAIRE]])</f>
        <v>0</v>
      </c>
      <c r="F45" s="14"/>
      <c r="G45" s="6">
        <f>+SUM(E$9:$E45)-SUM(F$9:$F45)</f>
        <v>765000</v>
      </c>
    </row>
    <row r="46" spans="1:7" ht="28.8" x14ac:dyDescent="0.55000000000000004">
      <c r="A46" s="12"/>
      <c r="B46" s="13"/>
      <c r="C46" s="10"/>
      <c r="D46" s="10"/>
      <c r="E46" s="7">
        <f>+$I$2+(BERNARD404142[[#This Row],[QUANTITE]]*BERNARD404142[[#This Row],[PRIX UNITAIRE]])</f>
        <v>0</v>
      </c>
      <c r="F46" s="14"/>
      <c r="G46" s="6">
        <f>+SUM(E$9:$E46)-SUM(F$9:$F46)</f>
        <v>765000</v>
      </c>
    </row>
    <row r="47" spans="1:7" ht="28.8" x14ac:dyDescent="0.55000000000000004">
      <c r="A47" s="12"/>
      <c r="B47" s="13"/>
      <c r="C47" s="10"/>
      <c r="D47" s="10"/>
      <c r="E47" s="7">
        <f>+$I$2+(BERNARD404142[[#This Row],[QUANTITE]]*BERNARD404142[[#This Row],[PRIX UNITAIRE]])</f>
        <v>0</v>
      </c>
      <c r="F47" s="14"/>
      <c r="G47" s="6">
        <f>+SUM(E$9:$E47)-SUM(F$9:$F47)</f>
        <v>765000</v>
      </c>
    </row>
    <row r="48" spans="1:7" ht="28.8" x14ac:dyDescent="0.55000000000000004">
      <c r="A48" s="12"/>
      <c r="B48" s="13"/>
      <c r="C48" s="10"/>
      <c r="D48" s="10"/>
      <c r="E48" s="7">
        <f>+$I$2+(BERNARD404142[[#This Row],[QUANTITE]]*BERNARD404142[[#This Row],[PRIX UNITAIRE]])</f>
        <v>0</v>
      </c>
      <c r="F48" s="14"/>
      <c r="G48" s="6">
        <f>+SUM(E$9:$E48)-SUM(F$9:$F48)</f>
        <v>765000</v>
      </c>
    </row>
    <row r="49" spans="1:7" ht="28.8" x14ac:dyDescent="0.55000000000000004">
      <c r="A49" s="12"/>
      <c r="B49" s="13"/>
      <c r="C49" s="10"/>
      <c r="D49" s="10"/>
      <c r="E49" s="7">
        <f>+$I$2+(BERNARD404142[[#This Row],[QUANTITE]]*BERNARD404142[[#This Row],[PRIX UNITAIRE]])</f>
        <v>0</v>
      </c>
      <c r="F49" s="14"/>
      <c r="G49" s="6">
        <f>+SUM(E$9:$E49)-SUM(F$9:$F49)</f>
        <v>765000</v>
      </c>
    </row>
    <row r="50" spans="1:7" ht="28.8" x14ac:dyDescent="0.55000000000000004">
      <c r="A50" s="12"/>
      <c r="B50" s="13"/>
      <c r="C50" s="10"/>
      <c r="D50" s="10"/>
      <c r="E50" s="7">
        <f>+$I$2+(BERNARD404142[[#This Row],[QUANTITE]]*BERNARD404142[[#This Row],[PRIX UNITAIRE]])</f>
        <v>0</v>
      </c>
      <c r="F50" s="14"/>
      <c r="G50" s="6">
        <f>+SUM(E$9:$E50)-SUM(F$9:$F50)</f>
        <v>765000</v>
      </c>
    </row>
    <row r="51" spans="1:7" ht="28.8" x14ac:dyDescent="0.55000000000000004">
      <c r="A51" s="12"/>
      <c r="B51" s="13"/>
      <c r="C51" s="10"/>
      <c r="D51" s="10"/>
      <c r="E51" s="7">
        <f>+$I$2+(BERNARD404142[[#This Row],[QUANTITE]]*BERNARD404142[[#This Row],[PRIX UNITAIRE]])</f>
        <v>0</v>
      </c>
      <c r="F51" s="14"/>
      <c r="G51" s="6">
        <f>+SUM(E$9:$E51)-SUM(F$9:$F51)</f>
        <v>765000</v>
      </c>
    </row>
    <row r="52" spans="1:7" ht="28.8" x14ac:dyDescent="0.55000000000000004">
      <c r="A52" s="12"/>
      <c r="B52" s="13"/>
      <c r="C52" s="10"/>
      <c r="D52" s="10"/>
      <c r="E52" s="7">
        <f>+$I$2+(BERNARD404142[[#This Row],[QUANTITE]]*BERNARD404142[[#This Row],[PRIX UNITAIRE]])</f>
        <v>0</v>
      </c>
      <c r="F52" s="14"/>
      <c r="G52" s="6">
        <f>+SUM(E$9:$E52)-SUM(F$9:$F52)</f>
        <v>765000</v>
      </c>
    </row>
    <row r="53" spans="1:7" ht="28.8" x14ac:dyDescent="0.55000000000000004">
      <c r="A53" s="12"/>
      <c r="B53" s="13"/>
      <c r="C53" s="10"/>
      <c r="D53" s="10"/>
      <c r="E53" s="7">
        <f>+$I$2+(BERNARD404142[[#This Row],[QUANTITE]]*BERNARD404142[[#This Row],[PRIX UNITAIRE]])</f>
        <v>0</v>
      </c>
      <c r="F53" s="14"/>
      <c r="G53" s="6">
        <f>+SUM(E$9:$E53)-SUM(F$9:$F53)</f>
        <v>765000</v>
      </c>
    </row>
    <row r="54" spans="1:7" ht="28.8" x14ac:dyDescent="0.55000000000000004">
      <c r="A54" s="12"/>
      <c r="B54" s="13"/>
      <c r="C54" s="10"/>
      <c r="D54" s="10"/>
      <c r="E54" s="7">
        <f>+$I$2+(BERNARD404142[[#This Row],[QUANTITE]]*BERNARD404142[[#This Row],[PRIX UNITAIRE]])</f>
        <v>0</v>
      </c>
      <c r="F54" s="14"/>
      <c r="G54" s="6">
        <f>+SUM(E$9:$E54)-SUM(F$9:$F54)</f>
        <v>765000</v>
      </c>
    </row>
    <row r="55" spans="1:7" ht="28.8" x14ac:dyDescent="0.55000000000000004">
      <c r="A55" s="12"/>
      <c r="B55" s="13"/>
      <c r="C55" s="10"/>
      <c r="D55" s="10"/>
      <c r="E55" s="7">
        <f>+$I$2+(BERNARD404142[[#This Row],[QUANTITE]]*BERNARD404142[[#This Row],[PRIX UNITAIRE]])</f>
        <v>0</v>
      </c>
      <c r="F55" s="14"/>
      <c r="G55" s="6">
        <f>+SUM(E$9:$E55)-SUM(F$9:$F55)</f>
        <v>765000</v>
      </c>
    </row>
    <row r="56" spans="1:7" ht="28.8" x14ac:dyDescent="0.55000000000000004">
      <c r="A56" s="12"/>
      <c r="B56" s="13"/>
      <c r="C56" s="10"/>
      <c r="D56" s="10"/>
      <c r="E56" s="7">
        <f>+$I$2+(BERNARD404142[[#This Row],[QUANTITE]]*BERNARD404142[[#This Row],[PRIX UNITAIRE]])</f>
        <v>0</v>
      </c>
      <c r="F56" s="14"/>
      <c r="G56" s="6">
        <f>+SUM(E$9:$E56)-SUM(F$9:$F56)</f>
        <v>765000</v>
      </c>
    </row>
    <row r="57" spans="1:7" ht="28.8" x14ac:dyDescent="0.55000000000000004">
      <c r="A57" s="12"/>
      <c r="B57" s="13"/>
      <c r="C57" s="10"/>
      <c r="D57" s="10"/>
      <c r="E57" s="7">
        <f>+$I$2+(BERNARD404142[[#This Row],[QUANTITE]]*BERNARD404142[[#This Row],[PRIX UNITAIRE]])</f>
        <v>0</v>
      </c>
      <c r="F57" s="14"/>
      <c r="G57" s="6">
        <f>+SUM(E$9:$E57)-SUM(F$9:$F57)</f>
        <v>765000</v>
      </c>
    </row>
    <row r="58" spans="1:7" ht="28.8" x14ac:dyDescent="0.55000000000000004">
      <c r="A58" s="12"/>
      <c r="B58" s="13"/>
      <c r="C58" s="10"/>
      <c r="D58" s="10"/>
      <c r="E58" s="7">
        <f>+$I$2+(BERNARD404142[[#This Row],[QUANTITE]]*BERNARD404142[[#This Row],[PRIX UNITAIRE]])</f>
        <v>0</v>
      </c>
      <c r="F58" s="14"/>
      <c r="G58" s="6">
        <f>+SUM(E$9:$E58)-SUM(F$9:$F58)</f>
        <v>765000</v>
      </c>
    </row>
    <row r="59" spans="1:7" ht="28.8" x14ac:dyDescent="0.55000000000000004">
      <c r="A59" s="12"/>
      <c r="B59" s="13"/>
      <c r="C59" s="10"/>
      <c r="D59" s="10"/>
      <c r="E59" s="7">
        <f>+$I$2+(BERNARD404142[[#This Row],[QUANTITE]]*BERNARD404142[[#This Row],[PRIX UNITAIRE]])</f>
        <v>0</v>
      </c>
      <c r="F59" s="14"/>
      <c r="G59" s="6">
        <f>+SUM(E$9:$E59)-SUM(F$9:$F59)</f>
        <v>765000</v>
      </c>
    </row>
    <row r="60" spans="1:7" ht="28.8" x14ac:dyDescent="0.55000000000000004">
      <c r="A60" s="12"/>
      <c r="B60" s="13"/>
      <c r="C60" s="10"/>
      <c r="D60" s="10"/>
      <c r="E60" s="7">
        <f>+$I$2+(BERNARD404142[[#This Row],[QUANTITE]]*BERNARD404142[[#This Row],[PRIX UNITAIRE]])</f>
        <v>0</v>
      </c>
      <c r="F60" s="14"/>
      <c r="G60" s="6">
        <f>+SUM(E$9:$E60)-SUM(F$9:$F60)</f>
        <v>765000</v>
      </c>
    </row>
    <row r="61" spans="1:7" ht="28.8" x14ac:dyDescent="0.55000000000000004">
      <c r="A61" s="12"/>
      <c r="B61" s="13"/>
      <c r="C61" s="10"/>
      <c r="D61" s="10"/>
      <c r="E61" s="7">
        <f>+$I$2+(BERNARD404142[[#This Row],[QUANTITE]]*BERNARD404142[[#This Row],[PRIX UNITAIRE]])</f>
        <v>0</v>
      </c>
      <c r="F61" s="14"/>
      <c r="G61" s="6">
        <f>+SUM(E$9:$E61)-SUM(F$9:$F61)</f>
        <v>765000</v>
      </c>
    </row>
    <row r="62" spans="1:7" ht="28.8" x14ac:dyDescent="0.55000000000000004">
      <c r="A62" s="12"/>
      <c r="B62" s="13"/>
      <c r="C62" s="10"/>
      <c r="D62" s="10"/>
      <c r="E62" s="7">
        <f>+$I$2+(BERNARD404142[[#This Row],[QUANTITE]]*BERNARD404142[[#This Row],[PRIX UNITAIRE]])</f>
        <v>0</v>
      </c>
      <c r="F62" s="14"/>
      <c r="G62" s="6">
        <f>+SUM(E$9:$E62)-SUM(F$9:$F62)</f>
        <v>765000</v>
      </c>
    </row>
    <row r="63" spans="1:7" ht="28.8" x14ac:dyDescent="0.55000000000000004">
      <c r="A63" s="12"/>
      <c r="B63" s="13"/>
      <c r="C63" s="10"/>
      <c r="D63" s="10"/>
      <c r="E63" s="7">
        <f>+$I$2+(BERNARD404142[[#This Row],[QUANTITE]]*BERNARD404142[[#This Row],[PRIX UNITAIRE]])</f>
        <v>0</v>
      </c>
      <c r="F63" s="14"/>
      <c r="G63" s="6">
        <f>+SUM(E$9:$E63)-SUM(F$9:$F63)</f>
        <v>765000</v>
      </c>
    </row>
    <row r="64" spans="1:7" ht="28.8" x14ac:dyDescent="0.55000000000000004">
      <c r="A64" s="12"/>
      <c r="B64" s="13"/>
      <c r="C64" s="10"/>
      <c r="D64" s="10"/>
      <c r="E64" s="7">
        <f>+$I$2+(BERNARD404142[[#This Row],[QUANTITE]]*BERNARD404142[[#This Row],[PRIX UNITAIRE]])</f>
        <v>0</v>
      </c>
      <c r="F64" s="14"/>
      <c r="G64" s="6">
        <f>+SUM(E$9:$E64)-SUM(F$9:$F64)</f>
        <v>765000</v>
      </c>
    </row>
    <row r="65" spans="1:7" ht="28.8" x14ac:dyDescent="0.55000000000000004">
      <c r="A65" s="12"/>
      <c r="B65" s="13"/>
      <c r="C65" s="10"/>
      <c r="D65" s="10"/>
      <c r="E65" s="7">
        <f>+$I$2+(BERNARD404142[[#This Row],[QUANTITE]]*BERNARD404142[[#This Row],[PRIX UNITAIRE]])</f>
        <v>0</v>
      </c>
      <c r="F65" s="14"/>
      <c r="G65" s="6">
        <f>+SUM(E$9:$E65)-SUM(F$9:$F65)</f>
        <v>765000</v>
      </c>
    </row>
    <row r="66" spans="1:7" ht="28.8" x14ac:dyDescent="0.55000000000000004">
      <c r="A66" s="12"/>
      <c r="B66" s="13"/>
      <c r="C66" s="10"/>
      <c r="D66" s="10"/>
      <c r="E66" s="7">
        <f>+$I$2+(BERNARD404142[[#This Row],[QUANTITE]]*BERNARD404142[[#This Row],[PRIX UNITAIRE]])</f>
        <v>0</v>
      </c>
      <c r="F66" s="14"/>
      <c r="G66" s="6">
        <f>+SUM(E$9:$E66)-SUM(F$9:$F66)</f>
        <v>765000</v>
      </c>
    </row>
    <row r="67" spans="1:7" ht="28.8" x14ac:dyDescent="0.55000000000000004">
      <c r="A67" s="12"/>
      <c r="B67" s="13"/>
      <c r="C67" s="10"/>
      <c r="D67" s="10"/>
      <c r="E67" s="7">
        <f>+$I$2+(BERNARD404142[[#This Row],[QUANTITE]]*BERNARD404142[[#This Row],[PRIX UNITAIRE]])</f>
        <v>0</v>
      </c>
      <c r="F67" s="14"/>
      <c r="G67" s="6">
        <f>+SUM(E$9:$E67)-SUM(F$9:$F67)</f>
        <v>765000</v>
      </c>
    </row>
    <row r="68" spans="1:7" ht="28.8" x14ac:dyDescent="0.55000000000000004">
      <c r="A68" s="12"/>
      <c r="B68" s="13"/>
      <c r="C68" s="10"/>
      <c r="D68" s="10"/>
      <c r="E68" s="7">
        <f>+$I$2+(BERNARD404142[[#This Row],[QUANTITE]]*BERNARD404142[[#This Row],[PRIX UNITAIRE]])</f>
        <v>0</v>
      </c>
      <c r="F68" s="14"/>
      <c r="G68" s="6">
        <f>+SUM(E$9:$E68)-SUM(F$9:$F68)</f>
        <v>765000</v>
      </c>
    </row>
    <row r="69" spans="1:7" ht="28.8" x14ac:dyDescent="0.55000000000000004">
      <c r="A69" s="12"/>
      <c r="B69" s="13"/>
      <c r="C69" s="10"/>
      <c r="D69" s="10"/>
      <c r="E69" s="7">
        <f>+$I$2+(BERNARD404142[[#This Row],[QUANTITE]]*BERNARD404142[[#This Row],[PRIX UNITAIRE]])</f>
        <v>0</v>
      </c>
      <c r="F69" s="14"/>
      <c r="G69" s="6">
        <f>+SUM(E$9:$E69)-SUM(F$9:$F69)</f>
        <v>765000</v>
      </c>
    </row>
    <row r="70" spans="1:7" ht="28.8" x14ac:dyDescent="0.55000000000000004">
      <c r="A70" s="12"/>
      <c r="B70" s="13"/>
      <c r="C70" s="10"/>
      <c r="D70" s="10"/>
      <c r="E70" s="7">
        <f>+$I$2+(BERNARD404142[[#This Row],[QUANTITE]]*BERNARD404142[[#This Row],[PRIX UNITAIRE]])</f>
        <v>0</v>
      </c>
      <c r="F70" s="14"/>
      <c r="G70" s="6">
        <f>+SUM(E$9:$E70)-SUM(F$9:$F70)</f>
        <v>765000</v>
      </c>
    </row>
    <row r="71" spans="1:7" ht="28.8" x14ac:dyDescent="0.55000000000000004">
      <c r="A71" s="12"/>
      <c r="B71" s="13"/>
      <c r="C71" s="10"/>
      <c r="D71" s="10"/>
      <c r="E71" s="7">
        <f>+$I$2+(BERNARD404142[[#This Row],[QUANTITE]]*BERNARD404142[[#This Row],[PRIX UNITAIRE]])</f>
        <v>0</v>
      </c>
      <c r="F71" s="14"/>
      <c r="G71" s="6">
        <f>+SUM(E$9:$E71)-SUM(F$9:$F71)</f>
        <v>765000</v>
      </c>
    </row>
    <row r="72" spans="1:7" ht="28.8" x14ac:dyDescent="0.55000000000000004">
      <c r="A72" s="12"/>
      <c r="B72" s="13"/>
      <c r="C72" s="10"/>
      <c r="D72" s="10"/>
      <c r="E72" s="7">
        <f>+$I$2+(BERNARD404142[[#This Row],[QUANTITE]]*BERNARD404142[[#This Row],[PRIX UNITAIRE]])</f>
        <v>0</v>
      </c>
      <c r="F72" s="14"/>
      <c r="G72" s="6">
        <f>+SUM(E$9:$E72)-SUM(F$9:$F72)</f>
        <v>765000</v>
      </c>
    </row>
    <row r="73" spans="1:7" ht="28.8" x14ac:dyDescent="0.55000000000000004">
      <c r="A73" s="12"/>
      <c r="B73" s="13"/>
      <c r="C73" s="10"/>
      <c r="D73" s="10"/>
      <c r="E73" s="7">
        <f>+$I$2+(BERNARD404142[[#This Row],[QUANTITE]]*BERNARD404142[[#This Row],[PRIX UNITAIRE]])</f>
        <v>0</v>
      </c>
      <c r="F73" s="14"/>
      <c r="G73" s="6">
        <f>+SUM(E$9:$E73)-SUM(F$9:$F73)</f>
        <v>765000</v>
      </c>
    </row>
    <row r="74" spans="1:7" ht="28.8" x14ac:dyDescent="0.55000000000000004">
      <c r="A74" s="12"/>
      <c r="B74" s="13"/>
      <c r="C74" s="10"/>
      <c r="D74" s="10"/>
      <c r="E74" s="7">
        <f>+$I$2+(BERNARD404142[[#This Row],[QUANTITE]]*BERNARD404142[[#This Row],[PRIX UNITAIRE]])</f>
        <v>0</v>
      </c>
      <c r="F74" s="14"/>
      <c r="G74" s="6">
        <f>+SUM(E$9:$E74)-SUM(F$9:$F74)</f>
        <v>765000</v>
      </c>
    </row>
    <row r="75" spans="1:7" ht="28.8" x14ac:dyDescent="0.55000000000000004">
      <c r="A75" s="12"/>
      <c r="B75" s="13"/>
      <c r="C75" s="10"/>
      <c r="D75" s="10"/>
      <c r="E75" s="7">
        <f>+$I$2+(BERNARD404142[[#This Row],[QUANTITE]]*BERNARD404142[[#This Row],[PRIX UNITAIRE]])</f>
        <v>0</v>
      </c>
      <c r="F75" s="14"/>
      <c r="G75" s="6">
        <f>+SUM(E$9:$E75)-SUM(F$9:$F75)</f>
        <v>765000</v>
      </c>
    </row>
    <row r="76" spans="1:7" ht="28.8" x14ac:dyDescent="0.55000000000000004">
      <c r="A76" s="12"/>
      <c r="B76" s="13"/>
      <c r="C76" s="10"/>
      <c r="D76" s="10"/>
      <c r="E76" s="7">
        <f>+$I$2+(BERNARD404142[[#This Row],[QUANTITE]]*BERNARD404142[[#This Row],[PRIX UNITAIRE]])</f>
        <v>0</v>
      </c>
      <c r="F76" s="14"/>
      <c r="G76" s="6">
        <f>+SUM(E$9:$E76)-SUM(F$9:$F76)</f>
        <v>765000</v>
      </c>
    </row>
    <row r="77" spans="1:7" ht="28.8" x14ac:dyDescent="0.55000000000000004">
      <c r="A77" s="12"/>
      <c r="B77" s="13"/>
      <c r="C77" s="10"/>
      <c r="D77" s="10"/>
      <c r="E77" s="7">
        <f>+$I$2+(BERNARD404142[[#This Row],[QUANTITE]]*BERNARD404142[[#This Row],[PRIX UNITAIRE]])</f>
        <v>0</v>
      </c>
      <c r="F77" s="14"/>
      <c r="G77" s="6">
        <f>+SUM(E$9:$E77)-SUM(F$9:$F77)</f>
        <v>765000</v>
      </c>
    </row>
    <row r="78" spans="1:7" ht="28.8" x14ac:dyDescent="0.55000000000000004">
      <c r="A78" s="12"/>
      <c r="B78" s="13"/>
      <c r="C78" s="10"/>
      <c r="D78" s="10"/>
      <c r="E78" s="7">
        <f>+$I$2+(BERNARD404142[[#This Row],[QUANTITE]]*BERNARD404142[[#This Row],[PRIX UNITAIRE]])</f>
        <v>0</v>
      </c>
      <c r="F78" s="14"/>
      <c r="G78" s="6">
        <f>+SUM(E$9:$E78)-SUM(F$9:$F78)</f>
        <v>765000</v>
      </c>
    </row>
    <row r="79" spans="1:7" ht="28.8" x14ac:dyDescent="0.55000000000000004">
      <c r="A79" s="12"/>
      <c r="B79" s="13"/>
      <c r="C79" s="10"/>
      <c r="D79" s="10"/>
      <c r="E79" s="7">
        <f>+$I$2+(BERNARD404142[[#This Row],[QUANTITE]]*BERNARD404142[[#This Row],[PRIX UNITAIRE]])</f>
        <v>0</v>
      </c>
      <c r="F79" s="14"/>
      <c r="G79" s="6">
        <f>+SUM(E$9:$E79)-SUM(F$9:$F79)</f>
        <v>765000</v>
      </c>
    </row>
    <row r="80" spans="1:7" ht="28.8" x14ac:dyDescent="0.55000000000000004">
      <c r="A80" s="12"/>
      <c r="B80" s="13"/>
      <c r="C80" s="10"/>
      <c r="D80" s="10"/>
      <c r="E80" s="7">
        <f>+$I$2+(BERNARD404142[[#This Row],[QUANTITE]]*BERNARD404142[[#This Row],[PRIX UNITAIRE]])</f>
        <v>0</v>
      </c>
      <c r="F80" s="14"/>
      <c r="G80" s="6">
        <f>+SUM(E$9:$E80)-SUM(F$9:$F80)</f>
        <v>765000</v>
      </c>
    </row>
    <row r="81" spans="1:7" ht="28.8" x14ac:dyDescent="0.55000000000000004">
      <c r="A81" s="12"/>
      <c r="B81" s="13"/>
      <c r="C81" s="10"/>
      <c r="D81" s="10"/>
      <c r="E81" s="7">
        <f>+$I$2+(BERNARD404142[[#This Row],[QUANTITE]]*BERNARD404142[[#This Row],[PRIX UNITAIRE]])</f>
        <v>0</v>
      </c>
      <c r="F81" s="14"/>
      <c r="G81" s="6">
        <f>+SUM(E$9:$E81)-SUM(F$9:$F81)</f>
        <v>765000</v>
      </c>
    </row>
    <row r="82" spans="1:7" ht="28.8" x14ac:dyDescent="0.55000000000000004">
      <c r="A82" s="12"/>
      <c r="B82" s="13"/>
      <c r="C82" s="10"/>
      <c r="D82" s="10"/>
      <c r="E82" s="7">
        <f>+$I$2+(BERNARD404142[[#This Row],[QUANTITE]]*BERNARD404142[[#This Row],[PRIX UNITAIRE]])</f>
        <v>0</v>
      </c>
      <c r="F82" s="14"/>
      <c r="G82" s="6">
        <f>+SUM(E$9:$E82)-SUM(F$9:$F82)</f>
        <v>765000</v>
      </c>
    </row>
  </sheetData>
  <sheetProtection selectLockedCells="1" autoFilter="0"/>
  <mergeCells count="1">
    <mergeCell ref="B6:C6"/>
  </mergeCells>
  <conditionalFormatting sqref="G4">
    <cfRule type="cellIs" dxfId="209" priority="2" operator="lessThan">
      <formula>0</formula>
    </cfRule>
    <cfRule type="cellIs" dxfId="208" priority="3" operator="greaterThan">
      <formula>0</formula>
    </cfRule>
  </conditionalFormatting>
  <conditionalFormatting sqref="B9:B82">
    <cfRule type="expression" dxfId="207" priority="5">
      <formula>$F9</formula>
    </cfRule>
  </conditionalFormatting>
  <dataValidations count="1">
    <dataValidation type="date" operator="greaterThan" allowBlank="1" showInputMessage="1" showErrorMessage="1" error="VEILLEZ ENTRER UNE DATE VALIDE" sqref="A9:A8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/>
  <dimension ref="A1:I82"/>
  <sheetViews>
    <sheetView showGridLines="0" zoomScale="60" zoomScaleNormal="60" workbookViewId="0">
      <pane ySplit="8" topLeftCell="A30" activePane="bottomLeft" state="frozen"/>
      <selection activeCell="L10" sqref="L10"/>
      <selection pane="bottomLeft"/>
    </sheetView>
  </sheetViews>
  <sheetFormatPr baseColWidth="10" defaultColWidth="11.5546875" defaultRowHeight="14.4" x14ac:dyDescent="0.3"/>
  <cols>
    <col min="1" max="1" width="19.21875" style="1" bestFit="1" customWidth="1"/>
    <col min="2" max="2" width="67.6640625" style="1" customWidth="1"/>
    <col min="3" max="3" width="19.77734375" style="1" bestFit="1" customWidth="1"/>
    <col min="4" max="4" width="43.5546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 s="122"/>
      <c r="B1" s="123"/>
      <c r="C1" s="123"/>
      <c r="D1" s="124"/>
      <c r="E1" s="125"/>
      <c r="F1" s="124"/>
      <c r="G1" s="126"/>
    </row>
    <row r="2" spans="1:9" ht="36" customHeight="1" thickBot="1" x14ac:dyDescent="0.65">
      <c r="A2" s="127"/>
      <c r="B2" s="128"/>
      <c r="C2" s="128"/>
      <c r="D2" s="39"/>
      <c r="E2" s="40"/>
      <c r="F2" s="40"/>
      <c r="G2" s="140"/>
      <c r="I2" s="1">
        <v>0</v>
      </c>
    </row>
    <row r="3" spans="1:9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 s="127"/>
      <c r="B4" s="128"/>
      <c r="C4" s="128"/>
      <c r="D4" s="38" t="s">
        <v>1224</v>
      </c>
      <c r="E4" s="41">
        <f>+SUM(BERNARD40414243[TOTAL MONTANT])</f>
        <v>11612500</v>
      </c>
      <c r="F4" s="41">
        <f>+SUM(BERNARD40414243[VERSEMENT])</f>
        <v>0</v>
      </c>
      <c r="G4" s="130">
        <f>+E4-F4</f>
        <v>11612500</v>
      </c>
    </row>
    <row r="5" spans="1:9" ht="29.4" thickBot="1" x14ac:dyDescent="0.35">
      <c r="A5" s="131"/>
      <c r="B5" s="3" t="s">
        <v>7</v>
      </c>
      <c r="C5" s="132"/>
      <c r="D5" s="133"/>
      <c r="E5" s="133"/>
      <c r="F5" s="132"/>
      <c r="G5" s="134"/>
    </row>
    <row r="6" spans="1:9" ht="37.200000000000003" thickBot="1" x14ac:dyDescent="0.75">
      <c r="A6" s="131"/>
      <c r="B6" s="168" t="s">
        <v>1228</v>
      </c>
      <c r="C6" s="169"/>
      <c r="D6" s="133"/>
      <c r="E6" s="133"/>
      <c r="F6" s="132"/>
      <c r="G6" s="134"/>
    </row>
    <row r="7" spans="1:9" ht="15" thickBot="1" x14ac:dyDescent="0.35">
      <c r="A7" s="136"/>
      <c r="B7" s="137"/>
      <c r="C7" s="137"/>
      <c r="D7" s="138"/>
      <c r="E7" s="138"/>
      <c r="F7" s="137"/>
      <c r="G7" s="139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/>
      <c r="B9" s="13"/>
      <c r="C9" s="10"/>
      <c r="D9" s="10"/>
      <c r="E9" s="7">
        <f>+$I$2+(BERNARD40414243[[#This Row],[QUANTITE]]*BERNARD40414243[[#This Row],[PRIX UNITAIRE]])</f>
        <v>0</v>
      </c>
      <c r="F9" s="20"/>
      <c r="G9" s="10">
        <f>SUM(E$9:$E9)-SUM(F$9:$F9)</f>
        <v>0</v>
      </c>
    </row>
    <row r="10" spans="1:9" ht="28.8" x14ac:dyDescent="0.55000000000000004">
      <c r="A10" s="12"/>
      <c r="B10" s="13"/>
      <c r="C10" s="10"/>
      <c r="D10" s="10"/>
      <c r="E10" s="7">
        <f>+$I$2+(BERNARD40414243[[#This Row],[QUANTITE]]*BERNARD40414243[[#This Row],[PRIX UNITAIRE]])</f>
        <v>0</v>
      </c>
      <c r="F10" s="21"/>
      <c r="G10" s="6">
        <f>SUM(E$9:$E10)-SUM(F$9:$F10)</f>
        <v>0</v>
      </c>
    </row>
    <row r="11" spans="1:9" ht="28.8" x14ac:dyDescent="0.55000000000000004">
      <c r="A11" s="12"/>
      <c r="B11" s="13"/>
      <c r="C11" s="10"/>
      <c r="D11" s="10"/>
      <c r="E11" s="7">
        <f>+$I$2+(BERNARD40414243[[#This Row],[QUANTITE]]*BERNARD40414243[[#This Row],[PRIX UNITAIRE]])</f>
        <v>0</v>
      </c>
      <c r="F11" s="14"/>
      <c r="G11" s="6">
        <f>SUM(E$9:$E11)-SUM(F$9:$F11)</f>
        <v>0</v>
      </c>
    </row>
    <row r="12" spans="1:9" ht="28.8" x14ac:dyDescent="0.55000000000000004">
      <c r="A12" s="12"/>
      <c r="B12" s="13"/>
      <c r="C12" s="10"/>
      <c r="D12" s="10"/>
      <c r="E12" s="7">
        <f>+$I$2+(BERNARD40414243[[#This Row],[QUANTITE]]*BERNARD40414243[[#This Row],[PRIX UNITAIRE]])</f>
        <v>0</v>
      </c>
      <c r="F12" s="14"/>
      <c r="G12" s="6">
        <f>SUM(E$9:$E12)-SUM(F$9:$F12)</f>
        <v>0</v>
      </c>
    </row>
    <row r="13" spans="1:9" ht="28.8" x14ac:dyDescent="0.55000000000000004">
      <c r="A13" s="12"/>
      <c r="B13" s="13"/>
      <c r="C13" s="10"/>
      <c r="D13" s="10"/>
      <c r="E13" s="7">
        <f>+$I$2+(BERNARD40414243[[#This Row],[QUANTITE]]*BERNARD40414243[[#This Row],[PRIX UNITAIRE]])</f>
        <v>0</v>
      </c>
      <c r="F13" s="14"/>
      <c r="G13" s="6">
        <f>SUM(E$9:$E13)-SUM(F$9:$F13)</f>
        <v>0</v>
      </c>
    </row>
    <row r="14" spans="1:9" ht="28.8" x14ac:dyDescent="0.55000000000000004">
      <c r="A14" s="12"/>
      <c r="B14" s="13"/>
      <c r="C14" s="10"/>
      <c r="D14" s="10"/>
      <c r="E14" s="7">
        <f>+$I$2+(BERNARD40414243[[#This Row],[QUANTITE]]*BERNARD40414243[[#This Row],[PRIX UNITAIRE]])</f>
        <v>0</v>
      </c>
      <c r="F14" s="14"/>
      <c r="G14" s="6">
        <f>SUM(E$9:$E14)-SUM(F$9:$F14)</f>
        <v>0</v>
      </c>
    </row>
    <row r="15" spans="1:9" ht="28.8" x14ac:dyDescent="0.55000000000000004">
      <c r="A15" s="12"/>
      <c r="B15" s="13"/>
      <c r="C15" s="10"/>
      <c r="D15" s="10"/>
      <c r="E15" s="7">
        <f>+$I$2+(BERNARD40414243[[#This Row],[QUANTITE]]*BERNARD40414243[[#This Row],[PRIX UNITAIRE]])</f>
        <v>0</v>
      </c>
      <c r="F15" s="14"/>
      <c r="G15" s="6">
        <f>SUM(E$9:$E15)-SUM(F$9:$F15)</f>
        <v>0</v>
      </c>
    </row>
    <row r="16" spans="1:9" ht="28.8" x14ac:dyDescent="0.55000000000000004">
      <c r="A16" s="12"/>
      <c r="B16" s="13"/>
      <c r="C16" s="10"/>
      <c r="D16" s="10"/>
      <c r="E16" s="7">
        <f>+$I$2+(BERNARD40414243[[#This Row],[QUANTITE]]*BERNARD40414243[[#This Row],[PRIX UNITAIRE]])</f>
        <v>0</v>
      </c>
      <c r="F16" s="14"/>
      <c r="G16" s="6">
        <f>SUM(E$9:$E16)-SUM(F$9:$F16)</f>
        <v>0</v>
      </c>
    </row>
    <row r="17" spans="1:7" ht="28.8" x14ac:dyDescent="0.55000000000000004">
      <c r="A17" s="12"/>
      <c r="B17" s="13"/>
      <c r="C17" s="10"/>
      <c r="D17" s="10"/>
      <c r="E17" s="7">
        <f>+$I$2+(BERNARD40414243[[#This Row],[QUANTITE]]*BERNARD40414243[[#This Row],[PRIX UNITAIRE]])</f>
        <v>0</v>
      </c>
      <c r="F17" s="14"/>
      <c r="G17" s="6">
        <f>SUM(E$9:$E17)-SUM(F$9:$F17)</f>
        <v>0</v>
      </c>
    </row>
    <row r="18" spans="1:7" ht="28.8" x14ac:dyDescent="0.55000000000000004">
      <c r="A18" s="12"/>
      <c r="B18" s="13"/>
      <c r="C18" s="10"/>
      <c r="D18" s="10"/>
      <c r="E18" s="7">
        <f>+$I$2+(BERNARD40414243[[#This Row],[QUANTITE]]*BERNARD40414243[[#This Row],[PRIX UNITAIRE]])</f>
        <v>0</v>
      </c>
      <c r="F18" s="14"/>
      <c r="G18" s="6">
        <f>SUM(E$9:$E18)-SUM(F$9:$F18)</f>
        <v>0</v>
      </c>
    </row>
    <row r="19" spans="1:7" ht="28.8" x14ac:dyDescent="0.55000000000000004">
      <c r="A19" s="12"/>
      <c r="B19" s="13"/>
      <c r="C19" s="10"/>
      <c r="D19" s="10"/>
      <c r="E19" s="7">
        <f>+$I$2+(BERNARD40414243[[#This Row],[QUANTITE]]*BERNARD40414243[[#This Row],[PRIX UNITAIRE]])</f>
        <v>0</v>
      </c>
      <c r="F19" s="14"/>
      <c r="G19" s="6">
        <f>SUM(E$9:$E19)-SUM(F$9:$F19)</f>
        <v>0</v>
      </c>
    </row>
    <row r="20" spans="1:7" ht="28.8" x14ac:dyDescent="0.55000000000000004">
      <c r="A20" s="12"/>
      <c r="B20" s="13"/>
      <c r="C20" s="10"/>
      <c r="D20" s="10"/>
      <c r="E20" s="7">
        <f>+$I$2+(BERNARD40414243[[#This Row],[QUANTITE]]*BERNARD40414243[[#This Row],[PRIX UNITAIRE]])</f>
        <v>0</v>
      </c>
      <c r="F20" s="14"/>
      <c r="G20" s="6">
        <f>SUM(E$9:$E20)-SUM(F$9:$F20)</f>
        <v>0</v>
      </c>
    </row>
    <row r="21" spans="1:7" ht="28.8" x14ac:dyDescent="0.55000000000000004">
      <c r="A21" s="12"/>
      <c r="B21" s="13"/>
      <c r="C21" s="10"/>
      <c r="D21" s="10"/>
      <c r="E21" s="7">
        <f>+$I$2+(BERNARD40414243[[#This Row],[QUANTITE]]*BERNARD40414243[[#This Row],[PRIX UNITAIRE]])</f>
        <v>0</v>
      </c>
      <c r="F21" s="14"/>
      <c r="G21" s="6">
        <f>SUM(E$9:$E21)-SUM(F$9:$F21)</f>
        <v>0</v>
      </c>
    </row>
    <row r="22" spans="1:7" ht="28.8" x14ac:dyDescent="0.55000000000000004">
      <c r="A22" s="12"/>
      <c r="B22" s="13"/>
      <c r="C22" s="10"/>
      <c r="D22" s="10"/>
      <c r="E22" s="7">
        <f>+$I$2+(BERNARD40414243[[#This Row],[QUANTITE]]*BERNARD40414243[[#This Row],[PRIX UNITAIRE]])</f>
        <v>0</v>
      </c>
      <c r="F22" s="14"/>
      <c r="G22" s="6">
        <f>SUM(E$9:$E22)-SUM(F$9:$F22)</f>
        <v>0</v>
      </c>
    </row>
    <row r="23" spans="1:7" ht="28.8" x14ac:dyDescent="0.55000000000000004">
      <c r="A23" s="12"/>
      <c r="B23" s="13"/>
      <c r="C23" s="10"/>
      <c r="D23" s="10"/>
      <c r="E23" s="7">
        <f>+$I$2+(BERNARD40414243[[#This Row],[QUANTITE]]*BERNARD40414243[[#This Row],[PRIX UNITAIRE]])</f>
        <v>0</v>
      </c>
      <c r="F23" s="14"/>
      <c r="G23" s="6">
        <f>SUM(E$9:$E23)-SUM(F$9:$F23)</f>
        <v>0</v>
      </c>
    </row>
    <row r="24" spans="1:7" ht="28.8" x14ac:dyDescent="0.55000000000000004">
      <c r="A24" s="12"/>
      <c r="B24" s="13"/>
      <c r="C24" s="10"/>
      <c r="D24" s="10"/>
      <c r="E24" s="7">
        <f>+$I$2+(BERNARD40414243[[#This Row],[QUANTITE]]*BERNARD40414243[[#This Row],[PRIX UNITAIRE]])</f>
        <v>0</v>
      </c>
      <c r="F24" s="14"/>
      <c r="G24" s="6">
        <f>SUM(E$9:$E24)-SUM(F$9:$F24)</f>
        <v>0</v>
      </c>
    </row>
    <row r="25" spans="1:7" ht="28.8" x14ac:dyDescent="0.55000000000000004">
      <c r="A25" s="12"/>
      <c r="B25" s="13"/>
      <c r="C25" s="10"/>
      <c r="D25" s="10"/>
      <c r="E25" s="7">
        <f>+$I$2+(BERNARD40414243[[#This Row],[QUANTITE]]*BERNARD40414243[[#This Row],[PRIX UNITAIRE]])</f>
        <v>0</v>
      </c>
      <c r="F25" s="14"/>
      <c r="G25" s="6">
        <f>SUM(E$9:$E25)-SUM(F$9:$F25)</f>
        <v>0</v>
      </c>
    </row>
    <row r="26" spans="1:7" ht="28.8" x14ac:dyDescent="0.55000000000000004">
      <c r="A26" s="12"/>
      <c r="B26" s="13"/>
      <c r="C26" s="10"/>
      <c r="D26" s="10"/>
      <c r="E26" s="7">
        <f>+$I$2+(BERNARD40414243[[#This Row],[QUANTITE]]*BERNARD40414243[[#This Row],[PRIX UNITAIRE]])</f>
        <v>0</v>
      </c>
      <c r="F26" s="14"/>
      <c r="G26" s="6">
        <f>SUM(E$9:$E26)-SUM(F$9:$F26)</f>
        <v>0</v>
      </c>
    </row>
    <row r="27" spans="1:7" ht="28.8" x14ac:dyDescent="0.55000000000000004">
      <c r="A27" s="12"/>
      <c r="B27" s="13"/>
      <c r="C27" s="10"/>
      <c r="D27" s="10"/>
      <c r="E27" s="7">
        <f>+$I$2+(BERNARD40414243[[#This Row],[QUANTITE]]*BERNARD40414243[[#This Row],[PRIX UNITAIRE]])</f>
        <v>0</v>
      </c>
      <c r="F27" s="14"/>
      <c r="G27" s="6">
        <f>SUM(E$9:$E27)-SUM(F$9:$F27)</f>
        <v>0</v>
      </c>
    </row>
    <row r="28" spans="1:7" ht="28.8" x14ac:dyDescent="0.55000000000000004">
      <c r="A28" s="12"/>
      <c r="B28" s="13"/>
      <c r="C28" s="10"/>
      <c r="D28" s="10"/>
      <c r="E28" s="7">
        <f>+$I$2+(BERNARD40414243[[#This Row],[QUANTITE]]*BERNARD40414243[[#This Row],[PRIX UNITAIRE]])</f>
        <v>0</v>
      </c>
      <c r="F28" s="14"/>
      <c r="G28" s="6">
        <f>SUM(E$9:$E28)-SUM(F$9:$F28)</f>
        <v>0</v>
      </c>
    </row>
    <row r="29" spans="1:7" ht="28.8" x14ac:dyDescent="0.55000000000000004">
      <c r="A29" s="12"/>
      <c r="B29" s="13"/>
      <c r="C29" s="10"/>
      <c r="D29" s="10"/>
      <c r="E29" s="7">
        <f>+$I$2+(BERNARD40414243[[#This Row],[QUANTITE]]*BERNARD40414243[[#This Row],[PRIX UNITAIRE]])</f>
        <v>0</v>
      </c>
      <c r="F29" s="14"/>
      <c r="G29" s="6">
        <f>SUM(E$9:$E29)-SUM(F$9:$F29)</f>
        <v>0</v>
      </c>
    </row>
    <row r="30" spans="1:7" ht="28.8" x14ac:dyDescent="0.55000000000000004">
      <c r="A30" s="12">
        <v>46099</v>
      </c>
      <c r="B30" s="13" t="s">
        <v>3531</v>
      </c>
      <c r="C30" s="10">
        <v>1</v>
      </c>
      <c r="D30" s="10">
        <v>11612500</v>
      </c>
      <c r="E30" s="7">
        <f>+$I$2+(BERNARD40414243[[#This Row],[QUANTITE]]*BERNARD40414243[[#This Row],[PRIX UNITAIRE]])</f>
        <v>11612500</v>
      </c>
      <c r="F30" s="14"/>
      <c r="G30" s="6">
        <f>SUM(E$9:$E30)-SUM(F$9:$F30)</f>
        <v>11612500</v>
      </c>
    </row>
    <row r="31" spans="1:7" ht="28.8" x14ac:dyDescent="0.55000000000000004">
      <c r="A31" s="12"/>
      <c r="B31" s="13"/>
      <c r="C31" s="10"/>
      <c r="D31" s="10"/>
      <c r="E31" s="7">
        <f>+$I$2+(BERNARD40414243[[#This Row],[QUANTITE]]*BERNARD40414243[[#This Row],[PRIX UNITAIRE]])</f>
        <v>0</v>
      </c>
      <c r="F31" s="14"/>
      <c r="G31" s="6">
        <f>SUM(E$9:$E31)-SUM(F$9:$F31)</f>
        <v>11612500</v>
      </c>
    </row>
    <row r="32" spans="1:7" ht="28.8" x14ac:dyDescent="0.55000000000000004">
      <c r="A32" s="12"/>
      <c r="B32" s="13"/>
      <c r="C32" s="10"/>
      <c r="D32" s="10"/>
      <c r="E32" s="7">
        <f>+$I$2+(BERNARD40414243[[#This Row],[QUANTITE]]*BERNARD40414243[[#This Row],[PRIX UNITAIRE]])</f>
        <v>0</v>
      </c>
      <c r="F32" s="14"/>
      <c r="G32" s="6">
        <f>SUM(E$9:$E32)-SUM(F$9:$F32)</f>
        <v>11612500</v>
      </c>
    </row>
    <row r="33" spans="1:7" ht="28.8" x14ac:dyDescent="0.55000000000000004">
      <c r="A33" s="12"/>
      <c r="B33" s="13"/>
      <c r="C33" s="10"/>
      <c r="D33" s="10"/>
      <c r="E33" s="7">
        <f>+$I$2+(BERNARD40414243[[#This Row],[QUANTITE]]*BERNARD40414243[[#This Row],[PRIX UNITAIRE]])</f>
        <v>0</v>
      </c>
      <c r="F33" s="14"/>
      <c r="G33" s="6">
        <f>SUM(E$9:$E33)-SUM(F$9:$F33)</f>
        <v>11612500</v>
      </c>
    </row>
    <row r="34" spans="1:7" ht="28.8" x14ac:dyDescent="0.55000000000000004">
      <c r="A34" s="12"/>
      <c r="B34" s="13"/>
      <c r="C34" s="10"/>
      <c r="D34" s="10"/>
      <c r="E34" s="7">
        <f>+$I$2+(BERNARD40414243[[#This Row],[QUANTITE]]*BERNARD40414243[[#This Row],[PRIX UNITAIRE]])</f>
        <v>0</v>
      </c>
      <c r="F34" s="14"/>
      <c r="G34" s="6">
        <f>SUM(E$9:$E34)-SUM(F$9:$F34)</f>
        <v>11612500</v>
      </c>
    </row>
    <row r="35" spans="1:7" ht="28.8" x14ac:dyDescent="0.55000000000000004">
      <c r="A35" s="12"/>
      <c r="B35" s="13"/>
      <c r="C35" s="10"/>
      <c r="D35" s="10"/>
      <c r="E35" s="7">
        <f>+$I$2+(BERNARD40414243[[#This Row],[QUANTITE]]*BERNARD40414243[[#This Row],[PRIX UNITAIRE]])</f>
        <v>0</v>
      </c>
      <c r="F35" s="14"/>
      <c r="G35" s="6">
        <f>SUM(E$9:$E35)-SUM(F$9:$F35)</f>
        <v>11612500</v>
      </c>
    </row>
    <row r="36" spans="1:7" ht="28.8" x14ac:dyDescent="0.55000000000000004">
      <c r="A36" s="12"/>
      <c r="B36" s="13"/>
      <c r="C36" s="10"/>
      <c r="D36" s="10"/>
      <c r="E36" s="7">
        <f>+$I$2+(BERNARD40414243[[#This Row],[QUANTITE]]*BERNARD40414243[[#This Row],[PRIX UNITAIRE]])</f>
        <v>0</v>
      </c>
      <c r="F36" s="14"/>
      <c r="G36" s="6">
        <f>SUM(E$9:$E36)-SUM(F$9:$F36)</f>
        <v>11612500</v>
      </c>
    </row>
    <row r="37" spans="1:7" ht="28.8" x14ac:dyDescent="0.55000000000000004">
      <c r="A37" s="12"/>
      <c r="B37" s="13"/>
      <c r="C37" s="10"/>
      <c r="D37" s="10"/>
      <c r="E37" s="7">
        <f>+$I$2+(BERNARD40414243[[#This Row],[QUANTITE]]*BERNARD40414243[[#This Row],[PRIX UNITAIRE]])</f>
        <v>0</v>
      </c>
      <c r="F37" s="14"/>
      <c r="G37" s="6">
        <f>SUM(E$9:$E37)-SUM(F$9:$F37)</f>
        <v>11612500</v>
      </c>
    </row>
    <row r="38" spans="1:7" ht="28.8" x14ac:dyDescent="0.55000000000000004">
      <c r="A38" s="12"/>
      <c r="B38" s="13"/>
      <c r="C38" s="10"/>
      <c r="D38" s="10"/>
      <c r="E38" s="7">
        <f>+$I$2+(BERNARD40414243[[#This Row],[QUANTITE]]*BERNARD40414243[[#This Row],[PRIX UNITAIRE]])</f>
        <v>0</v>
      </c>
      <c r="F38" s="14"/>
      <c r="G38" s="6">
        <f>SUM(E$9:$E38)-SUM(F$9:$F38)</f>
        <v>11612500</v>
      </c>
    </row>
    <row r="39" spans="1:7" ht="28.8" x14ac:dyDescent="0.55000000000000004">
      <c r="A39" s="12"/>
      <c r="B39" s="13"/>
      <c r="C39" s="10"/>
      <c r="D39" s="10"/>
      <c r="E39" s="7">
        <f>+$I$2+(BERNARD40414243[[#This Row],[QUANTITE]]*BERNARD40414243[[#This Row],[PRIX UNITAIRE]])</f>
        <v>0</v>
      </c>
      <c r="F39" s="14"/>
      <c r="G39" s="6">
        <f>SUM(E$9:$E39)-SUM(F$9:$F39)</f>
        <v>11612500</v>
      </c>
    </row>
    <row r="40" spans="1:7" ht="28.8" x14ac:dyDescent="0.55000000000000004">
      <c r="A40" s="12"/>
      <c r="B40" s="13"/>
      <c r="C40" s="10"/>
      <c r="D40" s="10"/>
      <c r="E40" s="7">
        <f>+$I$2+(BERNARD40414243[[#This Row],[QUANTITE]]*BERNARD40414243[[#This Row],[PRIX UNITAIRE]])</f>
        <v>0</v>
      </c>
      <c r="F40" s="14"/>
      <c r="G40" s="6">
        <f>SUM(E$9:$E40)-SUM(F$9:$F40)</f>
        <v>11612500</v>
      </c>
    </row>
    <row r="41" spans="1:7" ht="28.8" x14ac:dyDescent="0.55000000000000004">
      <c r="A41" s="12"/>
      <c r="B41" s="13"/>
      <c r="C41" s="10"/>
      <c r="D41" s="10"/>
      <c r="E41" s="7">
        <f>+$I$2+(BERNARD40414243[[#This Row],[QUANTITE]]*BERNARD40414243[[#This Row],[PRIX UNITAIRE]])</f>
        <v>0</v>
      </c>
      <c r="F41" s="14"/>
      <c r="G41" s="6">
        <f>SUM(E$9:$E41)-SUM(F$9:$F41)</f>
        <v>11612500</v>
      </c>
    </row>
    <row r="42" spans="1:7" ht="28.8" x14ac:dyDescent="0.55000000000000004">
      <c r="A42" s="12"/>
      <c r="B42" s="13"/>
      <c r="C42" s="10"/>
      <c r="D42" s="10"/>
      <c r="E42" s="7">
        <f>+$I$2+(BERNARD40414243[[#This Row],[QUANTITE]]*BERNARD40414243[[#This Row],[PRIX UNITAIRE]])</f>
        <v>0</v>
      </c>
      <c r="F42" s="14"/>
      <c r="G42" s="6">
        <f>SUM(E$9:$E42)-SUM(F$9:$F42)</f>
        <v>11612500</v>
      </c>
    </row>
    <row r="43" spans="1:7" ht="28.8" x14ac:dyDescent="0.55000000000000004">
      <c r="A43" s="12"/>
      <c r="B43" s="13"/>
      <c r="C43" s="10"/>
      <c r="D43" s="10"/>
      <c r="E43" s="7">
        <f>+$I$2+(BERNARD40414243[[#This Row],[QUANTITE]]*BERNARD40414243[[#This Row],[PRIX UNITAIRE]])</f>
        <v>0</v>
      </c>
      <c r="F43" s="14"/>
      <c r="G43" s="6">
        <f>SUM(E$9:$E43)-SUM(F$9:$F43)</f>
        <v>11612500</v>
      </c>
    </row>
    <row r="44" spans="1:7" ht="28.8" x14ac:dyDescent="0.55000000000000004">
      <c r="A44" s="12"/>
      <c r="B44" s="13"/>
      <c r="C44" s="10"/>
      <c r="D44" s="10"/>
      <c r="E44" s="7">
        <f>+$I$2+(BERNARD40414243[[#This Row],[QUANTITE]]*BERNARD40414243[[#This Row],[PRIX UNITAIRE]])</f>
        <v>0</v>
      </c>
      <c r="F44" s="14"/>
      <c r="G44" s="6">
        <f>SUM(E$9:$E44)-SUM(F$9:$F44)</f>
        <v>11612500</v>
      </c>
    </row>
    <row r="45" spans="1:7" ht="28.8" x14ac:dyDescent="0.55000000000000004">
      <c r="A45" s="12"/>
      <c r="B45" s="13"/>
      <c r="C45" s="10"/>
      <c r="D45" s="10"/>
      <c r="E45" s="7">
        <f>+$I$2+(BERNARD40414243[[#This Row],[QUANTITE]]*BERNARD40414243[[#This Row],[PRIX UNITAIRE]])</f>
        <v>0</v>
      </c>
      <c r="F45" s="14"/>
      <c r="G45" s="6">
        <f>SUM(E$9:$E45)-SUM(F$9:$F45)</f>
        <v>11612500</v>
      </c>
    </row>
    <row r="46" spans="1:7" ht="28.8" x14ac:dyDescent="0.55000000000000004">
      <c r="A46" s="12"/>
      <c r="B46" s="13"/>
      <c r="C46" s="10"/>
      <c r="D46" s="10"/>
      <c r="E46" s="7">
        <f>+$I$2+(BERNARD40414243[[#This Row],[QUANTITE]]*BERNARD40414243[[#This Row],[PRIX UNITAIRE]])</f>
        <v>0</v>
      </c>
      <c r="F46" s="14"/>
      <c r="G46" s="6">
        <f>SUM(E$9:$E46)-SUM(F$9:$F46)</f>
        <v>11612500</v>
      </c>
    </row>
    <row r="47" spans="1:7" ht="28.8" x14ac:dyDescent="0.55000000000000004">
      <c r="A47" s="12"/>
      <c r="B47" s="13"/>
      <c r="C47" s="10"/>
      <c r="D47" s="10"/>
      <c r="E47" s="7">
        <f>+$I$2+(BERNARD40414243[[#This Row],[QUANTITE]]*BERNARD40414243[[#This Row],[PRIX UNITAIRE]])</f>
        <v>0</v>
      </c>
      <c r="F47" s="14"/>
      <c r="G47" s="6">
        <f>SUM(E$9:$E47)-SUM(F$9:$F47)</f>
        <v>11612500</v>
      </c>
    </row>
    <row r="48" spans="1:7" ht="28.8" x14ac:dyDescent="0.55000000000000004">
      <c r="A48" s="12"/>
      <c r="B48" s="13"/>
      <c r="C48" s="10"/>
      <c r="D48" s="10"/>
      <c r="E48" s="7">
        <f>+$I$2+(BERNARD40414243[[#This Row],[QUANTITE]]*BERNARD40414243[[#This Row],[PRIX UNITAIRE]])</f>
        <v>0</v>
      </c>
      <c r="F48" s="14"/>
      <c r="G48" s="6">
        <f>SUM(E$9:$E48)-SUM(F$9:$F48)</f>
        <v>11612500</v>
      </c>
    </row>
    <row r="49" spans="1:7" ht="28.8" x14ac:dyDescent="0.55000000000000004">
      <c r="A49" s="12"/>
      <c r="B49" s="13"/>
      <c r="C49" s="10"/>
      <c r="D49" s="10"/>
      <c r="E49" s="7">
        <f>+$I$2+(BERNARD40414243[[#This Row],[QUANTITE]]*BERNARD40414243[[#This Row],[PRIX UNITAIRE]])</f>
        <v>0</v>
      </c>
      <c r="F49" s="14"/>
      <c r="G49" s="6">
        <f>SUM(E$9:$E49)-SUM(F$9:$F49)</f>
        <v>11612500</v>
      </c>
    </row>
    <row r="50" spans="1:7" ht="28.8" x14ac:dyDescent="0.55000000000000004">
      <c r="A50" s="12"/>
      <c r="B50" s="13"/>
      <c r="C50" s="10"/>
      <c r="D50" s="10"/>
      <c r="E50" s="7">
        <f>+$I$2+(BERNARD40414243[[#This Row],[QUANTITE]]*BERNARD40414243[[#This Row],[PRIX UNITAIRE]])</f>
        <v>0</v>
      </c>
      <c r="F50" s="14"/>
      <c r="G50" s="6">
        <f>SUM(E$9:$E50)-SUM(F$9:$F50)</f>
        <v>11612500</v>
      </c>
    </row>
    <row r="51" spans="1:7" ht="28.8" x14ac:dyDescent="0.55000000000000004">
      <c r="A51" s="12"/>
      <c r="B51" s="13"/>
      <c r="C51" s="10"/>
      <c r="D51" s="10"/>
      <c r="E51" s="7">
        <f>+$I$2+(BERNARD40414243[[#This Row],[QUANTITE]]*BERNARD40414243[[#This Row],[PRIX UNITAIRE]])</f>
        <v>0</v>
      </c>
      <c r="F51" s="14"/>
      <c r="G51" s="6">
        <f>SUM(E$9:$E51)-SUM(F$9:$F51)</f>
        <v>11612500</v>
      </c>
    </row>
    <row r="52" spans="1:7" ht="28.8" x14ac:dyDescent="0.55000000000000004">
      <c r="A52" s="12"/>
      <c r="B52" s="13"/>
      <c r="C52" s="10"/>
      <c r="D52" s="10"/>
      <c r="E52" s="7">
        <f>+$I$2+(BERNARD40414243[[#This Row],[QUANTITE]]*BERNARD40414243[[#This Row],[PRIX UNITAIRE]])</f>
        <v>0</v>
      </c>
      <c r="F52" s="14"/>
      <c r="G52" s="6">
        <f>SUM(E$9:$E52)-SUM(F$9:$F52)</f>
        <v>11612500</v>
      </c>
    </row>
    <row r="53" spans="1:7" ht="28.8" x14ac:dyDescent="0.55000000000000004">
      <c r="A53" s="12"/>
      <c r="B53" s="13"/>
      <c r="C53" s="10"/>
      <c r="D53" s="10"/>
      <c r="E53" s="7">
        <f>+$I$2+(BERNARD40414243[[#This Row],[QUANTITE]]*BERNARD40414243[[#This Row],[PRIX UNITAIRE]])</f>
        <v>0</v>
      </c>
      <c r="F53" s="14"/>
      <c r="G53" s="6">
        <f>SUM(E$9:$E53)-SUM(F$9:$F53)</f>
        <v>11612500</v>
      </c>
    </row>
    <row r="54" spans="1:7" ht="28.8" x14ac:dyDescent="0.55000000000000004">
      <c r="A54" s="12"/>
      <c r="B54" s="13"/>
      <c r="C54" s="10"/>
      <c r="D54" s="10"/>
      <c r="E54" s="7">
        <f>+$I$2+(BERNARD40414243[[#This Row],[QUANTITE]]*BERNARD40414243[[#This Row],[PRIX UNITAIRE]])</f>
        <v>0</v>
      </c>
      <c r="F54" s="14"/>
      <c r="G54" s="6">
        <f>SUM(E$9:$E54)-SUM(F$9:$F54)</f>
        <v>11612500</v>
      </c>
    </row>
    <row r="55" spans="1:7" ht="28.8" x14ac:dyDescent="0.55000000000000004">
      <c r="A55" s="12"/>
      <c r="B55" s="13"/>
      <c r="C55" s="10"/>
      <c r="D55" s="10"/>
      <c r="E55" s="7">
        <f>+$I$2+(BERNARD40414243[[#This Row],[QUANTITE]]*BERNARD40414243[[#This Row],[PRIX UNITAIRE]])</f>
        <v>0</v>
      </c>
      <c r="F55" s="14"/>
      <c r="G55" s="6">
        <f>SUM(E$9:$E55)-SUM(F$9:$F55)</f>
        <v>11612500</v>
      </c>
    </row>
    <row r="56" spans="1:7" ht="28.8" x14ac:dyDescent="0.55000000000000004">
      <c r="A56" s="12"/>
      <c r="B56" s="13"/>
      <c r="C56" s="10"/>
      <c r="D56" s="10"/>
      <c r="E56" s="7">
        <f>+$I$2+(BERNARD40414243[[#This Row],[QUANTITE]]*BERNARD40414243[[#This Row],[PRIX UNITAIRE]])</f>
        <v>0</v>
      </c>
      <c r="F56" s="14"/>
      <c r="G56" s="6">
        <f>SUM(E$9:$E56)-SUM(F$9:$F56)</f>
        <v>11612500</v>
      </c>
    </row>
    <row r="57" spans="1:7" ht="28.8" x14ac:dyDescent="0.55000000000000004">
      <c r="A57" s="12"/>
      <c r="B57" s="13"/>
      <c r="C57" s="10"/>
      <c r="D57" s="10"/>
      <c r="E57" s="7">
        <f>+$I$2+(BERNARD40414243[[#This Row],[QUANTITE]]*BERNARD40414243[[#This Row],[PRIX UNITAIRE]])</f>
        <v>0</v>
      </c>
      <c r="F57" s="14"/>
      <c r="G57" s="6">
        <f>SUM(E$9:$E57)-SUM(F$9:$F57)</f>
        <v>11612500</v>
      </c>
    </row>
    <row r="58" spans="1:7" ht="28.8" x14ac:dyDescent="0.55000000000000004">
      <c r="A58" s="12"/>
      <c r="B58" s="13"/>
      <c r="C58" s="10"/>
      <c r="D58" s="10"/>
      <c r="E58" s="7">
        <f>+$I$2+(BERNARD40414243[[#This Row],[QUANTITE]]*BERNARD40414243[[#This Row],[PRIX UNITAIRE]])</f>
        <v>0</v>
      </c>
      <c r="F58" s="14"/>
      <c r="G58" s="6">
        <f>SUM(E$9:$E58)-SUM(F$9:$F58)</f>
        <v>11612500</v>
      </c>
    </row>
    <row r="59" spans="1:7" ht="28.8" x14ac:dyDescent="0.55000000000000004">
      <c r="A59" s="12"/>
      <c r="B59" s="13"/>
      <c r="C59" s="10"/>
      <c r="D59" s="10"/>
      <c r="E59" s="7">
        <f>+$I$2+(BERNARD40414243[[#This Row],[QUANTITE]]*BERNARD40414243[[#This Row],[PRIX UNITAIRE]])</f>
        <v>0</v>
      </c>
      <c r="F59" s="14"/>
      <c r="G59" s="6">
        <f>SUM(E$9:$E59)-SUM(F$9:$F59)</f>
        <v>11612500</v>
      </c>
    </row>
    <row r="60" spans="1:7" ht="28.8" x14ac:dyDescent="0.55000000000000004">
      <c r="A60" s="12"/>
      <c r="B60" s="13"/>
      <c r="C60" s="10"/>
      <c r="D60" s="10"/>
      <c r="E60" s="7">
        <f>+$I$2+(BERNARD40414243[[#This Row],[QUANTITE]]*BERNARD40414243[[#This Row],[PRIX UNITAIRE]])</f>
        <v>0</v>
      </c>
      <c r="F60" s="14"/>
      <c r="G60" s="6">
        <f>SUM(E$9:$E60)-SUM(F$9:$F60)</f>
        <v>11612500</v>
      </c>
    </row>
    <row r="61" spans="1:7" ht="28.8" x14ac:dyDescent="0.55000000000000004">
      <c r="A61" s="12"/>
      <c r="B61" s="13"/>
      <c r="C61" s="10"/>
      <c r="D61" s="10"/>
      <c r="E61" s="7">
        <f>+$I$2+(BERNARD40414243[[#This Row],[QUANTITE]]*BERNARD40414243[[#This Row],[PRIX UNITAIRE]])</f>
        <v>0</v>
      </c>
      <c r="F61" s="14"/>
      <c r="G61" s="6">
        <f>SUM(E$9:$E61)-SUM(F$9:$F61)</f>
        <v>11612500</v>
      </c>
    </row>
    <row r="62" spans="1:7" ht="28.8" x14ac:dyDescent="0.55000000000000004">
      <c r="A62" s="12"/>
      <c r="B62" s="13"/>
      <c r="C62" s="10"/>
      <c r="D62" s="10"/>
      <c r="E62" s="7">
        <f>+$I$2+(BERNARD40414243[[#This Row],[QUANTITE]]*BERNARD40414243[[#This Row],[PRIX UNITAIRE]])</f>
        <v>0</v>
      </c>
      <c r="F62" s="14"/>
      <c r="G62" s="6">
        <f>SUM(E$9:$E62)-SUM(F$9:$F62)</f>
        <v>11612500</v>
      </c>
    </row>
    <row r="63" spans="1:7" ht="28.8" x14ac:dyDescent="0.55000000000000004">
      <c r="A63" s="12"/>
      <c r="B63" s="13"/>
      <c r="C63" s="10"/>
      <c r="D63" s="10"/>
      <c r="E63" s="7">
        <f>+$I$2+(BERNARD40414243[[#This Row],[QUANTITE]]*BERNARD40414243[[#This Row],[PRIX UNITAIRE]])</f>
        <v>0</v>
      </c>
      <c r="F63" s="14"/>
      <c r="G63" s="6">
        <f>SUM(E$9:$E63)-SUM(F$9:$F63)</f>
        <v>11612500</v>
      </c>
    </row>
    <row r="64" spans="1:7" ht="28.8" x14ac:dyDescent="0.55000000000000004">
      <c r="A64" s="12"/>
      <c r="B64" s="13"/>
      <c r="C64" s="10"/>
      <c r="D64" s="10"/>
      <c r="E64" s="7">
        <f>+$I$2+(BERNARD40414243[[#This Row],[QUANTITE]]*BERNARD40414243[[#This Row],[PRIX UNITAIRE]])</f>
        <v>0</v>
      </c>
      <c r="F64" s="14"/>
      <c r="G64" s="6">
        <f>SUM(E$9:$E64)-SUM(F$9:$F64)</f>
        <v>11612500</v>
      </c>
    </row>
    <row r="65" spans="1:7" ht="28.8" x14ac:dyDescent="0.55000000000000004">
      <c r="A65" s="12"/>
      <c r="B65" s="13"/>
      <c r="C65" s="10"/>
      <c r="D65" s="10"/>
      <c r="E65" s="7">
        <f>+$I$2+(BERNARD40414243[[#This Row],[QUANTITE]]*BERNARD40414243[[#This Row],[PRIX UNITAIRE]])</f>
        <v>0</v>
      </c>
      <c r="F65" s="14"/>
      <c r="G65" s="6">
        <f>SUM(E$9:$E65)-SUM(F$9:$F65)</f>
        <v>11612500</v>
      </c>
    </row>
    <row r="66" spans="1:7" ht="28.8" x14ac:dyDescent="0.55000000000000004">
      <c r="A66" s="12"/>
      <c r="B66" s="13"/>
      <c r="C66" s="10"/>
      <c r="D66" s="10"/>
      <c r="E66" s="7">
        <f>+$I$2+(BERNARD40414243[[#This Row],[QUANTITE]]*BERNARD40414243[[#This Row],[PRIX UNITAIRE]])</f>
        <v>0</v>
      </c>
      <c r="F66" s="14"/>
      <c r="G66" s="6">
        <f>SUM(E$9:$E66)-SUM(F$9:$F66)</f>
        <v>11612500</v>
      </c>
    </row>
    <row r="67" spans="1:7" ht="28.8" x14ac:dyDescent="0.55000000000000004">
      <c r="A67" s="12"/>
      <c r="B67" s="13"/>
      <c r="C67" s="10"/>
      <c r="D67" s="10"/>
      <c r="E67" s="7">
        <f>+$I$2+(BERNARD40414243[[#This Row],[QUANTITE]]*BERNARD40414243[[#This Row],[PRIX UNITAIRE]])</f>
        <v>0</v>
      </c>
      <c r="F67" s="14"/>
      <c r="G67" s="6">
        <f>SUM(E$9:$E67)-SUM(F$9:$F67)</f>
        <v>11612500</v>
      </c>
    </row>
    <row r="68" spans="1:7" ht="28.8" x14ac:dyDescent="0.55000000000000004">
      <c r="A68" s="12"/>
      <c r="B68" s="13"/>
      <c r="C68" s="10"/>
      <c r="D68" s="10"/>
      <c r="E68" s="7">
        <f>+$I$2+(BERNARD40414243[[#This Row],[QUANTITE]]*BERNARD40414243[[#This Row],[PRIX UNITAIRE]])</f>
        <v>0</v>
      </c>
      <c r="F68" s="14"/>
      <c r="G68" s="6">
        <f>SUM(E$9:$E68)-SUM(F$9:$F68)</f>
        <v>11612500</v>
      </c>
    </row>
    <row r="69" spans="1:7" ht="28.8" x14ac:dyDescent="0.55000000000000004">
      <c r="A69" s="12"/>
      <c r="B69" s="13"/>
      <c r="C69" s="10"/>
      <c r="D69" s="10"/>
      <c r="E69" s="7">
        <f>+$I$2+(BERNARD40414243[[#This Row],[QUANTITE]]*BERNARD40414243[[#This Row],[PRIX UNITAIRE]])</f>
        <v>0</v>
      </c>
      <c r="F69" s="14"/>
      <c r="G69" s="6">
        <f>SUM(E$9:$E69)-SUM(F$9:$F69)</f>
        <v>11612500</v>
      </c>
    </row>
    <row r="70" spans="1:7" ht="28.8" x14ac:dyDescent="0.55000000000000004">
      <c r="A70" s="12"/>
      <c r="B70" s="13"/>
      <c r="C70" s="10"/>
      <c r="D70" s="10"/>
      <c r="E70" s="7">
        <f>+$I$2+(BERNARD40414243[[#This Row],[QUANTITE]]*BERNARD40414243[[#This Row],[PRIX UNITAIRE]])</f>
        <v>0</v>
      </c>
      <c r="F70" s="14"/>
      <c r="G70" s="6">
        <f>SUM(E$9:$E70)-SUM(F$9:$F70)</f>
        <v>11612500</v>
      </c>
    </row>
    <row r="71" spans="1:7" ht="28.8" x14ac:dyDescent="0.55000000000000004">
      <c r="A71" s="12"/>
      <c r="B71" s="13"/>
      <c r="C71" s="10"/>
      <c r="D71" s="10"/>
      <c r="E71" s="7">
        <f>+$I$2+(BERNARD40414243[[#This Row],[QUANTITE]]*BERNARD40414243[[#This Row],[PRIX UNITAIRE]])</f>
        <v>0</v>
      </c>
      <c r="F71" s="14"/>
      <c r="G71" s="6">
        <f>SUM(E$9:$E71)-SUM(F$9:$F71)</f>
        <v>11612500</v>
      </c>
    </row>
    <row r="72" spans="1:7" ht="28.8" x14ac:dyDescent="0.55000000000000004">
      <c r="A72" s="12"/>
      <c r="B72" s="13"/>
      <c r="C72" s="10"/>
      <c r="D72" s="10"/>
      <c r="E72" s="7">
        <f>+$I$2+(BERNARD40414243[[#This Row],[QUANTITE]]*BERNARD40414243[[#This Row],[PRIX UNITAIRE]])</f>
        <v>0</v>
      </c>
      <c r="F72" s="14"/>
      <c r="G72" s="6">
        <f>SUM(E$9:$E72)-SUM(F$9:$F72)</f>
        <v>11612500</v>
      </c>
    </row>
    <row r="73" spans="1:7" ht="28.8" x14ac:dyDescent="0.55000000000000004">
      <c r="A73" s="12"/>
      <c r="B73" s="13"/>
      <c r="C73" s="10"/>
      <c r="D73" s="10"/>
      <c r="E73" s="7">
        <f>+$I$2+(BERNARD40414243[[#This Row],[QUANTITE]]*BERNARD40414243[[#This Row],[PRIX UNITAIRE]])</f>
        <v>0</v>
      </c>
      <c r="F73" s="14"/>
      <c r="G73" s="6">
        <f>SUM(E$9:$E73)-SUM(F$9:$F73)</f>
        <v>11612500</v>
      </c>
    </row>
    <row r="74" spans="1:7" ht="28.8" x14ac:dyDescent="0.55000000000000004">
      <c r="A74" s="12"/>
      <c r="B74" s="13"/>
      <c r="C74" s="10"/>
      <c r="D74" s="10"/>
      <c r="E74" s="7">
        <f>+$I$2+(BERNARD40414243[[#This Row],[QUANTITE]]*BERNARD40414243[[#This Row],[PRIX UNITAIRE]])</f>
        <v>0</v>
      </c>
      <c r="F74" s="14"/>
      <c r="G74" s="6">
        <f>SUM(E$9:$E74)-SUM(F$9:$F74)</f>
        <v>11612500</v>
      </c>
    </row>
    <row r="75" spans="1:7" ht="28.8" x14ac:dyDescent="0.55000000000000004">
      <c r="A75" s="12"/>
      <c r="B75" s="13"/>
      <c r="C75" s="10"/>
      <c r="D75" s="10"/>
      <c r="E75" s="7">
        <f>+$I$2+(BERNARD40414243[[#This Row],[QUANTITE]]*BERNARD40414243[[#This Row],[PRIX UNITAIRE]])</f>
        <v>0</v>
      </c>
      <c r="F75" s="14"/>
      <c r="G75" s="6">
        <f>SUM(E$9:$E75)-SUM(F$9:$F75)</f>
        <v>11612500</v>
      </c>
    </row>
    <row r="76" spans="1:7" ht="28.8" x14ac:dyDescent="0.55000000000000004">
      <c r="A76" s="12"/>
      <c r="B76" s="13"/>
      <c r="C76" s="10"/>
      <c r="D76" s="10"/>
      <c r="E76" s="7">
        <f>+$I$2+(BERNARD40414243[[#This Row],[QUANTITE]]*BERNARD40414243[[#This Row],[PRIX UNITAIRE]])</f>
        <v>0</v>
      </c>
      <c r="F76" s="14"/>
      <c r="G76" s="6">
        <f>SUM(E$9:$E76)-SUM(F$9:$F76)</f>
        <v>11612500</v>
      </c>
    </row>
    <row r="77" spans="1:7" ht="28.8" x14ac:dyDescent="0.55000000000000004">
      <c r="A77" s="12"/>
      <c r="B77" s="13"/>
      <c r="C77" s="10"/>
      <c r="D77" s="10"/>
      <c r="E77" s="7">
        <f>+$I$2+(BERNARD40414243[[#This Row],[QUANTITE]]*BERNARD40414243[[#This Row],[PRIX UNITAIRE]])</f>
        <v>0</v>
      </c>
      <c r="F77" s="14"/>
      <c r="G77" s="6">
        <f>SUM(E$9:$E77)-SUM(F$9:$F77)</f>
        <v>11612500</v>
      </c>
    </row>
    <row r="78" spans="1:7" ht="28.8" x14ac:dyDescent="0.55000000000000004">
      <c r="A78" s="12"/>
      <c r="B78" s="13"/>
      <c r="C78" s="10"/>
      <c r="D78" s="10"/>
      <c r="E78" s="7">
        <f>+$I$2+(BERNARD40414243[[#This Row],[QUANTITE]]*BERNARD40414243[[#This Row],[PRIX UNITAIRE]])</f>
        <v>0</v>
      </c>
      <c r="F78" s="14"/>
      <c r="G78" s="6">
        <f>SUM(E$9:$E78)-SUM(F$9:$F78)</f>
        <v>11612500</v>
      </c>
    </row>
    <row r="79" spans="1:7" ht="28.8" x14ac:dyDescent="0.55000000000000004">
      <c r="A79" s="12"/>
      <c r="B79" s="13"/>
      <c r="C79" s="10"/>
      <c r="D79" s="10"/>
      <c r="E79" s="7">
        <f>+$I$2+(BERNARD40414243[[#This Row],[QUANTITE]]*BERNARD40414243[[#This Row],[PRIX UNITAIRE]])</f>
        <v>0</v>
      </c>
      <c r="F79" s="14"/>
      <c r="G79" s="6">
        <f>SUM(E$9:$E79)-SUM(F$9:$F79)</f>
        <v>11612500</v>
      </c>
    </row>
    <row r="80" spans="1:7" ht="28.8" x14ac:dyDescent="0.55000000000000004">
      <c r="A80" s="12"/>
      <c r="B80" s="13"/>
      <c r="C80" s="10"/>
      <c r="D80" s="10"/>
      <c r="E80" s="7">
        <f>+$I$2+(BERNARD40414243[[#This Row],[QUANTITE]]*BERNARD40414243[[#This Row],[PRIX UNITAIRE]])</f>
        <v>0</v>
      </c>
      <c r="F80" s="14"/>
      <c r="G80" s="6">
        <f>SUM(E$9:$E80)-SUM(F$9:$F80)</f>
        <v>11612500</v>
      </c>
    </row>
    <row r="81" spans="1:7" ht="28.8" x14ac:dyDescent="0.55000000000000004">
      <c r="A81" s="12"/>
      <c r="B81" s="13"/>
      <c r="C81" s="10"/>
      <c r="D81" s="10"/>
      <c r="E81" s="7">
        <f>+$I$2+(BERNARD40414243[[#This Row],[QUANTITE]]*BERNARD40414243[[#This Row],[PRIX UNITAIRE]])</f>
        <v>0</v>
      </c>
      <c r="F81" s="14"/>
      <c r="G81" s="6">
        <f>SUM(E$9:$E81)-SUM(F$9:$F81)</f>
        <v>11612500</v>
      </c>
    </row>
    <row r="82" spans="1:7" ht="28.8" x14ac:dyDescent="0.55000000000000004">
      <c r="A82" s="12"/>
      <c r="B82" s="13"/>
      <c r="C82" s="10"/>
      <c r="D82" s="10"/>
      <c r="E82" s="7">
        <f>+$I$2+(BERNARD40414243[[#This Row],[QUANTITE]]*BERNARD40414243[[#This Row],[PRIX UNITAIRE]])</f>
        <v>0</v>
      </c>
      <c r="F82" s="14"/>
      <c r="G82" s="6">
        <f>SUM(E$9:$E82)-SUM(F$9:$F82)</f>
        <v>11612500</v>
      </c>
    </row>
  </sheetData>
  <sheetProtection selectLockedCells="1" autoFilter="0"/>
  <mergeCells count="1">
    <mergeCell ref="B6:C6"/>
  </mergeCells>
  <conditionalFormatting sqref="G4">
    <cfRule type="cellIs" dxfId="190" priority="2" operator="lessThan">
      <formula>0</formula>
    </cfRule>
    <cfRule type="cellIs" dxfId="189" priority="3" operator="greaterThan">
      <formula>0</formula>
    </cfRule>
  </conditionalFormatting>
  <conditionalFormatting sqref="B9:B82">
    <cfRule type="expression" dxfId="188" priority="5">
      <formula>$F9</formula>
    </cfRule>
  </conditionalFormatting>
  <dataValidations count="1">
    <dataValidation type="date" operator="greaterThan" allowBlank="1" showInputMessage="1" showErrorMessage="1" error="VEILLEZ ENTRER UNE DATE VALIDE" sqref="A9:A8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H82"/>
  <sheetViews>
    <sheetView showGridLines="0" zoomScale="70" zoomScaleNormal="70" workbookViewId="0">
      <pane ySplit="8" topLeftCell="A9" activePane="bottomLeft" state="frozen"/>
      <selection activeCell="C16" sqref="C16"/>
      <selection pane="bottomLeft"/>
    </sheetView>
  </sheetViews>
  <sheetFormatPr baseColWidth="10" defaultColWidth="11.5546875" defaultRowHeight="14.4" x14ac:dyDescent="0.3"/>
  <cols>
    <col min="1" max="1" width="19.21875" style="1" bestFit="1" customWidth="1"/>
    <col min="2" max="2" width="63.5546875" style="1" bestFit="1" customWidth="1"/>
    <col min="3" max="3" width="19.77734375" style="1" bestFit="1" customWidth="1"/>
    <col min="4" max="4" width="43.5546875" style="1" bestFit="1" customWidth="1"/>
    <col min="5" max="5" width="33.77734375" bestFit="1" customWidth="1"/>
    <col min="6" max="6" width="38.44140625" style="1" customWidth="1"/>
    <col min="7" max="7" width="36.5546875" bestFit="1" customWidth="1"/>
    <col min="8" max="8" width="11.5546875" style="1" hidden="1" customWidth="1"/>
    <col min="9" max="16384" width="11.5546875" style="1"/>
  </cols>
  <sheetData>
    <row r="1" spans="1:8" x14ac:dyDescent="0.3">
      <c r="A1" s="122"/>
      <c r="B1" s="123"/>
      <c r="C1" s="123"/>
      <c r="D1" s="124"/>
      <c r="E1" s="125"/>
      <c r="F1" s="124"/>
      <c r="G1" s="126"/>
    </row>
    <row r="2" spans="1:8" ht="36" customHeight="1" thickBot="1" x14ac:dyDescent="0.35">
      <c r="A2" s="127"/>
      <c r="B2" s="128"/>
      <c r="C2" s="128"/>
      <c r="D2" s="128"/>
      <c r="E2" s="128"/>
      <c r="F2" s="128"/>
      <c r="G2" s="129"/>
      <c r="H2" s="1">
        <v>0</v>
      </c>
    </row>
    <row r="3" spans="1:8" ht="31.8" thickBot="1" x14ac:dyDescent="0.35">
      <c r="A3" s="127"/>
      <c r="B3" s="128"/>
      <c r="C3" s="128"/>
      <c r="D3" s="34" t="s">
        <v>1223</v>
      </c>
      <c r="E3" s="35" t="s">
        <v>1221</v>
      </c>
      <c r="F3" s="36" t="s">
        <v>8</v>
      </c>
      <c r="G3" s="37" t="s">
        <v>6</v>
      </c>
    </row>
    <row r="4" spans="1:8" ht="31.2" x14ac:dyDescent="0.6">
      <c r="A4" s="127"/>
      <c r="B4" s="128"/>
      <c r="C4" s="128"/>
      <c r="D4" s="38" t="s">
        <v>1224</v>
      </c>
      <c r="E4" s="41">
        <f>+SUM(BERNARD4041424345[TOTAL MONTANT])</f>
        <v>190000</v>
      </c>
      <c r="F4" s="41">
        <f>+SUM(BERNARD4041424345[VERSEMENT])</f>
        <v>0</v>
      </c>
      <c r="G4" s="130">
        <f>+E4-F4</f>
        <v>190000</v>
      </c>
    </row>
    <row r="5" spans="1:8" ht="29.4" thickBot="1" x14ac:dyDescent="0.35">
      <c r="A5" s="131"/>
      <c r="B5" s="3" t="s">
        <v>7</v>
      </c>
      <c r="C5" s="132"/>
      <c r="D5" s="132"/>
      <c r="E5" s="133"/>
      <c r="F5" s="132"/>
      <c r="G5" s="134"/>
    </row>
    <row r="6" spans="1:8" ht="37.200000000000003" thickBot="1" x14ac:dyDescent="0.75">
      <c r="A6" s="131"/>
      <c r="B6" s="168" t="s">
        <v>1230</v>
      </c>
      <c r="C6" s="169"/>
      <c r="D6" s="132"/>
      <c r="E6" s="135"/>
      <c r="F6" s="132"/>
      <c r="G6" s="134"/>
    </row>
    <row r="7" spans="1:8" ht="15" thickBot="1" x14ac:dyDescent="0.35">
      <c r="A7" s="136"/>
      <c r="B7" s="137"/>
      <c r="C7" s="137"/>
      <c r="D7" s="137"/>
      <c r="E7" s="138"/>
      <c r="F7" s="137"/>
      <c r="G7" s="139"/>
    </row>
    <row r="8" spans="1:8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8" ht="28.8" x14ac:dyDescent="0.55000000000000004">
      <c r="A9" s="12">
        <v>45846</v>
      </c>
      <c r="B9" s="13" t="s">
        <v>1276</v>
      </c>
      <c r="C9" s="10">
        <v>1</v>
      </c>
      <c r="D9" s="10">
        <v>65000</v>
      </c>
      <c r="E9" s="7">
        <f>+$H$2+(BERNARD4041424345[[#This Row],[QUANTITE]]*BERNARD4041424345[[#This Row],[PRIX UNITAIRE]])</f>
        <v>65000</v>
      </c>
      <c r="F9" s="20"/>
      <c r="G9" s="10">
        <f>SUM(E$9:$E9)-SUM(F$9:$F9)</f>
        <v>65000</v>
      </c>
    </row>
    <row r="10" spans="1:8" ht="28.8" x14ac:dyDescent="0.55000000000000004">
      <c r="A10" s="12">
        <v>45983</v>
      </c>
      <c r="B10" s="13" t="s">
        <v>3245</v>
      </c>
      <c r="C10" s="10">
        <v>1</v>
      </c>
      <c r="D10" s="10">
        <v>60000</v>
      </c>
      <c r="E10" s="7">
        <f>+$H$2+(BERNARD4041424345[[#This Row],[QUANTITE]]*BERNARD4041424345[[#This Row],[PRIX UNITAIRE]])</f>
        <v>60000</v>
      </c>
      <c r="F10" s="21"/>
      <c r="G10" s="6">
        <f>SUM(E$9:$E10)-SUM(F$9:$F10)</f>
        <v>125000</v>
      </c>
    </row>
    <row r="11" spans="1:8" ht="28.8" x14ac:dyDescent="0.55000000000000004">
      <c r="A11" s="12">
        <v>45983</v>
      </c>
      <c r="B11" s="13" t="s">
        <v>3246</v>
      </c>
      <c r="C11" s="10">
        <v>1</v>
      </c>
      <c r="D11" s="10">
        <v>5000</v>
      </c>
      <c r="E11" s="7">
        <f>+$H$2+(BERNARD4041424345[[#This Row],[QUANTITE]]*BERNARD4041424345[[#This Row],[PRIX UNITAIRE]])</f>
        <v>5000</v>
      </c>
      <c r="F11" s="14"/>
      <c r="G11" s="6">
        <f>SUM(E$9:$E11)-SUM(F$9:$F11)</f>
        <v>130000</v>
      </c>
    </row>
    <row r="12" spans="1:8" ht="28.8" x14ac:dyDescent="0.55000000000000004">
      <c r="A12" s="12">
        <v>45990</v>
      </c>
      <c r="B12" s="13" t="s">
        <v>3245</v>
      </c>
      <c r="C12" s="10">
        <v>1</v>
      </c>
      <c r="D12" s="10">
        <v>60000</v>
      </c>
      <c r="E12" s="7">
        <f>+$H$2+(BERNARD4041424345[[#This Row],[QUANTITE]]*BERNARD4041424345[[#This Row],[PRIX UNITAIRE]])</f>
        <v>60000</v>
      </c>
      <c r="F12" s="14"/>
      <c r="G12" s="6">
        <f>SUM(E$9:$E12)-SUM(F$9:$F12)</f>
        <v>190000</v>
      </c>
    </row>
    <row r="13" spans="1:8" ht="28.8" x14ac:dyDescent="0.55000000000000004">
      <c r="A13" s="12"/>
      <c r="B13" s="13"/>
      <c r="C13" s="10"/>
      <c r="D13" s="10"/>
      <c r="E13" s="7">
        <f>+$H$2+(BERNARD4041424345[[#This Row],[QUANTITE]]*BERNARD4041424345[[#This Row],[PRIX UNITAIRE]])</f>
        <v>0</v>
      </c>
      <c r="F13" s="14"/>
      <c r="G13" s="6">
        <f>SUM(E$9:$E13)-SUM(F$9:$F13)</f>
        <v>190000</v>
      </c>
    </row>
    <row r="14" spans="1:8" ht="28.8" x14ac:dyDescent="0.55000000000000004">
      <c r="A14" s="12"/>
      <c r="B14" s="13"/>
      <c r="C14" s="10"/>
      <c r="D14" s="10"/>
      <c r="E14" s="7">
        <f>+$H$2+(BERNARD4041424345[[#This Row],[QUANTITE]]*BERNARD4041424345[[#This Row],[PRIX UNITAIRE]])</f>
        <v>0</v>
      </c>
      <c r="F14" s="14"/>
      <c r="G14" s="6">
        <f>SUM(E$9:$E14)-SUM(F$9:$F14)</f>
        <v>190000</v>
      </c>
    </row>
    <row r="15" spans="1:8" ht="28.8" x14ac:dyDescent="0.55000000000000004">
      <c r="A15" s="12"/>
      <c r="B15" s="13"/>
      <c r="C15" s="10"/>
      <c r="D15" s="10"/>
      <c r="E15" s="7">
        <f>+$H$2+(BERNARD4041424345[[#This Row],[QUANTITE]]*BERNARD4041424345[[#This Row],[PRIX UNITAIRE]])</f>
        <v>0</v>
      </c>
      <c r="F15" s="14"/>
      <c r="G15" s="6">
        <f>SUM(E$9:$E15)-SUM(F$9:$F15)</f>
        <v>190000</v>
      </c>
    </row>
    <row r="16" spans="1:8" ht="28.8" x14ac:dyDescent="0.55000000000000004">
      <c r="A16" s="12"/>
      <c r="B16" s="13"/>
      <c r="C16" s="10"/>
      <c r="D16" s="10"/>
      <c r="E16" s="7">
        <f>+$H$2+(BERNARD4041424345[[#This Row],[QUANTITE]]*BERNARD4041424345[[#This Row],[PRIX UNITAIRE]])</f>
        <v>0</v>
      </c>
      <c r="F16" s="14"/>
      <c r="G16" s="6">
        <f>SUM(E$9:$E16)-SUM(F$9:$F16)</f>
        <v>190000</v>
      </c>
    </row>
    <row r="17" spans="1:7" ht="28.8" x14ac:dyDescent="0.55000000000000004">
      <c r="A17" s="12"/>
      <c r="B17" s="13"/>
      <c r="C17" s="10"/>
      <c r="D17" s="10"/>
      <c r="E17" s="7">
        <f>+$H$2+(BERNARD4041424345[[#This Row],[QUANTITE]]*BERNARD4041424345[[#This Row],[PRIX UNITAIRE]])</f>
        <v>0</v>
      </c>
      <c r="F17" s="14"/>
      <c r="G17" s="6">
        <f>SUM(E$9:$E17)-SUM(F$9:$F17)</f>
        <v>190000</v>
      </c>
    </row>
    <row r="18" spans="1:7" ht="28.8" x14ac:dyDescent="0.55000000000000004">
      <c r="A18" s="12"/>
      <c r="B18" s="13"/>
      <c r="C18" s="10"/>
      <c r="D18" s="10"/>
      <c r="E18" s="7">
        <f>+$H$2+(BERNARD4041424345[[#This Row],[QUANTITE]]*BERNARD4041424345[[#This Row],[PRIX UNITAIRE]])</f>
        <v>0</v>
      </c>
      <c r="F18" s="14"/>
      <c r="G18" s="6">
        <f>SUM(E$9:$E18)-SUM(F$9:$F18)</f>
        <v>190000</v>
      </c>
    </row>
    <row r="19" spans="1:7" ht="28.8" x14ac:dyDescent="0.55000000000000004">
      <c r="A19" s="12"/>
      <c r="B19" s="13"/>
      <c r="C19" s="10"/>
      <c r="D19" s="10"/>
      <c r="E19" s="7">
        <f>+$H$2+(BERNARD4041424345[[#This Row],[QUANTITE]]*BERNARD4041424345[[#This Row],[PRIX UNITAIRE]])</f>
        <v>0</v>
      </c>
      <c r="F19" s="14"/>
      <c r="G19" s="6">
        <f>SUM(E$9:$E19)-SUM(F$9:$F19)</f>
        <v>190000</v>
      </c>
    </row>
    <row r="20" spans="1:7" ht="28.8" x14ac:dyDescent="0.55000000000000004">
      <c r="A20" s="12"/>
      <c r="B20" s="13"/>
      <c r="C20" s="10"/>
      <c r="D20" s="10"/>
      <c r="E20" s="7">
        <f>+$H$2+(BERNARD4041424345[[#This Row],[QUANTITE]]*BERNARD4041424345[[#This Row],[PRIX UNITAIRE]])</f>
        <v>0</v>
      </c>
      <c r="F20" s="14"/>
      <c r="G20" s="6">
        <f>SUM(E$9:$E20)-SUM(F$9:$F20)</f>
        <v>190000</v>
      </c>
    </row>
    <row r="21" spans="1:7" ht="28.8" x14ac:dyDescent="0.55000000000000004">
      <c r="A21" s="12"/>
      <c r="B21" s="13"/>
      <c r="C21" s="10"/>
      <c r="D21" s="10"/>
      <c r="E21" s="7">
        <f>+$H$2+(BERNARD4041424345[[#This Row],[QUANTITE]]*BERNARD4041424345[[#This Row],[PRIX UNITAIRE]])</f>
        <v>0</v>
      </c>
      <c r="F21" s="14"/>
      <c r="G21" s="6">
        <f>SUM(E$9:$E21)-SUM(F$9:$F21)</f>
        <v>190000</v>
      </c>
    </row>
    <row r="22" spans="1:7" ht="28.8" x14ac:dyDescent="0.55000000000000004">
      <c r="A22" s="12"/>
      <c r="B22" s="13"/>
      <c r="C22" s="10"/>
      <c r="D22" s="10"/>
      <c r="E22" s="7">
        <f>+$H$2+(BERNARD4041424345[[#This Row],[QUANTITE]]*BERNARD4041424345[[#This Row],[PRIX UNITAIRE]])</f>
        <v>0</v>
      </c>
      <c r="F22" s="14"/>
      <c r="G22" s="6">
        <f>SUM(E$9:$E22)-SUM(F$9:$F22)</f>
        <v>190000</v>
      </c>
    </row>
    <row r="23" spans="1:7" ht="28.8" x14ac:dyDescent="0.55000000000000004">
      <c r="A23" s="12"/>
      <c r="B23" s="13"/>
      <c r="C23" s="10"/>
      <c r="D23" s="10"/>
      <c r="E23" s="7">
        <f>+$H$2+(BERNARD4041424345[[#This Row],[QUANTITE]]*BERNARD4041424345[[#This Row],[PRIX UNITAIRE]])</f>
        <v>0</v>
      </c>
      <c r="F23" s="14"/>
      <c r="G23" s="6">
        <f>SUM(E$9:$E23)-SUM(F$9:$F23)</f>
        <v>190000</v>
      </c>
    </row>
    <row r="24" spans="1:7" ht="28.8" x14ac:dyDescent="0.55000000000000004">
      <c r="A24" s="12"/>
      <c r="B24" s="13"/>
      <c r="C24" s="10"/>
      <c r="D24" s="10"/>
      <c r="E24" s="7">
        <f>+$H$2+(BERNARD4041424345[[#This Row],[QUANTITE]]*BERNARD4041424345[[#This Row],[PRIX UNITAIRE]])</f>
        <v>0</v>
      </c>
      <c r="F24" s="14"/>
      <c r="G24" s="6">
        <f>SUM(E$9:$E24)-SUM(F$9:$F24)</f>
        <v>190000</v>
      </c>
    </row>
    <row r="25" spans="1:7" ht="28.8" x14ac:dyDescent="0.55000000000000004">
      <c r="A25" s="12"/>
      <c r="B25" s="13"/>
      <c r="C25" s="10"/>
      <c r="D25" s="10"/>
      <c r="E25" s="7">
        <f>+$H$2+(BERNARD4041424345[[#This Row],[QUANTITE]]*BERNARD4041424345[[#This Row],[PRIX UNITAIRE]])</f>
        <v>0</v>
      </c>
      <c r="F25" s="14"/>
      <c r="G25" s="6">
        <f>SUM(E$9:$E25)-SUM(F$9:$F25)</f>
        <v>190000</v>
      </c>
    </row>
    <row r="26" spans="1:7" ht="28.8" x14ac:dyDescent="0.55000000000000004">
      <c r="A26" s="12"/>
      <c r="B26" s="13"/>
      <c r="C26" s="10"/>
      <c r="D26" s="10"/>
      <c r="E26" s="7">
        <f>+$H$2+(BERNARD4041424345[[#This Row],[QUANTITE]]*BERNARD4041424345[[#This Row],[PRIX UNITAIRE]])</f>
        <v>0</v>
      </c>
      <c r="F26" s="14"/>
      <c r="G26" s="6">
        <f>SUM(E$9:$E26)-SUM(F$9:$F26)</f>
        <v>190000</v>
      </c>
    </row>
    <row r="27" spans="1:7" ht="28.8" x14ac:dyDescent="0.55000000000000004">
      <c r="A27" s="12"/>
      <c r="B27" s="13"/>
      <c r="C27" s="10"/>
      <c r="D27" s="10"/>
      <c r="E27" s="7">
        <f>+$H$2+(BERNARD4041424345[[#This Row],[QUANTITE]]*BERNARD4041424345[[#This Row],[PRIX UNITAIRE]])</f>
        <v>0</v>
      </c>
      <c r="F27" s="14"/>
      <c r="G27" s="6">
        <f>SUM(E$9:$E27)-SUM(F$9:$F27)</f>
        <v>190000</v>
      </c>
    </row>
    <row r="28" spans="1:7" ht="28.8" x14ac:dyDescent="0.55000000000000004">
      <c r="A28" s="12"/>
      <c r="B28" s="13"/>
      <c r="C28" s="10"/>
      <c r="D28" s="10"/>
      <c r="E28" s="7">
        <f>+$H$2+(BERNARD4041424345[[#This Row],[QUANTITE]]*BERNARD4041424345[[#This Row],[PRIX UNITAIRE]])</f>
        <v>0</v>
      </c>
      <c r="F28" s="14"/>
      <c r="G28" s="6">
        <f>SUM(E$9:$E28)-SUM(F$9:$F28)</f>
        <v>190000</v>
      </c>
    </row>
    <row r="29" spans="1:7" ht="28.8" x14ac:dyDescent="0.55000000000000004">
      <c r="A29" s="12"/>
      <c r="B29" s="13"/>
      <c r="C29" s="10"/>
      <c r="D29" s="10"/>
      <c r="E29" s="7">
        <f>+$H$2+(BERNARD4041424345[[#This Row],[QUANTITE]]*BERNARD4041424345[[#This Row],[PRIX UNITAIRE]])</f>
        <v>0</v>
      </c>
      <c r="F29" s="14"/>
      <c r="G29" s="6">
        <f>SUM(E$9:$E29)-SUM(F$9:$F29)</f>
        <v>190000</v>
      </c>
    </row>
    <row r="30" spans="1:7" ht="28.8" x14ac:dyDescent="0.55000000000000004">
      <c r="A30" s="12"/>
      <c r="B30" s="13"/>
      <c r="C30" s="10"/>
      <c r="D30" s="10"/>
      <c r="E30" s="7">
        <f>+$H$2+(BERNARD4041424345[[#This Row],[QUANTITE]]*BERNARD4041424345[[#This Row],[PRIX UNITAIRE]])</f>
        <v>0</v>
      </c>
      <c r="F30" s="14"/>
      <c r="G30" s="6">
        <f>SUM(E$9:$E30)-SUM(F$9:$F30)</f>
        <v>190000</v>
      </c>
    </row>
    <row r="31" spans="1:7" ht="28.8" x14ac:dyDescent="0.55000000000000004">
      <c r="A31" s="12"/>
      <c r="B31" s="13"/>
      <c r="C31" s="10"/>
      <c r="D31" s="10"/>
      <c r="E31" s="7">
        <f>+$H$2+(BERNARD4041424345[[#This Row],[QUANTITE]]*BERNARD4041424345[[#This Row],[PRIX UNITAIRE]])</f>
        <v>0</v>
      </c>
      <c r="F31" s="14"/>
      <c r="G31" s="6">
        <f>SUM(E$9:$E31)-SUM(F$9:$F31)</f>
        <v>190000</v>
      </c>
    </row>
    <row r="32" spans="1:7" ht="28.8" x14ac:dyDescent="0.55000000000000004">
      <c r="A32" s="12"/>
      <c r="B32" s="13"/>
      <c r="C32" s="10"/>
      <c r="D32" s="10"/>
      <c r="E32" s="7">
        <f>+$H$2+(BERNARD4041424345[[#This Row],[QUANTITE]]*BERNARD4041424345[[#This Row],[PRIX UNITAIRE]])</f>
        <v>0</v>
      </c>
      <c r="F32" s="14"/>
      <c r="G32" s="6">
        <f>SUM(E$9:$E32)-SUM(F$9:$F32)</f>
        <v>190000</v>
      </c>
    </row>
    <row r="33" spans="1:7" ht="28.8" x14ac:dyDescent="0.55000000000000004">
      <c r="A33" s="12"/>
      <c r="B33" s="13"/>
      <c r="C33" s="10"/>
      <c r="D33" s="10"/>
      <c r="E33" s="7">
        <f>+$H$2+(BERNARD4041424345[[#This Row],[QUANTITE]]*BERNARD4041424345[[#This Row],[PRIX UNITAIRE]])</f>
        <v>0</v>
      </c>
      <c r="F33" s="14"/>
      <c r="G33" s="6">
        <f>SUM(E$9:$E33)-SUM(F$9:$F33)</f>
        <v>190000</v>
      </c>
    </row>
    <row r="34" spans="1:7" ht="28.8" x14ac:dyDescent="0.55000000000000004">
      <c r="A34" s="12"/>
      <c r="B34" s="13"/>
      <c r="C34" s="10"/>
      <c r="D34" s="10"/>
      <c r="E34" s="7">
        <f>+$H$2+(BERNARD4041424345[[#This Row],[QUANTITE]]*BERNARD4041424345[[#This Row],[PRIX UNITAIRE]])</f>
        <v>0</v>
      </c>
      <c r="F34" s="14"/>
      <c r="G34" s="6">
        <f>SUM(E$9:$E34)-SUM(F$9:$F34)</f>
        <v>190000</v>
      </c>
    </row>
    <row r="35" spans="1:7" ht="28.8" x14ac:dyDescent="0.55000000000000004">
      <c r="A35" s="12"/>
      <c r="B35" s="13"/>
      <c r="C35" s="10"/>
      <c r="D35" s="10"/>
      <c r="E35" s="7">
        <f>+$H$2+(BERNARD4041424345[[#This Row],[QUANTITE]]*BERNARD4041424345[[#This Row],[PRIX UNITAIRE]])</f>
        <v>0</v>
      </c>
      <c r="F35" s="14"/>
      <c r="G35" s="6">
        <f>SUM(E$9:$E35)-SUM(F$9:$F35)</f>
        <v>190000</v>
      </c>
    </row>
    <row r="36" spans="1:7" ht="28.8" x14ac:dyDescent="0.55000000000000004">
      <c r="A36" s="12"/>
      <c r="B36" s="13"/>
      <c r="C36" s="10"/>
      <c r="D36" s="10"/>
      <c r="E36" s="7">
        <f>+$H$2+(BERNARD4041424345[[#This Row],[QUANTITE]]*BERNARD4041424345[[#This Row],[PRIX UNITAIRE]])</f>
        <v>0</v>
      </c>
      <c r="F36" s="14"/>
      <c r="G36" s="6">
        <f>SUM(E$9:$E36)-SUM(F$9:$F36)</f>
        <v>190000</v>
      </c>
    </row>
    <row r="37" spans="1:7" ht="28.8" x14ac:dyDescent="0.55000000000000004">
      <c r="A37" s="12"/>
      <c r="B37" s="13"/>
      <c r="C37" s="10"/>
      <c r="D37" s="10"/>
      <c r="E37" s="7">
        <f>+$H$2+(BERNARD4041424345[[#This Row],[QUANTITE]]*BERNARD4041424345[[#This Row],[PRIX UNITAIRE]])</f>
        <v>0</v>
      </c>
      <c r="F37" s="14"/>
      <c r="G37" s="6">
        <f>SUM(E$9:$E37)-SUM(F$9:$F37)</f>
        <v>190000</v>
      </c>
    </row>
    <row r="38" spans="1:7" ht="28.8" x14ac:dyDescent="0.55000000000000004">
      <c r="A38" s="12"/>
      <c r="B38" s="13"/>
      <c r="C38" s="10"/>
      <c r="D38" s="10"/>
      <c r="E38" s="7">
        <f>+$H$2+(BERNARD4041424345[[#This Row],[QUANTITE]]*BERNARD4041424345[[#This Row],[PRIX UNITAIRE]])</f>
        <v>0</v>
      </c>
      <c r="F38" s="14"/>
      <c r="G38" s="6">
        <f>SUM(E$9:$E38)-SUM(F$9:$F38)</f>
        <v>190000</v>
      </c>
    </row>
    <row r="39" spans="1:7" ht="28.8" x14ac:dyDescent="0.55000000000000004">
      <c r="A39" s="12"/>
      <c r="B39" s="13"/>
      <c r="C39" s="10"/>
      <c r="D39" s="10"/>
      <c r="E39" s="7">
        <f>+$H$2+(BERNARD4041424345[[#This Row],[QUANTITE]]*BERNARD4041424345[[#This Row],[PRIX UNITAIRE]])</f>
        <v>0</v>
      </c>
      <c r="F39" s="14"/>
      <c r="G39" s="6">
        <f>SUM(E$9:$E39)-SUM(F$9:$F39)</f>
        <v>190000</v>
      </c>
    </row>
    <row r="40" spans="1:7" ht="28.8" x14ac:dyDescent="0.55000000000000004">
      <c r="A40" s="12"/>
      <c r="B40" s="13"/>
      <c r="C40" s="10"/>
      <c r="D40" s="10"/>
      <c r="E40" s="7">
        <f>+$H$2+(BERNARD4041424345[[#This Row],[QUANTITE]]*BERNARD4041424345[[#This Row],[PRIX UNITAIRE]])</f>
        <v>0</v>
      </c>
      <c r="F40" s="14"/>
      <c r="G40" s="6">
        <f>SUM(E$9:$E40)-SUM(F$9:$F40)</f>
        <v>190000</v>
      </c>
    </row>
    <row r="41" spans="1:7" ht="28.8" x14ac:dyDescent="0.55000000000000004">
      <c r="A41" s="12"/>
      <c r="B41" s="13"/>
      <c r="C41" s="10"/>
      <c r="D41" s="10"/>
      <c r="E41" s="7">
        <f>+$H$2+(BERNARD4041424345[[#This Row],[QUANTITE]]*BERNARD4041424345[[#This Row],[PRIX UNITAIRE]])</f>
        <v>0</v>
      </c>
      <c r="F41" s="14"/>
      <c r="G41" s="6">
        <f>SUM(E$9:$E41)-SUM(F$9:$F41)</f>
        <v>190000</v>
      </c>
    </row>
    <row r="42" spans="1:7" ht="28.8" x14ac:dyDescent="0.55000000000000004">
      <c r="A42" s="12"/>
      <c r="B42" s="13"/>
      <c r="C42" s="10"/>
      <c r="D42" s="10"/>
      <c r="E42" s="7">
        <f>+$H$2+(BERNARD4041424345[[#This Row],[QUANTITE]]*BERNARD4041424345[[#This Row],[PRIX UNITAIRE]])</f>
        <v>0</v>
      </c>
      <c r="F42" s="14"/>
      <c r="G42" s="6">
        <f>SUM(E$9:$E42)-SUM(F$9:$F42)</f>
        <v>190000</v>
      </c>
    </row>
    <row r="43" spans="1:7" ht="28.8" x14ac:dyDescent="0.55000000000000004">
      <c r="A43" s="12"/>
      <c r="B43" s="13"/>
      <c r="C43" s="10"/>
      <c r="D43" s="10"/>
      <c r="E43" s="7">
        <f>+$H$2+(BERNARD4041424345[[#This Row],[QUANTITE]]*BERNARD4041424345[[#This Row],[PRIX UNITAIRE]])</f>
        <v>0</v>
      </c>
      <c r="F43" s="14"/>
      <c r="G43" s="6">
        <f>SUM(E$9:$E43)-SUM(F$9:$F43)</f>
        <v>190000</v>
      </c>
    </row>
    <row r="44" spans="1:7" ht="28.8" x14ac:dyDescent="0.55000000000000004">
      <c r="A44" s="12"/>
      <c r="B44" s="13"/>
      <c r="C44" s="10"/>
      <c r="D44" s="10"/>
      <c r="E44" s="7">
        <f>+$H$2+(BERNARD4041424345[[#This Row],[QUANTITE]]*BERNARD4041424345[[#This Row],[PRIX UNITAIRE]])</f>
        <v>0</v>
      </c>
      <c r="F44" s="14"/>
      <c r="G44" s="6">
        <f>SUM(E$9:$E44)-SUM(F$9:$F44)</f>
        <v>190000</v>
      </c>
    </row>
    <row r="45" spans="1:7" ht="28.8" x14ac:dyDescent="0.55000000000000004">
      <c r="A45" s="12"/>
      <c r="B45" s="13"/>
      <c r="C45" s="10"/>
      <c r="D45" s="10"/>
      <c r="E45" s="7">
        <f>+$H$2+(BERNARD4041424345[[#This Row],[QUANTITE]]*BERNARD4041424345[[#This Row],[PRIX UNITAIRE]])</f>
        <v>0</v>
      </c>
      <c r="F45" s="14"/>
      <c r="G45" s="6">
        <f>SUM(E$9:$E45)-SUM(F$9:$F45)</f>
        <v>190000</v>
      </c>
    </row>
    <row r="46" spans="1:7" ht="28.8" x14ac:dyDescent="0.55000000000000004">
      <c r="A46" s="12"/>
      <c r="B46" s="13"/>
      <c r="C46" s="10"/>
      <c r="D46" s="10"/>
      <c r="E46" s="7">
        <f>+$H$2+(BERNARD4041424345[[#This Row],[QUANTITE]]*BERNARD4041424345[[#This Row],[PRIX UNITAIRE]])</f>
        <v>0</v>
      </c>
      <c r="F46" s="14"/>
      <c r="G46" s="6">
        <f>SUM(E$9:$E46)-SUM(F$9:$F46)</f>
        <v>190000</v>
      </c>
    </row>
    <row r="47" spans="1:7" ht="28.8" x14ac:dyDescent="0.55000000000000004">
      <c r="A47" s="12"/>
      <c r="B47" s="13"/>
      <c r="C47" s="10"/>
      <c r="D47" s="10"/>
      <c r="E47" s="7">
        <f>+$H$2+(BERNARD4041424345[[#This Row],[QUANTITE]]*BERNARD4041424345[[#This Row],[PRIX UNITAIRE]])</f>
        <v>0</v>
      </c>
      <c r="F47" s="14"/>
      <c r="G47" s="6">
        <f>SUM(E$9:$E47)-SUM(F$9:$F47)</f>
        <v>190000</v>
      </c>
    </row>
    <row r="48" spans="1:7" ht="28.8" x14ac:dyDescent="0.55000000000000004">
      <c r="A48" s="12"/>
      <c r="B48" s="13"/>
      <c r="C48" s="10"/>
      <c r="D48" s="10"/>
      <c r="E48" s="7">
        <f>+$H$2+(BERNARD4041424345[[#This Row],[QUANTITE]]*BERNARD4041424345[[#This Row],[PRIX UNITAIRE]])</f>
        <v>0</v>
      </c>
      <c r="F48" s="14"/>
      <c r="G48" s="6">
        <f>SUM(E$9:$E48)-SUM(F$9:$F48)</f>
        <v>190000</v>
      </c>
    </row>
    <row r="49" spans="1:7" ht="28.8" x14ac:dyDescent="0.55000000000000004">
      <c r="A49" s="12"/>
      <c r="B49" s="13"/>
      <c r="C49" s="10"/>
      <c r="D49" s="10"/>
      <c r="E49" s="7">
        <f>+$H$2+(BERNARD4041424345[[#This Row],[QUANTITE]]*BERNARD4041424345[[#This Row],[PRIX UNITAIRE]])</f>
        <v>0</v>
      </c>
      <c r="F49" s="14"/>
      <c r="G49" s="6">
        <f>SUM(E$9:$E49)-SUM(F$9:$F49)</f>
        <v>190000</v>
      </c>
    </row>
    <row r="50" spans="1:7" ht="28.8" x14ac:dyDescent="0.55000000000000004">
      <c r="A50" s="12"/>
      <c r="B50" s="13"/>
      <c r="C50" s="10"/>
      <c r="D50" s="10"/>
      <c r="E50" s="7">
        <f>+$H$2+(BERNARD4041424345[[#This Row],[QUANTITE]]*BERNARD4041424345[[#This Row],[PRIX UNITAIRE]])</f>
        <v>0</v>
      </c>
      <c r="F50" s="14"/>
      <c r="G50" s="6">
        <f>SUM(E$9:$E50)-SUM(F$9:$F50)</f>
        <v>190000</v>
      </c>
    </row>
    <row r="51" spans="1:7" ht="28.8" x14ac:dyDescent="0.55000000000000004">
      <c r="A51" s="12"/>
      <c r="B51" s="13"/>
      <c r="C51" s="10"/>
      <c r="D51" s="10"/>
      <c r="E51" s="7">
        <f>+$H$2+(BERNARD4041424345[[#This Row],[QUANTITE]]*BERNARD4041424345[[#This Row],[PRIX UNITAIRE]])</f>
        <v>0</v>
      </c>
      <c r="F51" s="14"/>
      <c r="G51" s="6">
        <f>SUM(E$9:$E51)-SUM(F$9:$F51)</f>
        <v>190000</v>
      </c>
    </row>
    <row r="52" spans="1:7" ht="28.8" x14ac:dyDescent="0.55000000000000004">
      <c r="A52" s="12"/>
      <c r="B52" s="13"/>
      <c r="C52" s="10"/>
      <c r="D52" s="10"/>
      <c r="E52" s="7">
        <f>+$H$2+(BERNARD4041424345[[#This Row],[QUANTITE]]*BERNARD4041424345[[#This Row],[PRIX UNITAIRE]])</f>
        <v>0</v>
      </c>
      <c r="F52" s="14"/>
      <c r="G52" s="6">
        <f>SUM(E$9:$E52)-SUM(F$9:$F52)</f>
        <v>190000</v>
      </c>
    </row>
    <row r="53" spans="1:7" ht="28.8" x14ac:dyDescent="0.55000000000000004">
      <c r="A53" s="12"/>
      <c r="B53" s="13"/>
      <c r="C53" s="10"/>
      <c r="D53" s="10"/>
      <c r="E53" s="7">
        <f>+$H$2+(BERNARD4041424345[[#This Row],[QUANTITE]]*BERNARD4041424345[[#This Row],[PRIX UNITAIRE]])</f>
        <v>0</v>
      </c>
      <c r="F53" s="14"/>
      <c r="G53" s="6">
        <f>SUM(E$9:$E53)-SUM(F$9:$F53)</f>
        <v>190000</v>
      </c>
    </row>
    <row r="54" spans="1:7" ht="28.8" x14ac:dyDescent="0.55000000000000004">
      <c r="A54" s="12"/>
      <c r="B54" s="13"/>
      <c r="C54" s="10"/>
      <c r="D54" s="10"/>
      <c r="E54" s="7">
        <f>+$H$2+(BERNARD4041424345[[#This Row],[QUANTITE]]*BERNARD4041424345[[#This Row],[PRIX UNITAIRE]])</f>
        <v>0</v>
      </c>
      <c r="F54" s="14"/>
      <c r="G54" s="6">
        <f>SUM(E$9:$E54)-SUM(F$9:$F54)</f>
        <v>190000</v>
      </c>
    </row>
    <row r="55" spans="1:7" ht="28.8" x14ac:dyDescent="0.55000000000000004">
      <c r="A55" s="12"/>
      <c r="B55" s="13"/>
      <c r="C55" s="10"/>
      <c r="D55" s="10"/>
      <c r="E55" s="7">
        <f>+$H$2+(BERNARD4041424345[[#This Row],[QUANTITE]]*BERNARD4041424345[[#This Row],[PRIX UNITAIRE]])</f>
        <v>0</v>
      </c>
      <c r="F55" s="14"/>
      <c r="G55" s="6">
        <f>SUM(E$9:$E55)-SUM(F$9:$F55)</f>
        <v>190000</v>
      </c>
    </row>
    <row r="56" spans="1:7" ht="28.8" x14ac:dyDescent="0.55000000000000004">
      <c r="A56" s="12"/>
      <c r="B56" s="13"/>
      <c r="C56" s="10"/>
      <c r="D56" s="10"/>
      <c r="E56" s="7">
        <f>+$H$2+(BERNARD4041424345[[#This Row],[QUANTITE]]*BERNARD4041424345[[#This Row],[PRIX UNITAIRE]])</f>
        <v>0</v>
      </c>
      <c r="F56" s="14"/>
      <c r="G56" s="6">
        <f>SUM(E$9:$E56)-SUM(F$9:$F56)</f>
        <v>190000</v>
      </c>
    </row>
    <row r="57" spans="1:7" ht="28.8" x14ac:dyDescent="0.55000000000000004">
      <c r="A57" s="12"/>
      <c r="B57" s="13"/>
      <c r="C57" s="10"/>
      <c r="D57" s="10"/>
      <c r="E57" s="7">
        <f>+$H$2+(BERNARD4041424345[[#This Row],[QUANTITE]]*BERNARD4041424345[[#This Row],[PRIX UNITAIRE]])</f>
        <v>0</v>
      </c>
      <c r="F57" s="14"/>
      <c r="G57" s="6">
        <f>SUM(E$9:$E57)-SUM(F$9:$F57)</f>
        <v>190000</v>
      </c>
    </row>
    <row r="58" spans="1:7" ht="28.8" x14ac:dyDescent="0.55000000000000004">
      <c r="A58" s="12"/>
      <c r="B58" s="13"/>
      <c r="C58" s="10"/>
      <c r="D58" s="10"/>
      <c r="E58" s="7">
        <f>+$H$2+(BERNARD4041424345[[#This Row],[QUANTITE]]*BERNARD4041424345[[#This Row],[PRIX UNITAIRE]])</f>
        <v>0</v>
      </c>
      <c r="F58" s="14"/>
      <c r="G58" s="6">
        <f>SUM(E$9:$E58)-SUM(F$9:$F58)</f>
        <v>190000</v>
      </c>
    </row>
    <row r="59" spans="1:7" ht="28.8" x14ac:dyDescent="0.55000000000000004">
      <c r="A59" s="12"/>
      <c r="B59" s="13"/>
      <c r="C59" s="10"/>
      <c r="D59" s="10"/>
      <c r="E59" s="7">
        <f>+$H$2+(BERNARD4041424345[[#This Row],[QUANTITE]]*BERNARD4041424345[[#This Row],[PRIX UNITAIRE]])</f>
        <v>0</v>
      </c>
      <c r="F59" s="14"/>
      <c r="G59" s="6">
        <f>SUM(E$9:$E59)-SUM(F$9:$F59)</f>
        <v>190000</v>
      </c>
    </row>
    <row r="60" spans="1:7" ht="28.8" x14ac:dyDescent="0.55000000000000004">
      <c r="A60" s="12"/>
      <c r="B60" s="13"/>
      <c r="C60" s="10"/>
      <c r="D60" s="10"/>
      <c r="E60" s="7">
        <f>+$H$2+(BERNARD4041424345[[#This Row],[QUANTITE]]*BERNARD4041424345[[#This Row],[PRIX UNITAIRE]])</f>
        <v>0</v>
      </c>
      <c r="F60" s="14"/>
      <c r="G60" s="6">
        <f>SUM(E$9:$E60)-SUM(F$9:$F60)</f>
        <v>190000</v>
      </c>
    </row>
    <row r="61" spans="1:7" ht="28.8" x14ac:dyDescent="0.55000000000000004">
      <c r="A61" s="12"/>
      <c r="B61" s="13"/>
      <c r="C61" s="10"/>
      <c r="D61" s="10"/>
      <c r="E61" s="7">
        <f>+$H$2+(BERNARD4041424345[[#This Row],[QUANTITE]]*BERNARD4041424345[[#This Row],[PRIX UNITAIRE]])</f>
        <v>0</v>
      </c>
      <c r="F61" s="14"/>
      <c r="G61" s="6">
        <f>SUM(E$9:$E61)-SUM(F$9:$F61)</f>
        <v>190000</v>
      </c>
    </row>
    <row r="62" spans="1:7" ht="28.8" x14ac:dyDescent="0.55000000000000004">
      <c r="A62" s="12"/>
      <c r="B62" s="13"/>
      <c r="C62" s="10"/>
      <c r="D62" s="10"/>
      <c r="E62" s="7">
        <f>+$H$2+(BERNARD4041424345[[#This Row],[QUANTITE]]*BERNARD4041424345[[#This Row],[PRIX UNITAIRE]])</f>
        <v>0</v>
      </c>
      <c r="F62" s="14"/>
      <c r="G62" s="6">
        <f>SUM(E$9:$E62)-SUM(F$9:$F62)</f>
        <v>190000</v>
      </c>
    </row>
    <row r="63" spans="1:7" ht="28.8" x14ac:dyDescent="0.55000000000000004">
      <c r="A63" s="12"/>
      <c r="B63" s="13"/>
      <c r="C63" s="10"/>
      <c r="D63" s="10"/>
      <c r="E63" s="7">
        <f>+$H$2+(BERNARD4041424345[[#This Row],[QUANTITE]]*BERNARD4041424345[[#This Row],[PRIX UNITAIRE]])</f>
        <v>0</v>
      </c>
      <c r="F63" s="14"/>
      <c r="G63" s="6">
        <f>SUM(E$9:$E63)-SUM(F$9:$F63)</f>
        <v>190000</v>
      </c>
    </row>
    <row r="64" spans="1:7" ht="28.8" x14ac:dyDescent="0.55000000000000004">
      <c r="A64" s="12"/>
      <c r="B64" s="13"/>
      <c r="C64" s="10"/>
      <c r="D64" s="10"/>
      <c r="E64" s="7">
        <f>+$H$2+(BERNARD4041424345[[#This Row],[QUANTITE]]*BERNARD4041424345[[#This Row],[PRIX UNITAIRE]])</f>
        <v>0</v>
      </c>
      <c r="F64" s="14"/>
      <c r="G64" s="6">
        <f>SUM(E$9:$E64)-SUM(F$9:$F64)</f>
        <v>190000</v>
      </c>
    </row>
    <row r="65" spans="1:7" ht="28.8" x14ac:dyDescent="0.55000000000000004">
      <c r="A65" s="12"/>
      <c r="B65" s="13"/>
      <c r="C65" s="10"/>
      <c r="D65" s="10"/>
      <c r="E65" s="7">
        <f>+$H$2+(BERNARD4041424345[[#This Row],[QUANTITE]]*BERNARD4041424345[[#This Row],[PRIX UNITAIRE]])</f>
        <v>0</v>
      </c>
      <c r="F65" s="14"/>
      <c r="G65" s="6">
        <f>SUM(E$9:$E65)-SUM(F$9:$F65)</f>
        <v>190000</v>
      </c>
    </row>
    <row r="66" spans="1:7" ht="28.8" x14ac:dyDescent="0.55000000000000004">
      <c r="A66" s="12"/>
      <c r="B66" s="13"/>
      <c r="C66" s="10"/>
      <c r="D66" s="10"/>
      <c r="E66" s="7">
        <f>+$H$2+(BERNARD4041424345[[#This Row],[QUANTITE]]*BERNARD4041424345[[#This Row],[PRIX UNITAIRE]])</f>
        <v>0</v>
      </c>
      <c r="F66" s="14"/>
      <c r="G66" s="6">
        <f>SUM(E$9:$E66)-SUM(F$9:$F66)</f>
        <v>190000</v>
      </c>
    </row>
    <row r="67" spans="1:7" ht="28.8" x14ac:dyDescent="0.55000000000000004">
      <c r="A67" s="12"/>
      <c r="B67" s="13"/>
      <c r="C67" s="10"/>
      <c r="D67" s="10"/>
      <c r="E67" s="7">
        <f>+$H$2+(BERNARD4041424345[[#This Row],[QUANTITE]]*BERNARD4041424345[[#This Row],[PRIX UNITAIRE]])</f>
        <v>0</v>
      </c>
      <c r="F67" s="14"/>
      <c r="G67" s="6">
        <f>SUM(E$9:$E67)-SUM(F$9:$F67)</f>
        <v>190000</v>
      </c>
    </row>
    <row r="68" spans="1:7" ht="28.8" x14ac:dyDescent="0.55000000000000004">
      <c r="A68" s="12"/>
      <c r="B68" s="13"/>
      <c r="C68" s="10"/>
      <c r="D68" s="10"/>
      <c r="E68" s="7">
        <f>+$H$2+(BERNARD4041424345[[#This Row],[QUANTITE]]*BERNARD4041424345[[#This Row],[PRIX UNITAIRE]])</f>
        <v>0</v>
      </c>
      <c r="F68" s="14"/>
      <c r="G68" s="6">
        <f>SUM(E$9:$E68)-SUM(F$9:$F68)</f>
        <v>190000</v>
      </c>
    </row>
    <row r="69" spans="1:7" ht="28.8" x14ac:dyDescent="0.55000000000000004">
      <c r="A69" s="12"/>
      <c r="B69" s="13"/>
      <c r="C69" s="10"/>
      <c r="D69" s="10"/>
      <c r="E69" s="7">
        <f>+$H$2+(BERNARD4041424345[[#This Row],[QUANTITE]]*BERNARD4041424345[[#This Row],[PRIX UNITAIRE]])</f>
        <v>0</v>
      </c>
      <c r="F69" s="14"/>
      <c r="G69" s="6">
        <f>SUM(E$9:$E69)-SUM(F$9:$F69)</f>
        <v>190000</v>
      </c>
    </row>
    <row r="70" spans="1:7" ht="28.8" x14ac:dyDescent="0.55000000000000004">
      <c r="A70" s="12"/>
      <c r="B70" s="13"/>
      <c r="C70" s="10"/>
      <c r="D70" s="10"/>
      <c r="E70" s="7">
        <f>+$H$2+(BERNARD4041424345[[#This Row],[QUANTITE]]*BERNARD4041424345[[#This Row],[PRIX UNITAIRE]])</f>
        <v>0</v>
      </c>
      <c r="F70" s="14"/>
      <c r="G70" s="6">
        <f>SUM(E$9:$E70)-SUM(F$9:$F70)</f>
        <v>190000</v>
      </c>
    </row>
    <row r="71" spans="1:7" ht="28.8" x14ac:dyDescent="0.55000000000000004">
      <c r="A71" s="12"/>
      <c r="B71" s="13"/>
      <c r="C71" s="10"/>
      <c r="D71" s="10"/>
      <c r="E71" s="7">
        <f>+$H$2+(BERNARD4041424345[[#This Row],[QUANTITE]]*BERNARD4041424345[[#This Row],[PRIX UNITAIRE]])</f>
        <v>0</v>
      </c>
      <c r="F71" s="14"/>
      <c r="G71" s="6">
        <f>SUM(E$9:$E71)-SUM(F$9:$F71)</f>
        <v>190000</v>
      </c>
    </row>
    <row r="72" spans="1:7" ht="28.8" x14ac:dyDescent="0.55000000000000004">
      <c r="A72" s="12"/>
      <c r="B72" s="13"/>
      <c r="C72" s="10"/>
      <c r="D72" s="10"/>
      <c r="E72" s="7">
        <f>+$H$2+(BERNARD4041424345[[#This Row],[QUANTITE]]*BERNARD4041424345[[#This Row],[PRIX UNITAIRE]])</f>
        <v>0</v>
      </c>
      <c r="F72" s="14"/>
      <c r="G72" s="6">
        <f>SUM(E$9:$E72)-SUM(F$9:$F72)</f>
        <v>190000</v>
      </c>
    </row>
    <row r="73" spans="1:7" ht="28.8" x14ac:dyDescent="0.55000000000000004">
      <c r="A73" s="12"/>
      <c r="B73" s="13"/>
      <c r="C73" s="10"/>
      <c r="D73" s="10"/>
      <c r="E73" s="7">
        <f>+$H$2+(BERNARD4041424345[[#This Row],[QUANTITE]]*BERNARD4041424345[[#This Row],[PRIX UNITAIRE]])</f>
        <v>0</v>
      </c>
      <c r="F73" s="14"/>
      <c r="G73" s="6">
        <f>SUM(E$9:$E73)-SUM(F$9:$F73)</f>
        <v>190000</v>
      </c>
    </row>
    <row r="74" spans="1:7" ht="28.8" x14ac:dyDescent="0.55000000000000004">
      <c r="A74" s="12"/>
      <c r="B74" s="13"/>
      <c r="C74" s="10"/>
      <c r="D74" s="10"/>
      <c r="E74" s="7">
        <f>+$H$2+(BERNARD4041424345[[#This Row],[QUANTITE]]*BERNARD4041424345[[#This Row],[PRIX UNITAIRE]])</f>
        <v>0</v>
      </c>
      <c r="F74" s="14"/>
      <c r="G74" s="6">
        <f>SUM(E$9:$E74)-SUM(F$9:$F74)</f>
        <v>190000</v>
      </c>
    </row>
    <row r="75" spans="1:7" ht="28.8" x14ac:dyDescent="0.55000000000000004">
      <c r="A75" s="12"/>
      <c r="B75" s="13"/>
      <c r="C75" s="10"/>
      <c r="D75" s="10"/>
      <c r="E75" s="7">
        <f>+$H$2+(BERNARD4041424345[[#This Row],[QUANTITE]]*BERNARD4041424345[[#This Row],[PRIX UNITAIRE]])</f>
        <v>0</v>
      </c>
      <c r="F75" s="14"/>
      <c r="G75" s="6">
        <f>SUM(E$9:$E75)-SUM(F$9:$F75)</f>
        <v>190000</v>
      </c>
    </row>
    <row r="76" spans="1:7" ht="28.8" x14ac:dyDescent="0.55000000000000004">
      <c r="A76" s="12"/>
      <c r="B76" s="13"/>
      <c r="C76" s="10"/>
      <c r="D76" s="10"/>
      <c r="E76" s="7">
        <f>+$H$2+(BERNARD4041424345[[#This Row],[QUANTITE]]*BERNARD4041424345[[#This Row],[PRIX UNITAIRE]])</f>
        <v>0</v>
      </c>
      <c r="F76" s="14"/>
      <c r="G76" s="6">
        <f>SUM(E$9:$E76)-SUM(F$9:$F76)</f>
        <v>190000</v>
      </c>
    </row>
    <row r="77" spans="1:7" ht="28.8" x14ac:dyDescent="0.55000000000000004">
      <c r="A77" s="12"/>
      <c r="B77" s="13"/>
      <c r="C77" s="10"/>
      <c r="D77" s="10"/>
      <c r="E77" s="7">
        <f>+$H$2+(BERNARD4041424345[[#This Row],[QUANTITE]]*BERNARD4041424345[[#This Row],[PRIX UNITAIRE]])</f>
        <v>0</v>
      </c>
      <c r="F77" s="14"/>
      <c r="G77" s="6">
        <f>SUM(E$9:$E77)-SUM(F$9:$F77)</f>
        <v>190000</v>
      </c>
    </row>
    <row r="78" spans="1:7" ht="28.8" x14ac:dyDescent="0.55000000000000004">
      <c r="A78" s="12"/>
      <c r="B78" s="13"/>
      <c r="C78" s="10"/>
      <c r="D78" s="10"/>
      <c r="E78" s="7">
        <f>+$H$2+(BERNARD4041424345[[#This Row],[QUANTITE]]*BERNARD4041424345[[#This Row],[PRIX UNITAIRE]])</f>
        <v>0</v>
      </c>
      <c r="F78" s="14"/>
      <c r="G78" s="6">
        <f>SUM(E$9:$E78)-SUM(F$9:$F78)</f>
        <v>190000</v>
      </c>
    </row>
    <row r="79" spans="1:7" ht="28.8" x14ac:dyDescent="0.55000000000000004">
      <c r="A79" s="12"/>
      <c r="B79" s="13"/>
      <c r="C79" s="10"/>
      <c r="D79" s="10"/>
      <c r="E79" s="7">
        <f>+$H$2+(BERNARD4041424345[[#This Row],[QUANTITE]]*BERNARD4041424345[[#This Row],[PRIX UNITAIRE]])</f>
        <v>0</v>
      </c>
      <c r="F79" s="14"/>
      <c r="G79" s="6">
        <f>SUM(E$9:$E79)-SUM(F$9:$F79)</f>
        <v>190000</v>
      </c>
    </row>
    <row r="80" spans="1:7" ht="28.8" x14ac:dyDescent="0.55000000000000004">
      <c r="A80" s="12"/>
      <c r="B80" s="13"/>
      <c r="C80" s="10"/>
      <c r="D80" s="10"/>
      <c r="E80" s="7">
        <f>+$H$2+(BERNARD4041424345[[#This Row],[QUANTITE]]*BERNARD4041424345[[#This Row],[PRIX UNITAIRE]])</f>
        <v>0</v>
      </c>
      <c r="F80" s="14"/>
      <c r="G80" s="6">
        <f>SUM(E$9:$E80)-SUM(F$9:$F80)</f>
        <v>190000</v>
      </c>
    </row>
    <row r="81" spans="1:7" ht="28.8" x14ac:dyDescent="0.55000000000000004">
      <c r="A81" s="12"/>
      <c r="B81" s="13"/>
      <c r="C81" s="10"/>
      <c r="D81" s="10"/>
      <c r="E81" s="7">
        <f>+$H$2+(BERNARD4041424345[[#This Row],[QUANTITE]]*BERNARD4041424345[[#This Row],[PRIX UNITAIRE]])</f>
        <v>0</v>
      </c>
      <c r="F81" s="14"/>
      <c r="G81" s="6">
        <f>SUM(E$9:$E81)-SUM(F$9:$F81)</f>
        <v>190000</v>
      </c>
    </row>
    <row r="82" spans="1:7" ht="28.8" x14ac:dyDescent="0.55000000000000004">
      <c r="A82" s="12"/>
      <c r="B82" s="13"/>
      <c r="C82" s="10"/>
      <c r="D82" s="10"/>
      <c r="E82" s="7">
        <f>+$H$2+(BERNARD4041424345[[#This Row],[QUANTITE]]*BERNARD4041424345[[#This Row],[PRIX UNITAIRE]])</f>
        <v>0</v>
      </c>
      <c r="F82" s="14"/>
      <c r="G82" s="6">
        <f>SUM(E$9:$E82)-SUM(F$9:$F82)</f>
        <v>190000</v>
      </c>
    </row>
  </sheetData>
  <sheetProtection selectLockedCells="1" autoFilter="0"/>
  <mergeCells count="1">
    <mergeCell ref="B6:C6"/>
  </mergeCells>
  <conditionalFormatting sqref="G4">
    <cfRule type="cellIs" dxfId="171" priority="2" operator="lessThan">
      <formula>0</formula>
    </cfRule>
    <cfRule type="cellIs" dxfId="170" priority="3" operator="greaterThan">
      <formula>0</formula>
    </cfRule>
  </conditionalFormatting>
  <conditionalFormatting sqref="B9:B82">
    <cfRule type="expression" dxfId="169" priority="5">
      <formula>$F9</formula>
    </cfRule>
  </conditionalFormatting>
  <dataValidations count="1">
    <dataValidation type="date" operator="greaterThan" allowBlank="1" showInputMessage="1" showErrorMessage="1" error="VEILLEZ ENTRER UNE DATE VALIDE" sqref="A9:A82">
      <formula1>45261</formula1>
    </dataValidation>
  </dataValidations>
  <pageMargins left="0.7" right="0.7" top="0.75" bottom="0.75" header="0.3" footer="0.3"/>
  <pageSetup paperSize="9" scale="34" orientation="portrait" r:id="rId1"/>
  <drawing r:id="rId2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/>
  <dimension ref="A1:I83"/>
  <sheetViews>
    <sheetView showGridLines="0" zoomScale="60" zoomScaleNormal="60" workbookViewId="0">
      <pane ySplit="8" topLeftCell="A9" activePane="bottomLeft" state="frozen"/>
      <selection activeCell="C16" sqref="C16"/>
      <selection pane="bottomLeft"/>
    </sheetView>
  </sheetViews>
  <sheetFormatPr baseColWidth="10" defaultColWidth="11.5546875" defaultRowHeight="14.4" x14ac:dyDescent="0.3"/>
  <cols>
    <col min="1" max="1" width="19.21875" style="1" bestFit="1" customWidth="1"/>
    <col min="2" max="2" width="63.5546875" style="1" bestFit="1" customWidth="1"/>
    <col min="3" max="3" width="19.77734375" style="1" bestFit="1" customWidth="1"/>
    <col min="4" max="4" width="43.5546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/>
      <c r="B1"/>
      <c r="C1"/>
      <c r="D1"/>
      <c r="F1"/>
    </row>
    <row r="2" spans="1:9" ht="36" customHeight="1" thickBot="1" x14ac:dyDescent="0.35">
      <c r="A2"/>
      <c r="B2"/>
      <c r="C2"/>
      <c r="D2"/>
      <c r="F2"/>
      <c r="I2" s="1">
        <v>0</v>
      </c>
    </row>
    <row r="3" spans="1:9" ht="31.8" thickBot="1" x14ac:dyDescent="0.35">
      <c r="A3"/>
      <c r="B3"/>
      <c r="C3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/>
      <c r="B4"/>
      <c r="C4"/>
      <c r="D4" s="38" t="s">
        <v>1224</v>
      </c>
      <c r="E4" s="41">
        <f>+SUM(BERNARD404142434546[TOTAL MONTANT])</f>
        <v>365000</v>
      </c>
      <c r="F4" s="41">
        <f>+SUM(BERNARD404142434546[VERSEMENT])</f>
        <v>0</v>
      </c>
      <c r="G4" s="130">
        <f>+E4-F4</f>
        <v>365000</v>
      </c>
    </row>
    <row r="5" spans="1:9" ht="29.4" thickBot="1" x14ac:dyDescent="0.35">
      <c r="B5" s="3" t="s">
        <v>7</v>
      </c>
      <c r="D5"/>
    </row>
    <row r="6" spans="1:9" ht="37.200000000000003" thickBot="1" x14ac:dyDescent="0.75">
      <c r="B6" s="168" t="s">
        <v>1231</v>
      </c>
      <c r="C6" s="169"/>
      <c r="D6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45834</v>
      </c>
      <c r="B9" s="13" t="s">
        <v>1274</v>
      </c>
      <c r="C9" s="10">
        <v>4</v>
      </c>
      <c r="D9" s="10">
        <v>65000</v>
      </c>
      <c r="E9" s="7">
        <f>+$I$2+(BERNARD404142434546[[#This Row],[QUANTITE]]*BERNARD404142434546[[#This Row],[PRIX UNITAIRE]])</f>
        <v>260000</v>
      </c>
      <c r="F9" s="18"/>
      <c r="G9" s="10">
        <f>SUM(E$9:$E9)-SUM(F$9:$F9)</f>
        <v>260000</v>
      </c>
    </row>
    <row r="10" spans="1:9" ht="28.8" x14ac:dyDescent="0.55000000000000004">
      <c r="A10" s="12">
        <v>45847</v>
      </c>
      <c r="B10" s="13" t="s">
        <v>1275</v>
      </c>
      <c r="C10" s="10">
        <v>1</v>
      </c>
      <c r="D10" s="10">
        <v>40000</v>
      </c>
      <c r="E10" s="7">
        <f>+$I$2+(BERNARD404142434546[[#This Row],[QUANTITE]]*BERNARD404142434546[[#This Row],[PRIX UNITAIRE]])</f>
        <v>40000</v>
      </c>
      <c r="F10" s="19"/>
      <c r="G10" s="6">
        <f>SUM(E$9:$E10)-SUM(F$9:$F10)</f>
        <v>300000</v>
      </c>
    </row>
    <row r="11" spans="1:9" ht="28.8" x14ac:dyDescent="0.55000000000000004">
      <c r="A11" s="12">
        <v>45990</v>
      </c>
      <c r="B11" s="13" t="s">
        <v>258</v>
      </c>
      <c r="C11" s="10">
        <v>1</v>
      </c>
      <c r="D11" s="10">
        <v>65000</v>
      </c>
      <c r="E11" s="7">
        <f>+$I$2+(BERNARD404142434546[[#This Row],[QUANTITE]]*BERNARD404142434546[[#This Row],[PRIX UNITAIRE]])</f>
        <v>65000</v>
      </c>
      <c r="F11" s="14"/>
      <c r="G11" s="6">
        <f>SUM(E$9:$E11)-SUM(F$9:$F11)</f>
        <v>365000</v>
      </c>
    </row>
    <row r="12" spans="1:9" ht="28.8" x14ac:dyDescent="0.55000000000000004">
      <c r="A12" s="12"/>
      <c r="B12" s="13"/>
      <c r="C12" s="10"/>
      <c r="D12" s="10"/>
      <c r="E12" s="7">
        <f>+$I$2+(BERNARD404142434546[[#This Row],[QUANTITE]]*BERNARD404142434546[[#This Row],[PRIX UNITAIRE]])</f>
        <v>0</v>
      </c>
      <c r="F12" s="14"/>
      <c r="G12" s="6">
        <f>SUM(E$9:$E12)-SUM(F$9:$F12)</f>
        <v>365000</v>
      </c>
    </row>
    <row r="13" spans="1:9" ht="28.8" x14ac:dyDescent="0.55000000000000004">
      <c r="A13" s="12"/>
      <c r="B13" s="13"/>
      <c r="C13" s="10"/>
      <c r="D13" s="10"/>
      <c r="E13" s="7">
        <f>+$I$2+(BERNARD404142434546[[#This Row],[QUANTITE]]*BERNARD404142434546[[#This Row],[PRIX UNITAIRE]])</f>
        <v>0</v>
      </c>
      <c r="F13" s="14"/>
      <c r="G13" s="6">
        <f>SUM(E$9:$E13)-SUM(F$9:$F13)</f>
        <v>365000</v>
      </c>
    </row>
    <row r="14" spans="1:9" ht="28.8" x14ac:dyDescent="0.55000000000000004">
      <c r="A14" s="12"/>
      <c r="B14" s="13"/>
      <c r="C14" s="10"/>
      <c r="D14" s="10"/>
      <c r="E14" s="7">
        <f>+$I$2+(BERNARD404142434546[[#This Row],[QUANTITE]]*BERNARD404142434546[[#This Row],[PRIX UNITAIRE]])</f>
        <v>0</v>
      </c>
      <c r="F14" s="14"/>
      <c r="G14" s="6">
        <f>SUM(E$9:$E14)-SUM(F$9:$F14)</f>
        <v>365000</v>
      </c>
    </row>
    <row r="15" spans="1:9" ht="28.8" x14ac:dyDescent="0.55000000000000004">
      <c r="A15" s="12"/>
      <c r="B15" s="13"/>
      <c r="C15" s="10"/>
      <c r="D15" s="10"/>
      <c r="E15" s="7">
        <f>+$I$2+(BERNARD404142434546[[#This Row],[QUANTITE]]*BERNARD404142434546[[#This Row],[PRIX UNITAIRE]])</f>
        <v>0</v>
      </c>
      <c r="F15" s="14"/>
      <c r="G15" s="6">
        <f>SUM(E$9:$E15)-SUM(F$9:$F15)</f>
        <v>365000</v>
      </c>
    </row>
    <row r="16" spans="1:9" ht="28.8" x14ac:dyDescent="0.55000000000000004">
      <c r="A16" s="12"/>
      <c r="B16" s="13"/>
      <c r="C16" s="10"/>
      <c r="D16" s="10"/>
      <c r="E16" s="7">
        <f>+$I$2+(BERNARD404142434546[[#This Row],[QUANTITE]]*BERNARD404142434546[[#This Row],[PRIX UNITAIRE]])</f>
        <v>0</v>
      </c>
      <c r="F16" s="14"/>
      <c r="G16" s="6">
        <f>SUM(E$9:$E16)-SUM(F$9:$F16)</f>
        <v>365000</v>
      </c>
    </row>
    <row r="17" spans="1:7" ht="28.8" x14ac:dyDescent="0.55000000000000004">
      <c r="A17" s="12"/>
      <c r="B17" s="13"/>
      <c r="C17" s="10"/>
      <c r="D17" s="10"/>
      <c r="E17" s="7">
        <f>+$I$2+(BERNARD404142434546[[#This Row],[QUANTITE]]*BERNARD404142434546[[#This Row],[PRIX UNITAIRE]])</f>
        <v>0</v>
      </c>
      <c r="F17" s="14"/>
      <c r="G17" s="6">
        <f>SUM(E$9:$E17)-SUM(F$9:$F17)</f>
        <v>365000</v>
      </c>
    </row>
    <row r="18" spans="1:7" ht="28.8" x14ac:dyDescent="0.55000000000000004">
      <c r="A18" s="12"/>
      <c r="B18" s="13"/>
      <c r="C18" s="10"/>
      <c r="D18" s="10"/>
      <c r="E18" s="7">
        <f>+$I$2+(BERNARD404142434546[[#This Row],[QUANTITE]]*BERNARD404142434546[[#This Row],[PRIX UNITAIRE]])</f>
        <v>0</v>
      </c>
      <c r="F18" s="14"/>
      <c r="G18" s="6">
        <f>SUM(E$9:$E18)-SUM(F$9:$F18)</f>
        <v>365000</v>
      </c>
    </row>
    <row r="19" spans="1:7" ht="28.8" x14ac:dyDescent="0.55000000000000004">
      <c r="A19" s="12"/>
      <c r="B19" s="13"/>
      <c r="C19" s="10"/>
      <c r="D19" s="10"/>
      <c r="E19" s="7">
        <f>+$I$2+(BERNARD404142434546[[#This Row],[QUANTITE]]*BERNARD404142434546[[#This Row],[PRIX UNITAIRE]])</f>
        <v>0</v>
      </c>
      <c r="F19" s="14"/>
      <c r="G19" s="6">
        <f>SUM(E$9:$E19)-SUM(F$9:$F19)</f>
        <v>365000</v>
      </c>
    </row>
    <row r="20" spans="1:7" ht="28.8" x14ac:dyDescent="0.55000000000000004">
      <c r="A20" s="12"/>
      <c r="B20" s="13"/>
      <c r="C20" s="10"/>
      <c r="D20" s="10"/>
      <c r="E20" s="7">
        <f>+$I$2+(BERNARD404142434546[[#This Row],[QUANTITE]]*BERNARD404142434546[[#This Row],[PRIX UNITAIRE]])</f>
        <v>0</v>
      </c>
      <c r="F20" s="14"/>
      <c r="G20" s="6">
        <f>SUM(E$9:$E20)-SUM(F$9:$F20)</f>
        <v>365000</v>
      </c>
    </row>
    <row r="21" spans="1:7" ht="28.8" x14ac:dyDescent="0.55000000000000004">
      <c r="A21" s="12"/>
      <c r="B21" s="13"/>
      <c r="C21" s="10"/>
      <c r="D21" s="10"/>
      <c r="E21" s="7">
        <f>+$I$2+(BERNARD404142434546[[#This Row],[QUANTITE]]*BERNARD404142434546[[#This Row],[PRIX UNITAIRE]])</f>
        <v>0</v>
      </c>
      <c r="F21" s="14"/>
      <c r="G21" s="6">
        <f>SUM(E$9:$E21)-SUM(F$9:$F21)</f>
        <v>365000</v>
      </c>
    </row>
    <row r="22" spans="1:7" ht="28.8" x14ac:dyDescent="0.55000000000000004">
      <c r="A22" s="12"/>
      <c r="B22" s="13"/>
      <c r="C22" s="10"/>
      <c r="D22" s="10"/>
      <c r="E22" s="7">
        <f>+$I$2+(BERNARD404142434546[[#This Row],[QUANTITE]]*BERNARD404142434546[[#This Row],[PRIX UNITAIRE]])</f>
        <v>0</v>
      </c>
      <c r="F22" s="14"/>
      <c r="G22" s="6">
        <f>SUM(E$9:$E22)-SUM(F$9:$F22)</f>
        <v>365000</v>
      </c>
    </row>
    <row r="23" spans="1:7" ht="28.8" x14ac:dyDescent="0.55000000000000004">
      <c r="A23" s="12"/>
      <c r="B23" s="13"/>
      <c r="C23" s="10"/>
      <c r="D23" s="10"/>
      <c r="E23" s="7">
        <f>+$I$2+(BERNARD404142434546[[#This Row],[QUANTITE]]*BERNARD404142434546[[#This Row],[PRIX UNITAIRE]])</f>
        <v>0</v>
      </c>
      <c r="F23" s="14"/>
      <c r="G23" s="6">
        <f>SUM(E$9:$E23)-SUM(F$9:$F23)</f>
        <v>365000</v>
      </c>
    </row>
    <row r="24" spans="1:7" ht="28.8" x14ac:dyDescent="0.55000000000000004">
      <c r="A24" s="12"/>
      <c r="B24" s="13"/>
      <c r="C24" s="10"/>
      <c r="D24" s="10"/>
      <c r="E24" s="7">
        <f>+$I$2+(BERNARD404142434546[[#This Row],[QUANTITE]]*BERNARD404142434546[[#This Row],[PRIX UNITAIRE]])</f>
        <v>0</v>
      </c>
      <c r="F24" s="14"/>
      <c r="G24" s="6">
        <f>SUM(E$9:$E24)-SUM(F$9:$F24)</f>
        <v>365000</v>
      </c>
    </row>
    <row r="25" spans="1:7" ht="28.8" x14ac:dyDescent="0.55000000000000004">
      <c r="A25" s="12"/>
      <c r="B25" s="13"/>
      <c r="C25" s="10"/>
      <c r="D25" s="10"/>
      <c r="E25" s="7">
        <f>+$I$2+(BERNARD404142434546[[#This Row],[QUANTITE]]*BERNARD404142434546[[#This Row],[PRIX UNITAIRE]])</f>
        <v>0</v>
      </c>
      <c r="F25" s="14"/>
      <c r="G25" s="6">
        <f>SUM(E$9:$E25)-SUM(F$9:$F25)</f>
        <v>365000</v>
      </c>
    </row>
    <row r="26" spans="1:7" ht="28.8" x14ac:dyDescent="0.55000000000000004">
      <c r="A26" s="12"/>
      <c r="B26" s="13"/>
      <c r="C26" s="10"/>
      <c r="D26" s="10"/>
      <c r="E26" s="7">
        <f>+$I$2+(BERNARD404142434546[[#This Row],[QUANTITE]]*BERNARD404142434546[[#This Row],[PRIX UNITAIRE]])</f>
        <v>0</v>
      </c>
      <c r="F26" s="14"/>
      <c r="G26" s="6">
        <f>SUM(E$9:$E26)-SUM(F$9:$F26)</f>
        <v>365000</v>
      </c>
    </row>
    <row r="27" spans="1:7" ht="28.8" x14ac:dyDescent="0.55000000000000004">
      <c r="A27" s="12"/>
      <c r="B27" s="13"/>
      <c r="C27" s="10"/>
      <c r="D27" s="10"/>
      <c r="E27" s="7">
        <f>+$I$2+(BERNARD404142434546[[#This Row],[QUANTITE]]*BERNARD404142434546[[#This Row],[PRIX UNITAIRE]])</f>
        <v>0</v>
      </c>
      <c r="F27" s="14"/>
      <c r="G27" s="6">
        <f>SUM(E$9:$E27)-SUM(F$9:$F27)</f>
        <v>365000</v>
      </c>
    </row>
    <row r="28" spans="1:7" ht="28.8" x14ac:dyDescent="0.55000000000000004">
      <c r="A28" s="12"/>
      <c r="B28" s="13"/>
      <c r="C28" s="10"/>
      <c r="D28" s="10"/>
      <c r="E28" s="7">
        <f>+$I$2+(BERNARD404142434546[[#This Row],[QUANTITE]]*BERNARD404142434546[[#This Row],[PRIX UNITAIRE]])</f>
        <v>0</v>
      </c>
      <c r="F28" s="14"/>
      <c r="G28" s="6">
        <f>SUM(E$9:$E28)-SUM(F$9:$F28)</f>
        <v>365000</v>
      </c>
    </row>
    <row r="29" spans="1:7" ht="28.8" x14ac:dyDescent="0.55000000000000004">
      <c r="A29" s="12"/>
      <c r="B29" s="13"/>
      <c r="C29" s="10"/>
      <c r="D29" s="10"/>
      <c r="E29" s="7">
        <f>+$I$2+(BERNARD404142434546[[#This Row],[QUANTITE]]*BERNARD404142434546[[#This Row],[PRIX UNITAIRE]])</f>
        <v>0</v>
      </c>
      <c r="F29" s="14"/>
      <c r="G29" s="6">
        <f>SUM(E$9:$E29)-SUM(F$9:$F29)</f>
        <v>365000</v>
      </c>
    </row>
    <row r="30" spans="1:7" ht="28.8" x14ac:dyDescent="0.55000000000000004">
      <c r="A30" s="12"/>
      <c r="B30" s="13"/>
      <c r="C30" s="10"/>
      <c r="D30" s="10"/>
      <c r="E30" s="7">
        <f>+$I$2+(BERNARD404142434546[[#This Row],[QUANTITE]]*BERNARD404142434546[[#This Row],[PRIX UNITAIRE]])</f>
        <v>0</v>
      </c>
      <c r="F30" s="14"/>
      <c r="G30" s="6">
        <f>SUM(E$9:$E30)-SUM(F$9:$F30)</f>
        <v>365000</v>
      </c>
    </row>
    <row r="31" spans="1:7" ht="28.8" x14ac:dyDescent="0.55000000000000004">
      <c r="A31" s="12"/>
      <c r="B31" s="13"/>
      <c r="C31" s="10"/>
      <c r="D31" s="10"/>
      <c r="E31" s="7">
        <f>+$I$2+(BERNARD404142434546[[#This Row],[QUANTITE]]*BERNARD404142434546[[#This Row],[PRIX UNITAIRE]])</f>
        <v>0</v>
      </c>
      <c r="F31" s="14"/>
      <c r="G31" s="6">
        <f>SUM(E$9:$E31)-SUM(F$9:$F31)</f>
        <v>365000</v>
      </c>
    </row>
    <row r="32" spans="1:7" ht="28.8" x14ac:dyDescent="0.55000000000000004">
      <c r="A32" s="12"/>
      <c r="B32" s="13"/>
      <c r="C32" s="10"/>
      <c r="D32" s="10"/>
      <c r="E32" s="7">
        <f>+$I$2+(BERNARD404142434546[[#This Row],[QUANTITE]]*BERNARD404142434546[[#This Row],[PRIX UNITAIRE]])</f>
        <v>0</v>
      </c>
      <c r="F32" s="14"/>
      <c r="G32" s="6">
        <f>SUM(E$9:$E32)-SUM(F$9:$F32)</f>
        <v>365000</v>
      </c>
    </row>
    <row r="33" spans="1:7" ht="28.8" x14ac:dyDescent="0.55000000000000004">
      <c r="A33" s="12"/>
      <c r="B33" s="13"/>
      <c r="C33" s="10"/>
      <c r="D33" s="10"/>
      <c r="E33" s="7">
        <f>+$I$2+(BERNARD404142434546[[#This Row],[QUANTITE]]*BERNARD404142434546[[#This Row],[PRIX UNITAIRE]])</f>
        <v>0</v>
      </c>
      <c r="F33" s="14"/>
      <c r="G33" s="6">
        <f>SUM(E$9:$E33)-SUM(F$9:$F33)</f>
        <v>365000</v>
      </c>
    </row>
    <row r="34" spans="1:7" ht="28.8" x14ac:dyDescent="0.55000000000000004">
      <c r="A34" s="12"/>
      <c r="B34" s="13"/>
      <c r="C34" s="10"/>
      <c r="D34" s="10"/>
      <c r="E34" s="7">
        <f>+$I$2+(BERNARD404142434546[[#This Row],[QUANTITE]]*BERNARD404142434546[[#This Row],[PRIX UNITAIRE]])</f>
        <v>0</v>
      </c>
      <c r="F34" s="14"/>
      <c r="G34" s="6">
        <f>SUM(E$9:$E34)-SUM(F$9:$F34)</f>
        <v>365000</v>
      </c>
    </row>
    <row r="35" spans="1:7" ht="28.8" x14ac:dyDescent="0.55000000000000004">
      <c r="A35" s="12"/>
      <c r="B35" s="13"/>
      <c r="C35" s="10"/>
      <c r="D35" s="10"/>
      <c r="E35" s="7">
        <f>+$I$2+(BERNARD404142434546[[#This Row],[QUANTITE]]*BERNARD404142434546[[#This Row],[PRIX UNITAIRE]])</f>
        <v>0</v>
      </c>
      <c r="F35" s="14"/>
      <c r="G35" s="6">
        <f>SUM(E$9:$E35)-SUM(F$9:$F35)</f>
        <v>365000</v>
      </c>
    </row>
    <row r="36" spans="1:7" ht="28.8" x14ac:dyDescent="0.55000000000000004">
      <c r="A36" s="12"/>
      <c r="B36" s="13"/>
      <c r="C36" s="10"/>
      <c r="D36" s="10"/>
      <c r="E36" s="7">
        <f>+$I$2+(BERNARD404142434546[[#This Row],[QUANTITE]]*BERNARD404142434546[[#This Row],[PRIX UNITAIRE]])</f>
        <v>0</v>
      </c>
      <c r="F36" s="14"/>
      <c r="G36" s="6">
        <f>SUM(E$9:$E36)-SUM(F$9:$F36)</f>
        <v>365000</v>
      </c>
    </row>
    <row r="37" spans="1:7" ht="28.8" x14ac:dyDescent="0.55000000000000004">
      <c r="A37" s="12"/>
      <c r="B37" s="13"/>
      <c r="C37" s="10"/>
      <c r="D37" s="10"/>
      <c r="E37" s="7">
        <f>+$I$2+(BERNARD404142434546[[#This Row],[QUANTITE]]*BERNARD404142434546[[#This Row],[PRIX UNITAIRE]])</f>
        <v>0</v>
      </c>
      <c r="F37" s="14"/>
      <c r="G37" s="6">
        <f>SUM(E$9:$E37)-SUM(F$9:$F37)</f>
        <v>365000</v>
      </c>
    </row>
    <row r="38" spans="1:7" ht="28.8" x14ac:dyDescent="0.55000000000000004">
      <c r="A38" s="12"/>
      <c r="B38" s="13"/>
      <c r="C38" s="10"/>
      <c r="D38" s="10"/>
      <c r="E38" s="7">
        <f>+$I$2+(BERNARD404142434546[[#This Row],[QUANTITE]]*BERNARD404142434546[[#This Row],[PRIX UNITAIRE]])</f>
        <v>0</v>
      </c>
      <c r="F38" s="14"/>
      <c r="G38" s="6">
        <f>SUM(E$9:$E38)-SUM(F$9:$F38)</f>
        <v>365000</v>
      </c>
    </row>
    <row r="39" spans="1:7" ht="28.8" x14ac:dyDescent="0.55000000000000004">
      <c r="A39" s="12"/>
      <c r="B39" s="13"/>
      <c r="C39" s="10"/>
      <c r="D39" s="10"/>
      <c r="E39" s="7">
        <f>+$I$2+(BERNARD404142434546[[#This Row],[QUANTITE]]*BERNARD404142434546[[#This Row],[PRIX UNITAIRE]])</f>
        <v>0</v>
      </c>
      <c r="F39" s="14"/>
      <c r="G39" s="6">
        <f>SUM(E$9:$E39)-SUM(F$9:$F39)</f>
        <v>365000</v>
      </c>
    </row>
    <row r="40" spans="1:7" ht="28.8" x14ac:dyDescent="0.55000000000000004">
      <c r="A40" s="12"/>
      <c r="B40" s="13"/>
      <c r="C40" s="10"/>
      <c r="D40" s="10"/>
      <c r="E40" s="7">
        <f>+$I$2+(BERNARD404142434546[[#This Row],[QUANTITE]]*BERNARD404142434546[[#This Row],[PRIX UNITAIRE]])</f>
        <v>0</v>
      </c>
      <c r="F40" s="14"/>
      <c r="G40" s="6">
        <f>SUM(E$9:$E40)-SUM(F$9:$F40)</f>
        <v>365000</v>
      </c>
    </row>
    <row r="41" spans="1:7" ht="28.8" x14ac:dyDescent="0.55000000000000004">
      <c r="A41" s="12"/>
      <c r="B41" s="13"/>
      <c r="C41" s="10"/>
      <c r="D41" s="10"/>
      <c r="E41" s="7">
        <f>+$I$2+(BERNARD404142434546[[#This Row],[QUANTITE]]*BERNARD404142434546[[#This Row],[PRIX UNITAIRE]])</f>
        <v>0</v>
      </c>
      <c r="F41" s="14"/>
      <c r="G41" s="6">
        <f>SUM(E$9:$E41)-SUM(F$9:$F41)</f>
        <v>365000</v>
      </c>
    </row>
    <row r="42" spans="1:7" ht="28.8" x14ac:dyDescent="0.55000000000000004">
      <c r="A42" s="12"/>
      <c r="B42" s="13"/>
      <c r="C42" s="10"/>
      <c r="D42" s="10"/>
      <c r="E42" s="7">
        <f>+$I$2+(BERNARD404142434546[[#This Row],[QUANTITE]]*BERNARD404142434546[[#This Row],[PRIX UNITAIRE]])</f>
        <v>0</v>
      </c>
      <c r="F42" s="14"/>
      <c r="G42" s="6">
        <f>SUM(E$9:$E42)-SUM(F$9:$F42)</f>
        <v>365000</v>
      </c>
    </row>
    <row r="43" spans="1:7" ht="28.8" x14ac:dyDescent="0.55000000000000004">
      <c r="A43" s="12"/>
      <c r="B43" s="13"/>
      <c r="C43" s="10"/>
      <c r="D43" s="10"/>
      <c r="E43" s="7">
        <f>+$I$2+(BERNARD404142434546[[#This Row],[QUANTITE]]*BERNARD404142434546[[#This Row],[PRIX UNITAIRE]])</f>
        <v>0</v>
      </c>
      <c r="F43" s="14"/>
      <c r="G43" s="6">
        <f>SUM(E$9:$E43)-SUM(F$9:$F43)</f>
        <v>365000</v>
      </c>
    </row>
    <row r="44" spans="1:7" ht="28.8" x14ac:dyDescent="0.55000000000000004">
      <c r="A44" s="12"/>
      <c r="B44" s="13"/>
      <c r="C44" s="10"/>
      <c r="D44" s="10"/>
      <c r="E44" s="7">
        <f>+$I$2+(BERNARD404142434546[[#This Row],[QUANTITE]]*BERNARD404142434546[[#This Row],[PRIX UNITAIRE]])</f>
        <v>0</v>
      </c>
      <c r="F44" s="14"/>
      <c r="G44" s="6">
        <f>SUM(E$9:$E44)-SUM(F$9:$F44)</f>
        <v>365000</v>
      </c>
    </row>
    <row r="45" spans="1:7" ht="28.8" x14ac:dyDescent="0.55000000000000004">
      <c r="A45" s="12"/>
      <c r="B45" s="13"/>
      <c r="C45" s="10"/>
      <c r="D45" s="10"/>
      <c r="E45" s="7">
        <f>+$I$2+(BERNARD404142434546[[#This Row],[QUANTITE]]*BERNARD404142434546[[#This Row],[PRIX UNITAIRE]])</f>
        <v>0</v>
      </c>
      <c r="F45" s="14"/>
      <c r="G45" s="6">
        <f>SUM(E$9:$E45)-SUM(F$9:$F45)</f>
        <v>365000</v>
      </c>
    </row>
    <row r="46" spans="1:7" ht="28.8" x14ac:dyDescent="0.55000000000000004">
      <c r="A46" s="12"/>
      <c r="B46" s="13"/>
      <c r="C46" s="10"/>
      <c r="D46" s="10"/>
      <c r="E46" s="7">
        <f>+$I$2+(BERNARD404142434546[[#This Row],[QUANTITE]]*BERNARD404142434546[[#This Row],[PRIX UNITAIRE]])</f>
        <v>0</v>
      </c>
      <c r="F46" s="14"/>
      <c r="G46" s="6">
        <f>SUM(E$9:$E46)-SUM(F$9:$F46)</f>
        <v>365000</v>
      </c>
    </row>
    <row r="47" spans="1:7" ht="28.8" x14ac:dyDescent="0.55000000000000004">
      <c r="A47" s="12"/>
      <c r="B47" s="13"/>
      <c r="C47" s="10"/>
      <c r="D47" s="10"/>
      <c r="E47" s="7">
        <f>+$I$2+(BERNARD404142434546[[#This Row],[QUANTITE]]*BERNARD404142434546[[#This Row],[PRIX UNITAIRE]])</f>
        <v>0</v>
      </c>
      <c r="F47" s="14"/>
      <c r="G47" s="6">
        <f>SUM(E$9:$E47)-SUM(F$9:$F47)</f>
        <v>365000</v>
      </c>
    </row>
    <row r="48" spans="1:7" ht="28.8" x14ac:dyDescent="0.55000000000000004">
      <c r="A48" s="12"/>
      <c r="B48" s="13"/>
      <c r="C48" s="10"/>
      <c r="D48" s="10"/>
      <c r="E48" s="7">
        <f>+$I$2+(BERNARD404142434546[[#This Row],[QUANTITE]]*BERNARD404142434546[[#This Row],[PRIX UNITAIRE]])</f>
        <v>0</v>
      </c>
      <c r="F48" s="14"/>
      <c r="G48" s="6">
        <f>SUM(E$9:$E48)-SUM(F$9:$F48)</f>
        <v>365000</v>
      </c>
    </row>
    <row r="49" spans="1:7" ht="28.8" x14ac:dyDescent="0.55000000000000004">
      <c r="A49" s="12"/>
      <c r="B49" s="13"/>
      <c r="C49" s="10"/>
      <c r="D49" s="10"/>
      <c r="E49" s="7">
        <f>+$I$2+(BERNARD404142434546[[#This Row],[QUANTITE]]*BERNARD404142434546[[#This Row],[PRIX UNITAIRE]])</f>
        <v>0</v>
      </c>
      <c r="F49" s="14"/>
      <c r="G49" s="6">
        <f>SUM(E$9:$E49)-SUM(F$9:$F49)</f>
        <v>365000</v>
      </c>
    </row>
    <row r="50" spans="1:7" ht="28.8" x14ac:dyDescent="0.55000000000000004">
      <c r="A50" s="12"/>
      <c r="B50" s="13"/>
      <c r="C50" s="10"/>
      <c r="D50" s="10"/>
      <c r="E50" s="7">
        <f>+$I$2+(BERNARD404142434546[[#This Row],[QUANTITE]]*BERNARD404142434546[[#This Row],[PRIX UNITAIRE]])</f>
        <v>0</v>
      </c>
      <c r="F50" s="14"/>
      <c r="G50" s="6">
        <f>SUM(E$9:$E50)-SUM(F$9:$F50)</f>
        <v>365000</v>
      </c>
    </row>
    <row r="51" spans="1:7" ht="28.8" x14ac:dyDescent="0.55000000000000004">
      <c r="A51" s="12"/>
      <c r="B51" s="13"/>
      <c r="C51" s="10"/>
      <c r="D51" s="10"/>
      <c r="E51" s="7">
        <f>+$I$2+(BERNARD404142434546[[#This Row],[QUANTITE]]*BERNARD404142434546[[#This Row],[PRIX UNITAIRE]])</f>
        <v>0</v>
      </c>
      <c r="F51" s="14"/>
      <c r="G51" s="6">
        <f>SUM(E$9:$E51)-SUM(F$9:$F51)</f>
        <v>365000</v>
      </c>
    </row>
    <row r="52" spans="1:7" ht="28.8" x14ac:dyDescent="0.55000000000000004">
      <c r="A52" s="12"/>
      <c r="B52" s="13"/>
      <c r="C52" s="10"/>
      <c r="D52" s="10"/>
      <c r="E52" s="7">
        <f>+$I$2+(BERNARD404142434546[[#This Row],[QUANTITE]]*BERNARD404142434546[[#This Row],[PRIX UNITAIRE]])</f>
        <v>0</v>
      </c>
      <c r="F52" s="14"/>
      <c r="G52" s="6">
        <f>SUM(E$9:$E52)-SUM(F$9:$F52)</f>
        <v>365000</v>
      </c>
    </row>
    <row r="53" spans="1:7" ht="28.8" x14ac:dyDescent="0.55000000000000004">
      <c r="A53" s="12"/>
      <c r="B53" s="13"/>
      <c r="C53" s="10"/>
      <c r="D53" s="10"/>
      <c r="E53" s="7">
        <f>+$I$2+(BERNARD404142434546[[#This Row],[QUANTITE]]*BERNARD404142434546[[#This Row],[PRIX UNITAIRE]])</f>
        <v>0</v>
      </c>
      <c r="F53" s="14"/>
      <c r="G53" s="6">
        <f>SUM(E$9:$E53)-SUM(F$9:$F53)</f>
        <v>365000</v>
      </c>
    </row>
    <row r="54" spans="1:7" ht="28.8" x14ac:dyDescent="0.55000000000000004">
      <c r="A54" s="12"/>
      <c r="B54" s="13"/>
      <c r="C54" s="10"/>
      <c r="D54" s="10"/>
      <c r="E54" s="7">
        <f>+$I$2+(BERNARD404142434546[[#This Row],[QUANTITE]]*BERNARD404142434546[[#This Row],[PRIX UNITAIRE]])</f>
        <v>0</v>
      </c>
      <c r="F54" s="14"/>
      <c r="G54" s="6">
        <f>SUM(E$9:$E54)-SUM(F$9:$F54)</f>
        <v>365000</v>
      </c>
    </row>
    <row r="55" spans="1:7" ht="28.8" x14ac:dyDescent="0.55000000000000004">
      <c r="A55" s="12"/>
      <c r="B55" s="13"/>
      <c r="C55" s="10"/>
      <c r="D55" s="10"/>
      <c r="E55" s="7">
        <f>+$I$2+(BERNARD404142434546[[#This Row],[QUANTITE]]*BERNARD404142434546[[#This Row],[PRIX UNITAIRE]])</f>
        <v>0</v>
      </c>
      <c r="F55" s="14"/>
      <c r="G55" s="6">
        <f>SUM(E$9:$E55)-SUM(F$9:$F55)</f>
        <v>365000</v>
      </c>
    </row>
    <row r="56" spans="1:7" ht="28.8" x14ac:dyDescent="0.55000000000000004">
      <c r="A56" s="12"/>
      <c r="B56" s="13"/>
      <c r="C56" s="10"/>
      <c r="D56" s="10"/>
      <c r="E56" s="7">
        <f>+$I$2+(BERNARD404142434546[[#This Row],[QUANTITE]]*BERNARD404142434546[[#This Row],[PRIX UNITAIRE]])</f>
        <v>0</v>
      </c>
      <c r="F56" s="14"/>
      <c r="G56" s="6">
        <f>SUM(E$9:$E56)-SUM(F$9:$F56)</f>
        <v>365000</v>
      </c>
    </row>
    <row r="57" spans="1:7" ht="28.8" x14ac:dyDescent="0.55000000000000004">
      <c r="A57" s="12"/>
      <c r="B57" s="13"/>
      <c r="C57" s="10"/>
      <c r="D57" s="10"/>
      <c r="E57" s="7">
        <f>+$I$2+(BERNARD404142434546[[#This Row],[QUANTITE]]*BERNARD404142434546[[#This Row],[PRIX UNITAIRE]])</f>
        <v>0</v>
      </c>
      <c r="F57" s="14"/>
      <c r="G57" s="6">
        <f>SUM(E$9:$E57)-SUM(F$9:$F57)</f>
        <v>365000</v>
      </c>
    </row>
    <row r="58" spans="1:7" ht="28.8" x14ac:dyDescent="0.55000000000000004">
      <c r="A58" s="12"/>
      <c r="B58" s="13"/>
      <c r="C58" s="10"/>
      <c r="D58" s="10"/>
      <c r="E58" s="7">
        <f>+$I$2+(BERNARD404142434546[[#This Row],[QUANTITE]]*BERNARD404142434546[[#This Row],[PRIX UNITAIRE]])</f>
        <v>0</v>
      </c>
      <c r="F58" s="14"/>
      <c r="G58" s="6">
        <f>SUM(E$9:$E58)-SUM(F$9:$F58)</f>
        <v>365000</v>
      </c>
    </row>
    <row r="59" spans="1:7" ht="28.8" x14ac:dyDescent="0.55000000000000004">
      <c r="A59" s="12"/>
      <c r="B59" s="13"/>
      <c r="C59" s="10"/>
      <c r="D59" s="10"/>
      <c r="E59" s="7">
        <f>+$I$2+(BERNARD404142434546[[#This Row],[QUANTITE]]*BERNARD404142434546[[#This Row],[PRIX UNITAIRE]])</f>
        <v>0</v>
      </c>
      <c r="F59" s="14"/>
      <c r="G59" s="6">
        <f>SUM(E$9:$E59)-SUM(F$9:$F59)</f>
        <v>365000</v>
      </c>
    </row>
    <row r="60" spans="1:7" ht="28.8" x14ac:dyDescent="0.55000000000000004">
      <c r="A60" s="12"/>
      <c r="B60" s="13"/>
      <c r="C60" s="10"/>
      <c r="D60" s="10"/>
      <c r="E60" s="7">
        <f>+$I$2+(BERNARD404142434546[[#This Row],[QUANTITE]]*BERNARD404142434546[[#This Row],[PRIX UNITAIRE]])</f>
        <v>0</v>
      </c>
      <c r="F60" s="14"/>
      <c r="G60" s="6">
        <f>SUM(E$9:$E60)-SUM(F$9:$F60)</f>
        <v>365000</v>
      </c>
    </row>
    <row r="61" spans="1:7" ht="28.8" x14ac:dyDescent="0.55000000000000004">
      <c r="A61" s="12"/>
      <c r="B61" s="13"/>
      <c r="C61" s="10"/>
      <c r="D61" s="10"/>
      <c r="E61" s="7">
        <f>+$I$2+(BERNARD404142434546[[#This Row],[QUANTITE]]*BERNARD404142434546[[#This Row],[PRIX UNITAIRE]])</f>
        <v>0</v>
      </c>
      <c r="F61" s="14"/>
      <c r="G61" s="6">
        <f>SUM(E$9:$E61)-SUM(F$9:$F61)</f>
        <v>365000</v>
      </c>
    </row>
    <row r="62" spans="1:7" ht="28.8" x14ac:dyDescent="0.55000000000000004">
      <c r="A62" s="12"/>
      <c r="B62" s="13"/>
      <c r="C62" s="10"/>
      <c r="D62" s="10"/>
      <c r="E62" s="7">
        <f>+$I$2+(BERNARD404142434546[[#This Row],[QUANTITE]]*BERNARD404142434546[[#This Row],[PRIX UNITAIRE]])</f>
        <v>0</v>
      </c>
      <c r="F62" s="14"/>
      <c r="G62" s="6">
        <f>SUM(E$9:$E62)-SUM(F$9:$F62)</f>
        <v>365000</v>
      </c>
    </row>
    <row r="63" spans="1:7" ht="28.8" x14ac:dyDescent="0.55000000000000004">
      <c r="A63" s="12"/>
      <c r="B63" s="13"/>
      <c r="C63" s="10"/>
      <c r="D63" s="10"/>
      <c r="E63" s="7">
        <f>+$I$2+(BERNARD404142434546[[#This Row],[QUANTITE]]*BERNARD404142434546[[#This Row],[PRIX UNITAIRE]])</f>
        <v>0</v>
      </c>
      <c r="F63" s="14"/>
      <c r="G63" s="6">
        <f>SUM(E$9:$E63)-SUM(F$9:$F63)</f>
        <v>365000</v>
      </c>
    </row>
    <row r="64" spans="1:7" ht="28.8" x14ac:dyDescent="0.55000000000000004">
      <c r="A64" s="12"/>
      <c r="B64" s="13"/>
      <c r="C64" s="10"/>
      <c r="D64" s="10"/>
      <c r="E64" s="7">
        <f>+$I$2+(BERNARD404142434546[[#This Row],[QUANTITE]]*BERNARD404142434546[[#This Row],[PRIX UNITAIRE]])</f>
        <v>0</v>
      </c>
      <c r="F64" s="14"/>
      <c r="G64" s="6">
        <f>SUM(E$9:$E64)-SUM(F$9:$F64)</f>
        <v>365000</v>
      </c>
    </row>
    <row r="65" spans="1:7" ht="28.8" x14ac:dyDescent="0.55000000000000004">
      <c r="A65" s="12"/>
      <c r="B65" s="13"/>
      <c r="C65" s="10"/>
      <c r="D65" s="10"/>
      <c r="E65" s="7">
        <f>+$I$2+(BERNARD404142434546[[#This Row],[QUANTITE]]*BERNARD404142434546[[#This Row],[PRIX UNITAIRE]])</f>
        <v>0</v>
      </c>
      <c r="F65" s="14"/>
      <c r="G65" s="6">
        <f>SUM(E$9:$E65)-SUM(F$9:$F65)</f>
        <v>365000</v>
      </c>
    </row>
    <row r="66" spans="1:7" ht="28.8" x14ac:dyDescent="0.55000000000000004">
      <c r="A66" s="12"/>
      <c r="B66" s="13"/>
      <c r="C66" s="10"/>
      <c r="D66" s="10"/>
      <c r="E66" s="7">
        <f>+$I$2+(BERNARD404142434546[[#This Row],[QUANTITE]]*BERNARD404142434546[[#This Row],[PRIX UNITAIRE]])</f>
        <v>0</v>
      </c>
      <c r="F66" s="14"/>
      <c r="G66" s="6">
        <f>SUM(E$9:$E66)-SUM(F$9:$F66)</f>
        <v>365000</v>
      </c>
    </row>
    <row r="67" spans="1:7" ht="28.8" x14ac:dyDescent="0.55000000000000004">
      <c r="A67" s="12"/>
      <c r="B67" s="13"/>
      <c r="C67" s="10"/>
      <c r="D67" s="10"/>
      <c r="E67" s="7">
        <f>+$I$2+(BERNARD404142434546[[#This Row],[QUANTITE]]*BERNARD404142434546[[#This Row],[PRIX UNITAIRE]])</f>
        <v>0</v>
      </c>
      <c r="F67" s="14"/>
      <c r="G67" s="6">
        <f>SUM(E$9:$E67)-SUM(F$9:$F67)</f>
        <v>365000</v>
      </c>
    </row>
    <row r="68" spans="1:7" ht="28.8" x14ac:dyDescent="0.55000000000000004">
      <c r="A68" s="12"/>
      <c r="B68" s="13"/>
      <c r="C68" s="10"/>
      <c r="D68" s="10"/>
      <c r="E68" s="7">
        <f>+$I$2+(BERNARD404142434546[[#This Row],[QUANTITE]]*BERNARD404142434546[[#This Row],[PRIX UNITAIRE]])</f>
        <v>0</v>
      </c>
      <c r="F68" s="14"/>
      <c r="G68" s="6">
        <f>SUM(E$9:$E68)-SUM(F$9:$F68)</f>
        <v>365000</v>
      </c>
    </row>
    <row r="69" spans="1:7" ht="28.8" x14ac:dyDescent="0.55000000000000004">
      <c r="A69" s="12"/>
      <c r="B69" s="13"/>
      <c r="C69" s="10"/>
      <c r="D69" s="10"/>
      <c r="E69" s="7">
        <f>+$I$2+(BERNARD404142434546[[#This Row],[QUANTITE]]*BERNARD404142434546[[#This Row],[PRIX UNITAIRE]])</f>
        <v>0</v>
      </c>
      <c r="F69" s="14"/>
      <c r="G69" s="6">
        <f>SUM(E$9:$E69)-SUM(F$9:$F69)</f>
        <v>365000</v>
      </c>
    </row>
    <row r="70" spans="1:7" ht="28.8" x14ac:dyDescent="0.55000000000000004">
      <c r="A70" s="12"/>
      <c r="B70" s="13"/>
      <c r="C70" s="10"/>
      <c r="D70" s="10"/>
      <c r="E70" s="7">
        <f>+$I$2+(BERNARD404142434546[[#This Row],[QUANTITE]]*BERNARD404142434546[[#This Row],[PRIX UNITAIRE]])</f>
        <v>0</v>
      </c>
      <c r="F70" s="14"/>
      <c r="G70" s="6">
        <f>SUM(E$9:$E70)-SUM(F$9:$F70)</f>
        <v>365000</v>
      </c>
    </row>
    <row r="71" spans="1:7" ht="28.8" x14ac:dyDescent="0.55000000000000004">
      <c r="A71" s="12"/>
      <c r="B71" s="13"/>
      <c r="C71" s="10"/>
      <c r="D71" s="10"/>
      <c r="E71" s="7">
        <f>+$I$2+(BERNARD404142434546[[#This Row],[QUANTITE]]*BERNARD404142434546[[#This Row],[PRIX UNITAIRE]])</f>
        <v>0</v>
      </c>
      <c r="F71" s="14"/>
      <c r="G71" s="6">
        <f>SUM(E$9:$E71)-SUM(F$9:$F71)</f>
        <v>365000</v>
      </c>
    </row>
    <row r="72" spans="1:7" ht="28.8" x14ac:dyDescent="0.55000000000000004">
      <c r="A72" s="12"/>
      <c r="B72" s="13"/>
      <c r="C72" s="10"/>
      <c r="D72" s="10"/>
      <c r="E72" s="7">
        <f>+$I$2+(BERNARD404142434546[[#This Row],[QUANTITE]]*BERNARD404142434546[[#This Row],[PRIX UNITAIRE]])</f>
        <v>0</v>
      </c>
      <c r="F72" s="14"/>
      <c r="G72" s="6">
        <f>SUM(E$9:$E72)-SUM(F$9:$F72)</f>
        <v>365000</v>
      </c>
    </row>
    <row r="73" spans="1:7" ht="28.8" x14ac:dyDescent="0.55000000000000004">
      <c r="A73" s="12"/>
      <c r="B73" s="13"/>
      <c r="C73" s="10"/>
      <c r="D73" s="10"/>
      <c r="E73" s="7">
        <f>+$I$2+(BERNARD404142434546[[#This Row],[QUANTITE]]*BERNARD404142434546[[#This Row],[PRIX UNITAIRE]])</f>
        <v>0</v>
      </c>
      <c r="F73" s="14"/>
      <c r="G73" s="6">
        <f>SUM(E$9:$E73)-SUM(F$9:$F73)</f>
        <v>365000</v>
      </c>
    </row>
    <row r="74" spans="1:7" ht="28.8" x14ac:dyDescent="0.55000000000000004">
      <c r="A74" s="12"/>
      <c r="B74" s="13"/>
      <c r="C74" s="10"/>
      <c r="D74" s="10"/>
      <c r="E74" s="7">
        <f>+$I$2+(BERNARD404142434546[[#This Row],[QUANTITE]]*BERNARD404142434546[[#This Row],[PRIX UNITAIRE]])</f>
        <v>0</v>
      </c>
      <c r="F74" s="14"/>
      <c r="G74" s="6">
        <f>SUM(E$9:$E74)-SUM(F$9:$F74)</f>
        <v>365000</v>
      </c>
    </row>
    <row r="75" spans="1:7" ht="28.8" x14ac:dyDescent="0.55000000000000004">
      <c r="A75" s="12"/>
      <c r="B75" s="13"/>
      <c r="C75" s="10"/>
      <c r="D75" s="10"/>
      <c r="E75" s="7">
        <f>+$I$2+(BERNARD404142434546[[#This Row],[QUANTITE]]*BERNARD404142434546[[#This Row],[PRIX UNITAIRE]])</f>
        <v>0</v>
      </c>
      <c r="F75" s="14"/>
      <c r="G75" s="6">
        <f>SUM(E$9:$E75)-SUM(F$9:$F75)</f>
        <v>365000</v>
      </c>
    </row>
    <row r="76" spans="1:7" ht="28.8" x14ac:dyDescent="0.55000000000000004">
      <c r="A76" s="12"/>
      <c r="B76" s="13"/>
      <c r="C76" s="10"/>
      <c r="D76" s="10"/>
      <c r="E76" s="7">
        <f>+$I$2+(BERNARD404142434546[[#This Row],[QUANTITE]]*BERNARD404142434546[[#This Row],[PRIX UNITAIRE]])</f>
        <v>0</v>
      </c>
      <c r="F76" s="14"/>
      <c r="G76" s="6">
        <f>SUM(E$9:$E76)-SUM(F$9:$F76)</f>
        <v>365000</v>
      </c>
    </row>
    <row r="77" spans="1:7" ht="28.8" x14ac:dyDescent="0.55000000000000004">
      <c r="A77" s="12"/>
      <c r="B77" s="13"/>
      <c r="C77" s="10"/>
      <c r="D77" s="10"/>
      <c r="E77" s="7">
        <f>+$I$2+(BERNARD404142434546[[#This Row],[QUANTITE]]*BERNARD404142434546[[#This Row],[PRIX UNITAIRE]])</f>
        <v>0</v>
      </c>
      <c r="F77" s="14"/>
      <c r="G77" s="6">
        <f>SUM(E$9:$E77)-SUM(F$9:$F77)</f>
        <v>365000</v>
      </c>
    </row>
    <row r="78" spans="1:7" ht="28.8" x14ac:dyDescent="0.55000000000000004">
      <c r="A78" s="12"/>
      <c r="B78" s="13"/>
      <c r="C78" s="10"/>
      <c r="D78" s="10"/>
      <c r="E78" s="7">
        <f>+$I$2+(BERNARD404142434546[[#This Row],[QUANTITE]]*BERNARD404142434546[[#This Row],[PRIX UNITAIRE]])</f>
        <v>0</v>
      </c>
      <c r="F78" s="14"/>
      <c r="G78" s="6">
        <f>SUM(E$9:$E78)-SUM(F$9:$F78)</f>
        <v>365000</v>
      </c>
    </row>
    <row r="79" spans="1:7" ht="28.8" x14ac:dyDescent="0.55000000000000004">
      <c r="A79" s="12"/>
      <c r="B79" s="13"/>
      <c r="C79" s="10"/>
      <c r="D79" s="10"/>
      <c r="E79" s="7">
        <f>+$I$2+(BERNARD404142434546[[#This Row],[QUANTITE]]*BERNARD404142434546[[#This Row],[PRIX UNITAIRE]])</f>
        <v>0</v>
      </c>
      <c r="F79" s="14"/>
      <c r="G79" s="6">
        <f>SUM(E$9:$E79)-SUM(F$9:$F79)</f>
        <v>365000</v>
      </c>
    </row>
    <row r="80" spans="1:7" ht="28.8" x14ac:dyDescent="0.55000000000000004">
      <c r="A80" s="12"/>
      <c r="B80" s="13"/>
      <c r="C80" s="10"/>
      <c r="D80" s="10"/>
      <c r="E80" s="7">
        <f>+$I$2+(BERNARD404142434546[[#This Row],[QUANTITE]]*BERNARD404142434546[[#This Row],[PRIX UNITAIRE]])</f>
        <v>0</v>
      </c>
      <c r="F80" s="14"/>
      <c r="G80" s="6">
        <f>SUM(E$9:$E80)-SUM(F$9:$F80)</f>
        <v>365000</v>
      </c>
    </row>
    <row r="81" spans="1:7" ht="28.8" x14ac:dyDescent="0.55000000000000004">
      <c r="A81" s="12"/>
      <c r="B81" s="13"/>
      <c r="C81" s="10"/>
      <c r="D81" s="10"/>
      <c r="E81" s="7">
        <f>+$I$2+(BERNARD404142434546[[#This Row],[QUANTITE]]*BERNARD404142434546[[#This Row],[PRIX UNITAIRE]])</f>
        <v>0</v>
      </c>
      <c r="F81" s="14"/>
      <c r="G81" s="6">
        <f>SUM(E$9:$E81)-SUM(F$9:$F81)</f>
        <v>365000</v>
      </c>
    </row>
    <row r="82" spans="1:7" ht="28.8" x14ac:dyDescent="0.55000000000000004">
      <c r="A82" s="12"/>
      <c r="B82" s="13"/>
      <c r="C82" s="10"/>
      <c r="D82" s="10"/>
      <c r="E82" s="7">
        <f>+$I$2+(BERNARD404142434546[[#This Row],[QUANTITE]]*BERNARD404142434546[[#This Row],[PRIX UNITAIRE]])</f>
        <v>0</v>
      </c>
      <c r="F82" s="14"/>
      <c r="G82" s="6">
        <f>SUM(E$9:$E82)-SUM(F$9:$F82)</f>
        <v>365000</v>
      </c>
    </row>
    <row r="83" spans="1:7" ht="28.8" x14ac:dyDescent="0.55000000000000004">
      <c r="A83" s="12"/>
      <c r="B83" s="94"/>
      <c r="C83" s="95"/>
      <c r="D83" s="95"/>
      <c r="E83" s="93">
        <f>SUBTOTAL(109,BERNARD404142434546[TOTAL MONTANT])</f>
        <v>365000</v>
      </c>
      <c r="F83" s="93">
        <f>SUBTOTAL(109,BERNARD404142434546[VERSEMENT])</f>
        <v>0</v>
      </c>
      <c r="G83" s="93">
        <f>SUBTOTAL(109,BERNARD404142434546[SOLDE])</f>
        <v>26840000</v>
      </c>
    </row>
  </sheetData>
  <sheetProtection selectLockedCells="1" autoFilter="0"/>
  <mergeCells count="1">
    <mergeCell ref="B6:C6"/>
  </mergeCells>
  <conditionalFormatting sqref="B9:B82">
    <cfRule type="expression" dxfId="152" priority="7">
      <formula>$F9</formula>
    </cfRule>
  </conditionalFormatting>
  <conditionalFormatting sqref="G4">
    <cfRule type="cellIs" dxfId="151" priority="1" operator="lessThan">
      <formula>0</formula>
    </cfRule>
    <cfRule type="cellIs" dxfId="150" priority="2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8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/>
  <dimension ref="A1:H82"/>
  <sheetViews>
    <sheetView showGridLines="0" zoomScale="55" zoomScaleNormal="55" workbookViewId="0"/>
  </sheetViews>
  <sheetFormatPr baseColWidth="10" defaultColWidth="11.5546875" defaultRowHeight="14.4" x14ac:dyDescent="0.3"/>
  <cols>
    <col min="1" max="1" width="19.21875" style="1" bestFit="1" customWidth="1"/>
    <col min="2" max="2" width="63.5546875" style="1" bestFit="1" customWidth="1"/>
    <col min="3" max="3" width="19.77734375" style="1" bestFit="1" customWidth="1"/>
    <col min="4" max="4" width="43.5546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0" style="1" hidden="1" customWidth="1"/>
    <col min="9" max="16384" width="11.5546875" style="1"/>
  </cols>
  <sheetData>
    <row r="1" spans="1:8" x14ac:dyDescent="0.3">
      <c r="A1"/>
      <c r="B1"/>
      <c r="C1"/>
      <c r="D1"/>
      <c r="F1"/>
    </row>
    <row r="2" spans="1:8" ht="36" customHeight="1" thickBot="1" x14ac:dyDescent="0.35">
      <c r="A2"/>
      <c r="B2"/>
      <c r="C2"/>
      <c r="D2"/>
      <c r="F2"/>
      <c r="H2" s="1">
        <v>0</v>
      </c>
    </row>
    <row r="3" spans="1:8" ht="31.8" thickBot="1" x14ac:dyDescent="0.35">
      <c r="A3"/>
      <c r="B3"/>
      <c r="C3"/>
      <c r="D3" s="34" t="s">
        <v>1223</v>
      </c>
      <c r="E3" s="35" t="s">
        <v>1221</v>
      </c>
      <c r="F3" s="36" t="s">
        <v>8</v>
      </c>
      <c r="G3" s="37" t="s">
        <v>6</v>
      </c>
    </row>
    <row r="4" spans="1:8" ht="31.2" x14ac:dyDescent="0.6">
      <c r="A4"/>
      <c r="B4"/>
      <c r="C4"/>
      <c r="D4" s="38" t="s">
        <v>1224</v>
      </c>
      <c r="E4" s="41">
        <f>+SUM(BERNARD4041424345[TOTAL MONTANT])</f>
        <v>190000</v>
      </c>
      <c r="F4" s="41">
        <f>+SUM(BERNARD4041424345[VERSEMENT])</f>
        <v>0</v>
      </c>
      <c r="G4" s="130">
        <f>+E4-F4</f>
        <v>190000</v>
      </c>
    </row>
    <row r="5" spans="1:8" ht="29.4" thickBot="1" x14ac:dyDescent="0.35">
      <c r="B5" s="3" t="s">
        <v>7</v>
      </c>
      <c r="D5"/>
    </row>
    <row r="6" spans="1:8" ht="37.200000000000003" thickBot="1" x14ac:dyDescent="0.75">
      <c r="B6" s="168" t="s">
        <v>1229</v>
      </c>
      <c r="C6" s="169"/>
      <c r="D6"/>
    </row>
    <row r="8" spans="1:8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8" ht="28.8" x14ac:dyDescent="0.55000000000000004">
      <c r="A9" s="12">
        <v>45910</v>
      </c>
      <c r="B9" s="13" t="s">
        <v>1241</v>
      </c>
      <c r="C9" s="10">
        <v>30</v>
      </c>
      <c r="D9" s="10">
        <v>95000</v>
      </c>
      <c r="E9" s="7">
        <f>+$H$2+(BERNARD40414244[[#This Row],[QUANTITE]]*BERNARD40414244[[#This Row],[PRIX UNITAIRE]])</f>
        <v>2850000</v>
      </c>
      <c r="F9" s="14"/>
      <c r="G9" s="10">
        <f>SUM(E$9:$E9)-SUM(F$9:$F9)</f>
        <v>2850000</v>
      </c>
    </row>
    <row r="10" spans="1:8" ht="28.8" x14ac:dyDescent="0.55000000000000004">
      <c r="A10" s="12">
        <v>45915</v>
      </c>
      <c r="B10" s="13" t="s">
        <v>259</v>
      </c>
      <c r="C10" s="10"/>
      <c r="D10" s="10"/>
      <c r="E10" s="7">
        <f>+$H$2+(BERNARD40414244[[#This Row],[QUANTITE]]*BERNARD40414244[[#This Row],[PRIX UNITAIRE]])</f>
        <v>0</v>
      </c>
      <c r="F10" s="14">
        <v>500000</v>
      </c>
      <c r="G10" s="6">
        <f>SUM(E$9:$E10)-SUM(F$9:$F10)</f>
        <v>2350000</v>
      </c>
    </row>
    <row r="11" spans="1:8" ht="28.8" x14ac:dyDescent="0.55000000000000004">
      <c r="A11" s="12">
        <v>45922</v>
      </c>
      <c r="B11" s="13" t="s">
        <v>259</v>
      </c>
      <c r="C11" s="10"/>
      <c r="D11" s="10"/>
      <c r="E11" s="7">
        <f>+$H$2+(BERNARD40414244[[#This Row],[QUANTITE]]*BERNARD40414244[[#This Row],[PRIX UNITAIRE]])</f>
        <v>0</v>
      </c>
      <c r="F11" s="14">
        <v>2350000</v>
      </c>
      <c r="G11" s="6">
        <f>SUM(E$9:$E11)-SUM(F$9:$F11)</f>
        <v>0</v>
      </c>
    </row>
    <row r="12" spans="1:8" ht="28.8" x14ac:dyDescent="0.55000000000000004">
      <c r="A12" s="12">
        <v>45929</v>
      </c>
      <c r="B12" s="13" t="s">
        <v>3123</v>
      </c>
      <c r="C12" s="10">
        <v>20</v>
      </c>
      <c r="D12" s="10">
        <v>91000</v>
      </c>
      <c r="E12" s="7">
        <f>+$H$2+(BERNARD40414244[[#This Row],[QUANTITE]]*BERNARD40414244[[#This Row],[PRIX UNITAIRE]])</f>
        <v>1820000</v>
      </c>
      <c r="F12" s="14"/>
      <c r="G12" s="6">
        <f>SUM(E$9:$E12)-SUM(F$9:$F12)</f>
        <v>1820000</v>
      </c>
    </row>
    <row r="13" spans="1:8" ht="28.8" x14ac:dyDescent="0.55000000000000004">
      <c r="A13" s="12">
        <v>45932</v>
      </c>
      <c r="B13" s="13" t="s">
        <v>259</v>
      </c>
      <c r="C13" s="10"/>
      <c r="D13" s="10"/>
      <c r="E13" s="7">
        <f>+$H$2+(BERNARD40414244[[#This Row],[QUANTITE]]*BERNARD40414244[[#This Row],[PRIX UNITAIRE]])</f>
        <v>0</v>
      </c>
      <c r="F13" s="14">
        <v>1000000</v>
      </c>
      <c r="G13" s="6">
        <f>SUM(E$9:$E13)-SUM(F$9:$F13)</f>
        <v>820000</v>
      </c>
    </row>
    <row r="14" spans="1:8" ht="28.8" x14ac:dyDescent="0.55000000000000004">
      <c r="A14" s="12">
        <v>45938</v>
      </c>
      <c r="B14" s="13" t="s">
        <v>433</v>
      </c>
      <c r="C14" s="10"/>
      <c r="D14" s="10"/>
      <c r="E14" s="7">
        <f>+$H$2+(BERNARD40414244[[#This Row],[QUANTITE]]*BERNARD40414244[[#This Row],[PRIX UNITAIRE]])</f>
        <v>0</v>
      </c>
      <c r="F14" s="14">
        <v>820000</v>
      </c>
      <c r="G14" s="6">
        <f>SUM(E$9:$E14)-SUM(F$9:$F14)</f>
        <v>0</v>
      </c>
    </row>
    <row r="15" spans="1:8" ht="28.8" x14ac:dyDescent="0.55000000000000004">
      <c r="A15" s="12">
        <v>46025</v>
      </c>
      <c r="B15" s="13" t="s">
        <v>2923</v>
      </c>
      <c r="C15" s="10">
        <v>6</v>
      </c>
      <c r="D15" s="10">
        <v>75000</v>
      </c>
      <c r="E15" s="7">
        <f>+$H$2+(BERNARD40414244[[#This Row],[QUANTITE]]*BERNARD40414244[[#This Row],[PRIX UNITAIRE]])</f>
        <v>450000</v>
      </c>
      <c r="F15" s="14"/>
      <c r="G15" s="6">
        <f>SUM(E$9:$E15)-SUM(F$9:$F15)</f>
        <v>450000</v>
      </c>
    </row>
    <row r="16" spans="1:8" ht="28.8" x14ac:dyDescent="0.55000000000000004">
      <c r="A16" s="12"/>
      <c r="B16" s="13"/>
      <c r="C16" s="10">
        <v>1</v>
      </c>
      <c r="D16" s="10">
        <v>0</v>
      </c>
      <c r="E16" s="7">
        <f>+$H$2+(BERNARD40414244[[#This Row],[QUANTITE]]*BERNARD40414244[[#This Row],[PRIX UNITAIRE]])</f>
        <v>0</v>
      </c>
      <c r="F16" s="14">
        <v>450000</v>
      </c>
      <c r="G16" s="6">
        <f>SUM(E$9:$E16)-SUM(F$9:$F16)</f>
        <v>0</v>
      </c>
    </row>
    <row r="17" spans="1:7" ht="28.8" x14ac:dyDescent="0.55000000000000004">
      <c r="A17" s="12"/>
      <c r="B17" s="13"/>
      <c r="C17" s="10"/>
      <c r="D17" s="10"/>
      <c r="E17" s="7">
        <f>+$H$2+(BERNARD40414244[[#This Row],[QUANTITE]]*BERNARD40414244[[#This Row],[PRIX UNITAIRE]])</f>
        <v>0</v>
      </c>
      <c r="F17" s="14"/>
      <c r="G17" s="6">
        <f>SUM(E$9:$E17)-SUM(F$9:$F17)</f>
        <v>0</v>
      </c>
    </row>
    <row r="18" spans="1:7" ht="28.8" x14ac:dyDescent="0.55000000000000004">
      <c r="A18" s="12"/>
      <c r="B18" s="13"/>
      <c r="C18" s="10"/>
      <c r="D18" s="10"/>
      <c r="E18" s="7">
        <f>+$H$2+(BERNARD40414244[[#This Row],[QUANTITE]]*BERNARD40414244[[#This Row],[PRIX UNITAIRE]])</f>
        <v>0</v>
      </c>
      <c r="F18" s="14"/>
      <c r="G18" s="6">
        <f>SUM(E$9:$E18)-SUM(F$9:$F18)</f>
        <v>0</v>
      </c>
    </row>
    <row r="19" spans="1:7" ht="28.8" x14ac:dyDescent="0.55000000000000004">
      <c r="A19" s="12"/>
      <c r="B19" s="13"/>
      <c r="C19" s="10"/>
      <c r="D19" s="10"/>
      <c r="E19" s="7">
        <f>+$H$2+(BERNARD40414244[[#This Row],[QUANTITE]]*BERNARD40414244[[#This Row],[PRIX UNITAIRE]])</f>
        <v>0</v>
      </c>
      <c r="F19" s="14"/>
      <c r="G19" s="6">
        <f>SUM(E$9:$E19)-SUM(F$9:$F19)</f>
        <v>0</v>
      </c>
    </row>
    <row r="20" spans="1:7" ht="28.8" x14ac:dyDescent="0.55000000000000004">
      <c r="A20" s="12"/>
      <c r="B20" s="13"/>
      <c r="C20" s="10"/>
      <c r="D20" s="10"/>
      <c r="E20" s="7">
        <f>+$H$2+(BERNARD40414244[[#This Row],[QUANTITE]]*BERNARD40414244[[#This Row],[PRIX UNITAIRE]])</f>
        <v>0</v>
      </c>
      <c r="F20" s="14"/>
      <c r="G20" s="6">
        <f>SUM(E$9:$E20)-SUM(F$9:$F20)</f>
        <v>0</v>
      </c>
    </row>
    <row r="21" spans="1:7" ht="28.8" x14ac:dyDescent="0.55000000000000004">
      <c r="A21" s="12"/>
      <c r="B21" s="13"/>
      <c r="C21" s="10"/>
      <c r="D21" s="10"/>
      <c r="E21" s="7">
        <f>+$H$2+(BERNARD40414244[[#This Row],[QUANTITE]]*BERNARD40414244[[#This Row],[PRIX UNITAIRE]])</f>
        <v>0</v>
      </c>
      <c r="F21" s="14"/>
      <c r="G21" s="6">
        <f>SUM(E$9:$E21)-SUM(F$9:$F21)</f>
        <v>0</v>
      </c>
    </row>
    <row r="22" spans="1:7" ht="28.8" x14ac:dyDescent="0.55000000000000004">
      <c r="A22" s="12"/>
      <c r="B22" s="13"/>
      <c r="C22" s="10"/>
      <c r="D22" s="10"/>
      <c r="E22" s="7">
        <f>+$H$2+(BERNARD40414244[[#This Row],[QUANTITE]]*BERNARD40414244[[#This Row],[PRIX UNITAIRE]])</f>
        <v>0</v>
      </c>
      <c r="F22" s="14"/>
      <c r="G22" s="6">
        <f>SUM(E$9:$E22)-SUM(F$9:$F22)</f>
        <v>0</v>
      </c>
    </row>
    <row r="23" spans="1:7" ht="28.8" x14ac:dyDescent="0.55000000000000004">
      <c r="A23" s="12"/>
      <c r="B23" s="13"/>
      <c r="C23" s="10"/>
      <c r="D23" s="10"/>
      <c r="E23" s="7">
        <f>+$H$2+(BERNARD40414244[[#This Row],[QUANTITE]]*BERNARD40414244[[#This Row],[PRIX UNITAIRE]])</f>
        <v>0</v>
      </c>
      <c r="F23" s="14"/>
      <c r="G23" s="6">
        <f>SUM(E$9:$E23)-SUM(F$9:$F23)</f>
        <v>0</v>
      </c>
    </row>
    <row r="24" spans="1:7" ht="28.8" x14ac:dyDescent="0.55000000000000004">
      <c r="A24" s="12"/>
      <c r="B24" s="13"/>
      <c r="C24" s="10"/>
      <c r="D24" s="10"/>
      <c r="E24" s="7">
        <f>+$H$2+(BERNARD40414244[[#This Row],[QUANTITE]]*BERNARD40414244[[#This Row],[PRIX UNITAIRE]])</f>
        <v>0</v>
      </c>
      <c r="F24" s="14"/>
      <c r="G24" s="6">
        <f>SUM(E$9:$E24)-SUM(F$9:$F24)</f>
        <v>0</v>
      </c>
    </row>
    <row r="25" spans="1:7" ht="28.8" x14ac:dyDescent="0.55000000000000004">
      <c r="A25" s="12"/>
      <c r="B25" s="13"/>
      <c r="C25" s="10"/>
      <c r="D25" s="10"/>
      <c r="E25" s="7">
        <f>+$H$2+(BERNARD40414244[[#This Row],[QUANTITE]]*BERNARD40414244[[#This Row],[PRIX UNITAIRE]])</f>
        <v>0</v>
      </c>
      <c r="F25" s="14"/>
      <c r="G25" s="6">
        <f>SUM(E$9:$E25)-SUM(F$9:$F25)</f>
        <v>0</v>
      </c>
    </row>
    <row r="26" spans="1:7" ht="28.8" x14ac:dyDescent="0.55000000000000004">
      <c r="A26" s="12"/>
      <c r="B26" s="13"/>
      <c r="C26" s="10"/>
      <c r="D26" s="10"/>
      <c r="E26" s="7">
        <f>+$H$2+(BERNARD40414244[[#This Row],[QUANTITE]]*BERNARD40414244[[#This Row],[PRIX UNITAIRE]])</f>
        <v>0</v>
      </c>
      <c r="F26" s="14"/>
      <c r="G26" s="6">
        <f>SUM(E$9:$E26)-SUM(F$9:$F26)</f>
        <v>0</v>
      </c>
    </row>
    <row r="27" spans="1:7" ht="28.8" x14ac:dyDescent="0.55000000000000004">
      <c r="A27" s="12"/>
      <c r="B27" s="13"/>
      <c r="C27" s="10"/>
      <c r="D27" s="10"/>
      <c r="E27" s="7">
        <f>+$H$2+(BERNARD40414244[[#This Row],[QUANTITE]]*BERNARD40414244[[#This Row],[PRIX UNITAIRE]])</f>
        <v>0</v>
      </c>
      <c r="F27" s="14"/>
      <c r="G27" s="6">
        <f>SUM(E$9:$E27)-SUM(F$9:$F27)</f>
        <v>0</v>
      </c>
    </row>
    <row r="28" spans="1:7" ht="28.8" x14ac:dyDescent="0.55000000000000004">
      <c r="A28" s="12"/>
      <c r="B28" s="13"/>
      <c r="C28" s="10"/>
      <c r="D28" s="10"/>
      <c r="E28" s="7">
        <f>+$H$2+(BERNARD40414244[[#This Row],[QUANTITE]]*BERNARD40414244[[#This Row],[PRIX UNITAIRE]])</f>
        <v>0</v>
      </c>
      <c r="F28" s="14"/>
      <c r="G28" s="6">
        <f>SUM(E$9:$E28)-SUM(F$9:$F28)</f>
        <v>0</v>
      </c>
    </row>
    <row r="29" spans="1:7" ht="28.8" x14ac:dyDescent="0.55000000000000004">
      <c r="A29" s="12"/>
      <c r="B29" s="13"/>
      <c r="C29" s="10"/>
      <c r="D29" s="10"/>
      <c r="E29" s="7">
        <f>+$H$2+(BERNARD40414244[[#This Row],[QUANTITE]]*BERNARD40414244[[#This Row],[PRIX UNITAIRE]])</f>
        <v>0</v>
      </c>
      <c r="F29" s="14"/>
      <c r="G29" s="6">
        <f>SUM(E$9:$E29)-SUM(F$9:$F29)</f>
        <v>0</v>
      </c>
    </row>
    <row r="30" spans="1:7" ht="28.8" x14ac:dyDescent="0.55000000000000004">
      <c r="A30" s="12"/>
      <c r="B30" s="13"/>
      <c r="C30" s="10"/>
      <c r="D30" s="10"/>
      <c r="E30" s="7">
        <f>+$H$2+(BERNARD40414244[[#This Row],[QUANTITE]]*BERNARD40414244[[#This Row],[PRIX UNITAIRE]])</f>
        <v>0</v>
      </c>
      <c r="F30" s="14"/>
      <c r="G30" s="6">
        <f>SUM(E$9:$E30)-SUM(F$9:$F30)</f>
        <v>0</v>
      </c>
    </row>
    <row r="31" spans="1:7" ht="28.8" x14ac:dyDescent="0.55000000000000004">
      <c r="A31" s="12"/>
      <c r="B31" s="13"/>
      <c r="C31" s="10"/>
      <c r="D31" s="10"/>
      <c r="E31" s="7">
        <f>+$H$2+(BERNARD40414244[[#This Row],[QUANTITE]]*BERNARD40414244[[#This Row],[PRIX UNITAIRE]])</f>
        <v>0</v>
      </c>
      <c r="F31" s="14"/>
      <c r="G31" s="6">
        <f>SUM(E$9:$E31)-SUM(F$9:$F31)</f>
        <v>0</v>
      </c>
    </row>
    <row r="32" spans="1:7" ht="28.8" x14ac:dyDescent="0.55000000000000004">
      <c r="A32" s="12"/>
      <c r="B32" s="13"/>
      <c r="C32" s="10"/>
      <c r="D32" s="10"/>
      <c r="E32" s="7">
        <f>+$H$2+(BERNARD40414244[[#This Row],[QUANTITE]]*BERNARD40414244[[#This Row],[PRIX UNITAIRE]])</f>
        <v>0</v>
      </c>
      <c r="F32" s="14"/>
      <c r="G32" s="6">
        <f>SUM(E$9:$E32)-SUM(F$9:$F32)</f>
        <v>0</v>
      </c>
    </row>
    <row r="33" spans="1:7" ht="28.8" x14ac:dyDescent="0.55000000000000004">
      <c r="A33" s="12"/>
      <c r="B33" s="13"/>
      <c r="C33" s="10"/>
      <c r="D33" s="10"/>
      <c r="E33" s="7">
        <f>+$H$2+(BERNARD40414244[[#This Row],[QUANTITE]]*BERNARD40414244[[#This Row],[PRIX UNITAIRE]])</f>
        <v>0</v>
      </c>
      <c r="F33" s="14"/>
      <c r="G33" s="6">
        <f>SUM(E$9:$E33)-SUM(F$9:$F33)</f>
        <v>0</v>
      </c>
    </row>
    <row r="34" spans="1:7" ht="28.8" x14ac:dyDescent="0.55000000000000004">
      <c r="A34" s="12"/>
      <c r="B34" s="13"/>
      <c r="C34" s="10"/>
      <c r="D34" s="10"/>
      <c r="E34" s="7">
        <f>+$H$2+(BERNARD40414244[[#This Row],[QUANTITE]]*BERNARD40414244[[#This Row],[PRIX UNITAIRE]])</f>
        <v>0</v>
      </c>
      <c r="F34" s="14"/>
      <c r="G34" s="6">
        <f>SUM(E$9:$E34)-SUM(F$9:$F34)</f>
        <v>0</v>
      </c>
    </row>
    <row r="35" spans="1:7" ht="28.8" x14ac:dyDescent="0.55000000000000004">
      <c r="A35" s="12"/>
      <c r="B35" s="13"/>
      <c r="C35" s="10"/>
      <c r="D35" s="10"/>
      <c r="E35" s="7">
        <f>+$H$2+(BERNARD40414244[[#This Row],[QUANTITE]]*BERNARD40414244[[#This Row],[PRIX UNITAIRE]])</f>
        <v>0</v>
      </c>
      <c r="F35" s="14"/>
      <c r="G35" s="6">
        <f>SUM(E$9:$E35)-SUM(F$9:$F35)</f>
        <v>0</v>
      </c>
    </row>
    <row r="36" spans="1:7" ht="28.8" x14ac:dyDescent="0.55000000000000004">
      <c r="A36" s="12"/>
      <c r="B36" s="13"/>
      <c r="C36" s="10"/>
      <c r="D36" s="10"/>
      <c r="E36" s="7">
        <f>+$H$2+(BERNARD40414244[[#This Row],[QUANTITE]]*BERNARD40414244[[#This Row],[PRIX UNITAIRE]])</f>
        <v>0</v>
      </c>
      <c r="F36" s="14"/>
      <c r="G36" s="6">
        <f>SUM(E$9:$E36)-SUM(F$9:$F36)</f>
        <v>0</v>
      </c>
    </row>
    <row r="37" spans="1:7" ht="28.8" x14ac:dyDescent="0.55000000000000004">
      <c r="A37" s="12"/>
      <c r="B37" s="13"/>
      <c r="C37" s="10"/>
      <c r="D37" s="10"/>
      <c r="E37" s="7">
        <f>+$H$2+(BERNARD40414244[[#This Row],[QUANTITE]]*BERNARD40414244[[#This Row],[PRIX UNITAIRE]])</f>
        <v>0</v>
      </c>
      <c r="F37" s="14"/>
      <c r="G37" s="6">
        <f>SUM(E$9:$E37)-SUM(F$9:$F37)</f>
        <v>0</v>
      </c>
    </row>
    <row r="38" spans="1:7" ht="28.8" x14ac:dyDescent="0.55000000000000004">
      <c r="A38" s="12"/>
      <c r="B38" s="13"/>
      <c r="C38" s="10"/>
      <c r="D38" s="10"/>
      <c r="E38" s="7">
        <f>+$H$2+(BERNARD40414244[[#This Row],[QUANTITE]]*BERNARD40414244[[#This Row],[PRIX UNITAIRE]])</f>
        <v>0</v>
      </c>
      <c r="F38" s="14"/>
      <c r="G38" s="6">
        <f>SUM(E$9:$E38)-SUM(F$9:$F38)</f>
        <v>0</v>
      </c>
    </row>
    <row r="39" spans="1:7" ht="28.8" x14ac:dyDescent="0.55000000000000004">
      <c r="A39" s="12"/>
      <c r="B39" s="13"/>
      <c r="C39" s="10"/>
      <c r="D39" s="10"/>
      <c r="E39" s="7">
        <f>+$H$2+(BERNARD40414244[[#This Row],[QUANTITE]]*BERNARD40414244[[#This Row],[PRIX UNITAIRE]])</f>
        <v>0</v>
      </c>
      <c r="F39" s="14"/>
      <c r="G39" s="6">
        <f>SUM(E$9:$E39)-SUM(F$9:$F39)</f>
        <v>0</v>
      </c>
    </row>
    <row r="40" spans="1:7" ht="28.8" x14ac:dyDescent="0.55000000000000004">
      <c r="A40" s="12"/>
      <c r="B40" s="13"/>
      <c r="C40" s="10"/>
      <c r="D40" s="10"/>
      <c r="E40" s="7">
        <f>+$H$2+(BERNARD40414244[[#This Row],[QUANTITE]]*BERNARD40414244[[#This Row],[PRIX UNITAIRE]])</f>
        <v>0</v>
      </c>
      <c r="F40" s="14"/>
      <c r="G40" s="6">
        <f>SUM(E$9:$E40)-SUM(F$9:$F40)</f>
        <v>0</v>
      </c>
    </row>
    <row r="41" spans="1:7" ht="28.8" x14ac:dyDescent="0.55000000000000004">
      <c r="A41" s="12"/>
      <c r="B41" s="13"/>
      <c r="C41" s="10"/>
      <c r="D41" s="10"/>
      <c r="E41" s="7">
        <f>+$H$2+(BERNARD40414244[[#This Row],[QUANTITE]]*BERNARD40414244[[#This Row],[PRIX UNITAIRE]])</f>
        <v>0</v>
      </c>
      <c r="F41" s="14"/>
      <c r="G41" s="6">
        <f>SUM(E$9:$E41)-SUM(F$9:$F41)</f>
        <v>0</v>
      </c>
    </row>
    <row r="42" spans="1:7" ht="28.8" x14ac:dyDescent="0.55000000000000004">
      <c r="A42" s="12"/>
      <c r="B42" s="13"/>
      <c r="C42" s="10"/>
      <c r="D42" s="10"/>
      <c r="E42" s="7">
        <f>+$H$2+(BERNARD40414244[[#This Row],[QUANTITE]]*BERNARD40414244[[#This Row],[PRIX UNITAIRE]])</f>
        <v>0</v>
      </c>
      <c r="F42" s="14"/>
      <c r="G42" s="6">
        <f>SUM(E$9:$E42)-SUM(F$9:$F42)</f>
        <v>0</v>
      </c>
    </row>
    <row r="43" spans="1:7" ht="28.8" x14ac:dyDescent="0.55000000000000004">
      <c r="A43" s="12"/>
      <c r="B43" s="13"/>
      <c r="C43" s="10"/>
      <c r="D43" s="10"/>
      <c r="E43" s="7">
        <f>+$H$2+(BERNARD40414244[[#This Row],[QUANTITE]]*BERNARD40414244[[#This Row],[PRIX UNITAIRE]])</f>
        <v>0</v>
      </c>
      <c r="F43" s="14"/>
      <c r="G43" s="6">
        <f>SUM(E$9:$E43)-SUM(F$9:$F43)</f>
        <v>0</v>
      </c>
    </row>
    <row r="44" spans="1:7" ht="28.8" x14ac:dyDescent="0.55000000000000004">
      <c r="A44" s="12"/>
      <c r="B44" s="13"/>
      <c r="C44" s="10"/>
      <c r="D44" s="10"/>
      <c r="E44" s="7">
        <f>+$H$2+(BERNARD40414244[[#This Row],[QUANTITE]]*BERNARD40414244[[#This Row],[PRIX UNITAIRE]])</f>
        <v>0</v>
      </c>
      <c r="F44" s="14"/>
      <c r="G44" s="6">
        <f>SUM(E$9:$E44)-SUM(F$9:$F44)</f>
        <v>0</v>
      </c>
    </row>
    <row r="45" spans="1:7" ht="28.8" x14ac:dyDescent="0.55000000000000004">
      <c r="A45" s="12"/>
      <c r="B45" s="13"/>
      <c r="C45" s="10"/>
      <c r="D45" s="10"/>
      <c r="E45" s="7">
        <f>+$H$2+(BERNARD40414244[[#This Row],[QUANTITE]]*BERNARD40414244[[#This Row],[PRIX UNITAIRE]])</f>
        <v>0</v>
      </c>
      <c r="F45" s="14"/>
      <c r="G45" s="6">
        <f>SUM(E$9:$E45)-SUM(F$9:$F45)</f>
        <v>0</v>
      </c>
    </row>
    <row r="46" spans="1:7" ht="28.8" x14ac:dyDescent="0.55000000000000004">
      <c r="A46" s="12"/>
      <c r="B46" s="13"/>
      <c r="C46" s="10"/>
      <c r="D46" s="10"/>
      <c r="E46" s="7">
        <f>+$H$2+(BERNARD40414244[[#This Row],[QUANTITE]]*BERNARD40414244[[#This Row],[PRIX UNITAIRE]])</f>
        <v>0</v>
      </c>
      <c r="F46" s="14"/>
      <c r="G46" s="6">
        <f>SUM(E$9:$E46)-SUM(F$9:$F46)</f>
        <v>0</v>
      </c>
    </row>
    <row r="47" spans="1:7" ht="28.8" x14ac:dyDescent="0.55000000000000004">
      <c r="A47" s="12"/>
      <c r="B47" s="13"/>
      <c r="C47" s="10"/>
      <c r="D47" s="10"/>
      <c r="E47" s="7">
        <f>+$H$2+(BERNARD40414244[[#This Row],[QUANTITE]]*BERNARD40414244[[#This Row],[PRIX UNITAIRE]])</f>
        <v>0</v>
      </c>
      <c r="F47" s="14"/>
      <c r="G47" s="6">
        <f>SUM(E$9:$E47)-SUM(F$9:$F47)</f>
        <v>0</v>
      </c>
    </row>
    <row r="48" spans="1:7" ht="28.8" x14ac:dyDescent="0.55000000000000004">
      <c r="A48" s="12"/>
      <c r="B48" s="13"/>
      <c r="C48" s="10"/>
      <c r="D48" s="10"/>
      <c r="E48" s="7">
        <f>+$H$2+(BERNARD40414244[[#This Row],[QUANTITE]]*BERNARD40414244[[#This Row],[PRIX UNITAIRE]])</f>
        <v>0</v>
      </c>
      <c r="F48" s="14"/>
      <c r="G48" s="6">
        <f>SUM(E$9:$E48)-SUM(F$9:$F48)</f>
        <v>0</v>
      </c>
    </row>
    <row r="49" spans="1:7" ht="28.8" x14ac:dyDescent="0.55000000000000004">
      <c r="A49" s="12"/>
      <c r="B49" s="13"/>
      <c r="C49" s="10"/>
      <c r="D49" s="10"/>
      <c r="E49" s="7">
        <f>+$H$2+(BERNARD40414244[[#This Row],[QUANTITE]]*BERNARD40414244[[#This Row],[PRIX UNITAIRE]])</f>
        <v>0</v>
      </c>
      <c r="F49" s="14"/>
      <c r="G49" s="6">
        <f>SUM(E$9:$E49)-SUM(F$9:$F49)</f>
        <v>0</v>
      </c>
    </row>
    <row r="50" spans="1:7" ht="28.8" x14ac:dyDescent="0.55000000000000004">
      <c r="A50" s="12"/>
      <c r="B50" s="13"/>
      <c r="C50" s="10"/>
      <c r="D50" s="10"/>
      <c r="E50" s="7">
        <f>+$H$2+(BERNARD40414244[[#This Row],[QUANTITE]]*BERNARD40414244[[#This Row],[PRIX UNITAIRE]])</f>
        <v>0</v>
      </c>
      <c r="F50" s="14"/>
      <c r="G50" s="6">
        <f>SUM(E$9:$E50)-SUM(F$9:$F50)</f>
        <v>0</v>
      </c>
    </row>
    <row r="51" spans="1:7" ht="28.8" x14ac:dyDescent="0.55000000000000004">
      <c r="A51" s="12"/>
      <c r="B51" s="13"/>
      <c r="C51" s="10"/>
      <c r="D51" s="10"/>
      <c r="E51" s="7">
        <f>+$H$2+(BERNARD40414244[[#This Row],[QUANTITE]]*BERNARD40414244[[#This Row],[PRIX UNITAIRE]])</f>
        <v>0</v>
      </c>
      <c r="F51" s="14"/>
      <c r="G51" s="6">
        <f>SUM(E$9:$E51)-SUM(F$9:$F51)</f>
        <v>0</v>
      </c>
    </row>
    <row r="52" spans="1:7" ht="28.8" x14ac:dyDescent="0.55000000000000004">
      <c r="A52" s="12"/>
      <c r="B52" s="13"/>
      <c r="C52" s="10"/>
      <c r="D52" s="10"/>
      <c r="E52" s="7">
        <f>+$H$2+(BERNARD40414244[[#This Row],[QUANTITE]]*BERNARD40414244[[#This Row],[PRIX UNITAIRE]])</f>
        <v>0</v>
      </c>
      <c r="F52" s="14"/>
      <c r="G52" s="6">
        <f>SUM(E$9:$E52)-SUM(F$9:$F52)</f>
        <v>0</v>
      </c>
    </row>
    <row r="53" spans="1:7" ht="28.8" x14ac:dyDescent="0.55000000000000004">
      <c r="A53" s="12"/>
      <c r="B53" s="13"/>
      <c r="C53" s="10"/>
      <c r="D53" s="10"/>
      <c r="E53" s="7">
        <f>+$H$2+(BERNARD40414244[[#This Row],[QUANTITE]]*BERNARD40414244[[#This Row],[PRIX UNITAIRE]])</f>
        <v>0</v>
      </c>
      <c r="F53" s="14"/>
      <c r="G53" s="6">
        <f>SUM(E$9:$E53)-SUM(F$9:$F53)</f>
        <v>0</v>
      </c>
    </row>
    <row r="54" spans="1:7" ht="28.8" x14ac:dyDescent="0.55000000000000004">
      <c r="A54" s="12"/>
      <c r="B54" s="13"/>
      <c r="C54" s="10"/>
      <c r="D54" s="10"/>
      <c r="E54" s="7">
        <f>+$H$2+(BERNARD40414244[[#This Row],[QUANTITE]]*BERNARD40414244[[#This Row],[PRIX UNITAIRE]])</f>
        <v>0</v>
      </c>
      <c r="F54" s="14"/>
      <c r="G54" s="6">
        <f>SUM(E$9:$E54)-SUM(F$9:$F54)</f>
        <v>0</v>
      </c>
    </row>
    <row r="55" spans="1:7" ht="28.8" x14ac:dyDescent="0.55000000000000004">
      <c r="A55" s="12"/>
      <c r="B55" s="13"/>
      <c r="C55" s="10"/>
      <c r="D55" s="10"/>
      <c r="E55" s="7">
        <f>+$H$2+(BERNARD40414244[[#This Row],[QUANTITE]]*BERNARD40414244[[#This Row],[PRIX UNITAIRE]])</f>
        <v>0</v>
      </c>
      <c r="F55" s="14"/>
      <c r="G55" s="6">
        <f>SUM(E$9:$E55)-SUM(F$9:$F55)</f>
        <v>0</v>
      </c>
    </row>
    <row r="56" spans="1:7" ht="28.8" x14ac:dyDescent="0.55000000000000004">
      <c r="A56" s="12"/>
      <c r="B56" s="13"/>
      <c r="C56" s="10"/>
      <c r="D56" s="10"/>
      <c r="E56" s="7">
        <f>+$H$2+(BERNARD40414244[[#This Row],[QUANTITE]]*BERNARD40414244[[#This Row],[PRIX UNITAIRE]])</f>
        <v>0</v>
      </c>
      <c r="F56" s="14"/>
      <c r="G56" s="6">
        <f>SUM(E$9:$E56)-SUM(F$9:$F56)</f>
        <v>0</v>
      </c>
    </row>
    <row r="57" spans="1:7" ht="28.8" x14ac:dyDescent="0.55000000000000004">
      <c r="A57" s="12"/>
      <c r="B57" s="13"/>
      <c r="C57" s="10"/>
      <c r="D57" s="10"/>
      <c r="E57" s="7">
        <f>+$H$2+(BERNARD40414244[[#This Row],[QUANTITE]]*BERNARD40414244[[#This Row],[PRIX UNITAIRE]])</f>
        <v>0</v>
      </c>
      <c r="F57" s="14"/>
      <c r="G57" s="6">
        <f>SUM(E$9:$E57)-SUM(F$9:$F57)</f>
        <v>0</v>
      </c>
    </row>
    <row r="58" spans="1:7" ht="28.8" x14ac:dyDescent="0.55000000000000004">
      <c r="A58" s="12"/>
      <c r="B58" s="13"/>
      <c r="C58" s="10"/>
      <c r="D58" s="10"/>
      <c r="E58" s="7">
        <f>+$H$2+(BERNARD40414244[[#This Row],[QUANTITE]]*BERNARD40414244[[#This Row],[PRIX UNITAIRE]])</f>
        <v>0</v>
      </c>
      <c r="F58" s="14"/>
      <c r="G58" s="6">
        <f>SUM(E$9:$E58)-SUM(F$9:$F58)</f>
        <v>0</v>
      </c>
    </row>
    <row r="59" spans="1:7" ht="28.8" x14ac:dyDescent="0.55000000000000004">
      <c r="A59" s="12"/>
      <c r="B59" s="13"/>
      <c r="C59" s="10"/>
      <c r="D59" s="10"/>
      <c r="E59" s="7">
        <f>+$H$2+(BERNARD40414244[[#This Row],[QUANTITE]]*BERNARD40414244[[#This Row],[PRIX UNITAIRE]])</f>
        <v>0</v>
      </c>
      <c r="F59" s="14"/>
      <c r="G59" s="6">
        <f>SUM(E$9:$E59)-SUM(F$9:$F59)</f>
        <v>0</v>
      </c>
    </row>
    <row r="60" spans="1:7" ht="28.8" x14ac:dyDescent="0.55000000000000004">
      <c r="A60" s="12"/>
      <c r="B60" s="13"/>
      <c r="C60" s="10"/>
      <c r="D60" s="10"/>
      <c r="E60" s="7">
        <f>+$H$2+(BERNARD40414244[[#This Row],[QUANTITE]]*BERNARD40414244[[#This Row],[PRIX UNITAIRE]])</f>
        <v>0</v>
      </c>
      <c r="F60" s="14"/>
      <c r="G60" s="6">
        <f>SUM(E$9:$E60)-SUM(F$9:$F60)</f>
        <v>0</v>
      </c>
    </row>
    <row r="61" spans="1:7" ht="28.8" x14ac:dyDescent="0.55000000000000004">
      <c r="A61" s="12"/>
      <c r="B61" s="13"/>
      <c r="C61" s="10"/>
      <c r="D61" s="10"/>
      <c r="E61" s="7">
        <f>+$H$2+(BERNARD40414244[[#This Row],[QUANTITE]]*BERNARD40414244[[#This Row],[PRIX UNITAIRE]])</f>
        <v>0</v>
      </c>
      <c r="F61" s="14"/>
      <c r="G61" s="6">
        <f>SUM(E$9:$E61)-SUM(F$9:$F61)</f>
        <v>0</v>
      </c>
    </row>
    <row r="62" spans="1:7" ht="28.8" x14ac:dyDescent="0.55000000000000004">
      <c r="A62" s="12"/>
      <c r="B62" s="13"/>
      <c r="C62" s="10"/>
      <c r="D62" s="10"/>
      <c r="E62" s="7">
        <f>+$H$2+(BERNARD40414244[[#This Row],[QUANTITE]]*BERNARD40414244[[#This Row],[PRIX UNITAIRE]])</f>
        <v>0</v>
      </c>
      <c r="F62" s="14"/>
      <c r="G62" s="6">
        <f>SUM(E$9:$E62)-SUM(F$9:$F62)</f>
        <v>0</v>
      </c>
    </row>
    <row r="63" spans="1:7" ht="28.8" x14ac:dyDescent="0.55000000000000004">
      <c r="A63" s="12"/>
      <c r="B63" s="13"/>
      <c r="C63" s="10"/>
      <c r="D63" s="10"/>
      <c r="E63" s="7">
        <f>+$H$2+(BERNARD40414244[[#This Row],[QUANTITE]]*BERNARD40414244[[#This Row],[PRIX UNITAIRE]])</f>
        <v>0</v>
      </c>
      <c r="F63" s="14"/>
      <c r="G63" s="6">
        <f>SUM(E$9:$E63)-SUM(F$9:$F63)</f>
        <v>0</v>
      </c>
    </row>
    <row r="64" spans="1:7" ht="28.8" x14ac:dyDescent="0.55000000000000004">
      <c r="A64" s="12"/>
      <c r="B64" s="13"/>
      <c r="C64" s="10"/>
      <c r="D64" s="10"/>
      <c r="E64" s="7">
        <f>+$H$2+(BERNARD40414244[[#This Row],[QUANTITE]]*BERNARD40414244[[#This Row],[PRIX UNITAIRE]])</f>
        <v>0</v>
      </c>
      <c r="F64" s="14"/>
      <c r="G64" s="6">
        <f>SUM(E$9:$E64)-SUM(F$9:$F64)</f>
        <v>0</v>
      </c>
    </row>
    <row r="65" spans="1:7" ht="28.8" x14ac:dyDescent="0.55000000000000004">
      <c r="A65" s="12"/>
      <c r="B65" s="13"/>
      <c r="C65" s="10"/>
      <c r="D65" s="10"/>
      <c r="E65" s="7">
        <f>+$H$2+(BERNARD40414244[[#This Row],[QUANTITE]]*BERNARD40414244[[#This Row],[PRIX UNITAIRE]])</f>
        <v>0</v>
      </c>
      <c r="F65" s="14"/>
      <c r="G65" s="6">
        <f>SUM(E$9:$E65)-SUM(F$9:$F65)</f>
        <v>0</v>
      </c>
    </row>
    <row r="66" spans="1:7" ht="28.8" x14ac:dyDescent="0.55000000000000004">
      <c r="A66" s="12"/>
      <c r="B66" s="13"/>
      <c r="C66" s="10"/>
      <c r="D66" s="10"/>
      <c r="E66" s="7">
        <f>+$H$2+(BERNARD40414244[[#This Row],[QUANTITE]]*BERNARD40414244[[#This Row],[PRIX UNITAIRE]])</f>
        <v>0</v>
      </c>
      <c r="F66" s="14"/>
      <c r="G66" s="6">
        <f>SUM(E$9:$E66)-SUM(F$9:$F66)</f>
        <v>0</v>
      </c>
    </row>
    <row r="67" spans="1:7" ht="28.8" x14ac:dyDescent="0.55000000000000004">
      <c r="A67" s="12"/>
      <c r="B67" s="13"/>
      <c r="C67" s="10"/>
      <c r="D67" s="10"/>
      <c r="E67" s="7">
        <f>+$H$2+(BERNARD40414244[[#This Row],[QUANTITE]]*BERNARD40414244[[#This Row],[PRIX UNITAIRE]])</f>
        <v>0</v>
      </c>
      <c r="F67" s="14"/>
      <c r="G67" s="6">
        <f>SUM(E$9:$E67)-SUM(F$9:$F67)</f>
        <v>0</v>
      </c>
    </row>
    <row r="68" spans="1:7" ht="28.8" x14ac:dyDescent="0.55000000000000004">
      <c r="A68" s="12"/>
      <c r="B68" s="13"/>
      <c r="C68" s="10"/>
      <c r="D68" s="10"/>
      <c r="E68" s="7">
        <f>+$H$2+(BERNARD40414244[[#This Row],[QUANTITE]]*BERNARD40414244[[#This Row],[PRIX UNITAIRE]])</f>
        <v>0</v>
      </c>
      <c r="F68" s="14"/>
      <c r="G68" s="6">
        <f>SUM(E$9:$E68)-SUM(F$9:$F68)</f>
        <v>0</v>
      </c>
    </row>
    <row r="69" spans="1:7" ht="28.8" x14ac:dyDescent="0.55000000000000004">
      <c r="A69" s="12"/>
      <c r="B69" s="13"/>
      <c r="C69" s="10"/>
      <c r="D69" s="10"/>
      <c r="E69" s="7">
        <f>+$H$2+(BERNARD40414244[[#This Row],[QUANTITE]]*BERNARD40414244[[#This Row],[PRIX UNITAIRE]])</f>
        <v>0</v>
      </c>
      <c r="F69" s="14"/>
      <c r="G69" s="6">
        <f>SUM(E$9:$E69)-SUM(F$9:$F69)</f>
        <v>0</v>
      </c>
    </row>
    <row r="70" spans="1:7" ht="28.8" x14ac:dyDescent="0.55000000000000004">
      <c r="A70" s="12"/>
      <c r="B70" s="13"/>
      <c r="C70" s="10"/>
      <c r="D70" s="10"/>
      <c r="E70" s="7">
        <f>+$H$2+(BERNARD40414244[[#This Row],[QUANTITE]]*BERNARD40414244[[#This Row],[PRIX UNITAIRE]])</f>
        <v>0</v>
      </c>
      <c r="F70" s="14"/>
      <c r="G70" s="6">
        <f>SUM(E$9:$E70)-SUM(F$9:$F70)</f>
        <v>0</v>
      </c>
    </row>
    <row r="71" spans="1:7" ht="28.8" x14ac:dyDescent="0.55000000000000004">
      <c r="A71" s="12"/>
      <c r="B71" s="13"/>
      <c r="C71" s="10"/>
      <c r="D71" s="10"/>
      <c r="E71" s="7">
        <f>+$H$2+(BERNARD40414244[[#This Row],[QUANTITE]]*BERNARD40414244[[#This Row],[PRIX UNITAIRE]])</f>
        <v>0</v>
      </c>
      <c r="F71" s="14"/>
      <c r="G71" s="6">
        <f>SUM(E$9:$E71)-SUM(F$9:$F71)</f>
        <v>0</v>
      </c>
    </row>
    <row r="72" spans="1:7" ht="28.8" x14ac:dyDescent="0.55000000000000004">
      <c r="A72" s="12"/>
      <c r="B72" s="13"/>
      <c r="C72" s="10"/>
      <c r="D72" s="10"/>
      <c r="E72" s="7">
        <f>+$H$2+(BERNARD40414244[[#This Row],[QUANTITE]]*BERNARD40414244[[#This Row],[PRIX UNITAIRE]])</f>
        <v>0</v>
      </c>
      <c r="F72" s="14"/>
      <c r="G72" s="6">
        <f>SUM(E$9:$E72)-SUM(F$9:$F72)</f>
        <v>0</v>
      </c>
    </row>
    <row r="73" spans="1:7" ht="28.8" x14ac:dyDescent="0.55000000000000004">
      <c r="A73" s="12"/>
      <c r="B73" s="13"/>
      <c r="C73" s="10"/>
      <c r="D73" s="10"/>
      <c r="E73" s="7">
        <f>+$H$2+(BERNARD40414244[[#This Row],[QUANTITE]]*BERNARD40414244[[#This Row],[PRIX UNITAIRE]])</f>
        <v>0</v>
      </c>
      <c r="F73" s="14"/>
      <c r="G73" s="6">
        <f>SUM(E$9:$E73)-SUM(F$9:$F73)</f>
        <v>0</v>
      </c>
    </row>
    <row r="74" spans="1:7" ht="28.8" x14ac:dyDescent="0.55000000000000004">
      <c r="A74" s="12"/>
      <c r="B74" s="13"/>
      <c r="C74" s="10"/>
      <c r="D74" s="10"/>
      <c r="E74" s="7">
        <f>+$H$2+(BERNARD40414244[[#This Row],[QUANTITE]]*BERNARD40414244[[#This Row],[PRIX UNITAIRE]])</f>
        <v>0</v>
      </c>
      <c r="F74" s="14"/>
      <c r="G74" s="6">
        <f>SUM(E$9:$E74)-SUM(F$9:$F74)</f>
        <v>0</v>
      </c>
    </row>
    <row r="75" spans="1:7" ht="28.8" x14ac:dyDescent="0.55000000000000004">
      <c r="A75" s="12"/>
      <c r="B75" s="13"/>
      <c r="C75" s="10"/>
      <c r="D75" s="10"/>
      <c r="E75" s="7">
        <f>+$H$2+(BERNARD40414244[[#This Row],[QUANTITE]]*BERNARD40414244[[#This Row],[PRIX UNITAIRE]])</f>
        <v>0</v>
      </c>
      <c r="F75" s="14"/>
      <c r="G75" s="6">
        <f>SUM(E$9:$E75)-SUM(F$9:$F75)</f>
        <v>0</v>
      </c>
    </row>
    <row r="76" spans="1:7" ht="28.8" x14ac:dyDescent="0.55000000000000004">
      <c r="A76" s="12"/>
      <c r="B76" s="13"/>
      <c r="C76" s="10"/>
      <c r="D76" s="10"/>
      <c r="E76" s="7">
        <f>+$H$2+(BERNARD40414244[[#This Row],[QUANTITE]]*BERNARD40414244[[#This Row],[PRIX UNITAIRE]])</f>
        <v>0</v>
      </c>
      <c r="F76" s="14"/>
      <c r="G76" s="6">
        <f>SUM(E$9:$E76)-SUM(F$9:$F76)</f>
        <v>0</v>
      </c>
    </row>
    <row r="77" spans="1:7" ht="28.8" x14ac:dyDescent="0.55000000000000004">
      <c r="A77" s="12"/>
      <c r="B77" s="13"/>
      <c r="C77" s="10"/>
      <c r="D77" s="10"/>
      <c r="E77" s="7">
        <f>+$H$2+(BERNARD40414244[[#This Row],[QUANTITE]]*BERNARD40414244[[#This Row],[PRIX UNITAIRE]])</f>
        <v>0</v>
      </c>
      <c r="F77" s="14"/>
      <c r="G77" s="6">
        <f>SUM(E$9:$E77)-SUM(F$9:$F77)</f>
        <v>0</v>
      </c>
    </row>
    <row r="78" spans="1:7" ht="28.8" x14ac:dyDescent="0.55000000000000004">
      <c r="A78" s="12"/>
      <c r="B78" s="13"/>
      <c r="C78" s="10"/>
      <c r="D78" s="10"/>
      <c r="E78" s="7">
        <f>+$H$2+(BERNARD40414244[[#This Row],[QUANTITE]]*BERNARD40414244[[#This Row],[PRIX UNITAIRE]])</f>
        <v>0</v>
      </c>
      <c r="F78" s="14"/>
      <c r="G78" s="6">
        <f>SUM(E$9:$E78)-SUM(F$9:$F78)</f>
        <v>0</v>
      </c>
    </row>
    <row r="79" spans="1:7" ht="28.8" x14ac:dyDescent="0.55000000000000004">
      <c r="A79" s="12"/>
      <c r="B79" s="13"/>
      <c r="C79" s="10"/>
      <c r="D79" s="10"/>
      <c r="E79" s="7">
        <f>+$H$2+(BERNARD40414244[[#This Row],[QUANTITE]]*BERNARD40414244[[#This Row],[PRIX UNITAIRE]])</f>
        <v>0</v>
      </c>
      <c r="F79" s="14"/>
      <c r="G79" s="6">
        <f>SUM(E$9:$E79)-SUM(F$9:$F79)</f>
        <v>0</v>
      </c>
    </row>
    <row r="80" spans="1:7" ht="28.8" x14ac:dyDescent="0.55000000000000004">
      <c r="A80" s="12"/>
      <c r="B80" s="13"/>
      <c r="C80" s="10"/>
      <c r="D80" s="10"/>
      <c r="E80" s="7">
        <f>+$H$2+(BERNARD40414244[[#This Row],[QUANTITE]]*BERNARD40414244[[#This Row],[PRIX UNITAIRE]])</f>
        <v>0</v>
      </c>
      <c r="F80" s="14"/>
      <c r="G80" s="6">
        <f>SUM(E$9:$E80)-SUM(F$9:$F80)</f>
        <v>0</v>
      </c>
    </row>
    <row r="81" spans="1:7" ht="28.8" x14ac:dyDescent="0.55000000000000004">
      <c r="A81" s="12"/>
      <c r="B81" s="13"/>
      <c r="C81" s="10"/>
      <c r="D81" s="10"/>
      <c r="E81" s="7">
        <f>+$H$2+(BERNARD40414244[[#This Row],[QUANTITE]]*BERNARD40414244[[#This Row],[PRIX UNITAIRE]])</f>
        <v>0</v>
      </c>
      <c r="F81" s="14"/>
      <c r="G81" s="6">
        <f>SUM(E$9:$E81)-SUM(F$9:$F81)</f>
        <v>0</v>
      </c>
    </row>
    <row r="82" spans="1:7" ht="28.8" x14ac:dyDescent="0.55000000000000004">
      <c r="A82" s="12"/>
      <c r="B82" s="13"/>
      <c r="C82" s="10"/>
      <c r="D82" s="10"/>
      <c r="E82" s="7">
        <f>+$H$2+(BERNARD40414244[[#This Row],[QUANTITE]]*BERNARD40414244[[#This Row],[PRIX UNITAIRE]])</f>
        <v>0</v>
      </c>
      <c r="F82" s="14"/>
      <c r="G82" s="6">
        <f>SUM(E$9:$E82)-SUM(F$9:$F82)</f>
        <v>0</v>
      </c>
    </row>
  </sheetData>
  <sheetProtection selectLockedCells="1" autoFilter="0"/>
  <mergeCells count="1">
    <mergeCell ref="B6:C6"/>
  </mergeCells>
  <conditionalFormatting sqref="B9:B82">
    <cfRule type="expression" dxfId="133" priority="7">
      <formula>$F9</formula>
    </cfRule>
  </conditionalFormatting>
  <conditionalFormatting sqref="G4">
    <cfRule type="cellIs" dxfId="132" priority="1" operator="lessThan">
      <formula>0</formula>
    </cfRule>
    <cfRule type="cellIs" dxfId="131" priority="2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8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I82"/>
  <sheetViews>
    <sheetView showGridLines="0" zoomScale="60" zoomScaleNormal="60" workbookViewId="0">
      <pane ySplit="8" topLeftCell="A9" activePane="bottomLeft" state="frozen"/>
      <selection activeCell="E5" sqref="E5"/>
      <selection pane="bottomLeft"/>
    </sheetView>
  </sheetViews>
  <sheetFormatPr baseColWidth="10" defaultColWidth="11.5546875" defaultRowHeight="14.4" x14ac:dyDescent="0.3"/>
  <cols>
    <col min="1" max="1" width="19.21875" style="1" bestFit="1" customWidth="1"/>
    <col min="2" max="2" width="63.5546875" style="1" bestFit="1" customWidth="1"/>
    <col min="3" max="3" width="19.77734375" style="1" bestFit="1" customWidth="1"/>
    <col min="4" max="4" width="43.5546875" style="1" bestFit="1" customWidth="1"/>
    <col min="5" max="5" width="33.77734375" bestFit="1" customWidth="1"/>
    <col min="6" max="6" width="38.44140625" style="1" customWidth="1"/>
    <col min="7" max="7" width="31.21875" bestFit="1" customWidth="1"/>
    <col min="8" max="8" width="11.5546875" style="1"/>
    <col min="9" max="9" width="0" style="1" hidden="1" customWidth="1"/>
    <col min="10" max="16384" width="11.5546875" style="1"/>
  </cols>
  <sheetData>
    <row r="1" spans="1:9" x14ac:dyDescent="0.3">
      <c r="A1"/>
      <c r="B1"/>
      <c r="C1"/>
      <c r="D1"/>
      <c r="F1"/>
    </row>
    <row r="2" spans="1:9" ht="36" customHeight="1" thickBot="1" x14ac:dyDescent="0.35">
      <c r="A2"/>
      <c r="B2"/>
      <c r="C2"/>
      <c r="D2"/>
      <c r="F2"/>
      <c r="I2" s="1">
        <v>0</v>
      </c>
    </row>
    <row r="3" spans="1:9" ht="31.8" thickBot="1" x14ac:dyDescent="0.35">
      <c r="A3"/>
      <c r="B3"/>
      <c r="C3"/>
      <c r="D3" s="34" t="s">
        <v>1223</v>
      </c>
      <c r="E3" s="35" t="s">
        <v>1221</v>
      </c>
      <c r="F3" s="36" t="s">
        <v>8</v>
      </c>
      <c r="G3" s="37" t="s">
        <v>6</v>
      </c>
    </row>
    <row r="4" spans="1:9" ht="31.2" x14ac:dyDescent="0.6">
      <c r="A4"/>
      <c r="B4"/>
      <c r="C4"/>
      <c r="D4" s="38" t="s">
        <v>1224</v>
      </c>
      <c r="E4" s="41">
        <f>+SUM(BERNARD4041424449[TOTAL MONTANT])</f>
        <v>760000</v>
      </c>
      <c r="F4" s="41">
        <f>+SUM(BERNARD4041424449[VERSEMENT])</f>
        <v>0</v>
      </c>
      <c r="G4" s="130">
        <f>+E4-F4</f>
        <v>760000</v>
      </c>
    </row>
    <row r="5" spans="1:9" ht="29.4" thickBot="1" x14ac:dyDescent="0.35">
      <c r="B5" s="3" t="s">
        <v>7</v>
      </c>
      <c r="D5"/>
    </row>
    <row r="6" spans="1:9" ht="37.200000000000003" thickBot="1" x14ac:dyDescent="0.75">
      <c r="B6" s="168" t="s">
        <v>3086</v>
      </c>
      <c r="C6" s="169"/>
      <c r="D6"/>
    </row>
    <row r="8" spans="1:9" ht="28.8" x14ac:dyDescent="0.55000000000000004">
      <c r="A8" s="2" t="s">
        <v>0</v>
      </c>
      <c r="B8" s="2" t="s">
        <v>1</v>
      </c>
      <c r="C8" s="2" t="s">
        <v>2</v>
      </c>
      <c r="D8" s="2" t="s">
        <v>3</v>
      </c>
      <c r="E8" s="5" t="s">
        <v>4</v>
      </c>
      <c r="F8" s="2" t="s">
        <v>5</v>
      </c>
      <c r="G8" s="4" t="s">
        <v>6</v>
      </c>
    </row>
    <row r="9" spans="1:9" ht="28.8" x14ac:dyDescent="0.55000000000000004">
      <c r="A9" s="12">
        <v>45917</v>
      </c>
      <c r="B9" s="13" t="s">
        <v>420</v>
      </c>
      <c r="C9" s="10">
        <v>4</v>
      </c>
      <c r="D9" s="10">
        <v>75000</v>
      </c>
      <c r="E9" s="7">
        <f>+$I$2+(BERNARD4041424449[[#This Row],[QUANTITE]]*BERNARD4041424449[[#This Row],[PRIX UNITAIRE]])</f>
        <v>300000</v>
      </c>
      <c r="F9" s="20"/>
      <c r="G9" s="10">
        <f>SUM(E$9:$E9)-SUM(F$9:$F9)</f>
        <v>300000</v>
      </c>
    </row>
    <row r="10" spans="1:9" ht="28.8" x14ac:dyDescent="0.55000000000000004">
      <c r="A10" s="12">
        <v>45988</v>
      </c>
      <c r="B10" s="13" t="s">
        <v>3265</v>
      </c>
      <c r="C10" s="10">
        <v>3</v>
      </c>
      <c r="D10" s="10">
        <v>60000</v>
      </c>
      <c r="E10" s="7">
        <f>+$I$2+(BERNARD4041424449[[#This Row],[QUANTITE]]*BERNARD4041424449[[#This Row],[PRIX UNITAIRE]])</f>
        <v>180000</v>
      </c>
      <c r="F10" s="21"/>
      <c r="G10" s="6">
        <f>SUM(E$9:$E10)-SUM(F$9:$F10)</f>
        <v>480000</v>
      </c>
    </row>
    <row r="11" spans="1:9" ht="28.8" x14ac:dyDescent="0.55000000000000004">
      <c r="A11" s="12">
        <v>46006</v>
      </c>
      <c r="B11" s="13" t="s">
        <v>3295</v>
      </c>
      <c r="C11" s="10">
        <v>2</v>
      </c>
      <c r="D11" s="10">
        <v>35000</v>
      </c>
      <c r="E11" s="7">
        <f>+$I$2+(BERNARD4041424449[[#This Row],[QUANTITE]]*BERNARD4041424449[[#This Row],[PRIX UNITAIRE]])</f>
        <v>70000</v>
      </c>
      <c r="F11" s="14"/>
      <c r="G11" s="6">
        <f>SUM(E$9:$E11)-SUM(F$9:$F11)</f>
        <v>550000</v>
      </c>
    </row>
    <row r="12" spans="1:9" ht="28.8" x14ac:dyDescent="0.55000000000000004">
      <c r="A12" s="12">
        <v>46007</v>
      </c>
      <c r="B12" s="13" t="s">
        <v>714</v>
      </c>
      <c r="C12" s="10">
        <v>1</v>
      </c>
      <c r="D12" s="10">
        <v>115000</v>
      </c>
      <c r="E12" s="7">
        <f>+$I$2+(BERNARD4041424449[[#This Row],[QUANTITE]]*BERNARD4041424449[[#This Row],[PRIX UNITAIRE]])</f>
        <v>115000</v>
      </c>
      <c r="F12" s="14"/>
      <c r="G12" s="6">
        <f>SUM(E$9:$E12)-SUM(F$9:$F12)</f>
        <v>665000</v>
      </c>
    </row>
    <row r="13" spans="1:9" ht="28.8" x14ac:dyDescent="0.55000000000000004">
      <c r="A13" s="12">
        <v>46048</v>
      </c>
      <c r="B13" s="13" t="s">
        <v>226</v>
      </c>
      <c r="C13" s="10">
        <v>2</v>
      </c>
      <c r="D13" s="10">
        <v>30000</v>
      </c>
      <c r="E13" s="7">
        <f>+$I$2+(BERNARD4041424449[[#This Row],[QUANTITE]]*BERNARD4041424449[[#This Row],[PRIX UNITAIRE]])</f>
        <v>60000</v>
      </c>
      <c r="F13" s="14"/>
      <c r="G13" s="6">
        <f>SUM(E$9:$E13)-SUM(F$9:$F13)</f>
        <v>725000</v>
      </c>
    </row>
    <row r="14" spans="1:9" ht="28.8" x14ac:dyDescent="0.55000000000000004">
      <c r="A14" s="12">
        <v>46073</v>
      </c>
      <c r="B14" s="13" t="s">
        <v>3454</v>
      </c>
      <c r="C14" s="10">
        <v>1</v>
      </c>
      <c r="D14" s="10">
        <v>35000</v>
      </c>
      <c r="E14" s="7">
        <f>+$I$2+(BERNARD4041424449[[#This Row],[QUANTITE]]*BERNARD4041424449[[#This Row],[PRIX UNITAIRE]])</f>
        <v>35000</v>
      </c>
      <c r="F14" s="14"/>
      <c r="G14" s="6">
        <f>SUM(E$9:$E14)-SUM(F$9:$F14)</f>
        <v>760000</v>
      </c>
    </row>
    <row r="15" spans="1:9" ht="28.8" x14ac:dyDescent="0.55000000000000004">
      <c r="A15" s="12"/>
      <c r="B15" s="13"/>
      <c r="C15" s="10"/>
      <c r="D15" s="10"/>
      <c r="E15" s="7">
        <f>+$I$2+(BERNARD4041424449[[#This Row],[QUANTITE]]*BERNARD4041424449[[#This Row],[PRIX UNITAIRE]])</f>
        <v>0</v>
      </c>
      <c r="F15" s="14"/>
      <c r="G15" s="6">
        <f>SUM(E$9:$E15)-SUM(F$9:$F15)</f>
        <v>760000</v>
      </c>
    </row>
    <row r="16" spans="1:9" ht="28.8" x14ac:dyDescent="0.55000000000000004">
      <c r="A16" s="12"/>
      <c r="B16" s="13"/>
      <c r="C16" s="10"/>
      <c r="D16" s="10"/>
      <c r="E16" s="7">
        <f>+$I$2+(BERNARD4041424449[[#This Row],[QUANTITE]]*BERNARD4041424449[[#This Row],[PRIX UNITAIRE]])</f>
        <v>0</v>
      </c>
      <c r="F16" s="14"/>
      <c r="G16" s="6">
        <f>SUM(E$9:$E16)-SUM(F$9:$F16)</f>
        <v>760000</v>
      </c>
    </row>
    <row r="17" spans="1:7" ht="28.8" x14ac:dyDescent="0.55000000000000004">
      <c r="A17" s="12"/>
      <c r="B17" s="13"/>
      <c r="C17" s="10"/>
      <c r="D17" s="10"/>
      <c r="E17" s="7">
        <f>+$I$2+(BERNARD4041424449[[#This Row],[QUANTITE]]*BERNARD4041424449[[#This Row],[PRIX UNITAIRE]])</f>
        <v>0</v>
      </c>
      <c r="F17" s="14"/>
      <c r="G17" s="6">
        <f>SUM(E$9:$E17)-SUM(F$9:$F17)</f>
        <v>760000</v>
      </c>
    </row>
    <row r="18" spans="1:7" ht="28.8" x14ac:dyDescent="0.55000000000000004">
      <c r="A18" s="12"/>
      <c r="B18" s="13"/>
      <c r="C18" s="10"/>
      <c r="D18" s="10"/>
      <c r="E18" s="7">
        <f>+$I$2+(BERNARD4041424449[[#This Row],[QUANTITE]]*BERNARD4041424449[[#This Row],[PRIX UNITAIRE]])</f>
        <v>0</v>
      </c>
      <c r="F18" s="14"/>
      <c r="G18" s="6">
        <f>SUM(E$9:$E18)-SUM(F$9:$F18)</f>
        <v>760000</v>
      </c>
    </row>
    <row r="19" spans="1:7" ht="28.8" x14ac:dyDescent="0.55000000000000004">
      <c r="A19" s="12"/>
      <c r="B19" s="13"/>
      <c r="C19" s="10"/>
      <c r="D19" s="10"/>
      <c r="E19" s="7">
        <f>+$I$2+(BERNARD4041424449[[#This Row],[QUANTITE]]*BERNARD4041424449[[#This Row],[PRIX UNITAIRE]])</f>
        <v>0</v>
      </c>
      <c r="F19" s="14"/>
      <c r="G19" s="6">
        <f>SUM(E$9:$E19)-SUM(F$9:$F19)</f>
        <v>760000</v>
      </c>
    </row>
    <row r="20" spans="1:7" ht="28.8" x14ac:dyDescent="0.55000000000000004">
      <c r="A20" s="12"/>
      <c r="B20" s="13"/>
      <c r="C20" s="10"/>
      <c r="D20" s="10"/>
      <c r="E20" s="7">
        <f>+$I$2+(BERNARD4041424449[[#This Row],[QUANTITE]]*BERNARD4041424449[[#This Row],[PRIX UNITAIRE]])</f>
        <v>0</v>
      </c>
      <c r="F20" s="14"/>
      <c r="G20" s="6">
        <f>SUM(E$9:$E20)-SUM(F$9:$F20)</f>
        <v>760000</v>
      </c>
    </row>
    <row r="21" spans="1:7" ht="28.8" x14ac:dyDescent="0.55000000000000004">
      <c r="A21" s="12"/>
      <c r="B21" s="13"/>
      <c r="C21" s="10"/>
      <c r="D21" s="10"/>
      <c r="E21" s="7">
        <f>+$I$2+(BERNARD4041424449[[#This Row],[QUANTITE]]*BERNARD4041424449[[#This Row],[PRIX UNITAIRE]])</f>
        <v>0</v>
      </c>
      <c r="F21" s="14"/>
      <c r="G21" s="6">
        <f>SUM(E$9:$E21)-SUM(F$9:$F21)</f>
        <v>760000</v>
      </c>
    </row>
    <row r="22" spans="1:7" ht="28.8" x14ac:dyDescent="0.55000000000000004">
      <c r="A22" s="12"/>
      <c r="B22" s="13"/>
      <c r="C22" s="10"/>
      <c r="D22" s="10"/>
      <c r="E22" s="7">
        <f>+$I$2+(BERNARD4041424449[[#This Row],[QUANTITE]]*BERNARD4041424449[[#This Row],[PRIX UNITAIRE]])</f>
        <v>0</v>
      </c>
      <c r="F22" s="14"/>
      <c r="G22" s="6">
        <f>SUM(E$9:$E22)-SUM(F$9:$F22)</f>
        <v>760000</v>
      </c>
    </row>
    <row r="23" spans="1:7" ht="28.8" x14ac:dyDescent="0.55000000000000004">
      <c r="A23" s="12"/>
      <c r="B23" s="13"/>
      <c r="C23" s="10"/>
      <c r="D23" s="10"/>
      <c r="E23" s="7">
        <f>+$I$2+(BERNARD4041424449[[#This Row],[QUANTITE]]*BERNARD4041424449[[#This Row],[PRIX UNITAIRE]])</f>
        <v>0</v>
      </c>
      <c r="F23" s="14"/>
      <c r="G23" s="6">
        <f>SUM(E$9:$E23)-SUM(F$9:$F23)</f>
        <v>760000</v>
      </c>
    </row>
    <row r="24" spans="1:7" ht="28.8" x14ac:dyDescent="0.55000000000000004">
      <c r="A24" s="12"/>
      <c r="B24" s="13"/>
      <c r="C24" s="10"/>
      <c r="D24" s="10"/>
      <c r="E24" s="7">
        <f>+$I$2+(BERNARD4041424449[[#This Row],[QUANTITE]]*BERNARD4041424449[[#This Row],[PRIX UNITAIRE]])</f>
        <v>0</v>
      </c>
      <c r="F24" s="14"/>
      <c r="G24" s="6">
        <f>SUM(E$9:$E24)-SUM(F$9:$F24)</f>
        <v>760000</v>
      </c>
    </row>
    <row r="25" spans="1:7" ht="28.8" x14ac:dyDescent="0.55000000000000004">
      <c r="A25" s="12"/>
      <c r="B25" s="13"/>
      <c r="C25" s="10"/>
      <c r="D25" s="10"/>
      <c r="E25" s="7">
        <f>+$I$2+(BERNARD4041424449[[#This Row],[QUANTITE]]*BERNARD4041424449[[#This Row],[PRIX UNITAIRE]])</f>
        <v>0</v>
      </c>
      <c r="F25" s="14"/>
      <c r="G25" s="6">
        <f>SUM(E$9:$E25)-SUM(F$9:$F25)</f>
        <v>760000</v>
      </c>
    </row>
    <row r="26" spans="1:7" ht="28.8" x14ac:dyDescent="0.55000000000000004">
      <c r="A26" s="12"/>
      <c r="B26" s="13"/>
      <c r="C26" s="10"/>
      <c r="D26" s="10"/>
      <c r="E26" s="7">
        <f>+$I$2+(BERNARD4041424449[[#This Row],[QUANTITE]]*BERNARD4041424449[[#This Row],[PRIX UNITAIRE]])</f>
        <v>0</v>
      </c>
      <c r="F26" s="14"/>
      <c r="G26" s="6">
        <f>SUM(E$9:$E26)-SUM(F$9:$F26)</f>
        <v>760000</v>
      </c>
    </row>
    <row r="27" spans="1:7" ht="28.8" x14ac:dyDescent="0.55000000000000004">
      <c r="A27" s="12"/>
      <c r="B27" s="13"/>
      <c r="C27" s="10"/>
      <c r="D27" s="10"/>
      <c r="E27" s="7">
        <f>+$I$2+(BERNARD4041424449[[#This Row],[QUANTITE]]*BERNARD4041424449[[#This Row],[PRIX UNITAIRE]])</f>
        <v>0</v>
      </c>
      <c r="F27" s="14"/>
      <c r="G27" s="6">
        <f>SUM(E$9:$E27)-SUM(F$9:$F27)</f>
        <v>760000</v>
      </c>
    </row>
    <row r="28" spans="1:7" ht="28.8" x14ac:dyDescent="0.55000000000000004">
      <c r="A28" s="12"/>
      <c r="B28" s="13"/>
      <c r="C28" s="10"/>
      <c r="D28" s="10"/>
      <c r="E28" s="7">
        <f>+$I$2+(BERNARD4041424449[[#This Row],[QUANTITE]]*BERNARD4041424449[[#This Row],[PRIX UNITAIRE]])</f>
        <v>0</v>
      </c>
      <c r="F28" s="14"/>
      <c r="G28" s="6">
        <f>SUM(E$9:$E28)-SUM(F$9:$F28)</f>
        <v>760000</v>
      </c>
    </row>
    <row r="29" spans="1:7" ht="28.8" x14ac:dyDescent="0.55000000000000004">
      <c r="A29" s="12"/>
      <c r="B29" s="13"/>
      <c r="C29" s="10"/>
      <c r="D29" s="10"/>
      <c r="E29" s="7">
        <f>+$I$2+(BERNARD4041424449[[#This Row],[QUANTITE]]*BERNARD4041424449[[#This Row],[PRIX UNITAIRE]])</f>
        <v>0</v>
      </c>
      <c r="F29" s="14"/>
      <c r="G29" s="6">
        <f>SUM(E$9:$E29)-SUM(F$9:$F29)</f>
        <v>760000</v>
      </c>
    </row>
    <row r="30" spans="1:7" ht="28.8" x14ac:dyDescent="0.55000000000000004">
      <c r="A30" s="12"/>
      <c r="B30" s="13"/>
      <c r="C30" s="10"/>
      <c r="D30" s="10"/>
      <c r="E30" s="7">
        <f>+$I$2+(BERNARD4041424449[[#This Row],[QUANTITE]]*BERNARD4041424449[[#This Row],[PRIX UNITAIRE]])</f>
        <v>0</v>
      </c>
      <c r="F30" s="14"/>
      <c r="G30" s="6">
        <f>SUM(E$9:$E30)-SUM(F$9:$F30)</f>
        <v>760000</v>
      </c>
    </row>
    <row r="31" spans="1:7" ht="28.8" x14ac:dyDescent="0.55000000000000004">
      <c r="A31" s="12"/>
      <c r="B31" s="13"/>
      <c r="C31" s="10"/>
      <c r="D31" s="10"/>
      <c r="E31" s="7">
        <f>+$I$2+(BERNARD4041424449[[#This Row],[QUANTITE]]*BERNARD4041424449[[#This Row],[PRIX UNITAIRE]])</f>
        <v>0</v>
      </c>
      <c r="F31" s="14"/>
      <c r="G31" s="6">
        <f>SUM(E$9:$E31)-SUM(F$9:$F31)</f>
        <v>760000</v>
      </c>
    </row>
    <row r="32" spans="1:7" ht="28.8" x14ac:dyDescent="0.55000000000000004">
      <c r="A32" s="12"/>
      <c r="B32" s="13"/>
      <c r="C32" s="10"/>
      <c r="D32" s="10"/>
      <c r="E32" s="7">
        <f>+$I$2+(BERNARD4041424449[[#This Row],[QUANTITE]]*BERNARD4041424449[[#This Row],[PRIX UNITAIRE]])</f>
        <v>0</v>
      </c>
      <c r="F32" s="14"/>
      <c r="G32" s="6">
        <f>SUM(E$9:$E32)-SUM(F$9:$F32)</f>
        <v>760000</v>
      </c>
    </row>
    <row r="33" spans="1:7" ht="28.8" x14ac:dyDescent="0.55000000000000004">
      <c r="A33" s="12"/>
      <c r="B33" s="13"/>
      <c r="C33" s="10"/>
      <c r="D33" s="10"/>
      <c r="E33" s="7">
        <f>+$I$2+(BERNARD4041424449[[#This Row],[QUANTITE]]*BERNARD4041424449[[#This Row],[PRIX UNITAIRE]])</f>
        <v>0</v>
      </c>
      <c r="F33" s="14"/>
      <c r="G33" s="6">
        <f>SUM(E$9:$E33)-SUM(F$9:$F33)</f>
        <v>760000</v>
      </c>
    </row>
    <row r="34" spans="1:7" ht="28.8" x14ac:dyDescent="0.55000000000000004">
      <c r="A34" s="12"/>
      <c r="B34" s="13"/>
      <c r="C34" s="10"/>
      <c r="D34" s="10"/>
      <c r="E34" s="7">
        <f>+$I$2+(BERNARD4041424449[[#This Row],[QUANTITE]]*BERNARD4041424449[[#This Row],[PRIX UNITAIRE]])</f>
        <v>0</v>
      </c>
      <c r="F34" s="14"/>
      <c r="G34" s="6">
        <f>SUM(E$9:$E34)-SUM(F$9:$F34)</f>
        <v>760000</v>
      </c>
    </row>
    <row r="35" spans="1:7" ht="28.8" x14ac:dyDescent="0.55000000000000004">
      <c r="A35" s="12"/>
      <c r="B35" s="13"/>
      <c r="C35" s="10"/>
      <c r="D35" s="10"/>
      <c r="E35" s="7">
        <f>+$I$2+(BERNARD4041424449[[#This Row],[QUANTITE]]*BERNARD4041424449[[#This Row],[PRIX UNITAIRE]])</f>
        <v>0</v>
      </c>
      <c r="F35" s="14"/>
      <c r="G35" s="6">
        <f>SUM(E$9:$E35)-SUM(F$9:$F35)</f>
        <v>760000</v>
      </c>
    </row>
    <row r="36" spans="1:7" ht="28.8" x14ac:dyDescent="0.55000000000000004">
      <c r="A36" s="12"/>
      <c r="B36" s="13"/>
      <c r="C36" s="10"/>
      <c r="D36" s="10"/>
      <c r="E36" s="7">
        <f>+$I$2+(BERNARD4041424449[[#This Row],[QUANTITE]]*BERNARD4041424449[[#This Row],[PRIX UNITAIRE]])</f>
        <v>0</v>
      </c>
      <c r="F36" s="14"/>
      <c r="G36" s="6">
        <f>SUM(E$9:$E36)-SUM(F$9:$F36)</f>
        <v>760000</v>
      </c>
    </row>
    <row r="37" spans="1:7" ht="28.8" x14ac:dyDescent="0.55000000000000004">
      <c r="A37" s="12"/>
      <c r="B37" s="13"/>
      <c r="C37" s="10"/>
      <c r="D37" s="10"/>
      <c r="E37" s="7">
        <f>+$I$2+(BERNARD4041424449[[#This Row],[QUANTITE]]*BERNARD4041424449[[#This Row],[PRIX UNITAIRE]])</f>
        <v>0</v>
      </c>
      <c r="F37" s="14"/>
      <c r="G37" s="6">
        <f>SUM(E$9:$E37)-SUM(F$9:$F37)</f>
        <v>760000</v>
      </c>
    </row>
    <row r="38" spans="1:7" ht="28.8" x14ac:dyDescent="0.55000000000000004">
      <c r="A38" s="12"/>
      <c r="B38" s="13"/>
      <c r="C38" s="10"/>
      <c r="D38" s="10"/>
      <c r="E38" s="7">
        <f>+$I$2+(BERNARD4041424449[[#This Row],[QUANTITE]]*BERNARD4041424449[[#This Row],[PRIX UNITAIRE]])</f>
        <v>0</v>
      </c>
      <c r="F38" s="14"/>
      <c r="G38" s="6">
        <f>SUM(E$9:$E38)-SUM(F$9:$F38)</f>
        <v>760000</v>
      </c>
    </row>
    <row r="39" spans="1:7" ht="28.8" x14ac:dyDescent="0.55000000000000004">
      <c r="A39" s="12"/>
      <c r="B39" s="13"/>
      <c r="C39" s="10"/>
      <c r="D39" s="10"/>
      <c r="E39" s="7">
        <f>+$I$2+(BERNARD4041424449[[#This Row],[QUANTITE]]*BERNARD4041424449[[#This Row],[PRIX UNITAIRE]])</f>
        <v>0</v>
      </c>
      <c r="F39" s="14"/>
      <c r="G39" s="6">
        <f>SUM(E$9:$E39)-SUM(F$9:$F39)</f>
        <v>760000</v>
      </c>
    </row>
    <row r="40" spans="1:7" ht="28.8" x14ac:dyDescent="0.55000000000000004">
      <c r="A40" s="12"/>
      <c r="B40" s="13"/>
      <c r="C40" s="10"/>
      <c r="D40" s="10"/>
      <c r="E40" s="7">
        <f>+$I$2+(BERNARD4041424449[[#This Row],[QUANTITE]]*BERNARD4041424449[[#This Row],[PRIX UNITAIRE]])</f>
        <v>0</v>
      </c>
      <c r="F40" s="14"/>
      <c r="G40" s="6">
        <f>SUM(E$9:$E40)-SUM(F$9:$F40)</f>
        <v>760000</v>
      </c>
    </row>
    <row r="41" spans="1:7" ht="28.8" x14ac:dyDescent="0.55000000000000004">
      <c r="A41" s="12"/>
      <c r="B41" s="13"/>
      <c r="C41" s="10"/>
      <c r="D41" s="10"/>
      <c r="E41" s="7">
        <f>+$I$2+(BERNARD4041424449[[#This Row],[QUANTITE]]*BERNARD4041424449[[#This Row],[PRIX UNITAIRE]])</f>
        <v>0</v>
      </c>
      <c r="F41" s="14"/>
      <c r="G41" s="6">
        <f>SUM(E$9:$E41)-SUM(F$9:$F41)</f>
        <v>760000</v>
      </c>
    </row>
    <row r="42" spans="1:7" ht="28.8" x14ac:dyDescent="0.55000000000000004">
      <c r="A42" s="12"/>
      <c r="B42" s="13"/>
      <c r="C42" s="10"/>
      <c r="D42" s="10"/>
      <c r="E42" s="7">
        <f>+$I$2+(BERNARD4041424449[[#This Row],[QUANTITE]]*BERNARD4041424449[[#This Row],[PRIX UNITAIRE]])</f>
        <v>0</v>
      </c>
      <c r="F42" s="14"/>
      <c r="G42" s="6">
        <f>SUM(E$9:$E42)-SUM(F$9:$F42)</f>
        <v>760000</v>
      </c>
    </row>
    <row r="43" spans="1:7" ht="28.8" x14ac:dyDescent="0.55000000000000004">
      <c r="A43" s="12"/>
      <c r="B43" s="13"/>
      <c r="C43" s="10"/>
      <c r="D43" s="10"/>
      <c r="E43" s="7">
        <f>+$I$2+(BERNARD4041424449[[#This Row],[QUANTITE]]*BERNARD4041424449[[#This Row],[PRIX UNITAIRE]])</f>
        <v>0</v>
      </c>
      <c r="F43" s="14"/>
      <c r="G43" s="6">
        <f>SUM(E$9:$E43)-SUM(F$9:$F43)</f>
        <v>760000</v>
      </c>
    </row>
    <row r="44" spans="1:7" ht="28.8" x14ac:dyDescent="0.55000000000000004">
      <c r="A44" s="12"/>
      <c r="B44" s="13"/>
      <c r="C44" s="10"/>
      <c r="D44" s="10"/>
      <c r="E44" s="7">
        <f>+$I$2+(BERNARD4041424449[[#This Row],[QUANTITE]]*BERNARD4041424449[[#This Row],[PRIX UNITAIRE]])</f>
        <v>0</v>
      </c>
      <c r="F44" s="14"/>
      <c r="G44" s="6">
        <f>SUM(E$9:$E44)-SUM(F$9:$F44)</f>
        <v>760000</v>
      </c>
    </row>
    <row r="45" spans="1:7" ht="28.8" x14ac:dyDescent="0.55000000000000004">
      <c r="A45" s="12"/>
      <c r="B45" s="13"/>
      <c r="C45" s="10"/>
      <c r="D45" s="10"/>
      <c r="E45" s="7">
        <f>+$I$2+(BERNARD4041424449[[#This Row],[QUANTITE]]*BERNARD4041424449[[#This Row],[PRIX UNITAIRE]])</f>
        <v>0</v>
      </c>
      <c r="F45" s="14"/>
      <c r="G45" s="6">
        <f>SUM(E$9:$E45)-SUM(F$9:$F45)</f>
        <v>760000</v>
      </c>
    </row>
    <row r="46" spans="1:7" ht="28.8" x14ac:dyDescent="0.55000000000000004">
      <c r="A46" s="12"/>
      <c r="B46" s="13"/>
      <c r="C46" s="10"/>
      <c r="D46" s="10"/>
      <c r="E46" s="7">
        <f>+$I$2+(BERNARD4041424449[[#This Row],[QUANTITE]]*BERNARD4041424449[[#This Row],[PRIX UNITAIRE]])</f>
        <v>0</v>
      </c>
      <c r="F46" s="14"/>
      <c r="G46" s="6">
        <f>SUM(E$9:$E46)-SUM(F$9:$F46)</f>
        <v>760000</v>
      </c>
    </row>
    <row r="47" spans="1:7" ht="28.8" x14ac:dyDescent="0.55000000000000004">
      <c r="A47" s="12"/>
      <c r="B47" s="13"/>
      <c r="C47" s="10"/>
      <c r="D47" s="10"/>
      <c r="E47" s="7">
        <f>+$I$2+(BERNARD4041424449[[#This Row],[QUANTITE]]*BERNARD4041424449[[#This Row],[PRIX UNITAIRE]])</f>
        <v>0</v>
      </c>
      <c r="F47" s="14"/>
      <c r="G47" s="6">
        <f>SUM(E$9:$E47)-SUM(F$9:$F47)</f>
        <v>760000</v>
      </c>
    </row>
    <row r="48" spans="1:7" ht="28.8" x14ac:dyDescent="0.55000000000000004">
      <c r="A48" s="12"/>
      <c r="B48" s="13"/>
      <c r="C48" s="10"/>
      <c r="D48" s="10"/>
      <c r="E48" s="7">
        <f>+$I$2+(BERNARD4041424449[[#This Row],[QUANTITE]]*BERNARD4041424449[[#This Row],[PRIX UNITAIRE]])</f>
        <v>0</v>
      </c>
      <c r="F48" s="14"/>
      <c r="G48" s="6">
        <f>SUM(E$9:$E48)-SUM(F$9:$F48)</f>
        <v>760000</v>
      </c>
    </row>
    <row r="49" spans="1:7" ht="28.8" x14ac:dyDescent="0.55000000000000004">
      <c r="A49" s="12"/>
      <c r="B49" s="13"/>
      <c r="C49" s="10"/>
      <c r="D49" s="10"/>
      <c r="E49" s="7">
        <f>+$I$2+(BERNARD4041424449[[#This Row],[QUANTITE]]*BERNARD4041424449[[#This Row],[PRIX UNITAIRE]])</f>
        <v>0</v>
      </c>
      <c r="F49" s="14"/>
      <c r="G49" s="6">
        <f>SUM(E$9:$E49)-SUM(F$9:$F49)</f>
        <v>760000</v>
      </c>
    </row>
    <row r="50" spans="1:7" ht="28.8" x14ac:dyDescent="0.55000000000000004">
      <c r="A50" s="12"/>
      <c r="B50" s="13"/>
      <c r="C50" s="10"/>
      <c r="D50" s="10"/>
      <c r="E50" s="7">
        <f>+$I$2+(BERNARD4041424449[[#This Row],[QUANTITE]]*BERNARD4041424449[[#This Row],[PRIX UNITAIRE]])</f>
        <v>0</v>
      </c>
      <c r="F50" s="14"/>
      <c r="G50" s="6">
        <f>SUM(E$9:$E50)-SUM(F$9:$F50)</f>
        <v>760000</v>
      </c>
    </row>
    <row r="51" spans="1:7" ht="28.8" x14ac:dyDescent="0.55000000000000004">
      <c r="A51" s="12"/>
      <c r="B51" s="13"/>
      <c r="C51" s="10"/>
      <c r="D51" s="10"/>
      <c r="E51" s="7">
        <f>+$I$2+(BERNARD4041424449[[#This Row],[QUANTITE]]*BERNARD4041424449[[#This Row],[PRIX UNITAIRE]])</f>
        <v>0</v>
      </c>
      <c r="F51" s="14"/>
      <c r="G51" s="6">
        <f>SUM(E$9:$E51)-SUM(F$9:$F51)</f>
        <v>760000</v>
      </c>
    </row>
    <row r="52" spans="1:7" ht="28.8" x14ac:dyDescent="0.55000000000000004">
      <c r="A52" s="12"/>
      <c r="B52" s="13"/>
      <c r="C52" s="10"/>
      <c r="D52" s="10"/>
      <c r="E52" s="7">
        <f>+$I$2+(BERNARD4041424449[[#This Row],[QUANTITE]]*BERNARD4041424449[[#This Row],[PRIX UNITAIRE]])</f>
        <v>0</v>
      </c>
      <c r="F52" s="14"/>
      <c r="G52" s="6">
        <f>SUM(E$9:$E52)-SUM(F$9:$F52)</f>
        <v>760000</v>
      </c>
    </row>
    <row r="53" spans="1:7" ht="28.8" x14ac:dyDescent="0.55000000000000004">
      <c r="A53" s="12"/>
      <c r="B53" s="13"/>
      <c r="C53" s="10"/>
      <c r="D53" s="10"/>
      <c r="E53" s="7">
        <f>+$I$2+(BERNARD4041424449[[#This Row],[QUANTITE]]*BERNARD4041424449[[#This Row],[PRIX UNITAIRE]])</f>
        <v>0</v>
      </c>
      <c r="F53" s="14"/>
      <c r="G53" s="6">
        <f>SUM(E$9:$E53)-SUM(F$9:$F53)</f>
        <v>760000</v>
      </c>
    </row>
    <row r="54" spans="1:7" ht="28.8" x14ac:dyDescent="0.55000000000000004">
      <c r="A54" s="12"/>
      <c r="B54" s="13"/>
      <c r="C54" s="10"/>
      <c r="D54" s="10"/>
      <c r="E54" s="7">
        <f>+$I$2+(BERNARD4041424449[[#This Row],[QUANTITE]]*BERNARD4041424449[[#This Row],[PRIX UNITAIRE]])</f>
        <v>0</v>
      </c>
      <c r="F54" s="14"/>
      <c r="G54" s="6">
        <f>SUM(E$9:$E54)-SUM(F$9:$F54)</f>
        <v>760000</v>
      </c>
    </row>
    <row r="55" spans="1:7" ht="28.8" x14ac:dyDescent="0.55000000000000004">
      <c r="A55" s="12"/>
      <c r="B55" s="13"/>
      <c r="C55" s="10"/>
      <c r="D55" s="10"/>
      <c r="E55" s="7">
        <f>+$I$2+(BERNARD4041424449[[#This Row],[QUANTITE]]*BERNARD4041424449[[#This Row],[PRIX UNITAIRE]])</f>
        <v>0</v>
      </c>
      <c r="F55" s="14"/>
      <c r="G55" s="6">
        <f>SUM(E$9:$E55)-SUM(F$9:$F55)</f>
        <v>760000</v>
      </c>
    </row>
    <row r="56" spans="1:7" ht="28.8" x14ac:dyDescent="0.55000000000000004">
      <c r="A56" s="12"/>
      <c r="B56" s="13"/>
      <c r="C56" s="10"/>
      <c r="D56" s="10"/>
      <c r="E56" s="7">
        <f>+$I$2+(BERNARD4041424449[[#This Row],[QUANTITE]]*BERNARD4041424449[[#This Row],[PRIX UNITAIRE]])</f>
        <v>0</v>
      </c>
      <c r="F56" s="14"/>
      <c r="G56" s="6">
        <f>SUM(E$9:$E56)-SUM(F$9:$F56)</f>
        <v>760000</v>
      </c>
    </row>
    <row r="57" spans="1:7" ht="28.8" x14ac:dyDescent="0.55000000000000004">
      <c r="A57" s="12"/>
      <c r="B57" s="13"/>
      <c r="C57" s="10"/>
      <c r="D57" s="10"/>
      <c r="E57" s="7">
        <f>+$I$2+(BERNARD4041424449[[#This Row],[QUANTITE]]*BERNARD4041424449[[#This Row],[PRIX UNITAIRE]])</f>
        <v>0</v>
      </c>
      <c r="F57" s="14"/>
      <c r="G57" s="6">
        <f>SUM(E$9:$E57)-SUM(F$9:$F57)</f>
        <v>760000</v>
      </c>
    </row>
    <row r="58" spans="1:7" ht="28.8" x14ac:dyDescent="0.55000000000000004">
      <c r="A58" s="12"/>
      <c r="B58" s="13"/>
      <c r="C58" s="10"/>
      <c r="D58" s="10"/>
      <c r="E58" s="7">
        <f>+$I$2+(BERNARD4041424449[[#This Row],[QUANTITE]]*BERNARD4041424449[[#This Row],[PRIX UNITAIRE]])</f>
        <v>0</v>
      </c>
      <c r="F58" s="14"/>
      <c r="G58" s="6">
        <f>SUM(E$9:$E58)-SUM(F$9:$F58)</f>
        <v>760000</v>
      </c>
    </row>
    <row r="59" spans="1:7" ht="28.8" x14ac:dyDescent="0.55000000000000004">
      <c r="A59" s="12"/>
      <c r="B59" s="13"/>
      <c r="C59" s="10"/>
      <c r="D59" s="10"/>
      <c r="E59" s="7">
        <f>+$I$2+(BERNARD4041424449[[#This Row],[QUANTITE]]*BERNARD4041424449[[#This Row],[PRIX UNITAIRE]])</f>
        <v>0</v>
      </c>
      <c r="F59" s="14"/>
      <c r="G59" s="6">
        <f>SUM(E$9:$E59)-SUM(F$9:$F59)</f>
        <v>760000</v>
      </c>
    </row>
    <row r="60" spans="1:7" ht="28.8" x14ac:dyDescent="0.55000000000000004">
      <c r="A60" s="12"/>
      <c r="B60" s="13"/>
      <c r="C60" s="10"/>
      <c r="D60" s="10"/>
      <c r="E60" s="7">
        <f>+$I$2+(BERNARD4041424449[[#This Row],[QUANTITE]]*BERNARD4041424449[[#This Row],[PRIX UNITAIRE]])</f>
        <v>0</v>
      </c>
      <c r="F60" s="14"/>
      <c r="G60" s="6">
        <f>SUM(E$9:$E60)-SUM(F$9:$F60)</f>
        <v>760000</v>
      </c>
    </row>
    <row r="61" spans="1:7" ht="28.8" x14ac:dyDescent="0.55000000000000004">
      <c r="A61" s="12"/>
      <c r="B61" s="13"/>
      <c r="C61" s="10"/>
      <c r="D61" s="10"/>
      <c r="E61" s="7">
        <f>+$I$2+(BERNARD4041424449[[#This Row],[QUANTITE]]*BERNARD4041424449[[#This Row],[PRIX UNITAIRE]])</f>
        <v>0</v>
      </c>
      <c r="F61" s="14"/>
      <c r="G61" s="6">
        <f>SUM(E$9:$E61)-SUM(F$9:$F61)</f>
        <v>760000</v>
      </c>
    </row>
    <row r="62" spans="1:7" ht="28.8" x14ac:dyDescent="0.55000000000000004">
      <c r="A62" s="12"/>
      <c r="B62" s="13"/>
      <c r="C62" s="10"/>
      <c r="D62" s="10"/>
      <c r="E62" s="7">
        <f>+$I$2+(BERNARD4041424449[[#This Row],[QUANTITE]]*BERNARD4041424449[[#This Row],[PRIX UNITAIRE]])</f>
        <v>0</v>
      </c>
      <c r="F62" s="14"/>
      <c r="G62" s="6">
        <f>SUM(E$9:$E62)-SUM(F$9:$F62)</f>
        <v>760000</v>
      </c>
    </row>
    <row r="63" spans="1:7" ht="28.8" x14ac:dyDescent="0.55000000000000004">
      <c r="A63" s="12"/>
      <c r="B63" s="13"/>
      <c r="C63" s="10"/>
      <c r="D63" s="10"/>
      <c r="E63" s="7">
        <f>+$I$2+(BERNARD4041424449[[#This Row],[QUANTITE]]*BERNARD4041424449[[#This Row],[PRIX UNITAIRE]])</f>
        <v>0</v>
      </c>
      <c r="F63" s="14"/>
      <c r="G63" s="6">
        <f>SUM(E$9:$E63)-SUM(F$9:$F63)</f>
        <v>760000</v>
      </c>
    </row>
    <row r="64" spans="1:7" ht="28.8" x14ac:dyDescent="0.55000000000000004">
      <c r="A64" s="12"/>
      <c r="B64" s="13"/>
      <c r="C64" s="10"/>
      <c r="D64" s="10"/>
      <c r="E64" s="7">
        <f>+$I$2+(BERNARD4041424449[[#This Row],[QUANTITE]]*BERNARD4041424449[[#This Row],[PRIX UNITAIRE]])</f>
        <v>0</v>
      </c>
      <c r="F64" s="14"/>
      <c r="G64" s="6">
        <f>SUM(E$9:$E64)-SUM(F$9:$F64)</f>
        <v>760000</v>
      </c>
    </row>
    <row r="65" spans="1:7" ht="28.8" x14ac:dyDescent="0.55000000000000004">
      <c r="A65" s="12"/>
      <c r="B65" s="13"/>
      <c r="C65" s="10"/>
      <c r="D65" s="10"/>
      <c r="E65" s="7">
        <f>+$I$2+(BERNARD4041424449[[#This Row],[QUANTITE]]*BERNARD4041424449[[#This Row],[PRIX UNITAIRE]])</f>
        <v>0</v>
      </c>
      <c r="F65" s="14"/>
      <c r="G65" s="6">
        <f>SUM(E$9:$E65)-SUM(F$9:$F65)</f>
        <v>760000</v>
      </c>
    </row>
    <row r="66" spans="1:7" ht="28.8" x14ac:dyDescent="0.55000000000000004">
      <c r="A66" s="12"/>
      <c r="B66" s="13"/>
      <c r="C66" s="10"/>
      <c r="D66" s="10"/>
      <c r="E66" s="7">
        <f>+$I$2+(BERNARD4041424449[[#This Row],[QUANTITE]]*BERNARD4041424449[[#This Row],[PRIX UNITAIRE]])</f>
        <v>0</v>
      </c>
      <c r="F66" s="14"/>
      <c r="G66" s="6">
        <f>SUM(E$9:$E66)-SUM(F$9:$F66)</f>
        <v>760000</v>
      </c>
    </row>
    <row r="67" spans="1:7" ht="28.8" x14ac:dyDescent="0.55000000000000004">
      <c r="A67" s="12"/>
      <c r="B67" s="13"/>
      <c r="C67" s="10"/>
      <c r="D67" s="10"/>
      <c r="E67" s="7">
        <f>+$I$2+(BERNARD4041424449[[#This Row],[QUANTITE]]*BERNARD4041424449[[#This Row],[PRIX UNITAIRE]])</f>
        <v>0</v>
      </c>
      <c r="F67" s="14"/>
      <c r="G67" s="6">
        <f>SUM(E$9:$E67)-SUM(F$9:$F67)</f>
        <v>760000</v>
      </c>
    </row>
    <row r="68" spans="1:7" ht="28.8" x14ac:dyDescent="0.55000000000000004">
      <c r="A68" s="12"/>
      <c r="B68" s="13"/>
      <c r="C68" s="10"/>
      <c r="D68" s="10"/>
      <c r="E68" s="7">
        <f>+$I$2+(BERNARD4041424449[[#This Row],[QUANTITE]]*BERNARD4041424449[[#This Row],[PRIX UNITAIRE]])</f>
        <v>0</v>
      </c>
      <c r="F68" s="14"/>
      <c r="G68" s="6">
        <f>SUM(E$9:$E68)-SUM(F$9:$F68)</f>
        <v>760000</v>
      </c>
    </row>
    <row r="69" spans="1:7" ht="28.8" x14ac:dyDescent="0.55000000000000004">
      <c r="A69" s="12"/>
      <c r="B69" s="13"/>
      <c r="C69" s="10"/>
      <c r="D69" s="10"/>
      <c r="E69" s="7">
        <f>+$I$2+(BERNARD4041424449[[#This Row],[QUANTITE]]*BERNARD4041424449[[#This Row],[PRIX UNITAIRE]])</f>
        <v>0</v>
      </c>
      <c r="F69" s="14"/>
      <c r="G69" s="6">
        <f>SUM(E$9:$E69)-SUM(F$9:$F69)</f>
        <v>760000</v>
      </c>
    </row>
    <row r="70" spans="1:7" ht="28.8" x14ac:dyDescent="0.55000000000000004">
      <c r="A70" s="12"/>
      <c r="B70" s="13"/>
      <c r="C70" s="10"/>
      <c r="D70" s="10"/>
      <c r="E70" s="7">
        <f>+$I$2+(BERNARD4041424449[[#This Row],[QUANTITE]]*BERNARD4041424449[[#This Row],[PRIX UNITAIRE]])</f>
        <v>0</v>
      </c>
      <c r="F70" s="14"/>
      <c r="G70" s="6">
        <f>SUM(E$9:$E70)-SUM(F$9:$F70)</f>
        <v>760000</v>
      </c>
    </row>
    <row r="71" spans="1:7" ht="28.8" x14ac:dyDescent="0.55000000000000004">
      <c r="A71" s="12"/>
      <c r="B71" s="13"/>
      <c r="C71" s="10"/>
      <c r="D71" s="10"/>
      <c r="E71" s="7">
        <f>+$I$2+(BERNARD4041424449[[#This Row],[QUANTITE]]*BERNARD4041424449[[#This Row],[PRIX UNITAIRE]])</f>
        <v>0</v>
      </c>
      <c r="F71" s="14"/>
      <c r="G71" s="6">
        <f>SUM(E$9:$E71)-SUM(F$9:$F71)</f>
        <v>760000</v>
      </c>
    </row>
    <row r="72" spans="1:7" ht="28.8" x14ac:dyDescent="0.55000000000000004">
      <c r="A72" s="12"/>
      <c r="B72" s="13"/>
      <c r="C72" s="10"/>
      <c r="D72" s="10"/>
      <c r="E72" s="7">
        <f>+$I$2+(BERNARD4041424449[[#This Row],[QUANTITE]]*BERNARD4041424449[[#This Row],[PRIX UNITAIRE]])</f>
        <v>0</v>
      </c>
      <c r="F72" s="14"/>
      <c r="G72" s="6">
        <f>SUM(E$9:$E72)-SUM(F$9:$F72)</f>
        <v>760000</v>
      </c>
    </row>
    <row r="73" spans="1:7" ht="28.8" x14ac:dyDescent="0.55000000000000004">
      <c r="A73" s="12"/>
      <c r="B73" s="13"/>
      <c r="C73" s="10"/>
      <c r="D73" s="10"/>
      <c r="E73" s="7">
        <f>+$I$2+(BERNARD4041424449[[#This Row],[QUANTITE]]*BERNARD4041424449[[#This Row],[PRIX UNITAIRE]])</f>
        <v>0</v>
      </c>
      <c r="F73" s="14"/>
      <c r="G73" s="6">
        <f>SUM(E$9:$E73)-SUM(F$9:$F73)</f>
        <v>760000</v>
      </c>
    </row>
    <row r="74" spans="1:7" ht="28.8" x14ac:dyDescent="0.55000000000000004">
      <c r="A74" s="12"/>
      <c r="B74" s="13"/>
      <c r="C74" s="10"/>
      <c r="D74" s="10"/>
      <c r="E74" s="7">
        <f>+$I$2+(BERNARD4041424449[[#This Row],[QUANTITE]]*BERNARD4041424449[[#This Row],[PRIX UNITAIRE]])</f>
        <v>0</v>
      </c>
      <c r="F74" s="14"/>
      <c r="G74" s="6">
        <f>SUM(E$9:$E74)-SUM(F$9:$F74)</f>
        <v>760000</v>
      </c>
    </row>
    <row r="75" spans="1:7" ht="28.8" x14ac:dyDescent="0.55000000000000004">
      <c r="A75" s="12"/>
      <c r="B75" s="13"/>
      <c r="C75" s="10"/>
      <c r="D75" s="10"/>
      <c r="E75" s="7">
        <f>+$I$2+(BERNARD4041424449[[#This Row],[QUANTITE]]*BERNARD4041424449[[#This Row],[PRIX UNITAIRE]])</f>
        <v>0</v>
      </c>
      <c r="F75" s="14"/>
      <c r="G75" s="6">
        <f>SUM(E$9:$E75)-SUM(F$9:$F75)</f>
        <v>760000</v>
      </c>
    </row>
    <row r="76" spans="1:7" ht="28.8" x14ac:dyDescent="0.55000000000000004">
      <c r="A76" s="12"/>
      <c r="B76" s="13"/>
      <c r="C76" s="10"/>
      <c r="D76" s="10"/>
      <c r="E76" s="7">
        <f>+$I$2+(BERNARD4041424449[[#This Row],[QUANTITE]]*BERNARD4041424449[[#This Row],[PRIX UNITAIRE]])</f>
        <v>0</v>
      </c>
      <c r="F76" s="14"/>
      <c r="G76" s="6">
        <f>SUM(E$9:$E76)-SUM(F$9:$F76)</f>
        <v>760000</v>
      </c>
    </row>
    <row r="77" spans="1:7" ht="28.8" x14ac:dyDescent="0.55000000000000004">
      <c r="A77" s="12"/>
      <c r="B77" s="13"/>
      <c r="C77" s="10"/>
      <c r="D77" s="10"/>
      <c r="E77" s="7">
        <f>+$I$2+(BERNARD4041424449[[#This Row],[QUANTITE]]*BERNARD4041424449[[#This Row],[PRIX UNITAIRE]])</f>
        <v>0</v>
      </c>
      <c r="F77" s="14"/>
      <c r="G77" s="6">
        <f>SUM(E$9:$E77)-SUM(F$9:$F77)</f>
        <v>760000</v>
      </c>
    </row>
    <row r="78" spans="1:7" ht="28.8" x14ac:dyDescent="0.55000000000000004">
      <c r="A78" s="12"/>
      <c r="B78" s="13"/>
      <c r="C78" s="10"/>
      <c r="D78" s="10"/>
      <c r="E78" s="7">
        <f>+$I$2+(BERNARD4041424449[[#This Row],[QUANTITE]]*BERNARD4041424449[[#This Row],[PRIX UNITAIRE]])</f>
        <v>0</v>
      </c>
      <c r="F78" s="14"/>
      <c r="G78" s="6">
        <f>SUM(E$9:$E78)-SUM(F$9:$F78)</f>
        <v>760000</v>
      </c>
    </row>
    <row r="79" spans="1:7" ht="28.8" x14ac:dyDescent="0.55000000000000004">
      <c r="A79" s="12"/>
      <c r="B79" s="13"/>
      <c r="C79" s="10"/>
      <c r="D79" s="10"/>
      <c r="E79" s="7">
        <f>+$I$2+(BERNARD4041424449[[#This Row],[QUANTITE]]*BERNARD4041424449[[#This Row],[PRIX UNITAIRE]])</f>
        <v>0</v>
      </c>
      <c r="F79" s="14"/>
      <c r="G79" s="6">
        <f>SUM(E$9:$E79)-SUM(F$9:$F79)</f>
        <v>760000</v>
      </c>
    </row>
    <row r="80" spans="1:7" ht="28.8" x14ac:dyDescent="0.55000000000000004">
      <c r="A80" s="12"/>
      <c r="B80" s="13"/>
      <c r="C80" s="10"/>
      <c r="D80" s="10"/>
      <c r="E80" s="7">
        <f>+$I$2+(BERNARD4041424449[[#This Row],[QUANTITE]]*BERNARD4041424449[[#This Row],[PRIX UNITAIRE]])</f>
        <v>0</v>
      </c>
      <c r="F80" s="14"/>
      <c r="G80" s="6">
        <f>SUM(E$9:$E80)-SUM(F$9:$F80)</f>
        <v>760000</v>
      </c>
    </row>
    <row r="81" spans="1:7" ht="28.8" x14ac:dyDescent="0.55000000000000004">
      <c r="A81" s="12"/>
      <c r="B81" s="13"/>
      <c r="C81" s="10"/>
      <c r="D81" s="10"/>
      <c r="E81" s="7">
        <f>+$I$2+(BERNARD4041424449[[#This Row],[QUANTITE]]*BERNARD4041424449[[#This Row],[PRIX UNITAIRE]])</f>
        <v>0</v>
      </c>
      <c r="F81" s="14"/>
      <c r="G81" s="6">
        <f>SUM(E$9:$E81)-SUM(F$9:$F81)</f>
        <v>760000</v>
      </c>
    </row>
    <row r="82" spans="1:7" ht="28.8" x14ac:dyDescent="0.55000000000000004">
      <c r="A82" s="12"/>
      <c r="B82" s="13"/>
      <c r="C82" s="10"/>
      <c r="D82" s="10"/>
      <c r="E82" s="7">
        <f>+$I$2+(BERNARD4041424449[[#This Row],[QUANTITE]]*BERNARD4041424449[[#This Row],[PRIX UNITAIRE]])</f>
        <v>0</v>
      </c>
      <c r="F82" s="14"/>
      <c r="G82" s="6">
        <f>SUM(E$9:$E82)-SUM(F$9:$F82)</f>
        <v>760000</v>
      </c>
    </row>
  </sheetData>
  <sheetProtection selectLockedCells="1" autoFilter="0"/>
  <mergeCells count="1">
    <mergeCell ref="B6:C6"/>
  </mergeCells>
  <conditionalFormatting sqref="B9:B82">
    <cfRule type="expression" dxfId="114" priority="7">
      <formula>$F9</formula>
    </cfRule>
  </conditionalFormatting>
  <conditionalFormatting sqref="G4">
    <cfRule type="cellIs" dxfId="113" priority="1" operator="lessThan">
      <formula>0</formula>
    </cfRule>
    <cfRule type="cellIs" dxfId="112" priority="2" operator="greaterThan">
      <formula>0</formula>
    </cfRule>
  </conditionalFormatting>
  <dataValidations count="1">
    <dataValidation type="date" operator="greaterThan" allowBlank="1" showInputMessage="1" showErrorMessage="1" error="VEILLEZ ENTRER UNE DATE VALIDE" sqref="A9:A82">
      <formula1>45261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Q40"/>
  <sheetViews>
    <sheetView showGridLines="0" zoomScale="50" zoomScaleNormal="50" workbookViewId="0">
      <selection sqref="A1:B2"/>
    </sheetView>
  </sheetViews>
  <sheetFormatPr baseColWidth="10" defaultColWidth="11.44140625" defaultRowHeight="14.4" x14ac:dyDescent="0.3"/>
  <cols>
    <col min="1" max="1" width="39.6640625" style="1" bestFit="1" customWidth="1"/>
    <col min="2" max="2" width="4.77734375" style="1" customWidth="1"/>
    <col min="3" max="3" width="38.6640625" style="1" bestFit="1" customWidth="1"/>
    <col min="4" max="4" width="6" style="1" customWidth="1"/>
    <col min="5" max="5" width="38.6640625" style="1" bestFit="1" customWidth="1"/>
    <col min="6" max="6" width="7.44140625" style="1" customWidth="1"/>
    <col min="7" max="7" width="41" style="1" bestFit="1" customWidth="1"/>
    <col min="8" max="8" width="5.21875" style="1" customWidth="1"/>
    <col min="9" max="9" width="41" style="1" bestFit="1" customWidth="1"/>
    <col min="10" max="10" width="5.44140625" style="1" customWidth="1"/>
    <col min="11" max="11" width="41" style="1" bestFit="1" customWidth="1"/>
    <col min="12" max="12" width="5.77734375" style="1" customWidth="1"/>
    <col min="13" max="13" width="37.6640625" style="1" bestFit="1" customWidth="1"/>
    <col min="14" max="14" width="5.77734375" style="1" customWidth="1"/>
    <col min="15" max="15" width="37.6640625" style="1" bestFit="1" customWidth="1"/>
    <col min="16" max="16" width="5.21875" style="1" customWidth="1"/>
    <col min="17" max="17" width="38.6640625" style="1" bestFit="1" customWidth="1"/>
    <col min="18" max="16384" width="11.44140625" style="1"/>
  </cols>
  <sheetData>
    <row r="1" spans="1:17" x14ac:dyDescent="0.3">
      <c r="A1" s="178" t="s">
        <v>1225</v>
      </c>
      <c r="B1" s="179"/>
      <c r="C1" s="172">
        <f>+SUM(A11,A40,C11,E11,G11,I11,K11,M11,O11,A16,C16,E16,G16,I16,K16,M16,O16,A22,C22,E22,G22,I22,K22,M22,O22,A28,C28,E28,G28,I28,K28,M28,Q28,A34,C34,E34,G34,I34,K34,M34,O34,O28,Q11,Q16,Q22,Q34,C40,E40)</f>
        <v>425420951</v>
      </c>
      <c r="D1" s="173"/>
      <c r="E1" s="173"/>
      <c r="F1" s="173"/>
      <c r="G1" s="174"/>
      <c r="H1" s="182" t="s">
        <v>3440</v>
      </c>
      <c r="I1" s="183"/>
      <c r="J1" s="183"/>
      <c r="K1" s="183"/>
      <c r="L1" s="183"/>
      <c r="M1" s="183"/>
      <c r="N1" s="183"/>
      <c r="O1" s="183"/>
      <c r="P1" s="183"/>
      <c r="Q1" s="184"/>
    </row>
    <row r="2" spans="1:17" ht="72.599999999999994" customHeight="1" thickBot="1" x14ac:dyDescent="0.35">
      <c r="A2" s="180"/>
      <c r="B2" s="181"/>
      <c r="C2" s="175"/>
      <c r="D2" s="176"/>
      <c r="E2" s="176"/>
      <c r="F2" s="176"/>
      <c r="G2" s="177"/>
      <c r="H2" s="185"/>
      <c r="I2" s="186"/>
      <c r="J2" s="186"/>
      <c r="K2" s="186"/>
      <c r="L2" s="186"/>
      <c r="M2" s="186"/>
      <c r="N2" s="186"/>
      <c r="O2" s="186"/>
      <c r="P2" s="186"/>
      <c r="Q2" s="187"/>
    </row>
    <row r="9" spans="1:17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</row>
    <row r="10" spans="1:17" ht="3.75" customHeigh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</row>
    <row r="11" spans="1:17" customFormat="1" ht="33" customHeight="1" x14ac:dyDescent="0.5">
      <c r="A11" s="50">
        <f>'ABBAS ABDUL REDA'!$G$4</f>
        <v>3629700</v>
      </c>
      <c r="C11" s="50">
        <f>'HACHICH INDIEN'!$G$4</f>
        <v>0</v>
      </c>
      <c r="E11" s="50">
        <f>ARTCI!$G$4</f>
        <v>0</v>
      </c>
      <c r="G11" s="50">
        <f>'BILAL BIG MAT'!$G$4</f>
        <v>278000</v>
      </c>
      <c r="I11" s="50">
        <f>FIDAA!$G$4</f>
        <v>6734350</v>
      </c>
      <c r="K11" s="50">
        <f>+'MEHDY MADY'!$G$4</f>
        <v>744000</v>
      </c>
      <c r="M11" s="50">
        <f>'SENAT BL'!$G$4</f>
        <v>193356500</v>
      </c>
      <c r="O11" s="50">
        <f>'SALIF KONE '!$G$4</f>
        <v>250000</v>
      </c>
      <c r="P11" s="1"/>
      <c r="Q11" s="50">
        <f>'ABDALLAH KDOUH '!$G$4</f>
        <v>765000</v>
      </c>
    </row>
    <row r="12" spans="1:17" ht="15.75" customHeigh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</row>
    <row r="13" spans="1:17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</row>
    <row r="14" spans="1:17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</row>
    <row r="15" spans="1:17" ht="22.5" customHeigh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</row>
    <row r="16" spans="1:17" customFormat="1" ht="35.1" customHeight="1" x14ac:dyDescent="0.5">
      <c r="A16" s="50">
        <f>'ABBAS ZALZALE'!$G$4</f>
        <v>75000</v>
      </c>
      <c r="C16" s="50">
        <f>+'A.H GROUPE'!$G$4</f>
        <v>5130000</v>
      </c>
      <c r="E16" s="50">
        <f>ATL!$G$4</f>
        <v>1125000</v>
      </c>
      <c r="G16" s="50">
        <f>BERNARD!$G$4</f>
        <v>415000</v>
      </c>
      <c r="I16" s="50">
        <f>'GMS GAKOU'!$G$4</f>
        <v>0</v>
      </c>
      <c r="K16" s="50">
        <f>'MR. KEBE'!$H$4</f>
        <v>72597000</v>
      </c>
      <c r="M16" s="50">
        <f>SOGODO!$G$4</f>
        <v>1047500</v>
      </c>
      <c r="O16" s="50">
        <f>SEINA!$G$4</f>
        <v>2160000</v>
      </c>
      <c r="P16" s="1"/>
      <c r="Q16" s="50">
        <f>'DISTRICT DU ZANZAN'!$G$4</f>
        <v>11612500</v>
      </c>
    </row>
    <row r="17" spans="1:17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1:17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</row>
    <row r="19" spans="1:17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</row>
    <row r="20" spans="1:17" customFormat="1" x14ac:dyDescent="0.3">
      <c r="O20" s="1"/>
      <c r="P20" s="1"/>
    </row>
    <row r="21" spans="1:17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1:17" ht="35.1" customHeight="1" x14ac:dyDescent="0.5">
      <c r="A22" s="50">
        <f>'ADNAN PRIME PRESTIGE'!$G$4</f>
        <v>11873000</v>
      </c>
      <c r="B22"/>
      <c r="C22" s="50">
        <f>+'AGS AFRIQUE GROUPE SERVICE'!$G$4</f>
        <v>42100</v>
      </c>
      <c r="D22"/>
      <c r="E22" s="50">
        <f>AYOKI!$G$4</f>
        <v>550000</v>
      </c>
      <c r="F22"/>
      <c r="G22" s="50">
        <f>'CABF ALLCC'!$G$4</f>
        <v>39559000</v>
      </c>
      <c r="H22"/>
      <c r="I22" s="50">
        <f>'KONE MOUSTAPHA'!$G$4</f>
        <v>0</v>
      </c>
      <c r="J22"/>
      <c r="K22" s="50">
        <f>'MR KOUAME ASSOUA LUDOVIC'!$G$4</f>
        <v>50000</v>
      </c>
      <c r="L22"/>
      <c r="M22" s="50">
        <f>SOLO!$G$4</f>
        <v>3199500</v>
      </c>
      <c r="N22"/>
      <c r="O22" s="50">
        <f>'SIDI MOHAMAD '!$G$4</f>
        <v>2230000</v>
      </c>
      <c r="Q22" s="50">
        <f>EZONE!$G$4</f>
        <v>190000</v>
      </c>
    </row>
    <row r="23" spans="1:17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1:17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1:17" customFormat="1" x14ac:dyDescent="0.3">
      <c r="O25" s="1"/>
      <c r="P25" s="1"/>
    </row>
    <row r="26" spans="1:17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1:17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7" ht="35.1" customHeight="1" x14ac:dyDescent="0.5">
      <c r="A28" s="50">
        <f>AEC!$G$4</f>
        <v>581000</v>
      </c>
      <c r="B28"/>
      <c r="C28" s="50">
        <f>+'ALI JOMAA'!$G$4</f>
        <v>1162422</v>
      </c>
      <c r="D28"/>
      <c r="E28" s="50">
        <f>'ADAM AFRIQUE '!$G$4</f>
        <v>6838100</v>
      </c>
      <c r="F28"/>
      <c r="G28" s="50">
        <f>CFAO!$G$4</f>
        <v>11981000</v>
      </c>
      <c r="H28"/>
      <c r="I28" s="50">
        <f>FBD!$G$4</f>
        <v>33550350</v>
      </c>
      <c r="J28"/>
      <c r="K28" s="50">
        <f>'SAMAKE KEBE'!$G$4</f>
        <v>0</v>
      </c>
      <c r="L28"/>
      <c r="M28" s="50">
        <f>'PETIT SOLO'!$G$4</f>
        <v>170000</v>
      </c>
      <c r="N28"/>
      <c r="O28" s="50">
        <f>BATIPLUS!$G$4</f>
        <v>1418000</v>
      </c>
      <c r="Q28" s="50">
        <f>KOBEISSI!$G$4</f>
        <v>365000</v>
      </c>
    </row>
    <row r="29" spans="1:17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7" customFormat="1" x14ac:dyDescent="0.3"/>
    <row r="31" spans="1:17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7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7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7" ht="35.1" customHeight="1" x14ac:dyDescent="0.5">
      <c r="A34" s="50">
        <f>'AFCHEM-SOFACO'!$G$4</f>
        <v>1682000</v>
      </c>
      <c r="C34" s="50">
        <f>'ALI CHERRI'!$G$4</f>
        <v>643000</v>
      </c>
      <c r="E34" s="50">
        <f>'AUTO RAY(CLIENT)'!$G$4</f>
        <v>190000</v>
      </c>
      <c r="G34" s="50">
        <f>+'DIVERS CLIENT'!$G$4</f>
        <v>4200000</v>
      </c>
      <c r="I34" s="50">
        <f>'MAN TPS'!$G$4</f>
        <v>-531500</v>
      </c>
      <c r="K34" s="50">
        <f>SAMFO!$G$4</f>
        <v>3429</v>
      </c>
      <c r="M34" s="50">
        <f>+WAEL!$G$4</f>
        <v>0</v>
      </c>
      <c r="O34" s="50">
        <f>+NAFCO!$G$4</f>
        <v>555000</v>
      </c>
      <c r="Q34" s="50">
        <f>+'DSC BATIME'!G$4</f>
        <v>0</v>
      </c>
    </row>
    <row r="40" spans="1:17" ht="25.8" x14ac:dyDescent="0.5">
      <c r="A40" s="50">
        <f>'YOUBA ADZOPE'!$G$4</f>
        <v>580000</v>
      </c>
      <c r="C40" s="50">
        <f>NETCOM!$G$4</f>
        <v>3660000</v>
      </c>
      <c r="E40" s="50">
        <f>ALM!$G$4</f>
        <v>760000</v>
      </c>
    </row>
  </sheetData>
  <sheetProtection selectLockedCells="1"/>
  <mergeCells count="3">
    <mergeCell ref="C1:G2"/>
    <mergeCell ref="A1:B2"/>
    <mergeCell ref="H1:Q2"/>
  </mergeCells>
  <conditionalFormatting sqref="A11">
    <cfRule type="cellIs" dxfId="95" priority="99" operator="lessThan">
      <formula>0</formula>
    </cfRule>
    <cfRule type="cellIs" dxfId="94" priority="100" operator="greaterThan">
      <formula>0</formula>
    </cfRule>
  </conditionalFormatting>
  <conditionalFormatting sqref="C11">
    <cfRule type="cellIs" dxfId="93" priority="95" operator="lessThan">
      <formula>0</formula>
    </cfRule>
    <cfRule type="cellIs" dxfId="92" priority="96" operator="greaterThan">
      <formula>0</formula>
    </cfRule>
  </conditionalFormatting>
  <conditionalFormatting sqref="E11">
    <cfRule type="cellIs" dxfId="91" priority="93" operator="lessThan">
      <formula>0</formula>
    </cfRule>
    <cfRule type="cellIs" dxfId="90" priority="94" operator="greaterThan">
      <formula>0</formula>
    </cfRule>
  </conditionalFormatting>
  <conditionalFormatting sqref="G11">
    <cfRule type="cellIs" dxfId="89" priority="91" operator="lessThan">
      <formula>0</formula>
    </cfRule>
    <cfRule type="cellIs" dxfId="88" priority="92" operator="greaterThan">
      <formula>0</formula>
    </cfRule>
  </conditionalFormatting>
  <conditionalFormatting sqref="I11">
    <cfRule type="cellIs" dxfId="87" priority="89" operator="lessThan">
      <formula>0</formula>
    </cfRule>
    <cfRule type="cellIs" dxfId="86" priority="90" operator="greaterThan">
      <formula>0</formula>
    </cfRule>
  </conditionalFormatting>
  <conditionalFormatting sqref="K11">
    <cfRule type="cellIs" dxfId="85" priority="87" operator="lessThan">
      <formula>0</formula>
    </cfRule>
    <cfRule type="cellIs" dxfId="84" priority="88" operator="greaterThan">
      <formula>0</formula>
    </cfRule>
  </conditionalFormatting>
  <conditionalFormatting sqref="M11">
    <cfRule type="cellIs" dxfId="83" priority="85" operator="lessThan">
      <formula>0</formula>
    </cfRule>
    <cfRule type="cellIs" dxfId="82" priority="86" operator="greaterThan">
      <formula>0</formula>
    </cfRule>
  </conditionalFormatting>
  <conditionalFormatting sqref="O11">
    <cfRule type="cellIs" dxfId="81" priority="83" operator="lessThan">
      <formula>0</formula>
    </cfRule>
    <cfRule type="cellIs" dxfId="80" priority="84" operator="greaterThan">
      <formula>0</formula>
    </cfRule>
  </conditionalFormatting>
  <conditionalFormatting sqref="A16">
    <cfRule type="cellIs" dxfId="79" priority="81" operator="lessThan">
      <formula>0</formula>
    </cfRule>
    <cfRule type="cellIs" dxfId="78" priority="82" operator="greaterThan">
      <formula>0</formula>
    </cfRule>
  </conditionalFormatting>
  <conditionalFormatting sqref="C16">
    <cfRule type="cellIs" dxfId="77" priority="79" operator="lessThan">
      <formula>0</formula>
    </cfRule>
    <cfRule type="cellIs" dxfId="76" priority="80" operator="greaterThan">
      <formula>0</formula>
    </cfRule>
  </conditionalFormatting>
  <conditionalFormatting sqref="E16">
    <cfRule type="cellIs" dxfId="75" priority="77" operator="lessThan">
      <formula>0</formula>
    </cfRule>
    <cfRule type="cellIs" dxfId="74" priority="78" operator="greaterThan">
      <formula>0</formula>
    </cfRule>
  </conditionalFormatting>
  <conditionalFormatting sqref="G16">
    <cfRule type="cellIs" dxfId="73" priority="75" operator="lessThan">
      <formula>0</formula>
    </cfRule>
    <cfRule type="cellIs" dxfId="72" priority="76" operator="greaterThan">
      <formula>0</formula>
    </cfRule>
  </conditionalFormatting>
  <conditionalFormatting sqref="I16">
    <cfRule type="cellIs" dxfId="71" priority="73" operator="lessThan">
      <formula>0</formula>
    </cfRule>
    <cfRule type="cellIs" dxfId="70" priority="74" operator="greaterThan">
      <formula>0</formula>
    </cfRule>
  </conditionalFormatting>
  <conditionalFormatting sqref="K16">
    <cfRule type="cellIs" dxfId="69" priority="71" operator="lessThan">
      <formula>0</formula>
    </cfRule>
    <cfRule type="cellIs" dxfId="68" priority="72" operator="greaterThan">
      <formula>0</formula>
    </cfRule>
  </conditionalFormatting>
  <conditionalFormatting sqref="M16">
    <cfRule type="cellIs" dxfId="67" priority="69" operator="lessThan">
      <formula>0</formula>
    </cfRule>
    <cfRule type="cellIs" dxfId="66" priority="70" operator="greaterThan">
      <formula>0</formula>
    </cfRule>
  </conditionalFormatting>
  <conditionalFormatting sqref="O16">
    <cfRule type="cellIs" dxfId="65" priority="67" operator="lessThan">
      <formula>0</formula>
    </cfRule>
    <cfRule type="cellIs" dxfId="64" priority="68" operator="greaterThan">
      <formula>0</formula>
    </cfRule>
  </conditionalFormatting>
  <conditionalFormatting sqref="A22">
    <cfRule type="cellIs" dxfId="63" priority="65" operator="lessThan">
      <formula>0</formula>
    </cfRule>
    <cfRule type="cellIs" dxfId="62" priority="66" operator="greaterThan">
      <formula>0</formula>
    </cfRule>
  </conditionalFormatting>
  <conditionalFormatting sqref="C22">
    <cfRule type="cellIs" dxfId="61" priority="63" operator="lessThan">
      <formula>0</formula>
    </cfRule>
    <cfRule type="cellIs" dxfId="60" priority="64" operator="greaterThan">
      <formula>0</formula>
    </cfRule>
  </conditionalFormatting>
  <conditionalFormatting sqref="E22">
    <cfRule type="cellIs" dxfId="59" priority="61" operator="lessThan">
      <formula>0</formula>
    </cfRule>
    <cfRule type="cellIs" dxfId="58" priority="62" operator="greaterThan">
      <formula>0</formula>
    </cfRule>
  </conditionalFormatting>
  <conditionalFormatting sqref="G22">
    <cfRule type="cellIs" dxfId="57" priority="59" operator="lessThan">
      <formula>0</formula>
    </cfRule>
    <cfRule type="cellIs" dxfId="56" priority="60" operator="greaterThan">
      <formula>0</formula>
    </cfRule>
  </conditionalFormatting>
  <conditionalFormatting sqref="I22">
    <cfRule type="cellIs" dxfId="55" priority="57" operator="lessThan">
      <formula>0</formula>
    </cfRule>
    <cfRule type="cellIs" dxfId="54" priority="58" operator="greaterThan">
      <formula>0</formula>
    </cfRule>
  </conditionalFormatting>
  <conditionalFormatting sqref="K22">
    <cfRule type="cellIs" dxfId="53" priority="55" operator="lessThan">
      <formula>0</formula>
    </cfRule>
    <cfRule type="cellIs" dxfId="52" priority="56" operator="greaterThan">
      <formula>0</formula>
    </cfRule>
  </conditionalFormatting>
  <conditionalFormatting sqref="M22">
    <cfRule type="cellIs" dxfId="51" priority="53" operator="lessThan">
      <formula>0</formula>
    </cfRule>
    <cfRule type="cellIs" dxfId="50" priority="54" operator="greaterThan">
      <formula>0</formula>
    </cfRule>
  </conditionalFormatting>
  <conditionalFormatting sqref="O22">
    <cfRule type="cellIs" dxfId="49" priority="51" operator="lessThan">
      <formula>0</formula>
    </cfRule>
    <cfRule type="cellIs" dxfId="48" priority="52" operator="greaterThan">
      <formula>0</formula>
    </cfRule>
  </conditionalFormatting>
  <conditionalFormatting sqref="A28">
    <cfRule type="cellIs" dxfId="47" priority="49" operator="lessThan">
      <formula>0</formula>
    </cfRule>
    <cfRule type="cellIs" dxfId="46" priority="50" operator="greaterThan">
      <formula>0</formula>
    </cfRule>
  </conditionalFormatting>
  <conditionalFormatting sqref="C28">
    <cfRule type="cellIs" dxfId="45" priority="47" operator="lessThan">
      <formula>0</formula>
    </cfRule>
    <cfRule type="cellIs" dxfId="44" priority="48" operator="greaterThan">
      <formula>0</formula>
    </cfRule>
  </conditionalFormatting>
  <conditionalFormatting sqref="E28">
    <cfRule type="cellIs" dxfId="43" priority="45" operator="lessThan">
      <formula>0</formula>
    </cfRule>
    <cfRule type="cellIs" dxfId="42" priority="46" operator="greaterThan">
      <formula>0</formula>
    </cfRule>
  </conditionalFormatting>
  <conditionalFormatting sqref="G28">
    <cfRule type="cellIs" dxfId="41" priority="43" operator="lessThan">
      <formula>0</formula>
    </cfRule>
    <cfRule type="cellIs" dxfId="40" priority="44" operator="greaterThan">
      <formula>0</formula>
    </cfRule>
  </conditionalFormatting>
  <conditionalFormatting sqref="I28">
    <cfRule type="cellIs" dxfId="39" priority="41" operator="lessThan">
      <formula>0</formula>
    </cfRule>
    <cfRule type="cellIs" dxfId="38" priority="42" operator="greaterThan">
      <formula>0</formula>
    </cfRule>
  </conditionalFormatting>
  <conditionalFormatting sqref="K28">
    <cfRule type="cellIs" dxfId="37" priority="39" operator="lessThan">
      <formula>0</formula>
    </cfRule>
    <cfRule type="cellIs" dxfId="36" priority="40" operator="greaterThan">
      <formula>0</formula>
    </cfRule>
  </conditionalFormatting>
  <conditionalFormatting sqref="M28">
    <cfRule type="cellIs" dxfId="35" priority="37" operator="lessThan">
      <formula>0</formula>
    </cfRule>
    <cfRule type="cellIs" dxfId="34" priority="38" operator="greaterThan">
      <formula>0</formula>
    </cfRule>
  </conditionalFormatting>
  <conditionalFormatting sqref="A34">
    <cfRule type="cellIs" dxfId="33" priority="35" operator="lessThan">
      <formula>0</formula>
    </cfRule>
    <cfRule type="cellIs" dxfId="32" priority="36" operator="greaterThan">
      <formula>0</formula>
    </cfRule>
  </conditionalFormatting>
  <conditionalFormatting sqref="C34">
    <cfRule type="cellIs" dxfId="31" priority="33" operator="lessThan">
      <formula>0</formula>
    </cfRule>
    <cfRule type="cellIs" dxfId="30" priority="34" operator="greaterThan">
      <formula>0</formula>
    </cfRule>
  </conditionalFormatting>
  <conditionalFormatting sqref="G34">
    <cfRule type="cellIs" dxfId="29" priority="29" operator="lessThan">
      <formula>0</formula>
    </cfRule>
    <cfRule type="cellIs" dxfId="28" priority="30" operator="greaterThan">
      <formula>0</formula>
    </cfRule>
  </conditionalFormatting>
  <conditionalFormatting sqref="I34">
    <cfRule type="cellIs" dxfId="27" priority="27" operator="lessThan">
      <formula>0</formula>
    </cfRule>
    <cfRule type="cellIs" dxfId="26" priority="28" operator="greaterThan">
      <formula>0</formula>
    </cfRule>
  </conditionalFormatting>
  <conditionalFormatting sqref="K34">
    <cfRule type="cellIs" dxfId="25" priority="25" operator="lessThan">
      <formula>0</formula>
    </cfRule>
    <cfRule type="cellIs" dxfId="24" priority="26" operator="greaterThan">
      <formula>0</formula>
    </cfRule>
  </conditionalFormatting>
  <conditionalFormatting sqref="M34">
    <cfRule type="cellIs" dxfId="23" priority="23" operator="lessThan">
      <formula>0</formula>
    </cfRule>
    <cfRule type="cellIs" dxfId="22" priority="24" operator="greaterThan">
      <formula>0</formula>
    </cfRule>
  </conditionalFormatting>
  <conditionalFormatting sqref="E34">
    <cfRule type="cellIs" dxfId="21" priority="21" operator="lessThan">
      <formula>0</formula>
    </cfRule>
    <cfRule type="cellIs" dxfId="20" priority="22" operator="greaterThan">
      <formula>0</formula>
    </cfRule>
  </conditionalFormatting>
  <conditionalFormatting sqref="O28">
    <cfRule type="cellIs" dxfId="19" priority="19" operator="lessThan">
      <formula>0</formula>
    </cfRule>
    <cfRule type="cellIs" dxfId="18" priority="20" operator="greaterThan">
      <formula>0</formula>
    </cfRule>
  </conditionalFormatting>
  <conditionalFormatting sqref="O34">
    <cfRule type="cellIs" dxfId="17" priority="17" operator="lessThan">
      <formula>0</formula>
    </cfRule>
    <cfRule type="cellIs" dxfId="16" priority="18" operator="greaterThan">
      <formula>0</formula>
    </cfRule>
  </conditionalFormatting>
  <conditionalFormatting sqref="Q11">
    <cfRule type="cellIs" dxfId="15" priority="15" operator="lessThan">
      <formula>0</formula>
    </cfRule>
    <cfRule type="cellIs" dxfId="14" priority="16" operator="greaterThan">
      <formula>0</formula>
    </cfRule>
  </conditionalFormatting>
  <conditionalFormatting sqref="Q16">
    <cfRule type="cellIs" dxfId="13" priority="13" operator="lessThan">
      <formula>0</formula>
    </cfRule>
    <cfRule type="cellIs" dxfId="12" priority="14" operator="greaterThan">
      <formula>0</formula>
    </cfRule>
  </conditionalFormatting>
  <conditionalFormatting sqref="Q22">
    <cfRule type="cellIs" dxfId="11" priority="11" operator="lessThan">
      <formula>0</formula>
    </cfRule>
    <cfRule type="cellIs" dxfId="10" priority="12" operator="greaterThan">
      <formula>0</formula>
    </cfRule>
  </conditionalFormatting>
  <conditionalFormatting sqref="Q28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Q34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A40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C40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E4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scale="2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50</vt:i4>
      </vt:variant>
      <vt:variant>
        <vt:lpstr>Plages nommées</vt:lpstr>
      </vt:variant>
      <vt:variant>
        <vt:i4>1</vt:i4>
      </vt:variant>
    </vt:vector>
  </HeadingPairs>
  <TitlesOfParts>
    <vt:vector size="51" baseType="lpstr">
      <vt:lpstr>TABLEAU</vt:lpstr>
      <vt:lpstr>YOUBA ADZOPE</vt:lpstr>
      <vt:lpstr>NETCOM</vt:lpstr>
      <vt:lpstr>FIDAA</vt:lpstr>
      <vt:lpstr>SOLO</vt:lpstr>
      <vt:lpstr>SENAT BL</vt:lpstr>
      <vt:lpstr>PETIT SOLO</vt:lpstr>
      <vt:lpstr>SEINA</vt:lpstr>
      <vt:lpstr>SAMFO</vt:lpstr>
      <vt:lpstr>FBD</vt:lpstr>
      <vt:lpstr>ARTCI</vt:lpstr>
      <vt:lpstr>AFCHEM-SOFACO</vt:lpstr>
      <vt:lpstr>MAN TPS</vt:lpstr>
      <vt:lpstr>HACHICH INDIEN</vt:lpstr>
      <vt:lpstr>DIVERS CLIENT</vt:lpstr>
      <vt:lpstr>SOGODO</vt:lpstr>
      <vt:lpstr>ALI CHERRI</vt:lpstr>
      <vt:lpstr>KONE MOUSTAPHA</vt:lpstr>
      <vt:lpstr>DSC BATIME</vt:lpstr>
      <vt:lpstr>SIDI MOHAMAD </vt:lpstr>
      <vt:lpstr>SAMAKE KEBE</vt:lpstr>
      <vt:lpstr>ADAM AFRIQUE </vt:lpstr>
      <vt:lpstr>BILAL BIG MAT</vt:lpstr>
      <vt:lpstr>ATL</vt:lpstr>
      <vt:lpstr>SALIF KONE </vt:lpstr>
      <vt:lpstr>ABBAS ZALZALE</vt:lpstr>
      <vt:lpstr>GMS GAKOU</vt:lpstr>
      <vt:lpstr>AEC</vt:lpstr>
      <vt:lpstr>AYOKI</vt:lpstr>
      <vt:lpstr>AGS AFRIQUE GROUPE SERVICE</vt:lpstr>
      <vt:lpstr>BERNARD</vt:lpstr>
      <vt:lpstr>MR KOUAME ASSOUA LUDOVIC</vt:lpstr>
      <vt:lpstr>ALI JOMAA</vt:lpstr>
      <vt:lpstr>MEHDY MADY</vt:lpstr>
      <vt:lpstr>ADNAN PRIME PRESTIGE</vt:lpstr>
      <vt:lpstr>ABBAS ABDUL REDA</vt:lpstr>
      <vt:lpstr>A.H GROUPE</vt:lpstr>
      <vt:lpstr>WAEL</vt:lpstr>
      <vt:lpstr>CFAO</vt:lpstr>
      <vt:lpstr>CABF ALLCC</vt:lpstr>
      <vt:lpstr>MR. KEBE</vt:lpstr>
      <vt:lpstr>BATIPLUS</vt:lpstr>
      <vt:lpstr>NAFCO</vt:lpstr>
      <vt:lpstr>ABDALLAH KDOUH </vt:lpstr>
      <vt:lpstr>DISTRICT DU ZANZAN</vt:lpstr>
      <vt:lpstr>EZONE</vt:lpstr>
      <vt:lpstr>KOBEISSI</vt:lpstr>
      <vt:lpstr>AUTO RAY(CLIENT)</vt:lpstr>
      <vt:lpstr>ALM</vt:lpstr>
      <vt:lpstr>REPORTING</vt:lpstr>
      <vt:lpstr>EZONE!Zone_d_impression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HIEN RANCIS</dc:creator>
  <cp:lastModifiedBy>Maher Fattouh</cp:lastModifiedBy>
  <cp:lastPrinted>2026-03-19T15:21:09Z</cp:lastPrinted>
  <dcterms:created xsi:type="dcterms:W3CDTF">2025-06-16T21:22:26Z</dcterms:created>
  <dcterms:modified xsi:type="dcterms:W3CDTF">2026-03-21T13:42:47Z</dcterms:modified>
</cp:coreProperties>
</file>
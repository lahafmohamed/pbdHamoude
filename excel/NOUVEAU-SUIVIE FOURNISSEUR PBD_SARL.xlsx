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xl/drawings/drawing24.xml" ContentType="application/vnd.openxmlformats-officedocument.drawing+xml"/>
  <Override PartName="/xl/tables/table23.xml" ContentType="application/vnd.openxmlformats-officedocument.spreadsheetml.table+xml"/>
  <Override PartName="/xl/drawings/drawing25.xml" ContentType="application/vnd.openxmlformats-officedocument.drawing+xml"/>
  <Override PartName="/xl/tables/table24.xml" ContentType="application/vnd.openxmlformats-officedocument.spreadsheetml.table+xml"/>
  <Override PartName="/xl/drawings/drawing26.xml" ContentType="application/vnd.openxmlformats-officedocument.drawing+xml"/>
  <Override PartName="/xl/tables/table25.xml" ContentType="application/vnd.openxmlformats-officedocument.spreadsheetml.table+xml"/>
  <Override PartName="/xl/drawings/drawing27.xml" ContentType="application/vnd.openxmlformats-officedocument.drawing+xml"/>
  <Override PartName="/xl/tables/table26.xml" ContentType="application/vnd.openxmlformats-officedocument.spreadsheetml.table+xml"/>
  <Override PartName="/xl/drawings/drawing28.xml" ContentType="application/vnd.openxmlformats-officedocument.drawing+xml"/>
  <Override PartName="/xl/tables/table27.xml" ContentType="application/vnd.openxmlformats-officedocument.spreadsheetml.table+xml"/>
  <Override PartName="/xl/drawings/drawing29.xml" ContentType="application/vnd.openxmlformats-officedocument.drawing+xml"/>
  <Override PartName="/xl/tables/table28.xml" ContentType="application/vnd.openxmlformats-officedocument.spreadsheetml.table+xml"/>
  <Override PartName="/xl/drawings/drawing30.xml" ContentType="application/vnd.openxmlformats-officedocument.drawing+xml"/>
  <Override PartName="/xl/tables/table29.xml" ContentType="application/vnd.openxmlformats-officedocument.spreadsheetml.table+xml"/>
  <Override PartName="/xl/drawings/drawing31.xml" ContentType="application/vnd.openxmlformats-officedocument.drawing+xml"/>
  <Override PartName="/xl/tables/table30.xml" ContentType="application/vnd.openxmlformats-officedocument.spreadsheetml.table+xml"/>
  <Override PartName="/xl/drawings/drawing32.xml" ContentType="application/vnd.openxmlformats-officedocument.drawing+xml"/>
  <Override PartName="/xl/tables/table31.xml" ContentType="application/vnd.openxmlformats-officedocument.spreadsheetml.table+xml"/>
  <Override PartName="/xl/drawings/drawing33.xml" ContentType="application/vnd.openxmlformats-officedocument.drawing+xml"/>
  <Override PartName="/xl/tables/table32.xml" ContentType="application/vnd.openxmlformats-officedocument.spreadsheetml.table+xml"/>
  <Override PartName="/xl/drawings/drawing34.xml" ContentType="application/vnd.openxmlformats-officedocument.drawing+xml"/>
  <Override PartName="/xl/tables/table33.xml" ContentType="application/vnd.openxmlformats-officedocument.spreadsheetml.table+xml"/>
  <Override PartName="/xl/drawings/drawing35.xml" ContentType="application/vnd.openxmlformats-officedocument.drawing+xml"/>
  <Override PartName="/xl/tables/table34.xml" ContentType="application/vnd.openxmlformats-officedocument.spreadsheetml.table+xml"/>
  <Override PartName="/xl/drawings/drawing36.xml" ContentType="application/vnd.openxmlformats-officedocument.drawing+xml"/>
  <Override PartName="/xl/tables/table35.xml" ContentType="application/vnd.openxmlformats-officedocument.spreadsheetml.table+xml"/>
  <Override PartName="/xl/drawings/drawing37.xml" ContentType="application/vnd.openxmlformats-officedocument.drawing+xml"/>
  <Override PartName="/xl/tables/table36.xml" ContentType="application/vnd.openxmlformats-officedocument.spreadsheetml.table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COMPTES FOURNISSEURS - CLIENTS\"/>
    </mc:Choice>
  </mc:AlternateContent>
  <bookViews>
    <workbookView xWindow="0" yWindow="0" windowWidth="23040" windowHeight="9072"/>
  </bookViews>
  <sheets>
    <sheet name="TABLEAU" sheetId="1" r:id="rId1"/>
    <sheet name="MAHMOUD CHAALAN" sheetId="48" r:id="rId2"/>
    <sheet name="CHINOIS" sheetId="49" r:id="rId3"/>
    <sheet name="SUNSTEEL - KEVIN" sheetId="2" r:id="rId4"/>
    <sheet name="MOUSTAPHA FAWAZ" sheetId="40" r:id="rId5"/>
    <sheet name="PETIT SOLO" sheetId="39" r:id="rId6"/>
    <sheet name="GEDIS " sheetId="25" r:id="rId7"/>
    <sheet name="MOHAMED ZALZALE" sheetId="36" r:id="rId8"/>
    <sheet name="AUTO ROY " sheetId="37" r:id="rId9"/>
    <sheet name="DUNLOP" sheetId="3" r:id="rId10"/>
    <sheet name="NABILCO" sheetId="4" r:id="rId11"/>
    <sheet name="KABALANE" sheetId="5" r:id="rId12"/>
    <sheet name="ABASS BOUGI" sheetId="6" r:id="rId13"/>
    <sheet name="DIVERS" sheetId="7" r:id="rId14"/>
    <sheet name="ROULEMENT MONDIAL" sheetId="8" r:id="rId15"/>
    <sheet name="CACOMIAF" sheetId="9" r:id="rId16"/>
    <sheet name="HASSAN KAFARANI" sheetId="10" r:id="rId17"/>
    <sheet name="VICTOR" sheetId="11" r:id="rId18"/>
    <sheet name="SOLO" sheetId="38" r:id="rId19"/>
    <sheet name="ABASS KANSSA" sheetId="12" r:id="rId20"/>
    <sheet name="SAKO" sheetId="13" r:id="rId21"/>
    <sheet name="AHMAD WESLAKE" sheetId="14" r:id="rId22"/>
    <sheet name="IRA" sheetId="15" r:id="rId23"/>
    <sheet name="GGN PLAQUETTE" sheetId="16" r:id="rId24"/>
    <sheet name="LIQUI MOLY" sheetId="17" r:id="rId25"/>
    <sheet name="AKHIL DAHER " sheetId="18" r:id="rId26"/>
    <sheet name="CFAO MOBILITY " sheetId="19" r:id="rId27"/>
    <sheet name="HASSAN SALAMAN" sheetId="20" r:id="rId28"/>
    <sheet name="SPRIINT-TECH - BOSCH" sheetId="21" r:id="rId29"/>
    <sheet name="MAHMOUD" sheetId="22" r:id="rId30"/>
    <sheet name="VINOD GRAISSE " sheetId="23" r:id="rId31"/>
    <sheet name="ABASS FARESS" sheetId="24" r:id="rId32"/>
    <sheet name="EXIM-IMPEX" sheetId="26" r:id="rId33"/>
    <sheet name="JOSEPH &amp; CHARBEL" sheetId="29" r:id="rId34"/>
    <sheet name="BAKAYOKO" sheetId="27" r:id="rId35"/>
    <sheet name="FAO TOLIER" sheetId="28" r:id="rId36"/>
    <sheet name="BENARD PNEU" sheetId="30" r:id="rId37"/>
    <sheet name="REPORTING" sheetId="34" r:id="rId3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8" l="1"/>
  <c r="E42" i="11"/>
  <c r="E41" i="11"/>
  <c r="E40" i="11"/>
  <c r="E39" i="11"/>
  <c r="E23" i="25"/>
  <c r="E34" i="34" l="1"/>
  <c r="C34" i="34"/>
  <c r="A34" i="34"/>
  <c r="A11" i="34"/>
  <c r="C11" i="34"/>
  <c r="K11" i="34"/>
  <c r="M11" i="34"/>
  <c r="E11" i="34"/>
  <c r="G11" i="34"/>
  <c r="O11" i="34"/>
  <c r="Q11" i="34"/>
  <c r="A16" i="34"/>
  <c r="C16" i="34"/>
  <c r="G16" i="34"/>
  <c r="O16" i="34"/>
  <c r="Q16" i="34"/>
  <c r="A22" i="34"/>
  <c r="E22" i="34"/>
  <c r="G22" i="34"/>
  <c r="I22" i="34"/>
  <c r="M22" i="34"/>
  <c r="O22" i="34"/>
  <c r="A28" i="34"/>
  <c r="C28" i="34"/>
  <c r="E28" i="34"/>
  <c r="G28" i="34"/>
  <c r="I28" i="34"/>
  <c r="K28" i="34"/>
  <c r="O28" i="34"/>
  <c r="G10" i="22"/>
  <c r="G11" i="22"/>
  <c r="G12" i="22"/>
  <c r="G14" i="22"/>
  <c r="G15" i="22"/>
  <c r="G36" i="22"/>
  <c r="G37" i="22"/>
  <c r="G58" i="22"/>
  <c r="G59" i="22"/>
  <c r="G75" i="22"/>
  <c r="G81" i="22"/>
  <c r="G96" i="22"/>
  <c r="G97" i="22"/>
  <c r="G116" i="22"/>
  <c r="G117" i="22"/>
  <c r="G132" i="22"/>
  <c r="G133" i="22"/>
  <c r="G152" i="22"/>
  <c r="G153" i="22"/>
  <c r="G168" i="22"/>
  <c r="G169" i="22"/>
  <c r="G188" i="22"/>
  <c r="G189" i="22"/>
  <c r="G204" i="22"/>
  <c r="G205" i="22"/>
  <c r="G224" i="22"/>
  <c r="G225" i="22"/>
  <c r="G240" i="22"/>
  <c r="G241" i="22"/>
  <c r="E9" i="22"/>
  <c r="E10" i="22"/>
  <c r="E11" i="22"/>
  <c r="E12" i="22"/>
  <c r="E13" i="22"/>
  <c r="E84" i="22"/>
  <c r="E85" i="22"/>
  <c r="E86" i="22"/>
  <c r="E87" i="22"/>
  <c r="E88" i="22"/>
  <c r="E89" i="22"/>
  <c r="E90" i="22"/>
  <c r="E91" i="22"/>
  <c r="E92" i="22"/>
  <c r="E93" i="22"/>
  <c r="E81" i="22"/>
  <c r="E82" i="22"/>
  <c r="E83" i="22"/>
  <c r="E9" i="21"/>
  <c r="E10" i="21"/>
  <c r="E11" i="21"/>
  <c r="E18" i="19"/>
  <c r="E19" i="19"/>
  <c r="E20" i="19"/>
  <c r="E21" i="19"/>
  <c r="E22" i="19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9" i="16"/>
  <c r="E10" i="16"/>
  <c r="E11" i="16"/>
  <c r="E12" i="16"/>
  <c r="E13" i="16"/>
  <c r="E14" i="16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9" i="13"/>
  <c r="E10" i="13"/>
  <c r="E11" i="13"/>
  <c r="E12" i="13"/>
  <c r="E13" i="13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E9" i="6"/>
  <c r="E10" i="6"/>
  <c r="E11" i="6"/>
  <c r="E12" i="6"/>
  <c r="E13" i="6"/>
  <c r="E14" i="6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G16" i="22" l="1"/>
  <c r="G28" i="22"/>
  <c r="G40" i="22"/>
  <c r="G52" i="22"/>
  <c r="G64" i="22"/>
  <c r="G76" i="22"/>
  <c r="G88" i="22"/>
  <c r="G100" i="22"/>
  <c r="G112" i="22"/>
  <c r="G124" i="22"/>
  <c r="G136" i="22"/>
  <c r="G148" i="22"/>
  <c r="G160" i="22"/>
  <c r="G172" i="22"/>
  <c r="G184" i="22"/>
  <c r="G196" i="22"/>
  <c r="G208" i="22"/>
  <c r="G220" i="22"/>
  <c r="G232" i="22"/>
  <c r="G244" i="22"/>
  <c r="G17" i="22"/>
  <c r="G29" i="22"/>
  <c r="G41" i="22"/>
  <c r="G53" i="22"/>
  <c r="G65" i="22"/>
  <c r="G77" i="22"/>
  <c r="G89" i="22"/>
  <c r="G101" i="22"/>
  <c r="G113" i="22"/>
  <c r="G125" i="22"/>
  <c r="G137" i="22"/>
  <c r="G149" i="22"/>
  <c r="G161" i="22"/>
  <c r="G173" i="22"/>
  <c r="G185" i="22"/>
  <c r="G197" i="22"/>
  <c r="G209" i="22"/>
  <c r="G221" i="22"/>
  <c r="G233" i="22"/>
  <c r="G245" i="22"/>
  <c r="G18" i="22"/>
  <c r="G30" i="22"/>
  <c r="G42" i="22"/>
  <c r="G54" i="22"/>
  <c r="G66" i="22"/>
  <c r="G78" i="22"/>
  <c r="G90" i="22"/>
  <c r="G102" i="22"/>
  <c r="G114" i="22"/>
  <c r="G126" i="22"/>
  <c r="G138" i="22"/>
  <c r="G150" i="22"/>
  <c r="G162" i="22"/>
  <c r="G174" i="22"/>
  <c r="G186" i="22"/>
  <c r="G198" i="22"/>
  <c r="G210" i="22"/>
  <c r="G222" i="22"/>
  <c r="G234" i="22"/>
  <c r="G246" i="22"/>
  <c r="G19" i="22"/>
  <c r="G31" i="22"/>
  <c r="G43" i="22"/>
  <c r="G67" i="22"/>
  <c r="G79" i="22"/>
  <c r="G91" i="22"/>
  <c r="G103" i="22"/>
  <c r="G115" i="22"/>
  <c r="G127" i="22"/>
  <c r="G139" i="22"/>
  <c r="G151" i="22"/>
  <c r="G163" i="22"/>
  <c r="G175" i="22"/>
  <c r="G187" i="22"/>
  <c r="G199" i="22"/>
  <c r="G211" i="22"/>
  <c r="G223" i="22"/>
  <c r="G235" i="22"/>
  <c r="G247" i="22"/>
  <c r="G20" i="22"/>
  <c r="G32" i="22"/>
  <c r="G44" i="22"/>
  <c r="G56" i="22"/>
  <c r="G68" i="22"/>
  <c r="G80" i="22"/>
  <c r="G55" i="22"/>
  <c r="G239" i="22"/>
  <c r="G219" i="22"/>
  <c r="G203" i="22"/>
  <c r="G183" i="22"/>
  <c r="G167" i="22"/>
  <c r="G147" i="22"/>
  <c r="G131" i="22"/>
  <c r="G111" i="22"/>
  <c r="G95" i="22"/>
  <c r="G74" i="22"/>
  <c r="G57" i="22"/>
  <c r="G35" i="22"/>
  <c r="G13" i="22"/>
  <c r="G238" i="22"/>
  <c r="G218" i="22"/>
  <c r="G202" i="22"/>
  <c r="G182" i="22"/>
  <c r="G166" i="22"/>
  <c r="G146" i="22"/>
  <c r="G130" i="22"/>
  <c r="G110" i="22"/>
  <c r="G94" i="22"/>
  <c r="G73" i="22"/>
  <c r="G51" i="22"/>
  <c r="G34" i="22"/>
  <c r="G237" i="22"/>
  <c r="G217" i="22"/>
  <c r="G201" i="22"/>
  <c r="G181" i="22"/>
  <c r="G165" i="22"/>
  <c r="G145" i="22"/>
  <c r="G129" i="22"/>
  <c r="G109" i="22"/>
  <c r="G93" i="22"/>
  <c r="G72" i="22"/>
  <c r="G50" i="22"/>
  <c r="G33" i="22"/>
  <c r="G236" i="22"/>
  <c r="G216" i="22"/>
  <c r="G200" i="22"/>
  <c r="G180" i="22"/>
  <c r="G164" i="22"/>
  <c r="G144" i="22"/>
  <c r="G128" i="22"/>
  <c r="G108" i="22"/>
  <c r="G92" i="22"/>
  <c r="G71" i="22"/>
  <c r="G49" i="22"/>
  <c r="G27" i="22"/>
  <c r="G231" i="22"/>
  <c r="G215" i="22"/>
  <c r="G195" i="22"/>
  <c r="G179" i="22"/>
  <c r="G159" i="22"/>
  <c r="G143" i="22"/>
  <c r="G123" i="22"/>
  <c r="G107" i="22"/>
  <c r="G87" i="22"/>
  <c r="G70" i="22"/>
  <c r="G48" i="22"/>
  <c r="G26" i="22"/>
  <c r="G250" i="22"/>
  <c r="G230" i="22"/>
  <c r="G214" i="22"/>
  <c r="G194" i="22"/>
  <c r="G178" i="22"/>
  <c r="G158" i="22"/>
  <c r="G142" i="22"/>
  <c r="G122" i="22"/>
  <c r="G106" i="22"/>
  <c r="G86" i="22"/>
  <c r="G69" i="22"/>
  <c r="G47" i="22"/>
  <c r="G25" i="22"/>
  <c r="G121" i="22"/>
  <c r="G249" i="22"/>
  <c r="G229" i="22"/>
  <c r="G213" i="22"/>
  <c r="G193" i="22"/>
  <c r="G177" i="22"/>
  <c r="G157" i="22"/>
  <c r="G141" i="22"/>
  <c r="G105" i="22"/>
  <c r="G85" i="22"/>
  <c r="G63" i="22"/>
  <c r="G46" i="22"/>
  <c r="G24" i="22"/>
  <c r="G248" i="22"/>
  <c r="G228" i="22"/>
  <c r="G212" i="22"/>
  <c r="G192" i="22"/>
  <c r="G176" i="22"/>
  <c r="G156" i="22"/>
  <c r="G140" i="22"/>
  <c r="G120" i="22"/>
  <c r="G104" i="22"/>
  <c r="G84" i="22"/>
  <c r="G62" i="22"/>
  <c r="G45" i="22"/>
  <c r="G23" i="22"/>
  <c r="G243" i="22"/>
  <c r="G227" i="22"/>
  <c r="G207" i="22"/>
  <c r="G191" i="22"/>
  <c r="G171" i="22"/>
  <c r="G155" i="22"/>
  <c r="G135" i="22"/>
  <c r="G119" i="22"/>
  <c r="G99" i="22"/>
  <c r="G83" i="22"/>
  <c r="G61" i="22"/>
  <c r="G39" i="22"/>
  <c r="G22" i="22"/>
  <c r="G242" i="22"/>
  <c r="G226" i="22"/>
  <c r="G206" i="22"/>
  <c r="G190" i="22"/>
  <c r="G170" i="22"/>
  <c r="G154" i="22"/>
  <c r="G134" i="22"/>
  <c r="G118" i="22"/>
  <c r="G98" i="22"/>
  <c r="G82" i="22"/>
  <c r="G60" i="22"/>
  <c r="G38" i="22"/>
  <c r="G21" i="22"/>
  <c r="G254" i="5"/>
  <c r="G274" i="5"/>
  <c r="G12" i="38" l="1"/>
  <c r="E18" i="40" l="1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F4" i="23" l="1"/>
  <c r="F4" i="22"/>
  <c r="F4" i="21"/>
  <c r="F4" i="20"/>
  <c r="F4" i="19"/>
  <c r="F4" i="18"/>
  <c r="F4" i="17"/>
  <c r="F4" i="16"/>
  <c r="F4" i="15"/>
  <c r="F4" i="14"/>
  <c r="F4" i="13"/>
  <c r="F4" i="12"/>
  <c r="F4" i="11"/>
  <c r="F4" i="10"/>
  <c r="F4" i="8"/>
  <c r="F4" i="7"/>
  <c r="F4" i="6"/>
  <c r="F4" i="5"/>
  <c r="F4" i="37"/>
  <c r="F4" i="25"/>
  <c r="F4" i="2"/>
  <c r="F4" i="48"/>
  <c r="F4" i="24"/>
  <c r="F4" i="26"/>
  <c r="F4" i="9"/>
  <c r="F4" i="30"/>
  <c r="F4" i="28"/>
  <c r="F4" i="27"/>
  <c r="F4" i="29"/>
  <c r="F4" i="4"/>
  <c r="F4" i="36"/>
  <c r="F4" i="3"/>
  <c r="F4" i="38"/>
  <c r="F4" i="40"/>
  <c r="F4" i="39"/>
  <c r="F4" i="49"/>
  <c r="E172" i="19" l="1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57" i="37"/>
  <c r="E56" i="37"/>
  <c r="E55" i="37"/>
  <c r="E54" i="37"/>
  <c r="E53" i="37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78" i="36"/>
  <c r="E277" i="36"/>
  <c r="E276" i="36"/>
  <c r="E275" i="36"/>
  <c r="E274" i="36"/>
  <c r="E273" i="36"/>
  <c r="E272" i="36"/>
  <c r="E271" i="36"/>
  <c r="E270" i="36"/>
  <c r="E269" i="36"/>
  <c r="E45" i="38"/>
  <c r="E44" i="38"/>
  <c r="E43" i="38"/>
  <c r="E42" i="38"/>
  <c r="E41" i="38"/>
  <c r="F236" i="27" l="1"/>
  <c r="F23" i="7" l="1"/>
  <c r="E364" i="28"/>
  <c r="E363" i="28"/>
  <c r="E362" i="28"/>
  <c r="E361" i="28"/>
  <c r="E360" i="28"/>
  <c r="E359" i="28"/>
  <c r="E358" i="28"/>
  <c r="E357" i="28"/>
  <c r="E356" i="28"/>
  <c r="E355" i="28"/>
  <c r="E354" i="28"/>
  <c r="E353" i="28"/>
  <c r="E352" i="28"/>
  <c r="E351" i="28"/>
  <c r="E350" i="28"/>
  <c r="E349" i="28"/>
  <c r="E348" i="28"/>
  <c r="E347" i="28"/>
  <c r="E346" i="28"/>
  <c r="E345" i="28"/>
  <c r="E344" i="28"/>
  <c r="E343" i="28"/>
  <c r="E342" i="28"/>
  <c r="E341" i="28"/>
  <c r="E340" i="28"/>
  <c r="E339" i="28"/>
  <c r="E338" i="28"/>
  <c r="E337" i="28"/>
  <c r="E336" i="28"/>
  <c r="E335" i="28"/>
  <c r="E334" i="28"/>
  <c r="E333" i="28"/>
  <c r="E332" i="28"/>
  <c r="E331" i="28"/>
  <c r="E330" i="28"/>
  <c r="E329" i="28"/>
  <c r="E328" i="28"/>
  <c r="E327" i="28"/>
  <c r="E326" i="28"/>
  <c r="E325" i="28"/>
  <c r="E324" i="28"/>
  <c r="E323" i="28"/>
  <c r="E322" i="28"/>
  <c r="E321" i="28"/>
  <c r="E320" i="28"/>
  <c r="E319" i="28"/>
  <c r="E318" i="28"/>
  <c r="E317" i="28"/>
  <c r="E316" i="28"/>
  <c r="E315" i="28"/>
  <c r="E159" i="48"/>
  <c r="E158" i="48"/>
  <c r="E157" i="48"/>
  <c r="E156" i="48"/>
  <c r="E155" i="48"/>
  <c r="E154" i="48"/>
  <c r="E153" i="48"/>
  <c r="E152" i="48"/>
  <c r="E151" i="48"/>
  <c r="E150" i="48"/>
  <c r="E149" i="48"/>
  <c r="E148" i="48"/>
  <c r="E147" i="48"/>
  <c r="E146" i="48"/>
  <c r="E145" i="48"/>
  <c r="E144" i="48"/>
  <c r="E143" i="48"/>
  <c r="E142" i="48"/>
  <c r="E141" i="48"/>
  <c r="E140" i="48"/>
  <c r="E139" i="48"/>
  <c r="E138" i="48"/>
  <c r="E137" i="48"/>
  <c r="E136" i="48"/>
  <c r="E135" i="48"/>
  <c r="E134" i="48"/>
  <c r="E133" i="48"/>
  <c r="E132" i="48"/>
  <c r="E131" i="48"/>
  <c r="E130" i="48"/>
  <c r="E129" i="48"/>
  <c r="E128" i="48"/>
  <c r="E127" i="48"/>
  <c r="E126" i="48"/>
  <c r="E125" i="48"/>
  <c r="E124" i="48"/>
  <c r="E123" i="48"/>
  <c r="E122" i="48"/>
  <c r="E121" i="48"/>
  <c r="E120" i="48"/>
  <c r="E119" i="48"/>
  <c r="E118" i="48"/>
  <c r="E117" i="48"/>
  <c r="E116" i="48"/>
  <c r="E115" i="48"/>
  <c r="E114" i="48"/>
  <c r="E113" i="48"/>
  <c r="E112" i="48"/>
  <c r="E111" i="48"/>
  <c r="E110" i="48"/>
  <c r="E314" i="28"/>
  <c r="E313" i="28"/>
  <c r="E312" i="28"/>
  <c r="E311" i="28"/>
  <c r="E310" i="28"/>
  <c r="E309" i="28"/>
  <c r="E308" i="28"/>
  <c r="E307" i="28"/>
  <c r="E306" i="28"/>
  <c r="E305" i="28"/>
  <c r="E304" i="28"/>
  <c r="E303" i="28"/>
  <c r="E302" i="28"/>
  <c r="E301" i="28"/>
  <c r="E300" i="28"/>
  <c r="E299" i="28"/>
  <c r="E298" i="28"/>
  <c r="E297" i="28"/>
  <c r="E296" i="28"/>
  <c r="E295" i="28"/>
  <c r="E294" i="28"/>
  <c r="E293" i="28"/>
  <c r="E292" i="28"/>
  <c r="E291" i="28"/>
  <c r="E290" i="28"/>
  <c r="E289" i="28"/>
  <c r="E288" i="28"/>
  <c r="E287" i="28"/>
  <c r="E286" i="28"/>
  <c r="E285" i="28"/>
  <c r="E284" i="28"/>
  <c r="E283" i="28"/>
  <c r="E282" i="28"/>
  <c r="E281" i="28"/>
  <c r="E280" i="28"/>
  <c r="E279" i="28"/>
  <c r="E278" i="28"/>
  <c r="E277" i="28"/>
  <c r="E276" i="28"/>
  <c r="E275" i="28"/>
  <c r="E274" i="28"/>
  <c r="E273" i="28"/>
  <c r="E272" i="28"/>
  <c r="E271" i="28"/>
  <c r="E270" i="28"/>
  <c r="E269" i="28"/>
  <c r="E268" i="28"/>
  <c r="E267" i="28"/>
  <c r="E266" i="28"/>
  <c r="E265" i="28"/>
  <c r="E264" i="28"/>
  <c r="E263" i="28"/>
  <c r="E262" i="28"/>
  <c r="E261" i="28"/>
  <c r="E260" i="28"/>
  <c r="E259" i="28"/>
  <c r="E258" i="28"/>
  <c r="E257" i="28"/>
  <c r="E256" i="28"/>
  <c r="E255" i="28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109" i="49"/>
  <c r="E108" i="49"/>
  <c r="E107" i="49"/>
  <c r="E106" i="49"/>
  <c r="E105" i="49"/>
  <c r="G9" i="49" l="1"/>
  <c r="G14" i="49"/>
  <c r="G18" i="49"/>
  <c r="G22" i="49"/>
  <c r="G26" i="49"/>
  <c r="G30" i="49"/>
  <c r="G34" i="49"/>
  <c r="G38" i="49"/>
  <c r="G42" i="49"/>
  <c r="G46" i="49"/>
  <c r="G50" i="49"/>
  <c r="G54" i="49"/>
  <c r="G58" i="49"/>
  <c r="G62" i="49"/>
  <c r="G66" i="49"/>
  <c r="G70" i="49"/>
  <c r="G74" i="49"/>
  <c r="G78" i="49"/>
  <c r="G82" i="49"/>
  <c r="G86" i="49"/>
  <c r="G90" i="49"/>
  <c r="G94" i="49"/>
  <c r="G98" i="49"/>
  <c r="G102" i="49"/>
  <c r="G106" i="49"/>
  <c r="G13" i="49"/>
  <c r="G21" i="49"/>
  <c r="G29" i="49"/>
  <c r="G41" i="49"/>
  <c r="G53" i="49"/>
  <c r="G65" i="49"/>
  <c r="G77" i="49"/>
  <c r="G89" i="49"/>
  <c r="G97" i="49"/>
  <c r="G109" i="49"/>
  <c r="G10" i="49"/>
  <c r="G15" i="49"/>
  <c r="G19" i="49"/>
  <c r="G23" i="49"/>
  <c r="G27" i="49"/>
  <c r="G31" i="49"/>
  <c r="G35" i="49"/>
  <c r="G39" i="49"/>
  <c r="G43" i="49"/>
  <c r="G47" i="49"/>
  <c r="G51" i="49"/>
  <c r="G55" i="49"/>
  <c r="G59" i="49"/>
  <c r="G63" i="49"/>
  <c r="G67" i="49"/>
  <c r="G71" i="49"/>
  <c r="G75" i="49"/>
  <c r="G79" i="49"/>
  <c r="G83" i="49"/>
  <c r="G87" i="49"/>
  <c r="G91" i="49"/>
  <c r="G95" i="49"/>
  <c r="G99" i="49"/>
  <c r="G103" i="49"/>
  <c r="G107" i="49"/>
  <c r="G17" i="49"/>
  <c r="G25" i="49"/>
  <c r="G37" i="49"/>
  <c r="G49" i="49"/>
  <c r="G61" i="49"/>
  <c r="G69" i="49"/>
  <c r="G81" i="49"/>
  <c r="G93" i="49"/>
  <c r="G105" i="49"/>
  <c r="E4" i="49"/>
  <c r="G4" i="49" s="1"/>
  <c r="G12" i="49"/>
  <c r="G16" i="49"/>
  <c r="G20" i="49"/>
  <c r="G24" i="49"/>
  <c r="G28" i="49"/>
  <c r="G32" i="49"/>
  <c r="G36" i="49"/>
  <c r="G40" i="49"/>
  <c r="G44" i="49"/>
  <c r="G48" i="49"/>
  <c r="G52" i="49"/>
  <c r="G56" i="49"/>
  <c r="G60" i="49"/>
  <c r="G64" i="49"/>
  <c r="G68" i="49"/>
  <c r="G72" i="49"/>
  <c r="G76" i="49"/>
  <c r="G80" i="49"/>
  <c r="G84" i="49"/>
  <c r="G88" i="49"/>
  <c r="G92" i="49"/>
  <c r="G96" i="49"/>
  <c r="G100" i="49"/>
  <c r="G104" i="49"/>
  <c r="G108" i="49"/>
  <c r="G11" i="49"/>
  <c r="G33" i="49"/>
  <c r="G45" i="49"/>
  <c r="G57" i="49"/>
  <c r="G73" i="49"/>
  <c r="G85" i="49"/>
  <c r="G101" i="49"/>
  <c r="E109" i="48" l="1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7" i="48"/>
  <c r="E86" i="48"/>
  <c r="E85" i="48"/>
  <c r="E84" i="48"/>
  <c r="E83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8" i="48"/>
  <c r="E57" i="48"/>
  <c r="E56" i="48"/>
  <c r="E55" i="48"/>
  <c r="E54" i="48"/>
  <c r="E53" i="48"/>
  <c r="E52" i="48"/>
  <c r="E51" i="48"/>
  <c r="E50" i="48"/>
  <c r="E49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4" i="48" l="1"/>
  <c r="G4" i="48" s="1"/>
  <c r="G9" i="48"/>
  <c r="G14" i="48"/>
  <c r="G18" i="48"/>
  <c r="G22" i="48"/>
  <c r="G26" i="48"/>
  <c r="G30" i="48"/>
  <c r="G34" i="48"/>
  <c r="G38" i="48"/>
  <c r="G42" i="48"/>
  <c r="G46" i="48"/>
  <c r="G50" i="48"/>
  <c r="G54" i="48"/>
  <c r="G58" i="48"/>
  <c r="G62" i="48"/>
  <c r="G66" i="48"/>
  <c r="G70" i="48"/>
  <c r="G74" i="48"/>
  <c r="G78" i="48"/>
  <c r="G82" i="48"/>
  <c r="G86" i="48"/>
  <c r="G90" i="48"/>
  <c r="G94" i="48"/>
  <c r="G98" i="48"/>
  <c r="G102" i="48"/>
  <c r="G106" i="48"/>
  <c r="G110" i="48"/>
  <c r="G114" i="48"/>
  <c r="G118" i="48"/>
  <c r="G122" i="48"/>
  <c r="G126" i="48"/>
  <c r="G130" i="48"/>
  <c r="G134" i="48"/>
  <c r="G138" i="48"/>
  <c r="G142" i="48"/>
  <c r="G146" i="48"/>
  <c r="G150" i="48"/>
  <c r="G154" i="48"/>
  <c r="G158" i="48"/>
  <c r="G12" i="48"/>
  <c r="G21" i="48"/>
  <c r="G37" i="48"/>
  <c r="G49" i="48"/>
  <c r="G61" i="48"/>
  <c r="G69" i="48"/>
  <c r="G81" i="48"/>
  <c r="G93" i="48"/>
  <c r="G105" i="48"/>
  <c r="G113" i="48"/>
  <c r="G125" i="48"/>
  <c r="G133" i="48"/>
  <c r="G145" i="48"/>
  <c r="G153" i="48"/>
  <c r="G10" i="48"/>
  <c r="G15" i="48"/>
  <c r="G19" i="48"/>
  <c r="G23" i="48"/>
  <c r="G27" i="48"/>
  <c r="G31" i="48"/>
  <c r="G35" i="48"/>
  <c r="G39" i="48"/>
  <c r="G43" i="48"/>
  <c r="G47" i="48"/>
  <c r="G51" i="48"/>
  <c r="G55" i="48"/>
  <c r="G59" i="48"/>
  <c r="G63" i="48"/>
  <c r="G67" i="48"/>
  <c r="G71" i="48"/>
  <c r="G75" i="48"/>
  <c r="G79" i="48"/>
  <c r="G83" i="48"/>
  <c r="G87" i="48"/>
  <c r="G91" i="48"/>
  <c r="G95" i="48"/>
  <c r="G99" i="48"/>
  <c r="G103" i="48"/>
  <c r="G107" i="48"/>
  <c r="G111" i="48"/>
  <c r="G115" i="48"/>
  <c r="G119" i="48"/>
  <c r="G123" i="48"/>
  <c r="G127" i="48"/>
  <c r="G131" i="48"/>
  <c r="G135" i="48"/>
  <c r="G139" i="48"/>
  <c r="G143" i="48"/>
  <c r="G147" i="48"/>
  <c r="G151" i="48"/>
  <c r="G155" i="48"/>
  <c r="G159" i="48"/>
  <c r="G13" i="48"/>
  <c r="G25" i="48"/>
  <c r="G33" i="48"/>
  <c r="G41" i="48"/>
  <c r="G53" i="48"/>
  <c r="G65" i="48"/>
  <c r="G77" i="48"/>
  <c r="G85" i="48"/>
  <c r="G97" i="48"/>
  <c r="G109" i="48"/>
  <c r="G121" i="48"/>
  <c r="G129" i="48"/>
  <c r="G141" i="48"/>
  <c r="G157" i="48"/>
  <c r="G11" i="48"/>
  <c r="G16" i="48"/>
  <c r="G20" i="48"/>
  <c r="G24" i="48"/>
  <c r="G28" i="48"/>
  <c r="G32" i="48"/>
  <c r="G36" i="48"/>
  <c r="G40" i="48"/>
  <c r="G44" i="48"/>
  <c r="G48" i="48"/>
  <c r="G52" i="48"/>
  <c r="G56" i="48"/>
  <c r="G60" i="48"/>
  <c r="G64" i="48"/>
  <c r="G68" i="48"/>
  <c r="G72" i="48"/>
  <c r="G76" i="48"/>
  <c r="G80" i="48"/>
  <c r="G84" i="48"/>
  <c r="G88" i="48"/>
  <c r="G92" i="48"/>
  <c r="G96" i="48"/>
  <c r="G100" i="48"/>
  <c r="G104" i="48"/>
  <c r="G108" i="48"/>
  <c r="G112" i="48"/>
  <c r="G116" i="48"/>
  <c r="G120" i="48"/>
  <c r="G124" i="48"/>
  <c r="G128" i="48"/>
  <c r="G132" i="48"/>
  <c r="G136" i="48"/>
  <c r="G140" i="48"/>
  <c r="G144" i="48"/>
  <c r="G148" i="48"/>
  <c r="G152" i="48"/>
  <c r="G156" i="48"/>
  <c r="G17" i="48"/>
  <c r="G29" i="48"/>
  <c r="G45" i="48"/>
  <c r="G57" i="48"/>
  <c r="G73" i="48"/>
  <c r="G89" i="48"/>
  <c r="G101" i="48"/>
  <c r="G117" i="48"/>
  <c r="G137" i="48"/>
  <c r="G149" i="48"/>
  <c r="E180" i="11" l="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22" i="17" l="1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122" i="19" l="1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214" i="28" l="1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I1" i="28" l="1"/>
  <c r="E109" i="39" l="1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E69" i="39"/>
  <c r="E68" i="39"/>
  <c r="E67" i="39"/>
  <c r="E66" i="39"/>
  <c r="E65" i="39"/>
  <c r="E64" i="39"/>
  <c r="E63" i="39"/>
  <c r="E62" i="39"/>
  <c r="E61" i="39"/>
  <c r="E60" i="39"/>
  <c r="E59" i="39"/>
  <c r="E58" i="39"/>
  <c r="E57" i="39"/>
  <c r="E56" i="39"/>
  <c r="E55" i="39"/>
  <c r="E54" i="39"/>
  <c r="E53" i="39"/>
  <c r="E52" i="39"/>
  <c r="E51" i="39"/>
  <c r="E50" i="39"/>
  <c r="E49" i="39"/>
  <c r="E48" i="39"/>
  <c r="E47" i="39"/>
  <c r="E46" i="39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195" i="27"/>
  <c r="E194" i="27"/>
  <c r="E193" i="27"/>
  <c r="E192" i="27"/>
  <c r="E191" i="27"/>
  <c r="E190" i="27"/>
  <c r="E189" i="27"/>
  <c r="E188" i="27"/>
  <c r="E187" i="27"/>
  <c r="E186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4" i="37" l="1"/>
  <c r="G4" i="37" s="1"/>
  <c r="G12" i="37"/>
  <c r="G16" i="37"/>
  <c r="G20" i="37"/>
  <c r="G24" i="37"/>
  <c r="G28" i="37"/>
  <c r="G32" i="37"/>
  <c r="G36" i="37"/>
  <c r="G40" i="37"/>
  <c r="G44" i="37"/>
  <c r="G48" i="37"/>
  <c r="G52" i="37"/>
  <c r="G56" i="37"/>
  <c r="G9" i="37"/>
  <c r="G13" i="37"/>
  <c r="G17" i="37"/>
  <c r="G21" i="37"/>
  <c r="G25" i="37"/>
  <c r="G29" i="37"/>
  <c r="G33" i="37"/>
  <c r="G37" i="37"/>
  <c r="G41" i="37"/>
  <c r="G45" i="37"/>
  <c r="G49" i="37"/>
  <c r="G53" i="37"/>
  <c r="G57" i="37"/>
  <c r="G10" i="37"/>
  <c r="G18" i="37"/>
  <c r="G26" i="37"/>
  <c r="G34" i="37"/>
  <c r="G42" i="37"/>
  <c r="G50" i="37"/>
  <c r="G11" i="37"/>
  <c r="G19" i="37"/>
  <c r="G27" i="37"/>
  <c r="G35" i="37"/>
  <c r="G43" i="37"/>
  <c r="G51" i="37"/>
  <c r="G14" i="37"/>
  <c r="G22" i="37"/>
  <c r="G30" i="37"/>
  <c r="G38" i="37"/>
  <c r="G46" i="37"/>
  <c r="G54" i="37"/>
  <c r="G15" i="37"/>
  <c r="G23" i="37"/>
  <c r="G31" i="37"/>
  <c r="G39" i="37"/>
  <c r="G47" i="37"/>
  <c r="G55" i="37"/>
  <c r="E4" i="40"/>
  <c r="G4" i="40" s="1"/>
  <c r="G12" i="40"/>
  <c r="G16" i="40"/>
  <c r="G20" i="40"/>
  <c r="G24" i="40"/>
  <c r="G28" i="40"/>
  <c r="G32" i="40"/>
  <c r="G36" i="40"/>
  <c r="G40" i="40"/>
  <c r="G44" i="40"/>
  <c r="G48" i="40"/>
  <c r="G52" i="40"/>
  <c r="G56" i="40"/>
  <c r="G60" i="40"/>
  <c r="G64" i="40"/>
  <c r="G68" i="40"/>
  <c r="G72" i="40"/>
  <c r="G76" i="40"/>
  <c r="G80" i="40"/>
  <c r="G84" i="40"/>
  <c r="G88" i="40"/>
  <c r="G92" i="40"/>
  <c r="G96" i="40"/>
  <c r="G100" i="40"/>
  <c r="G104" i="40"/>
  <c r="G108" i="40"/>
  <c r="G9" i="40"/>
  <c r="G13" i="40"/>
  <c r="G17" i="40"/>
  <c r="G21" i="40"/>
  <c r="G25" i="40"/>
  <c r="G29" i="40"/>
  <c r="G33" i="40"/>
  <c r="G37" i="40"/>
  <c r="G41" i="40"/>
  <c r="G45" i="40"/>
  <c r="G49" i="40"/>
  <c r="G53" i="40"/>
  <c r="G57" i="40"/>
  <c r="G61" i="40"/>
  <c r="G65" i="40"/>
  <c r="G69" i="40"/>
  <c r="G73" i="40"/>
  <c r="G77" i="40"/>
  <c r="G81" i="40"/>
  <c r="G85" i="40"/>
  <c r="G89" i="40"/>
  <c r="G93" i="40"/>
  <c r="G97" i="40"/>
  <c r="G101" i="40"/>
  <c r="G105" i="40"/>
  <c r="G109" i="40"/>
  <c r="G10" i="40"/>
  <c r="G14" i="40"/>
  <c r="G18" i="40"/>
  <c r="G22" i="40"/>
  <c r="G26" i="40"/>
  <c r="G30" i="40"/>
  <c r="G34" i="40"/>
  <c r="G38" i="40"/>
  <c r="G42" i="40"/>
  <c r="G46" i="40"/>
  <c r="G50" i="40"/>
  <c r="G54" i="40"/>
  <c r="G58" i="40"/>
  <c r="G62" i="40"/>
  <c r="G66" i="40"/>
  <c r="G70" i="40"/>
  <c r="G74" i="40"/>
  <c r="G78" i="40"/>
  <c r="G82" i="40"/>
  <c r="G86" i="40"/>
  <c r="G90" i="40"/>
  <c r="G94" i="40"/>
  <c r="G98" i="40"/>
  <c r="G102" i="40"/>
  <c r="G106" i="40"/>
  <c r="G11" i="40"/>
  <c r="G15" i="40"/>
  <c r="G19" i="40"/>
  <c r="G23" i="40"/>
  <c r="G27" i="40"/>
  <c r="G31" i="40"/>
  <c r="G35" i="40"/>
  <c r="G39" i="40"/>
  <c r="G43" i="40"/>
  <c r="G59" i="40"/>
  <c r="G75" i="40"/>
  <c r="G91" i="40"/>
  <c r="G107" i="40"/>
  <c r="G47" i="40"/>
  <c r="G63" i="40"/>
  <c r="G79" i="40"/>
  <c r="G95" i="40"/>
  <c r="G51" i="40"/>
  <c r="G67" i="40"/>
  <c r="G83" i="40"/>
  <c r="G99" i="40"/>
  <c r="G55" i="40"/>
  <c r="G71" i="40"/>
  <c r="G87" i="40"/>
  <c r="G103" i="40"/>
  <c r="G11" i="38"/>
  <c r="G15" i="38"/>
  <c r="G19" i="38"/>
  <c r="G23" i="38"/>
  <c r="G27" i="38"/>
  <c r="G31" i="38"/>
  <c r="G35" i="38"/>
  <c r="G39" i="38"/>
  <c r="G43" i="38"/>
  <c r="G13" i="38"/>
  <c r="G21" i="38"/>
  <c r="G29" i="38"/>
  <c r="G37" i="38"/>
  <c r="G45" i="38"/>
  <c r="E4" i="38"/>
  <c r="G4" i="38" s="1"/>
  <c r="M16" i="34" s="1"/>
  <c r="G16" i="38"/>
  <c r="G20" i="38"/>
  <c r="G24" i="38"/>
  <c r="G28" i="38"/>
  <c r="G32" i="38"/>
  <c r="G36" i="38"/>
  <c r="G40" i="38"/>
  <c r="G44" i="38"/>
  <c r="G9" i="38"/>
  <c r="G17" i="38"/>
  <c r="G25" i="38"/>
  <c r="G33" i="38"/>
  <c r="G41" i="38"/>
  <c r="G22" i="38"/>
  <c r="G38" i="38"/>
  <c r="G14" i="38"/>
  <c r="G18" i="38"/>
  <c r="G10" i="38"/>
  <c r="G26" i="38"/>
  <c r="G42" i="38"/>
  <c r="G30" i="38"/>
  <c r="G34" i="38"/>
  <c r="G10" i="39"/>
  <c r="G14" i="39"/>
  <c r="G18" i="39"/>
  <c r="G22" i="39"/>
  <c r="G26" i="39"/>
  <c r="G30" i="39"/>
  <c r="G34" i="39"/>
  <c r="G38" i="39"/>
  <c r="G42" i="39"/>
  <c r="G46" i="39"/>
  <c r="G50" i="39"/>
  <c r="G54" i="39"/>
  <c r="G58" i="39"/>
  <c r="G62" i="39"/>
  <c r="G66" i="39"/>
  <c r="G70" i="39"/>
  <c r="G74" i="39"/>
  <c r="G78" i="39"/>
  <c r="G82" i="39"/>
  <c r="G86" i="39"/>
  <c r="G90" i="39"/>
  <c r="G94" i="39"/>
  <c r="G98" i="39"/>
  <c r="G102" i="39"/>
  <c r="G106" i="39"/>
  <c r="G12" i="39"/>
  <c r="G16" i="39"/>
  <c r="G20" i="39"/>
  <c r="G24" i="39"/>
  <c r="G32" i="39"/>
  <c r="G40" i="39"/>
  <c r="G48" i="39"/>
  <c r="G52" i="39"/>
  <c r="G60" i="39"/>
  <c r="G68" i="39"/>
  <c r="G76" i="39"/>
  <c r="G84" i="39"/>
  <c r="G92" i="39"/>
  <c r="G100" i="39"/>
  <c r="G108" i="39"/>
  <c r="G9" i="39"/>
  <c r="G17" i="39"/>
  <c r="G25" i="39"/>
  <c r="G33" i="39"/>
  <c r="G41" i="39"/>
  <c r="G49" i="39"/>
  <c r="G57" i="39"/>
  <c r="G65" i="39"/>
  <c r="G73" i="39"/>
  <c r="G81" i="39"/>
  <c r="G89" i="39"/>
  <c r="G97" i="39"/>
  <c r="G105" i="39"/>
  <c r="G11" i="39"/>
  <c r="G15" i="39"/>
  <c r="G19" i="39"/>
  <c r="G23" i="39"/>
  <c r="G27" i="39"/>
  <c r="G31" i="39"/>
  <c r="G35" i="39"/>
  <c r="G39" i="39"/>
  <c r="G43" i="39"/>
  <c r="G47" i="39"/>
  <c r="G51" i="39"/>
  <c r="G55" i="39"/>
  <c r="G59" i="39"/>
  <c r="G63" i="39"/>
  <c r="G67" i="39"/>
  <c r="G71" i="39"/>
  <c r="G75" i="39"/>
  <c r="G79" i="39"/>
  <c r="G83" i="39"/>
  <c r="G87" i="39"/>
  <c r="G91" i="39"/>
  <c r="G95" i="39"/>
  <c r="G99" i="39"/>
  <c r="G103" i="39"/>
  <c r="G107" i="39"/>
  <c r="E4" i="39"/>
  <c r="G4" i="39" s="1"/>
  <c r="G28" i="39"/>
  <c r="G36" i="39"/>
  <c r="G44" i="39"/>
  <c r="G56" i="39"/>
  <c r="G64" i="39"/>
  <c r="G72" i="39"/>
  <c r="G80" i="39"/>
  <c r="G88" i="39"/>
  <c r="G96" i="39"/>
  <c r="G104" i="39"/>
  <c r="G13" i="39"/>
  <c r="G21" i="39"/>
  <c r="G29" i="39"/>
  <c r="G37" i="39"/>
  <c r="G45" i="39"/>
  <c r="G53" i="39"/>
  <c r="G61" i="39"/>
  <c r="G69" i="39"/>
  <c r="G77" i="39"/>
  <c r="G85" i="39"/>
  <c r="G93" i="39"/>
  <c r="G101" i="39"/>
  <c r="G109" i="39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G18" i="36" l="1"/>
  <c r="G38" i="36"/>
  <c r="G58" i="36"/>
  <c r="G78" i="36"/>
  <c r="G98" i="36"/>
  <c r="G118" i="36"/>
  <c r="G138" i="36"/>
  <c r="G158" i="36"/>
  <c r="G178" i="36"/>
  <c r="G198" i="36"/>
  <c r="G218" i="36"/>
  <c r="G238" i="36"/>
  <c r="G258" i="36"/>
  <c r="G278" i="36"/>
  <c r="G20" i="36"/>
  <c r="G40" i="36"/>
  <c r="G60" i="36"/>
  <c r="G80" i="36"/>
  <c r="G100" i="36"/>
  <c r="G120" i="36"/>
  <c r="G140" i="36"/>
  <c r="G160" i="36"/>
  <c r="G180" i="36"/>
  <c r="G200" i="36"/>
  <c r="G220" i="36"/>
  <c r="G240" i="36"/>
  <c r="G260" i="36"/>
  <c r="G19" i="36"/>
  <c r="G39" i="36"/>
  <c r="G59" i="36"/>
  <c r="G79" i="36"/>
  <c r="G99" i="36"/>
  <c r="G119" i="36"/>
  <c r="G139" i="36"/>
  <c r="G159" i="36"/>
  <c r="G179" i="36"/>
  <c r="G199" i="36"/>
  <c r="G219" i="36"/>
  <c r="G239" i="36"/>
  <c r="G259" i="36"/>
  <c r="G121" i="36"/>
  <c r="G241" i="36"/>
  <c r="G21" i="36"/>
  <c r="G41" i="36"/>
  <c r="G61" i="36"/>
  <c r="G81" i="36"/>
  <c r="G101" i="36"/>
  <c r="G141" i="36"/>
  <c r="G161" i="36"/>
  <c r="G181" i="36"/>
  <c r="G201" i="36"/>
  <c r="G221" i="36"/>
  <c r="G261" i="36"/>
  <c r="G22" i="36"/>
  <c r="G42" i="36"/>
  <c r="G62" i="36"/>
  <c r="G82" i="36"/>
  <c r="G102" i="36"/>
  <c r="G122" i="36"/>
  <c r="G142" i="36"/>
  <c r="G162" i="36"/>
  <c r="G182" i="36"/>
  <c r="G202" i="36"/>
  <c r="G222" i="36"/>
  <c r="G242" i="36"/>
  <c r="G262" i="36"/>
  <c r="G145" i="36"/>
  <c r="G23" i="36"/>
  <c r="G43" i="36"/>
  <c r="G63" i="36"/>
  <c r="G83" i="36"/>
  <c r="G103" i="36"/>
  <c r="G123" i="36"/>
  <c r="G143" i="36"/>
  <c r="G163" i="36"/>
  <c r="G183" i="36"/>
  <c r="G203" i="36"/>
  <c r="G223" i="36"/>
  <c r="G243" i="36"/>
  <c r="G263" i="36"/>
  <c r="G105" i="36"/>
  <c r="G24" i="36"/>
  <c r="G44" i="36"/>
  <c r="G64" i="36"/>
  <c r="G84" i="36"/>
  <c r="G104" i="36"/>
  <c r="G124" i="36"/>
  <c r="G144" i="36"/>
  <c r="G164" i="36"/>
  <c r="G184" i="36"/>
  <c r="G204" i="36"/>
  <c r="G224" i="36"/>
  <c r="G244" i="36"/>
  <c r="G264" i="36"/>
  <c r="G45" i="36"/>
  <c r="G225" i="36"/>
  <c r="G25" i="36"/>
  <c r="G65" i="36"/>
  <c r="G85" i="36"/>
  <c r="G125" i="36"/>
  <c r="G165" i="36"/>
  <c r="G185" i="36"/>
  <c r="G205" i="36"/>
  <c r="G245" i="36"/>
  <c r="G265" i="36"/>
  <c r="G26" i="36"/>
  <c r="G46" i="36"/>
  <c r="G66" i="36"/>
  <c r="G86" i="36"/>
  <c r="G106" i="36"/>
  <c r="G126" i="36"/>
  <c r="G146" i="36"/>
  <c r="G166" i="36"/>
  <c r="G186" i="36"/>
  <c r="G206" i="36"/>
  <c r="G226" i="36"/>
  <c r="G246" i="36"/>
  <c r="G266" i="36"/>
  <c r="G28" i="36"/>
  <c r="G48" i="36"/>
  <c r="G68" i="36"/>
  <c r="G88" i="36"/>
  <c r="G108" i="36"/>
  <c r="G128" i="36"/>
  <c r="G148" i="36"/>
  <c r="G168" i="36"/>
  <c r="G188" i="36"/>
  <c r="G208" i="36"/>
  <c r="G228" i="36"/>
  <c r="G248" i="36"/>
  <c r="G268" i="36"/>
  <c r="G10" i="36"/>
  <c r="G30" i="36"/>
  <c r="G50" i="36"/>
  <c r="G90" i="36"/>
  <c r="G9" i="36"/>
  <c r="G29" i="36"/>
  <c r="G49" i="36"/>
  <c r="G69" i="36"/>
  <c r="G89" i="36"/>
  <c r="G109" i="36"/>
  <c r="G129" i="36"/>
  <c r="G149" i="36"/>
  <c r="G169" i="36"/>
  <c r="G189" i="36"/>
  <c r="G209" i="36"/>
  <c r="G229" i="36"/>
  <c r="G249" i="36"/>
  <c r="G269" i="36"/>
  <c r="G53" i="36"/>
  <c r="G96" i="36"/>
  <c r="G147" i="36"/>
  <c r="G191" i="36"/>
  <c r="G233" i="36"/>
  <c r="G275" i="36"/>
  <c r="G97" i="36"/>
  <c r="G277" i="36"/>
  <c r="G57" i="36"/>
  <c r="G175" i="36"/>
  <c r="G135" i="36"/>
  <c r="G54" i="36"/>
  <c r="G150" i="36"/>
  <c r="G192" i="36"/>
  <c r="G234" i="36"/>
  <c r="G276" i="36"/>
  <c r="G55" i="36"/>
  <c r="G235" i="36"/>
  <c r="G111" i="36"/>
  <c r="G237" i="36"/>
  <c r="G91" i="36"/>
  <c r="G92" i="36"/>
  <c r="G134" i="36"/>
  <c r="G176" i="36"/>
  <c r="G227" i="36"/>
  <c r="G271" i="36"/>
  <c r="G11" i="36"/>
  <c r="G107" i="36"/>
  <c r="G151" i="36"/>
  <c r="G193" i="36"/>
  <c r="G195" i="36"/>
  <c r="G272" i="36"/>
  <c r="G12" i="36"/>
  <c r="G56" i="36"/>
  <c r="G110" i="36"/>
  <c r="G152" i="36"/>
  <c r="G194" i="36"/>
  <c r="G236" i="36"/>
  <c r="G217" i="36"/>
  <c r="G13" i="36"/>
  <c r="G14" i="36"/>
  <c r="G67" i="36"/>
  <c r="G112" i="36"/>
  <c r="G154" i="36"/>
  <c r="G196" i="36"/>
  <c r="G247" i="36"/>
  <c r="G155" i="36"/>
  <c r="G71" i="36"/>
  <c r="G130" i="36"/>
  <c r="G270" i="36"/>
  <c r="G47" i="36"/>
  <c r="G15" i="36"/>
  <c r="G70" i="36"/>
  <c r="G113" i="36"/>
  <c r="G197" i="36"/>
  <c r="G250" i="36"/>
  <c r="G114" i="36"/>
  <c r="G156" i="36"/>
  <c r="G207" i="36"/>
  <c r="G251" i="36"/>
  <c r="G16" i="36"/>
  <c r="G17" i="36"/>
  <c r="G72" i="36"/>
  <c r="G115" i="36"/>
  <c r="G157" i="36"/>
  <c r="G210" i="36"/>
  <c r="G252" i="36"/>
  <c r="G230" i="36"/>
  <c r="G27" i="36"/>
  <c r="G73" i="36"/>
  <c r="G116" i="36"/>
  <c r="G167" i="36"/>
  <c r="G211" i="36"/>
  <c r="G253" i="36"/>
  <c r="G31" i="36"/>
  <c r="G74" i="36"/>
  <c r="G117" i="36"/>
  <c r="G170" i="36"/>
  <c r="G212" i="36"/>
  <c r="G254" i="36"/>
  <c r="G75" i="36"/>
  <c r="G76" i="36"/>
  <c r="G172" i="36"/>
  <c r="G214" i="36"/>
  <c r="G34" i="36"/>
  <c r="G133" i="36"/>
  <c r="G37" i="36"/>
  <c r="G177" i="36"/>
  <c r="G32" i="36"/>
  <c r="G127" i="36"/>
  <c r="G171" i="36"/>
  <c r="G213" i="36"/>
  <c r="G255" i="36"/>
  <c r="G77" i="36"/>
  <c r="G131" i="36"/>
  <c r="G173" i="36"/>
  <c r="G215" i="36"/>
  <c r="G257" i="36"/>
  <c r="G36" i="36"/>
  <c r="G33" i="36"/>
  <c r="G35" i="36"/>
  <c r="G87" i="36"/>
  <c r="G132" i="36"/>
  <c r="G174" i="36"/>
  <c r="G216" i="36"/>
  <c r="G267" i="36"/>
  <c r="G93" i="36"/>
  <c r="G51" i="36"/>
  <c r="G94" i="36"/>
  <c r="G136" i="36"/>
  <c r="G187" i="36"/>
  <c r="G231" i="36"/>
  <c r="G273" i="36"/>
  <c r="G256" i="36"/>
  <c r="G52" i="36"/>
  <c r="G95" i="36"/>
  <c r="G137" i="36"/>
  <c r="G190" i="36"/>
  <c r="G232" i="36"/>
  <c r="G274" i="36"/>
  <c r="G153" i="36"/>
  <c r="E4" i="36"/>
  <c r="G4" i="36" s="1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122" i="29"/>
  <c r="E121" i="29"/>
  <c r="E120" i="29"/>
  <c r="E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5" i="29"/>
  <c r="E94" i="29"/>
  <c r="E93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9" i="27"/>
  <c r="E4" i="27" s="1"/>
  <c r="G4" i="27" s="1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12" i="25"/>
  <c r="E111" i="25"/>
  <c r="E110" i="25"/>
  <c r="E109" i="25"/>
  <c r="E108" i="25"/>
  <c r="E107" i="25"/>
  <c r="E106" i="25"/>
  <c r="E105" i="25"/>
  <c r="E104" i="25"/>
  <c r="E103" i="25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12" i="21"/>
  <c r="E13" i="21"/>
  <c r="E14" i="21"/>
  <c r="E15" i="21"/>
  <c r="E16" i="21"/>
  <c r="E17" i="21"/>
  <c r="E18" i="21"/>
  <c r="E19" i="21"/>
  <c r="E20" i="21"/>
  <c r="E21" i="21"/>
  <c r="E22" i="21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9" i="19"/>
  <c r="E10" i="19"/>
  <c r="E11" i="19"/>
  <c r="E12" i="19"/>
  <c r="E13" i="19"/>
  <c r="E14" i="19"/>
  <c r="E15" i="19"/>
  <c r="E16" i="19"/>
  <c r="E17" i="19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5" i="16"/>
  <c r="E16" i="16"/>
  <c r="E17" i="16"/>
  <c r="E18" i="16"/>
  <c r="E19" i="16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4" i="13"/>
  <c r="E15" i="13"/>
  <c r="E16" i="13"/>
  <c r="E17" i="13"/>
  <c r="E18" i="13"/>
  <c r="E19" i="13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5" i="10"/>
  <c r="E16" i="10"/>
  <c r="E17" i="10"/>
  <c r="E18" i="10"/>
  <c r="E19" i="10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7" i="8"/>
  <c r="E18" i="8"/>
  <c r="E19" i="8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2" i="7"/>
  <c r="F21" i="7"/>
  <c r="F20" i="7"/>
  <c r="F9" i="7"/>
  <c r="F10" i="7"/>
  <c r="F11" i="7"/>
  <c r="F12" i="7"/>
  <c r="F13" i="7"/>
  <c r="F14" i="7"/>
  <c r="F15" i="7"/>
  <c r="F16" i="7"/>
  <c r="F17" i="7"/>
  <c r="F18" i="7"/>
  <c r="F19" i="7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15" i="6"/>
  <c r="E16" i="6"/>
  <c r="E17" i="6"/>
  <c r="E18" i="6"/>
  <c r="E19" i="6"/>
  <c r="E20" i="6"/>
  <c r="E21" i="6"/>
  <c r="E512" i="2"/>
  <c r="E511" i="2"/>
  <c r="E510" i="2"/>
  <c r="E509" i="2"/>
  <c r="H35" i="7" l="1"/>
  <c r="G19" i="12"/>
  <c r="G20" i="12"/>
  <c r="G21" i="12"/>
  <c r="G22" i="12"/>
  <c r="G23" i="12"/>
  <c r="G24" i="12"/>
  <c r="G25" i="12"/>
  <c r="G26" i="12"/>
  <c r="G27" i="12"/>
  <c r="G28" i="12"/>
  <c r="G29" i="12"/>
  <c r="G10" i="12"/>
  <c r="G30" i="12"/>
  <c r="G11" i="12"/>
  <c r="G17" i="12"/>
  <c r="G18" i="12"/>
  <c r="G12" i="12"/>
  <c r="G13" i="12"/>
  <c r="G16" i="12"/>
  <c r="G14" i="12"/>
  <c r="G15" i="12"/>
  <c r="E4" i="26"/>
  <c r="G4" i="26" s="1"/>
  <c r="E4" i="15"/>
  <c r="G4" i="15" s="1"/>
  <c r="C22" i="34" s="1"/>
  <c r="G31" i="12"/>
  <c r="G33" i="12"/>
  <c r="G34" i="12"/>
  <c r="G32" i="12"/>
  <c r="E4" i="12"/>
  <c r="G4" i="12" s="1"/>
  <c r="G35" i="12"/>
  <c r="G36" i="12"/>
  <c r="G48" i="12"/>
  <c r="G60" i="12"/>
  <c r="G37" i="12"/>
  <c r="G49" i="12"/>
  <c r="G61" i="12"/>
  <c r="G38" i="12"/>
  <c r="G50" i="12"/>
  <c r="G62" i="12"/>
  <c r="G39" i="12"/>
  <c r="G51" i="12"/>
  <c r="G63" i="12"/>
  <c r="G40" i="12"/>
  <c r="G52" i="12"/>
  <c r="G64" i="12"/>
  <c r="G41" i="12"/>
  <c r="G53" i="12"/>
  <c r="G65" i="12"/>
  <c r="G42" i="12"/>
  <c r="G54" i="12"/>
  <c r="G66" i="12"/>
  <c r="G43" i="12"/>
  <c r="G55" i="12"/>
  <c r="G67" i="12"/>
  <c r="G44" i="12"/>
  <c r="G56" i="12"/>
  <c r="G68" i="12"/>
  <c r="G45" i="12"/>
  <c r="G57" i="12"/>
  <c r="G69" i="12"/>
  <c r="G46" i="12"/>
  <c r="G58" i="12"/>
  <c r="G59" i="12"/>
  <c r="G47" i="12"/>
  <c r="E4" i="3"/>
  <c r="G4" i="3" s="1"/>
  <c r="E4" i="29"/>
  <c r="G4" i="29" s="1"/>
  <c r="E4" i="5"/>
  <c r="G4" i="5" s="1"/>
  <c r="G290" i="5"/>
  <c r="E4" i="28"/>
  <c r="G4" i="28" s="1"/>
  <c r="E4" i="30"/>
  <c r="G4" i="30" s="1"/>
  <c r="M28" i="34" s="1"/>
  <c r="E4" i="23"/>
  <c r="G4" i="23" s="1"/>
  <c r="E4" i="22"/>
  <c r="G4" i="22" s="1"/>
  <c r="Q22" i="34" s="1"/>
  <c r="E4" i="21"/>
  <c r="G4" i="21" s="1"/>
  <c r="E4" i="20"/>
  <c r="G4" i="20" s="1"/>
  <c r="E4" i="19"/>
  <c r="G4" i="19" s="1"/>
  <c r="K22" i="34" s="1"/>
  <c r="E4" i="18"/>
  <c r="G4" i="18" s="1"/>
  <c r="E4" i="17"/>
  <c r="G4" i="17" s="1"/>
  <c r="E4" i="16"/>
  <c r="G4" i="16" s="1"/>
  <c r="E4" i="14"/>
  <c r="G4" i="14" s="1"/>
  <c r="E4" i="13"/>
  <c r="G4" i="13" s="1"/>
  <c r="E4" i="11"/>
  <c r="G4" i="11" s="1"/>
  <c r="K16" i="34" s="1"/>
  <c r="E4" i="10"/>
  <c r="G4" i="10" s="1"/>
  <c r="E4" i="8"/>
  <c r="G4" i="8" s="1"/>
  <c r="E16" i="34" s="1"/>
  <c r="H12" i="7"/>
  <c r="H16" i="7"/>
  <c r="H20" i="7"/>
  <c r="H24" i="7"/>
  <c r="H28" i="7"/>
  <c r="H32" i="7"/>
  <c r="H36" i="7"/>
  <c r="H40" i="7"/>
  <c r="H44" i="7"/>
  <c r="H48" i="7"/>
  <c r="H52" i="7"/>
  <c r="H56" i="7"/>
  <c r="H60" i="7"/>
  <c r="H64" i="7"/>
  <c r="H68" i="7"/>
  <c r="H15" i="7"/>
  <c r="H67" i="7"/>
  <c r="E4" i="7"/>
  <c r="G4" i="7" s="1"/>
  <c r="H13" i="7"/>
  <c r="H17" i="7"/>
  <c r="H21" i="7"/>
  <c r="H25" i="7"/>
  <c r="H29" i="7"/>
  <c r="H33" i="7"/>
  <c r="H37" i="7"/>
  <c r="H41" i="7"/>
  <c r="H45" i="7"/>
  <c r="H49" i="7"/>
  <c r="H53" i="7"/>
  <c r="H57" i="7"/>
  <c r="H61" i="7"/>
  <c r="H65" i="7"/>
  <c r="H69" i="7"/>
  <c r="H39" i="7"/>
  <c r="H10" i="7"/>
  <c r="H14" i="7"/>
  <c r="H18" i="7"/>
  <c r="H22" i="7"/>
  <c r="H26" i="7"/>
  <c r="H30" i="7"/>
  <c r="H34" i="7"/>
  <c r="H38" i="7"/>
  <c r="H42" i="7"/>
  <c r="H46" i="7"/>
  <c r="H50" i="7"/>
  <c r="H54" i="7"/>
  <c r="H58" i="7"/>
  <c r="H62" i="7"/>
  <c r="H66" i="7"/>
  <c r="H11" i="7"/>
  <c r="H19" i="7"/>
  <c r="H23" i="7"/>
  <c r="H27" i="7"/>
  <c r="H31" i="7"/>
  <c r="H43" i="7"/>
  <c r="H47" i="7"/>
  <c r="H51" i="7"/>
  <c r="H55" i="7"/>
  <c r="H59" i="7"/>
  <c r="H63" i="7"/>
  <c r="E4" i="6"/>
  <c r="G4" i="6" s="1"/>
  <c r="G12" i="4"/>
  <c r="G16" i="4"/>
  <c r="G20" i="4"/>
  <c r="G24" i="4"/>
  <c r="G28" i="4"/>
  <c r="G32" i="4"/>
  <c r="G36" i="4"/>
  <c r="G40" i="4"/>
  <c r="G44" i="4"/>
  <c r="G48" i="4"/>
  <c r="G52" i="4"/>
  <c r="G56" i="4"/>
  <c r="G60" i="4"/>
  <c r="G64" i="4"/>
  <c r="G68" i="4"/>
  <c r="G72" i="4"/>
  <c r="G11" i="4"/>
  <c r="G27" i="4"/>
  <c r="G35" i="4"/>
  <c r="G47" i="4"/>
  <c r="G59" i="4"/>
  <c r="G71" i="4"/>
  <c r="G9" i="4"/>
  <c r="G13" i="4"/>
  <c r="G17" i="4"/>
  <c r="G21" i="4"/>
  <c r="G25" i="4"/>
  <c r="G29" i="4"/>
  <c r="G33" i="4"/>
  <c r="G37" i="4"/>
  <c r="G41" i="4"/>
  <c r="G45" i="4"/>
  <c r="G49" i="4"/>
  <c r="G53" i="4"/>
  <c r="G57" i="4"/>
  <c r="G61" i="4"/>
  <c r="G65" i="4"/>
  <c r="G69" i="4"/>
  <c r="G19" i="4"/>
  <c r="G39" i="4"/>
  <c r="G51" i="4"/>
  <c r="G63" i="4"/>
  <c r="G10" i="4"/>
  <c r="G14" i="4"/>
  <c r="G18" i="4"/>
  <c r="G22" i="4"/>
  <c r="G26" i="4"/>
  <c r="G30" i="4"/>
  <c r="G34" i="4"/>
  <c r="G38" i="4"/>
  <c r="G42" i="4"/>
  <c r="G46" i="4"/>
  <c r="G50" i="4"/>
  <c r="G54" i="4"/>
  <c r="G58" i="4"/>
  <c r="G62" i="4"/>
  <c r="G66" i="4"/>
  <c r="G70" i="4"/>
  <c r="E4" i="4"/>
  <c r="G4" i="4" s="1"/>
  <c r="G15" i="4"/>
  <c r="G23" i="4"/>
  <c r="G31" i="4"/>
  <c r="G43" i="4"/>
  <c r="G55" i="4"/>
  <c r="G67" i="4"/>
  <c r="E4" i="25"/>
  <c r="G4" i="25" s="1"/>
  <c r="I11" i="34" s="1"/>
  <c r="G10" i="2"/>
  <c r="G14" i="2"/>
  <c r="G18" i="2"/>
  <c r="G22" i="2"/>
  <c r="G26" i="2"/>
  <c r="G30" i="2"/>
  <c r="G34" i="2"/>
  <c r="G38" i="2"/>
  <c r="G42" i="2"/>
  <c r="G46" i="2"/>
  <c r="G50" i="2"/>
  <c r="G54" i="2"/>
  <c r="G58" i="2"/>
  <c r="G62" i="2"/>
  <c r="G66" i="2"/>
  <c r="G70" i="2"/>
  <c r="G74" i="2"/>
  <c r="G78" i="2"/>
  <c r="G82" i="2"/>
  <c r="G86" i="2"/>
  <c r="G90" i="2"/>
  <c r="G94" i="2"/>
  <c r="G98" i="2"/>
  <c r="G102" i="2"/>
  <c r="G106" i="2"/>
  <c r="G110" i="2"/>
  <c r="G114" i="2"/>
  <c r="G118" i="2"/>
  <c r="G122" i="2"/>
  <c r="G126" i="2"/>
  <c r="G130" i="2"/>
  <c r="G134" i="2"/>
  <c r="G138" i="2"/>
  <c r="G142" i="2"/>
  <c r="G146" i="2"/>
  <c r="G150" i="2"/>
  <c r="G154" i="2"/>
  <c r="G158" i="2"/>
  <c r="G162" i="2"/>
  <c r="G166" i="2"/>
  <c r="G170" i="2"/>
  <c r="G174" i="2"/>
  <c r="G178" i="2"/>
  <c r="G182" i="2"/>
  <c r="G186" i="2"/>
  <c r="G190" i="2"/>
  <c r="G194" i="2"/>
  <c r="G198" i="2"/>
  <c r="G202" i="2"/>
  <c r="G206" i="2"/>
  <c r="G210" i="2"/>
  <c r="G214" i="2"/>
  <c r="G218" i="2"/>
  <c r="G222" i="2"/>
  <c r="G226" i="2"/>
  <c r="G230" i="2"/>
  <c r="G234" i="2"/>
  <c r="G238" i="2"/>
  <c r="G242" i="2"/>
  <c r="G246" i="2"/>
  <c r="G250" i="2"/>
  <c r="G254" i="2"/>
  <c r="G258" i="2"/>
  <c r="G262" i="2"/>
  <c r="G266" i="2"/>
  <c r="G270" i="2"/>
  <c r="G274" i="2"/>
  <c r="G278" i="2"/>
  <c r="G282" i="2"/>
  <c r="G286" i="2"/>
  <c r="G290" i="2"/>
  <c r="G294" i="2"/>
  <c r="G298" i="2"/>
  <c r="G302" i="2"/>
  <c r="G306" i="2"/>
  <c r="G310" i="2"/>
  <c r="G314" i="2"/>
  <c r="G318" i="2"/>
  <c r="G322" i="2"/>
  <c r="G326" i="2"/>
  <c r="G330" i="2"/>
  <c r="G334" i="2"/>
  <c r="G338" i="2"/>
  <c r="G342" i="2"/>
  <c r="G346" i="2"/>
  <c r="G11" i="2"/>
  <c r="G16" i="2"/>
  <c r="G21" i="2"/>
  <c r="G27" i="2"/>
  <c r="G32" i="2"/>
  <c r="G37" i="2"/>
  <c r="G43" i="2"/>
  <c r="G48" i="2"/>
  <c r="G53" i="2"/>
  <c r="G59" i="2"/>
  <c r="G64" i="2"/>
  <c r="G69" i="2"/>
  <c r="G75" i="2"/>
  <c r="G80" i="2"/>
  <c r="G85" i="2"/>
  <c r="G91" i="2"/>
  <c r="G96" i="2"/>
  <c r="G101" i="2"/>
  <c r="G107" i="2"/>
  <c r="G112" i="2"/>
  <c r="G117" i="2"/>
  <c r="G123" i="2"/>
  <c r="G128" i="2"/>
  <c r="G133" i="2"/>
  <c r="G139" i="2"/>
  <c r="G144" i="2"/>
  <c r="G149" i="2"/>
  <c r="G155" i="2"/>
  <c r="G160" i="2"/>
  <c r="G165" i="2"/>
  <c r="G171" i="2"/>
  <c r="G176" i="2"/>
  <c r="G181" i="2"/>
  <c r="G187" i="2"/>
  <c r="G192" i="2"/>
  <c r="G197" i="2"/>
  <c r="G203" i="2"/>
  <c r="G208" i="2"/>
  <c r="G213" i="2"/>
  <c r="G219" i="2"/>
  <c r="G224" i="2"/>
  <c r="G229" i="2"/>
  <c r="G235" i="2"/>
  <c r="G240" i="2"/>
  <c r="G245" i="2"/>
  <c r="G251" i="2"/>
  <c r="G256" i="2"/>
  <c r="G261" i="2"/>
  <c r="G267" i="2"/>
  <c r="G272" i="2"/>
  <c r="G277" i="2"/>
  <c r="G283" i="2"/>
  <c r="G288" i="2"/>
  <c r="G293" i="2"/>
  <c r="G299" i="2"/>
  <c r="G304" i="2"/>
  <c r="G309" i="2"/>
  <c r="G315" i="2"/>
  <c r="G320" i="2"/>
  <c r="G325" i="2"/>
  <c r="G331" i="2"/>
  <c r="G336" i="2"/>
  <c r="G341" i="2"/>
  <c r="G347" i="2"/>
  <c r="G351" i="2"/>
  <c r="G355" i="2"/>
  <c r="G359" i="2"/>
  <c r="G363" i="2"/>
  <c r="G367" i="2"/>
  <c r="G371" i="2"/>
  <c r="G375" i="2"/>
  <c r="G379" i="2"/>
  <c r="G383" i="2"/>
  <c r="G387" i="2"/>
  <c r="G391" i="2"/>
  <c r="G395" i="2"/>
  <c r="G399" i="2"/>
  <c r="G403" i="2"/>
  <c r="G407" i="2"/>
  <c r="G411" i="2"/>
  <c r="G415" i="2"/>
  <c r="G419" i="2"/>
  <c r="G423" i="2"/>
  <c r="G427" i="2"/>
  <c r="G431" i="2"/>
  <c r="G435" i="2"/>
  <c r="G439" i="2"/>
  <c r="G443" i="2"/>
  <c r="G447" i="2"/>
  <c r="G451" i="2"/>
  <c r="G455" i="2"/>
  <c r="G459" i="2"/>
  <c r="G463" i="2"/>
  <c r="G467" i="2"/>
  <c r="G471" i="2"/>
  <c r="G475" i="2"/>
  <c r="G479" i="2"/>
  <c r="G483" i="2"/>
  <c r="G487" i="2"/>
  <c r="G491" i="2"/>
  <c r="G495" i="2"/>
  <c r="G499" i="2"/>
  <c r="G503" i="2"/>
  <c r="G507" i="2"/>
  <c r="G511" i="2"/>
  <c r="G28" i="2"/>
  <c r="G71" i="2"/>
  <c r="G81" i="2"/>
  <c r="G92" i="2"/>
  <c r="G103" i="2"/>
  <c r="G113" i="2"/>
  <c r="G124" i="2"/>
  <c r="G135" i="2"/>
  <c r="G145" i="2"/>
  <c r="G156" i="2"/>
  <c r="G161" i="2"/>
  <c r="G172" i="2"/>
  <c r="G183" i="2"/>
  <c r="G193" i="2"/>
  <c r="G204" i="2"/>
  <c r="G215" i="2"/>
  <c r="G225" i="2"/>
  <c r="G236" i="2"/>
  <c r="G247" i="2"/>
  <c r="G257" i="2"/>
  <c r="G263" i="2"/>
  <c r="G273" i="2"/>
  <c r="G284" i="2"/>
  <c r="G289" i="2"/>
  <c r="G300" i="2"/>
  <c r="G311" i="2"/>
  <c r="G321" i="2"/>
  <c r="G332" i="2"/>
  <c r="G343" i="2"/>
  <c r="G352" i="2"/>
  <c r="G360" i="2"/>
  <c r="G368" i="2"/>
  <c r="G376" i="2"/>
  <c r="G384" i="2"/>
  <c r="G388" i="2"/>
  <c r="G396" i="2"/>
  <c r="G404" i="2"/>
  <c r="G412" i="2"/>
  <c r="G420" i="2"/>
  <c r="G428" i="2"/>
  <c r="G436" i="2"/>
  <c r="G444" i="2"/>
  <c r="G448" i="2"/>
  <c r="G456" i="2"/>
  <c r="G464" i="2"/>
  <c r="G472" i="2"/>
  <c r="G480" i="2"/>
  <c r="G488" i="2"/>
  <c r="G496" i="2"/>
  <c r="G500" i="2"/>
  <c r="G508" i="2"/>
  <c r="G19" i="2"/>
  <c r="G29" i="2"/>
  <c r="G45" i="2"/>
  <c r="G56" i="2"/>
  <c r="G67" i="2"/>
  <c r="G77" i="2"/>
  <c r="G88" i="2"/>
  <c r="G104" i="2"/>
  <c r="G109" i="2"/>
  <c r="G120" i="2"/>
  <c r="G131" i="2"/>
  <c r="G141" i="2"/>
  <c r="G157" i="2"/>
  <c r="G168" i="2"/>
  <c r="E4" i="2"/>
  <c r="G4" i="2" s="1"/>
  <c r="G12" i="2"/>
  <c r="G17" i="2"/>
  <c r="G23" i="2"/>
  <c r="G33" i="2"/>
  <c r="G39" i="2"/>
  <c r="G44" i="2"/>
  <c r="G49" i="2"/>
  <c r="G55" i="2"/>
  <c r="G60" i="2"/>
  <c r="G65" i="2"/>
  <c r="G76" i="2"/>
  <c r="G87" i="2"/>
  <c r="G97" i="2"/>
  <c r="G108" i="2"/>
  <c r="G119" i="2"/>
  <c r="G129" i="2"/>
  <c r="G140" i="2"/>
  <c r="G151" i="2"/>
  <c r="G167" i="2"/>
  <c r="G177" i="2"/>
  <c r="G188" i="2"/>
  <c r="G199" i="2"/>
  <c r="G209" i="2"/>
  <c r="G220" i="2"/>
  <c r="G231" i="2"/>
  <c r="G241" i="2"/>
  <c r="G252" i="2"/>
  <c r="G268" i="2"/>
  <c r="G279" i="2"/>
  <c r="G295" i="2"/>
  <c r="G305" i="2"/>
  <c r="G316" i="2"/>
  <c r="G327" i="2"/>
  <c r="G337" i="2"/>
  <c r="G348" i="2"/>
  <c r="G356" i="2"/>
  <c r="G364" i="2"/>
  <c r="G372" i="2"/>
  <c r="G380" i="2"/>
  <c r="G392" i="2"/>
  <c r="G400" i="2"/>
  <c r="G408" i="2"/>
  <c r="G416" i="2"/>
  <c r="G424" i="2"/>
  <c r="G432" i="2"/>
  <c r="G440" i="2"/>
  <c r="G452" i="2"/>
  <c r="G460" i="2"/>
  <c r="G468" i="2"/>
  <c r="G476" i="2"/>
  <c r="G484" i="2"/>
  <c r="G492" i="2"/>
  <c r="G504" i="2"/>
  <c r="G512" i="2"/>
  <c r="G24" i="2"/>
  <c r="G35" i="2"/>
  <c r="G40" i="2"/>
  <c r="G51" i="2"/>
  <c r="G61" i="2"/>
  <c r="G72" i="2"/>
  <c r="G83" i="2"/>
  <c r="G93" i="2"/>
  <c r="G99" i="2"/>
  <c r="G115" i="2"/>
  <c r="G125" i="2"/>
  <c r="G136" i="2"/>
  <c r="G147" i="2"/>
  <c r="G163" i="2"/>
  <c r="G173" i="2"/>
  <c r="G189" i="2"/>
  <c r="G13" i="2"/>
  <c r="G152" i="2"/>
  <c r="G179" i="2"/>
  <c r="G20" i="2"/>
  <c r="G41" i="2"/>
  <c r="G63" i="2"/>
  <c r="G84" i="2"/>
  <c r="G105" i="2"/>
  <c r="G127" i="2"/>
  <c r="G148" i="2"/>
  <c r="G169" i="2"/>
  <c r="G185" i="2"/>
  <c r="G200" i="2"/>
  <c r="G211" i="2"/>
  <c r="G221" i="2"/>
  <c r="G232" i="2"/>
  <c r="G243" i="2"/>
  <c r="G253" i="2"/>
  <c r="G264" i="2"/>
  <c r="G275" i="2"/>
  <c r="G285" i="2"/>
  <c r="G296" i="2"/>
  <c r="G307" i="2"/>
  <c r="G317" i="2"/>
  <c r="G328" i="2"/>
  <c r="G339" i="2"/>
  <c r="G349" i="2"/>
  <c r="G357" i="2"/>
  <c r="G365" i="2"/>
  <c r="G373" i="2"/>
  <c r="G381" i="2"/>
  <c r="G389" i="2"/>
  <c r="G397" i="2"/>
  <c r="G405" i="2"/>
  <c r="G413" i="2"/>
  <c r="G421" i="2"/>
  <c r="G429" i="2"/>
  <c r="G437" i="2"/>
  <c r="G445" i="2"/>
  <c r="G453" i="2"/>
  <c r="G461" i="2"/>
  <c r="G469" i="2"/>
  <c r="G477" i="2"/>
  <c r="G485" i="2"/>
  <c r="G493" i="2"/>
  <c r="G501" i="2"/>
  <c r="G509" i="2"/>
  <c r="G454" i="2"/>
  <c r="G478" i="2"/>
  <c r="G494" i="2"/>
  <c r="G510" i="2"/>
  <c r="G393" i="2"/>
  <c r="G433" i="2"/>
  <c r="G457" i="2"/>
  <c r="G465" i="2"/>
  <c r="G489" i="2"/>
  <c r="G57" i="2"/>
  <c r="G100" i="2"/>
  <c r="G164" i="2"/>
  <c r="G207" i="2"/>
  <c r="G239" i="2"/>
  <c r="G271" i="2"/>
  <c r="G292" i="2"/>
  <c r="G324" i="2"/>
  <c r="G354" i="2"/>
  <c r="G378" i="2"/>
  <c r="G402" i="2"/>
  <c r="G426" i="2"/>
  <c r="G458" i="2"/>
  <c r="G474" i="2"/>
  <c r="G498" i="2"/>
  <c r="G25" i="2"/>
  <c r="G47" i="2"/>
  <c r="G68" i="2"/>
  <c r="G89" i="2"/>
  <c r="G111" i="2"/>
  <c r="G132" i="2"/>
  <c r="G153" i="2"/>
  <c r="G175" i="2"/>
  <c r="G191" i="2"/>
  <c r="G201" i="2"/>
  <c r="G212" i="2"/>
  <c r="G223" i="2"/>
  <c r="G233" i="2"/>
  <c r="G244" i="2"/>
  <c r="G255" i="2"/>
  <c r="G265" i="2"/>
  <c r="G276" i="2"/>
  <c r="G287" i="2"/>
  <c r="G297" i="2"/>
  <c r="G308" i="2"/>
  <c r="G319" i="2"/>
  <c r="G329" i="2"/>
  <c r="G340" i="2"/>
  <c r="G350" i="2"/>
  <c r="G358" i="2"/>
  <c r="G366" i="2"/>
  <c r="G374" i="2"/>
  <c r="G382" i="2"/>
  <c r="G390" i="2"/>
  <c r="G398" i="2"/>
  <c r="G406" i="2"/>
  <c r="G414" i="2"/>
  <c r="G422" i="2"/>
  <c r="G430" i="2"/>
  <c r="G438" i="2"/>
  <c r="G446" i="2"/>
  <c r="G462" i="2"/>
  <c r="G470" i="2"/>
  <c r="G486" i="2"/>
  <c r="G502" i="2"/>
  <c r="G409" i="2"/>
  <c r="G425" i="2"/>
  <c r="G449" i="2"/>
  <c r="G473" i="2"/>
  <c r="G497" i="2"/>
  <c r="G36" i="2"/>
  <c r="G79" i="2"/>
  <c r="G143" i="2"/>
  <c r="G196" i="2"/>
  <c r="G228" i="2"/>
  <c r="G260" i="2"/>
  <c r="G303" i="2"/>
  <c r="G335" i="2"/>
  <c r="G362" i="2"/>
  <c r="G386" i="2"/>
  <c r="G410" i="2"/>
  <c r="G434" i="2"/>
  <c r="G450" i="2"/>
  <c r="G482" i="2"/>
  <c r="G506" i="2"/>
  <c r="G9" i="2"/>
  <c r="G31" i="2"/>
  <c r="G52" i="2"/>
  <c r="G73" i="2"/>
  <c r="G95" i="2"/>
  <c r="G116" i="2"/>
  <c r="G137" i="2"/>
  <c r="G159" i="2"/>
  <c r="G180" i="2"/>
  <c r="G195" i="2"/>
  <c r="G205" i="2"/>
  <c r="G216" i="2"/>
  <c r="G227" i="2"/>
  <c r="G237" i="2"/>
  <c r="G248" i="2"/>
  <c r="G259" i="2"/>
  <c r="G269" i="2"/>
  <c r="G280" i="2"/>
  <c r="G291" i="2"/>
  <c r="G301" i="2"/>
  <c r="G312" i="2"/>
  <c r="G323" i="2"/>
  <c r="G333" i="2"/>
  <c r="G344" i="2"/>
  <c r="G353" i="2"/>
  <c r="G361" i="2"/>
  <c r="G369" i="2"/>
  <c r="G377" i="2"/>
  <c r="G385" i="2"/>
  <c r="G401" i="2"/>
  <c r="G417" i="2"/>
  <c r="G441" i="2"/>
  <c r="G481" i="2"/>
  <c r="G505" i="2"/>
  <c r="G15" i="2"/>
  <c r="G121" i="2"/>
  <c r="G184" i="2"/>
  <c r="G217" i="2"/>
  <c r="G249" i="2"/>
  <c r="G281" i="2"/>
  <c r="G313" i="2"/>
  <c r="G345" i="2"/>
  <c r="G370" i="2"/>
  <c r="G394" i="2"/>
  <c r="G418" i="2"/>
  <c r="G442" i="2"/>
  <c r="G466" i="2"/>
  <c r="G490" i="2"/>
  <c r="E4" i="24"/>
  <c r="G4" i="24" s="1"/>
  <c r="G10" i="9"/>
  <c r="G14" i="9"/>
  <c r="G18" i="9"/>
  <c r="G22" i="9"/>
  <c r="G26" i="9"/>
  <c r="G30" i="9"/>
  <c r="G34" i="9"/>
  <c r="G38" i="9"/>
  <c r="G42" i="9"/>
  <c r="G46" i="9"/>
  <c r="G50" i="9"/>
  <c r="G54" i="9"/>
  <c r="G58" i="9"/>
  <c r="G62" i="9"/>
  <c r="G66" i="9"/>
  <c r="G17" i="9"/>
  <c r="G37" i="9"/>
  <c r="G45" i="9"/>
  <c r="G53" i="9"/>
  <c r="G61" i="9"/>
  <c r="G69" i="9"/>
  <c r="G11" i="9"/>
  <c r="G15" i="9"/>
  <c r="G19" i="9"/>
  <c r="G23" i="9"/>
  <c r="G27" i="9"/>
  <c r="G31" i="9"/>
  <c r="G35" i="9"/>
  <c r="G39" i="9"/>
  <c r="G43" i="9"/>
  <c r="G47" i="9"/>
  <c r="G51" i="9"/>
  <c r="G55" i="9"/>
  <c r="G59" i="9"/>
  <c r="G63" i="9"/>
  <c r="G67" i="9"/>
  <c r="E4" i="9"/>
  <c r="G4" i="9" s="1"/>
  <c r="G13" i="9"/>
  <c r="G12" i="9"/>
  <c r="G16" i="9"/>
  <c r="G20" i="9"/>
  <c r="G24" i="9"/>
  <c r="G28" i="9"/>
  <c r="G32" i="9"/>
  <c r="G36" i="9"/>
  <c r="G40" i="9"/>
  <c r="G44" i="9"/>
  <c r="G48" i="9"/>
  <c r="G52" i="9"/>
  <c r="G56" i="9"/>
  <c r="G60" i="9"/>
  <c r="G64" i="9"/>
  <c r="G68" i="9"/>
  <c r="G21" i="9"/>
  <c r="G25" i="9"/>
  <c r="G29" i="9"/>
  <c r="G33" i="9"/>
  <c r="G41" i="9"/>
  <c r="G49" i="9"/>
  <c r="G57" i="9"/>
  <c r="G65" i="9"/>
  <c r="G9" i="22"/>
  <c r="G9" i="28"/>
  <c r="G13" i="28"/>
  <c r="G17" i="28"/>
  <c r="G21" i="28"/>
  <c r="G25" i="28"/>
  <c r="G29" i="28"/>
  <c r="G33" i="28"/>
  <c r="G37" i="28"/>
  <c r="G41" i="28"/>
  <c r="G45" i="28"/>
  <c r="G49" i="28"/>
  <c r="G53" i="28"/>
  <c r="G57" i="28"/>
  <c r="G61" i="28"/>
  <c r="G65" i="28"/>
  <c r="G69" i="28"/>
  <c r="G73" i="28"/>
  <c r="G77" i="28"/>
  <c r="G81" i="28"/>
  <c r="G85" i="28"/>
  <c r="G89" i="28"/>
  <c r="G93" i="28"/>
  <c r="G97" i="28"/>
  <c r="G101" i="28"/>
  <c r="G105" i="28"/>
  <c r="G109" i="28"/>
  <c r="G113" i="28"/>
  <c r="G117" i="28"/>
  <c r="G121" i="28"/>
  <c r="G125" i="28"/>
  <c r="G129" i="28"/>
  <c r="G133" i="28"/>
  <c r="G137" i="28"/>
  <c r="G141" i="28"/>
  <c r="G145" i="28"/>
  <c r="G149" i="28"/>
  <c r="G153" i="28"/>
  <c r="G157" i="28"/>
  <c r="G161" i="28"/>
  <c r="G165" i="28"/>
  <c r="G169" i="28"/>
  <c r="G173" i="28"/>
  <c r="G177" i="28"/>
  <c r="G181" i="28"/>
  <c r="G185" i="28"/>
  <c r="G189" i="28"/>
  <c r="G193" i="28"/>
  <c r="G197" i="28"/>
  <c r="G201" i="28"/>
  <c r="G205" i="28"/>
  <c r="G209" i="28"/>
  <c r="G213" i="28"/>
  <c r="G217" i="28"/>
  <c r="G221" i="28"/>
  <c r="G225" i="28"/>
  <c r="G229" i="28"/>
  <c r="G233" i="28"/>
  <c r="G237" i="28"/>
  <c r="G241" i="28"/>
  <c r="G245" i="28"/>
  <c r="G249" i="28"/>
  <c r="G253" i="28"/>
  <c r="G257" i="28"/>
  <c r="G261" i="28"/>
  <c r="G265" i="28"/>
  <c r="G269" i="28"/>
  <c r="G273" i="28"/>
  <c r="G277" i="28"/>
  <c r="G281" i="28"/>
  <c r="G285" i="28"/>
  <c r="G289" i="28"/>
  <c r="G293" i="28"/>
  <c r="G297" i="28"/>
  <c r="G301" i="28"/>
  <c r="G305" i="28"/>
  <c r="G309" i="28"/>
  <c r="G313" i="28"/>
  <c r="G317" i="28"/>
  <c r="G321" i="28"/>
  <c r="G325" i="28"/>
  <c r="G329" i="28"/>
  <c r="G333" i="28"/>
  <c r="G337" i="28"/>
  <c r="G341" i="28"/>
  <c r="G345" i="28"/>
  <c r="G349" i="28"/>
  <c r="G353" i="28"/>
  <c r="G357" i="28"/>
  <c r="G361" i="28"/>
  <c r="G10" i="28"/>
  <c r="G14" i="28"/>
  <c r="G18" i="28"/>
  <c r="G22" i="28"/>
  <c r="G26" i="28"/>
  <c r="G30" i="28"/>
  <c r="G34" i="28"/>
  <c r="G38" i="28"/>
  <c r="G42" i="28"/>
  <c r="G46" i="28"/>
  <c r="G50" i="28"/>
  <c r="G54" i="28"/>
  <c r="G58" i="28"/>
  <c r="G62" i="28"/>
  <c r="G66" i="28"/>
  <c r="G70" i="28"/>
  <c r="G74" i="28"/>
  <c r="G78" i="28"/>
  <c r="G82" i="28"/>
  <c r="G86" i="28"/>
  <c r="G90" i="28"/>
  <c r="G94" i="28"/>
  <c r="G98" i="28"/>
  <c r="G102" i="28"/>
  <c r="G106" i="28"/>
  <c r="G110" i="28"/>
  <c r="G114" i="28"/>
  <c r="G118" i="28"/>
  <c r="G122" i="28"/>
  <c r="G126" i="28"/>
  <c r="G130" i="28"/>
  <c r="G134" i="28"/>
  <c r="G138" i="28"/>
  <c r="G142" i="28"/>
  <c r="G146" i="28"/>
  <c r="G150" i="28"/>
  <c r="G154" i="28"/>
  <c r="G158" i="28"/>
  <c r="G162" i="28"/>
  <c r="G166" i="28"/>
  <c r="G170" i="28"/>
  <c r="G174" i="28"/>
  <c r="G178" i="28"/>
  <c r="G182" i="28"/>
  <c r="G186" i="28"/>
  <c r="G190" i="28"/>
  <c r="G194" i="28"/>
  <c r="G198" i="28"/>
  <c r="G202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278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354" i="28"/>
  <c r="G358" i="28"/>
  <c r="G362" i="28"/>
  <c r="G15" i="28"/>
  <c r="G23" i="28"/>
  <c r="G31" i="28"/>
  <c r="G39" i="28"/>
  <c r="G47" i="28"/>
  <c r="G55" i="28"/>
  <c r="G63" i="28"/>
  <c r="G71" i="28"/>
  <c r="G79" i="28"/>
  <c r="G87" i="28"/>
  <c r="G95" i="28"/>
  <c r="G103" i="28"/>
  <c r="G111" i="28"/>
  <c r="G119" i="28"/>
  <c r="G127" i="28"/>
  <c r="G135" i="28"/>
  <c r="G143" i="28"/>
  <c r="G151" i="28"/>
  <c r="G159" i="28"/>
  <c r="G167" i="28"/>
  <c r="G175" i="28"/>
  <c r="G183" i="28"/>
  <c r="G191" i="28"/>
  <c r="G199" i="28"/>
  <c r="G207" i="28"/>
  <c r="G215" i="28"/>
  <c r="G223" i="28"/>
  <c r="G231" i="28"/>
  <c r="G239" i="28"/>
  <c r="G247" i="28"/>
  <c r="G255" i="28"/>
  <c r="G263" i="28"/>
  <c r="G271" i="28"/>
  <c r="G279" i="28"/>
  <c r="G287" i="28"/>
  <c r="G295" i="28"/>
  <c r="G303" i="28"/>
  <c r="G311" i="28"/>
  <c r="G319" i="28"/>
  <c r="G327" i="28"/>
  <c r="G335" i="28"/>
  <c r="G343" i="28"/>
  <c r="G351" i="28"/>
  <c r="G359" i="28"/>
  <c r="G16" i="28"/>
  <c r="G24" i="28"/>
  <c r="G32" i="28"/>
  <c r="G40" i="28"/>
  <c r="G48" i="28"/>
  <c r="G56" i="28"/>
  <c r="G64" i="28"/>
  <c r="G72" i="28"/>
  <c r="G80" i="28"/>
  <c r="G88" i="28"/>
  <c r="G96" i="28"/>
  <c r="G104" i="28"/>
  <c r="G112" i="28"/>
  <c r="G120" i="28"/>
  <c r="G128" i="28"/>
  <c r="G136" i="28"/>
  <c r="G144" i="28"/>
  <c r="G152" i="28"/>
  <c r="G160" i="28"/>
  <c r="G168" i="28"/>
  <c r="G176" i="28"/>
  <c r="G184" i="28"/>
  <c r="G192" i="28"/>
  <c r="G200" i="28"/>
  <c r="G208" i="28"/>
  <c r="G216" i="28"/>
  <c r="G224" i="28"/>
  <c r="G232" i="28"/>
  <c r="G240" i="28"/>
  <c r="G248" i="28"/>
  <c r="G256" i="28"/>
  <c r="G264" i="28"/>
  <c r="G272" i="28"/>
  <c r="G280" i="28"/>
  <c r="G288" i="28"/>
  <c r="G296" i="28"/>
  <c r="G304" i="28"/>
  <c r="G312" i="28"/>
  <c r="G320" i="28"/>
  <c r="G328" i="28"/>
  <c r="G336" i="28"/>
  <c r="G344" i="28"/>
  <c r="G352" i="28"/>
  <c r="G360" i="28"/>
  <c r="G11" i="28"/>
  <c r="G19" i="28"/>
  <c r="G27" i="28"/>
  <c r="G35" i="28"/>
  <c r="G43" i="28"/>
  <c r="G51" i="28"/>
  <c r="G59" i="28"/>
  <c r="G67" i="28"/>
  <c r="G75" i="28"/>
  <c r="G83" i="28"/>
  <c r="G91" i="28"/>
  <c r="G99" i="28"/>
  <c r="G107" i="28"/>
  <c r="G115" i="28"/>
  <c r="G123" i="28"/>
  <c r="G131" i="28"/>
  <c r="G139" i="28"/>
  <c r="G147" i="28"/>
  <c r="G155" i="28"/>
  <c r="G163" i="28"/>
  <c r="G171" i="28"/>
  <c r="G179" i="28"/>
  <c r="G187" i="28"/>
  <c r="G195" i="28"/>
  <c r="G203" i="28"/>
  <c r="G211" i="28"/>
  <c r="G219" i="28"/>
  <c r="G227" i="28"/>
  <c r="G235" i="28"/>
  <c r="G243" i="28"/>
  <c r="G251" i="28"/>
  <c r="G259" i="28"/>
  <c r="G267" i="28"/>
  <c r="G275" i="28"/>
  <c r="G283" i="28"/>
  <c r="G291" i="28"/>
  <c r="G299" i="28"/>
  <c r="G307" i="28"/>
  <c r="G315" i="28"/>
  <c r="G323" i="28"/>
  <c r="G331" i="28"/>
  <c r="G339" i="28"/>
  <c r="G347" i="28"/>
  <c r="G355" i="28"/>
  <c r="G363" i="28"/>
  <c r="G28" i="28"/>
  <c r="G60" i="28"/>
  <c r="G92" i="28"/>
  <c r="G124" i="28"/>
  <c r="G156" i="28"/>
  <c r="G188" i="28"/>
  <c r="G220" i="28"/>
  <c r="G252" i="28"/>
  <c r="G284" i="28"/>
  <c r="G316" i="28"/>
  <c r="G348" i="28"/>
  <c r="G36" i="28"/>
  <c r="G68" i="28"/>
  <c r="G100" i="28"/>
  <c r="G132" i="28"/>
  <c r="G164" i="28"/>
  <c r="G196" i="28"/>
  <c r="G228" i="28"/>
  <c r="G260" i="28"/>
  <c r="G292" i="28"/>
  <c r="G324" i="28"/>
  <c r="G356" i="28"/>
  <c r="G12" i="28"/>
  <c r="G44" i="28"/>
  <c r="G76" i="28"/>
  <c r="G108" i="28"/>
  <c r="G140" i="28"/>
  <c r="G172" i="28"/>
  <c r="G204" i="28"/>
  <c r="G236" i="28"/>
  <c r="G268" i="28"/>
  <c r="G300" i="28"/>
  <c r="G332" i="28"/>
  <c r="G364" i="28"/>
  <c r="G20" i="28"/>
  <c r="G52" i="28"/>
  <c r="G84" i="28"/>
  <c r="G116" i="28"/>
  <c r="G148" i="28"/>
  <c r="G180" i="28"/>
  <c r="G212" i="28"/>
  <c r="G244" i="28"/>
  <c r="G276" i="28"/>
  <c r="G308" i="28"/>
  <c r="G340" i="28"/>
  <c r="G9" i="13"/>
  <c r="G13" i="13"/>
  <c r="G17" i="13"/>
  <c r="G21" i="13"/>
  <c r="G25" i="13"/>
  <c r="G29" i="13"/>
  <c r="G33" i="13"/>
  <c r="G37" i="13"/>
  <c r="G41" i="13"/>
  <c r="G45" i="13"/>
  <c r="G49" i="13"/>
  <c r="G53" i="13"/>
  <c r="G57" i="13"/>
  <c r="G61" i="13"/>
  <c r="G65" i="13"/>
  <c r="G69" i="13"/>
  <c r="G10" i="13"/>
  <c r="G14" i="13"/>
  <c r="G18" i="13"/>
  <c r="G22" i="13"/>
  <c r="G26" i="13"/>
  <c r="G30" i="13"/>
  <c r="G34" i="13"/>
  <c r="G38" i="13"/>
  <c r="G42" i="13"/>
  <c r="G46" i="13"/>
  <c r="G50" i="13"/>
  <c r="G54" i="13"/>
  <c r="G58" i="13"/>
  <c r="G62" i="13"/>
  <c r="G66" i="13"/>
  <c r="G11" i="13"/>
  <c r="G15" i="13"/>
  <c r="G19" i="13"/>
  <c r="G23" i="13"/>
  <c r="G27" i="13"/>
  <c r="G31" i="13"/>
  <c r="G35" i="13"/>
  <c r="G39" i="13"/>
  <c r="G43" i="13"/>
  <c r="G47" i="13"/>
  <c r="G51" i="13"/>
  <c r="G55" i="13"/>
  <c r="G59" i="13"/>
  <c r="G63" i="13"/>
  <c r="G67" i="13"/>
  <c r="G12" i="13"/>
  <c r="G16" i="13"/>
  <c r="G20" i="13"/>
  <c r="G24" i="13"/>
  <c r="G28" i="13"/>
  <c r="G32" i="13"/>
  <c r="G36" i="13"/>
  <c r="G40" i="13"/>
  <c r="G44" i="13"/>
  <c r="G48" i="13"/>
  <c r="G52" i="13"/>
  <c r="G56" i="13"/>
  <c r="G60" i="13"/>
  <c r="G64" i="13"/>
  <c r="G68" i="13"/>
  <c r="G9" i="16"/>
  <c r="G13" i="16"/>
  <c r="G17" i="16"/>
  <c r="G21" i="16"/>
  <c r="G25" i="16"/>
  <c r="G29" i="16"/>
  <c r="G33" i="16"/>
  <c r="G37" i="16"/>
  <c r="G41" i="16"/>
  <c r="G45" i="16"/>
  <c r="G49" i="16"/>
  <c r="G53" i="16"/>
  <c r="G57" i="16"/>
  <c r="G61" i="16"/>
  <c r="G65" i="16"/>
  <c r="G69" i="16"/>
  <c r="G10" i="16"/>
  <c r="G14" i="16"/>
  <c r="G18" i="16"/>
  <c r="G22" i="16"/>
  <c r="G26" i="16"/>
  <c r="G30" i="16"/>
  <c r="G34" i="16"/>
  <c r="G38" i="16"/>
  <c r="G42" i="16"/>
  <c r="G46" i="16"/>
  <c r="G50" i="16"/>
  <c r="G54" i="16"/>
  <c r="G58" i="16"/>
  <c r="G62" i="16"/>
  <c r="G66" i="16"/>
  <c r="G11" i="16"/>
  <c r="G15" i="16"/>
  <c r="G19" i="16"/>
  <c r="G23" i="16"/>
  <c r="G27" i="16"/>
  <c r="G31" i="16"/>
  <c r="G35" i="16"/>
  <c r="G39" i="16"/>
  <c r="G43" i="16"/>
  <c r="G47" i="16"/>
  <c r="G51" i="16"/>
  <c r="G55" i="16"/>
  <c r="G59" i="16"/>
  <c r="G63" i="16"/>
  <c r="G67" i="16"/>
  <c r="G12" i="16"/>
  <c r="G16" i="16"/>
  <c r="G20" i="16"/>
  <c r="G24" i="16"/>
  <c r="G28" i="16"/>
  <c r="G32" i="16"/>
  <c r="G36" i="16"/>
  <c r="G40" i="16"/>
  <c r="G44" i="16"/>
  <c r="G48" i="16"/>
  <c r="G52" i="16"/>
  <c r="G56" i="16"/>
  <c r="G60" i="16"/>
  <c r="G64" i="16"/>
  <c r="G68" i="16"/>
  <c r="G11" i="19"/>
  <c r="G15" i="19"/>
  <c r="G19" i="19"/>
  <c r="G23" i="19"/>
  <c r="G27" i="19"/>
  <c r="G31" i="19"/>
  <c r="G35" i="19"/>
  <c r="G39" i="19"/>
  <c r="G43" i="19"/>
  <c r="G47" i="19"/>
  <c r="G51" i="19"/>
  <c r="G55" i="19"/>
  <c r="G59" i="19"/>
  <c r="G63" i="19"/>
  <c r="G67" i="19"/>
  <c r="G71" i="19"/>
  <c r="G75" i="19"/>
  <c r="G79" i="19"/>
  <c r="G83" i="19"/>
  <c r="G87" i="19"/>
  <c r="G91" i="19"/>
  <c r="G95" i="19"/>
  <c r="G99" i="19"/>
  <c r="G103" i="19"/>
  <c r="G107" i="19"/>
  <c r="G111" i="19"/>
  <c r="G115" i="19"/>
  <c r="G119" i="19"/>
  <c r="G123" i="19"/>
  <c r="G127" i="19"/>
  <c r="G131" i="19"/>
  <c r="G135" i="19"/>
  <c r="G139" i="19"/>
  <c r="G143" i="19"/>
  <c r="G147" i="19"/>
  <c r="G151" i="19"/>
  <c r="G155" i="19"/>
  <c r="G159" i="19"/>
  <c r="G163" i="19"/>
  <c r="G167" i="19"/>
  <c r="G171" i="19"/>
  <c r="G12" i="19"/>
  <c r="G16" i="19"/>
  <c r="G20" i="19"/>
  <c r="G24" i="19"/>
  <c r="G28" i="19"/>
  <c r="G32" i="19"/>
  <c r="G36" i="19"/>
  <c r="G40" i="19"/>
  <c r="G44" i="19"/>
  <c r="G48" i="19"/>
  <c r="G52" i="19"/>
  <c r="G56" i="19"/>
  <c r="G60" i="19"/>
  <c r="G64" i="19"/>
  <c r="G68" i="19"/>
  <c r="G72" i="19"/>
  <c r="G76" i="19"/>
  <c r="G80" i="19"/>
  <c r="G84" i="19"/>
  <c r="G88" i="19"/>
  <c r="G92" i="19"/>
  <c r="G96" i="19"/>
  <c r="G100" i="19"/>
  <c r="G104" i="19"/>
  <c r="G108" i="19"/>
  <c r="G112" i="19"/>
  <c r="G116" i="19"/>
  <c r="G120" i="19"/>
  <c r="G124" i="19"/>
  <c r="G128" i="19"/>
  <c r="G132" i="19"/>
  <c r="G136" i="19"/>
  <c r="G140" i="19"/>
  <c r="G144" i="19"/>
  <c r="G148" i="19"/>
  <c r="G152" i="19"/>
  <c r="G156" i="19"/>
  <c r="G160" i="19"/>
  <c r="G164" i="19"/>
  <c r="G168" i="19"/>
  <c r="G172" i="19"/>
  <c r="G9" i="19"/>
  <c r="G13" i="19"/>
  <c r="G17" i="19"/>
  <c r="G21" i="19"/>
  <c r="G25" i="19"/>
  <c r="G29" i="19"/>
  <c r="G33" i="19"/>
  <c r="G37" i="19"/>
  <c r="G41" i="19"/>
  <c r="G45" i="19"/>
  <c r="G49" i="19"/>
  <c r="G53" i="19"/>
  <c r="G57" i="19"/>
  <c r="G61" i="19"/>
  <c r="G65" i="19"/>
  <c r="G69" i="19"/>
  <c r="G73" i="19"/>
  <c r="G77" i="19"/>
  <c r="G81" i="19"/>
  <c r="G85" i="19"/>
  <c r="G89" i="19"/>
  <c r="G93" i="19"/>
  <c r="G97" i="19"/>
  <c r="G101" i="19"/>
  <c r="G105" i="19"/>
  <c r="G109" i="19"/>
  <c r="G113" i="19"/>
  <c r="G117" i="19"/>
  <c r="G121" i="19"/>
  <c r="G125" i="19"/>
  <c r="G129" i="19"/>
  <c r="G133" i="19"/>
  <c r="G137" i="19"/>
  <c r="G141" i="19"/>
  <c r="G145" i="19"/>
  <c r="G149" i="19"/>
  <c r="G153" i="19"/>
  <c r="G157" i="19"/>
  <c r="G161" i="19"/>
  <c r="G165" i="19"/>
  <c r="G169" i="19"/>
  <c r="G18" i="19"/>
  <c r="G34" i="19"/>
  <c r="G50" i="19"/>
  <c r="G66" i="19"/>
  <c r="G82" i="19"/>
  <c r="G98" i="19"/>
  <c r="G114" i="19"/>
  <c r="G130" i="19"/>
  <c r="G146" i="19"/>
  <c r="G162" i="19"/>
  <c r="G22" i="19"/>
  <c r="G38" i="19"/>
  <c r="G54" i="19"/>
  <c r="G70" i="19"/>
  <c r="G86" i="19"/>
  <c r="G102" i="19"/>
  <c r="G118" i="19"/>
  <c r="G134" i="19"/>
  <c r="G150" i="19"/>
  <c r="G166" i="19"/>
  <c r="G10" i="19"/>
  <c r="G26" i="19"/>
  <c r="G42" i="19"/>
  <c r="G58" i="19"/>
  <c r="G74" i="19"/>
  <c r="G90" i="19"/>
  <c r="G106" i="19"/>
  <c r="G122" i="19"/>
  <c r="G138" i="19"/>
  <c r="G154" i="19"/>
  <c r="G170" i="19"/>
  <c r="G14" i="19"/>
  <c r="G30" i="19"/>
  <c r="G46" i="19"/>
  <c r="G62" i="19"/>
  <c r="G78" i="19"/>
  <c r="G94" i="19"/>
  <c r="G110" i="19"/>
  <c r="G126" i="19"/>
  <c r="G142" i="19"/>
  <c r="G158" i="19"/>
  <c r="G9" i="20"/>
  <c r="G13" i="20"/>
  <c r="G17" i="20"/>
  <c r="G21" i="20"/>
  <c r="G25" i="20"/>
  <c r="G29" i="20"/>
  <c r="G33" i="20"/>
  <c r="G37" i="20"/>
  <c r="G41" i="20"/>
  <c r="G45" i="20"/>
  <c r="G49" i="20"/>
  <c r="G53" i="20"/>
  <c r="G57" i="20"/>
  <c r="G61" i="20"/>
  <c r="G65" i="20"/>
  <c r="G69" i="20"/>
  <c r="G73" i="20"/>
  <c r="G77" i="20"/>
  <c r="G81" i="20"/>
  <c r="G85" i="20"/>
  <c r="G89" i="20"/>
  <c r="G93" i="20"/>
  <c r="G97" i="20"/>
  <c r="G101" i="20"/>
  <c r="G105" i="20"/>
  <c r="G109" i="20"/>
  <c r="G113" i="20"/>
  <c r="G117" i="20"/>
  <c r="G121" i="20"/>
  <c r="G10" i="20"/>
  <c r="G14" i="20"/>
  <c r="G18" i="20"/>
  <c r="G22" i="20"/>
  <c r="G26" i="20"/>
  <c r="G30" i="20"/>
  <c r="G34" i="20"/>
  <c r="G38" i="20"/>
  <c r="G42" i="20"/>
  <c r="G46" i="20"/>
  <c r="G50" i="20"/>
  <c r="G54" i="20"/>
  <c r="G58" i="20"/>
  <c r="G62" i="20"/>
  <c r="G66" i="20"/>
  <c r="G70" i="20"/>
  <c r="G74" i="20"/>
  <c r="G78" i="20"/>
  <c r="G82" i="20"/>
  <c r="G86" i="20"/>
  <c r="G90" i="20"/>
  <c r="G94" i="20"/>
  <c r="G98" i="20"/>
  <c r="G102" i="20"/>
  <c r="G106" i="20"/>
  <c r="G110" i="20"/>
  <c r="G114" i="20"/>
  <c r="G118" i="20"/>
  <c r="G122" i="20"/>
  <c r="G11" i="20"/>
  <c r="G15" i="20"/>
  <c r="G19" i="20"/>
  <c r="G23" i="20"/>
  <c r="G27" i="20"/>
  <c r="G31" i="20"/>
  <c r="G35" i="20"/>
  <c r="G39" i="20"/>
  <c r="G43" i="20"/>
  <c r="G47" i="20"/>
  <c r="G51" i="20"/>
  <c r="G55" i="20"/>
  <c r="G59" i="20"/>
  <c r="G63" i="20"/>
  <c r="G67" i="20"/>
  <c r="G71" i="20"/>
  <c r="G75" i="20"/>
  <c r="G79" i="20"/>
  <c r="G83" i="20"/>
  <c r="G87" i="20"/>
  <c r="G91" i="20"/>
  <c r="G95" i="20"/>
  <c r="G99" i="20"/>
  <c r="G103" i="20"/>
  <c r="G107" i="20"/>
  <c r="G111" i="20"/>
  <c r="G115" i="20"/>
  <c r="G119" i="20"/>
  <c r="G20" i="20"/>
  <c r="G36" i="20"/>
  <c r="G52" i="20"/>
  <c r="G68" i="20"/>
  <c r="G84" i="20"/>
  <c r="G100" i="20"/>
  <c r="G116" i="20"/>
  <c r="G24" i="20"/>
  <c r="G40" i="20"/>
  <c r="G56" i="20"/>
  <c r="G72" i="20"/>
  <c r="G88" i="20"/>
  <c r="G104" i="20"/>
  <c r="G120" i="20"/>
  <c r="G12" i="20"/>
  <c r="G28" i="20"/>
  <c r="G44" i="20"/>
  <c r="G60" i="20"/>
  <c r="G76" i="20"/>
  <c r="G92" i="20"/>
  <c r="G108" i="20"/>
  <c r="G16" i="20"/>
  <c r="G32" i="20"/>
  <c r="G48" i="20"/>
  <c r="G64" i="20"/>
  <c r="G80" i="20"/>
  <c r="G96" i="20"/>
  <c r="G112" i="20"/>
  <c r="G10" i="5"/>
  <c r="G14" i="5"/>
  <c r="G18" i="5"/>
  <c r="G22" i="5"/>
  <c r="G26" i="5"/>
  <c r="G30" i="5"/>
  <c r="G34" i="5"/>
  <c r="G38" i="5"/>
  <c r="G42" i="5"/>
  <c r="G46" i="5"/>
  <c r="G50" i="5"/>
  <c r="G54" i="5"/>
  <c r="G58" i="5"/>
  <c r="G62" i="5"/>
  <c r="G66" i="5"/>
  <c r="G70" i="5"/>
  <c r="G74" i="5"/>
  <c r="G78" i="5"/>
  <c r="G82" i="5"/>
  <c r="G86" i="5"/>
  <c r="G90" i="5"/>
  <c r="G94" i="5"/>
  <c r="G98" i="5"/>
  <c r="G102" i="5"/>
  <c r="G106" i="5"/>
  <c r="G110" i="5"/>
  <c r="G114" i="5"/>
  <c r="G118" i="5"/>
  <c r="G122" i="5"/>
  <c r="G126" i="5"/>
  <c r="G130" i="5"/>
  <c r="G134" i="5"/>
  <c r="G138" i="5"/>
  <c r="G142" i="5"/>
  <c r="G146" i="5"/>
  <c r="G150" i="5"/>
  <c r="G154" i="5"/>
  <c r="G158" i="5"/>
  <c r="G162" i="5"/>
  <c r="G166" i="5"/>
  <c r="G170" i="5"/>
  <c r="G174" i="5"/>
  <c r="G178" i="5"/>
  <c r="G182" i="5"/>
  <c r="G186" i="5"/>
  <c r="G190" i="5"/>
  <c r="G194" i="5"/>
  <c r="G198" i="5"/>
  <c r="G202" i="5"/>
  <c r="G206" i="5"/>
  <c r="G210" i="5"/>
  <c r="G214" i="5"/>
  <c r="G218" i="5"/>
  <c r="G222" i="5"/>
  <c r="G226" i="5"/>
  <c r="G230" i="5"/>
  <c r="G234" i="5"/>
  <c r="G238" i="5"/>
  <c r="G242" i="5"/>
  <c r="G246" i="5"/>
  <c r="G250" i="5"/>
  <c r="G258" i="5"/>
  <c r="G262" i="5"/>
  <c r="G266" i="5"/>
  <c r="G270" i="5"/>
  <c r="G278" i="5"/>
  <c r="G282" i="5"/>
  <c r="G286" i="5"/>
  <c r="G291" i="5"/>
  <c r="G11" i="5"/>
  <c r="G15" i="5"/>
  <c r="G19" i="5"/>
  <c r="G23" i="5"/>
  <c r="G27" i="5"/>
  <c r="G31" i="5"/>
  <c r="G35" i="5"/>
  <c r="G39" i="5"/>
  <c r="G43" i="5"/>
  <c r="G47" i="5"/>
  <c r="G51" i="5"/>
  <c r="G55" i="5"/>
  <c r="G59" i="5"/>
  <c r="G63" i="5"/>
  <c r="G67" i="5"/>
  <c r="G71" i="5"/>
  <c r="G75" i="5"/>
  <c r="G79" i="5"/>
  <c r="G83" i="5"/>
  <c r="G87" i="5"/>
  <c r="G91" i="5"/>
  <c r="G95" i="5"/>
  <c r="G99" i="5"/>
  <c r="G103" i="5"/>
  <c r="G107" i="5"/>
  <c r="G111" i="5"/>
  <c r="G115" i="5"/>
  <c r="G119" i="5"/>
  <c r="G123" i="5"/>
  <c r="G127" i="5"/>
  <c r="G131" i="5"/>
  <c r="G135" i="5"/>
  <c r="G139" i="5"/>
  <c r="G143" i="5"/>
  <c r="G147" i="5"/>
  <c r="G151" i="5"/>
  <c r="G155" i="5"/>
  <c r="G159" i="5"/>
  <c r="G163" i="5"/>
  <c r="G167" i="5"/>
  <c r="G171" i="5"/>
  <c r="G175" i="5"/>
  <c r="G179" i="5"/>
  <c r="G183" i="5"/>
  <c r="G187" i="5"/>
  <c r="G191" i="5"/>
  <c r="G195" i="5"/>
  <c r="G199" i="5"/>
  <c r="G203" i="5"/>
  <c r="G207" i="5"/>
  <c r="G211" i="5"/>
  <c r="G215" i="5"/>
  <c r="G219" i="5"/>
  <c r="G223" i="5"/>
  <c r="G227" i="5"/>
  <c r="G231" i="5"/>
  <c r="G235" i="5"/>
  <c r="G239" i="5"/>
  <c r="G243" i="5"/>
  <c r="G247" i="5"/>
  <c r="G251" i="5"/>
  <c r="G255" i="5"/>
  <c r="G259" i="5"/>
  <c r="G263" i="5"/>
  <c r="G267" i="5"/>
  <c r="G271" i="5"/>
  <c r="G275" i="5"/>
  <c r="G279" i="5"/>
  <c r="G283" i="5"/>
  <c r="G287" i="5"/>
  <c r="G9" i="5"/>
  <c r="G12" i="5"/>
  <c r="G16" i="5"/>
  <c r="G20" i="5"/>
  <c r="G24" i="5"/>
  <c r="G28" i="5"/>
  <c r="G32" i="5"/>
  <c r="G36" i="5"/>
  <c r="G40" i="5"/>
  <c r="G44" i="5"/>
  <c r="G48" i="5"/>
  <c r="G52" i="5"/>
  <c r="G56" i="5"/>
  <c r="G60" i="5"/>
  <c r="G64" i="5"/>
  <c r="G68" i="5"/>
  <c r="G72" i="5"/>
  <c r="G76" i="5"/>
  <c r="G80" i="5"/>
  <c r="G84" i="5"/>
  <c r="G88" i="5"/>
  <c r="G92" i="5"/>
  <c r="G96" i="5"/>
  <c r="G100" i="5"/>
  <c r="G104" i="5"/>
  <c r="G108" i="5"/>
  <c r="G112" i="5"/>
  <c r="G116" i="5"/>
  <c r="G120" i="5"/>
  <c r="G124" i="5"/>
  <c r="G128" i="5"/>
  <c r="G132" i="5"/>
  <c r="G136" i="5"/>
  <c r="G140" i="5"/>
  <c r="G144" i="5"/>
  <c r="G148" i="5"/>
  <c r="G152" i="5"/>
  <c r="G156" i="5"/>
  <c r="G160" i="5"/>
  <c r="G164" i="5"/>
  <c r="G168" i="5"/>
  <c r="G172" i="5"/>
  <c r="G176" i="5"/>
  <c r="G180" i="5"/>
  <c r="G184" i="5"/>
  <c r="G188" i="5"/>
  <c r="G192" i="5"/>
  <c r="G196" i="5"/>
  <c r="G200" i="5"/>
  <c r="G204" i="5"/>
  <c r="G208" i="5"/>
  <c r="G212" i="5"/>
  <c r="G216" i="5"/>
  <c r="G220" i="5"/>
  <c r="G224" i="5"/>
  <c r="G228" i="5"/>
  <c r="G232" i="5"/>
  <c r="G236" i="5"/>
  <c r="G240" i="5"/>
  <c r="G244" i="5"/>
  <c r="G248" i="5"/>
  <c r="G252" i="5"/>
  <c r="G256" i="5"/>
  <c r="G260" i="5"/>
  <c r="G264" i="5"/>
  <c r="G268" i="5"/>
  <c r="G272" i="5"/>
  <c r="G276" i="5"/>
  <c r="G280" i="5"/>
  <c r="G284" i="5"/>
  <c r="G288" i="5"/>
  <c r="G13" i="5"/>
  <c r="G17" i="5"/>
  <c r="G21" i="5"/>
  <c r="G25" i="5"/>
  <c r="G29" i="5"/>
  <c r="G33" i="5"/>
  <c r="G37" i="5"/>
  <c r="G41" i="5"/>
  <c r="G45" i="5"/>
  <c r="G49" i="5"/>
  <c r="G53" i="5"/>
  <c r="G57" i="5"/>
  <c r="G61" i="5"/>
  <c r="G65" i="5"/>
  <c r="G69" i="5"/>
  <c r="G73" i="5"/>
  <c r="G77" i="5"/>
  <c r="G81" i="5"/>
  <c r="G85" i="5"/>
  <c r="G89" i="5"/>
  <c r="G93" i="5"/>
  <c r="G97" i="5"/>
  <c r="G101" i="5"/>
  <c r="G105" i="5"/>
  <c r="G109" i="5"/>
  <c r="G113" i="5"/>
  <c r="G117" i="5"/>
  <c r="G121" i="5"/>
  <c r="G125" i="5"/>
  <c r="G129" i="5"/>
  <c r="G133" i="5"/>
  <c r="G137" i="5"/>
  <c r="G141" i="5"/>
  <c r="G145" i="5"/>
  <c r="G149" i="5"/>
  <c r="G153" i="5"/>
  <c r="G157" i="5"/>
  <c r="G161" i="5"/>
  <c r="G165" i="5"/>
  <c r="G169" i="5"/>
  <c r="G173" i="5"/>
  <c r="G177" i="5"/>
  <c r="G181" i="5"/>
  <c r="G185" i="5"/>
  <c r="G189" i="5"/>
  <c r="G193" i="5"/>
  <c r="G197" i="5"/>
  <c r="G201" i="5"/>
  <c r="G205" i="5"/>
  <c r="G209" i="5"/>
  <c r="G213" i="5"/>
  <c r="G217" i="5"/>
  <c r="G221" i="5"/>
  <c r="G225" i="5"/>
  <c r="G229" i="5"/>
  <c r="G233" i="5"/>
  <c r="G237" i="5"/>
  <c r="G241" i="5"/>
  <c r="G245" i="5"/>
  <c r="G249" i="5"/>
  <c r="G253" i="5"/>
  <c r="G257" i="5"/>
  <c r="G261" i="5"/>
  <c r="G265" i="5"/>
  <c r="G269" i="5"/>
  <c r="G273" i="5"/>
  <c r="G277" i="5"/>
  <c r="G281" i="5"/>
  <c r="G285" i="5"/>
  <c r="G289" i="5"/>
  <c r="G12" i="10"/>
  <c r="G16" i="10"/>
  <c r="G20" i="10"/>
  <c r="G24" i="10"/>
  <c r="G28" i="10"/>
  <c r="G32" i="10"/>
  <c r="G36" i="10"/>
  <c r="G40" i="10"/>
  <c r="G44" i="10"/>
  <c r="G48" i="10"/>
  <c r="G52" i="10"/>
  <c r="G56" i="10"/>
  <c r="G60" i="10"/>
  <c r="G64" i="10"/>
  <c r="G68" i="10"/>
  <c r="G9" i="10"/>
  <c r="G13" i="10"/>
  <c r="G17" i="10"/>
  <c r="G21" i="10"/>
  <c r="G25" i="10"/>
  <c r="G29" i="10"/>
  <c r="G33" i="10"/>
  <c r="G37" i="10"/>
  <c r="G41" i="10"/>
  <c r="G45" i="10"/>
  <c r="G49" i="10"/>
  <c r="G53" i="10"/>
  <c r="G57" i="10"/>
  <c r="G61" i="10"/>
  <c r="G65" i="10"/>
  <c r="G69" i="10"/>
  <c r="G10" i="10"/>
  <c r="G14" i="10"/>
  <c r="G18" i="10"/>
  <c r="G22" i="10"/>
  <c r="G26" i="10"/>
  <c r="G30" i="10"/>
  <c r="G34" i="10"/>
  <c r="G38" i="10"/>
  <c r="G42" i="10"/>
  <c r="G46" i="10"/>
  <c r="G50" i="10"/>
  <c r="G54" i="10"/>
  <c r="G58" i="10"/>
  <c r="G62" i="10"/>
  <c r="G66" i="10"/>
  <c r="G11" i="10"/>
  <c r="G15" i="10"/>
  <c r="G19" i="10"/>
  <c r="G23" i="10"/>
  <c r="G27" i="10"/>
  <c r="G31" i="10"/>
  <c r="G35" i="10"/>
  <c r="G39" i="10"/>
  <c r="G43" i="10"/>
  <c r="G47" i="10"/>
  <c r="G51" i="10"/>
  <c r="G55" i="10"/>
  <c r="G59" i="10"/>
  <c r="G63" i="10"/>
  <c r="G67" i="10"/>
  <c r="G11" i="17"/>
  <c r="G15" i="17"/>
  <c r="G19" i="17"/>
  <c r="G23" i="17"/>
  <c r="G27" i="17"/>
  <c r="G31" i="17"/>
  <c r="G35" i="17"/>
  <c r="G39" i="17"/>
  <c r="G43" i="17"/>
  <c r="G47" i="17"/>
  <c r="G51" i="17"/>
  <c r="G55" i="17"/>
  <c r="G59" i="17"/>
  <c r="G63" i="17"/>
  <c r="G67" i="17"/>
  <c r="G71" i="17"/>
  <c r="G75" i="17"/>
  <c r="G79" i="17"/>
  <c r="G83" i="17"/>
  <c r="G87" i="17"/>
  <c r="G91" i="17"/>
  <c r="G95" i="17"/>
  <c r="G99" i="17"/>
  <c r="G103" i="17"/>
  <c r="G107" i="17"/>
  <c r="G111" i="17"/>
  <c r="G115" i="17"/>
  <c r="G119" i="17"/>
  <c r="G12" i="17"/>
  <c r="G16" i="17"/>
  <c r="G20" i="17"/>
  <c r="G24" i="17"/>
  <c r="G28" i="17"/>
  <c r="G32" i="17"/>
  <c r="G36" i="17"/>
  <c r="G40" i="17"/>
  <c r="G44" i="17"/>
  <c r="G48" i="17"/>
  <c r="G52" i="17"/>
  <c r="G56" i="17"/>
  <c r="G60" i="17"/>
  <c r="G64" i="17"/>
  <c r="G68" i="17"/>
  <c r="G72" i="17"/>
  <c r="G76" i="17"/>
  <c r="G80" i="17"/>
  <c r="G84" i="17"/>
  <c r="G88" i="17"/>
  <c r="G92" i="17"/>
  <c r="G96" i="17"/>
  <c r="G100" i="17"/>
  <c r="G104" i="17"/>
  <c r="G108" i="17"/>
  <c r="G112" i="17"/>
  <c r="G116" i="17"/>
  <c r="G120" i="17"/>
  <c r="G9" i="17"/>
  <c r="G13" i="17"/>
  <c r="G17" i="17"/>
  <c r="G21" i="17"/>
  <c r="G25" i="17"/>
  <c r="G29" i="17"/>
  <c r="G33" i="17"/>
  <c r="G37" i="17"/>
  <c r="G41" i="17"/>
  <c r="G45" i="17"/>
  <c r="G49" i="17"/>
  <c r="G53" i="17"/>
  <c r="G57" i="17"/>
  <c r="G61" i="17"/>
  <c r="G65" i="17"/>
  <c r="G69" i="17"/>
  <c r="G73" i="17"/>
  <c r="G77" i="17"/>
  <c r="G81" i="17"/>
  <c r="G85" i="17"/>
  <c r="G89" i="17"/>
  <c r="G93" i="17"/>
  <c r="G97" i="17"/>
  <c r="G101" i="17"/>
  <c r="G105" i="17"/>
  <c r="G109" i="17"/>
  <c r="G113" i="17"/>
  <c r="G117" i="17"/>
  <c r="G121" i="17"/>
  <c r="G10" i="17"/>
  <c r="G14" i="17"/>
  <c r="G18" i="17"/>
  <c r="G22" i="17"/>
  <c r="G26" i="17"/>
  <c r="G30" i="17"/>
  <c r="G34" i="17"/>
  <c r="G38" i="17"/>
  <c r="G42" i="17"/>
  <c r="G46" i="17"/>
  <c r="G50" i="17"/>
  <c r="G54" i="17"/>
  <c r="G58" i="17"/>
  <c r="G62" i="17"/>
  <c r="G66" i="17"/>
  <c r="G70" i="17"/>
  <c r="G74" i="17"/>
  <c r="G78" i="17"/>
  <c r="G82" i="17"/>
  <c r="G86" i="17"/>
  <c r="G90" i="17"/>
  <c r="G94" i="17"/>
  <c r="G98" i="17"/>
  <c r="G102" i="17"/>
  <c r="G106" i="17"/>
  <c r="G110" i="17"/>
  <c r="G114" i="17"/>
  <c r="G118" i="17"/>
  <c r="G122" i="17"/>
  <c r="G11" i="18"/>
  <c r="G12" i="18"/>
  <c r="G9" i="18"/>
  <c r="G13" i="18"/>
  <c r="G17" i="18"/>
  <c r="G21" i="18"/>
  <c r="G25" i="18"/>
  <c r="G29" i="18"/>
  <c r="G33" i="18"/>
  <c r="G37" i="18"/>
  <c r="G41" i="18"/>
  <c r="G45" i="18"/>
  <c r="G49" i="18"/>
  <c r="G53" i="18"/>
  <c r="G57" i="18"/>
  <c r="G61" i="18"/>
  <c r="G65" i="18"/>
  <c r="G69" i="18"/>
  <c r="G73" i="18"/>
  <c r="G77" i="18"/>
  <c r="G81" i="18"/>
  <c r="G85" i="18"/>
  <c r="G89" i="18"/>
  <c r="G93" i="18"/>
  <c r="G97" i="18"/>
  <c r="G101" i="18"/>
  <c r="G105" i="18"/>
  <c r="G109" i="18"/>
  <c r="G113" i="18"/>
  <c r="G117" i="18"/>
  <c r="G121" i="18"/>
  <c r="G14" i="18"/>
  <c r="G18" i="18"/>
  <c r="G22" i="18"/>
  <c r="G26" i="18"/>
  <c r="G30" i="18"/>
  <c r="G34" i="18"/>
  <c r="G38" i="18"/>
  <c r="G42" i="18"/>
  <c r="G46" i="18"/>
  <c r="G50" i="18"/>
  <c r="G54" i="18"/>
  <c r="G58" i="18"/>
  <c r="G62" i="18"/>
  <c r="G66" i="18"/>
  <c r="G70" i="18"/>
  <c r="G74" i="18"/>
  <c r="G78" i="18"/>
  <c r="G82" i="18"/>
  <c r="G86" i="18"/>
  <c r="G90" i="18"/>
  <c r="G94" i="18"/>
  <c r="G98" i="18"/>
  <c r="G102" i="18"/>
  <c r="G106" i="18"/>
  <c r="G110" i="18"/>
  <c r="G114" i="18"/>
  <c r="G118" i="18"/>
  <c r="G122" i="18"/>
  <c r="G15" i="18"/>
  <c r="G19" i="18"/>
  <c r="G23" i="18"/>
  <c r="G27" i="18"/>
  <c r="G31" i="18"/>
  <c r="G35" i="18"/>
  <c r="G39" i="18"/>
  <c r="G43" i="18"/>
  <c r="G47" i="18"/>
  <c r="G51" i="18"/>
  <c r="G55" i="18"/>
  <c r="G59" i="18"/>
  <c r="G63" i="18"/>
  <c r="G67" i="18"/>
  <c r="G71" i="18"/>
  <c r="G75" i="18"/>
  <c r="G79" i="18"/>
  <c r="G83" i="18"/>
  <c r="G87" i="18"/>
  <c r="G91" i="18"/>
  <c r="G95" i="18"/>
  <c r="G99" i="18"/>
  <c r="G103" i="18"/>
  <c r="G107" i="18"/>
  <c r="G111" i="18"/>
  <c r="G115" i="18"/>
  <c r="G119" i="18"/>
  <c r="G10" i="18"/>
  <c r="G16" i="18"/>
  <c r="G20" i="18"/>
  <c r="G24" i="18"/>
  <c r="G28" i="18"/>
  <c r="G32" i="18"/>
  <c r="G36" i="18"/>
  <c r="G40" i="18"/>
  <c r="G44" i="18"/>
  <c r="G48" i="18"/>
  <c r="G52" i="18"/>
  <c r="G56" i="18"/>
  <c r="G60" i="18"/>
  <c r="G64" i="18"/>
  <c r="G68" i="18"/>
  <c r="G72" i="18"/>
  <c r="G76" i="18"/>
  <c r="G80" i="18"/>
  <c r="G84" i="18"/>
  <c r="G88" i="18"/>
  <c r="G92" i="18"/>
  <c r="G96" i="18"/>
  <c r="G100" i="18"/>
  <c r="G104" i="18"/>
  <c r="G108" i="18"/>
  <c r="G112" i="18"/>
  <c r="G116" i="18"/>
  <c r="G120" i="18"/>
  <c r="G9" i="21"/>
  <c r="G13" i="21"/>
  <c r="G17" i="21"/>
  <c r="G21" i="21"/>
  <c r="G25" i="21"/>
  <c r="G29" i="21"/>
  <c r="G33" i="21"/>
  <c r="G37" i="21"/>
  <c r="G41" i="21"/>
  <c r="G45" i="21"/>
  <c r="G49" i="21"/>
  <c r="G53" i="21"/>
  <c r="G57" i="21"/>
  <c r="G61" i="21"/>
  <c r="G65" i="21"/>
  <c r="G69" i="21"/>
  <c r="G10" i="21"/>
  <c r="G14" i="21"/>
  <c r="G18" i="21"/>
  <c r="G22" i="21"/>
  <c r="G26" i="21"/>
  <c r="G30" i="21"/>
  <c r="G34" i="21"/>
  <c r="G38" i="21"/>
  <c r="G42" i="21"/>
  <c r="G46" i="21"/>
  <c r="G50" i="21"/>
  <c r="G54" i="21"/>
  <c r="G58" i="21"/>
  <c r="G62" i="21"/>
  <c r="G66" i="21"/>
  <c r="G70" i="21"/>
  <c r="G11" i="21"/>
  <c r="G15" i="21"/>
  <c r="G19" i="21"/>
  <c r="G23" i="21"/>
  <c r="G27" i="21"/>
  <c r="G31" i="21"/>
  <c r="G35" i="21"/>
  <c r="G39" i="21"/>
  <c r="G43" i="21"/>
  <c r="G47" i="21"/>
  <c r="G51" i="21"/>
  <c r="G55" i="21"/>
  <c r="G59" i="21"/>
  <c r="G63" i="21"/>
  <c r="G67" i="21"/>
  <c r="G71" i="21"/>
  <c r="G20" i="21"/>
  <c r="G36" i="21"/>
  <c r="G52" i="21"/>
  <c r="G68" i="21"/>
  <c r="G24" i="21"/>
  <c r="G40" i="21"/>
  <c r="G56" i="21"/>
  <c r="G72" i="21"/>
  <c r="G12" i="21"/>
  <c r="G28" i="21"/>
  <c r="G44" i="21"/>
  <c r="G60" i="21"/>
  <c r="G16" i="21"/>
  <c r="G32" i="21"/>
  <c r="G48" i="21"/>
  <c r="G64" i="21"/>
  <c r="G10" i="14"/>
  <c r="G14" i="14"/>
  <c r="G18" i="14"/>
  <c r="G22" i="14"/>
  <c r="G26" i="14"/>
  <c r="G30" i="14"/>
  <c r="G34" i="14"/>
  <c r="G38" i="14"/>
  <c r="G42" i="14"/>
  <c r="G46" i="14"/>
  <c r="G50" i="14"/>
  <c r="G54" i="14"/>
  <c r="G58" i="14"/>
  <c r="G62" i="14"/>
  <c r="G66" i="14"/>
  <c r="G70" i="14"/>
  <c r="G74" i="14"/>
  <c r="G11" i="14"/>
  <c r="G15" i="14"/>
  <c r="G19" i="14"/>
  <c r="G23" i="14"/>
  <c r="G27" i="14"/>
  <c r="G31" i="14"/>
  <c r="G35" i="14"/>
  <c r="G39" i="14"/>
  <c r="G43" i="14"/>
  <c r="G47" i="14"/>
  <c r="G51" i="14"/>
  <c r="G55" i="14"/>
  <c r="G59" i="14"/>
  <c r="G63" i="14"/>
  <c r="G67" i="14"/>
  <c r="G71" i="14"/>
  <c r="G75" i="14"/>
  <c r="G12" i="14"/>
  <c r="G16" i="14"/>
  <c r="G20" i="14"/>
  <c r="G24" i="14"/>
  <c r="G28" i="14"/>
  <c r="G32" i="14"/>
  <c r="G36" i="14"/>
  <c r="G40" i="14"/>
  <c r="G44" i="14"/>
  <c r="G48" i="14"/>
  <c r="G52" i="14"/>
  <c r="G56" i="14"/>
  <c r="G60" i="14"/>
  <c r="G64" i="14"/>
  <c r="G68" i="14"/>
  <c r="G72" i="14"/>
  <c r="G76" i="14"/>
  <c r="G9" i="14"/>
  <c r="G13" i="14"/>
  <c r="G17" i="14"/>
  <c r="G21" i="14"/>
  <c r="G25" i="14"/>
  <c r="G29" i="14"/>
  <c r="G33" i="14"/>
  <c r="G37" i="14"/>
  <c r="G41" i="14"/>
  <c r="G45" i="14"/>
  <c r="G49" i="14"/>
  <c r="G53" i="14"/>
  <c r="G57" i="14"/>
  <c r="G61" i="14"/>
  <c r="G65" i="14"/>
  <c r="G69" i="14"/>
  <c r="G73" i="14"/>
  <c r="G77" i="14"/>
  <c r="H9" i="7"/>
  <c r="G10" i="8"/>
  <c r="G14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11" i="8"/>
  <c r="G15" i="8"/>
  <c r="G19" i="8"/>
  <c r="G23" i="8"/>
  <c r="G27" i="8"/>
  <c r="G31" i="8"/>
  <c r="G35" i="8"/>
  <c r="G39" i="8"/>
  <c r="G43" i="8"/>
  <c r="G47" i="8"/>
  <c r="G51" i="8"/>
  <c r="G55" i="8"/>
  <c r="G59" i="8"/>
  <c r="G63" i="8"/>
  <c r="G67" i="8"/>
  <c r="G12" i="8"/>
  <c r="G16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9" i="8"/>
  <c r="G13" i="8"/>
  <c r="G17" i="8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12" i="11"/>
  <c r="G16" i="11"/>
  <c r="G20" i="11"/>
  <c r="G24" i="11"/>
  <c r="G28" i="11"/>
  <c r="G32" i="11"/>
  <c r="G36" i="11"/>
  <c r="G40" i="11"/>
  <c r="G44" i="11"/>
  <c r="G48" i="11"/>
  <c r="G52" i="11"/>
  <c r="G56" i="11"/>
  <c r="G60" i="11"/>
  <c r="G64" i="11"/>
  <c r="G68" i="11"/>
  <c r="G72" i="11"/>
  <c r="G76" i="11"/>
  <c r="G80" i="11"/>
  <c r="G84" i="11"/>
  <c r="G88" i="11"/>
  <c r="G92" i="11"/>
  <c r="G96" i="11"/>
  <c r="G100" i="11"/>
  <c r="G104" i="11"/>
  <c r="G108" i="11"/>
  <c r="G112" i="11"/>
  <c r="G116" i="11"/>
  <c r="G120" i="11"/>
  <c r="G124" i="11"/>
  <c r="G128" i="11"/>
  <c r="G132" i="11"/>
  <c r="G136" i="11"/>
  <c r="G140" i="11"/>
  <c r="G144" i="11"/>
  <c r="G148" i="11"/>
  <c r="G152" i="11"/>
  <c r="G156" i="11"/>
  <c r="G160" i="11"/>
  <c r="G164" i="11"/>
  <c r="G168" i="11"/>
  <c r="G172" i="11"/>
  <c r="G176" i="11"/>
  <c r="G180" i="11"/>
  <c r="G9" i="11"/>
  <c r="G13" i="11"/>
  <c r="G17" i="11"/>
  <c r="G21" i="11"/>
  <c r="G25" i="11"/>
  <c r="G29" i="11"/>
  <c r="G33" i="11"/>
  <c r="G37" i="11"/>
  <c r="G41" i="11"/>
  <c r="G45" i="11"/>
  <c r="G49" i="11"/>
  <c r="G53" i="11"/>
  <c r="G57" i="11"/>
  <c r="G61" i="11"/>
  <c r="G65" i="11"/>
  <c r="G69" i="11"/>
  <c r="G73" i="11"/>
  <c r="G77" i="11"/>
  <c r="G81" i="11"/>
  <c r="G85" i="11"/>
  <c r="G89" i="11"/>
  <c r="G93" i="11"/>
  <c r="G97" i="11"/>
  <c r="G101" i="11"/>
  <c r="G105" i="11"/>
  <c r="G109" i="11"/>
  <c r="G113" i="11"/>
  <c r="G117" i="11"/>
  <c r="G121" i="11"/>
  <c r="G125" i="11"/>
  <c r="G129" i="11"/>
  <c r="G133" i="11"/>
  <c r="G137" i="11"/>
  <c r="G141" i="11"/>
  <c r="G145" i="11"/>
  <c r="G149" i="11"/>
  <c r="G153" i="11"/>
  <c r="G157" i="11"/>
  <c r="G161" i="11"/>
  <c r="G165" i="11"/>
  <c r="G169" i="11"/>
  <c r="G173" i="11"/>
  <c r="G177" i="11"/>
  <c r="G10" i="11"/>
  <c r="G14" i="11"/>
  <c r="G18" i="11"/>
  <c r="G22" i="11"/>
  <c r="G26" i="11"/>
  <c r="G30" i="11"/>
  <c r="G34" i="11"/>
  <c r="G38" i="11"/>
  <c r="G42" i="11"/>
  <c r="G46" i="11"/>
  <c r="G50" i="11"/>
  <c r="G54" i="11"/>
  <c r="G58" i="11"/>
  <c r="G62" i="11"/>
  <c r="G66" i="11"/>
  <c r="G70" i="11"/>
  <c r="G74" i="11"/>
  <c r="G78" i="11"/>
  <c r="G82" i="11"/>
  <c r="G86" i="11"/>
  <c r="G90" i="11"/>
  <c r="G94" i="11"/>
  <c r="G98" i="11"/>
  <c r="G102" i="11"/>
  <c r="G106" i="11"/>
  <c r="G110" i="11"/>
  <c r="G114" i="11"/>
  <c r="G118" i="11"/>
  <c r="G122" i="11"/>
  <c r="G126" i="11"/>
  <c r="G130" i="11"/>
  <c r="G134" i="11"/>
  <c r="G138" i="11"/>
  <c r="G142" i="11"/>
  <c r="G146" i="11"/>
  <c r="G150" i="11"/>
  <c r="G154" i="11"/>
  <c r="G158" i="11"/>
  <c r="G162" i="11"/>
  <c r="G166" i="11"/>
  <c r="G170" i="11"/>
  <c r="G174" i="11"/>
  <c r="G178" i="11"/>
  <c r="G11" i="11"/>
  <c r="G15" i="11"/>
  <c r="G19" i="11"/>
  <c r="G23" i="11"/>
  <c r="G27" i="11"/>
  <c r="G31" i="11"/>
  <c r="G35" i="11"/>
  <c r="G39" i="11"/>
  <c r="G43" i="11"/>
  <c r="G47" i="11"/>
  <c r="G51" i="11"/>
  <c r="G55" i="11"/>
  <c r="G59" i="11"/>
  <c r="G63" i="11"/>
  <c r="G67" i="11"/>
  <c r="G71" i="11"/>
  <c r="G75" i="11"/>
  <c r="G79" i="11"/>
  <c r="G83" i="11"/>
  <c r="G87" i="11"/>
  <c r="G91" i="11"/>
  <c r="G95" i="11"/>
  <c r="G99" i="11"/>
  <c r="G103" i="11"/>
  <c r="G107" i="11"/>
  <c r="G111" i="11"/>
  <c r="G115" i="11"/>
  <c r="G119" i="11"/>
  <c r="G123" i="11"/>
  <c r="G127" i="11"/>
  <c r="G131" i="11"/>
  <c r="G135" i="11"/>
  <c r="G139" i="11"/>
  <c r="G143" i="11"/>
  <c r="G147" i="11"/>
  <c r="G151" i="11"/>
  <c r="G155" i="11"/>
  <c r="G159" i="11"/>
  <c r="G163" i="11"/>
  <c r="G167" i="11"/>
  <c r="G171" i="11"/>
  <c r="G175" i="11"/>
  <c r="G179" i="11"/>
  <c r="G9" i="23"/>
  <c r="G13" i="23"/>
  <c r="G17" i="23"/>
  <c r="G21" i="23"/>
  <c r="G25" i="23"/>
  <c r="G29" i="23"/>
  <c r="G33" i="23"/>
  <c r="G37" i="23"/>
  <c r="G41" i="23"/>
  <c r="G45" i="23"/>
  <c r="G49" i="23"/>
  <c r="G53" i="23"/>
  <c r="G57" i="23"/>
  <c r="G61" i="23"/>
  <c r="G65" i="23"/>
  <c r="G69" i="23"/>
  <c r="G73" i="23"/>
  <c r="G77" i="23"/>
  <c r="G81" i="23"/>
  <c r="G10" i="23"/>
  <c r="G14" i="23"/>
  <c r="G18" i="23"/>
  <c r="G22" i="23"/>
  <c r="G26" i="23"/>
  <c r="G30" i="23"/>
  <c r="G34" i="23"/>
  <c r="G38" i="23"/>
  <c r="G42" i="23"/>
  <c r="G46" i="23"/>
  <c r="G50" i="23"/>
  <c r="G54" i="23"/>
  <c r="G58" i="23"/>
  <c r="G62" i="23"/>
  <c r="G66" i="23"/>
  <c r="G70" i="23"/>
  <c r="G74" i="23"/>
  <c r="G78" i="23"/>
  <c r="G82" i="23"/>
  <c r="G11" i="23"/>
  <c r="G15" i="23"/>
  <c r="G19" i="23"/>
  <c r="G23" i="23"/>
  <c r="G27" i="23"/>
  <c r="G31" i="23"/>
  <c r="G35" i="23"/>
  <c r="G39" i="23"/>
  <c r="G43" i="23"/>
  <c r="G47" i="23"/>
  <c r="G51" i="23"/>
  <c r="G55" i="23"/>
  <c r="G59" i="23"/>
  <c r="G63" i="23"/>
  <c r="G67" i="23"/>
  <c r="G71" i="23"/>
  <c r="G75" i="23"/>
  <c r="G79" i="23"/>
  <c r="G12" i="23"/>
  <c r="G16" i="23"/>
  <c r="G20" i="23"/>
  <c r="G24" i="23"/>
  <c r="G28" i="23"/>
  <c r="G32" i="23"/>
  <c r="G36" i="23"/>
  <c r="G40" i="23"/>
  <c r="G44" i="23"/>
  <c r="G48" i="23"/>
  <c r="G52" i="23"/>
  <c r="G56" i="23"/>
  <c r="G60" i="23"/>
  <c r="G64" i="23"/>
  <c r="G80" i="23"/>
  <c r="G68" i="23"/>
  <c r="G72" i="23"/>
  <c r="G76" i="23"/>
  <c r="G9" i="24"/>
  <c r="G13" i="24"/>
  <c r="G17" i="24"/>
  <c r="G21" i="24"/>
  <c r="G25" i="24"/>
  <c r="G29" i="24"/>
  <c r="G33" i="24"/>
  <c r="G37" i="24"/>
  <c r="G41" i="24"/>
  <c r="G45" i="24"/>
  <c r="G49" i="24"/>
  <c r="G53" i="24"/>
  <c r="G57" i="24"/>
  <c r="G61" i="24"/>
  <c r="G65" i="24"/>
  <c r="G69" i="24"/>
  <c r="G10" i="24"/>
  <c r="G14" i="24"/>
  <c r="G18" i="24"/>
  <c r="G22" i="24"/>
  <c r="G26" i="24"/>
  <c r="G30" i="24"/>
  <c r="G34" i="24"/>
  <c r="G38" i="24"/>
  <c r="G42" i="24"/>
  <c r="G46" i="24"/>
  <c r="G50" i="24"/>
  <c r="G54" i="24"/>
  <c r="G58" i="24"/>
  <c r="G62" i="24"/>
  <c r="G66" i="24"/>
  <c r="G70" i="24"/>
  <c r="G11" i="24"/>
  <c r="G15" i="24"/>
  <c r="G19" i="24"/>
  <c r="G23" i="24"/>
  <c r="G27" i="24"/>
  <c r="G31" i="24"/>
  <c r="G35" i="24"/>
  <c r="G39" i="24"/>
  <c r="G43" i="24"/>
  <c r="G47" i="24"/>
  <c r="G51" i="24"/>
  <c r="G55" i="24"/>
  <c r="G59" i="24"/>
  <c r="G63" i="24"/>
  <c r="G67" i="24"/>
  <c r="G71" i="24"/>
  <c r="G12" i="24"/>
  <c r="G16" i="24"/>
  <c r="G20" i="24"/>
  <c r="G24" i="24"/>
  <c r="G28" i="24"/>
  <c r="G32" i="24"/>
  <c r="G36" i="24"/>
  <c r="G40" i="24"/>
  <c r="G44" i="24"/>
  <c r="G48" i="24"/>
  <c r="G52" i="24"/>
  <c r="G56" i="24"/>
  <c r="G60" i="24"/>
  <c r="G64" i="24"/>
  <c r="G68" i="24"/>
  <c r="G72" i="24"/>
  <c r="G10" i="25"/>
  <c r="G14" i="25"/>
  <c r="G18" i="25"/>
  <c r="G22" i="25"/>
  <c r="G26" i="25"/>
  <c r="G30" i="25"/>
  <c r="G34" i="25"/>
  <c r="G38" i="25"/>
  <c r="G42" i="25"/>
  <c r="G46" i="25"/>
  <c r="G50" i="25"/>
  <c r="G54" i="25"/>
  <c r="G58" i="25"/>
  <c r="G62" i="25"/>
  <c r="G66" i="25"/>
  <c r="G70" i="25"/>
  <c r="G74" i="25"/>
  <c r="G78" i="25"/>
  <c r="G82" i="25"/>
  <c r="G86" i="25"/>
  <c r="G90" i="25"/>
  <c r="G94" i="25"/>
  <c r="G98" i="25"/>
  <c r="G102" i="25"/>
  <c r="G106" i="25"/>
  <c r="G110" i="25"/>
  <c r="G11" i="25"/>
  <c r="G15" i="25"/>
  <c r="G19" i="25"/>
  <c r="G23" i="25"/>
  <c r="G27" i="25"/>
  <c r="G31" i="25"/>
  <c r="G35" i="25"/>
  <c r="G39" i="25"/>
  <c r="G43" i="25"/>
  <c r="G47" i="25"/>
  <c r="G51" i="25"/>
  <c r="G55" i="25"/>
  <c r="G59" i="25"/>
  <c r="G63" i="25"/>
  <c r="G67" i="25"/>
  <c r="G71" i="25"/>
  <c r="G75" i="25"/>
  <c r="G79" i="25"/>
  <c r="G83" i="25"/>
  <c r="G87" i="25"/>
  <c r="G91" i="25"/>
  <c r="G95" i="25"/>
  <c r="G99" i="25"/>
  <c r="G103" i="25"/>
  <c r="G107" i="25"/>
  <c r="G111" i="25"/>
  <c r="G12" i="25"/>
  <c r="G16" i="25"/>
  <c r="G20" i="25"/>
  <c r="G24" i="25"/>
  <c r="G28" i="25"/>
  <c r="G32" i="25"/>
  <c r="G36" i="25"/>
  <c r="G40" i="25"/>
  <c r="G44" i="25"/>
  <c r="G48" i="25"/>
  <c r="G52" i="25"/>
  <c r="G56" i="25"/>
  <c r="G60" i="25"/>
  <c r="G64" i="25"/>
  <c r="G68" i="25"/>
  <c r="G72" i="25"/>
  <c r="G76" i="25"/>
  <c r="G80" i="25"/>
  <c r="G84" i="25"/>
  <c r="G88" i="25"/>
  <c r="G92" i="25"/>
  <c r="G96" i="25"/>
  <c r="G100" i="25"/>
  <c r="G104" i="25"/>
  <c r="G108" i="25"/>
  <c r="G112" i="25"/>
  <c r="G9" i="25"/>
  <c r="G13" i="25"/>
  <c r="G17" i="25"/>
  <c r="G21" i="25"/>
  <c r="G25" i="25"/>
  <c r="G29" i="25"/>
  <c r="G33" i="25"/>
  <c r="G37" i="25"/>
  <c r="G41" i="25"/>
  <c r="G45" i="25"/>
  <c r="G49" i="25"/>
  <c r="G53" i="25"/>
  <c r="G57" i="25"/>
  <c r="G61" i="25"/>
  <c r="G65" i="25"/>
  <c r="G69" i="25"/>
  <c r="G73" i="25"/>
  <c r="G77" i="25"/>
  <c r="G81" i="25"/>
  <c r="G85" i="25"/>
  <c r="G89" i="25"/>
  <c r="G93" i="25"/>
  <c r="G97" i="25"/>
  <c r="G101" i="25"/>
  <c r="G105" i="25"/>
  <c r="G109" i="25"/>
  <c r="E236" i="27"/>
  <c r="G9" i="27"/>
  <c r="G13" i="27"/>
  <c r="G17" i="27"/>
  <c r="G21" i="27"/>
  <c r="G25" i="27"/>
  <c r="G29" i="27"/>
  <c r="G33" i="27"/>
  <c r="G37" i="27"/>
  <c r="G41" i="27"/>
  <c r="G45" i="27"/>
  <c r="G49" i="27"/>
  <c r="G53" i="27"/>
  <c r="G57" i="27"/>
  <c r="G61" i="27"/>
  <c r="G65" i="27"/>
  <c r="G69" i="27"/>
  <c r="G73" i="27"/>
  <c r="G77" i="27"/>
  <c r="G81" i="27"/>
  <c r="G85" i="27"/>
  <c r="G89" i="27"/>
  <c r="G93" i="27"/>
  <c r="G97" i="27"/>
  <c r="G101" i="27"/>
  <c r="G105" i="27"/>
  <c r="G109" i="27"/>
  <c r="G113" i="27"/>
  <c r="G117" i="27"/>
  <c r="G121" i="27"/>
  <c r="G125" i="27"/>
  <c r="G129" i="27"/>
  <c r="G133" i="27"/>
  <c r="G137" i="27"/>
  <c r="G141" i="27"/>
  <c r="G145" i="27"/>
  <c r="G149" i="27"/>
  <c r="G153" i="27"/>
  <c r="G157" i="27"/>
  <c r="G161" i="27"/>
  <c r="G165" i="27"/>
  <c r="G169" i="27"/>
  <c r="G173" i="27"/>
  <c r="G177" i="27"/>
  <c r="G181" i="27"/>
  <c r="G185" i="27"/>
  <c r="G189" i="27"/>
  <c r="G193" i="27"/>
  <c r="G197" i="27"/>
  <c r="G201" i="27"/>
  <c r="G205" i="27"/>
  <c r="G209" i="27"/>
  <c r="G213" i="27"/>
  <c r="G217" i="27"/>
  <c r="G221" i="27"/>
  <c r="G225" i="27"/>
  <c r="G229" i="27"/>
  <c r="G233" i="27"/>
  <c r="G10" i="27"/>
  <c r="G14" i="27"/>
  <c r="G18" i="27"/>
  <c r="G22" i="27"/>
  <c r="G26" i="27"/>
  <c r="G30" i="27"/>
  <c r="G34" i="27"/>
  <c r="G38" i="27"/>
  <c r="G42" i="27"/>
  <c r="G46" i="27"/>
  <c r="G50" i="27"/>
  <c r="G54" i="27"/>
  <c r="G58" i="27"/>
  <c r="G62" i="27"/>
  <c r="G66" i="27"/>
  <c r="G70" i="27"/>
  <c r="G74" i="27"/>
  <c r="G78" i="27"/>
  <c r="G82" i="27"/>
  <c r="G86" i="27"/>
  <c r="G90" i="27"/>
  <c r="G94" i="27"/>
  <c r="G98" i="27"/>
  <c r="G102" i="27"/>
  <c r="G106" i="27"/>
  <c r="G110" i="27"/>
  <c r="G114" i="27"/>
  <c r="G118" i="27"/>
  <c r="G122" i="27"/>
  <c r="G126" i="27"/>
  <c r="G130" i="27"/>
  <c r="G134" i="27"/>
  <c r="G138" i="27"/>
  <c r="G142" i="27"/>
  <c r="G146" i="27"/>
  <c r="G150" i="27"/>
  <c r="G154" i="27"/>
  <c r="G158" i="27"/>
  <c r="G162" i="27"/>
  <c r="G166" i="27"/>
  <c r="G170" i="27"/>
  <c r="G174" i="27"/>
  <c r="G178" i="27"/>
  <c r="G182" i="27"/>
  <c r="G186" i="27"/>
  <c r="G190" i="27"/>
  <c r="G194" i="27"/>
  <c r="G198" i="27"/>
  <c r="G202" i="27"/>
  <c r="G206" i="27"/>
  <c r="G210" i="27"/>
  <c r="G214" i="27"/>
  <c r="G218" i="27"/>
  <c r="G222" i="27"/>
  <c r="G226" i="27"/>
  <c r="G230" i="27"/>
  <c r="G234" i="27"/>
  <c r="G11" i="27"/>
  <c r="G19" i="27"/>
  <c r="G27" i="27"/>
  <c r="G35" i="27"/>
  <c r="G43" i="27"/>
  <c r="G51" i="27"/>
  <c r="G59" i="27"/>
  <c r="G67" i="27"/>
  <c r="G75" i="27"/>
  <c r="G83" i="27"/>
  <c r="G91" i="27"/>
  <c r="G99" i="27"/>
  <c r="G107" i="27"/>
  <c r="G115" i="27"/>
  <c r="G123" i="27"/>
  <c r="G131" i="27"/>
  <c r="G139" i="27"/>
  <c r="G147" i="27"/>
  <c r="G155" i="27"/>
  <c r="G163" i="27"/>
  <c r="G171" i="27"/>
  <c r="G179" i="27"/>
  <c r="G187" i="27"/>
  <c r="G195" i="27"/>
  <c r="G203" i="27"/>
  <c r="G211" i="27"/>
  <c r="G219" i="27"/>
  <c r="G227" i="27"/>
  <c r="G235" i="27"/>
  <c r="G12" i="27"/>
  <c r="G20" i="27"/>
  <c r="G28" i="27"/>
  <c r="G36" i="27"/>
  <c r="G44" i="27"/>
  <c r="G52" i="27"/>
  <c r="G60" i="27"/>
  <c r="G68" i="27"/>
  <c r="G76" i="27"/>
  <c r="G84" i="27"/>
  <c r="G92" i="27"/>
  <c r="G100" i="27"/>
  <c r="G108" i="27"/>
  <c r="G116" i="27"/>
  <c r="G124" i="27"/>
  <c r="G132" i="27"/>
  <c r="G140" i="27"/>
  <c r="G148" i="27"/>
  <c r="G156" i="27"/>
  <c r="G164" i="27"/>
  <c r="G172" i="27"/>
  <c r="G180" i="27"/>
  <c r="G188" i="27"/>
  <c r="G196" i="27"/>
  <c r="G204" i="27"/>
  <c r="G212" i="27"/>
  <c r="G220" i="27"/>
  <c r="G228" i="27"/>
  <c r="G15" i="27"/>
  <c r="G23" i="27"/>
  <c r="G31" i="27"/>
  <c r="G39" i="27"/>
  <c r="G47" i="27"/>
  <c r="G55" i="27"/>
  <c r="G63" i="27"/>
  <c r="G71" i="27"/>
  <c r="G79" i="27"/>
  <c r="G87" i="27"/>
  <c r="G95" i="27"/>
  <c r="G103" i="27"/>
  <c r="G111" i="27"/>
  <c r="G119" i="27"/>
  <c r="G127" i="27"/>
  <c r="G135" i="27"/>
  <c r="G143" i="27"/>
  <c r="G151" i="27"/>
  <c r="G159" i="27"/>
  <c r="G167" i="27"/>
  <c r="G175" i="27"/>
  <c r="G183" i="27"/>
  <c r="G191" i="27"/>
  <c r="G199" i="27"/>
  <c r="G207" i="27"/>
  <c r="G215" i="27"/>
  <c r="G223" i="27"/>
  <c r="G231" i="27"/>
  <c r="G24" i="27"/>
  <c r="G56" i="27"/>
  <c r="G88" i="27"/>
  <c r="G120" i="27"/>
  <c r="G152" i="27"/>
  <c r="G184" i="27"/>
  <c r="G216" i="27"/>
  <c r="G32" i="27"/>
  <c r="G64" i="27"/>
  <c r="G96" i="27"/>
  <c r="G128" i="27"/>
  <c r="G160" i="27"/>
  <c r="G192" i="27"/>
  <c r="G224" i="27"/>
  <c r="G40" i="27"/>
  <c r="G72" i="27"/>
  <c r="G104" i="27"/>
  <c r="G136" i="27"/>
  <c r="G168" i="27"/>
  <c r="G200" i="27"/>
  <c r="G232" i="27"/>
  <c r="G16" i="27"/>
  <c r="G48" i="27"/>
  <c r="G80" i="27"/>
  <c r="G112" i="27"/>
  <c r="G144" i="27"/>
  <c r="G176" i="27"/>
  <c r="G208" i="27"/>
  <c r="G10" i="29"/>
  <c r="G14" i="29"/>
  <c r="G18" i="29"/>
  <c r="G22" i="29"/>
  <c r="G26" i="29"/>
  <c r="G30" i="29"/>
  <c r="G34" i="29"/>
  <c r="G38" i="29"/>
  <c r="G42" i="29"/>
  <c r="G46" i="29"/>
  <c r="G50" i="29"/>
  <c r="G54" i="29"/>
  <c r="G58" i="29"/>
  <c r="G62" i="29"/>
  <c r="G66" i="29"/>
  <c r="G70" i="29"/>
  <c r="G74" i="29"/>
  <c r="G78" i="29"/>
  <c r="G82" i="29"/>
  <c r="G86" i="29"/>
  <c r="G90" i="29"/>
  <c r="G94" i="29"/>
  <c r="G98" i="29"/>
  <c r="G102" i="29"/>
  <c r="G106" i="29"/>
  <c r="G110" i="29"/>
  <c r="G114" i="29"/>
  <c r="G118" i="29"/>
  <c r="G122" i="29"/>
  <c r="G11" i="29"/>
  <c r="G15" i="29"/>
  <c r="G19" i="29"/>
  <c r="G23" i="29"/>
  <c r="G27" i="29"/>
  <c r="G31" i="29"/>
  <c r="G35" i="29"/>
  <c r="G39" i="29"/>
  <c r="G43" i="29"/>
  <c r="G47" i="29"/>
  <c r="G51" i="29"/>
  <c r="G55" i="29"/>
  <c r="G59" i="29"/>
  <c r="G63" i="29"/>
  <c r="G67" i="29"/>
  <c r="G71" i="29"/>
  <c r="G75" i="29"/>
  <c r="G79" i="29"/>
  <c r="G83" i="29"/>
  <c r="G87" i="29"/>
  <c r="G91" i="29"/>
  <c r="G95" i="29"/>
  <c r="G99" i="29"/>
  <c r="G103" i="29"/>
  <c r="G107" i="29"/>
  <c r="G111" i="29"/>
  <c r="G115" i="29"/>
  <c r="G119" i="29"/>
  <c r="G16" i="29"/>
  <c r="G24" i="29"/>
  <c r="G32" i="29"/>
  <c r="G40" i="29"/>
  <c r="G48" i="29"/>
  <c r="G56" i="29"/>
  <c r="G64" i="29"/>
  <c r="G72" i="29"/>
  <c r="G80" i="29"/>
  <c r="G88" i="29"/>
  <c r="G96" i="29"/>
  <c r="G104" i="29"/>
  <c r="G112" i="29"/>
  <c r="G120" i="29"/>
  <c r="G9" i="29"/>
  <c r="G17" i="29"/>
  <c r="G25" i="29"/>
  <c r="G33" i="29"/>
  <c r="G41" i="29"/>
  <c r="G49" i="29"/>
  <c r="G57" i="29"/>
  <c r="G65" i="29"/>
  <c r="G73" i="29"/>
  <c r="G81" i="29"/>
  <c r="G89" i="29"/>
  <c r="G97" i="29"/>
  <c r="G105" i="29"/>
  <c r="G113" i="29"/>
  <c r="G121" i="29"/>
  <c r="G12" i="29"/>
  <c r="G20" i="29"/>
  <c r="G28" i="29"/>
  <c r="G36" i="29"/>
  <c r="G44" i="29"/>
  <c r="G52" i="29"/>
  <c r="G60" i="29"/>
  <c r="G68" i="29"/>
  <c r="G76" i="29"/>
  <c r="G84" i="29"/>
  <c r="G92" i="29"/>
  <c r="G100" i="29"/>
  <c r="G108" i="29"/>
  <c r="G116" i="29"/>
  <c r="G21" i="29"/>
  <c r="G53" i="29"/>
  <c r="G85" i="29"/>
  <c r="G117" i="29"/>
  <c r="G29" i="29"/>
  <c r="G61" i="29"/>
  <c r="G93" i="29"/>
  <c r="G37" i="29"/>
  <c r="G69" i="29"/>
  <c r="G101" i="29"/>
  <c r="G13" i="29"/>
  <c r="G45" i="29"/>
  <c r="G77" i="29"/>
  <c r="G109" i="29"/>
  <c r="G9" i="30"/>
  <c r="G13" i="30"/>
  <c r="G17" i="30"/>
  <c r="G21" i="30"/>
  <c r="G25" i="30"/>
  <c r="G29" i="30"/>
  <c r="G33" i="30"/>
  <c r="G37" i="30"/>
  <c r="G41" i="30"/>
  <c r="G45" i="30"/>
  <c r="G49" i="30"/>
  <c r="G53" i="30"/>
  <c r="G57" i="30"/>
  <c r="G61" i="30"/>
  <c r="G65" i="30"/>
  <c r="G69" i="30"/>
  <c r="G10" i="30"/>
  <c r="G14" i="30"/>
  <c r="G18" i="30"/>
  <c r="G22" i="30"/>
  <c r="G26" i="30"/>
  <c r="G30" i="30"/>
  <c r="G34" i="30"/>
  <c r="G38" i="30"/>
  <c r="G42" i="30"/>
  <c r="G46" i="30"/>
  <c r="G50" i="30"/>
  <c r="G54" i="30"/>
  <c r="G58" i="30"/>
  <c r="G62" i="30"/>
  <c r="G66" i="30"/>
  <c r="G70" i="30"/>
  <c r="G15" i="30"/>
  <c r="G23" i="30"/>
  <c r="G31" i="30"/>
  <c r="G39" i="30"/>
  <c r="G47" i="30"/>
  <c r="G55" i="30"/>
  <c r="G63" i="30"/>
  <c r="G71" i="30"/>
  <c r="G16" i="30"/>
  <c r="G24" i="30"/>
  <c r="G32" i="30"/>
  <c r="G40" i="30"/>
  <c r="G48" i="30"/>
  <c r="G56" i="30"/>
  <c r="G64" i="30"/>
  <c r="G72" i="30"/>
  <c r="G11" i="30"/>
  <c r="G19" i="30"/>
  <c r="G27" i="30"/>
  <c r="G35" i="30"/>
  <c r="G43" i="30"/>
  <c r="G51" i="30"/>
  <c r="G59" i="30"/>
  <c r="G67" i="30"/>
  <c r="G28" i="30"/>
  <c r="G60" i="30"/>
  <c r="G36" i="30"/>
  <c r="G68" i="30"/>
  <c r="G12" i="30"/>
  <c r="G44" i="30"/>
  <c r="G20" i="30"/>
  <c r="G52" i="30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10" i="3"/>
  <c r="G14" i="3"/>
  <c r="G18" i="3"/>
  <c r="G22" i="3"/>
  <c r="G26" i="3"/>
  <c r="G30" i="3"/>
  <c r="G34" i="3"/>
  <c r="G38" i="3"/>
  <c r="G42" i="3"/>
  <c r="G46" i="3"/>
  <c r="G50" i="3"/>
  <c r="G54" i="3"/>
  <c r="G58" i="3"/>
  <c r="G62" i="3"/>
  <c r="G66" i="3"/>
  <c r="G70" i="3"/>
  <c r="G9" i="9"/>
  <c r="G9" i="12"/>
  <c r="G12" i="15"/>
  <c r="G16" i="15"/>
  <c r="G20" i="15"/>
  <c r="G24" i="15"/>
  <c r="G28" i="15"/>
  <c r="G32" i="15"/>
  <c r="G36" i="15"/>
  <c r="G40" i="15"/>
  <c r="G44" i="15"/>
  <c r="G48" i="15"/>
  <c r="G52" i="15"/>
  <c r="G56" i="15"/>
  <c r="G60" i="15"/>
  <c r="G64" i="15"/>
  <c r="G68" i="15"/>
  <c r="G9" i="15"/>
  <c r="G13" i="15"/>
  <c r="G17" i="15"/>
  <c r="G21" i="15"/>
  <c r="G25" i="15"/>
  <c r="G29" i="15"/>
  <c r="G33" i="15"/>
  <c r="G37" i="15"/>
  <c r="G41" i="15"/>
  <c r="G45" i="15"/>
  <c r="G49" i="15"/>
  <c r="G53" i="15"/>
  <c r="G57" i="15"/>
  <c r="G61" i="15"/>
  <c r="G65" i="15"/>
  <c r="G69" i="15"/>
  <c r="G10" i="15"/>
  <c r="G14" i="15"/>
  <c r="G18" i="15"/>
  <c r="G22" i="15"/>
  <c r="G26" i="15"/>
  <c r="G30" i="15"/>
  <c r="G34" i="15"/>
  <c r="G38" i="15"/>
  <c r="G42" i="15"/>
  <c r="G46" i="15"/>
  <c r="G50" i="15"/>
  <c r="G54" i="15"/>
  <c r="G58" i="15"/>
  <c r="G62" i="15"/>
  <c r="G66" i="15"/>
  <c r="G70" i="15"/>
  <c r="G11" i="15"/>
  <c r="G15" i="15"/>
  <c r="G19" i="15"/>
  <c r="G23" i="15"/>
  <c r="G27" i="15"/>
  <c r="G31" i="15"/>
  <c r="G35" i="15"/>
  <c r="G39" i="15"/>
  <c r="G43" i="15"/>
  <c r="G47" i="15"/>
  <c r="G51" i="15"/>
  <c r="G55" i="15"/>
  <c r="G59" i="15"/>
  <c r="G63" i="15"/>
  <c r="G67" i="15"/>
  <c r="G12" i="26"/>
  <c r="G16" i="26"/>
  <c r="G20" i="26"/>
  <c r="G24" i="26"/>
  <c r="G28" i="26"/>
  <c r="G32" i="26"/>
  <c r="G36" i="26"/>
  <c r="G40" i="26"/>
  <c r="G44" i="26"/>
  <c r="G48" i="26"/>
  <c r="G52" i="26"/>
  <c r="G56" i="26"/>
  <c r="G60" i="26"/>
  <c r="G64" i="26"/>
  <c r="G68" i="26"/>
  <c r="G72" i="26"/>
  <c r="G76" i="26"/>
  <c r="G80" i="26"/>
  <c r="G84" i="26"/>
  <c r="G88" i="26"/>
  <c r="G92" i="26"/>
  <c r="G96" i="26"/>
  <c r="G100" i="26"/>
  <c r="G104" i="26"/>
  <c r="G108" i="26"/>
  <c r="G9" i="26"/>
  <c r="G13" i="26"/>
  <c r="G17" i="26"/>
  <c r="G21" i="26"/>
  <c r="G25" i="26"/>
  <c r="G29" i="26"/>
  <c r="G33" i="26"/>
  <c r="G37" i="26"/>
  <c r="G41" i="26"/>
  <c r="G45" i="26"/>
  <c r="G49" i="26"/>
  <c r="G53" i="26"/>
  <c r="G57" i="26"/>
  <c r="G61" i="26"/>
  <c r="G65" i="26"/>
  <c r="G69" i="26"/>
  <c r="G73" i="26"/>
  <c r="G77" i="26"/>
  <c r="G81" i="26"/>
  <c r="G85" i="26"/>
  <c r="G89" i="26"/>
  <c r="G93" i="26"/>
  <c r="G97" i="26"/>
  <c r="G101" i="26"/>
  <c r="G105" i="26"/>
  <c r="G109" i="26"/>
  <c r="G14" i="26"/>
  <c r="G15" i="26"/>
  <c r="G23" i="26"/>
  <c r="G31" i="26"/>
  <c r="G39" i="26"/>
  <c r="G47" i="26"/>
  <c r="G55" i="26"/>
  <c r="G63" i="26"/>
  <c r="G71" i="26"/>
  <c r="G79" i="26"/>
  <c r="G87" i="26"/>
  <c r="G95" i="26"/>
  <c r="G103" i="26"/>
  <c r="G111" i="26"/>
  <c r="G10" i="26"/>
  <c r="G18" i="26"/>
  <c r="G26" i="26"/>
  <c r="G34" i="26"/>
  <c r="G42" i="26"/>
  <c r="G50" i="26"/>
  <c r="G58" i="26"/>
  <c r="G66" i="26"/>
  <c r="G74" i="26"/>
  <c r="G82" i="26"/>
  <c r="G90" i="26"/>
  <c r="G98" i="26"/>
  <c r="G106" i="26"/>
  <c r="G27" i="26"/>
  <c r="G43" i="26"/>
  <c r="G59" i="26"/>
  <c r="G75" i="26"/>
  <c r="G91" i="26"/>
  <c r="G107" i="26"/>
  <c r="G114" i="26"/>
  <c r="G118" i="26"/>
  <c r="G122" i="26"/>
  <c r="G126" i="26"/>
  <c r="G130" i="26"/>
  <c r="G134" i="26"/>
  <c r="G138" i="26"/>
  <c r="G142" i="26"/>
  <c r="G146" i="26"/>
  <c r="G150" i="26"/>
  <c r="G11" i="26"/>
  <c r="G30" i="26"/>
  <c r="G46" i="26"/>
  <c r="G62" i="26"/>
  <c r="G78" i="26"/>
  <c r="G94" i="26"/>
  <c r="G110" i="26"/>
  <c r="G115" i="26"/>
  <c r="G119" i="26"/>
  <c r="G123" i="26"/>
  <c r="G127" i="26"/>
  <c r="G131" i="26"/>
  <c r="G135" i="26"/>
  <c r="G139" i="26"/>
  <c r="G143" i="26"/>
  <c r="G147" i="26"/>
  <c r="G151" i="26"/>
  <c r="G19" i="26"/>
  <c r="G35" i="26"/>
  <c r="G51" i="26"/>
  <c r="G67" i="26"/>
  <c r="G83" i="26"/>
  <c r="G99" i="26"/>
  <c r="G112" i="26"/>
  <c r="G116" i="26"/>
  <c r="G120" i="26"/>
  <c r="G124" i="26"/>
  <c r="G128" i="26"/>
  <c r="G132" i="26"/>
  <c r="G136" i="26"/>
  <c r="G140" i="26"/>
  <c r="G144" i="26"/>
  <c r="G148" i="26"/>
  <c r="G152" i="26"/>
  <c r="G22" i="26"/>
  <c r="G38" i="26"/>
  <c r="G54" i="26"/>
  <c r="G70" i="26"/>
  <c r="G86" i="26"/>
  <c r="G102" i="26"/>
  <c r="G113" i="26"/>
  <c r="G117" i="26"/>
  <c r="G121" i="26"/>
  <c r="G125" i="26"/>
  <c r="G129" i="26"/>
  <c r="G133" i="26"/>
  <c r="G137" i="26"/>
  <c r="G141" i="26"/>
  <c r="G145" i="26"/>
  <c r="G149" i="26"/>
  <c r="G153" i="26"/>
  <c r="C1" i="34" l="1"/>
  <c r="G236" i="27"/>
  <c r="I16" i="34"/>
</calcChain>
</file>

<file path=xl/sharedStrings.xml><?xml version="1.0" encoding="utf-8"?>
<sst xmlns="http://schemas.openxmlformats.org/spreadsheetml/2006/main" count="710" uniqueCount="208">
  <si>
    <t>DATE</t>
  </si>
  <si>
    <t>DESIGNATION</t>
  </si>
  <si>
    <t>QUANTITE</t>
  </si>
  <si>
    <t>PRIX UNITAIRE</t>
  </si>
  <si>
    <t>TOTAL MONTANT</t>
  </si>
  <si>
    <t>VERSEMENT</t>
  </si>
  <si>
    <t>SOLDE</t>
  </si>
  <si>
    <t>NOM CLIENT</t>
  </si>
  <si>
    <t>TOTAL VERSEMENT</t>
  </si>
  <si>
    <t>PAYE</t>
  </si>
  <si>
    <t>PNEU 175/70R14</t>
  </si>
  <si>
    <t xml:space="preserve">VERSEMENT </t>
  </si>
  <si>
    <t xml:space="preserve">EXTINCTEUR 1KG </t>
  </si>
  <si>
    <t>PNEU 235/65R17 GLEDE</t>
  </si>
  <si>
    <t>PNEU 225/65R17 GLEDE</t>
  </si>
  <si>
    <t>PETIT SOLO</t>
  </si>
  <si>
    <t>SOLO</t>
  </si>
  <si>
    <t>CHIFFRE AFFAIRE</t>
  </si>
  <si>
    <t>ANNEE</t>
  </si>
  <si>
    <t>BILAN</t>
  </si>
  <si>
    <t>TOTAL</t>
  </si>
  <si>
    <t>PNEU 225/55R19 GLEDE</t>
  </si>
  <si>
    <t>PNEU TRANSMATE 235/55R17</t>
  </si>
  <si>
    <t>PNEUTRANSMATE 225/45R17</t>
  </si>
  <si>
    <t>PNEU 245/40R20 GLEDE</t>
  </si>
  <si>
    <t>PNEU 235/60R18 GLEDE</t>
  </si>
  <si>
    <t>PNEU 225/50R17 GLEDDE</t>
  </si>
  <si>
    <t>PNEU 235/60R18 TRANSMATE</t>
  </si>
  <si>
    <t>PNEU 235/55R19 GLEDE</t>
  </si>
  <si>
    <t xml:space="preserve">PNEU 255/55R20 GLEDE </t>
  </si>
  <si>
    <t>PNEU 255/50R20 GLEDE</t>
  </si>
  <si>
    <t>PNEU 205/55R16 GLEDE</t>
  </si>
  <si>
    <t>PNEU 225.65R17 GLEDE</t>
  </si>
  <si>
    <t xml:space="preserve">PNEU 235/60R18 GLED </t>
  </si>
  <si>
    <t xml:space="preserve">MOUNTAIN TOP </t>
  </si>
  <si>
    <t xml:space="preserve">PNEU 235/60R18 GLEDE </t>
  </si>
  <si>
    <t xml:space="preserve">PNEU 225/55R18 GLEDE </t>
  </si>
  <si>
    <t>PNEU 245/50R20 KHUMO</t>
  </si>
  <si>
    <t>PNEU 265/60R18 GLEDE</t>
  </si>
  <si>
    <t xml:space="preserve">PNEU 235/55R19 GLEDE </t>
  </si>
  <si>
    <t xml:space="preserve">PNEU 225/655R19 GLEDE </t>
  </si>
  <si>
    <t xml:space="preserve">PNEU 225/60R18 GLEDE </t>
  </si>
  <si>
    <t xml:space="preserve">PNEU 255/40R18 GLEDE </t>
  </si>
  <si>
    <t xml:space="preserve">PNEU 225./60R17 GLEDE </t>
  </si>
  <si>
    <t xml:space="preserve">PNEU 245/50R18 GLEDE </t>
  </si>
  <si>
    <t xml:space="preserve">PNEU 225/60R17 GLEDE </t>
  </si>
  <si>
    <t xml:space="preserve">PNEU 245/40R20 GLEDE </t>
  </si>
  <si>
    <t xml:space="preserve">PNEU 265/65R17 GLEDE </t>
  </si>
  <si>
    <t xml:space="preserve">PNEU 235/65R17 GLEDE </t>
  </si>
  <si>
    <t xml:space="preserve">PNEU 275/45R21 GLEDE </t>
  </si>
  <si>
    <t xml:space="preserve">PNEU 175/65R14 GLEDE </t>
  </si>
  <si>
    <t>µµ</t>
  </si>
  <si>
    <t xml:space="preserve">SOLDE DEPART </t>
  </si>
  <si>
    <t xml:space="preserve">PNEU 225/45R18 GLEDE </t>
  </si>
  <si>
    <t>235/55R19</t>
  </si>
  <si>
    <t xml:space="preserve">245/50R18 GLEDE </t>
  </si>
  <si>
    <t xml:space="preserve">SOLDE DE DEPART </t>
  </si>
  <si>
    <t>MAHMOUD CHAALAN</t>
  </si>
  <si>
    <t>SOLDE DEPART</t>
  </si>
  <si>
    <t>HOUSSE ROYAL</t>
  </si>
  <si>
    <t xml:space="preserve">HOUSSE RELAX </t>
  </si>
  <si>
    <t xml:space="preserve">AMPOULE H7 LED </t>
  </si>
  <si>
    <t xml:space="preserve">NETTOYANT MOTEUR </t>
  </si>
  <si>
    <t xml:space="preserve">NETTOYANT DISC  CADEAU </t>
  </si>
  <si>
    <t>EXCTINCTEUR 2 KG RECHARGEABLE</t>
  </si>
  <si>
    <t xml:space="preserve">BACHE LC </t>
  </si>
  <si>
    <t>BACHE GMC</t>
  </si>
  <si>
    <t>HOUSSE  COMPLET (AVEC COUSSIN)</t>
  </si>
  <si>
    <t>315/80R22,5 MACROYAL</t>
  </si>
  <si>
    <t>13R22,5 MACROYAL</t>
  </si>
  <si>
    <t>CHINOIS</t>
  </si>
  <si>
    <t>13/22,5 DRIVEMASTER</t>
  </si>
  <si>
    <t>315/80R22,5</t>
  </si>
  <si>
    <t>SUNSTEEL - KEVIN</t>
  </si>
  <si>
    <t>MOUSTAPHA FAWAZ</t>
  </si>
  <si>
    <t>275/40R22 KAPSEN</t>
  </si>
  <si>
    <t>PNEU 195/R15C PERFLY</t>
  </si>
  <si>
    <t>PNEU 215/65R17 KAPSEN</t>
  </si>
  <si>
    <t>215/60R17 TRACMAX</t>
  </si>
  <si>
    <t>225/65R17 KAPSEN</t>
  </si>
  <si>
    <t>PNEU 225/65R17 KAPSEN</t>
  </si>
  <si>
    <t xml:space="preserve">PNEU 235/60R18 KAPSEN </t>
  </si>
  <si>
    <t xml:space="preserve">GEDIS </t>
  </si>
  <si>
    <t xml:space="preserve">15w40 ENI 200 LITRES </t>
  </si>
  <si>
    <t xml:space="preserve">GENIX 68 200 LITRES </t>
  </si>
  <si>
    <t xml:space="preserve">15W40 ENI 200 LITRES </t>
  </si>
  <si>
    <t xml:space="preserve">SAE 50 ENI 200 LITRES </t>
  </si>
  <si>
    <t>OSO 46 GENIX 200 LITREES</t>
  </si>
  <si>
    <t>MOHAMED ZALZALE</t>
  </si>
  <si>
    <t xml:space="preserve">AUTO ROY </t>
  </si>
  <si>
    <t xml:space="preserve">PAYE CACHE </t>
  </si>
  <si>
    <t>DUNLOP</t>
  </si>
  <si>
    <t>NABILCO</t>
  </si>
  <si>
    <t xml:space="preserve">HUILE BOITE SAE 75W90 1L WOLVER </t>
  </si>
  <si>
    <t>CAPTEUR DE TEMPERATURE EXTERNE MERCEDES</t>
  </si>
  <si>
    <t>MOYEUX AVANT L200</t>
  </si>
  <si>
    <t xml:space="preserve">ROULEMENT AR L200 </t>
  </si>
  <si>
    <t>BOBINE ALLUMAGE AVENSIS</t>
  </si>
  <si>
    <t xml:space="preserve">CAPTEUR ABS AV AVENSIS </t>
  </si>
  <si>
    <t xml:space="preserve">HUILE DE BOITE SAE 75W90 1L WOLVER MULTIPURPOSE GEAR </t>
  </si>
  <si>
    <t>VENTILATEUR MERCEDES W213 SENAT (E200)</t>
  </si>
  <si>
    <t xml:space="preserve">filtre a huile bt50 </t>
  </si>
  <si>
    <t xml:space="preserve">VER5SEMENT </t>
  </si>
  <si>
    <t>DISQUE DE FREIN AV MERCEDES E200</t>
  </si>
  <si>
    <t>PLAQUETTE DRE FREIN AVANT E 200</t>
  </si>
  <si>
    <t>BOUGIE D'ALLUMAGE E200</t>
  </si>
  <si>
    <t xml:space="preserve">AMORTISSEURS AR E200 FREY </t>
  </si>
  <si>
    <t xml:space="preserve">DURITE DE BOCALE D'EAU AUDI SENAT </t>
  </si>
  <si>
    <t>courroie 7pk1200</t>
  </si>
  <si>
    <t>tendeur de courroie e200</t>
  </si>
  <si>
    <t>pompe a eau e200</t>
  </si>
  <si>
    <t xml:space="preserve">renifleur huile </t>
  </si>
  <si>
    <t xml:space="preserve">FERMETURE RADIATEUR </t>
  </si>
  <si>
    <t>KABALANE</t>
  </si>
  <si>
    <t>ABASS BOUGI</t>
  </si>
  <si>
    <t xml:space="preserve">versement </t>
  </si>
  <si>
    <t xml:space="preserve">BOUGIES </t>
  </si>
  <si>
    <t xml:space="preserve">COURROIE B109 </t>
  </si>
  <si>
    <t>COURROIE B112</t>
  </si>
  <si>
    <t xml:space="preserve">7PK1030 </t>
  </si>
  <si>
    <t xml:space="preserve">ROULEMENT 30211 TIMKEN </t>
  </si>
  <si>
    <t>PLAQUETTE DE FREIN NISHIMBO NP3008</t>
  </si>
  <si>
    <t>PLAQUETTE DE FREIN TRW GDB3239AT</t>
  </si>
  <si>
    <t>ROULEMENT MONDIAL</t>
  </si>
  <si>
    <t>CACOMIAF</t>
  </si>
  <si>
    <t>HASSAN KAFARANI</t>
  </si>
  <si>
    <t xml:space="preserve">POINT DE DEPART </t>
  </si>
  <si>
    <t xml:space="preserve">BATTERIE 150 AH NAVAL POWER </t>
  </si>
  <si>
    <t>APEX 10W40 (5L)</t>
  </si>
  <si>
    <t>JEU DE PLAQUETTE VPS D1060-3JA0A</t>
  </si>
  <si>
    <t>ALTERNATEUR PAJERO (COMMANDE ANNULER)</t>
  </si>
  <si>
    <t>FILTRE A AIR HIGHLANDER - 17801-20040</t>
  </si>
  <si>
    <t xml:space="preserve">JOINT DE CACHE CULBUTEUR MAZDA 6 </t>
  </si>
  <si>
    <t xml:space="preserve">DISQUE DE ROUE AVANT  MUTSIBISHI PAJERO </t>
  </si>
  <si>
    <t xml:space="preserve">DISQUE DE ROUE AR  MUTSIBISHI PAJERO </t>
  </si>
  <si>
    <t xml:space="preserve">JEU DE PLAQUETTE AVANT MUTSIBISHI PAJERO </t>
  </si>
  <si>
    <t xml:space="preserve">JEU DE PLAQUETTE AR MUTSIBISHI PAJERO </t>
  </si>
  <si>
    <t xml:space="preserve">RETOUR POMPE DE DIRECTION SANDERO </t>
  </si>
  <si>
    <t xml:space="preserve">POMPE A ESSENCE NISSAN </t>
  </si>
  <si>
    <t>ROBOT AVANT 54830-0U000</t>
  </si>
  <si>
    <t xml:space="preserve">AMORTISSEURS AV D3 </t>
  </si>
  <si>
    <t>DISQUE AV C1</t>
  </si>
  <si>
    <t xml:space="preserve">JEU DE PLAQUETTE AVANT 2S VPS </t>
  </si>
  <si>
    <t xml:space="preserve">FILTRE A POLLEN 3S </t>
  </si>
  <si>
    <t>CREMAILLERE FORD RANGER</t>
  </si>
  <si>
    <t xml:space="preserve">ROTULES DE DIR AVANT FORD RANGER </t>
  </si>
  <si>
    <t>MOYEU ARRIERE AVENSIS 2005</t>
  </si>
  <si>
    <t>ROTULES DE DIR 56820-2E900</t>
  </si>
  <si>
    <t xml:space="preserve">PLAQUETTE AV BT 50 </t>
  </si>
  <si>
    <t xml:space="preserve">GARNITURE DE FREIN TOYOTA RUSH </t>
  </si>
  <si>
    <t>DISQUE DE ROUE AR PRADO 60311</t>
  </si>
  <si>
    <t>DISQUE DE ROUE AV PRADO 60150</t>
  </si>
  <si>
    <t>ROBOT AVANT 54830-4A000</t>
  </si>
  <si>
    <t>ROTULES DIRECTION 45045-09800</t>
  </si>
  <si>
    <t>SILENT BLOC DE BRAS AV PAJERO SPORT</t>
  </si>
  <si>
    <t xml:space="preserve">ROBOT AV PAJERO SPORT </t>
  </si>
  <si>
    <t xml:space="preserve">ROTULES DE DIRECTION PAJERO SPORT </t>
  </si>
  <si>
    <t xml:space="preserve">EMBOUTS DE CREMAILLERE PAJERO SPORT </t>
  </si>
  <si>
    <t>ROBOTS AV ACURA</t>
  </si>
  <si>
    <t>VICTOR</t>
  </si>
  <si>
    <t>ABASS KANSSA</t>
  </si>
  <si>
    <t xml:space="preserve">SAKO </t>
  </si>
  <si>
    <t>AHMAD WESLAKE</t>
  </si>
  <si>
    <t>PNEU 12.00R24(SAMIH)</t>
  </si>
  <si>
    <t>265/60R18 YOKOHAMA</t>
  </si>
  <si>
    <t>225/55R17 GENERAL</t>
  </si>
  <si>
    <t>VERSEMENT 265/60R18 YOKOHAMA</t>
  </si>
  <si>
    <t xml:space="preserve">305/40R20 PIRELLI </t>
  </si>
  <si>
    <t xml:space="preserve">VERSEMENT 225/55R17 GENERAL </t>
  </si>
  <si>
    <t>06/03/206</t>
  </si>
  <si>
    <t xml:space="preserve">245/35R20 MICHELIN </t>
  </si>
  <si>
    <t xml:space="preserve">285/50R20 DUNLOP </t>
  </si>
  <si>
    <t>pneu 13/80R20</t>
  </si>
  <si>
    <t>IRA</t>
  </si>
  <si>
    <t>GGN PLAQUETTE</t>
  </si>
  <si>
    <t>LIQUI MOLY</t>
  </si>
  <si>
    <t xml:space="preserve">AKHIL DAHER </t>
  </si>
  <si>
    <t xml:space="preserve">CFAO MOBILITY </t>
  </si>
  <si>
    <t>FILTRE A HUILE 90915-YZZD2</t>
  </si>
  <si>
    <t>FILTRE A HUILE 04152-YZZD4</t>
  </si>
  <si>
    <t>FILTRE A HUILE 04152-YZZD1</t>
  </si>
  <si>
    <t>HUILE 10W40 (4L) TOYOTA</t>
  </si>
  <si>
    <t>HUILE 10W40 (1L) TOYOTA</t>
  </si>
  <si>
    <t>HASSAN SALAMAN</t>
  </si>
  <si>
    <t>SPRIINT-TECH - BOSCH</t>
  </si>
  <si>
    <t>PNEU 275/45R22</t>
  </si>
  <si>
    <t>pneu 265/70r19,5</t>
  </si>
  <si>
    <t xml:space="preserve">VINOD GRAISSE </t>
  </si>
  <si>
    <t>ABASS FARESS</t>
  </si>
  <si>
    <t>EXIM-IMPEX</t>
  </si>
  <si>
    <t>JOSEPH &amp; CHARBEL</t>
  </si>
  <si>
    <t>BAKAYOKO</t>
  </si>
  <si>
    <t>FAO TOLIER</t>
  </si>
  <si>
    <t>BENARD PNEU</t>
  </si>
  <si>
    <t>DIVERS FOURNISSEURS</t>
  </si>
  <si>
    <t>NOM FOURNISSEUR</t>
  </si>
  <si>
    <t>VUE SOLDE FOURNISSEUR</t>
  </si>
  <si>
    <t>MAHMOUD 
SAFIEDDINE</t>
  </si>
  <si>
    <t xml:space="preserve">PNEU 315/80R22,5 AMINE </t>
  </si>
  <si>
    <t xml:space="preserve">PNEU 13R22,5 AMINE </t>
  </si>
  <si>
    <t xml:space="preserve">GRAISSE CAMION 15 KG </t>
  </si>
  <si>
    <t>6PK1203</t>
  </si>
  <si>
    <t xml:space="preserve">DISQUE DE ROUE AR FJ CRUISER </t>
  </si>
  <si>
    <t>PLAQUETTE DE FREIN AR FJ CRUISIER</t>
  </si>
  <si>
    <t>PLAQUETTE DE FREIN AV FJ CRUISER</t>
  </si>
  <si>
    <t xml:space="preserve">215/60r17 kapsen </t>
  </si>
  <si>
    <t>235/65R18 FORTUNE</t>
  </si>
  <si>
    <t>PNEU 385/65R22,5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</si>
</sst>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#,##0\ [$CFA-300C]"/>
    <numFmt numFmtId="165" formatCode="_-* #,##0\ _€_-;\-* #,##0\ _€_-;_-* &quot;-&quot;??\ _€_-;_-@_-"/>
    <numFmt numFmtId="166" formatCode="#,##0.00\ [$CFA-300C]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hadow/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6" applyNumberFormat="0" applyFill="0" applyAlignment="0" applyProtection="0"/>
  </cellStyleXfs>
  <cellXfs count="133">
    <xf numFmtId="0" fontId="0" fillId="0" borderId="0" xfId="0"/>
    <xf numFmtId="0" fontId="0" fillId="0" borderId="0" xfId="0" applyProtection="1">
      <protection locked="0"/>
    </xf>
    <xf numFmtId="0" fontId="4" fillId="2" borderId="0" xfId="0" applyFont="1" applyFill="1" applyProtection="1">
      <protection locked="0"/>
    </xf>
    <xf numFmtId="0" fontId="5" fillId="3" borderId="3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165" fontId="2" fillId="0" borderId="0" xfId="1" applyNumberFormat="1" applyFont="1" applyProtection="1"/>
    <xf numFmtId="165" fontId="2" fillId="0" borderId="0" xfId="1" applyNumberFormat="1" applyFont="1" applyAlignment="1" applyProtection="1">
      <alignment horizontal="center" vertical="center"/>
    </xf>
    <xf numFmtId="165" fontId="6" fillId="0" borderId="0" xfId="1" applyNumberFormat="1" applyFont="1" applyProtection="1"/>
    <xf numFmtId="165" fontId="6" fillId="0" borderId="0" xfId="1" applyNumberFormat="1" applyFont="1" applyAlignment="1" applyProtection="1">
      <alignment horizontal="center" vertical="center"/>
    </xf>
    <xf numFmtId="165" fontId="2" fillId="0" borderId="0" xfId="1" applyNumberFormat="1" applyFont="1" applyProtection="1">
      <protection locked="0"/>
    </xf>
    <xf numFmtId="165" fontId="6" fillId="0" borderId="0" xfId="1" applyNumberFormat="1" applyFont="1" applyProtection="1">
      <protection locked="0"/>
    </xf>
    <xf numFmtId="14" fontId="8" fillId="0" borderId="0" xfId="0" applyNumberFormat="1" applyFont="1" applyProtection="1">
      <protection locked="0"/>
    </xf>
    <xf numFmtId="165" fontId="8" fillId="0" borderId="0" xfId="1" applyNumberFormat="1" applyFont="1" applyProtection="1">
      <protection locked="0"/>
    </xf>
    <xf numFmtId="165" fontId="10" fillId="0" borderId="0" xfId="1" applyNumberFormat="1" applyFont="1" applyProtection="1">
      <protection locked="0"/>
    </xf>
    <xf numFmtId="14" fontId="11" fillId="0" borderId="0" xfId="0" applyNumberFormat="1" applyFont="1" applyProtection="1">
      <protection locked="0"/>
    </xf>
    <xf numFmtId="165" fontId="11" fillId="0" borderId="0" xfId="1" applyNumberFormat="1" applyFont="1" applyProtection="1">
      <protection locked="0"/>
    </xf>
    <xf numFmtId="165" fontId="12" fillId="0" borderId="0" xfId="1" applyNumberFormat="1" applyFont="1" applyProtection="1">
      <protection locked="0"/>
    </xf>
    <xf numFmtId="0" fontId="13" fillId="5" borderId="1" xfId="0" applyFont="1" applyFill="1" applyBorder="1" applyAlignment="1">
      <alignment horizontal="center"/>
    </xf>
    <xf numFmtId="3" fontId="14" fillId="0" borderId="1" xfId="2" applyNumberFormat="1" applyFont="1" applyFill="1" applyBorder="1" applyAlignment="1">
      <alignment horizontal="right"/>
    </xf>
    <xf numFmtId="0" fontId="13" fillId="5" borderId="1" xfId="0" applyFont="1" applyFill="1" applyBorder="1" applyAlignment="1" applyProtection="1">
      <alignment horizontal="center"/>
      <protection locked="0"/>
    </xf>
    <xf numFmtId="3" fontId="14" fillId="0" borderId="1" xfId="2" applyNumberFormat="1" applyFont="1" applyFill="1" applyBorder="1" applyAlignment="1" applyProtection="1">
      <alignment horizontal="right"/>
      <protection locked="0"/>
    </xf>
    <xf numFmtId="165" fontId="15" fillId="0" borderId="0" xfId="1" applyNumberFormat="1" applyFont="1" applyProtection="1">
      <protection locked="0"/>
    </xf>
    <xf numFmtId="165" fontId="15" fillId="5" borderId="0" xfId="1" applyNumberFormat="1" applyFont="1" applyFill="1" applyBorder="1" applyAlignment="1" applyProtection="1">
      <alignment horizontal="center"/>
      <protection locked="0"/>
    </xf>
    <xf numFmtId="14" fontId="17" fillId="0" borderId="0" xfId="0" applyNumberFormat="1" applyFont="1" applyProtection="1">
      <protection locked="0"/>
    </xf>
    <xf numFmtId="165" fontId="17" fillId="0" borderId="0" xfId="1" applyNumberFormat="1" applyFont="1" applyProtection="1">
      <protection locked="0"/>
    </xf>
    <xf numFmtId="165" fontId="18" fillId="0" borderId="0" xfId="1" applyNumberFormat="1" applyFont="1" applyProtection="1">
      <protection locked="0"/>
    </xf>
    <xf numFmtId="165" fontId="18" fillId="0" borderId="0" xfId="1" applyNumberFormat="1" applyFont="1" applyAlignment="1" applyProtection="1">
      <alignment horizontal="center" vertical="center"/>
    </xf>
    <xf numFmtId="165" fontId="19" fillId="0" borderId="0" xfId="1" applyNumberFormat="1" applyFont="1" applyProtection="1">
      <protection locked="0"/>
    </xf>
    <xf numFmtId="165" fontId="18" fillId="0" borderId="0" xfId="1" applyNumberFormat="1" applyFont="1" applyProtection="1"/>
    <xf numFmtId="165" fontId="20" fillId="0" borderId="0" xfId="1" applyNumberFormat="1" applyFont="1" applyProtection="1">
      <protection locked="0"/>
    </xf>
    <xf numFmtId="0" fontId="7" fillId="0" borderId="0" xfId="0" applyFont="1" applyProtection="1">
      <protection locked="0"/>
    </xf>
    <xf numFmtId="0" fontId="5" fillId="3" borderId="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14" xfId="0" applyNumberFormat="1" applyFont="1" applyBorder="1"/>
    <xf numFmtId="164" fontId="22" fillId="0" borderId="14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16" fillId="0" borderId="1" xfId="1" applyNumberFormat="1" applyFont="1" applyBorder="1" applyProtection="1">
      <protection locked="0"/>
    </xf>
    <xf numFmtId="166" fontId="23" fillId="0" borderId="2" xfId="0" applyNumberFormat="1" applyFont="1" applyBorder="1"/>
    <xf numFmtId="0" fontId="24" fillId="0" borderId="0" xfId="0" applyFont="1" applyProtection="1">
      <protection locked="0"/>
    </xf>
    <xf numFmtId="22" fontId="24" fillId="0" borderId="0" xfId="0" applyNumberFormat="1" applyFont="1"/>
    <xf numFmtId="165" fontId="13" fillId="5" borderId="1" xfId="1" applyNumberFormat="1" applyFont="1" applyFill="1" applyBorder="1" applyAlignment="1" applyProtection="1">
      <alignment horizontal="center"/>
      <protection locked="0"/>
    </xf>
    <xf numFmtId="165" fontId="14" fillId="0" borderId="1" xfId="1" applyNumberFormat="1" applyFont="1" applyFill="1" applyBorder="1" applyAlignment="1" applyProtection="1">
      <alignment horizontal="right"/>
      <protection locked="0"/>
    </xf>
    <xf numFmtId="165" fontId="0" fillId="0" borderId="0" xfId="1" applyNumberFormat="1" applyFont="1" applyProtection="1">
      <protection locked="0"/>
    </xf>
    <xf numFmtId="14" fontId="25" fillId="0" borderId="0" xfId="0" applyNumberFormat="1" applyFont="1" applyProtection="1">
      <protection locked="0"/>
    </xf>
    <xf numFmtId="165" fontId="25" fillId="0" borderId="0" xfId="1" applyNumberFormat="1" applyFont="1" applyProtection="1">
      <protection locked="0"/>
    </xf>
    <xf numFmtId="165" fontId="26" fillId="0" borderId="0" xfId="1" applyNumberFormat="1" applyFont="1" applyProtection="1">
      <protection locked="0"/>
    </xf>
    <xf numFmtId="165" fontId="26" fillId="0" borderId="0" xfId="1" applyNumberFormat="1" applyFont="1" applyAlignment="1" applyProtection="1">
      <alignment horizontal="center" vertical="center"/>
    </xf>
    <xf numFmtId="165" fontId="27" fillId="0" borderId="0" xfId="1" applyNumberFormat="1" applyFont="1" applyProtection="1">
      <protection locked="0"/>
    </xf>
    <xf numFmtId="165" fontId="26" fillId="0" borderId="0" xfId="1" applyNumberFormat="1" applyFont="1" applyProtection="1"/>
    <xf numFmtId="165" fontId="8" fillId="0" borderId="0" xfId="1" applyNumberFormat="1" applyFont="1" applyBorder="1"/>
    <xf numFmtId="165" fontId="2" fillId="0" borderId="0" xfId="1" applyNumberFormat="1" applyFont="1" applyAlignment="1" applyProtection="1">
      <alignment horizontal="center" vertical="center"/>
      <protection locked="0"/>
    </xf>
    <xf numFmtId="165" fontId="28" fillId="0" borderId="0" xfId="1" applyNumberFormat="1" applyFont="1" applyAlignment="1" applyProtection="1">
      <alignment horizontal="center" vertical="center"/>
    </xf>
    <xf numFmtId="165" fontId="29" fillId="0" borderId="0" xfId="1" applyNumberFormat="1" applyFont="1" applyProtection="1">
      <protection locked="0"/>
    </xf>
    <xf numFmtId="165" fontId="28" fillId="0" borderId="0" xfId="1" applyNumberFormat="1" applyFont="1" applyProtection="1"/>
    <xf numFmtId="14" fontId="30" fillId="0" borderId="0" xfId="0" applyNumberFormat="1" applyFont="1" applyProtection="1">
      <protection locked="0"/>
    </xf>
    <xf numFmtId="165" fontId="28" fillId="0" borderId="0" xfId="1" applyNumberFormat="1" applyFont="1" applyProtection="1">
      <protection locked="0"/>
    </xf>
    <xf numFmtId="165" fontId="4" fillId="0" borderId="0" xfId="1" applyNumberFormat="1" applyFont="1" applyProtection="1"/>
    <xf numFmtId="14" fontId="31" fillId="0" borderId="15" xfId="0" applyNumberFormat="1" applyFont="1" applyBorder="1" applyAlignment="1" applyProtection="1">
      <alignment horizontal="center"/>
      <protection locked="0"/>
    </xf>
    <xf numFmtId="165" fontId="31" fillId="0" borderId="16" xfId="1" applyNumberFormat="1" applyFont="1" applyBorder="1" applyAlignment="1" applyProtection="1">
      <alignment horizontal="center"/>
      <protection locked="0"/>
    </xf>
    <xf numFmtId="165" fontId="31" fillId="0" borderId="1" xfId="1" applyNumberFormat="1" applyFont="1" applyBorder="1" applyAlignment="1" applyProtection="1">
      <alignment horizontal="center" vertical="center"/>
      <protection locked="0"/>
    </xf>
    <xf numFmtId="165" fontId="4" fillId="0" borderId="17" xfId="1" applyNumberFormat="1" applyFont="1" applyBorder="1" applyAlignment="1" applyProtection="1">
      <alignment horizontal="center" vertical="center"/>
    </xf>
    <xf numFmtId="0" fontId="32" fillId="0" borderId="0" xfId="0" applyFont="1" applyAlignment="1">
      <alignment horizontal="center" vertical="center"/>
    </xf>
    <xf numFmtId="14" fontId="33" fillId="0" borderId="0" xfId="0" applyNumberFormat="1" applyFont="1" applyProtection="1">
      <protection locked="0"/>
    </xf>
    <xf numFmtId="165" fontId="33" fillId="0" borderId="0" xfId="1" applyNumberFormat="1" applyFont="1" applyProtection="1">
      <protection locked="0"/>
    </xf>
    <xf numFmtId="165" fontId="34" fillId="0" borderId="0" xfId="1" applyNumberFormat="1" applyFont="1" applyProtection="1">
      <protection locked="0"/>
    </xf>
    <xf numFmtId="165" fontId="34" fillId="0" borderId="0" xfId="1" applyNumberFormat="1" applyFont="1" applyAlignment="1" applyProtection="1">
      <alignment horizontal="center" vertical="center"/>
    </xf>
    <xf numFmtId="165" fontId="35" fillId="0" borderId="0" xfId="1" applyNumberFormat="1" applyFont="1" applyProtection="1">
      <protection locked="0"/>
    </xf>
    <xf numFmtId="165" fontId="34" fillId="0" borderId="0" xfId="1" applyNumberFormat="1" applyFont="1" applyProtection="1"/>
    <xf numFmtId="165" fontId="36" fillId="0" borderId="0" xfId="1" applyNumberFormat="1" applyFont="1" applyProtection="1">
      <protection locked="0"/>
    </xf>
    <xf numFmtId="14" fontId="37" fillId="0" borderId="0" xfId="0" applyNumberFormat="1" applyFont="1" applyProtection="1">
      <protection locked="0"/>
    </xf>
    <xf numFmtId="165" fontId="38" fillId="0" borderId="0" xfId="1" applyNumberFormat="1" applyFont="1" applyProtection="1">
      <protection locked="0"/>
    </xf>
    <xf numFmtId="165" fontId="39" fillId="0" borderId="0" xfId="1" applyNumberFormat="1" applyFont="1" applyProtection="1">
      <protection locked="0"/>
    </xf>
    <xf numFmtId="165" fontId="2" fillId="0" borderId="0" xfId="0" applyNumberFormat="1" applyFont="1" applyAlignment="1">
      <alignment horizontal="center" vertical="center"/>
    </xf>
    <xf numFmtId="165" fontId="8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4" fontId="42" fillId="0" borderId="0" xfId="0" applyNumberFormat="1" applyFont="1" applyProtection="1">
      <protection locked="0"/>
    </xf>
    <xf numFmtId="165" fontId="42" fillId="0" borderId="0" xfId="1" applyNumberFormat="1" applyFont="1" applyProtection="1">
      <protection locked="0"/>
    </xf>
    <xf numFmtId="165" fontId="43" fillId="0" borderId="0" xfId="1" applyNumberFormat="1" applyFont="1" applyProtection="1">
      <protection locked="0"/>
    </xf>
    <xf numFmtId="165" fontId="43" fillId="0" borderId="0" xfId="1" applyNumberFormat="1" applyFont="1" applyAlignment="1" applyProtection="1">
      <alignment horizontal="center" vertical="center"/>
    </xf>
    <xf numFmtId="165" fontId="44" fillId="0" borderId="0" xfId="1" applyNumberFormat="1" applyFont="1" applyProtection="1">
      <protection locked="0"/>
    </xf>
    <xf numFmtId="165" fontId="43" fillId="0" borderId="0" xfId="1" applyNumberFormat="1" applyFont="1" applyProtection="1"/>
    <xf numFmtId="14" fontId="45" fillId="0" borderId="0" xfId="0" applyNumberFormat="1" applyFont="1" applyProtection="1">
      <protection locked="0"/>
    </xf>
    <xf numFmtId="165" fontId="45" fillId="0" borderId="0" xfId="1" applyNumberFormat="1" applyFont="1" applyProtection="1">
      <protection locked="0"/>
    </xf>
    <xf numFmtId="165" fontId="46" fillId="0" borderId="0" xfId="1" applyNumberFormat="1" applyFont="1" applyProtection="1">
      <protection locked="0"/>
    </xf>
    <xf numFmtId="165" fontId="46" fillId="0" borderId="0" xfId="1" applyNumberFormat="1" applyFont="1" applyAlignment="1" applyProtection="1">
      <alignment horizontal="center" vertical="center"/>
    </xf>
    <xf numFmtId="165" fontId="47" fillId="0" borderId="0" xfId="1" applyNumberFormat="1" applyFont="1" applyProtection="1">
      <protection locked="0"/>
    </xf>
    <xf numFmtId="165" fontId="46" fillId="0" borderId="0" xfId="1" applyNumberFormat="1" applyFont="1" applyProtection="1"/>
    <xf numFmtId="0" fontId="7" fillId="0" borderId="7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0" fillId="0" borderId="8" xfId="0" applyBorder="1" applyProtection="1">
      <protection locked="0"/>
    </xf>
    <xf numFmtId="0" fontId="0" fillId="0" borderId="8" xfId="0" applyBorder="1"/>
    <xf numFmtId="0" fontId="0" fillId="0" borderId="9" xfId="0" applyBorder="1"/>
    <xf numFmtId="0" fontId="7" fillId="0" borderId="18" xfId="0" applyFont="1" applyBorder="1" applyProtection="1">
      <protection locked="0"/>
    </xf>
    <xf numFmtId="164" fontId="3" fillId="0" borderId="20" xfId="0" applyNumberFormat="1" applyFont="1" applyBorder="1" applyAlignment="1">
      <alignment horizontal="center" vertical="center"/>
    </xf>
    <xf numFmtId="0" fontId="0" fillId="0" borderId="18" xfId="0" applyBorder="1" applyProtection="1">
      <protection locked="0"/>
    </xf>
    <xf numFmtId="0" fontId="0" fillId="0" borderId="19" xfId="0" applyBorder="1"/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12" xfId="0" applyBorder="1"/>
    <xf numFmtId="164" fontId="22" fillId="0" borderId="21" xfId="0" applyNumberFormat="1" applyFont="1" applyBorder="1" applyAlignment="1">
      <alignment horizontal="center" vertical="center"/>
    </xf>
    <xf numFmtId="0" fontId="24" fillId="0" borderId="0" xfId="0" applyFont="1"/>
    <xf numFmtId="3" fontId="14" fillId="0" borderId="1" xfId="2" applyNumberFormat="1" applyFont="1" applyFill="1" applyBorder="1" applyAlignment="1">
      <alignment horizontal="right" vertical="center"/>
    </xf>
    <xf numFmtId="0" fontId="50" fillId="5" borderId="1" xfId="0" applyFont="1" applyFill="1" applyBorder="1" applyAlignment="1">
      <alignment horizontal="center" vertical="center"/>
    </xf>
    <xf numFmtId="165" fontId="51" fillId="0" borderId="0" xfId="1" applyNumberFormat="1" applyFont="1" applyAlignment="1" applyProtection="1">
      <alignment vertical="center"/>
      <protection locked="0"/>
    </xf>
    <xf numFmtId="3" fontId="52" fillId="0" borderId="1" xfId="2" applyNumberFormat="1" applyFont="1" applyFill="1" applyBorder="1" applyAlignment="1" applyProtection="1">
      <alignment horizontal="center" vertical="center"/>
      <protection locked="0"/>
    </xf>
    <xf numFmtId="165" fontId="16" fillId="0" borderId="0" xfId="1" applyNumberFormat="1" applyFont="1" applyProtection="1">
      <protection locked="0"/>
    </xf>
    <xf numFmtId="0" fontId="8" fillId="0" borderId="0" xfId="0" applyFont="1" applyProtection="1">
      <protection locked="0"/>
    </xf>
    <xf numFmtId="165" fontId="4" fillId="0" borderId="16" xfId="1" applyNumberFormat="1" applyFont="1" applyBorder="1" applyAlignment="1" applyProtection="1">
      <alignment horizontal="center"/>
      <protection locked="0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164" fontId="48" fillId="6" borderId="7" xfId="0" applyNumberFormat="1" applyFont="1" applyFill="1" applyBorder="1" applyAlignment="1">
      <alignment horizontal="center" vertical="center"/>
    </xf>
    <xf numFmtId="164" fontId="48" fillId="6" borderId="8" xfId="0" applyNumberFormat="1" applyFont="1" applyFill="1" applyBorder="1" applyAlignment="1">
      <alignment horizontal="center" vertical="center"/>
    </xf>
    <xf numFmtId="164" fontId="48" fillId="6" borderId="9" xfId="0" applyNumberFormat="1" applyFont="1" applyFill="1" applyBorder="1" applyAlignment="1">
      <alignment horizontal="center" vertical="center"/>
    </xf>
    <xf numFmtId="164" fontId="48" fillId="6" borderId="10" xfId="0" applyNumberFormat="1" applyFont="1" applyFill="1" applyBorder="1" applyAlignment="1">
      <alignment horizontal="center" vertical="center"/>
    </xf>
    <xf numFmtId="164" fontId="48" fillId="6" borderId="11" xfId="0" applyNumberFormat="1" applyFont="1" applyFill="1" applyBorder="1" applyAlignment="1">
      <alignment horizontal="center" vertical="center"/>
    </xf>
    <xf numFmtId="164" fontId="48" fillId="6" borderId="12" xfId="0" applyNumberFormat="1" applyFont="1" applyFill="1" applyBorder="1" applyAlignment="1">
      <alignment horizontal="center" vertical="center"/>
    </xf>
    <xf numFmtId="0" fontId="49" fillId="7" borderId="7" xfId="0" applyFont="1" applyFill="1" applyBorder="1" applyAlignment="1" applyProtection="1">
      <alignment horizontal="right" vertical="center"/>
      <protection locked="0"/>
    </xf>
    <xf numFmtId="0" fontId="49" fillId="7" borderId="9" xfId="0" applyFont="1" applyFill="1" applyBorder="1" applyAlignment="1" applyProtection="1">
      <alignment horizontal="right" vertical="center"/>
      <protection locked="0"/>
    </xf>
    <xf numFmtId="0" fontId="49" fillId="7" borderId="10" xfId="0" applyFont="1" applyFill="1" applyBorder="1" applyAlignment="1" applyProtection="1">
      <alignment horizontal="right" vertical="center"/>
      <protection locked="0"/>
    </xf>
    <xf numFmtId="0" fontId="49" fillId="7" borderId="12" xfId="0" applyFont="1" applyFill="1" applyBorder="1" applyAlignment="1" applyProtection="1">
      <alignment horizontal="right" vertical="center"/>
      <protection locked="0"/>
    </xf>
    <xf numFmtId="0" fontId="41" fillId="8" borderId="7" xfId="0" applyFont="1" applyFill="1" applyBorder="1" applyAlignment="1" applyProtection="1">
      <alignment horizontal="center"/>
      <protection locked="0"/>
    </xf>
    <xf numFmtId="0" fontId="41" fillId="8" borderId="8" xfId="0" applyFont="1" applyFill="1" applyBorder="1" applyAlignment="1" applyProtection="1">
      <alignment horizontal="center"/>
      <protection locked="0"/>
    </xf>
    <xf numFmtId="0" fontId="41" fillId="8" borderId="9" xfId="0" applyFont="1" applyFill="1" applyBorder="1" applyAlignment="1" applyProtection="1">
      <alignment horizontal="center"/>
      <protection locked="0"/>
    </xf>
    <xf numFmtId="0" fontId="41" fillId="8" borderId="10" xfId="0" applyFont="1" applyFill="1" applyBorder="1" applyAlignment="1" applyProtection="1">
      <alignment horizontal="center"/>
      <protection locked="0"/>
    </xf>
    <xf numFmtId="0" fontId="41" fillId="8" borderId="11" xfId="0" applyFont="1" applyFill="1" applyBorder="1" applyAlignment="1" applyProtection="1">
      <alignment horizontal="center"/>
      <protection locked="0"/>
    </xf>
    <xf numFmtId="0" fontId="41" fillId="8" borderId="12" xfId="0" applyFont="1" applyFill="1" applyBorder="1" applyAlignment="1" applyProtection="1">
      <alignment horizontal="center"/>
      <protection locked="0"/>
    </xf>
  </cellXfs>
  <cellStyles count="3">
    <cellStyle name="Milliers" xfId="1" builtinId="3"/>
    <cellStyle name="Normal" xfId="0" builtinId="0"/>
    <cellStyle name="Total" xfId="2" builtinId="25"/>
  </cellStyles>
  <dxfs count="769"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strike val="0"/>
        <outline val="0"/>
        <shadow val="0"/>
        <u val="none"/>
        <vertAlign val="baseline"/>
        <sz val="22"/>
        <color rgb="FFFF0000"/>
        <name val="Calibri"/>
        <scheme val="minor"/>
      </font>
      <numFmt numFmtId="165" formatCode="_-* #,##0\ _€_-;\-* #,##0\ _€_-;_-* &quot;-&quot;??\ _€_-;_-@_-"/>
      <alignment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border outline="0">
        <left style="thin">
          <color indexed="64"/>
        </lef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rgb="FFFF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iagrams/_rels/data1.xml.rels><?xml version="1.0" encoding="UTF-8" standalone="yes"?>
<Relationships xmlns="http://schemas.openxmlformats.org/package/2006/relationships"><Relationship Id="rId13" Type="http://schemas.openxmlformats.org/officeDocument/2006/relationships/hyperlink" Target="#CACOMIAF!A1"/><Relationship Id="rId18" Type="http://schemas.openxmlformats.org/officeDocument/2006/relationships/hyperlink" Target="#SAKO!A1"/><Relationship Id="rId26" Type="http://schemas.openxmlformats.org/officeDocument/2006/relationships/hyperlink" Target="#'SPRIINT-TECH - BOSCH'!A1"/><Relationship Id="rId3" Type="http://schemas.openxmlformats.org/officeDocument/2006/relationships/hyperlink" Target="#'SUNSTEEL - KEVIN'!A1"/><Relationship Id="rId21" Type="http://schemas.openxmlformats.org/officeDocument/2006/relationships/hyperlink" Target="#'GGN PLAQUETTE'!A1"/><Relationship Id="rId34" Type="http://schemas.openxmlformats.org/officeDocument/2006/relationships/hyperlink" Target="#'BENARD PNEU'!A1"/><Relationship Id="rId7" Type="http://schemas.openxmlformats.org/officeDocument/2006/relationships/hyperlink" Target="#'AUTO ROY '!A1"/><Relationship Id="rId12" Type="http://schemas.openxmlformats.org/officeDocument/2006/relationships/hyperlink" Target="#'ROULEMENT MONDIAL'!A1"/><Relationship Id="rId17" Type="http://schemas.openxmlformats.org/officeDocument/2006/relationships/hyperlink" Target="#'ABASS KANSSA'!A1"/><Relationship Id="rId25" Type="http://schemas.openxmlformats.org/officeDocument/2006/relationships/hyperlink" Target="#'HASSAN SALAMAN'!A1"/><Relationship Id="rId33" Type="http://schemas.openxmlformats.org/officeDocument/2006/relationships/hyperlink" Target="#'FAO TOLIER'!A1"/><Relationship Id="rId2" Type="http://schemas.openxmlformats.org/officeDocument/2006/relationships/hyperlink" Target="#CHINOIS!A1"/><Relationship Id="rId16" Type="http://schemas.openxmlformats.org/officeDocument/2006/relationships/hyperlink" Target="#SOLO!A1"/><Relationship Id="rId20" Type="http://schemas.openxmlformats.org/officeDocument/2006/relationships/hyperlink" Target="#IRA!A1"/><Relationship Id="rId29" Type="http://schemas.openxmlformats.org/officeDocument/2006/relationships/hyperlink" Target="#'ABASS FARESS'!A1"/><Relationship Id="rId1" Type="http://schemas.openxmlformats.org/officeDocument/2006/relationships/hyperlink" Target="#'MAHMOUD CHAALAN'!A1"/><Relationship Id="rId6" Type="http://schemas.openxmlformats.org/officeDocument/2006/relationships/hyperlink" Target="#'MOHAMED ZALZALE'!A1"/><Relationship Id="rId11" Type="http://schemas.openxmlformats.org/officeDocument/2006/relationships/hyperlink" Target="#'ABASS BOUGI'!A1"/><Relationship Id="rId24" Type="http://schemas.openxmlformats.org/officeDocument/2006/relationships/hyperlink" Target="#'CFAO MOBILITY '!A1"/><Relationship Id="rId32" Type="http://schemas.openxmlformats.org/officeDocument/2006/relationships/hyperlink" Target="#BAKAYOKO!A1"/><Relationship Id="rId5" Type="http://schemas.openxmlformats.org/officeDocument/2006/relationships/hyperlink" Target="#'GEDIS '!A1"/><Relationship Id="rId15" Type="http://schemas.openxmlformats.org/officeDocument/2006/relationships/hyperlink" Target="#VICTOR!A1"/><Relationship Id="rId23" Type="http://schemas.openxmlformats.org/officeDocument/2006/relationships/hyperlink" Target="#'AKHIL DAHER '!A1"/><Relationship Id="rId28" Type="http://schemas.openxmlformats.org/officeDocument/2006/relationships/hyperlink" Target="#'VINOD GRAISSE '!A1"/><Relationship Id="rId10" Type="http://schemas.openxmlformats.org/officeDocument/2006/relationships/hyperlink" Target="#KABALANE!A1"/><Relationship Id="rId19" Type="http://schemas.openxmlformats.org/officeDocument/2006/relationships/hyperlink" Target="#'AHMAD WESLAKE'!A1"/><Relationship Id="rId31" Type="http://schemas.openxmlformats.org/officeDocument/2006/relationships/hyperlink" Target="#'JOSEPH &amp; CHARBEL'!A1"/><Relationship Id="rId4" Type="http://schemas.openxmlformats.org/officeDocument/2006/relationships/hyperlink" Target="#'MOUSTAPHA FAWAZ'!A1"/><Relationship Id="rId9" Type="http://schemas.openxmlformats.org/officeDocument/2006/relationships/hyperlink" Target="#NABILCO!A1"/><Relationship Id="rId14" Type="http://schemas.openxmlformats.org/officeDocument/2006/relationships/hyperlink" Target="#'HASSAN KAFARANI'!A1"/><Relationship Id="rId22" Type="http://schemas.openxmlformats.org/officeDocument/2006/relationships/hyperlink" Target="#'LIQUI MOLY'!A1"/><Relationship Id="rId27" Type="http://schemas.openxmlformats.org/officeDocument/2006/relationships/hyperlink" Target="#MAHMOUD!A1"/><Relationship Id="rId30" Type="http://schemas.openxmlformats.org/officeDocument/2006/relationships/hyperlink" Target="#'EXIM-IMPEX'!A1"/><Relationship Id="rId35" Type="http://schemas.openxmlformats.org/officeDocument/2006/relationships/hyperlink" Target="#DIVERS!A1"/><Relationship Id="rId8" Type="http://schemas.openxmlformats.org/officeDocument/2006/relationships/hyperlink" Target="#DUNLOP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463B85C-09FB-41D5-9C5D-077EA67ED447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EC0A2EAE-A426-4B7F-9188-9B357C69CCF5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MAHMOUD CHAALAN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9026834-0613-43CB-9E1B-8F6B9DA406CF}" type="parTrans" cxnId="{FBAEFB80-5129-4673-B5C5-E89255C14159}">
      <dgm:prSet/>
      <dgm:spPr/>
      <dgm:t>
        <a:bodyPr/>
        <a:lstStyle/>
        <a:p>
          <a:endParaRPr lang="fr-FR" sz="1600"/>
        </a:p>
      </dgm:t>
    </dgm:pt>
    <dgm:pt modelId="{E1B1E3E9-AC3D-4FEE-B824-2F9C0829F064}" type="sibTrans" cxnId="{FBAEFB80-5129-4673-B5C5-E89255C14159}">
      <dgm:prSet/>
      <dgm:spPr/>
      <dgm:t>
        <a:bodyPr/>
        <a:lstStyle/>
        <a:p>
          <a:endParaRPr lang="fr-FR" sz="1600"/>
        </a:p>
      </dgm:t>
    </dgm:pt>
    <dgm:pt modelId="{B0509930-ADA5-437B-A612-ED0BAB3EB9BE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CHINOIS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CB04AD6-5F26-44F1-A458-4359A91F2582}" type="parTrans" cxnId="{405E0923-4F66-49C5-84B2-902202154A4D}">
      <dgm:prSet/>
      <dgm:spPr/>
      <dgm:t>
        <a:bodyPr/>
        <a:lstStyle/>
        <a:p>
          <a:endParaRPr lang="fr-FR" sz="1600"/>
        </a:p>
      </dgm:t>
    </dgm:pt>
    <dgm:pt modelId="{C78FA993-0A9A-4846-8B26-6BC6FCDB9D7B}" type="sibTrans" cxnId="{405E0923-4F66-49C5-84B2-902202154A4D}">
      <dgm:prSet/>
      <dgm:spPr/>
      <dgm:t>
        <a:bodyPr/>
        <a:lstStyle/>
        <a:p>
          <a:endParaRPr lang="fr-FR" sz="1600"/>
        </a:p>
      </dgm:t>
    </dgm:pt>
    <dgm:pt modelId="{EACD7E9A-5F61-4C70-94CC-F7C24273FF08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SUSTEEL-KEVIN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F1C5ADB-3E81-4E1B-91DE-385E60526AC2}" type="parTrans" cxnId="{0D5204F8-BD7B-4520-BC48-451569EF262E}">
      <dgm:prSet/>
      <dgm:spPr/>
      <dgm:t>
        <a:bodyPr/>
        <a:lstStyle/>
        <a:p>
          <a:endParaRPr lang="fr-FR" sz="1600"/>
        </a:p>
      </dgm:t>
    </dgm:pt>
    <dgm:pt modelId="{9A1D4418-CF74-49F4-AB6A-6EE5537BCD7E}" type="sibTrans" cxnId="{0D5204F8-BD7B-4520-BC48-451569EF262E}">
      <dgm:prSet/>
      <dgm:spPr/>
      <dgm:t>
        <a:bodyPr/>
        <a:lstStyle/>
        <a:p>
          <a:endParaRPr lang="fr-FR" sz="1600"/>
        </a:p>
      </dgm:t>
    </dgm:pt>
    <dgm:pt modelId="{579EC70B-CD07-47C0-99AB-620CA5CF82F4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MOUSTAPHA FAWAZ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F111E3BE-3CB4-4B7E-BDEE-FBFF67EBCDD3}" type="parTrans" cxnId="{A4159A4A-E3C9-44DB-9E9B-0B52C123356F}">
      <dgm:prSet/>
      <dgm:spPr/>
      <dgm:t>
        <a:bodyPr/>
        <a:lstStyle/>
        <a:p>
          <a:endParaRPr lang="fr-FR" sz="1600"/>
        </a:p>
      </dgm:t>
    </dgm:pt>
    <dgm:pt modelId="{C51A76E2-CA27-4EF4-B51B-A8BD37926A79}" type="sibTrans" cxnId="{A4159A4A-E3C9-44DB-9E9B-0B52C123356F}">
      <dgm:prSet/>
      <dgm:spPr/>
      <dgm:t>
        <a:bodyPr/>
        <a:lstStyle/>
        <a:p>
          <a:endParaRPr lang="fr-FR" sz="1600"/>
        </a:p>
      </dgm:t>
    </dgm:pt>
    <dgm:pt modelId="{F43E0042-EE0D-4C15-8F01-8F27B68C85F3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GEDIS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CB54EB4F-7332-4201-9A26-6DB7273B1C5F}" type="parTrans" cxnId="{2BF6FCBF-5322-424A-ABF5-BC1E69F21956}">
      <dgm:prSet/>
      <dgm:spPr/>
      <dgm:t>
        <a:bodyPr/>
        <a:lstStyle/>
        <a:p>
          <a:endParaRPr lang="fr-FR" sz="1600"/>
        </a:p>
      </dgm:t>
    </dgm:pt>
    <dgm:pt modelId="{9F07FE17-4258-46EF-A1A4-FB8AB9F7B78E}" type="sibTrans" cxnId="{2BF6FCBF-5322-424A-ABF5-BC1E69F21956}">
      <dgm:prSet/>
      <dgm:spPr/>
      <dgm:t>
        <a:bodyPr/>
        <a:lstStyle/>
        <a:p>
          <a:endParaRPr lang="fr-FR" sz="1600"/>
        </a:p>
      </dgm:t>
    </dgm:pt>
    <dgm:pt modelId="{D1FC7BF5-18DB-4B42-BBFC-F1D812869D1D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MOHAMED ZALZALE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EA2C0C01-3863-4CE4-98F3-3F51AC803FCB}" type="parTrans" cxnId="{CF01BA54-4D0F-4D2E-9DEB-04E3C7955E87}">
      <dgm:prSet/>
      <dgm:spPr/>
      <dgm:t>
        <a:bodyPr/>
        <a:lstStyle/>
        <a:p>
          <a:endParaRPr lang="fr-FR" sz="1600"/>
        </a:p>
      </dgm:t>
    </dgm:pt>
    <dgm:pt modelId="{1AFAB648-1861-4ABC-BFA2-E027C44A5341}" type="sibTrans" cxnId="{CF01BA54-4D0F-4D2E-9DEB-04E3C7955E87}">
      <dgm:prSet/>
      <dgm:spPr/>
      <dgm:t>
        <a:bodyPr/>
        <a:lstStyle/>
        <a:p>
          <a:endParaRPr lang="fr-FR" sz="1600"/>
        </a:p>
      </dgm:t>
    </dgm:pt>
    <dgm:pt modelId="{06679E0F-A3A8-4133-BF80-BC6023194BE6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AUTO ROY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451C7B20-1FBA-4F63-B2C2-05D7579937CB}" type="parTrans" cxnId="{04BB803E-402B-41CC-9941-40FBDD354769}">
      <dgm:prSet/>
      <dgm:spPr/>
      <dgm:t>
        <a:bodyPr/>
        <a:lstStyle/>
        <a:p>
          <a:endParaRPr lang="fr-FR" sz="1600"/>
        </a:p>
      </dgm:t>
    </dgm:pt>
    <dgm:pt modelId="{9B2D2A5F-9E3E-464B-9830-A6ABD0477660}" type="sibTrans" cxnId="{04BB803E-402B-41CC-9941-40FBDD354769}">
      <dgm:prSet/>
      <dgm:spPr/>
      <dgm:t>
        <a:bodyPr/>
        <a:lstStyle/>
        <a:p>
          <a:endParaRPr lang="fr-FR" sz="1600"/>
        </a:p>
      </dgm:t>
    </dgm:pt>
    <dgm:pt modelId="{42FA2CAE-7E0A-4A2A-B580-F578F74422C2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DUNLOP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ACBAC265-36DC-4E4D-9E95-9210CC4FB795}" type="parTrans" cxnId="{62FE66DC-ABDB-49CE-9663-E3C0379FFD31}">
      <dgm:prSet/>
      <dgm:spPr/>
      <dgm:t>
        <a:bodyPr/>
        <a:lstStyle/>
        <a:p>
          <a:endParaRPr lang="fr-FR" sz="1600"/>
        </a:p>
      </dgm:t>
    </dgm:pt>
    <dgm:pt modelId="{3A4D4295-3120-4C6D-A71C-9F40125644E8}" type="sibTrans" cxnId="{62FE66DC-ABDB-49CE-9663-E3C0379FFD31}">
      <dgm:prSet/>
      <dgm:spPr/>
      <dgm:t>
        <a:bodyPr/>
        <a:lstStyle/>
        <a:p>
          <a:endParaRPr lang="fr-FR" sz="1600"/>
        </a:p>
      </dgm:t>
    </dgm:pt>
    <dgm:pt modelId="{DE869A6B-9812-46E2-A681-6CD749443F18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NABILCO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A5118C6C-02EE-40AA-9654-DF573F7CE69E}" type="parTrans" cxnId="{EF5E56FA-E2ED-4943-9B6F-7E23ED89F42D}">
      <dgm:prSet/>
      <dgm:spPr/>
      <dgm:t>
        <a:bodyPr/>
        <a:lstStyle/>
        <a:p>
          <a:endParaRPr lang="fr-FR" sz="1600"/>
        </a:p>
      </dgm:t>
    </dgm:pt>
    <dgm:pt modelId="{A7FD9779-CC9F-4412-89A8-DCAEF48231EA}" type="sibTrans" cxnId="{EF5E56FA-E2ED-4943-9B6F-7E23ED89F42D}">
      <dgm:prSet/>
      <dgm:spPr/>
      <dgm:t>
        <a:bodyPr/>
        <a:lstStyle/>
        <a:p>
          <a:endParaRPr lang="fr-FR" sz="1600"/>
        </a:p>
      </dgm:t>
    </dgm:pt>
    <dgm:pt modelId="{53BE13A8-4F8A-494A-BF91-AEDD1360AC75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KABALANE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FA02CD88-DC1D-4E30-AB88-1C53A6B19635}" type="parTrans" cxnId="{6E08598A-C2C2-4B48-9E00-0A5B3FDCB8A3}">
      <dgm:prSet/>
      <dgm:spPr/>
      <dgm:t>
        <a:bodyPr/>
        <a:lstStyle/>
        <a:p>
          <a:endParaRPr lang="fr-FR" sz="1600"/>
        </a:p>
      </dgm:t>
    </dgm:pt>
    <dgm:pt modelId="{D0740FD2-2E3A-4CB9-BF2C-1B1593D1B582}" type="sibTrans" cxnId="{6E08598A-C2C2-4B48-9E00-0A5B3FDCB8A3}">
      <dgm:prSet/>
      <dgm:spPr/>
      <dgm:t>
        <a:bodyPr/>
        <a:lstStyle/>
        <a:p>
          <a:endParaRPr lang="fr-FR" sz="1600"/>
        </a:p>
      </dgm:t>
    </dgm:pt>
    <dgm:pt modelId="{6D7405BF-15D1-4F90-A64C-E9571AA9152B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ABASS BOURGI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1"/>
          </dgm14:cNvPr>
        </a:ext>
      </dgm:extLst>
    </dgm:pt>
    <dgm:pt modelId="{FE5D7C92-2D22-4E03-B92A-BDB37D04B6AF}" type="parTrans" cxnId="{77FFC073-61E8-4AD7-88B7-C9B5C4973BCB}">
      <dgm:prSet/>
      <dgm:spPr/>
      <dgm:t>
        <a:bodyPr/>
        <a:lstStyle/>
        <a:p>
          <a:endParaRPr lang="fr-FR" sz="1600"/>
        </a:p>
      </dgm:t>
    </dgm:pt>
    <dgm:pt modelId="{2B490746-B728-44FB-811F-6AA011DAC168}" type="sibTrans" cxnId="{77FFC073-61E8-4AD7-88B7-C9B5C4973BCB}">
      <dgm:prSet/>
      <dgm:spPr/>
      <dgm:t>
        <a:bodyPr/>
        <a:lstStyle/>
        <a:p>
          <a:endParaRPr lang="fr-FR" sz="1600"/>
        </a:p>
      </dgm:t>
    </dgm:pt>
    <dgm:pt modelId="{DA0FB034-B4B1-4EEF-BBE8-1C27624D70FE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ROULEMENT MONDIAL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2"/>
          </dgm14:cNvPr>
        </a:ext>
      </dgm:extLst>
    </dgm:pt>
    <dgm:pt modelId="{C9090AAD-B92B-4285-B3C7-D2E6D5142375}" type="parTrans" cxnId="{3099D0F1-8D58-4DBC-902C-D25052B747F4}">
      <dgm:prSet/>
      <dgm:spPr/>
      <dgm:t>
        <a:bodyPr/>
        <a:lstStyle/>
        <a:p>
          <a:endParaRPr lang="fr-FR" sz="1600"/>
        </a:p>
      </dgm:t>
    </dgm:pt>
    <dgm:pt modelId="{91FF2A4C-8977-4D22-ADB8-074C4EB1387F}" type="sibTrans" cxnId="{3099D0F1-8D58-4DBC-902C-D25052B747F4}">
      <dgm:prSet/>
      <dgm:spPr/>
      <dgm:t>
        <a:bodyPr/>
        <a:lstStyle/>
        <a:p>
          <a:endParaRPr lang="fr-FR" sz="1600"/>
        </a:p>
      </dgm:t>
    </dgm:pt>
    <dgm:pt modelId="{1675BCAF-1FA4-447F-8121-B54727876523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CACOMIAF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3"/>
          </dgm14:cNvPr>
        </a:ext>
      </dgm:extLst>
    </dgm:pt>
    <dgm:pt modelId="{B5EC1D4D-641C-4D64-BE6E-D4505EB54555}" type="parTrans" cxnId="{B6962358-64A8-4092-B70E-3B6FA3A54B01}">
      <dgm:prSet/>
      <dgm:spPr/>
      <dgm:t>
        <a:bodyPr/>
        <a:lstStyle/>
        <a:p>
          <a:endParaRPr lang="fr-FR" sz="1600"/>
        </a:p>
      </dgm:t>
    </dgm:pt>
    <dgm:pt modelId="{0DA278AB-5A8D-4AC9-BA28-0242380AEF0C}" type="sibTrans" cxnId="{B6962358-64A8-4092-B70E-3B6FA3A54B01}">
      <dgm:prSet/>
      <dgm:spPr/>
      <dgm:t>
        <a:bodyPr/>
        <a:lstStyle/>
        <a:p>
          <a:endParaRPr lang="fr-FR" sz="1600"/>
        </a:p>
      </dgm:t>
    </dgm:pt>
    <dgm:pt modelId="{040BF179-1C64-469F-A7F8-DBFE596DCB84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HASSAN KAFARANI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4"/>
          </dgm14:cNvPr>
        </a:ext>
      </dgm:extLst>
    </dgm:pt>
    <dgm:pt modelId="{A5632473-1486-4B5B-85D5-3FFAB857FEB1}" type="parTrans" cxnId="{8C5DD40A-9BD5-48A7-8565-F206E0228A9D}">
      <dgm:prSet/>
      <dgm:spPr/>
      <dgm:t>
        <a:bodyPr/>
        <a:lstStyle/>
        <a:p>
          <a:endParaRPr lang="fr-FR" sz="1600"/>
        </a:p>
      </dgm:t>
    </dgm:pt>
    <dgm:pt modelId="{24B480B4-B35B-48A8-808D-6B2BF9FF7718}" type="sibTrans" cxnId="{8C5DD40A-9BD5-48A7-8565-F206E0228A9D}">
      <dgm:prSet/>
      <dgm:spPr/>
      <dgm:t>
        <a:bodyPr/>
        <a:lstStyle/>
        <a:p>
          <a:endParaRPr lang="fr-FR" sz="1600"/>
        </a:p>
      </dgm:t>
    </dgm:pt>
    <dgm:pt modelId="{694D19DA-2E43-4E76-9E94-EE6D370ABBE5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VICTOR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5"/>
          </dgm14:cNvPr>
        </a:ext>
      </dgm:extLst>
    </dgm:pt>
    <dgm:pt modelId="{77607B9E-BBDC-4101-B072-68AF4C381E0A}" type="parTrans" cxnId="{CFC4AE42-A4A0-44B4-ADCF-FDD1512E870D}">
      <dgm:prSet/>
      <dgm:spPr/>
      <dgm:t>
        <a:bodyPr/>
        <a:lstStyle/>
        <a:p>
          <a:endParaRPr lang="fr-FR" sz="1600"/>
        </a:p>
      </dgm:t>
    </dgm:pt>
    <dgm:pt modelId="{03B44F07-A2FC-4AE7-B72E-0151A9D6962B}" type="sibTrans" cxnId="{CFC4AE42-A4A0-44B4-ADCF-FDD1512E870D}">
      <dgm:prSet/>
      <dgm:spPr/>
      <dgm:t>
        <a:bodyPr/>
        <a:lstStyle/>
        <a:p>
          <a:endParaRPr lang="fr-FR" sz="1600"/>
        </a:p>
      </dgm:t>
    </dgm:pt>
    <dgm:pt modelId="{F8E6A43C-9286-4826-8BC6-C79141CF69C7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SOLO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6"/>
          </dgm14:cNvPr>
        </a:ext>
      </dgm:extLst>
    </dgm:pt>
    <dgm:pt modelId="{D08D438A-5D85-4183-BBC2-7FFC6F10A653}" type="parTrans" cxnId="{870CD263-D363-44A6-9BA3-377CE40CBCE9}">
      <dgm:prSet/>
      <dgm:spPr/>
      <dgm:t>
        <a:bodyPr/>
        <a:lstStyle/>
        <a:p>
          <a:endParaRPr lang="fr-FR" sz="1600"/>
        </a:p>
      </dgm:t>
    </dgm:pt>
    <dgm:pt modelId="{E70D5DA8-E503-4E95-811D-66B6C4D2FC9F}" type="sibTrans" cxnId="{870CD263-D363-44A6-9BA3-377CE40CBCE9}">
      <dgm:prSet/>
      <dgm:spPr/>
      <dgm:t>
        <a:bodyPr/>
        <a:lstStyle/>
        <a:p>
          <a:endParaRPr lang="fr-FR" sz="1600"/>
        </a:p>
      </dgm:t>
    </dgm:pt>
    <dgm:pt modelId="{690BCFA1-B820-4B1E-8B0A-C161B800368C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ABASS KANSA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7"/>
          </dgm14:cNvPr>
        </a:ext>
      </dgm:extLst>
    </dgm:pt>
    <dgm:pt modelId="{2EFF9B6D-B15F-4F17-A93D-7020F06AE28D}" type="parTrans" cxnId="{92F09644-8693-4DE6-AD64-EEFB237F3EFD}">
      <dgm:prSet/>
      <dgm:spPr/>
      <dgm:t>
        <a:bodyPr/>
        <a:lstStyle/>
        <a:p>
          <a:endParaRPr lang="fr-FR" sz="1600"/>
        </a:p>
      </dgm:t>
    </dgm:pt>
    <dgm:pt modelId="{9946731A-69E1-4344-A095-12C0AD0426A0}" type="sibTrans" cxnId="{92F09644-8693-4DE6-AD64-EEFB237F3EFD}">
      <dgm:prSet/>
      <dgm:spPr/>
      <dgm:t>
        <a:bodyPr/>
        <a:lstStyle/>
        <a:p>
          <a:endParaRPr lang="fr-FR" sz="1600"/>
        </a:p>
      </dgm:t>
    </dgm:pt>
    <dgm:pt modelId="{94F357D8-AEAF-4F66-B773-33263112A7C5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SAKO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8"/>
          </dgm14:cNvPr>
        </a:ext>
      </dgm:extLst>
    </dgm:pt>
    <dgm:pt modelId="{31F8F9C0-65A8-4D02-BFB9-32609FEDE549}" type="parTrans" cxnId="{234EA0B5-6573-41F9-B648-74243F7174E2}">
      <dgm:prSet/>
      <dgm:spPr/>
      <dgm:t>
        <a:bodyPr/>
        <a:lstStyle/>
        <a:p>
          <a:endParaRPr lang="fr-FR" sz="1600"/>
        </a:p>
      </dgm:t>
    </dgm:pt>
    <dgm:pt modelId="{9EE9B4AE-DC99-48EB-936F-FE39ECA87221}" type="sibTrans" cxnId="{234EA0B5-6573-41F9-B648-74243F7174E2}">
      <dgm:prSet/>
      <dgm:spPr/>
      <dgm:t>
        <a:bodyPr/>
        <a:lstStyle/>
        <a:p>
          <a:endParaRPr lang="fr-FR" sz="1600"/>
        </a:p>
      </dgm:t>
    </dgm:pt>
    <dgm:pt modelId="{B350BA4F-CA65-45A6-8B29-BD7299419CD8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HAMAD WESLAKE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9"/>
          </dgm14:cNvPr>
        </a:ext>
      </dgm:extLst>
    </dgm:pt>
    <dgm:pt modelId="{457948E0-8F87-4F61-8FF6-4B3D679B2B15}" type="parTrans" cxnId="{345A3EE5-A6B6-4E5B-9098-1ADADFC1E4DD}">
      <dgm:prSet/>
      <dgm:spPr/>
      <dgm:t>
        <a:bodyPr/>
        <a:lstStyle/>
        <a:p>
          <a:endParaRPr lang="fr-FR" sz="1600"/>
        </a:p>
      </dgm:t>
    </dgm:pt>
    <dgm:pt modelId="{99A070A8-A0C1-4EF6-9589-06FFA782442D}" type="sibTrans" cxnId="{345A3EE5-A6B6-4E5B-9098-1ADADFC1E4DD}">
      <dgm:prSet/>
      <dgm:spPr/>
      <dgm:t>
        <a:bodyPr/>
        <a:lstStyle/>
        <a:p>
          <a:endParaRPr lang="fr-FR" sz="1600"/>
        </a:p>
      </dgm:t>
    </dgm:pt>
    <dgm:pt modelId="{C8D8E984-E546-44DB-8CEF-6C16DDA7DDF0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IRA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0"/>
          </dgm14:cNvPr>
        </a:ext>
      </dgm:extLst>
    </dgm:pt>
    <dgm:pt modelId="{E75D6AAE-E029-4BB9-B20F-4E1C17582175}" type="parTrans" cxnId="{6D9D62A7-DB64-4BDC-B33C-5C06A41B16C3}">
      <dgm:prSet/>
      <dgm:spPr/>
      <dgm:t>
        <a:bodyPr/>
        <a:lstStyle/>
        <a:p>
          <a:endParaRPr lang="fr-FR" sz="1600"/>
        </a:p>
      </dgm:t>
    </dgm:pt>
    <dgm:pt modelId="{8E770A31-EB94-4F56-B48F-924E6BC9580D}" type="sibTrans" cxnId="{6D9D62A7-DB64-4BDC-B33C-5C06A41B16C3}">
      <dgm:prSet/>
      <dgm:spPr/>
      <dgm:t>
        <a:bodyPr/>
        <a:lstStyle/>
        <a:p>
          <a:endParaRPr lang="fr-FR" sz="1600"/>
        </a:p>
      </dgm:t>
    </dgm:pt>
    <dgm:pt modelId="{E6432C12-E160-4EE6-B3FA-E63FAF5662DB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GN PLAQUETTE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1"/>
          </dgm14:cNvPr>
        </a:ext>
      </dgm:extLst>
    </dgm:pt>
    <dgm:pt modelId="{F3345FE5-BE1A-43B9-A4A0-B916A35CE5C3}" type="parTrans" cxnId="{FF2CD6BF-3518-4E40-9383-3B2A41244763}">
      <dgm:prSet/>
      <dgm:spPr/>
      <dgm:t>
        <a:bodyPr/>
        <a:lstStyle/>
        <a:p>
          <a:endParaRPr lang="fr-FR" sz="1600"/>
        </a:p>
      </dgm:t>
    </dgm:pt>
    <dgm:pt modelId="{0516AEED-AED4-47FB-B9B1-9E034CC5B336}" type="sibTrans" cxnId="{FF2CD6BF-3518-4E40-9383-3B2A41244763}">
      <dgm:prSet/>
      <dgm:spPr/>
      <dgm:t>
        <a:bodyPr/>
        <a:lstStyle/>
        <a:p>
          <a:endParaRPr lang="fr-FR" sz="1600"/>
        </a:p>
      </dgm:t>
    </dgm:pt>
    <dgm:pt modelId="{FF6FAEBD-05D3-49F7-B721-95B0361FF8CD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LIQUI MOLY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2"/>
          </dgm14:cNvPr>
        </a:ext>
      </dgm:extLst>
    </dgm:pt>
    <dgm:pt modelId="{7BA4C422-8E90-4D58-ACC0-7B5DA894B82F}" type="parTrans" cxnId="{BDD5A489-36F6-458B-A23E-DD61E314D2E4}">
      <dgm:prSet/>
      <dgm:spPr/>
      <dgm:t>
        <a:bodyPr/>
        <a:lstStyle/>
        <a:p>
          <a:endParaRPr lang="fr-FR" sz="1600"/>
        </a:p>
      </dgm:t>
    </dgm:pt>
    <dgm:pt modelId="{F2DA1105-00CA-4650-AE7F-AB78586AD786}" type="sibTrans" cxnId="{BDD5A489-36F6-458B-A23E-DD61E314D2E4}">
      <dgm:prSet/>
      <dgm:spPr/>
      <dgm:t>
        <a:bodyPr/>
        <a:lstStyle/>
        <a:p>
          <a:endParaRPr lang="fr-FR" sz="1600"/>
        </a:p>
      </dgm:t>
    </dgm:pt>
    <dgm:pt modelId="{D6760DA0-B6EB-44D9-A1F3-C310001D6DAF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AKHIL DAHER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3"/>
          </dgm14:cNvPr>
        </a:ext>
      </dgm:extLst>
    </dgm:pt>
    <dgm:pt modelId="{1B1EB899-9548-483F-82BB-607CFFBBFBBA}" type="parTrans" cxnId="{891095BF-12E1-4BE4-B41A-52EC26701A43}">
      <dgm:prSet/>
      <dgm:spPr/>
      <dgm:t>
        <a:bodyPr/>
        <a:lstStyle/>
        <a:p>
          <a:endParaRPr lang="fr-FR" sz="1600"/>
        </a:p>
      </dgm:t>
    </dgm:pt>
    <dgm:pt modelId="{A2093813-992E-4BEC-AC4C-DA014AA082EA}" type="sibTrans" cxnId="{891095BF-12E1-4BE4-B41A-52EC26701A43}">
      <dgm:prSet/>
      <dgm:spPr/>
      <dgm:t>
        <a:bodyPr/>
        <a:lstStyle/>
        <a:p>
          <a:endParaRPr lang="fr-FR" sz="1600"/>
        </a:p>
      </dgm:t>
    </dgm:pt>
    <dgm:pt modelId="{A6C92482-1CDD-4848-B14F-8B5632999D0B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CFAO MOBILITY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4"/>
          </dgm14:cNvPr>
        </a:ext>
      </dgm:extLst>
    </dgm:pt>
    <dgm:pt modelId="{1522A754-FB9C-4100-8270-3781207E22E7}" type="parTrans" cxnId="{62C7F29C-C914-45C2-964B-4E74F3AB2FDF}">
      <dgm:prSet/>
      <dgm:spPr/>
      <dgm:t>
        <a:bodyPr/>
        <a:lstStyle/>
        <a:p>
          <a:endParaRPr lang="fr-FR" sz="1600"/>
        </a:p>
      </dgm:t>
    </dgm:pt>
    <dgm:pt modelId="{9EE9FB51-886C-453D-807A-9C5972D3BD84}" type="sibTrans" cxnId="{62C7F29C-C914-45C2-964B-4E74F3AB2FDF}">
      <dgm:prSet/>
      <dgm:spPr/>
      <dgm:t>
        <a:bodyPr/>
        <a:lstStyle/>
        <a:p>
          <a:endParaRPr lang="fr-FR" sz="1600"/>
        </a:p>
      </dgm:t>
    </dgm:pt>
    <dgm:pt modelId="{007C5483-7176-457F-AA06-24CAAF180ABF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HASSAN SALAMAN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5"/>
          </dgm14:cNvPr>
        </a:ext>
      </dgm:extLst>
    </dgm:pt>
    <dgm:pt modelId="{78AF0501-B2E6-4683-9584-E347B744D510}" type="parTrans" cxnId="{5EF77E87-81E9-48E1-8F2D-EEC11EFFD815}">
      <dgm:prSet/>
      <dgm:spPr/>
      <dgm:t>
        <a:bodyPr/>
        <a:lstStyle/>
        <a:p>
          <a:endParaRPr lang="fr-FR" sz="1600"/>
        </a:p>
      </dgm:t>
    </dgm:pt>
    <dgm:pt modelId="{DAED148E-9DCB-4E10-8B54-4B8C21149E47}" type="sibTrans" cxnId="{5EF77E87-81E9-48E1-8F2D-EEC11EFFD815}">
      <dgm:prSet/>
      <dgm:spPr/>
      <dgm:t>
        <a:bodyPr/>
        <a:lstStyle/>
        <a:p>
          <a:endParaRPr lang="fr-FR" sz="1600"/>
        </a:p>
      </dgm:t>
    </dgm:pt>
    <dgm:pt modelId="{FB4A64D6-8BA4-44D1-9979-274AD631F181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SPRIINT-TECH - BOSCH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6"/>
          </dgm14:cNvPr>
        </a:ext>
      </dgm:extLst>
    </dgm:pt>
    <dgm:pt modelId="{21498E05-5D6B-4528-9207-09811CD75E91}" type="parTrans" cxnId="{89A9164E-BDFD-4E15-B7A2-F912DC5925D9}">
      <dgm:prSet/>
      <dgm:spPr/>
      <dgm:t>
        <a:bodyPr/>
        <a:lstStyle/>
        <a:p>
          <a:endParaRPr lang="fr-FR" sz="1600"/>
        </a:p>
      </dgm:t>
    </dgm:pt>
    <dgm:pt modelId="{5F37676E-BEE2-4A2A-A998-12A0B8748907}" type="sibTrans" cxnId="{89A9164E-BDFD-4E15-B7A2-F912DC5925D9}">
      <dgm:prSet/>
      <dgm:spPr/>
      <dgm:t>
        <a:bodyPr/>
        <a:lstStyle/>
        <a:p>
          <a:endParaRPr lang="fr-FR" sz="1600"/>
        </a:p>
      </dgm:t>
    </dgm:pt>
    <dgm:pt modelId="{9EB4979E-3CAF-495B-90C6-1D819CF048DE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200" b="1"/>
            <a:t>MAHMOUD </a:t>
          </a:r>
        </a:p>
        <a:p>
          <a:r>
            <a:rPr lang="fr-FR" sz="1200" b="1"/>
            <a:t>SAFIEDDINE</a:t>
          </a:r>
        </a:p>
        <a:p>
          <a:r>
            <a:rPr lang="fr-FR" sz="1050" b="1"/>
            <a:t>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7"/>
          </dgm14:cNvPr>
        </a:ext>
      </dgm:extLst>
    </dgm:pt>
    <dgm:pt modelId="{8847A822-57CE-4D85-938A-915C4DEF16C2}" type="parTrans" cxnId="{BE0A43CD-1D14-4A96-9206-211F0C294908}">
      <dgm:prSet/>
      <dgm:spPr/>
      <dgm:t>
        <a:bodyPr/>
        <a:lstStyle/>
        <a:p>
          <a:endParaRPr lang="fr-FR" sz="1600"/>
        </a:p>
      </dgm:t>
    </dgm:pt>
    <dgm:pt modelId="{53E4EE1C-B7AF-4F39-B5BB-62C22470DFB8}" type="sibTrans" cxnId="{BE0A43CD-1D14-4A96-9206-211F0C294908}">
      <dgm:prSet/>
      <dgm:spPr/>
      <dgm:t>
        <a:bodyPr/>
        <a:lstStyle/>
        <a:p>
          <a:endParaRPr lang="fr-FR" sz="1600"/>
        </a:p>
      </dgm:t>
    </dgm:pt>
    <dgm:pt modelId="{483BEBFD-C1E3-4E0F-A87B-54FBE53FA751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VIGNOD GRAISSE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8"/>
          </dgm14:cNvPr>
        </a:ext>
      </dgm:extLst>
    </dgm:pt>
    <dgm:pt modelId="{D57D49BE-AF64-423A-9C62-C3D6B8155269}" type="parTrans" cxnId="{6D3A7355-86F3-4C71-94E8-0F0662C4C58B}">
      <dgm:prSet/>
      <dgm:spPr/>
      <dgm:t>
        <a:bodyPr/>
        <a:lstStyle/>
        <a:p>
          <a:endParaRPr lang="fr-FR" sz="1600"/>
        </a:p>
      </dgm:t>
    </dgm:pt>
    <dgm:pt modelId="{1B0FA2C6-A091-4C0A-A1C1-8B29ABC12133}" type="sibTrans" cxnId="{6D3A7355-86F3-4C71-94E8-0F0662C4C58B}">
      <dgm:prSet/>
      <dgm:spPr/>
      <dgm:t>
        <a:bodyPr/>
        <a:lstStyle/>
        <a:p>
          <a:endParaRPr lang="fr-FR" sz="1600"/>
        </a:p>
      </dgm:t>
    </dgm:pt>
    <dgm:pt modelId="{FA233FB8-541B-412E-B193-D918BDCB070E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ABASS FAREZ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9"/>
          </dgm14:cNvPr>
        </a:ext>
      </dgm:extLst>
    </dgm:pt>
    <dgm:pt modelId="{116F4608-C8DA-4788-A90B-250D80F3D153}" type="parTrans" cxnId="{1768FB9C-CBE5-4AEB-8671-43369770B943}">
      <dgm:prSet/>
      <dgm:spPr/>
      <dgm:t>
        <a:bodyPr/>
        <a:lstStyle/>
        <a:p>
          <a:endParaRPr lang="fr-FR" sz="1600"/>
        </a:p>
      </dgm:t>
    </dgm:pt>
    <dgm:pt modelId="{EFDE8CCF-1C5C-419C-BCE9-8E1857F33802}" type="sibTrans" cxnId="{1768FB9C-CBE5-4AEB-8671-43369770B943}">
      <dgm:prSet/>
      <dgm:spPr/>
      <dgm:t>
        <a:bodyPr/>
        <a:lstStyle/>
        <a:p>
          <a:endParaRPr lang="fr-FR" sz="1600"/>
        </a:p>
      </dgm:t>
    </dgm:pt>
    <dgm:pt modelId="{E154A0ED-FF31-4C21-9374-BF683471AB7E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EXIM EMPEX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0"/>
          </dgm14:cNvPr>
        </a:ext>
      </dgm:extLst>
    </dgm:pt>
    <dgm:pt modelId="{3F1A6D00-062C-42D8-A98C-1962C2717AD9}" type="parTrans" cxnId="{DDB080A9-1F3B-4FD2-AB4C-ABBBDD70416F}">
      <dgm:prSet/>
      <dgm:spPr/>
      <dgm:t>
        <a:bodyPr/>
        <a:lstStyle/>
        <a:p>
          <a:endParaRPr lang="fr-FR" sz="1600"/>
        </a:p>
      </dgm:t>
    </dgm:pt>
    <dgm:pt modelId="{4400DB05-B70B-4735-9843-3E5575835B0E}" type="sibTrans" cxnId="{DDB080A9-1F3B-4FD2-AB4C-ABBBDD70416F}">
      <dgm:prSet/>
      <dgm:spPr/>
      <dgm:t>
        <a:bodyPr/>
        <a:lstStyle/>
        <a:p>
          <a:endParaRPr lang="fr-FR" sz="1600"/>
        </a:p>
      </dgm:t>
    </dgm:pt>
    <dgm:pt modelId="{C47018BF-5E21-4C28-B784-17A9E41FACC6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JOSEPH &amp; CHARBEL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1"/>
          </dgm14:cNvPr>
        </a:ext>
      </dgm:extLst>
    </dgm:pt>
    <dgm:pt modelId="{413A2A3A-1E68-4CEE-B5F8-4FEF404CC863}" type="parTrans" cxnId="{F032AA29-47FA-451A-B8BE-70A5D90C4C58}">
      <dgm:prSet/>
      <dgm:spPr/>
      <dgm:t>
        <a:bodyPr/>
        <a:lstStyle/>
        <a:p>
          <a:endParaRPr lang="fr-FR" sz="1600"/>
        </a:p>
      </dgm:t>
    </dgm:pt>
    <dgm:pt modelId="{A1EDE7B0-1A73-47D4-A141-D776D1BC4B08}" type="sibTrans" cxnId="{F032AA29-47FA-451A-B8BE-70A5D90C4C58}">
      <dgm:prSet/>
      <dgm:spPr/>
      <dgm:t>
        <a:bodyPr/>
        <a:lstStyle/>
        <a:p>
          <a:endParaRPr lang="fr-FR" sz="1600"/>
        </a:p>
      </dgm:t>
    </dgm:pt>
    <dgm:pt modelId="{49D7B8F0-2BD2-4986-8B82-93F6E11CB256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BAKAYOKO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2"/>
          </dgm14:cNvPr>
        </a:ext>
      </dgm:extLst>
    </dgm:pt>
    <dgm:pt modelId="{B84006C3-C6F3-42B8-8DB4-A715D58FB1D7}" type="parTrans" cxnId="{A548AE79-F1FC-44F0-BF77-F98F9251A096}">
      <dgm:prSet/>
      <dgm:spPr/>
      <dgm:t>
        <a:bodyPr/>
        <a:lstStyle/>
        <a:p>
          <a:endParaRPr lang="fr-FR" sz="1600"/>
        </a:p>
      </dgm:t>
    </dgm:pt>
    <dgm:pt modelId="{FD3EA234-77EB-4DCF-AFAA-A9EBA1833303}" type="sibTrans" cxnId="{A548AE79-F1FC-44F0-BF77-F98F9251A096}">
      <dgm:prSet/>
      <dgm:spPr/>
      <dgm:t>
        <a:bodyPr/>
        <a:lstStyle/>
        <a:p>
          <a:endParaRPr lang="fr-FR" sz="1600"/>
        </a:p>
      </dgm:t>
    </dgm:pt>
    <dgm:pt modelId="{AC4070A3-330F-4DB4-952A-DCCE263B85C0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FAO TOLIER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3"/>
          </dgm14:cNvPr>
        </a:ext>
      </dgm:extLst>
    </dgm:pt>
    <dgm:pt modelId="{07BE50AE-971A-40E0-88A1-986432389159}" type="parTrans" cxnId="{C13A968A-9BF9-4251-8251-46CB86A57F41}">
      <dgm:prSet/>
      <dgm:spPr/>
      <dgm:t>
        <a:bodyPr/>
        <a:lstStyle/>
        <a:p>
          <a:endParaRPr lang="fr-FR" sz="1600"/>
        </a:p>
      </dgm:t>
    </dgm:pt>
    <dgm:pt modelId="{BAD911C9-FB0B-490A-A694-FBF87DE96E7B}" type="sibTrans" cxnId="{C13A968A-9BF9-4251-8251-46CB86A57F41}">
      <dgm:prSet/>
      <dgm:spPr/>
      <dgm:t>
        <a:bodyPr/>
        <a:lstStyle/>
        <a:p>
          <a:endParaRPr lang="fr-FR" sz="1600"/>
        </a:p>
      </dgm:t>
    </dgm:pt>
    <dgm:pt modelId="{134421D5-1A91-4BF9-A00E-471EA6FDA189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BERNARD PNEU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4"/>
          </dgm14:cNvPr>
        </a:ext>
      </dgm:extLst>
    </dgm:pt>
    <dgm:pt modelId="{D4F66EC5-8915-4DF4-B0C7-062881CCEF96}" type="parTrans" cxnId="{450AA861-4074-48A2-9109-576FF2633FA5}">
      <dgm:prSet/>
      <dgm:spPr/>
      <dgm:t>
        <a:bodyPr/>
        <a:lstStyle/>
        <a:p>
          <a:endParaRPr lang="fr-FR" sz="1600"/>
        </a:p>
      </dgm:t>
    </dgm:pt>
    <dgm:pt modelId="{1756A73F-3A38-4312-8A3E-CA7E226A00C7}" type="sibTrans" cxnId="{450AA861-4074-48A2-9109-576FF2633FA5}">
      <dgm:prSet/>
      <dgm:spPr/>
      <dgm:t>
        <a:bodyPr/>
        <a:lstStyle/>
        <a:p>
          <a:endParaRPr lang="fr-FR" sz="1600"/>
        </a:p>
      </dgm:t>
    </dgm:pt>
    <dgm:pt modelId="{87182637-9752-4275-83F6-D643E0A1DF2B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r>
            <a:rPr lang="fr-FR" sz="1800" b="1"/>
            <a:t>DIVERS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5"/>
          </dgm14:cNvPr>
        </a:ext>
      </dgm:extLst>
    </dgm:pt>
    <dgm:pt modelId="{F292EED8-FA7E-4EB9-8139-39A9B734CF32}" type="parTrans" cxnId="{7C22E7DA-7FDA-474F-80C2-8A86122BF06C}">
      <dgm:prSet/>
      <dgm:spPr/>
      <dgm:t>
        <a:bodyPr/>
        <a:lstStyle/>
        <a:p>
          <a:endParaRPr lang="fr-FR" sz="1600"/>
        </a:p>
      </dgm:t>
    </dgm:pt>
    <dgm:pt modelId="{2E7B4403-691B-4FDC-B339-CBD12A678816}" type="sibTrans" cxnId="{7C22E7DA-7FDA-474F-80C2-8A86122BF06C}">
      <dgm:prSet/>
      <dgm:spPr/>
      <dgm:t>
        <a:bodyPr/>
        <a:lstStyle/>
        <a:p>
          <a:endParaRPr lang="fr-FR" sz="1600"/>
        </a:p>
      </dgm:t>
    </dgm:pt>
    <dgm:pt modelId="{86DC501C-5D30-4ADD-B394-3740F6054CEB}">
      <dgm:prSet phldrT="[Texte]" custT="1"/>
      <dgm:spPr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gm:spPr>
      <dgm:t>
        <a:bodyPr/>
        <a:lstStyle/>
        <a:p>
          <a:endParaRPr lang="fr-FR" sz="1800" b="1"/>
        </a:p>
        <a:p>
          <a:endParaRPr lang="fr-FR" sz="1800" b="1"/>
        </a:p>
      </dgm:t>
    </dgm:pt>
    <dgm:pt modelId="{D9FAFD33-7217-4E74-829D-CF847E712D10}" type="parTrans" cxnId="{E04A24BD-D5D5-4E42-BA99-079C6C78B2D0}">
      <dgm:prSet/>
      <dgm:spPr/>
      <dgm:t>
        <a:bodyPr/>
        <a:lstStyle/>
        <a:p>
          <a:endParaRPr lang="fr-FR" sz="1600"/>
        </a:p>
      </dgm:t>
    </dgm:pt>
    <dgm:pt modelId="{B3254FA4-32FD-425C-ABCC-86A50C7B5C07}" type="sibTrans" cxnId="{E04A24BD-D5D5-4E42-BA99-079C6C78B2D0}">
      <dgm:prSet/>
      <dgm:spPr/>
      <dgm:t>
        <a:bodyPr/>
        <a:lstStyle/>
        <a:p>
          <a:endParaRPr lang="fr-FR" sz="1600"/>
        </a:p>
      </dgm:t>
    </dgm:pt>
    <dgm:pt modelId="{F82EF60B-62D7-4207-84D2-4D1ED60FC411}" type="pres">
      <dgm:prSet presAssocID="{2463B85C-09FB-41D5-9C5D-077EA67ED447}" presName="diagram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fr-FR"/>
        </a:p>
      </dgm:t>
    </dgm:pt>
    <dgm:pt modelId="{BE6677DF-471A-4237-BFD2-DA06AC00F124}" type="pres">
      <dgm:prSet presAssocID="{EC0A2EAE-A426-4B7F-9188-9B357C69CCF5}" presName="node" presStyleLbl="node1" presStyleIdx="0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180C2365-79AD-4B34-AA41-9453511ABD98}" type="pres">
      <dgm:prSet presAssocID="{E1B1E3E9-AC3D-4FEE-B824-2F9C0829F064}" presName="sibTrans" presStyleCnt="0"/>
      <dgm:spPr/>
    </dgm:pt>
    <dgm:pt modelId="{7A55318A-607A-4FE7-88D6-C582D477369D}" type="pres">
      <dgm:prSet presAssocID="{B0509930-ADA5-437B-A612-ED0BAB3EB9BE}" presName="node" presStyleLbl="node1" presStyleIdx="1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D7B93FD4-8114-4867-925A-59F80D3A3656}" type="pres">
      <dgm:prSet presAssocID="{C78FA993-0A9A-4846-8B26-6BC6FCDB9D7B}" presName="sibTrans" presStyleCnt="0"/>
      <dgm:spPr/>
    </dgm:pt>
    <dgm:pt modelId="{F5C46785-26C0-48B4-B3AD-F47D3A5B6BCC}" type="pres">
      <dgm:prSet presAssocID="{EACD7E9A-5F61-4C70-94CC-F7C24273FF08}" presName="node" presStyleLbl="node1" presStyleIdx="2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E219DF77-8002-4FD6-A790-48107CC10D1A}" type="pres">
      <dgm:prSet presAssocID="{9A1D4418-CF74-49F4-AB6A-6EE5537BCD7E}" presName="sibTrans" presStyleCnt="0"/>
      <dgm:spPr/>
    </dgm:pt>
    <dgm:pt modelId="{B134C22A-1558-4C48-96AB-56BABA5789B2}" type="pres">
      <dgm:prSet presAssocID="{579EC70B-CD07-47C0-99AB-620CA5CF82F4}" presName="node" presStyleLbl="node1" presStyleIdx="3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F407A84C-A9D6-4187-8F53-474AB0448A92}" type="pres">
      <dgm:prSet presAssocID="{C51A76E2-CA27-4EF4-B51B-A8BD37926A79}" presName="sibTrans" presStyleCnt="0"/>
      <dgm:spPr/>
    </dgm:pt>
    <dgm:pt modelId="{C42061D5-27AF-44FC-82E1-CF78B92D5E35}" type="pres">
      <dgm:prSet presAssocID="{F43E0042-EE0D-4C15-8F01-8F27B68C85F3}" presName="node" presStyleLbl="node1" presStyleIdx="4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1B6CBB22-AEF2-4F95-BA4B-E5B188C2F7C6}" type="pres">
      <dgm:prSet presAssocID="{9F07FE17-4258-46EF-A1A4-FB8AB9F7B78E}" presName="sibTrans" presStyleCnt="0"/>
      <dgm:spPr/>
    </dgm:pt>
    <dgm:pt modelId="{90BDF125-720A-40C0-992E-824474A9816C}" type="pres">
      <dgm:prSet presAssocID="{D1FC7BF5-18DB-4B42-BBFC-F1D812869D1D}" presName="node" presStyleLbl="node1" presStyleIdx="5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531CDF4C-F035-41F4-BD21-B185BCFA93DC}" type="pres">
      <dgm:prSet presAssocID="{1AFAB648-1861-4ABC-BFA2-E027C44A5341}" presName="sibTrans" presStyleCnt="0"/>
      <dgm:spPr/>
    </dgm:pt>
    <dgm:pt modelId="{72FF4A38-05A2-48A9-B603-8A5AF32B1C46}" type="pres">
      <dgm:prSet presAssocID="{06679E0F-A3A8-4133-BF80-BC6023194BE6}" presName="node" presStyleLbl="node1" presStyleIdx="6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753E5346-D5B1-43D0-9181-FB2D8D5B7105}" type="pres">
      <dgm:prSet presAssocID="{9B2D2A5F-9E3E-464B-9830-A6ABD0477660}" presName="sibTrans" presStyleCnt="0"/>
      <dgm:spPr/>
    </dgm:pt>
    <dgm:pt modelId="{6516EC62-544B-4914-BEBA-2CB269C1AAB0}" type="pres">
      <dgm:prSet presAssocID="{42FA2CAE-7E0A-4A2A-B580-F578F74422C2}" presName="node" presStyleLbl="node1" presStyleIdx="7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86B4CD76-4B09-4C39-B458-97CE3176F90F}" type="pres">
      <dgm:prSet presAssocID="{3A4D4295-3120-4C6D-A71C-9F40125644E8}" presName="sibTrans" presStyleCnt="0"/>
      <dgm:spPr/>
    </dgm:pt>
    <dgm:pt modelId="{63E83DA7-FB7E-4CC6-9E90-EF1713608889}" type="pres">
      <dgm:prSet presAssocID="{DE869A6B-9812-46E2-A681-6CD749443F18}" presName="node" presStyleLbl="node1" presStyleIdx="8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2B29CF1D-9C6F-4B08-9B87-8CAD23F0B27F}" type="pres">
      <dgm:prSet presAssocID="{A7FD9779-CC9F-4412-89A8-DCAEF48231EA}" presName="sibTrans" presStyleCnt="0"/>
      <dgm:spPr/>
    </dgm:pt>
    <dgm:pt modelId="{DFBB8C50-08B1-4175-9BC7-92B41741573C}" type="pres">
      <dgm:prSet presAssocID="{53BE13A8-4F8A-494A-BF91-AEDD1360AC75}" presName="node" presStyleLbl="node1" presStyleIdx="9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F1F59A6E-AECA-4ECD-A0D0-76A6AE9FE852}" type="pres">
      <dgm:prSet presAssocID="{D0740FD2-2E3A-4CB9-BF2C-1B1593D1B582}" presName="sibTrans" presStyleCnt="0"/>
      <dgm:spPr/>
    </dgm:pt>
    <dgm:pt modelId="{F0DAE47E-D782-4D4F-A8D1-5057AC8E4C94}" type="pres">
      <dgm:prSet presAssocID="{6D7405BF-15D1-4F90-A64C-E9571AA9152B}" presName="node" presStyleLbl="node1" presStyleIdx="10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5B4776C2-4549-4E8C-B200-722F5ACB288E}" type="pres">
      <dgm:prSet presAssocID="{2B490746-B728-44FB-811F-6AA011DAC168}" presName="sibTrans" presStyleCnt="0"/>
      <dgm:spPr/>
    </dgm:pt>
    <dgm:pt modelId="{B22B0395-8464-4F7A-801E-2C85DF9A4DD0}" type="pres">
      <dgm:prSet presAssocID="{DA0FB034-B4B1-4EEF-BBE8-1C27624D70FE}" presName="node" presStyleLbl="node1" presStyleIdx="11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7B8D979B-5F75-446F-AF92-2A7F43F6146A}" type="pres">
      <dgm:prSet presAssocID="{91FF2A4C-8977-4D22-ADB8-074C4EB1387F}" presName="sibTrans" presStyleCnt="0"/>
      <dgm:spPr/>
    </dgm:pt>
    <dgm:pt modelId="{53CAC876-09DE-42B7-BC5C-C4100AD447AA}" type="pres">
      <dgm:prSet presAssocID="{1675BCAF-1FA4-447F-8121-B54727876523}" presName="node" presStyleLbl="node1" presStyleIdx="12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ACC75D20-BC7B-4419-B4CA-2660362CF53F}" type="pres">
      <dgm:prSet presAssocID="{0DA278AB-5A8D-4AC9-BA28-0242380AEF0C}" presName="sibTrans" presStyleCnt="0"/>
      <dgm:spPr/>
    </dgm:pt>
    <dgm:pt modelId="{1034659A-5D23-4918-B3F0-9AE6435E089A}" type="pres">
      <dgm:prSet presAssocID="{040BF179-1C64-469F-A7F8-DBFE596DCB84}" presName="node" presStyleLbl="node1" presStyleIdx="13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9D692C8E-D972-45CF-9943-52C6B79B617D}" type="pres">
      <dgm:prSet presAssocID="{24B480B4-B35B-48A8-808D-6B2BF9FF7718}" presName="sibTrans" presStyleCnt="0"/>
      <dgm:spPr/>
    </dgm:pt>
    <dgm:pt modelId="{7DFB402A-3A49-4779-8FFF-0E33A45301A5}" type="pres">
      <dgm:prSet presAssocID="{694D19DA-2E43-4E76-9E94-EE6D370ABBE5}" presName="node" presStyleLbl="node1" presStyleIdx="14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20571CA0-5FFC-4A1F-9DE9-1D574DFA22A8}" type="pres">
      <dgm:prSet presAssocID="{03B44F07-A2FC-4AE7-B72E-0151A9D6962B}" presName="sibTrans" presStyleCnt="0"/>
      <dgm:spPr/>
    </dgm:pt>
    <dgm:pt modelId="{09DC1D83-D044-4308-831C-4470CBA48520}" type="pres">
      <dgm:prSet presAssocID="{F8E6A43C-9286-4826-8BC6-C79141CF69C7}" presName="node" presStyleLbl="node1" presStyleIdx="15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D7407C2D-722B-4ACA-8420-07453487F8AF}" type="pres">
      <dgm:prSet presAssocID="{E70D5DA8-E503-4E95-811D-66B6C4D2FC9F}" presName="sibTrans" presStyleCnt="0"/>
      <dgm:spPr/>
    </dgm:pt>
    <dgm:pt modelId="{AB2D3F19-0B79-435B-B85B-D7111EEFCCBC}" type="pres">
      <dgm:prSet presAssocID="{690BCFA1-B820-4B1E-8B0A-C161B800368C}" presName="node" presStyleLbl="node1" presStyleIdx="16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3F61C340-750F-485A-BA6A-3C7D6F448CF3}" type="pres">
      <dgm:prSet presAssocID="{9946731A-69E1-4344-A095-12C0AD0426A0}" presName="sibTrans" presStyleCnt="0"/>
      <dgm:spPr/>
    </dgm:pt>
    <dgm:pt modelId="{7229CD6E-88D1-465A-B8FD-9BB4CD275A1A}" type="pres">
      <dgm:prSet presAssocID="{94F357D8-AEAF-4F66-B773-33263112A7C5}" presName="node" presStyleLbl="node1" presStyleIdx="17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F1ACA101-02E8-4B28-915F-5AD552254777}" type="pres">
      <dgm:prSet presAssocID="{9EE9B4AE-DC99-48EB-936F-FE39ECA87221}" presName="sibTrans" presStyleCnt="0"/>
      <dgm:spPr/>
    </dgm:pt>
    <dgm:pt modelId="{9D0D3BD6-4706-4104-A1FC-C268AA031E8C}" type="pres">
      <dgm:prSet presAssocID="{B350BA4F-CA65-45A6-8B29-BD7299419CD8}" presName="node" presStyleLbl="node1" presStyleIdx="18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34AD940C-5405-4300-A8C5-32317BC4D719}" type="pres">
      <dgm:prSet presAssocID="{99A070A8-A0C1-4EF6-9589-06FFA782442D}" presName="sibTrans" presStyleCnt="0"/>
      <dgm:spPr/>
    </dgm:pt>
    <dgm:pt modelId="{5E29605B-3E63-4978-81EA-25863D4D129E}" type="pres">
      <dgm:prSet presAssocID="{C8D8E984-E546-44DB-8CEF-6C16DDA7DDF0}" presName="node" presStyleLbl="node1" presStyleIdx="19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3589895F-71E5-40C1-B0EA-B80598EC861B}" type="pres">
      <dgm:prSet presAssocID="{8E770A31-EB94-4F56-B48F-924E6BC9580D}" presName="sibTrans" presStyleCnt="0"/>
      <dgm:spPr/>
    </dgm:pt>
    <dgm:pt modelId="{47777158-259A-4894-911D-764272D8B18C}" type="pres">
      <dgm:prSet presAssocID="{E6432C12-E160-4EE6-B3FA-E63FAF5662DB}" presName="node" presStyleLbl="node1" presStyleIdx="20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94ABF048-EBD0-46F4-AB73-7B1B0B19C025}" type="pres">
      <dgm:prSet presAssocID="{0516AEED-AED4-47FB-B9B1-9E034CC5B336}" presName="sibTrans" presStyleCnt="0"/>
      <dgm:spPr/>
    </dgm:pt>
    <dgm:pt modelId="{B7D7E772-DB12-46B2-B0A5-19C3DDE0D575}" type="pres">
      <dgm:prSet presAssocID="{FF6FAEBD-05D3-49F7-B721-95B0361FF8CD}" presName="node" presStyleLbl="node1" presStyleIdx="21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A51F7EF6-0EAA-4861-908C-3B57DD4BF964}" type="pres">
      <dgm:prSet presAssocID="{F2DA1105-00CA-4650-AE7F-AB78586AD786}" presName="sibTrans" presStyleCnt="0"/>
      <dgm:spPr/>
    </dgm:pt>
    <dgm:pt modelId="{AE5937F8-062D-42EB-BBD8-3C0DFCBCC882}" type="pres">
      <dgm:prSet presAssocID="{D6760DA0-B6EB-44D9-A1F3-C310001D6DAF}" presName="node" presStyleLbl="node1" presStyleIdx="22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2D530FBB-B45E-441D-BE16-F664651B68F0}" type="pres">
      <dgm:prSet presAssocID="{A2093813-992E-4BEC-AC4C-DA014AA082EA}" presName="sibTrans" presStyleCnt="0"/>
      <dgm:spPr/>
    </dgm:pt>
    <dgm:pt modelId="{5E36C280-AF3C-443E-ACC3-E35609105F6D}" type="pres">
      <dgm:prSet presAssocID="{A6C92482-1CDD-4848-B14F-8B5632999D0B}" presName="node" presStyleLbl="node1" presStyleIdx="23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384C8A57-6942-4234-9790-F4E437AFA8B6}" type="pres">
      <dgm:prSet presAssocID="{9EE9FB51-886C-453D-807A-9C5972D3BD84}" presName="sibTrans" presStyleCnt="0"/>
      <dgm:spPr/>
    </dgm:pt>
    <dgm:pt modelId="{C8B4FF09-BFFE-4012-92F5-D2D7244FB744}" type="pres">
      <dgm:prSet presAssocID="{007C5483-7176-457F-AA06-24CAAF180ABF}" presName="node" presStyleLbl="node1" presStyleIdx="24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3A11860F-5190-4154-95B7-2BC08E8D6AA4}" type="pres">
      <dgm:prSet presAssocID="{DAED148E-9DCB-4E10-8B54-4B8C21149E47}" presName="sibTrans" presStyleCnt="0"/>
      <dgm:spPr/>
    </dgm:pt>
    <dgm:pt modelId="{EBB573AD-6D47-4C40-A195-DA88DA2C9475}" type="pres">
      <dgm:prSet presAssocID="{FB4A64D6-8BA4-44D1-9979-274AD631F181}" presName="node" presStyleLbl="node1" presStyleIdx="25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FED9F178-18DB-4A0C-8392-C1D2F28257C1}" type="pres">
      <dgm:prSet presAssocID="{5F37676E-BEE2-4A2A-A998-12A0B8748907}" presName="sibTrans" presStyleCnt="0"/>
      <dgm:spPr/>
    </dgm:pt>
    <dgm:pt modelId="{3A5E69EE-B606-436A-A0E0-76361D8815D4}" type="pres">
      <dgm:prSet presAssocID="{9EB4979E-3CAF-495B-90C6-1D819CF048DE}" presName="node" presStyleLbl="node1" presStyleIdx="26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4EE0D9B3-E16E-4172-B551-33FF62BF98CA}" type="pres">
      <dgm:prSet presAssocID="{53E4EE1C-B7AF-4F39-B5BB-62C22470DFB8}" presName="sibTrans" presStyleCnt="0"/>
      <dgm:spPr/>
    </dgm:pt>
    <dgm:pt modelId="{50F9AD42-16FC-42C5-B7DD-8A0D0CC062E4}" type="pres">
      <dgm:prSet presAssocID="{483BEBFD-C1E3-4E0F-A87B-54FBE53FA751}" presName="node" presStyleLbl="node1" presStyleIdx="27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0B29432B-DA54-4B76-AF53-21B396A66B70}" type="pres">
      <dgm:prSet presAssocID="{1B0FA2C6-A091-4C0A-A1C1-8B29ABC12133}" presName="sibTrans" presStyleCnt="0"/>
      <dgm:spPr/>
    </dgm:pt>
    <dgm:pt modelId="{E8770E03-F8BA-4277-A6D3-6E65F122ED62}" type="pres">
      <dgm:prSet presAssocID="{FA233FB8-541B-412E-B193-D918BDCB070E}" presName="node" presStyleLbl="node1" presStyleIdx="28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1052341F-1350-4F90-87D2-3B0594C5024C}" type="pres">
      <dgm:prSet presAssocID="{EFDE8CCF-1C5C-419C-BCE9-8E1857F33802}" presName="sibTrans" presStyleCnt="0"/>
      <dgm:spPr/>
    </dgm:pt>
    <dgm:pt modelId="{DE179A6D-19EC-4457-8D06-E1425E52F5FF}" type="pres">
      <dgm:prSet presAssocID="{E154A0ED-FF31-4C21-9374-BF683471AB7E}" presName="node" presStyleLbl="node1" presStyleIdx="29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8D9CE64D-E6B1-4A7F-9439-15B3CE7705F6}" type="pres">
      <dgm:prSet presAssocID="{4400DB05-B70B-4735-9843-3E5575835B0E}" presName="sibTrans" presStyleCnt="0"/>
      <dgm:spPr/>
    </dgm:pt>
    <dgm:pt modelId="{3EFCD73D-B7CD-4ED8-A457-5B6DF61F2180}" type="pres">
      <dgm:prSet presAssocID="{C47018BF-5E21-4C28-B784-17A9E41FACC6}" presName="node" presStyleLbl="node1" presStyleIdx="30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B16C16A3-C6BE-4E25-9A7B-500D977491DC}" type="pres">
      <dgm:prSet presAssocID="{A1EDE7B0-1A73-47D4-A141-D776D1BC4B08}" presName="sibTrans" presStyleCnt="0"/>
      <dgm:spPr/>
    </dgm:pt>
    <dgm:pt modelId="{8D46D211-344F-4D11-9AAB-85C42AAB629A}" type="pres">
      <dgm:prSet presAssocID="{49D7B8F0-2BD2-4986-8B82-93F6E11CB256}" presName="node" presStyleLbl="node1" presStyleIdx="31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6F77DE3E-5260-4AA5-83D1-8EFDB5FFCB1B}" type="pres">
      <dgm:prSet presAssocID="{FD3EA234-77EB-4DCF-AFAA-A9EBA1833303}" presName="sibTrans" presStyleCnt="0"/>
      <dgm:spPr/>
    </dgm:pt>
    <dgm:pt modelId="{1E80E7CE-CBDB-48ED-902A-6773A35869CF}" type="pres">
      <dgm:prSet presAssocID="{AC4070A3-330F-4DB4-952A-DCCE263B85C0}" presName="node" presStyleLbl="node1" presStyleIdx="32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91CF03FD-1ACA-4DD6-9DA5-CE294A5D1B5A}" type="pres">
      <dgm:prSet presAssocID="{BAD911C9-FB0B-490A-A694-FBF87DE96E7B}" presName="sibTrans" presStyleCnt="0"/>
      <dgm:spPr/>
    </dgm:pt>
    <dgm:pt modelId="{30E66406-052C-4C84-9BB4-9B14C7567F75}" type="pres">
      <dgm:prSet presAssocID="{134421D5-1A91-4BF9-A00E-471EA6FDA189}" presName="node" presStyleLbl="node1" presStyleIdx="33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ED26CFD5-86B4-4D14-9E13-454639F38420}" type="pres">
      <dgm:prSet presAssocID="{1756A73F-3A38-4312-8A3E-CA7E226A00C7}" presName="sibTrans" presStyleCnt="0"/>
      <dgm:spPr/>
    </dgm:pt>
    <dgm:pt modelId="{F714B1CD-B9BA-40A1-B040-62C30FC37758}" type="pres">
      <dgm:prSet presAssocID="{87182637-9752-4275-83F6-D643E0A1DF2B}" presName="node" presStyleLbl="node1" presStyleIdx="34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  <dgm:pt modelId="{11289C9B-D19F-424F-A6FF-0F14B2A6F731}" type="pres">
      <dgm:prSet presAssocID="{2E7B4403-691B-4FDC-B339-CBD12A678816}" presName="sibTrans" presStyleCnt="0"/>
      <dgm:spPr/>
    </dgm:pt>
    <dgm:pt modelId="{ADFDF15E-839F-415C-9516-6DD93449C394}" type="pres">
      <dgm:prSet presAssocID="{86DC501C-5D30-4ADD-B394-3740F6054CEB}" presName="node" presStyleLbl="node1" presStyleIdx="35" presStyleCnt="36">
        <dgm:presLayoutVars>
          <dgm:bulletEnabled val="1"/>
        </dgm:presLayoutVars>
      </dgm:prSet>
      <dgm:spPr/>
      <dgm:t>
        <a:bodyPr/>
        <a:lstStyle/>
        <a:p>
          <a:endParaRPr lang="fr-FR"/>
        </a:p>
      </dgm:t>
    </dgm:pt>
  </dgm:ptLst>
  <dgm:cxnLst>
    <dgm:cxn modelId="{90CC657A-3F44-48F2-B38B-53DAFFA11DB7}" type="presOf" srcId="{9EB4979E-3CAF-495B-90C6-1D819CF048DE}" destId="{3A5E69EE-B606-436A-A0E0-76361D8815D4}" srcOrd="0" destOrd="0" presId="urn:microsoft.com/office/officeart/2005/8/layout/default"/>
    <dgm:cxn modelId="{3099D0F1-8D58-4DBC-902C-D25052B747F4}" srcId="{2463B85C-09FB-41D5-9C5D-077EA67ED447}" destId="{DA0FB034-B4B1-4EEF-BBE8-1C27624D70FE}" srcOrd="11" destOrd="0" parTransId="{C9090AAD-B92B-4285-B3C7-D2E6D5142375}" sibTransId="{91FF2A4C-8977-4D22-ADB8-074C4EB1387F}"/>
    <dgm:cxn modelId="{B6962358-64A8-4092-B70E-3B6FA3A54B01}" srcId="{2463B85C-09FB-41D5-9C5D-077EA67ED447}" destId="{1675BCAF-1FA4-447F-8121-B54727876523}" srcOrd="12" destOrd="0" parTransId="{B5EC1D4D-641C-4D64-BE6E-D4505EB54555}" sibTransId="{0DA278AB-5A8D-4AC9-BA28-0242380AEF0C}"/>
    <dgm:cxn modelId="{62FE66DC-ABDB-49CE-9663-E3C0379FFD31}" srcId="{2463B85C-09FB-41D5-9C5D-077EA67ED447}" destId="{42FA2CAE-7E0A-4A2A-B580-F578F74422C2}" srcOrd="7" destOrd="0" parTransId="{ACBAC265-36DC-4E4D-9E95-9210CC4FB795}" sibTransId="{3A4D4295-3120-4C6D-A71C-9F40125644E8}"/>
    <dgm:cxn modelId="{F9073AC9-34B2-4740-A047-591F968BABF7}" type="presOf" srcId="{EACD7E9A-5F61-4C70-94CC-F7C24273FF08}" destId="{F5C46785-26C0-48B4-B3AD-F47D3A5B6BCC}" srcOrd="0" destOrd="0" presId="urn:microsoft.com/office/officeart/2005/8/layout/default"/>
    <dgm:cxn modelId="{EF5E56FA-E2ED-4943-9B6F-7E23ED89F42D}" srcId="{2463B85C-09FB-41D5-9C5D-077EA67ED447}" destId="{DE869A6B-9812-46E2-A681-6CD749443F18}" srcOrd="8" destOrd="0" parTransId="{A5118C6C-02EE-40AA-9654-DF573F7CE69E}" sibTransId="{A7FD9779-CC9F-4412-89A8-DCAEF48231EA}"/>
    <dgm:cxn modelId="{82A53B0E-8B5A-42EB-A8AA-437CD4E58455}" type="presOf" srcId="{D6760DA0-B6EB-44D9-A1F3-C310001D6DAF}" destId="{AE5937F8-062D-42EB-BBD8-3C0DFCBCC882}" srcOrd="0" destOrd="0" presId="urn:microsoft.com/office/officeart/2005/8/layout/default"/>
    <dgm:cxn modelId="{E4A0BAED-703C-4A8B-8226-6E4DA43707F1}" type="presOf" srcId="{2463B85C-09FB-41D5-9C5D-077EA67ED447}" destId="{F82EF60B-62D7-4207-84D2-4D1ED60FC411}" srcOrd="0" destOrd="0" presId="urn:microsoft.com/office/officeart/2005/8/layout/default"/>
    <dgm:cxn modelId="{3C2E1F4F-B733-423E-9D61-E5ED723A7BC5}" type="presOf" srcId="{E6432C12-E160-4EE6-B3FA-E63FAF5662DB}" destId="{47777158-259A-4894-911D-764272D8B18C}" srcOrd="0" destOrd="0" presId="urn:microsoft.com/office/officeart/2005/8/layout/default"/>
    <dgm:cxn modelId="{345A3EE5-A6B6-4E5B-9098-1ADADFC1E4DD}" srcId="{2463B85C-09FB-41D5-9C5D-077EA67ED447}" destId="{B350BA4F-CA65-45A6-8B29-BD7299419CD8}" srcOrd="18" destOrd="0" parTransId="{457948E0-8F87-4F61-8FF6-4B3D679B2B15}" sibTransId="{99A070A8-A0C1-4EF6-9589-06FFA782442D}"/>
    <dgm:cxn modelId="{A859914A-4839-476F-9B78-4E1C6A902DDA}" type="presOf" srcId="{A6C92482-1CDD-4848-B14F-8B5632999D0B}" destId="{5E36C280-AF3C-443E-ACC3-E35609105F6D}" srcOrd="0" destOrd="0" presId="urn:microsoft.com/office/officeart/2005/8/layout/default"/>
    <dgm:cxn modelId="{77FFC073-61E8-4AD7-88B7-C9B5C4973BCB}" srcId="{2463B85C-09FB-41D5-9C5D-077EA67ED447}" destId="{6D7405BF-15D1-4F90-A64C-E9571AA9152B}" srcOrd="10" destOrd="0" parTransId="{FE5D7C92-2D22-4E03-B92A-BDB37D04B6AF}" sibTransId="{2B490746-B728-44FB-811F-6AA011DAC168}"/>
    <dgm:cxn modelId="{F191DD3A-293F-446B-A911-4D761110EE0C}" type="presOf" srcId="{D1FC7BF5-18DB-4B42-BBFC-F1D812869D1D}" destId="{90BDF125-720A-40C0-992E-824474A9816C}" srcOrd="0" destOrd="0" presId="urn:microsoft.com/office/officeart/2005/8/layout/default"/>
    <dgm:cxn modelId="{234EA0B5-6573-41F9-B648-74243F7174E2}" srcId="{2463B85C-09FB-41D5-9C5D-077EA67ED447}" destId="{94F357D8-AEAF-4F66-B773-33263112A7C5}" srcOrd="17" destOrd="0" parTransId="{31F8F9C0-65A8-4D02-BFB9-32609FEDE549}" sibTransId="{9EE9B4AE-DC99-48EB-936F-FE39ECA87221}"/>
    <dgm:cxn modelId="{207BF8F4-81E1-4DB8-8D51-54DD0730FF60}" type="presOf" srcId="{690BCFA1-B820-4B1E-8B0A-C161B800368C}" destId="{AB2D3F19-0B79-435B-B85B-D7111EEFCCBC}" srcOrd="0" destOrd="0" presId="urn:microsoft.com/office/officeart/2005/8/layout/default"/>
    <dgm:cxn modelId="{A548AE79-F1FC-44F0-BF77-F98F9251A096}" srcId="{2463B85C-09FB-41D5-9C5D-077EA67ED447}" destId="{49D7B8F0-2BD2-4986-8B82-93F6E11CB256}" srcOrd="31" destOrd="0" parTransId="{B84006C3-C6F3-42B8-8DB4-A715D58FB1D7}" sibTransId="{FD3EA234-77EB-4DCF-AFAA-A9EBA1833303}"/>
    <dgm:cxn modelId="{AA4ABE6A-5D8A-43A0-9D3C-237E3BBDE265}" type="presOf" srcId="{040BF179-1C64-469F-A7F8-DBFE596DCB84}" destId="{1034659A-5D23-4918-B3F0-9AE6435E089A}" srcOrd="0" destOrd="0" presId="urn:microsoft.com/office/officeart/2005/8/layout/default"/>
    <dgm:cxn modelId="{8AAB5D39-C03D-478E-9BBB-B7B971AAEDD2}" type="presOf" srcId="{C47018BF-5E21-4C28-B784-17A9E41FACC6}" destId="{3EFCD73D-B7CD-4ED8-A457-5B6DF61F2180}" srcOrd="0" destOrd="0" presId="urn:microsoft.com/office/officeart/2005/8/layout/default"/>
    <dgm:cxn modelId="{62C7F29C-C914-45C2-964B-4E74F3AB2FDF}" srcId="{2463B85C-09FB-41D5-9C5D-077EA67ED447}" destId="{A6C92482-1CDD-4848-B14F-8B5632999D0B}" srcOrd="23" destOrd="0" parTransId="{1522A754-FB9C-4100-8270-3781207E22E7}" sibTransId="{9EE9FB51-886C-453D-807A-9C5972D3BD84}"/>
    <dgm:cxn modelId="{E2AA7B18-73D1-4230-83E1-6BB4686BC39D}" type="presOf" srcId="{579EC70B-CD07-47C0-99AB-620CA5CF82F4}" destId="{B134C22A-1558-4C48-96AB-56BABA5789B2}" srcOrd="0" destOrd="0" presId="urn:microsoft.com/office/officeart/2005/8/layout/default"/>
    <dgm:cxn modelId="{93AD1204-20EB-4E12-A076-10E5CA82BD9F}" type="presOf" srcId="{EC0A2EAE-A426-4B7F-9188-9B357C69CCF5}" destId="{BE6677DF-471A-4237-BFD2-DA06AC00F124}" srcOrd="0" destOrd="0" presId="urn:microsoft.com/office/officeart/2005/8/layout/default"/>
    <dgm:cxn modelId="{AE976472-C4B4-419D-88C0-058C167C0395}" type="presOf" srcId="{B0509930-ADA5-437B-A612-ED0BAB3EB9BE}" destId="{7A55318A-607A-4FE7-88D6-C582D477369D}" srcOrd="0" destOrd="0" presId="urn:microsoft.com/office/officeart/2005/8/layout/default"/>
    <dgm:cxn modelId="{FF2CD6BF-3518-4E40-9383-3B2A41244763}" srcId="{2463B85C-09FB-41D5-9C5D-077EA67ED447}" destId="{E6432C12-E160-4EE6-B3FA-E63FAF5662DB}" srcOrd="20" destOrd="0" parTransId="{F3345FE5-BE1A-43B9-A4A0-B916A35CE5C3}" sibTransId="{0516AEED-AED4-47FB-B9B1-9E034CC5B336}"/>
    <dgm:cxn modelId="{BE0A43CD-1D14-4A96-9206-211F0C294908}" srcId="{2463B85C-09FB-41D5-9C5D-077EA67ED447}" destId="{9EB4979E-3CAF-495B-90C6-1D819CF048DE}" srcOrd="26" destOrd="0" parTransId="{8847A822-57CE-4D85-938A-915C4DEF16C2}" sibTransId="{53E4EE1C-B7AF-4F39-B5BB-62C22470DFB8}"/>
    <dgm:cxn modelId="{1C846CE9-34F8-4DAB-B470-4DBA1C2AA1EF}" type="presOf" srcId="{F8E6A43C-9286-4826-8BC6-C79141CF69C7}" destId="{09DC1D83-D044-4308-831C-4470CBA48520}" srcOrd="0" destOrd="0" presId="urn:microsoft.com/office/officeart/2005/8/layout/default"/>
    <dgm:cxn modelId="{C446346B-0711-4EDC-BF73-89CF2ACF9EE4}" type="presOf" srcId="{E154A0ED-FF31-4C21-9374-BF683471AB7E}" destId="{DE179A6D-19EC-4457-8D06-E1425E52F5FF}" srcOrd="0" destOrd="0" presId="urn:microsoft.com/office/officeart/2005/8/layout/default"/>
    <dgm:cxn modelId="{254AE149-5281-404D-9428-D705A52E2C2F}" type="presOf" srcId="{FB4A64D6-8BA4-44D1-9979-274AD631F181}" destId="{EBB573AD-6D47-4C40-A195-DA88DA2C9475}" srcOrd="0" destOrd="0" presId="urn:microsoft.com/office/officeart/2005/8/layout/default"/>
    <dgm:cxn modelId="{C13A968A-9BF9-4251-8251-46CB86A57F41}" srcId="{2463B85C-09FB-41D5-9C5D-077EA67ED447}" destId="{AC4070A3-330F-4DB4-952A-DCCE263B85C0}" srcOrd="32" destOrd="0" parTransId="{07BE50AE-971A-40E0-88A1-986432389159}" sibTransId="{BAD911C9-FB0B-490A-A694-FBF87DE96E7B}"/>
    <dgm:cxn modelId="{C9310F77-0763-4809-B785-FBBDAB3E8BD1}" type="presOf" srcId="{AC4070A3-330F-4DB4-952A-DCCE263B85C0}" destId="{1E80E7CE-CBDB-48ED-902A-6773A35869CF}" srcOrd="0" destOrd="0" presId="urn:microsoft.com/office/officeart/2005/8/layout/default"/>
    <dgm:cxn modelId="{8C5DD40A-9BD5-48A7-8565-F206E0228A9D}" srcId="{2463B85C-09FB-41D5-9C5D-077EA67ED447}" destId="{040BF179-1C64-469F-A7F8-DBFE596DCB84}" srcOrd="13" destOrd="0" parTransId="{A5632473-1486-4B5B-85D5-3FFAB857FEB1}" sibTransId="{24B480B4-B35B-48A8-808D-6B2BF9FF7718}"/>
    <dgm:cxn modelId="{04BB803E-402B-41CC-9941-40FBDD354769}" srcId="{2463B85C-09FB-41D5-9C5D-077EA67ED447}" destId="{06679E0F-A3A8-4133-BF80-BC6023194BE6}" srcOrd="6" destOrd="0" parTransId="{451C7B20-1FBA-4F63-B2C2-05D7579937CB}" sibTransId="{9B2D2A5F-9E3E-464B-9830-A6ABD0477660}"/>
    <dgm:cxn modelId="{CDFDF726-F69C-4312-A3BE-C7EEAAAF4403}" type="presOf" srcId="{42FA2CAE-7E0A-4A2A-B580-F578F74422C2}" destId="{6516EC62-544B-4914-BEBA-2CB269C1AAB0}" srcOrd="0" destOrd="0" presId="urn:microsoft.com/office/officeart/2005/8/layout/default"/>
    <dgm:cxn modelId="{6D12818E-6770-4500-A09D-45EDB25396C8}" type="presOf" srcId="{483BEBFD-C1E3-4E0F-A87B-54FBE53FA751}" destId="{50F9AD42-16FC-42C5-B7DD-8A0D0CC062E4}" srcOrd="0" destOrd="0" presId="urn:microsoft.com/office/officeart/2005/8/layout/default"/>
    <dgm:cxn modelId="{FC510B2B-D8E3-4BF7-9485-B9E3DAF5D1C9}" type="presOf" srcId="{B350BA4F-CA65-45A6-8B29-BD7299419CD8}" destId="{9D0D3BD6-4706-4104-A1FC-C268AA031E8C}" srcOrd="0" destOrd="0" presId="urn:microsoft.com/office/officeart/2005/8/layout/default"/>
    <dgm:cxn modelId="{5EF77E87-81E9-48E1-8F2D-EEC11EFFD815}" srcId="{2463B85C-09FB-41D5-9C5D-077EA67ED447}" destId="{007C5483-7176-457F-AA06-24CAAF180ABF}" srcOrd="24" destOrd="0" parTransId="{78AF0501-B2E6-4683-9584-E347B744D510}" sibTransId="{DAED148E-9DCB-4E10-8B54-4B8C21149E47}"/>
    <dgm:cxn modelId="{F66EA2C3-5531-41E1-9AD4-477891663DA8}" type="presOf" srcId="{87182637-9752-4275-83F6-D643E0A1DF2B}" destId="{F714B1CD-B9BA-40A1-B040-62C30FC37758}" srcOrd="0" destOrd="0" presId="urn:microsoft.com/office/officeart/2005/8/layout/default"/>
    <dgm:cxn modelId="{450AA861-4074-48A2-9109-576FF2633FA5}" srcId="{2463B85C-09FB-41D5-9C5D-077EA67ED447}" destId="{134421D5-1A91-4BF9-A00E-471EA6FDA189}" srcOrd="33" destOrd="0" parTransId="{D4F66EC5-8915-4DF4-B0C7-062881CCEF96}" sibTransId="{1756A73F-3A38-4312-8A3E-CA7E226A00C7}"/>
    <dgm:cxn modelId="{2BF6FCBF-5322-424A-ABF5-BC1E69F21956}" srcId="{2463B85C-09FB-41D5-9C5D-077EA67ED447}" destId="{F43E0042-EE0D-4C15-8F01-8F27B68C85F3}" srcOrd="4" destOrd="0" parTransId="{CB54EB4F-7332-4201-9A26-6DB7273B1C5F}" sibTransId="{9F07FE17-4258-46EF-A1A4-FB8AB9F7B78E}"/>
    <dgm:cxn modelId="{CE0C37FB-1F12-496C-B737-FB8B782F47E8}" type="presOf" srcId="{6D7405BF-15D1-4F90-A64C-E9571AA9152B}" destId="{F0DAE47E-D782-4D4F-A8D1-5057AC8E4C94}" srcOrd="0" destOrd="0" presId="urn:microsoft.com/office/officeart/2005/8/layout/default"/>
    <dgm:cxn modelId="{5E336ADC-8303-4E3C-B7E9-800523C0E80E}" type="presOf" srcId="{49D7B8F0-2BD2-4986-8B82-93F6E11CB256}" destId="{8D46D211-344F-4D11-9AAB-85C42AAB629A}" srcOrd="0" destOrd="0" presId="urn:microsoft.com/office/officeart/2005/8/layout/default"/>
    <dgm:cxn modelId="{A92DD57F-9006-4D55-A561-5A00B11C0439}" type="presOf" srcId="{134421D5-1A91-4BF9-A00E-471EA6FDA189}" destId="{30E66406-052C-4C84-9BB4-9B14C7567F75}" srcOrd="0" destOrd="0" presId="urn:microsoft.com/office/officeart/2005/8/layout/default"/>
    <dgm:cxn modelId="{89A9164E-BDFD-4E15-B7A2-F912DC5925D9}" srcId="{2463B85C-09FB-41D5-9C5D-077EA67ED447}" destId="{FB4A64D6-8BA4-44D1-9979-274AD631F181}" srcOrd="25" destOrd="0" parTransId="{21498E05-5D6B-4528-9207-09811CD75E91}" sibTransId="{5F37676E-BEE2-4A2A-A998-12A0B8748907}"/>
    <dgm:cxn modelId="{0D5204F8-BD7B-4520-BC48-451569EF262E}" srcId="{2463B85C-09FB-41D5-9C5D-077EA67ED447}" destId="{EACD7E9A-5F61-4C70-94CC-F7C24273FF08}" srcOrd="2" destOrd="0" parTransId="{6F1C5ADB-3E81-4E1B-91DE-385E60526AC2}" sibTransId="{9A1D4418-CF74-49F4-AB6A-6EE5537BCD7E}"/>
    <dgm:cxn modelId="{870CD263-D363-44A6-9BA3-377CE40CBCE9}" srcId="{2463B85C-09FB-41D5-9C5D-077EA67ED447}" destId="{F8E6A43C-9286-4826-8BC6-C79141CF69C7}" srcOrd="15" destOrd="0" parTransId="{D08D438A-5D85-4183-BBC2-7FFC6F10A653}" sibTransId="{E70D5DA8-E503-4E95-811D-66B6C4D2FC9F}"/>
    <dgm:cxn modelId="{865B25C6-96B9-4DFC-BD3B-5D312C122E54}" type="presOf" srcId="{FF6FAEBD-05D3-49F7-B721-95B0361FF8CD}" destId="{B7D7E772-DB12-46B2-B0A5-19C3DDE0D575}" srcOrd="0" destOrd="0" presId="urn:microsoft.com/office/officeart/2005/8/layout/default"/>
    <dgm:cxn modelId="{9124EA74-14A1-4BF8-A6BF-0EBF034F7963}" type="presOf" srcId="{694D19DA-2E43-4E76-9E94-EE6D370ABBE5}" destId="{7DFB402A-3A49-4779-8FFF-0E33A45301A5}" srcOrd="0" destOrd="0" presId="urn:microsoft.com/office/officeart/2005/8/layout/default"/>
    <dgm:cxn modelId="{BDD5A489-36F6-458B-A23E-DD61E314D2E4}" srcId="{2463B85C-09FB-41D5-9C5D-077EA67ED447}" destId="{FF6FAEBD-05D3-49F7-B721-95B0361FF8CD}" srcOrd="21" destOrd="0" parTransId="{7BA4C422-8E90-4D58-ACC0-7B5DA894B82F}" sibTransId="{F2DA1105-00CA-4650-AE7F-AB78586AD786}"/>
    <dgm:cxn modelId="{891095BF-12E1-4BE4-B41A-52EC26701A43}" srcId="{2463B85C-09FB-41D5-9C5D-077EA67ED447}" destId="{D6760DA0-B6EB-44D9-A1F3-C310001D6DAF}" srcOrd="22" destOrd="0" parTransId="{1B1EB899-9548-483F-82BB-607CFFBBFBBA}" sibTransId="{A2093813-992E-4BEC-AC4C-DA014AA082EA}"/>
    <dgm:cxn modelId="{AB843DFA-BB5A-4FB7-99CC-3D903FAC0102}" type="presOf" srcId="{DE869A6B-9812-46E2-A681-6CD749443F18}" destId="{63E83DA7-FB7E-4CC6-9E90-EF1713608889}" srcOrd="0" destOrd="0" presId="urn:microsoft.com/office/officeart/2005/8/layout/default"/>
    <dgm:cxn modelId="{EFADCD4C-1AE7-4697-9257-137D99ACF5A5}" type="presOf" srcId="{FA233FB8-541B-412E-B193-D918BDCB070E}" destId="{E8770E03-F8BA-4277-A6D3-6E65F122ED62}" srcOrd="0" destOrd="0" presId="urn:microsoft.com/office/officeart/2005/8/layout/default"/>
    <dgm:cxn modelId="{CF2C38CA-5FAF-4A05-AEE9-1EA0D601623A}" type="presOf" srcId="{F43E0042-EE0D-4C15-8F01-8F27B68C85F3}" destId="{C42061D5-27AF-44FC-82E1-CF78B92D5E35}" srcOrd="0" destOrd="0" presId="urn:microsoft.com/office/officeart/2005/8/layout/default"/>
    <dgm:cxn modelId="{405E0923-4F66-49C5-84B2-902202154A4D}" srcId="{2463B85C-09FB-41D5-9C5D-077EA67ED447}" destId="{B0509930-ADA5-437B-A612-ED0BAB3EB9BE}" srcOrd="1" destOrd="0" parTransId="{DCB04AD6-5F26-44F1-A458-4359A91F2582}" sibTransId="{C78FA993-0A9A-4846-8B26-6BC6FCDB9D7B}"/>
    <dgm:cxn modelId="{FBAEFB80-5129-4673-B5C5-E89255C14159}" srcId="{2463B85C-09FB-41D5-9C5D-077EA67ED447}" destId="{EC0A2EAE-A426-4B7F-9188-9B357C69CCF5}" srcOrd="0" destOrd="0" parTransId="{C9026834-0613-43CB-9E1B-8F6B9DA406CF}" sibTransId="{E1B1E3E9-AC3D-4FEE-B824-2F9C0829F064}"/>
    <dgm:cxn modelId="{D929A85D-AAE2-43BC-A3B5-B79F8B8B3300}" type="presOf" srcId="{DA0FB034-B4B1-4EEF-BBE8-1C27624D70FE}" destId="{B22B0395-8464-4F7A-801E-2C85DF9A4DD0}" srcOrd="0" destOrd="0" presId="urn:microsoft.com/office/officeart/2005/8/layout/default"/>
    <dgm:cxn modelId="{CF01BA54-4D0F-4D2E-9DEB-04E3C7955E87}" srcId="{2463B85C-09FB-41D5-9C5D-077EA67ED447}" destId="{D1FC7BF5-18DB-4B42-BBFC-F1D812869D1D}" srcOrd="5" destOrd="0" parTransId="{EA2C0C01-3863-4CE4-98F3-3F51AC803FCB}" sibTransId="{1AFAB648-1861-4ABC-BFA2-E027C44A5341}"/>
    <dgm:cxn modelId="{E04A24BD-D5D5-4E42-BA99-079C6C78B2D0}" srcId="{2463B85C-09FB-41D5-9C5D-077EA67ED447}" destId="{86DC501C-5D30-4ADD-B394-3740F6054CEB}" srcOrd="35" destOrd="0" parTransId="{D9FAFD33-7217-4E74-829D-CF847E712D10}" sibTransId="{B3254FA4-32FD-425C-ABCC-86A50C7B5C07}"/>
    <dgm:cxn modelId="{850E245B-0B05-4521-9CFB-EB1E5CA8E85F}" type="presOf" srcId="{94F357D8-AEAF-4F66-B773-33263112A7C5}" destId="{7229CD6E-88D1-465A-B8FD-9BB4CD275A1A}" srcOrd="0" destOrd="0" presId="urn:microsoft.com/office/officeart/2005/8/layout/default"/>
    <dgm:cxn modelId="{DDB080A9-1F3B-4FD2-AB4C-ABBBDD70416F}" srcId="{2463B85C-09FB-41D5-9C5D-077EA67ED447}" destId="{E154A0ED-FF31-4C21-9374-BF683471AB7E}" srcOrd="29" destOrd="0" parTransId="{3F1A6D00-062C-42D8-A98C-1962C2717AD9}" sibTransId="{4400DB05-B70B-4735-9843-3E5575835B0E}"/>
    <dgm:cxn modelId="{0A84D214-40D4-4801-B487-133D772867FF}" type="presOf" srcId="{C8D8E984-E546-44DB-8CEF-6C16DDA7DDF0}" destId="{5E29605B-3E63-4978-81EA-25863D4D129E}" srcOrd="0" destOrd="0" presId="urn:microsoft.com/office/officeart/2005/8/layout/default"/>
    <dgm:cxn modelId="{600E786C-A3AB-4754-BA1E-E0C2DED6FB42}" type="presOf" srcId="{06679E0F-A3A8-4133-BF80-BC6023194BE6}" destId="{72FF4A38-05A2-48A9-B603-8A5AF32B1C46}" srcOrd="0" destOrd="0" presId="urn:microsoft.com/office/officeart/2005/8/layout/default"/>
    <dgm:cxn modelId="{AFACFD2C-1581-479D-8618-8449BEF08CA9}" type="presOf" srcId="{86DC501C-5D30-4ADD-B394-3740F6054CEB}" destId="{ADFDF15E-839F-415C-9516-6DD93449C394}" srcOrd="0" destOrd="0" presId="urn:microsoft.com/office/officeart/2005/8/layout/default"/>
    <dgm:cxn modelId="{6E08598A-C2C2-4B48-9E00-0A5B3FDCB8A3}" srcId="{2463B85C-09FB-41D5-9C5D-077EA67ED447}" destId="{53BE13A8-4F8A-494A-BF91-AEDD1360AC75}" srcOrd="9" destOrd="0" parTransId="{FA02CD88-DC1D-4E30-AB88-1C53A6B19635}" sibTransId="{D0740FD2-2E3A-4CB9-BF2C-1B1593D1B582}"/>
    <dgm:cxn modelId="{6D3A7355-86F3-4C71-94E8-0F0662C4C58B}" srcId="{2463B85C-09FB-41D5-9C5D-077EA67ED447}" destId="{483BEBFD-C1E3-4E0F-A87B-54FBE53FA751}" srcOrd="27" destOrd="0" parTransId="{D57D49BE-AF64-423A-9C62-C3D6B8155269}" sibTransId="{1B0FA2C6-A091-4C0A-A1C1-8B29ABC12133}"/>
    <dgm:cxn modelId="{205438C9-9D5B-4813-AB9D-05BDBE5E1B4E}" type="presOf" srcId="{53BE13A8-4F8A-494A-BF91-AEDD1360AC75}" destId="{DFBB8C50-08B1-4175-9BC7-92B41741573C}" srcOrd="0" destOrd="0" presId="urn:microsoft.com/office/officeart/2005/8/layout/default"/>
    <dgm:cxn modelId="{CFC4AE42-A4A0-44B4-ADCF-FDD1512E870D}" srcId="{2463B85C-09FB-41D5-9C5D-077EA67ED447}" destId="{694D19DA-2E43-4E76-9E94-EE6D370ABBE5}" srcOrd="14" destOrd="0" parTransId="{77607B9E-BBDC-4101-B072-68AF4C381E0A}" sibTransId="{03B44F07-A2FC-4AE7-B72E-0151A9D6962B}"/>
    <dgm:cxn modelId="{F032AA29-47FA-451A-B8BE-70A5D90C4C58}" srcId="{2463B85C-09FB-41D5-9C5D-077EA67ED447}" destId="{C47018BF-5E21-4C28-B784-17A9E41FACC6}" srcOrd="30" destOrd="0" parTransId="{413A2A3A-1E68-4CEE-B5F8-4FEF404CC863}" sibTransId="{A1EDE7B0-1A73-47D4-A141-D776D1BC4B08}"/>
    <dgm:cxn modelId="{6D9D62A7-DB64-4BDC-B33C-5C06A41B16C3}" srcId="{2463B85C-09FB-41D5-9C5D-077EA67ED447}" destId="{C8D8E984-E546-44DB-8CEF-6C16DDA7DDF0}" srcOrd="19" destOrd="0" parTransId="{E75D6AAE-E029-4BB9-B20F-4E1C17582175}" sibTransId="{8E770A31-EB94-4F56-B48F-924E6BC9580D}"/>
    <dgm:cxn modelId="{1768FB9C-CBE5-4AEB-8671-43369770B943}" srcId="{2463B85C-09FB-41D5-9C5D-077EA67ED447}" destId="{FA233FB8-541B-412E-B193-D918BDCB070E}" srcOrd="28" destOrd="0" parTransId="{116F4608-C8DA-4788-A90B-250D80F3D153}" sibTransId="{EFDE8CCF-1C5C-419C-BCE9-8E1857F33802}"/>
    <dgm:cxn modelId="{A4159A4A-E3C9-44DB-9E9B-0B52C123356F}" srcId="{2463B85C-09FB-41D5-9C5D-077EA67ED447}" destId="{579EC70B-CD07-47C0-99AB-620CA5CF82F4}" srcOrd="3" destOrd="0" parTransId="{F111E3BE-3CB4-4B7E-BDEE-FBFF67EBCDD3}" sibTransId="{C51A76E2-CA27-4EF4-B51B-A8BD37926A79}"/>
    <dgm:cxn modelId="{E9A24F7C-0577-4D55-8F09-B983586BBCD8}" type="presOf" srcId="{007C5483-7176-457F-AA06-24CAAF180ABF}" destId="{C8B4FF09-BFFE-4012-92F5-D2D7244FB744}" srcOrd="0" destOrd="0" presId="urn:microsoft.com/office/officeart/2005/8/layout/default"/>
    <dgm:cxn modelId="{7C22E7DA-7FDA-474F-80C2-8A86122BF06C}" srcId="{2463B85C-09FB-41D5-9C5D-077EA67ED447}" destId="{87182637-9752-4275-83F6-D643E0A1DF2B}" srcOrd="34" destOrd="0" parTransId="{F292EED8-FA7E-4EB9-8139-39A9B734CF32}" sibTransId="{2E7B4403-691B-4FDC-B339-CBD12A678816}"/>
    <dgm:cxn modelId="{92F09644-8693-4DE6-AD64-EEFB237F3EFD}" srcId="{2463B85C-09FB-41D5-9C5D-077EA67ED447}" destId="{690BCFA1-B820-4B1E-8B0A-C161B800368C}" srcOrd="16" destOrd="0" parTransId="{2EFF9B6D-B15F-4F17-A93D-7020F06AE28D}" sibTransId="{9946731A-69E1-4344-A095-12C0AD0426A0}"/>
    <dgm:cxn modelId="{7D165316-2C8F-4836-B25F-C15FE9998C65}" type="presOf" srcId="{1675BCAF-1FA4-447F-8121-B54727876523}" destId="{53CAC876-09DE-42B7-BC5C-C4100AD447AA}" srcOrd="0" destOrd="0" presId="urn:microsoft.com/office/officeart/2005/8/layout/default"/>
    <dgm:cxn modelId="{0E5DD7F8-5ECB-424D-9A24-2BC54C2E9222}" type="presParOf" srcId="{F82EF60B-62D7-4207-84D2-4D1ED60FC411}" destId="{BE6677DF-471A-4237-BFD2-DA06AC00F124}" srcOrd="0" destOrd="0" presId="urn:microsoft.com/office/officeart/2005/8/layout/default"/>
    <dgm:cxn modelId="{FC1F98D3-F083-4736-B628-05E3FFDF3E18}" type="presParOf" srcId="{F82EF60B-62D7-4207-84D2-4D1ED60FC411}" destId="{180C2365-79AD-4B34-AA41-9453511ABD98}" srcOrd="1" destOrd="0" presId="urn:microsoft.com/office/officeart/2005/8/layout/default"/>
    <dgm:cxn modelId="{4EC18758-AA43-4F23-A08F-1AC59030B38F}" type="presParOf" srcId="{F82EF60B-62D7-4207-84D2-4D1ED60FC411}" destId="{7A55318A-607A-4FE7-88D6-C582D477369D}" srcOrd="2" destOrd="0" presId="urn:microsoft.com/office/officeart/2005/8/layout/default"/>
    <dgm:cxn modelId="{CA7069A5-4798-423D-9C10-1CE21A6898E5}" type="presParOf" srcId="{F82EF60B-62D7-4207-84D2-4D1ED60FC411}" destId="{D7B93FD4-8114-4867-925A-59F80D3A3656}" srcOrd="3" destOrd="0" presId="urn:microsoft.com/office/officeart/2005/8/layout/default"/>
    <dgm:cxn modelId="{3FC4CF76-563B-436F-8CB7-88B869D4F2C6}" type="presParOf" srcId="{F82EF60B-62D7-4207-84D2-4D1ED60FC411}" destId="{F5C46785-26C0-48B4-B3AD-F47D3A5B6BCC}" srcOrd="4" destOrd="0" presId="urn:microsoft.com/office/officeart/2005/8/layout/default"/>
    <dgm:cxn modelId="{97BD1BFF-0705-4350-9A8B-AF2ED87D7E58}" type="presParOf" srcId="{F82EF60B-62D7-4207-84D2-4D1ED60FC411}" destId="{E219DF77-8002-4FD6-A790-48107CC10D1A}" srcOrd="5" destOrd="0" presId="urn:microsoft.com/office/officeart/2005/8/layout/default"/>
    <dgm:cxn modelId="{D5F1D1A9-BE47-404D-9E7E-AC7B6EB5EAFE}" type="presParOf" srcId="{F82EF60B-62D7-4207-84D2-4D1ED60FC411}" destId="{B134C22A-1558-4C48-96AB-56BABA5789B2}" srcOrd="6" destOrd="0" presId="urn:microsoft.com/office/officeart/2005/8/layout/default"/>
    <dgm:cxn modelId="{2D5AEC4A-7E54-4DA8-A874-11C2F9814786}" type="presParOf" srcId="{F82EF60B-62D7-4207-84D2-4D1ED60FC411}" destId="{F407A84C-A9D6-4187-8F53-474AB0448A92}" srcOrd="7" destOrd="0" presId="urn:microsoft.com/office/officeart/2005/8/layout/default"/>
    <dgm:cxn modelId="{5A787D45-8710-4224-8A76-9A3B1AE30111}" type="presParOf" srcId="{F82EF60B-62D7-4207-84D2-4D1ED60FC411}" destId="{C42061D5-27AF-44FC-82E1-CF78B92D5E35}" srcOrd="8" destOrd="0" presId="urn:microsoft.com/office/officeart/2005/8/layout/default"/>
    <dgm:cxn modelId="{85212E67-38A5-45EA-B129-000030E0F0C2}" type="presParOf" srcId="{F82EF60B-62D7-4207-84D2-4D1ED60FC411}" destId="{1B6CBB22-AEF2-4F95-BA4B-E5B188C2F7C6}" srcOrd="9" destOrd="0" presId="urn:microsoft.com/office/officeart/2005/8/layout/default"/>
    <dgm:cxn modelId="{CAB02D9E-8EE7-4333-86F3-E8B70A980174}" type="presParOf" srcId="{F82EF60B-62D7-4207-84D2-4D1ED60FC411}" destId="{90BDF125-720A-40C0-992E-824474A9816C}" srcOrd="10" destOrd="0" presId="urn:microsoft.com/office/officeart/2005/8/layout/default"/>
    <dgm:cxn modelId="{37E56003-DD80-4BBF-9C0F-83C9ED6BBA87}" type="presParOf" srcId="{F82EF60B-62D7-4207-84D2-4D1ED60FC411}" destId="{531CDF4C-F035-41F4-BD21-B185BCFA93DC}" srcOrd="11" destOrd="0" presId="urn:microsoft.com/office/officeart/2005/8/layout/default"/>
    <dgm:cxn modelId="{BD47001A-9FCE-46E8-B547-5D1587CA7ABD}" type="presParOf" srcId="{F82EF60B-62D7-4207-84D2-4D1ED60FC411}" destId="{72FF4A38-05A2-48A9-B603-8A5AF32B1C46}" srcOrd="12" destOrd="0" presId="urn:microsoft.com/office/officeart/2005/8/layout/default"/>
    <dgm:cxn modelId="{9FFE9D07-0479-45D7-861F-175E2A0BF20C}" type="presParOf" srcId="{F82EF60B-62D7-4207-84D2-4D1ED60FC411}" destId="{753E5346-D5B1-43D0-9181-FB2D8D5B7105}" srcOrd="13" destOrd="0" presId="urn:microsoft.com/office/officeart/2005/8/layout/default"/>
    <dgm:cxn modelId="{E5556EEB-48CF-4045-8BCC-601EBBAC79B4}" type="presParOf" srcId="{F82EF60B-62D7-4207-84D2-4D1ED60FC411}" destId="{6516EC62-544B-4914-BEBA-2CB269C1AAB0}" srcOrd="14" destOrd="0" presId="urn:microsoft.com/office/officeart/2005/8/layout/default"/>
    <dgm:cxn modelId="{6BF352C6-35FE-4CA0-8199-51BCC620BE3D}" type="presParOf" srcId="{F82EF60B-62D7-4207-84D2-4D1ED60FC411}" destId="{86B4CD76-4B09-4C39-B458-97CE3176F90F}" srcOrd="15" destOrd="0" presId="urn:microsoft.com/office/officeart/2005/8/layout/default"/>
    <dgm:cxn modelId="{41B81910-D485-475B-85C9-564D4B4DD495}" type="presParOf" srcId="{F82EF60B-62D7-4207-84D2-4D1ED60FC411}" destId="{63E83DA7-FB7E-4CC6-9E90-EF1713608889}" srcOrd="16" destOrd="0" presId="urn:microsoft.com/office/officeart/2005/8/layout/default"/>
    <dgm:cxn modelId="{B0A8708D-EC42-4458-AD9A-2888497D71F4}" type="presParOf" srcId="{F82EF60B-62D7-4207-84D2-4D1ED60FC411}" destId="{2B29CF1D-9C6F-4B08-9B87-8CAD23F0B27F}" srcOrd="17" destOrd="0" presId="urn:microsoft.com/office/officeart/2005/8/layout/default"/>
    <dgm:cxn modelId="{A4CC24C1-AFD8-469B-AE1E-21EDD2E53B3E}" type="presParOf" srcId="{F82EF60B-62D7-4207-84D2-4D1ED60FC411}" destId="{DFBB8C50-08B1-4175-9BC7-92B41741573C}" srcOrd="18" destOrd="0" presId="urn:microsoft.com/office/officeart/2005/8/layout/default"/>
    <dgm:cxn modelId="{CDE13AF5-12BA-4666-97F0-E1B40A1018CB}" type="presParOf" srcId="{F82EF60B-62D7-4207-84D2-4D1ED60FC411}" destId="{F1F59A6E-AECA-4ECD-A0D0-76A6AE9FE852}" srcOrd="19" destOrd="0" presId="urn:microsoft.com/office/officeart/2005/8/layout/default"/>
    <dgm:cxn modelId="{C781B56C-39F5-406D-BC60-4795E1D3BDCA}" type="presParOf" srcId="{F82EF60B-62D7-4207-84D2-4D1ED60FC411}" destId="{F0DAE47E-D782-4D4F-A8D1-5057AC8E4C94}" srcOrd="20" destOrd="0" presId="urn:microsoft.com/office/officeart/2005/8/layout/default"/>
    <dgm:cxn modelId="{491028CB-B83B-4440-9640-8B8C843CD48D}" type="presParOf" srcId="{F82EF60B-62D7-4207-84D2-4D1ED60FC411}" destId="{5B4776C2-4549-4E8C-B200-722F5ACB288E}" srcOrd="21" destOrd="0" presId="urn:microsoft.com/office/officeart/2005/8/layout/default"/>
    <dgm:cxn modelId="{E368AD8F-85DF-4880-99F7-3C581E915631}" type="presParOf" srcId="{F82EF60B-62D7-4207-84D2-4D1ED60FC411}" destId="{B22B0395-8464-4F7A-801E-2C85DF9A4DD0}" srcOrd="22" destOrd="0" presId="urn:microsoft.com/office/officeart/2005/8/layout/default"/>
    <dgm:cxn modelId="{53DDD469-6E7F-42A4-858E-4F2C10798D5C}" type="presParOf" srcId="{F82EF60B-62D7-4207-84D2-4D1ED60FC411}" destId="{7B8D979B-5F75-446F-AF92-2A7F43F6146A}" srcOrd="23" destOrd="0" presId="urn:microsoft.com/office/officeart/2005/8/layout/default"/>
    <dgm:cxn modelId="{9AB7B34D-80DF-4045-A5DA-9F0CCED32C44}" type="presParOf" srcId="{F82EF60B-62D7-4207-84D2-4D1ED60FC411}" destId="{53CAC876-09DE-42B7-BC5C-C4100AD447AA}" srcOrd="24" destOrd="0" presId="urn:microsoft.com/office/officeart/2005/8/layout/default"/>
    <dgm:cxn modelId="{6F47D024-3175-4546-82B4-0728E7F45C09}" type="presParOf" srcId="{F82EF60B-62D7-4207-84D2-4D1ED60FC411}" destId="{ACC75D20-BC7B-4419-B4CA-2660362CF53F}" srcOrd="25" destOrd="0" presId="urn:microsoft.com/office/officeart/2005/8/layout/default"/>
    <dgm:cxn modelId="{C377605A-D3ED-4264-A821-51E4B753C872}" type="presParOf" srcId="{F82EF60B-62D7-4207-84D2-4D1ED60FC411}" destId="{1034659A-5D23-4918-B3F0-9AE6435E089A}" srcOrd="26" destOrd="0" presId="urn:microsoft.com/office/officeart/2005/8/layout/default"/>
    <dgm:cxn modelId="{2E27CF56-D1F4-4ECB-AF78-B76428448ABC}" type="presParOf" srcId="{F82EF60B-62D7-4207-84D2-4D1ED60FC411}" destId="{9D692C8E-D972-45CF-9943-52C6B79B617D}" srcOrd="27" destOrd="0" presId="urn:microsoft.com/office/officeart/2005/8/layout/default"/>
    <dgm:cxn modelId="{0F52F69A-E8E3-41F8-81E1-7B87F7430029}" type="presParOf" srcId="{F82EF60B-62D7-4207-84D2-4D1ED60FC411}" destId="{7DFB402A-3A49-4779-8FFF-0E33A45301A5}" srcOrd="28" destOrd="0" presId="urn:microsoft.com/office/officeart/2005/8/layout/default"/>
    <dgm:cxn modelId="{99070E8B-A8C2-43F8-AE58-30B7C66B1EFF}" type="presParOf" srcId="{F82EF60B-62D7-4207-84D2-4D1ED60FC411}" destId="{20571CA0-5FFC-4A1F-9DE9-1D574DFA22A8}" srcOrd="29" destOrd="0" presId="urn:microsoft.com/office/officeart/2005/8/layout/default"/>
    <dgm:cxn modelId="{B83ED176-88F8-4B82-BAD9-BB7C0781A08F}" type="presParOf" srcId="{F82EF60B-62D7-4207-84D2-4D1ED60FC411}" destId="{09DC1D83-D044-4308-831C-4470CBA48520}" srcOrd="30" destOrd="0" presId="urn:microsoft.com/office/officeart/2005/8/layout/default"/>
    <dgm:cxn modelId="{0E55E3DD-4464-49C3-9934-5AB72F639336}" type="presParOf" srcId="{F82EF60B-62D7-4207-84D2-4D1ED60FC411}" destId="{D7407C2D-722B-4ACA-8420-07453487F8AF}" srcOrd="31" destOrd="0" presId="urn:microsoft.com/office/officeart/2005/8/layout/default"/>
    <dgm:cxn modelId="{D875E2F5-5B07-4236-9BFA-3ACC71FA4B49}" type="presParOf" srcId="{F82EF60B-62D7-4207-84D2-4D1ED60FC411}" destId="{AB2D3F19-0B79-435B-B85B-D7111EEFCCBC}" srcOrd="32" destOrd="0" presId="urn:microsoft.com/office/officeart/2005/8/layout/default"/>
    <dgm:cxn modelId="{24B8FE45-6A50-4578-B117-48C4B8B63DA7}" type="presParOf" srcId="{F82EF60B-62D7-4207-84D2-4D1ED60FC411}" destId="{3F61C340-750F-485A-BA6A-3C7D6F448CF3}" srcOrd="33" destOrd="0" presId="urn:microsoft.com/office/officeart/2005/8/layout/default"/>
    <dgm:cxn modelId="{FA82BCFA-E607-449F-BAF1-BB6FEB11600D}" type="presParOf" srcId="{F82EF60B-62D7-4207-84D2-4D1ED60FC411}" destId="{7229CD6E-88D1-465A-B8FD-9BB4CD275A1A}" srcOrd="34" destOrd="0" presId="urn:microsoft.com/office/officeart/2005/8/layout/default"/>
    <dgm:cxn modelId="{D997F42A-DDD7-4E7B-95F4-4C232FDBEDFB}" type="presParOf" srcId="{F82EF60B-62D7-4207-84D2-4D1ED60FC411}" destId="{F1ACA101-02E8-4B28-915F-5AD552254777}" srcOrd="35" destOrd="0" presId="urn:microsoft.com/office/officeart/2005/8/layout/default"/>
    <dgm:cxn modelId="{0E170E7F-7FF2-473A-9300-1414187A0D46}" type="presParOf" srcId="{F82EF60B-62D7-4207-84D2-4D1ED60FC411}" destId="{9D0D3BD6-4706-4104-A1FC-C268AA031E8C}" srcOrd="36" destOrd="0" presId="urn:microsoft.com/office/officeart/2005/8/layout/default"/>
    <dgm:cxn modelId="{8CE5EF4E-9DCC-4D2F-A3F4-8C71CEC7E0E1}" type="presParOf" srcId="{F82EF60B-62D7-4207-84D2-4D1ED60FC411}" destId="{34AD940C-5405-4300-A8C5-32317BC4D719}" srcOrd="37" destOrd="0" presId="urn:microsoft.com/office/officeart/2005/8/layout/default"/>
    <dgm:cxn modelId="{44885502-CB86-4DA7-9929-E96F06FB6177}" type="presParOf" srcId="{F82EF60B-62D7-4207-84D2-4D1ED60FC411}" destId="{5E29605B-3E63-4978-81EA-25863D4D129E}" srcOrd="38" destOrd="0" presId="urn:microsoft.com/office/officeart/2005/8/layout/default"/>
    <dgm:cxn modelId="{EED4E7C7-EFB5-4FEC-8DC6-AE3110F63479}" type="presParOf" srcId="{F82EF60B-62D7-4207-84D2-4D1ED60FC411}" destId="{3589895F-71E5-40C1-B0EA-B80598EC861B}" srcOrd="39" destOrd="0" presId="urn:microsoft.com/office/officeart/2005/8/layout/default"/>
    <dgm:cxn modelId="{2E15C896-74E1-4A1B-BF0C-AA6B791CC25A}" type="presParOf" srcId="{F82EF60B-62D7-4207-84D2-4D1ED60FC411}" destId="{47777158-259A-4894-911D-764272D8B18C}" srcOrd="40" destOrd="0" presId="urn:microsoft.com/office/officeart/2005/8/layout/default"/>
    <dgm:cxn modelId="{DBA5D738-9729-4712-909B-B87EA67EEF71}" type="presParOf" srcId="{F82EF60B-62D7-4207-84D2-4D1ED60FC411}" destId="{94ABF048-EBD0-46F4-AB73-7B1B0B19C025}" srcOrd="41" destOrd="0" presId="urn:microsoft.com/office/officeart/2005/8/layout/default"/>
    <dgm:cxn modelId="{54FF5618-54A0-4C35-BAB4-D0C16897A918}" type="presParOf" srcId="{F82EF60B-62D7-4207-84D2-4D1ED60FC411}" destId="{B7D7E772-DB12-46B2-B0A5-19C3DDE0D575}" srcOrd="42" destOrd="0" presId="urn:microsoft.com/office/officeart/2005/8/layout/default"/>
    <dgm:cxn modelId="{5FA35810-95D0-4DEF-95BB-CD9BB78868FD}" type="presParOf" srcId="{F82EF60B-62D7-4207-84D2-4D1ED60FC411}" destId="{A51F7EF6-0EAA-4861-908C-3B57DD4BF964}" srcOrd="43" destOrd="0" presId="urn:microsoft.com/office/officeart/2005/8/layout/default"/>
    <dgm:cxn modelId="{F1900C4E-AF1D-432A-AEA7-092AD9E81741}" type="presParOf" srcId="{F82EF60B-62D7-4207-84D2-4D1ED60FC411}" destId="{AE5937F8-062D-42EB-BBD8-3C0DFCBCC882}" srcOrd="44" destOrd="0" presId="urn:microsoft.com/office/officeart/2005/8/layout/default"/>
    <dgm:cxn modelId="{D101E064-C041-4C22-B33C-7987F4C0516F}" type="presParOf" srcId="{F82EF60B-62D7-4207-84D2-4D1ED60FC411}" destId="{2D530FBB-B45E-441D-BE16-F664651B68F0}" srcOrd="45" destOrd="0" presId="urn:microsoft.com/office/officeart/2005/8/layout/default"/>
    <dgm:cxn modelId="{26B554A8-D697-41CC-8A9A-C6C2DADA1108}" type="presParOf" srcId="{F82EF60B-62D7-4207-84D2-4D1ED60FC411}" destId="{5E36C280-AF3C-443E-ACC3-E35609105F6D}" srcOrd="46" destOrd="0" presId="urn:microsoft.com/office/officeart/2005/8/layout/default"/>
    <dgm:cxn modelId="{2D8EEFE8-07C2-45B2-897E-3C0A60CBD63F}" type="presParOf" srcId="{F82EF60B-62D7-4207-84D2-4D1ED60FC411}" destId="{384C8A57-6942-4234-9790-F4E437AFA8B6}" srcOrd="47" destOrd="0" presId="urn:microsoft.com/office/officeart/2005/8/layout/default"/>
    <dgm:cxn modelId="{C2356F92-55E6-4E63-BCAA-59D716B5BB19}" type="presParOf" srcId="{F82EF60B-62D7-4207-84D2-4D1ED60FC411}" destId="{C8B4FF09-BFFE-4012-92F5-D2D7244FB744}" srcOrd="48" destOrd="0" presId="urn:microsoft.com/office/officeart/2005/8/layout/default"/>
    <dgm:cxn modelId="{1034B446-5849-48A8-82B8-678391A0A0FE}" type="presParOf" srcId="{F82EF60B-62D7-4207-84D2-4D1ED60FC411}" destId="{3A11860F-5190-4154-95B7-2BC08E8D6AA4}" srcOrd="49" destOrd="0" presId="urn:microsoft.com/office/officeart/2005/8/layout/default"/>
    <dgm:cxn modelId="{0A649E4C-F871-4C92-97C3-674B525EF0A1}" type="presParOf" srcId="{F82EF60B-62D7-4207-84D2-4D1ED60FC411}" destId="{EBB573AD-6D47-4C40-A195-DA88DA2C9475}" srcOrd="50" destOrd="0" presId="urn:microsoft.com/office/officeart/2005/8/layout/default"/>
    <dgm:cxn modelId="{F2BEFDCC-686F-4AE6-B69F-F348B8BB9841}" type="presParOf" srcId="{F82EF60B-62D7-4207-84D2-4D1ED60FC411}" destId="{FED9F178-18DB-4A0C-8392-C1D2F28257C1}" srcOrd="51" destOrd="0" presId="urn:microsoft.com/office/officeart/2005/8/layout/default"/>
    <dgm:cxn modelId="{6AD161B1-B930-40C7-8935-B8C7A1A746AE}" type="presParOf" srcId="{F82EF60B-62D7-4207-84D2-4D1ED60FC411}" destId="{3A5E69EE-B606-436A-A0E0-76361D8815D4}" srcOrd="52" destOrd="0" presId="urn:microsoft.com/office/officeart/2005/8/layout/default"/>
    <dgm:cxn modelId="{D3936E57-F6CD-4076-BE49-8B4D2D1BF055}" type="presParOf" srcId="{F82EF60B-62D7-4207-84D2-4D1ED60FC411}" destId="{4EE0D9B3-E16E-4172-B551-33FF62BF98CA}" srcOrd="53" destOrd="0" presId="urn:microsoft.com/office/officeart/2005/8/layout/default"/>
    <dgm:cxn modelId="{28D3F8BE-5FEA-496F-BDBD-FB7AF2086901}" type="presParOf" srcId="{F82EF60B-62D7-4207-84D2-4D1ED60FC411}" destId="{50F9AD42-16FC-42C5-B7DD-8A0D0CC062E4}" srcOrd="54" destOrd="0" presId="urn:microsoft.com/office/officeart/2005/8/layout/default"/>
    <dgm:cxn modelId="{7D2E12FB-3ADB-467E-9B32-D05B9BCCC291}" type="presParOf" srcId="{F82EF60B-62D7-4207-84D2-4D1ED60FC411}" destId="{0B29432B-DA54-4B76-AF53-21B396A66B70}" srcOrd="55" destOrd="0" presId="urn:microsoft.com/office/officeart/2005/8/layout/default"/>
    <dgm:cxn modelId="{F03D4DDB-D26C-4116-AE58-CFDE84DB9BBF}" type="presParOf" srcId="{F82EF60B-62D7-4207-84D2-4D1ED60FC411}" destId="{E8770E03-F8BA-4277-A6D3-6E65F122ED62}" srcOrd="56" destOrd="0" presId="urn:microsoft.com/office/officeart/2005/8/layout/default"/>
    <dgm:cxn modelId="{192B66F1-FF45-4D93-9033-905B66091C8E}" type="presParOf" srcId="{F82EF60B-62D7-4207-84D2-4D1ED60FC411}" destId="{1052341F-1350-4F90-87D2-3B0594C5024C}" srcOrd="57" destOrd="0" presId="urn:microsoft.com/office/officeart/2005/8/layout/default"/>
    <dgm:cxn modelId="{09E9601F-28A3-427C-9C0D-CEB46D5AAAEC}" type="presParOf" srcId="{F82EF60B-62D7-4207-84D2-4D1ED60FC411}" destId="{DE179A6D-19EC-4457-8D06-E1425E52F5FF}" srcOrd="58" destOrd="0" presId="urn:microsoft.com/office/officeart/2005/8/layout/default"/>
    <dgm:cxn modelId="{BA63E8AA-EE02-4959-8E26-7EB8B0A8FECE}" type="presParOf" srcId="{F82EF60B-62D7-4207-84D2-4D1ED60FC411}" destId="{8D9CE64D-E6B1-4A7F-9439-15B3CE7705F6}" srcOrd="59" destOrd="0" presId="urn:microsoft.com/office/officeart/2005/8/layout/default"/>
    <dgm:cxn modelId="{FF72D42C-3FFF-48EF-B580-CDEB53B8F7A5}" type="presParOf" srcId="{F82EF60B-62D7-4207-84D2-4D1ED60FC411}" destId="{3EFCD73D-B7CD-4ED8-A457-5B6DF61F2180}" srcOrd="60" destOrd="0" presId="urn:microsoft.com/office/officeart/2005/8/layout/default"/>
    <dgm:cxn modelId="{856A300B-3552-4838-9735-18AF9677E21E}" type="presParOf" srcId="{F82EF60B-62D7-4207-84D2-4D1ED60FC411}" destId="{B16C16A3-C6BE-4E25-9A7B-500D977491DC}" srcOrd="61" destOrd="0" presId="urn:microsoft.com/office/officeart/2005/8/layout/default"/>
    <dgm:cxn modelId="{C8C5FF85-0568-46B2-85D6-F2861136FF8A}" type="presParOf" srcId="{F82EF60B-62D7-4207-84D2-4D1ED60FC411}" destId="{8D46D211-344F-4D11-9AAB-85C42AAB629A}" srcOrd="62" destOrd="0" presId="urn:microsoft.com/office/officeart/2005/8/layout/default"/>
    <dgm:cxn modelId="{769FA59D-0A1B-4F62-8F66-A18E91864589}" type="presParOf" srcId="{F82EF60B-62D7-4207-84D2-4D1ED60FC411}" destId="{6F77DE3E-5260-4AA5-83D1-8EFDB5FFCB1B}" srcOrd="63" destOrd="0" presId="urn:microsoft.com/office/officeart/2005/8/layout/default"/>
    <dgm:cxn modelId="{E83B32C6-90E6-409E-B930-3F8612132879}" type="presParOf" srcId="{F82EF60B-62D7-4207-84D2-4D1ED60FC411}" destId="{1E80E7CE-CBDB-48ED-902A-6773A35869CF}" srcOrd="64" destOrd="0" presId="urn:microsoft.com/office/officeart/2005/8/layout/default"/>
    <dgm:cxn modelId="{D4C857CE-2660-4E43-80D3-74A129E1ED1E}" type="presParOf" srcId="{F82EF60B-62D7-4207-84D2-4D1ED60FC411}" destId="{91CF03FD-1ACA-4DD6-9DA5-CE294A5D1B5A}" srcOrd="65" destOrd="0" presId="urn:microsoft.com/office/officeart/2005/8/layout/default"/>
    <dgm:cxn modelId="{3FDF8B11-7D63-4F64-AE76-5D2419268FAD}" type="presParOf" srcId="{F82EF60B-62D7-4207-84D2-4D1ED60FC411}" destId="{30E66406-052C-4C84-9BB4-9B14C7567F75}" srcOrd="66" destOrd="0" presId="urn:microsoft.com/office/officeart/2005/8/layout/default"/>
    <dgm:cxn modelId="{BFBD988A-871D-4E30-A877-5B3C8269C715}" type="presParOf" srcId="{F82EF60B-62D7-4207-84D2-4D1ED60FC411}" destId="{ED26CFD5-86B4-4D14-9E13-454639F38420}" srcOrd="67" destOrd="0" presId="urn:microsoft.com/office/officeart/2005/8/layout/default"/>
    <dgm:cxn modelId="{C1878D27-BDFC-456C-B5BB-35CAAD54B218}" type="presParOf" srcId="{F82EF60B-62D7-4207-84D2-4D1ED60FC411}" destId="{F714B1CD-B9BA-40A1-B040-62C30FC37758}" srcOrd="68" destOrd="0" presId="urn:microsoft.com/office/officeart/2005/8/layout/default"/>
    <dgm:cxn modelId="{B713F202-40A1-4778-9274-2D3AD88F476B}" type="presParOf" srcId="{F82EF60B-62D7-4207-84D2-4D1ED60FC411}" destId="{11289C9B-D19F-424F-A6FF-0F14B2A6F731}" srcOrd="69" destOrd="0" presId="urn:microsoft.com/office/officeart/2005/8/layout/default"/>
    <dgm:cxn modelId="{240AE656-0329-4DE3-8C2D-FF22BBAD5C89}" type="presParOf" srcId="{F82EF60B-62D7-4207-84D2-4D1ED60FC411}" destId="{ADFDF15E-839F-415C-9516-6DD93449C394}" srcOrd="70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E6677DF-471A-4237-BFD2-DA06AC00F124}">
      <dsp:nvSpPr>
        <dsp:cNvPr id="0" name=""/>
        <dsp:cNvSpPr/>
      </dsp:nvSpPr>
      <dsp:spPr>
        <a:xfrm>
          <a:off x="1191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MAHMOUD CHAALAN</a:t>
          </a:r>
        </a:p>
      </dsp:txBody>
      <dsp:txXfrm>
        <a:off x="1191" y="79999"/>
        <a:ext cx="1500773" cy="900464"/>
      </dsp:txXfrm>
    </dsp:sp>
    <dsp:sp modelId="{7A55318A-607A-4FE7-88D6-C582D477369D}">
      <dsp:nvSpPr>
        <dsp:cNvPr id="0" name=""/>
        <dsp:cNvSpPr/>
      </dsp:nvSpPr>
      <dsp:spPr>
        <a:xfrm>
          <a:off x="1652041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CHINOIS</a:t>
          </a:r>
        </a:p>
      </dsp:txBody>
      <dsp:txXfrm>
        <a:off x="1652041" y="79999"/>
        <a:ext cx="1500773" cy="900464"/>
      </dsp:txXfrm>
    </dsp:sp>
    <dsp:sp modelId="{F5C46785-26C0-48B4-B3AD-F47D3A5B6BCC}">
      <dsp:nvSpPr>
        <dsp:cNvPr id="0" name=""/>
        <dsp:cNvSpPr/>
      </dsp:nvSpPr>
      <dsp:spPr>
        <a:xfrm>
          <a:off x="3302892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SUSTEEL-KEVIN</a:t>
          </a:r>
        </a:p>
      </dsp:txBody>
      <dsp:txXfrm>
        <a:off x="3302892" y="79999"/>
        <a:ext cx="1500773" cy="900464"/>
      </dsp:txXfrm>
    </dsp:sp>
    <dsp:sp modelId="{B134C22A-1558-4C48-96AB-56BABA5789B2}">
      <dsp:nvSpPr>
        <dsp:cNvPr id="0" name=""/>
        <dsp:cNvSpPr/>
      </dsp:nvSpPr>
      <dsp:spPr>
        <a:xfrm>
          <a:off x="4953743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MOUSTAPHA FAWAZ</a:t>
          </a:r>
        </a:p>
      </dsp:txBody>
      <dsp:txXfrm>
        <a:off x="4953743" y="79999"/>
        <a:ext cx="1500773" cy="900464"/>
      </dsp:txXfrm>
    </dsp:sp>
    <dsp:sp modelId="{C42061D5-27AF-44FC-82E1-CF78B92D5E35}">
      <dsp:nvSpPr>
        <dsp:cNvPr id="0" name=""/>
        <dsp:cNvSpPr/>
      </dsp:nvSpPr>
      <dsp:spPr>
        <a:xfrm>
          <a:off x="6604594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GEDIS </a:t>
          </a:r>
        </a:p>
      </dsp:txBody>
      <dsp:txXfrm>
        <a:off x="6604594" y="79999"/>
        <a:ext cx="1500773" cy="900464"/>
      </dsp:txXfrm>
    </dsp:sp>
    <dsp:sp modelId="{90BDF125-720A-40C0-992E-824474A9816C}">
      <dsp:nvSpPr>
        <dsp:cNvPr id="0" name=""/>
        <dsp:cNvSpPr/>
      </dsp:nvSpPr>
      <dsp:spPr>
        <a:xfrm>
          <a:off x="8255445" y="79999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MOHAMED ZALZALE </a:t>
          </a:r>
        </a:p>
      </dsp:txBody>
      <dsp:txXfrm>
        <a:off x="8255445" y="79999"/>
        <a:ext cx="1500773" cy="900464"/>
      </dsp:txXfrm>
    </dsp:sp>
    <dsp:sp modelId="{72FF4A38-05A2-48A9-B603-8A5AF32B1C46}">
      <dsp:nvSpPr>
        <dsp:cNvPr id="0" name=""/>
        <dsp:cNvSpPr/>
      </dsp:nvSpPr>
      <dsp:spPr>
        <a:xfrm>
          <a:off x="1191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AUTO ROY</a:t>
          </a:r>
        </a:p>
      </dsp:txBody>
      <dsp:txXfrm>
        <a:off x="1191" y="1130541"/>
        <a:ext cx="1500773" cy="900464"/>
      </dsp:txXfrm>
    </dsp:sp>
    <dsp:sp modelId="{6516EC62-544B-4914-BEBA-2CB269C1AAB0}">
      <dsp:nvSpPr>
        <dsp:cNvPr id="0" name=""/>
        <dsp:cNvSpPr/>
      </dsp:nvSpPr>
      <dsp:spPr>
        <a:xfrm>
          <a:off x="1652041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DUNLOP</a:t>
          </a:r>
        </a:p>
      </dsp:txBody>
      <dsp:txXfrm>
        <a:off x="1652041" y="1130541"/>
        <a:ext cx="1500773" cy="900464"/>
      </dsp:txXfrm>
    </dsp:sp>
    <dsp:sp modelId="{63E83DA7-FB7E-4CC6-9E90-EF1713608889}">
      <dsp:nvSpPr>
        <dsp:cNvPr id="0" name=""/>
        <dsp:cNvSpPr/>
      </dsp:nvSpPr>
      <dsp:spPr>
        <a:xfrm>
          <a:off x="3302892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NABILCO </a:t>
          </a:r>
        </a:p>
      </dsp:txBody>
      <dsp:txXfrm>
        <a:off x="3302892" y="1130541"/>
        <a:ext cx="1500773" cy="900464"/>
      </dsp:txXfrm>
    </dsp:sp>
    <dsp:sp modelId="{DFBB8C50-08B1-4175-9BC7-92B41741573C}">
      <dsp:nvSpPr>
        <dsp:cNvPr id="0" name=""/>
        <dsp:cNvSpPr/>
      </dsp:nvSpPr>
      <dsp:spPr>
        <a:xfrm>
          <a:off x="4953743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KABALANE</a:t>
          </a:r>
        </a:p>
      </dsp:txBody>
      <dsp:txXfrm>
        <a:off x="4953743" y="1130541"/>
        <a:ext cx="1500773" cy="900464"/>
      </dsp:txXfrm>
    </dsp:sp>
    <dsp:sp modelId="{F0DAE47E-D782-4D4F-A8D1-5057AC8E4C94}">
      <dsp:nvSpPr>
        <dsp:cNvPr id="0" name=""/>
        <dsp:cNvSpPr/>
      </dsp:nvSpPr>
      <dsp:spPr>
        <a:xfrm>
          <a:off x="6604594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ABASS BOURGI</a:t>
          </a:r>
        </a:p>
      </dsp:txBody>
      <dsp:txXfrm>
        <a:off x="6604594" y="1130541"/>
        <a:ext cx="1500773" cy="900464"/>
      </dsp:txXfrm>
    </dsp:sp>
    <dsp:sp modelId="{B22B0395-8464-4F7A-801E-2C85DF9A4DD0}">
      <dsp:nvSpPr>
        <dsp:cNvPr id="0" name=""/>
        <dsp:cNvSpPr/>
      </dsp:nvSpPr>
      <dsp:spPr>
        <a:xfrm>
          <a:off x="8255445" y="1130541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ROULEMENT MONDIAL </a:t>
          </a:r>
        </a:p>
      </dsp:txBody>
      <dsp:txXfrm>
        <a:off x="8255445" y="1130541"/>
        <a:ext cx="1500773" cy="900464"/>
      </dsp:txXfrm>
    </dsp:sp>
    <dsp:sp modelId="{53CAC876-09DE-42B7-BC5C-C4100AD447AA}">
      <dsp:nvSpPr>
        <dsp:cNvPr id="0" name=""/>
        <dsp:cNvSpPr/>
      </dsp:nvSpPr>
      <dsp:spPr>
        <a:xfrm>
          <a:off x="1191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CACOMIAF</a:t>
          </a:r>
        </a:p>
      </dsp:txBody>
      <dsp:txXfrm>
        <a:off x="1191" y="2181082"/>
        <a:ext cx="1500773" cy="900464"/>
      </dsp:txXfrm>
    </dsp:sp>
    <dsp:sp modelId="{1034659A-5D23-4918-B3F0-9AE6435E089A}">
      <dsp:nvSpPr>
        <dsp:cNvPr id="0" name=""/>
        <dsp:cNvSpPr/>
      </dsp:nvSpPr>
      <dsp:spPr>
        <a:xfrm>
          <a:off x="1652041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HASSAN KAFARANI</a:t>
          </a:r>
        </a:p>
      </dsp:txBody>
      <dsp:txXfrm>
        <a:off x="1652041" y="2181082"/>
        <a:ext cx="1500773" cy="900464"/>
      </dsp:txXfrm>
    </dsp:sp>
    <dsp:sp modelId="{7DFB402A-3A49-4779-8FFF-0E33A45301A5}">
      <dsp:nvSpPr>
        <dsp:cNvPr id="0" name=""/>
        <dsp:cNvSpPr/>
      </dsp:nvSpPr>
      <dsp:spPr>
        <a:xfrm>
          <a:off x="3302892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VICTOR</a:t>
          </a:r>
        </a:p>
      </dsp:txBody>
      <dsp:txXfrm>
        <a:off x="3302892" y="2181082"/>
        <a:ext cx="1500773" cy="900464"/>
      </dsp:txXfrm>
    </dsp:sp>
    <dsp:sp modelId="{09DC1D83-D044-4308-831C-4470CBA48520}">
      <dsp:nvSpPr>
        <dsp:cNvPr id="0" name=""/>
        <dsp:cNvSpPr/>
      </dsp:nvSpPr>
      <dsp:spPr>
        <a:xfrm>
          <a:off x="4953743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SOLO</a:t>
          </a:r>
        </a:p>
      </dsp:txBody>
      <dsp:txXfrm>
        <a:off x="4953743" y="2181082"/>
        <a:ext cx="1500773" cy="900464"/>
      </dsp:txXfrm>
    </dsp:sp>
    <dsp:sp modelId="{AB2D3F19-0B79-435B-B85B-D7111EEFCCBC}">
      <dsp:nvSpPr>
        <dsp:cNvPr id="0" name=""/>
        <dsp:cNvSpPr/>
      </dsp:nvSpPr>
      <dsp:spPr>
        <a:xfrm>
          <a:off x="6604594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ABASS KANSA</a:t>
          </a:r>
        </a:p>
      </dsp:txBody>
      <dsp:txXfrm>
        <a:off x="6604594" y="2181082"/>
        <a:ext cx="1500773" cy="900464"/>
      </dsp:txXfrm>
    </dsp:sp>
    <dsp:sp modelId="{7229CD6E-88D1-465A-B8FD-9BB4CD275A1A}">
      <dsp:nvSpPr>
        <dsp:cNvPr id="0" name=""/>
        <dsp:cNvSpPr/>
      </dsp:nvSpPr>
      <dsp:spPr>
        <a:xfrm>
          <a:off x="8255445" y="2181082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SAKO</a:t>
          </a:r>
        </a:p>
      </dsp:txBody>
      <dsp:txXfrm>
        <a:off x="8255445" y="2181082"/>
        <a:ext cx="1500773" cy="900464"/>
      </dsp:txXfrm>
    </dsp:sp>
    <dsp:sp modelId="{9D0D3BD6-4706-4104-A1FC-C268AA031E8C}">
      <dsp:nvSpPr>
        <dsp:cNvPr id="0" name=""/>
        <dsp:cNvSpPr/>
      </dsp:nvSpPr>
      <dsp:spPr>
        <a:xfrm>
          <a:off x="1191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HAMAD WESLAKE </a:t>
          </a:r>
        </a:p>
      </dsp:txBody>
      <dsp:txXfrm>
        <a:off x="1191" y="3231624"/>
        <a:ext cx="1500773" cy="900464"/>
      </dsp:txXfrm>
    </dsp:sp>
    <dsp:sp modelId="{5E29605B-3E63-4978-81EA-25863D4D129E}">
      <dsp:nvSpPr>
        <dsp:cNvPr id="0" name=""/>
        <dsp:cNvSpPr/>
      </dsp:nvSpPr>
      <dsp:spPr>
        <a:xfrm>
          <a:off x="1652041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IRA</a:t>
          </a:r>
        </a:p>
      </dsp:txBody>
      <dsp:txXfrm>
        <a:off x="1652041" y="3231624"/>
        <a:ext cx="1500773" cy="900464"/>
      </dsp:txXfrm>
    </dsp:sp>
    <dsp:sp modelId="{47777158-259A-4894-911D-764272D8B18C}">
      <dsp:nvSpPr>
        <dsp:cNvPr id="0" name=""/>
        <dsp:cNvSpPr/>
      </dsp:nvSpPr>
      <dsp:spPr>
        <a:xfrm>
          <a:off x="3302892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GN PLAQUETTE </a:t>
          </a:r>
        </a:p>
      </dsp:txBody>
      <dsp:txXfrm>
        <a:off x="3302892" y="3231624"/>
        <a:ext cx="1500773" cy="900464"/>
      </dsp:txXfrm>
    </dsp:sp>
    <dsp:sp modelId="{B7D7E772-DB12-46B2-B0A5-19C3DDE0D575}">
      <dsp:nvSpPr>
        <dsp:cNvPr id="0" name=""/>
        <dsp:cNvSpPr/>
      </dsp:nvSpPr>
      <dsp:spPr>
        <a:xfrm>
          <a:off x="4953743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LIQUI MOLY</a:t>
          </a:r>
        </a:p>
      </dsp:txBody>
      <dsp:txXfrm>
        <a:off x="4953743" y="3231624"/>
        <a:ext cx="1500773" cy="900464"/>
      </dsp:txXfrm>
    </dsp:sp>
    <dsp:sp modelId="{AE5937F8-062D-42EB-BBD8-3C0DFCBCC882}">
      <dsp:nvSpPr>
        <dsp:cNvPr id="0" name=""/>
        <dsp:cNvSpPr/>
      </dsp:nvSpPr>
      <dsp:spPr>
        <a:xfrm>
          <a:off x="6604594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AKHIL DAHER</a:t>
          </a:r>
        </a:p>
      </dsp:txBody>
      <dsp:txXfrm>
        <a:off x="6604594" y="3231624"/>
        <a:ext cx="1500773" cy="900464"/>
      </dsp:txXfrm>
    </dsp:sp>
    <dsp:sp modelId="{5E36C280-AF3C-443E-ACC3-E35609105F6D}">
      <dsp:nvSpPr>
        <dsp:cNvPr id="0" name=""/>
        <dsp:cNvSpPr/>
      </dsp:nvSpPr>
      <dsp:spPr>
        <a:xfrm>
          <a:off x="8255445" y="3231624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CFAO MOBILITY</a:t>
          </a:r>
        </a:p>
      </dsp:txBody>
      <dsp:txXfrm>
        <a:off x="8255445" y="3231624"/>
        <a:ext cx="1500773" cy="900464"/>
      </dsp:txXfrm>
    </dsp:sp>
    <dsp:sp modelId="{C8B4FF09-BFFE-4012-92F5-D2D7244FB744}">
      <dsp:nvSpPr>
        <dsp:cNvPr id="0" name=""/>
        <dsp:cNvSpPr/>
      </dsp:nvSpPr>
      <dsp:spPr>
        <a:xfrm>
          <a:off x="1191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HASSAN SALAMAN </a:t>
          </a:r>
        </a:p>
      </dsp:txBody>
      <dsp:txXfrm>
        <a:off x="1191" y="4282165"/>
        <a:ext cx="1500773" cy="900464"/>
      </dsp:txXfrm>
    </dsp:sp>
    <dsp:sp modelId="{EBB573AD-6D47-4C40-A195-DA88DA2C9475}">
      <dsp:nvSpPr>
        <dsp:cNvPr id="0" name=""/>
        <dsp:cNvSpPr/>
      </dsp:nvSpPr>
      <dsp:spPr>
        <a:xfrm>
          <a:off x="1652041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SPRIINT-TECH - BOSCH </a:t>
          </a:r>
        </a:p>
      </dsp:txBody>
      <dsp:txXfrm>
        <a:off x="1652041" y="4282165"/>
        <a:ext cx="1500773" cy="900464"/>
      </dsp:txXfrm>
    </dsp:sp>
    <dsp:sp modelId="{3A5E69EE-B606-436A-A0E0-76361D8815D4}">
      <dsp:nvSpPr>
        <dsp:cNvPr id="0" name=""/>
        <dsp:cNvSpPr/>
      </dsp:nvSpPr>
      <dsp:spPr>
        <a:xfrm>
          <a:off x="3302892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200" b="1" kern="1200"/>
            <a:t>MAHMOUD </a:t>
          </a:r>
        </a:p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200" b="1" kern="1200"/>
            <a:t>SAFIEDDINE</a:t>
          </a:r>
        </a:p>
        <a:p>
          <a:pPr lvl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050" b="1" kern="1200"/>
            <a:t> </a:t>
          </a:r>
        </a:p>
      </dsp:txBody>
      <dsp:txXfrm>
        <a:off x="3302892" y="4282165"/>
        <a:ext cx="1500773" cy="900464"/>
      </dsp:txXfrm>
    </dsp:sp>
    <dsp:sp modelId="{50F9AD42-16FC-42C5-B7DD-8A0D0CC062E4}">
      <dsp:nvSpPr>
        <dsp:cNvPr id="0" name=""/>
        <dsp:cNvSpPr/>
      </dsp:nvSpPr>
      <dsp:spPr>
        <a:xfrm>
          <a:off x="4953743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VIGNOD GRAISSE </a:t>
          </a:r>
        </a:p>
      </dsp:txBody>
      <dsp:txXfrm>
        <a:off x="4953743" y="4282165"/>
        <a:ext cx="1500773" cy="900464"/>
      </dsp:txXfrm>
    </dsp:sp>
    <dsp:sp modelId="{E8770E03-F8BA-4277-A6D3-6E65F122ED62}">
      <dsp:nvSpPr>
        <dsp:cNvPr id="0" name=""/>
        <dsp:cNvSpPr/>
      </dsp:nvSpPr>
      <dsp:spPr>
        <a:xfrm>
          <a:off x="6604594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ABASS FAREZ</a:t>
          </a:r>
        </a:p>
      </dsp:txBody>
      <dsp:txXfrm>
        <a:off x="6604594" y="4282165"/>
        <a:ext cx="1500773" cy="900464"/>
      </dsp:txXfrm>
    </dsp:sp>
    <dsp:sp modelId="{DE179A6D-19EC-4457-8D06-E1425E52F5FF}">
      <dsp:nvSpPr>
        <dsp:cNvPr id="0" name=""/>
        <dsp:cNvSpPr/>
      </dsp:nvSpPr>
      <dsp:spPr>
        <a:xfrm>
          <a:off x="8255445" y="4282165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EXIM EMPEX </a:t>
          </a:r>
        </a:p>
      </dsp:txBody>
      <dsp:txXfrm>
        <a:off x="8255445" y="4282165"/>
        <a:ext cx="1500773" cy="900464"/>
      </dsp:txXfrm>
    </dsp:sp>
    <dsp:sp modelId="{3EFCD73D-B7CD-4ED8-A457-5B6DF61F2180}">
      <dsp:nvSpPr>
        <dsp:cNvPr id="0" name=""/>
        <dsp:cNvSpPr/>
      </dsp:nvSpPr>
      <dsp:spPr>
        <a:xfrm>
          <a:off x="1191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JOSEPH &amp; CHARBEL</a:t>
          </a:r>
        </a:p>
      </dsp:txBody>
      <dsp:txXfrm>
        <a:off x="1191" y="5332707"/>
        <a:ext cx="1500773" cy="900464"/>
      </dsp:txXfrm>
    </dsp:sp>
    <dsp:sp modelId="{8D46D211-344F-4D11-9AAB-85C42AAB629A}">
      <dsp:nvSpPr>
        <dsp:cNvPr id="0" name=""/>
        <dsp:cNvSpPr/>
      </dsp:nvSpPr>
      <dsp:spPr>
        <a:xfrm>
          <a:off x="1652041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BAKAYOKO</a:t>
          </a:r>
        </a:p>
      </dsp:txBody>
      <dsp:txXfrm>
        <a:off x="1652041" y="5332707"/>
        <a:ext cx="1500773" cy="900464"/>
      </dsp:txXfrm>
    </dsp:sp>
    <dsp:sp modelId="{1E80E7CE-CBDB-48ED-902A-6773A35869CF}">
      <dsp:nvSpPr>
        <dsp:cNvPr id="0" name=""/>
        <dsp:cNvSpPr/>
      </dsp:nvSpPr>
      <dsp:spPr>
        <a:xfrm>
          <a:off x="3302892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FAO TOLIER</a:t>
          </a:r>
        </a:p>
      </dsp:txBody>
      <dsp:txXfrm>
        <a:off x="3302892" y="5332707"/>
        <a:ext cx="1500773" cy="900464"/>
      </dsp:txXfrm>
    </dsp:sp>
    <dsp:sp modelId="{30E66406-052C-4C84-9BB4-9B14C7567F75}">
      <dsp:nvSpPr>
        <dsp:cNvPr id="0" name=""/>
        <dsp:cNvSpPr/>
      </dsp:nvSpPr>
      <dsp:spPr>
        <a:xfrm>
          <a:off x="4953743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BERNARD PNEU</a:t>
          </a:r>
        </a:p>
      </dsp:txBody>
      <dsp:txXfrm>
        <a:off x="4953743" y="5332707"/>
        <a:ext cx="1500773" cy="900464"/>
      </dsp:txXfrm>
    </dsp:sp>
    <dsp:sp modelId="{F714B1CD-B9BA-40A1-B040-62C30FC37758}">
      <dsp:nvSpPr>
        <dsp:cNvPr id="0" name=""/>
        <dsp:cNvSpPr/>
      </dsp:nvSpPr>
      <dsp:spPr>
        <a:xfrm>
          <a:off x="6604594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DIVERS </a:t>
          </a:r>
        </a:p>
      </dsp:txBody>
      <dsp:txXfrm>
        <a:off x="6604594" y="5332707"/>
        <a:ext cx="1500773" cy="900464"/>
      </dsp:txXfrm>
    </dsp:sp>
    <dsp:sp modelId="{ADFDF15E-839F-415C-9516-6DD93449C394}">
      <dsp:nvSpPr>
        <dsp:cNvPr id="0" name=""/>
        <dsp:cNvSpPr/>
      </dsp:nvSpPr>
      <dsp:spPr>
        <a:xfrm>
          <a:off x="8255445" y="5332707"/>
          <a:ext cx="1500773" cy="9004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>
          <a:outerShdw blurRad="44450" dist="27940" dir="5400000" algn="ctr" rotWithShape="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fr-FR" sz="1800" b="1" kern="1200"/>
        </a:p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fr-FR" sz="1800" b="1" kern="1200"/>
        </a:p>
      </dsp:txBody>
      <dsp:txXfrm>
        <a:off x="8255445" y="5332707"/>
        <a:ext cx="1500773" cy="90046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hyperlink" Target="#REPORTING!A1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8.xml.rels><?xml version="1.0" encoding="UTF-8" standalone="yes"?>
<Relationships xmlns="http://schemas.openxmlformats.org/package/2006/relationships"><Relationship Id="rId13" Type="http://schemas.openxmlformats.org/officeDocument/2006/relationships/hyperlink" Target="#'ROULEMENT MONDIAL'!A1"/><Relationship Id="rId18" Type="http://schemas.openxmlformats.org/officeDocument/2006/relationships/hyperlink" Target="#'ABASS KANSSA'!A1"/><Relationship Id="rId26" Type="http://schemas.openxmlformats.org/officeDocument/2006/relationships/hyperlink" Target="#'HASSAN SALAMAN'!A1"/><Relationship Id="rId3" Type="http://schemas.openxmlformats.org/officeDocument/2006/relationships/hyperlink" Target="#CHINOIS!A1"/><Relationship Id="rId21" Type="http://schemas.openxmlformats.org/officeDocument/2006/relationships/hyperlink" Target="#IRA!A1"/><Relationship Id="rId34" Type="http://schemas.openxmlformats.org/officeDocument/2006/relationships/hyperlink" Target="#'FAO TOLIER'!A1"/><Relationship Id="rId7" Type="http://schemas.openxmlformats.org/officeDocument/2006/relationships/hyperlink" Target="#'MOHAMED ZALZALE'!A1"/><Relationship Id="rId12" Type="http://schemas.openxmlformats.org/officeDocument/2006/relationships/hyperlink" Target="#'ABASS BOUGI'!A1"/><Relationship Id="rId17" Type="http://schemas.openxmlformats.org/officeDocument/2006/relationships/hyperlink" Target="#SOLO!A1"/><Relationship Id="rId25" Type="http://schemas.openxmlformats.org/officeDocument/2006/relationships/hyperlink" Target="#'CFAO MOBILITY '!A1"/><Relationship Id="rId33" Type="http://schemas.openxmlformats.org/officeDocument/2006/relationships/hyperlink" Target="#BAKAYOKO!A1"/><Relationship Id="rId2" Type="http://schemas.openxmlformats.org/officeDocument/2006/relationships/hyperlink" Target="#'MAHMOUD CHAALAN'!A1"/><Relationship Id="rId16" Type="http://schemas.openxmlformats.org/officeDocument/2006/relationships/hyperlink" Target="#VICTOR!A1"/><Relationship Id="rId20" Type="http://schemas.openxmlformats.org/officeDocument/2006/relationships/hyperlink" Target="#'AHMAD WESLAKE'!A1"/><Relationship Id="rId29" Type="http://schemas.openxmlformats.org/officeDocument/2006/relationships/hyperlink" Target="#'VINOD GRAISSE '!A1"/><Relationship Id="rId1" Type="http://schemas.openxmlformats.org/officeDocument/2006/relationships/hyperlink" Target="#TABLEAU!A1"/><Relationship Id="rId6" Type="http://schemas.openxmlformats.org/officeDocument/2006/relationships/hyperlink" Target="#'GEDIS '!A1"/><Relationship Id="rId11" Type="http://schemas.openxmlformats.org/officeDocument/2006/relationships/hyperlink" Target="#KABALANE!A1"/><Relationship Id="rId24" Type="http://schemas.openxmlformats.org/officeDocument/2006/relationships/hyperlink" Target="#'AKHIL DAHER '!A1"/><Relationship Id="rId32" Type="http://schemas.openxmlformats.org/officeDocument/2006/relationships/hyperlink" Target="#'JOSEPH &amp; CHARBEL'!A1"/><Relationship Id="rId5" Type="http://schemas.openxmlformats.org/officeDocument/2006/relationships/hyperlink" Target="#'MOUSTAPHA FAWAZ'!A1"/><Relationship Id="rId15" Type="http://schemas.openxmlformats.org/officeDocument/2006/relationships/hyperlink" Target="#'HASSAN KAFARANI'!A1"/><Relationship Id="rId23" Type="http://schemas.openxmlformats.org/officeDocument/2006/relationships/hyperlink" Target="#'LIQUI MOLY'!A1"/><Relationship Id="rId28" Type="http://schemas.openxmlformats.org/officeDocument/2006/relationships/hyperlink" Target="#MAHMOUD!A1"/><Relationship Id="rId36" Type="http://schemas.openxmlformats.org/officeDocument/2006/relationships/hyperlink" Target="#DIVERS!A1"/><Relationship Id="rId10" Type="http://schemas.openxmlformats.org/officeDocument/2006/relationships/hyperlink" Target="#NABILCO!A1"/><Relationship Id="rId19" Type="http://schemas.openxmlformats.org/officeDocument/2006/relationships/hyperlink" Target="#'SAKO '!A1"/><Relationship Id="rId31" Type="http://schemas.openxmlformats.org/officeDocument/2006/relationships/hyperlink" Target="#'EXIM-IMPEX'!A1"/><Relationship Id="rId4" Type="http://schemas.openxmlformats.org/officeDocument/2006/relationships/hyperlink" Target="#'SUNSTEEL - KEVIN'!A1"/><Relationship Id="rId9" Type="http://schemas.openxmlformats.org/officeDocument/2006/relationships/hyperlink" Target="#DUNLOP!A1"/><Relationship Id="rId14" Type="http://schemas.openxmlformats.org/officeDocument/2006/relationships/hyperlink" Target="#CACOMIAF!A1"/><Relationship Id="rId22" Type="http://schemas.openxmlformats.org/officeDocument/2006/relationships/hyperlink" Target="#'GGN PLAQUETTE'!A1"/><Relationship Id="rId27" Type="http://schemas.openxmlformats.org/officeDocument/2006/relationships/hyperlink" Target="#'SPRIINT-TECH - BOSCH'!A1"/><Relationship Id="rId30" Type="http://schemas.openxmlformats.org/officeDocument/2006/relationships/hyperlink" Target="#'ABASS FARESS'!A1"/><Relationship Id="rId35" Type="http://schemas.openxmlformats.org/officeDocument/2006/relationships/hyperlink" Target="#'BENARD PNEU'!A1"/><Relationship Id="rId8" Type="http://schemas.openxmlformats.org/officeDocument/2006/relationships/hyperlink" Target="#'AUTO ROY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0</xdr:row>
      <xdr:rowOff>60960</xdr:rowOff>
    </xdr:from>
    <xdr:to>
      <xdr:col>12</xdr:col>
      <xdr:colOff>289560</xdr:colOff>
      <xdr:row>2</xdr:row>
      <xdr:rowOff>152400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F1DB22-C951-6033-EE6F-64D5F8486E0C}"/>
            </a:ext>
          </a:extLst>
        </xdr:cNvPr>
        <xdr:cNvSpPr/>
      </xdr:nvSpPr>
      <xdr:spPr>
        <a:xfrm>
          <a:off x="7597140" y="60960"/>
          <a:ext cx="2202180" cy="4572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VOIR</a:t>
          </a:r>
          <a:r>
            <a:rPr lang="fr-FR" sz="2000" baseline="0"/>
            <a:t> REPORTING</a:t>
          </a:r>
          <a:endParaRPr lang="fr-FR" sz="2000"/>
        </a:p>
      </xdr:txBody>
    </xdr:sp>
    <xdr:clientData/>
  </xdr:twoCellAnchor>
  <xdr:twoCellAnchor>
    <xdr:from>
      <xdr:col>0</xdr:col>
      <xdr:colOff>15240</xdr:colOff>
      <xdr:row>0</xdr:row>
      <xdr:rowOff>68580</xdr:rowOff>
    </xdr:from>
    <xdr:to>
      <xdr:col>9</xdr:col>
      <xdr:colOff>388620</xdr:colOff>
      <xdr:row>2</xdr:row>
      <xdr:rowOff>160020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D13692C-1F57-60E8-C7EB-1D1FE5493120}"/>
            </a:ext>
          </a:extLst>
        </xdr:cNvPr>
        <xdr:cNvSpPr/>
      </xdr:nvSpPr>
      <xdr:spPr>
        <a:xfrm>
          <a:off x="15240" y="68580"/>
          <a:ext cx="7505700" cy="457200"/>
        </a:xfrm>
        <a:prstGeom prst="rect">
          <a:avLst/>
        </a:prstGeom>
        <a:solidFill>
          <a:srgbClr val="FF00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400" b="1"/>
            <a:t>SUIVI  FOURNISSEUR</a:t>
          </a:r>
          <a:r>
            <a:rPr lang="fr-FR" sz="2400" b="1" baseline="0"/>
            <a:t> PBD</a:t>
          </a:r>
          <a:endParaRPr lang="fr-FR" sz="2400" b="1"/>
        </a:p>
      </xdr:txBody>
    </xdr:sp>
    <xdr:clientData/>
  </xdr:twoCellAnchor>
  <xdr:twoCellAnchor>
    <xdr:from>
      <xdr:col>0</xdr:col>
      <xdr:colOff>0</xdr:colOff>
      <xdr:row>4</xdr:row>
      <xdr:rowOff>9524</xdr:rowOff>
    </xdr:from>
    <xdr:to>
      <xdr:col>12</xdr:col>
      <xdr:colOff>247650</xdr:colOff>
      <xdr:row>38</xdr:row>
      <xdr:rowOff>104775</xdr:rowOff>
    </xdr:to>
    <xdr:graphicFrame macro="">
      <xdr:nvGraphicFramePr>
        <xdr:cNvPr id="7" name="Diagramme 6">
          <a:extLst>
            <a:ext uri="{FF2B5EF4-FFF2-40B4-BE49-F238E27FC236}">
              <a16:creationId xmlns:a16="http://schemas.microsoft.com/office/drawing/2014/main" id="{692CCB6D-C5AE-4AA3-9111-386D747EE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956163"/>
          <a:ext cx="1442357" cy="73664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1967593"/>
          <a:ext cx="1442357" cy="72902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40182</xdr:colOff>
      <xdr:row>4</xdr:row>
      <xdr:rowOff>150798</xdr:rowOff>
    </xdr:from>
    <xdr:to>
      <xdr:col>0</xdr:col>
      <xdr:colOff>1156607</xdr:colOff>
      <xdr:row>6</xdr:row>
      <xdr:rowOff>54108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182" y="1851691"/>
          <a:ext cx="1116425" cy="73334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1483179"/>
          <a:ext cx="1442357" cy="7208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40182</xdr:colOff>
      <xdr:row>4</xdr:row>
      <xdr:rowOff>14727</xdr:rowOff>
    </xdr:from>
    <xdr:to>
      <xdr:col>0</xdr:col>
      <xdr:colOff>1279071</xdr:colOff>
      <xdr:row>7</xdr:row>
      <xdr:rowOff>13287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0182" y="1225763"/>
          <a:ext cx="1238889" cy="101909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147170</xdr:rowOff>
    </xdr:from>
    <xdr:to>
      <xdr:col>1</xdr:col>
      <xdr:colOff>31750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3789" y="1845795"/>
          <a:ext cx="1152711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85190</xdr:colOff>
      <xdr:row>4</xdr:row>
      <xdr:rowOff>167472</xdr:rowOff>
    </xdr:from>
    <xdr:to>
      <xdr:col>0</xdr:col>
      <xdr:colOff>1308379</xdr:colOff>
      <xdr:row>6</xdr:row>
      <xdr:rowOff>152498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85190" y="1863131"/>
          <a:ext cx="1223189" cy="82238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81003</xdr:colOff>
      <xdr:row>5</xdr:row>
      <xdr:rowOff>1120</xdr:rowOff>
    </xdr:from>
    <xdr:to>
      <xdr:col>0</xdr:col>
      <xdr:colOff>1049190</xdr:colOff>
      <xdr:row>6</xdr:row>
      <xdr:rowOff>108537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1003" y="1416263"/>
          <a:ext cx="968187" cy="5700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42583</xdr:colOff>
      <xdr:row>4</xdr:row>
      <xdr:rowOff>190500</xdr:rowOff>
    </xdr:from>
    <xdr:to>
      <xdr:col>0</xdr:col>
      <xdr:colOff>1131794</xdr:colOff>
      <xdr:row>6</xdr:row>
      <xdr:rowOff>161365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42583" y="1893794"/>
          <a:ext cx="1089211" cy="81130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212912</xdr:rowOff>
    </xdr:from>
    <xdr:to>
      <xdr:col>0</xdr:col>
      <xdr:colOff>1143000</xdr:colOff>
      <xdr:row>6</xdr:row>
      <xdr:rowOff>161365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3789" y="1916206"/>
          <a:ext cx="1089211" cy="7888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143995</xdr:rowOff>
    </xdr:from>
    <xdr:to>
      <xdr:col>0</xdr:col>
      <xdr:colOff>1143000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1159995"/>
          <a:ext cx="1143000" cy="1010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201706</xdr:rowOff>
    </xdr:from>
    <xdr:to>
      <xdr:col>0</xdr:col>
      <xdr:colOff>1131794</xdr:colOff>
      <xdr:row>6</xdr:row>
      <xdr:rowOff>150159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0" y="1905000"/>
          <a:ext cx="1131794" cy="7888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14727</xdr:rowOff>
    </xdr:from>
    <xdr:to>
      <xdr:col>0</xdr:col>
      <xdr:colOff>1224643</xdr:colOff>
      <xdr:row>7</xdr:row>
      <xdr:rowOff>13287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53789" y="1225763"/>
          <a:ext cx="1170854" cy="101909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398928</xdr:rowOff>
    </xdr:from>
    <xdr:to>
      <xdr:col>0</xdr:col>
      <xdr:colOff>1131794</xdr:colOff>
      <xdr:row>6</xdr:row>
      <xdr:rowOff>156883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0" y="1698810"/>
          <a:ext cx="1131794" cy="100180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179294</xdr:rowOff>
    </xdr:from>
    <xdr:to>
      <xdr:col>0</xdr:col>
      <xdr:colOff>1064559</xdr:colOff>
      <xdr:row>6</xdr:row>
      <xdr:rowOff>138953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1882588"/>
          <a:ext cx="1064559" cy="8001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73959</xdr:rowOff>
    </xdr:from>
    <xdr:to>
      <xdr:col>0</xdr:col>
      <xdr:colOff>1143000</xdr:colOff>
      <xdr:row>6</xdr:row>
      <xdr:rowOff>89647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0" y="1772584"/>
          <a:ext cx="1143000" cy="84118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20172</xdr:colOff>
      <xdr:row>4</xdr:row>
      <xdr:rowOff>6724</xdr:rowOff>
    </xdr:from>
    <xdr:to>
      <xdr:col>0</xdr:col>
      <xdr:colOff>1173480</xdr:colOff>
      <xdr:row>7</xdr:row>
      <xdr:rowOff>4483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0172" y="1698364"/>
          <a:ext cx="1153308" cy="103407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12968</xdr:colOff>
      <xdr:row>4</xdr:row>
      <xdr:rowOff>164406</xdr:rowOff>
    </xdr:from>
    <xdr:to>
      <xdr:col>0</xdr:col>
      <xdr:colOff>1333500</xdr:colOff>
      <xdr:row>6</xdr:row>
      <xdr:rowOff>67716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968" y="1863031"/>
          <a:ext cx="1320532" cy="72881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6164</xdr:colOff>
      <xdr:row>4</xdr:row>
      <xdr:rowOff>190500</xdr:rowOff>
    </xdr:from>
    <xdr:to>
      <xdr:col>1</xdr:col>
      <xdr:colOff>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6164" y="1889125"/>
          <a:ext cx="1168586" cy="7730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96370</xdr:rowOff>
    </xdr:from>
    <xdr:to>
      <xdr:col>1</xdr:col>
      <xdr:colOff>15875</xdr:colOff>
      <xdr:row>5</xdr:row>
      <xdr:rowOff>455519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0" y="1794995"/>
          <a:ext cx="1190625" cy="7242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63500</xdr:rowOff>
    </xdr:from>
    <xdr:to>
      <xdr:col>0</xdr:col>
      <xdr:colOff>1079500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0" y="1762125"/>
          <a:ext cx="1079500" cy="9000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117289</xdr:colOff>
      <xdr:row>4</xdr:row>
      <xdr:rowOff>147170</xdr:rowOff>
    </xdr:from>
    <xdr:to>
      <xdr:col>1</xdr:col>
      <xdr:colOff>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117289" y="1845795"/>
          <a:ext cx="1057461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228600</xdr:rowOff>
    </xdr:from>
    <xdr:to>
      <xdr:col>0</xdr:col>
      <xdr:colOff>1143000</xdr:colOff>
      <xdr:row>6</xdr:row>
      <xdr:rowOff>166594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0" y="1917700"/>
          <a:ext cx="1143000" cy="7761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58270</xdr:rowOff>
    </xdr:from>
    <xdr:to>
      <xdr:col>0</xdr:col>
      <xdr:colOff>1143000</xdr:colOff>
      <xdr:row>5</xdr:row>
      <xdr:rowOff>433294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1756895"/>
          <a:ext cx="1143000" cy="74014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203200</xdr:rowOff>
    </xdr:from>
    <xdr:to>
      <xdr:col>0</xdr:col>
      <xdr:colOff>1130300</xdr:colOff>
      <xdr:row>7</xdr:row>
      <xdr:rowOff>1494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0" y="1384300"/>
          <a:ext cx="1130300" cy="8142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  <a:endParaRPr lang="fr-FR" sz="14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147170</xdr:rowOff>
    </xdr:from>
    <xdr:to>
      <xdr:col>0</xdr:col>
      <xdr:colOff>1158875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1845795"/>
          <a:ext cx="1158875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2989</xdr:colOff>
      <xdr:row>4</xdr:row>
      <xdr:rowOff>147170</xdr:rowOff>
    </xdr:from>
    <xdr:to>
      <xdr:col>0</xdr:col>
      <xdr:colOff>1127125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2989" y="1845795"/>
          <a:ext cx="1124136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109070</xdr:rowOff>
    </xdr:from>
    <xdr:to>
      <xdr:col>0</xdr:col>
      <xdr:colOff>1254125</xdr:colOff>
      <xdr:row>6</xdr:row>
      <xdr:rowOff>14194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1807695"/>
          <a:ext cx="1254125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4</xdr:row>
      <xdr:rowOff>238125</xdr:rowOff>
    </xdr:from>
    <xdr:to>
      <xdr:col>0</xdr:col>
      <xdr:colOff>1158875</xdr:colOff>
      <xdr:row>6</xdr:row>
      <xdr:rowOff>128494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50800" y="1936750"/>
          <a:ext cx="1108075" cy="71586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0" y="1783773"/>
          <a:ext cx="1108364" cy="8824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117290</xdr:colOff>
      <xdr:row>4</xdr:row>
      <xdr:rowOff>174625</xdr:rowOff>
    </xdr:from>
    <xdr:to>
      <xdr:col>0</xdr:col>
      <xdr:colOff>1158876</xdr:colOff>
      <xdr:row>6</xdr:row>
      <xdr:rowOff>141194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117290" y="1873250"/>
          <a:ext cx="1041586" cy="79206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2989</xdr:colOff>
      <xdr:row>3</xdr:row>
      <xdr:rowOff>172570</xdr:rowOff>
    </xdr:from>
    <xdr:to>
      <xdr:col>0</xdr:col>
      <xdr:colOff>1181100</xdr:colOff>
      <xdr:row>6</xdr:row>
      <xdr:rowOff>76200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2989" y="1175870"/>
          <a:ext cx="1178111" cy="74183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261257</xdr:rowOff>
    </xdr:from>
    <xdr:to>
      <xdr:col>0</xdr:col>
      <xdr:colOff>1077686</xdr:colOff>
      <xdr:row>7</xdr:row>
      <xdr:rowOff>1494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53789" y="1937657"/>
          <a:ext cx="1023897" cy="7634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66489</xdr:colOff>
      <xdr:row>4</xdr:row>
      <xdr:rowOff>299570</xdr:rowOff>
    </xdr:from>
    <xdr:to>
      <xdr:col>0</xdr:col>
      <xdr:colOff>1034676</xdr:colOff>
      <xdr:row>6</xdr:row>
      <xdr:rowOff>26894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66489" y="1480670"/>
          <a:ext cx="968187" cy="5655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66489</xdr:colOff>
      <xdr:row>4</xdr:row>
      <xdr:rowOff>147170</xdr:rowOff>
    </xdr:from>
    <xdr:to>
      <xdr:col>0</xdr:col>
      <xdr:colOff>1168400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66489" y="1836270"/>
          <a:ext cx="1101911" cy="7433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109070</xdr:rowOff>
    </xdr:from>
    <xdr:to>
      <xdr:col>0</xdr:col>
      <xdr:colOff>1136276</xdr:colOff>
      <xdr:row>6</xdr:row>
      <xdr:rowOff>14194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0" y="1807695"/>
          <a:ext cx="1136276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134471</xdr:colOff>
      <xdr:row>0</xdr:row>
      <xdr:rowOff>1</xdr:rowOff>
    </xdr:from>
    <xdr:to>
      <xdr:col>0</xdr:col>
      <xdr:colOff>1104831</xdr:colOff>
      <xdr:row>1</xdr:row>
      <xdr:rowOff>168089</xdr:rowOff>
    </xdr:to>
    <xdr:sp macro="" textlink="">
      <xdr:nvSpPr>
        <xdr:cNvPr id="2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SpPr/>
      </xdr:nvSpPr>
      <xdr:spPr>
        <a:xfrm>
          <a:off x="134471" y="1"/>
          <a:ext cx="970360" cy="35858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  <xdr:twoCellAnchor>
    <xdr:from>
      <xdr:col>0</xdr:col>
      <xdr:colOff>58296</xdr:colOff>
      <xdr:row>5</xdr:row>
      <xdr:rowOff>96266</xdr:rowOff>
    </xdr:from>
    <xdr:to>
      <xdr:col>1</xdr:col>
      <xdr:colOff>0</xdr:colOff>
      <xdr:row>8</xdr:row>
      <xdr:rowOff>172766</xdr:rowOff>
    </xdr:to>
    <xdr:sp macro="" textlink="">
      <xdr:nvSpPr>
        <xdr:cNvPr id="54" name="Forme libre : forme 5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A2DE05-3B81-8F73-A6A2-F90199A305E9}"/>
            </a:ext>
          </a:extLst>
        </xdr:cNvPr>
        <xdr:cNvSpPr/>
      </xdr:nvSpPr>
      <xdr:spPr>
        <a:xfrm>
          <a:off x="58296" y="1772666"/>
          <a:ext cx="2589654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MAHMOUD CHAALAN</a:t>
          </a:r>
        </a:p>
      </xdr:txBody>
    </xdr:sp>
    <xdr:clientData/>
  </xdr:twoCellAnchor>
  <xdr:twoCellAnchor>
    <xdr:from>
      <xdr:col>1</xdr:col>
      <xdr:colOff>275664</xdr:colOff>
      <xdr:row>5</xdr:row>
      <xdr:rowOff>96266</xdr:rowOff>
    </xdr:from>
    <xdr:to>
      <xdr:col>2</xdr:col>
      <xdr:colOff>2533650</xdr:colOff>
      <xdr:row>8</xdr:row>
      <xdr:rowOff>172766</xdr:rowOff>
    </xdr:to>
    <xdr:sp macro="" textlink="">
      <xdr:nvSpPr>
        <xdr:cNvPr id="55" name="Forme libre : forme 5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7A862E-4F10-FBB1-7E1F-757A46C6484B}"/>
            </a:ext>
          </a:extLst>
        </xdr:cNvPr>
        <xdr:cNvSpPr/>
      </xdr:nvSpPr>
      <xdr:spPr>
        <a:xfrm>
          <a:off x="2923614" y="1772666"/>
          <a:ext cx="2581836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CHINOIS</a:t>
          </a:r>
        </a:p>
      </xdr:txBody>
    </xdr:sp>
    <xdr:clientData/>
  </xdr:twoCellAnchor>
  <xdr:twoCellAnchor>
    <xdr:from>
      <xdr:col>4</xdr:col>
      <xdr:colOff>92982</xdr:colOff>
      <xdr:row>5</xdr:row>
      <xdr:rowOff>96266</xdr:rowOff>
    </xdr:from>
    <xdr:to>
      <xdr:col>4</xdr:col>
      <xdr:colOff>2571750</xdr:colOff>
      <xdr:row>8</xdr:row>
      <xdr:rowOff>172766</xdr:rowOff>
    </xdr:to>
    <xdr:sp macro="" textlink="">
      <xdr:nvSpPr>
        <xdr:cNvPr id="56" name="Forme libre : forme 5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0674B1-05C5-1241-2A08-575D91895C02}"/>
            </a:ext>
          </a:extLst>
        </xdr:cNvPr>
        <xdr:cNvSpPr/>
      </xdr:nvSpPr>
      <xdr:spPr>
        <a:xfrm>
          <a:off x="6055632" y="1772666"/>
          <a:ext cx="2478768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SUSTEEL-KEVIN</a:t>
          </a:r>
        </a:p>
      </xdr:txBody>
    </xdr:sp>
    <xdr:clientData/>
  </xdr:twoCellAnchor>
  <xdr:twoCellAnchor>
    <xdr:from>
      <xdr:col>5</xdr:col>
      <xdr:colOff>481800</xdr:colOff>
      <xdr:row>5</xdr:row>
      <xdr:rowOff>96266</xdr:rowOff>
    </xdr:from>
    <xdr:to>
      <xdr:col>6</xdr:col>
      <xdr:colOff>2686050</xdr:colOff>
      <xdr:row>8</xdr:row>
      <xdr:rowOff>172766</xdr:rowOff>
    </xdr:to>
    <xdr:sp macro="" textlink="">
      <xdr:nvSpPr>
        <xdr:cNvPr id="57" name="Forme libre : forme 5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704694-3C90-4333-D992-0B238FAA126A}"/>
            </a:ext>
          </a:extLst>
        </xdr:cNvPr>
        <xdr:cNvSpPr/>
      </xdr:nvSpPr>
      <xdr:spPr>
        <a:xfrm>
          <a:off x="9035250" y="1772666"/>
          <a:ext cx="2699550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MOUSTAPHA FAWAZ</a:t>
          </a:r>
        </a:p>
      </xdr:txBody>
    </xdr:sp>
    <xdr:clientData/>
  </xdr:twoCellAnchor>
  <xdr:twoCellAnchor>
    <xdr:from>
      <xdr:col>7</xdr:col>
      <xdr:colOff>337218</xdr:colOff>
      <xdr:row>5</xdr:row>
      <xdr:rowOff>96266</xdr:rowOff>
    </xdr:from>
    <xdr:to>
      <xdr:col>8</xdr:col>
      <xdr:colOff>2705100</xdr:colOff>
      <xdr:row>8</xdr:row>
      <xdr:rowOff>172766</xdr:rowOff>
    </xdr:to>
    <xdr:sp macro="" textlink="">
      <xdr:nvSpPr>
        <xdr:cNvPr id="58" name="Forme libre : forme 5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AAD598-31E8-F4CD-FE51-66F70FAB89D2}"/>
            </a:ext>
          </a:extLst>
        </xdr:cNvPr>
        <xdr:cNvSpPr/>
      </xdr:nvSpPr>
      <xdr:spPr>
        <a:xfrm>
          <a:off x="12129168" y="1772666"/>
          <a:ext cx="2729832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GEDIS </a:t>
          </a:r>
        </a:p>
      </xdr:txBody>
    </xdr:sp>
    <xdr:clientData/>
  </xdr:twoCellAnchor>
  <xdr:twoCellAnchor>
    <xdr:from>
      <xdr:col>9</xdr:col>
      <xdr:colOff>306936</xdr:colOff>
      <xdr:row>5</xdr:row>
      <xdr:rowOff>96266</xdr:rowOff>
    </xdr:from>
    <xdr:to>
      <xdr:col>10</xdr:col>
      <xdr:colOff>2686049</xdr:colOff>
      <xdr:row>8</xdr:row>
      <xdr:rowOff>172766</xdr:rowOff>
    </xdr:to>
    <xdr:sp macro="" textlink="">
      <xdr:nvSpPr>
        <xdr:cNvPr id="59" name="Forme libre : forme 5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C7B40D-4B99-EEB1-80A5-9CD55B723AE7}"/>
            </a:ext>
          </a:extLst>
        </xdr:cNvPr>
        <xdr:cNvSpPr/>
      </xdr:nvSpPr>
      <xdr:spPr>
        <a:xfrm>
          <a:off x="15204036" y="1772666"/>
          <a:ext cx="2741063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0" kern="1200"/>
            <a:t>MOHAMED</a:t>
          </a:r>
          <a:r>
            <a:rPr lang="fr-FR" sz="1800" b="1" kern="1200"/>
            <a:t> ZALZALE </a:t>
          </a:r>
        </a:p>
      </xdr:txBody>
    </xdr:sp>
    <xdr:clientData/>
  </xdr:twoCellAnchor>
  <xdr:twoCellAnchor>
    <xdr:from>
      <xdr:col>12</xdr:col>
      <xdr:colOff>1146</xdr:colOff>
      <xdr:row>5</xdr:row>
      <xdr:rowOff>96266</xdr:rowOff>
    </xdr:from>
    <xdr:to>
      <xdr:col>12</xdr:col>
      <xdr:colOff>2457450</xdr:colOff>
      <xdr:row>8</xdr:row>
      <xdr:rowOff>172766</xdr:rowOff>
    </xdr:to>
    <xdr:sp macro="" textlink="">
      <xdr:nvSpPr>
        <xdr:cNvPr id="60" name="Forme libre : forme 5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AB9FE16-53EB-46EF-EB48-318DCDC6E1FF}"/>
            </a:ext>
          </a:extLst>
        </xdr:cNvPr>
        <xdr:cNvSpPr/>
      </xdr:nvSpPr>
      <xdr:spPr>
        <a:xfrm>
          <a:off x="18384396" y="1772666"/>
          <a:ext cx="2456304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AUTO ROY</a:t>
          </a:r>
        </a:p>
      </xdr:txBody>
    </xdr:sp>
    <xdr:clientData/>
  </xdr:twoCellAnchor>
  <xdr:twoCellAnchor>
    <xdr:from>
      <xdr:col>13</xdr:col>
      <xdr:colOff>370914</xdr:colOff>
      <xdr:row>5</xdr:row>
      <xdr:rowOff>96266</xdr:rowOff>
    </xdr:from>
    <xdr:to>
      <xdr:col>14</xdr:col>
      <xdr:colOff>2476500</xdr:colOff>
      <xdr:row>8</xdr:row>
      <xdr:rowOff>172766</xdr:rowOff>
    </xdr:to>
    <xdr:sp macro="" textlink="">
      <xdr:nvSpPr>
        <xdr:cNvPr id="61" name="Forme libre : forme 6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70396B-3084-A9CF-DE4C-C13D8DA41BF3}"/>
            </a:ext>
          </a:extLst>
        </xdr:cNvPr>
        <xdr:cNvSpPr/>
      </xdr:nvSpPr>
      <xdr:spPr>
        <a:xfrm>
          <a:off x="21268764" y="1772666"/>
          <a:ext cx="2486586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DUNLOP</a:t>
          </a:r>
        </a:p>
      </xdr:txBody>
    </xdr:sp>
    <xdr:clientData/>
  </xdr:twoCellAnchor>
  <xdr:twoCellAnchor>
    <xdr:from>
      <xdr:col>15</xdr:col>
      <xdr:colOff>350157</xdr:colOff>
      <xdr:row>5</xdr:row>
      <xdr:rowOff>96266</xdr:rowOff>
    </xdr:from>
    <xdr:to>
      <xdr:col>17</xdr:col>
      <xdr:colOff>342900</xdr:colOff>
      <xdr:row>8</xdr:row>
      <xdr:rowOff>172766</xdr:rowOff>
    </xdr:to>
    <xdr:sp macro="" textlink="">
      <xdr:nvSpPr>
        <xdr:cNvPr id="62" name="Forme libre : forme 6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CEDC94-5493-E26F-506C-F643CD36C0CC}"/>
            </a:ext>
          </a:extLst>
        </xdr:cNvPr>
        <xdr:cNvSpPr/>
      </xdr:nvSpPr>
      <xdr:spPr>
        <a:xfrm>
          <a:off x="24143607" y="1772666"/>
          <a:ext cx="2945493" cy="648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NABILCO </a:t>
          </a:r>
        </a:p>
      </xdr:txBody>
    </xdr:sp>
    <xdr:clientData/>
  </xdr:twoCellAnchor>
  <xdr:twoCellAnchor>
    <xdr:from>
      <xdr:col>0</xdr:col>
      <xdr:colOff>0</xdr:colOff>
      <xdr:row>12</xdr:row>
      <xdr:rowOff>116829</xdr:rowOff>
    </xdr:from>
    <xdr:to>
      <xdr:col>0</xdr:col>
      <xdr:colOff>2609850</xdr:colOff>
      <xdr:row>14</xdr:row>
      <xdr:rowOff>239829</xdr:rowOff>
    </xdr:to>
    <xdr:sp macro="" textlink="">
      <xdr:nvSpPr>
        <xdr:cNvPr id="63" name="Forme libre : forme 6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0ECD13-A8E7-B428-338E-3E18C946A7B7}"/>
            </a:ext>
          </a:extLst>
        </xdr:cNvPr>
        <xdr:cNvSpPr/>
      </xdr:nvSpPr>
      <xdr:spPr>
        <a:xfrm>
          <a:off x="0" y="3241029"/>
          <a:ext cx="2609850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KABALANE</a:t>
          </a:r>
        </a:p>
      </xdr:txBody>
    </xdr:sp>
    <xdr:clientData/>
  </xdr:twoCellAnchor>
  <xdr:twoCellAnchor>
    <xdr:from>
      <xdr:col>2</xdr:col>
      <xdr:colOff>32418</xdr:colOff>
      <xdr:row>12</xdr:row>
      <xdr:rowOff>116829</xdr:rowOff>
    </xdr:from>
    <xdr:to>
      <xdr:col>3</xdr:col>
      <xdr:colOff>76200</xdr:colOff>
      <xdr:row>14</xdr:row>
      <xdr:rowOff>239829</xdr:rowOff>
    </xdr:to>
    <xdr:sp macro="" textlink="">
      <xdr:nvSpPr>
        <xdr:cNvPr id="64" name="Forme libre : forme 6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43AB7B-B606-03AA-4F6F-30152D63C7EB}"/>
            </a:ext>
          </a:extLst>
        </xdr:cNvPr>
        <xdr:cNvSpPr/>
      </xdr:nvSpPr>
      <xdr:spPr>
        <a:xfrm>
          <a:off x="3004218" y="3241029"/>
          <a:ext cx="2634582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ABASS BOURGI</a:t>
          </a:r>
        </a:p>
      </xdr:txBody>
    </xdr:sp>
    <xdr:clientData/>
  </xdr:twoCellAnchor>
  <xdr:twoCellAnchor>
    <xdr:from>
      <xdr:col>3</xdr:col>
      <xdr:colOff>383136</xdr:colOff>
      <xdr:row>12</xdr:row>
      <xdr:rowOff>116829</xdr:rowOff>
    </xdr:from>
    <xdr:to>
      <xdr:col>5</xdr:col>
      <xdr:colOff>38099</xdr:colOff>
      <xdr:row>14</xdr:row>
      <xdr:rowOff>239829</xdr:rowOff>
    </xdr:to>
    <xdr:sp macro="" textlink="">
      <xdr:nvSpPr>
        <xdr:cNvPr id="65" name="Forme libre : forme 6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F62305-425E-0BFF-77D3-CC58168126D1}"/>
            </a:ext>
          </a:extLst>
        </xdr:cNvPr>
        <xdr:cNvSpPr/>
      </xdr:nvSpPr>
      <xdr:spPr>
        <a:xfrm>
          <a:off x="5945736" y="3241029"/>
          <a:ext cx="2645813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ROULEMENT MONDIAL </a:t>
          </a:r>
        </a:p>
      </xdr:txBody>
    </xdr:sp>
    <xdr:clientData/>
  </xdr:twoCellAnchor>
  <xdr:twoCellAnchor>
    <xdr:from>
      <xdr:col>5</xdr:col>
      <xdr:colOff>477396</xdr:colOff>
      <xdr:row>12</xdr:row>
      <xdr:rowOff>116829</xdr:rowOff>
    </xdr:from>
    <xdr:to>
      <xdr:col>6</xdr:col>
      <xdr:colOff>2724150</xdr:colOff>
      <xdr:row>14</xdr:row>
      <xdr:rowOff>239829</xdr:rowOff>
    </xdr:to>
    <xdr:sp macro="" textlink="">
      <xdr:nvSpPr>
        <xdr:cNvPr id="66" name="Forme libre : forme 6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CB8EA70-6979-CEA3-2A40-77C8E371D34C}"/>
            </a:ext>
          </a:extLst>
        </xdr:cNvPr>
        <xdr:cNvSpPr/>
      </xdr:nvSpPr>
      <xdr:spPr>
        <a:xfrm>
          <a:off x="9030846" y="3241029"/>
          <a:ext cx="2742054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CACOMIAF</a:t>
          </a:r>
        </a:p>
      </xdr:txBody>
    </xdr:sp>
    <xdr:clientData/>
  </xdr:twoCellAnchor>
  <xdr:twoCellAnchor>
    <xdr:from>
      <xdr:col>7</xdr:col>
      <xdr:colOff>332814</xdr:colOff>
      <xdr:row>12</xdr:row>
      <xdr:rowOff>116829</xdr:rowOff>
    </xdr:from>
    <xdr:to>
      <xdr:col>9</xdr:col>
      <xdr:colOff>0</xdr:colOff>
      <xdr:row>14</xdr:row>
      <xdr:rowOff>239829</xdr:rowOff>
    </xdr:to>
    <xdr:sp macro="" textlink="">
      <xdr:nvSpPr>
        <xdr:cNvPr id="67" name="Forme libre : forme 6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00D550A-502D-651C-3EED-7CBE15DC4D09}"/>
            </a:ext>
          </a:extLst>
        </xdr:cNvPr>
        <xdr:cNvSpPr/>
      </xdr:nvSpPr>
      <xdr:spPr>
        <a:xfrm>
          <a:off x="12124764" y="3241029"/>
          <a:ext cx="2772336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HASSAN KAFARANI</a:t>
          </a:r>
        </a:p>
      </xdr:txBody>
    </xdr:sp>
    <xdr:clientData/>
  </xdr:twoCellAnchor>
  <xdr:twoCellAnchor>
    <xdr:from>
      <xdr:col>9</xdr:col>
      <xdr:colOff>359682</xdr:colOff>
      <xdr:row>12</xdr:row>
      <xdr:rowOff>116829</xdr:rowOff>
    </xdr:from>
    <xdr:to>
      <xdr:col>11</xdr:col>
      <xdr:colOff>76200</xdr:colOff>
      <xdr:row>14</xdr:row>
      <xdr:rowOff>239829</xdr:rowOff>
    </xdr:to>
    <xdr:sp macro="" textlink="">
      <xdr:nvSpPr>
        <xdr:cNvPr id="68" name="Forme libre : forme 6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5BF9BA-6D35-032E-2B43-60A27F9063F8}"/>
            </a:ext>
          </a:extLst>
        </xdr:cNvPr>
        <xdr:cNvSpPr/>
      </xdr:nvSpPr>
      <xdr:spPr>
        <a:xfrm>
          <a:off x="15256782" y="3241029"/>
          <a:ext cx="2821668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VICTOR</a:t>
          </a:r>
        </a:p>
      </xdr:txBody>
    </xdr:sp>
    <xdr:clientData/>
  </xdr:twoCellAnchor>
  <xdr:twoCellAnchor>
    <xdr:from>
      <xdr:col>12</xdr:col>
      <xdr:colOff>5550</xdr:colOff>
      <xdr:row>12</xdr:row>
      <xdr:rowOff>116829</xdr:rowOff>
    </xdr:from>
    <xdr:to>
      <xdr:col>13</xdr:col>
      <xdr:colOff>38100</xdr:colOff>
      <xdr:row>14</xdr:row>
      <xdr:rowOff>239829</xdr:rowOff>
    </xdr:to>
    <xdr:sp macro="" textlink="">
      <xdr:nvSpPr>
        <xdr:cNvPr id="69" name="Forme libre : forme 6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5D6CE05-10F1-4611-9278-F565D31DBC8D}"/>
            </a:ext>
          </a:extLst>
        </xdr:cNvPr>
        <xdr:cNvSpPr/>
      </xdr:nvSpPr>
      <xdr:spPr>
        <a:xfrm>
          <a:off x="18388800" y="3241029"/>
          <a:ext cx="2547150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SOLO</a:t>
          </a:r>
        </a:p>
      </xdr:txBody>
    </xdr:sp>
    <xdr:clientData/>
  </xdr:twoCellAnchor>
  <xdr:twoCellAnchor>
    <xdr:from>
      <xdr:col>13</xdr:col>
      <xdr:colOff>356268</xdr:colOff>
      <xdr:row>12</xdr:row>
      <xdr:rowOff>116829</xdr:rowOff>
    </xdr:from>
    <xdr:to>
      <xdr:col>14</xdr:col>
      <xdr:colOff>2495550</xdr:colOff>
      <xdr:row>14</xdr:row>
      <xdr:rowOff>239829</xdr:rowOff>
    </xdr:to>
    <xdr:sp macro="" textlink="">
      <xdr:nvSpPr>
        <xdr:cNvPr id="70" name="Forme libre : forme 6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54261B9-7511-585B-D324-F1026A42EFAD}"/>
            </a:ext>
          </a:extLst>
        </xdr:cNvPr>
        <xdr:cNvSpPr/>
      </xdr:nvSpPr>
      <xdr:spPr>
        <a:xfrm>
          <a:off x="21254118" y="3241029"/>
          <a:ext cx="2520282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ABASS KANSA</a:t>
          </a:r>
        </a:p>
      </xdr:txBody>
    </xdr:sp>
    <xdr:clientData/>
  </xdr:twoCellAnchor>
  <xdr:twoCellAnchor>
    <xdr:from>
      <xdr:col>16</xdr:col>
      <xdr:colOff>21186</xdr:colOff>
      <xdr:row>12</xdr:row>
      <xdr:rowOff>116829</xdr:rowOff>
    </xdr:from>
    <xdr:to>
      <xdr:col>17</xdr:col>
      <xdr:colOff>382639</xdr:colOff>
      <xdr:row>14</xdr:row>
      <xdr:rowOff>239829</xdr:rowOff>
    </xdr:to>
    <xdr:sp macro="" textlink="">
      <xdr:nvSpPr>
        <xdr:cNvPr id="71" name="Forme libre : forme 7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A6499AA-9B41-A84B-8D59-FAD6F4066D05}"/>
            </a:ext>
          </a:extLst>
        </xdr:cNvPr>
        <xdr:cNvSpPr/>
      </xdr:nvSpPr>
      <xdr:spPr>
        <a:xfrm>
          <a:off x="24176586" y="3241029"/>
          <a:ext cx="2952253" cy="504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SAKO</a:t>
          </a:r>
        </a:p>
      </xdr:txBody>
    </xdr:sp>
    <xdr:clientData/>
  </xdr:twoCellAnchor>
  <xdr:twoCellAnchor>
    <xdr:from>
      <xdr:col>0</xdr:col>
      <xdr:colOff>1146</xdr:colOff>
      <xdr:row>17</xdr:row>
      <xdr:rowOff>138901</xdr:rowOff>
    </xdr:from>
    <xdr:to>
      <xdr:col>0</xdr:col>
      <xdr:colOff>2632314</xdr:colOff>
      <xdr:row>20</xdr:row>
      <xdr:rowOff>143401</xdr:rowOff>
    </xdr:to>
    <xdr:sp macro="" textlink="">
      <xdr:nvSpPr>
        <xdr:cNvPr id="72" name="Forme libre : forme 7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4D7585E-6964-CD84-E020-7EC31DCAF54A}"/>
            </a:ext>
          </a:extLst>
        </xdr:cNvPr>
        <xdr:cNvSpPr/>
      </xdr:nvSpPr>
      <xdr:spPr>
        <a:xfrm>
          <a:off x="1146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HAMAD WESLAKE </a:t>
          </a:r>
        </a:p>
      </xdr:txBody>
    </xdr:sp>
    <xdr:clientData/>
  </xdr:twoCellAnchor>
  <xdr:twoCellAnchor>
    <xdr:from>
      <xdr:col>2</xdr:col>
      <xdr:colOff>47064</xdr:colOff>
      <xdr:row>17</xdr:row>
      <xdr:rowOff>138901</xdr:rowOff>
    </xdr:from>
    <xdr:to>
      <xdr:col>3</xdr:col>
      <xdr:colOff>87432</xdr:colOff>
      <xdr:row>20</xdr:row>
      <xdr:rowOff>143401</xdr:rowOff>
    </xdr:to>
    <xdr:sp macro="" textlink="">
      <xdr:nvSpPr>
        <xdr:cNvPr id="73" name="Forme libre : forme 7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225AB93-7C98-9D2C-E636-31554F9CFCAC}"/>
            </a:ext>
          </a:extLst>
        </xdr:cNvPr>
        <xdr:cNvSpPr/>
      </xdr:nvSpPr>
      <xdr:spPr>
        <a:xfrm>
          <a:off x="3018864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IRA</a:t>
          </a:r>
        </a:p>
      </xdr:txBody>
    </xdr:sp>
    <xdr:clientData/>
  </xdr:twoCellAnchor>
  <xdr:twoCellAnchor>
    <xdr:from>
      <xdr:col>4</xdr:col>
      <xdr:colOff>16782</xdr:colOff>
      <xdr:row>17</xdr:row>
      <xdr:rowOff>138901</xdr:rowOff>
    </xdr:from>
    <xdr:to>
      <xdr:col>5</xdr:col>
      <xdr:colOff>57150</xdr:colOff>
      <xdr:row>20</xdr:row>
      <xdr:rowOff>143401</xdr:rowOff>
    </xdr:to>
    <xdr:sp macro="" textlink="">
      <xdr:nvSpPr>
        <xdr:cNvPr id="74" name="Forme libre : forme 7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30AF1CDE-BF5A-83F0-B561-2D1382CEC03F}"/>
            </a:ext>
          </a:extLst>
        </xdr:cNvPr>
        <xdr:cNvSpPr/>
      </xdr:nvSpPr>
      <xdr:spPr>
        <a:xfrm>
          <a:off x="5979432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GN PLAQUETTE </a:t>
          </a:r>
        </a:p>
      </xdr:txBody>
    </xdr:sp>
    <xdr:clientData/>
  </xdr:twoCellAnchor>
  <xdr:twoCellAnchor>
    <xdr:from>
      <xdr:col>6</xdr:col>
      <xdr:colOff>43650</xdr:colOff>
      <xdr:row>17</xdr:row>
      <xdr:rowOff>100801</xdr:rowOff>
    </xdr:from>
    <xdr:to>
      <xdr:col>6</xdr:col>
      <xdr:colOff>2674818</xdr:colOff>
      <xdr:row>20</xdr:row>
      <xdr:rowOff>105301</xdr:rowOff>
    </xdr:to>
    <xdr:sp macro="" textlink="">
      <xdr:nvSpPr>
        <xdr:cNvPr id="75" name="Forme libre : forme 7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4264EBB-CEF3-EB86-D795-5734415D4AC5}"/>
            </a:ext>
          </a:extLst>
        </xdr:cNvPr>
        <xdr:cNvSpPr/>
      </xdr:nvSpPr>
      <xdr:spPr>
        <a:xfrm>
          <a:off x="9092400" y="45204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LIQUI MOLY</a:t>
          </a:r>
        </a:p>
      </xdr:txBody>
    </xdr:sp>
    <xdr:clientData/>
  </xdr:twoCellAnchor>
  <xdr:twoCellAnchor>
    <xdr:from>
      <xdr:col>7</xdr:col>
      <xdr:colOff>356268</xdr:colOff>
      <xdr:row>17</xdr:row>
      <xdr:rowOff>138901</xdr:rowOff>
    </xdr:from>
    <xdr:to>
      <xdr:col>8</xdr:col>
      <xdr:colOff>2625486</xdr:colOff>
      <xdr:row>20</xdr:row>
      <xdr:rowOff>143401</xdr:rowOff>
    </xdr:to>
    <xdr:sp macro="" textlink="">
      <xdr:nvSpPr>
        <xdr:cNvPr id="76" name="Forme libre : forme 7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64B11E2-38D9-F9CF-F106-BC35E2738582}"/>
            </a:ext>
          </a:extLst>
        </xdr:cNvPr>
        <xdr:cNvSpPr/>
      </xdr:nvSpPr>
      <xdr:spPr>
        <a:xfrm>
          <a:off x="12148218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AKHIL DAHER</a:t>
          </a:r>
        </a:p>
      </xdr:txBody>
    </xdr:sp>
    <xdr:clientData/>
  </xdr:twoCellAnchor>
  <xdr:twoCellAnchor>
    <xdr:from>
      <xdr:col>10</xdr:col>
      <xdr:colOff>21187</xdr:colOff>
      <xdr:row>17</xdr:row>
      <xdr:rowOff>138901</xdr:rowOff>
    </xdr:from>
    <xdr:to>
      <xdr:col>10</xdr:col>
      <xdr:colOff>2652355</xdr:colOff>
      <xdr:row>20</xdr:row>
      <xdr:rowOff>143401</xdr:rowOff>
    </xdr:to>
    <xdr:sp macro="" textlink="">
      <xdr:nvSpPr>
        <xdr:cNvPr id="77" name="Forme libre : forme 7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E9C6E4A-EBD4-3D93-FD9E-4498C10C29D3}"/>
            </a:ext>
          </a:extLst>
        </xdr:cNvPr>
        <xdr:cNvSpPr/>
      </xdr:nvSpPr>
      <xdr:spPr>
        <a:xfrm>
          <a:off x="15280237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CFAO MOBILITY</a:t>
          </a:r>
        </a:p>
      </xdr:txBody>
    </xdr:sp>
    <xdr:clientData/>
  </xdr:twoCellAnchor>
  <xdr:twoCellAnchor>
    <xdr:from>
      <xdr:col>12</xdr:col>
      <xdr:colOff>39246</xdr:colOff>
      <xdr:row>17</xdr:row>
      <xdr:rowOff>138901</xdr:rowOff>
    </xdr:from>
    <xdr:to>
      <xdr:col>13</xdr:col>
      <xdr:colOff>155814</xdr:colOff>
      <xdr:row>20</xdr:row>
      <xdr:rowOff>143401</xdr:rowOff>
    </xdr:to>
    <xdr:sp macro="" textlink="">
      <xdr:nvSpPr>
        <xdr:cNvPr id="78" name="Forme libre : forme 7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7273AE8-8E95-6ADC-479C-989748FD6EC3}"/>
            </a:ext>
          </a:extLst>
        </xdr:cNvPr>
        <xdr:cNvSpPr/>
      </xdr:nvSpPr>
      <xdr:spPr>
        <a:xfrm>
          <a:off x="18422496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HASSAN SALAMAN </a:t>
          </a:r>
        </a:p>
      </xdr:txBody>
    </xdr:sp>
    <xdr:clientData/>
  </xdr:twoCellAnchor>
  <xdr:twoCellAnchor>
    <xdr:from>
      <xdr:col>14</xdr:col>
      <xdr:colOff>28014</xdr:colOff>
      <xdr:row>17</xdr:row>
      <xdr:rowOff>138901</xdr:rowOff>
    </xdr:from>
    <xdr:to>
      <xdr:col>15</xdr:col>
      <xdr:colOff>144582</xdr:colOff>
      <xdr:row>20</xdr:row>
      <xdr:rowOff>143401</xdr:rowOff>
    </xdr:to>
    <xdr:sp macro="" textlink="">
      <xdr:nvSpPr>
        <xdr:cNvPr id="79" name="Forme libre : forme 7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B4114BE-8534-0067-CA94-3C6719ABEDD7}"/>
            </a:ext>
          </a:extLst>
        </xdr:cNvPr>
        <xdr:cNvSpPr/>
      </xdr:nvSpPr>
      <xdr:spPr>
        <a:xfrm>
          <a:off x="21306864" y="4558501"/>
          <a:ext cx="26311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SPRIINT-TECH - BOSCH </a:t>
          </a:r>
        </a:p>
      </xdr:txBody>
    </xdr:sp>
    <xdr:clientData/>
  </xdr:twoCellAnchor>
  <xdr:twoCellAnchor>
    <xdr:from>
      <xdr:col>15</xdr:col>
      <xdr:colOff>302532</xdr:colOff>
      <xdr:row>17</xdr:row>
      <xdr:rowOff>138901</xdr:rowOff>
    </xdr:from>
    <xdr:to>
      <xdr:col>17</xdr:col>
      <xdr:colOff>438150</xdr:colOff>
      <xdr:row>20</xdr:row>
      <xdr:rowOff>143401</xdr:rowOff>
    </xdr:to>
    <xdr:sp macro="" textlink="">
      <xdr:nvSpPr>
        <xdr:cNvPr id="80" name="Forme libre : forme 7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356D601-71B5-5878-A43D-6C3FE0106CFF}"/>
            </a:ext>
          </a:extLst>
        </xdr:cNvPr>
        <xdr:cNvSpPr/>
      </xdr:nvSpPr>
      <xdr:spPr>
        <a:xfrm>
          <a:off x="24095982" y="4558501"/>
          <a:ext cx="3088368" cy="576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45720" tIns="45720" rIns="45720" bIns="45720" numCol="1" spcCol="1270" anchor="t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000" b="1" kern="1200"/>
            <a:t>MAHMOUD SAFIEDDINE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600" b="1" kern="1200"/>
            <a:t> </a:t>
          </a:r>
        </a:p>
      </xdr:txBody>
    </xdr:sp>
    <xdr:clientData/>
  </xdr:twoCellAnchor>
  <xdr:twoCellAnchor>
    <xdr:from>
      <xdr:col>0</xdr:col>
      <xdr:colOff>24600</xdr:colOff>
      <xdr:row>23</xdr:row>
      <xdr:rowOff>122875</xdr:rowOff>
    </xdr:from>
    <xdr:to>
      <xdr:col>0</xdr:col>
      <xdr:colOff>2525832</xdr:colOff>
      <xdr:row>26</xdr:row>
      <xdr:rowOff>91375</xdr:rowOff>
    </xdr:to>
    <xdr:sp macro="" textlink="">
      <xdr:nvSpPr>
        <xdr:cNvPr id="81" name="Forme libre : forme 8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745ED4D0-A42B-D929-2CDB-48658A37055F}"/>
            </a:ext>
          </a:extLst>
        </xdr:cNvPr>
        <xdr:cNvSpPr/>
      </xdr:nvSpPr>
      <xdr:spPr>
        <a:xfrm>
          <a:off x="24600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VIGNOD GRAISSE </a:t>
          </a:r>
        </a:p>
      </xdr:txBody>
    </xdr:sp>
    <xdr:clientData/>
  </xdr:twoCellAnchor>
  <xdr:twoCellAnchor>
    <xdr:from>
      <xdr:col>1</xdr:col>
      <xdr:colOff>318168</xdr:colOff>
      <xdr:row>23</xdr:row>
      <xdr:rowOff>122875</xdr:rowOff>
    </xdr:from>
    <xdr:to>
      <xdr:col>2</xdr:col>
      <xdr:colOff>2495550</xdr:colOff>
      <xdr:row>26</xdr:row>
      <xdr:rowOff>91375</xdr:rowOff>
    </xdr:to>
    <xdr:sp macro="" textlink="">
      <xdr:nvSpPr>
        <xdr:cNvPr id="82" name="Forme libre : forme 8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A20564F-D857-464A-3337-E0D41F354908}"/>
            </a:ext>
          </a:extLst>
        </xdr:cNvPr>
        <xdr:cNvSpPr/>
      </xdr:nvSpPr>
      <xdr:spPr>
        <a:xfrm>
          <a:off x="2966118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ABASS FAREZ</a:t>
          </a:r>
        </a:p>
      </xdr:txBody>
    </xdr:sp>
    <xdr:clientData/>
  </xdr:twoCellAnchor>
  <xdr:twoCellAnchor>
    <xdr:from>
      <xdr:col>3</xdr:col>
      <xdr:colOff>345037</xdr:colOff>
      <xdr:row>23</xdr:row>
      <xdr:rowOff>122875</xdr:rowOff>
    </xdr:from>
    <xdr:to>
      <xdr:col>4</xdr:col>
      <xdr:colOff>2446219</xdr:colOff>
      <xdr:row>26</xdr:row>
      <xdr:rowOff>91375</xdr:rowOff>
    </xdr:to>
    <xdr:sp macro="" textlink="">
      <xdr:nvSpPr>
        <xdr:cNvPr id="83" name="Forme libre : forme 8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B8C2546-6DCD-AEF6-FC6F-7E9901D6A645}"/>
            </a:ext>
          </a:extLst>
        </xdr:cNvPr>
        <xdr:cNvSpPr/>
      </xdr:nvSpPr>
      <xdr:spPr>
        <a:xfrm>
          <a:off x="5907637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EXIM EMPEX </a:t>
          </a:r>
        </a:p>
      </xdr:txBody>
    </xdr:sp>
    <xdr:clientData/>
  </xdr:twoCellAnchor>
  <xdr:twoCellAnchor>
    <xdr:from>
      <xdr:col>6</xdr:col>
      <xdr:colOff>58296</xdr:colOff>
      <xdr:row>23</xdr:row>
      <xdr:rowOff>122875</xdr:rowOff>
    </xdr:from>
    <xdr:to>
      <xdr:col>6</xdr:col>
      <xdr:colOff>2559528</xdr:colOff>
      <xdr:row>26</xdr:row>
      <xdr:rowOff>91375</xdr:rowOff>
    </xdr:to>
    <xdr:sp macro="" textlink="">
      <xdr:nvSpPr>
        <xdr:cNvPr id="84" name="Forme libre : forme 83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7B724C6-C36C-BF01-2E6F-F5D3B7F899C4}"/>
            </a:ext>
          </a:extLst>
        </xdr:cNvPr>
        <xdr:cNvSpPr/>
      </xdr:nvSpPr>
      <xdr:spPr>
        <a:xfrm>
          <a:off x="9107046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JOSEPH &amp; CHARBEL</a:t>
          </a:r>
        </a:p>
      </xdr:txBody>
    </xdr:sp>
    <xdr:clientData/>
  </xdr:twoCellAnchor>
  <xdr:twoCellAnchor>
    <xdr:from>
      <xdr:col>8</xdr:col>
      <xdr:colOff>8964</xdr:colOff>
      <xdr:row>23</xdr:row>
      <xdr:rowOff>122875</xdr:rowOff>
    </xdr:from>
    <xdr:to>
      <xdr:col>8</xdr:col>
      <xdr:colOff>2510196</xdr:colOff>
      <xdr:row>26</xdr:row>
      <xdr:rowOff>91375</xdr:rowOff>
    </xdr:to>
    <xdr:sp macro="" textlink="">
      <xdr:nvSpPr>
        <xdr:cNvPr id="85" name="Forme libre : forme 8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0B4B886-4347-329F-3CCC-01AD1143F5D7}"/>
            </a:ext>
          </a:extLst>
        </xdr:cNvPr>
        <xdr:cNvSpPr/>
      </xdr:nvSpPr>
      <xdr:spPr>
        <a:xfrm>
          <a:off x="12162864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BAKAYOKO</a:t>
          </a:r>
        </a:p>
      </xdr:txBody>
    </xdr:sp>
    <xdr:clientData/>
  </xdr:twoCellAnchor>
  <xdr:twoCellAnchor>
    <xdr:from>
      <xdr:col>10</xdr:col>
      <xdr:colOff>35832</xdr:colOff>
      <xdr:row>23</xdr:row>
      <xdr:rowOff>122875</xdr:rowOff>
    </xdr:from>
    <xdr:to>
      <xdr:col>10</xdr:col>
      <xdr:colOff>2537064</xdr:colOff>
      <xdr:row>26</xdr:row>
      <xdr:rowOff>91375</xdr:rowOff>
    </xdr:to>
    <xdr:sp macro="" textlink="">
      <xdr:nvSpPr>
        <xdr:cNvPr id="86" name="Forme libre : forme 8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DC3963EA-513C-AB91-ED5A-7678F2465B31}"/>
            </a:ext>
          </a:extLst>
        </xdr:cNvPr>
        <xdr:cNvSpPr/>
      </xdr:nvSpPr>
      <xdr:spPr>
        <a:xfrm>
          <a:off x="15294882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FAO TOLIER</a:t>
          </a:r>
        </a:p>
      </xdr:txBody>
    </xdr:sp>
    <xdr:clientData/>
  </xdr:twoCellAnchor>
  <xdr:twoCellAnchor>
    <xdr:from>
      <xdr:col>11</xdr:col>
      <xdr:colOff>367500</xdr:colOff>
      <xdr:row>23</xdr:row>
      <xdr:rowOff>122875</xdr:rowOff>
    </xdr:from>
    <xdr:to>
      <xdr:col>12</xdr:col>
      <xdr:colOff>2487732</xdr:colOff>
      <xdr:row>26</xdr:row>
      <xdr:rowOff>91375</xdr:rowOff>
    </xdr:to>
    <xdr:sp macro="" textlink="">
      <xdr:nvSpPr>
        <xdr:cNvPr id="87" name="Forme libre : forme 8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72DDEAB-1C45-33DD-FF55-EA73DBDB961D}"/>
            </a:ext>
          </a:extLst>
        </xdr:cNvPr>
        <xdr:cNvSpPr/>
      </xdr:nvSpPr>
      <xdr:spPr>
        <a:xfrm>
          <a:off x="18369750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BERNARD PNEU</a:t>
          </a:r>
        </a:p>
      </xdr:txBody>
    </xdr:sp>
    <xdr:clientData/>
  </xdr:twoCellAnchor>
  <xdr:twoCellAnchor>
    <xdr:from>
      <xdr:col>14</xdr:col>
      <xdr:colOff>32418</xdr:colOff>
      <xdr:row>23</xdr:row>
      <xdr:rowOff>122875</xdr:rowOff>
    </xdr:from>
    <xdr:to>
      <xdr:col>15</xdr:col>
      <xdr:colOff>19050</xdr:colOff>
      <xdr:row>26</xdr:row>
      <xdr:rowOff>91375</xdr:rowOff>
    </xdr:to>
    <xdr:sp macro="" textlink="">
      <xdr:nvSpPr>
        <xdr:cNvPr id="88" name="Forme libre : forme 8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E8437DBD-1D65-7769-303A-3D3A6392D185}"/>
            </a:ext>
          </a:extLst>
        </xdr:cNvPr>
        <xdr:cNvSpPr/>
      </xdr:nvSpPr>
      <xdr:spPr>
        <a:xfrm>
          <a:off x="21311268" y="5933125"/>
          <a:ext cx="2501232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800" b="1" kern="1200"/>
            <a:t>DIVERS </a:t>
          </a:r>
        </a:p>
      </xdr:txBody>
    </xdr:sp>
    <xdr:clientData/>
  </xdr:twoCellAnchor>
  <xdr:twoCellAnchor>
    <xdr:from>
      <xdr:col>0</xdr:col>
      <xdr:colOff>1</xdr:colOff>
      <xdr:row>29</xdr:row>
      <xdr:rowOff>180025</xdr:rowOff>
    </xdr:from>
    <xdr:to>
      <xdr:col>1</xdr:col>
      <xdr:colOff>114301</xdr:colOff>
      <xdr:row>32</xdr:row>
      <xdr:rowOff>148525</xdr:rowOff>
    </xdr:to>
    <xdr:sp macro="" textlink="">
      <xdr:nvSpPr>
        <xdr:cNvPr id="89" name="Forme libre : forme 88">
          <a:extLst>
            <a:ext uri="{FF2B5EF4-FFF2-40B4-BE49-F238E27FC236}">
              <a16:creationId xmlns:a16="http://schemas.microsoft.com/office/drawing/2014/main" id="{D2670B27-2287-BDC3-FDC2-1D5AE537C8EB}"/>
            </a:ext>
          </a:extLst>
        </xdr:cNvPr>
        <xdr:cNvSpPr/>
      </xdr:nvSpPr>
      <xdr:spPr>
        <a:xfrm>
          <a:off x="1" y="7933375"/>
          <a:ext cx="2762250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</xdr:txBody>
    </xdr:sp>
    <xdr:clientData/>
  </xdr:twoCellAnchor>
  <xdr:twoCellAnchor>
    <xdr:from>
      <xdr:col>1</xdr:col>
      <xdr:colOff>247651</xdr:colOff>
      <xdr:row>29</xdr:row>
      <xdr:rowOff>180025</xdr:rowOff>
    </xdr:from>
    <xdr:to>
      <xdr:col>3</xdr:col>
      <xdr:colOff>95251</xdr:colOff>
      <xdr:row>32</xdr:row>
      <xdr:rowOff>148525</xdr:rowOff>
    </xdr:to>
    <xdr:sp macro="" textlink="">
      <xdr:nvSpPr>
        <xdr:cNvPr id="90" name="Forme libre : forme 89">
          <a:extLst>
            <a:ext uri="{FF2B5EF4-FFF2-40B4-BE49-F238E27FC236}">
              <a16:creationId xmlns:a16="http://schemas.microsoft.com/office/drawing/2014/main" id="{1283DC7D-7123-5951-D7F3-B761115FE535}"/>
            </a:ext>
          </a:extLst>
        </xdr:cNvPr>
        <xdr:cNvSpPr/>
      </xdr:nvSpPr>
      <xdr:spPr>
        <a:xfrm>
          <a:off x="2895601" y="7933375"/>
          <a:ext cx="2762250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</xdr:txBody>
    </xdr:sp>
    <xdr:clientData/>
  </xdr:twoCellAnchor>
  <xdr:twoCellAnchor>
    <xdr:from>
      <xdr:col>3</xdr:col>
      <xdr:colOff>323851</xdr:colOff>
      <xdr:row>29</xdr:row>
      <xdr:rowOff>160975</xdr:rowOff>
    </xdr:from>
    <xdr:to>
      <xdr:col>5</xdr:col>
      <xdr:colOff>95251</xdr:colOff>
      <xdr:row>32</xdr:row>
      <xdr:rowOff>129475</xdr:rowOff>
    </xdr:to>
    <xdr:sp macro="" textlink="">
      <xdr:nvSpPr>
        <xdr:cNvPr id="91" name="Forme libre : forme 90">
          <a:extLst>
            <a:ext uri="{FF2B5EF4-FFF2-40B4-BE49-F238E27FC236}">
              <a16:creationId xmlns:a16="http://schemas.microsoft.com/office/drawing/2014/main" id="{1FFDFBBD-DDE9-AAA9-5B94-F8DEB552489C}"/>
            </a:ext>
          </a:extLst>
        </xdr:cNvPr>
        <xdr:cNvSpPr/>
      </xdr:nvSpPr>
      <xdr:spPr>
        <a:xfrm>
          <a:off x="5886451" y="7914325"/>
          <a:ext cx="2762250" cy="540000"/>
        </a:xfrm>
        <a:custGeom>
          <a:avLst/>
          <a:gdLst>
            <a:gd name="csX0" fmla="*/ 0 w 1444516"/>
            <a:gd name="csY0" fmla="*/ 0 h 866709"/>
            <a:gd name="csX1" fmla="*/ 1444516 w 1444516"/>
            <a:gd name="csY1" fmla="*/ 0 h 866709"/>
            <a:gd name="csX2" fmla="*/ 1444516 w 1444516"/>
            <a:gd name="csY2" fmla="*/ 866709 h 866709"/>
            <a:gd name="csX3" fmla="*/ 0 w 1444516"/>
            <a:gd name="csY3" fmla="*/ 866709 h 866709"/>
            <a:gd name="csX4" fmla="*/ 0 w 1444516"/>
            <a:gd name="csY4" fmla="*/ 0 h 8667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44516" h="866709">
              <a:moveTo>
                <a:pt x="0" y="0"/>
              </a:moveTo>
              <a:lnTo>
                <a:pt x="1444516" y="0"/>
              </a:lnTo>
              <a:lnTo>
                <a:pt x="1444516" y="866709"/>
              </a:lnTo>
              <a:lnTo>
                <a:pt x="0" y="866709"/>
              </a:lnTo>
              <a:lnTo>
                <a:pt x="0" y="0"/>
              </a:lnTo>
              <a:close/>
            </a:path>
          </a:pathLst>
        </a:cu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rgbClr r="0" g="0" b="0"/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fr-FR" sz="1800" b="1" kern="1200"/>
        </a:p>
      </xdr:txBody>
    </xdr:sp>
    <xdr:clientData/>
  </xdr:twoCellAnchor>
</xdr:wsDr>
</file>

<file path=xl/tables/table1.xml><?xml version="1.0" encoding="utf-8"?>
<table xmlns="http://schemas.openxmlformats.org/spreadsheetml/2006/main" id="46" name="MAHMOUDCHAALAN" displayName="MAHMOUDCHAALAN" ref="A8:G159" totalsRowShown="0" headerRowDxfId="764" dataDxfId="763">
  <autoFilter ref="A8:G159"/>
  <tableColumns count="7">
    <tableColumn id="1" name="DATE" dataDxfId="762" totalsRowDxfId="761"/>
    <tableColumn id="2" name="DESIGNATION" dataDxfId="760" totalsRowDxfId="759" dataCellStyle="Milliers"/>
    <tableColumn id="3" name="QUANTITE" dataDxfId="758" totalsRowDxfId="757" dataCellStyle="Milliers"/>
    <tableColumn id="4" name="PRIX UNITAIRE" dataDxfId="756" totalsRowDxfId="755" dataCellStyle="Milliers"/>
    <tableColumn id="5" name="TOTAL MONTANT" dataDxfId="754" totalsRowDxfId="753" dataCellStyle="Milliers">
      <calculatedColumnFormula>+$H$2+(MAHMOUDCHAALAN[[#This Row],[QUANTITE]]*MAHMOUDCHAALAN[[#This Row],[PRIX UNITAIRE]])</calculatedColumnFormula>
    </tableColumn>
    <tableColumn id="6" name="VERSEMENT" dataDxfId="752" totalsRowDxfId="751" dataCellStyle="Milliers"/>
    <tableColumn id="7" name="SOLDE" dataDxfId="750" totalsRowDxfId="749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47" name="CHINOIS" displayName="CHINOIS" ref="A8:G109" totalsRowShown="0" headerRowDxfId="745" dataDxfId="744">
  <autoFilter ref="A8:G109"/>
  <tableColumns count="7">
    <tableColumn id="1" name="DATE" dataDxfId="743" totalsRowDxfId="742"/>
    <tableColumn id="2" name="DESIGNATION" dataDxfId="741" totalsRowDxfId="740" dataCellStyle="Milliers"/>
    <tableColumn id="3" name="QUANTITE" dataDxfId="739" totalsRowDxfId="738" dataCellStyle="Milliers"/>
    <tableColumn id="4" name="PRIX UNITAIRE" dataDxfId="737" totalsRowDxfId="736" dataCellStyle="Milliers"/>
    <tableColumn id="5" name="TOTAL MONTANT" dataDxfId="735" totalsRowDxfId="734" dataCellStyle="Milliers">
      <calculatedColumnFormula>+$I$2+(CHINOIS[[#This Row],[QUANTITE]]*CHINOIS[[#This Row],[PRIX UNITAIRE]])</calculatedColumnFormula>
    </tableColumn>
    <tableColumn id="6" name="VERSEMENT" dataDxfId="733" totalsRowDxfId="732" dataCellStyle="Milliers"/>
    <tableColumn id="7" name="SOLDE" dataDxfId="731" totalsRowDxfId="730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2" name="SUNSTEEKEVIN" displayName="SUNSTEEKEVIN" ref="A8:G512" totalsRowShown="0" headerRowDxfId="725" dataDxfId="724">
  <autoFilter ref="A8:G512"/>
  <tableColumns count="7">
    <tableColumn id="1" name="DATE" dataDxfId="723" totalsRowDxfId="722"/>
    <tableColumn id="2" name="DESIGNATION" dataDxfId="721" totalsRowDxfId="720" dataCellStyle="Milliers"/>
    <tableColumn id="3" name="QUANTITE" dataDxfId="719" totalsRowDxfId="718" dataCellStyle="Milliers"/>
    <tableColumn id="4" name="PRIX UNITAIRE" dataDxfId="717" totalsRowDxfId="716" dataCellStyle="Milliers"/>
    <tableColumn id="5" name="TOTAL MONTANT" dataDxfId="715" totalsRowDxfId="714" dataCellStyle="Milliers">
      <calculatedColumnFormula>+$I$2+(SUNSTEEKEVIN[[#This Row],[QUANTITE]]*SUNSTEEKEVIN[[#This Row],[PRIX UNITAIRE]])</calculatedColumnFormula>
    </tableColumn>
    <tableColumn id="6" name="VERSEMENT" dataDxfId="713" totalsRowDxfId="712" dataCellStyle="Milliers"/>
    <tableColumn id="7" name="SOLDE" dataDxfId="711" totalsRowDxfId="710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38" name="MOUSTAPHAFAWAZ" displayName="MOUSTAPHAFAWAZ" ref="A8:G109" totalsRowShown="0" headerRowDxfId="706" dataDxfId="705">
  <autoFilter ref="A8:G109"/>
  <tableColumns count="7">
    <tableColumn id="1" name="DATE" dataDxfId="704" totalsRowDxfId="703"/>
    <tableColumn id="2" name="DESIGNATION" dataDxfId="702" totalsRowDxfId="701" dataCellStyle="Milliers"/>
    <tableColumn id="3" name="QUANTITE" dataDxfId="700" totalsRowDxfId="699" dataCellStyle="Milliers"/>
    <tableColumn id="4" name="PRIX UNITAIRE" dataDxfId="698" totalsRowDxfId="697" dataCellStyle="Milliers"/>
    <tableColumn id="5" name="TOTAL MONTANT" dataDxfId="696" totalsRowDxfId="695" dataCellStyle="Milliers">
      <calculatedColumnFormula>MOUSTAPHAFAWAZ[[#This Row],[PRIX UNITAIRE]]*MOUSTAPHAFAWAZ[[#This Row],[QUANTITE]]</calculatedColumnFormula>
    </tableColumn>
    <tableColumn id="6" name="VERSEMENT" dataDxfId="694" totalsRowDxfId="693" dataCellStyle="Milliers"/>
    <tableColumn id="7" name="SOLDE" dataDxfId="692" totalsRowDxfId="691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37" name="PETITSOLO" displayName="PETITSOLO" ref="A8:G109" totalsRowShown="0" headerRowDxfId="687" dataDxfId="686">
  <autoFilter ref="A8:G109"/>
  <tableColumns count="7">
    <tableColumn id="1" name="DATE" dataDxfId="685" totalsRowDxfId="684"/>
    <tableColumn id="2" name="DESIGNATION" dataDxfId="683" totalsRowDxfId="682" dataCellStyle="Milliers"/>
    <tableColumn id="3" name="QUANTITE" dataDxfId="681" totalsRowDxfId="680" dataCellStyle="Milliers"/>
    <tableColumn id="4" name="PRIX UNITAIRE" dataDxfId="679" totalsRowDxfId="678" dataCellStyle="Milliers"/>
    <tableColumn id="5" name="TOTAL MONTANT" dataDxfId="677" totalsRowDxfId="676" dataCellStyle="Milliers">
      <calculatedColumnFormula>+$I$2+(PETITSOLO[[#This Row],[QUANTITE]]*PETITSOLO[[#This Row],[PRIX UNITAIRE]])</calculatedColumnFormula>
    </tableColumn>
    <tableColumn id="6" name="VERSEMENT" dataDxfId="675" totalsRowDxfId="674" dataCellStyle="Milliers"/>
    <tableColumn id="7" name="SOLDE" dataDxfId="673" totalsRowDxfId="672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24" name="GEDIS" displayName="GEDIS" ref="A8:G112" totalsRowShown="0" headerRowDxfId="668" dataDxfId="667">
  <autoFilter ref="A8:G112"/>
  <tableColumns count="7">
    <tableColumn id="1" name="DATE" dataDxfId="666" totalsRowDxfId="665"/>
    <tableColumn id="2" name="DESIGNATION" dataDxfId="664" totalsRowDxfId="663" dataCellStyle="Milliers"/>
    <tableColumn id="3" name="QUANTITE" dataDxfId="662" totalsRowDxfId="661" dataCellStyle="Milliers"/>
    <tableColumn id="4" name="PRIX UNITAIRE" dataDxfId="660" totalsRowDxfId="659" dataCellStyle="Milliers"/>
    <tableColumn id="5" name="TOTAL MONTANT" dataDxfId="658" totalsRowDxfId="657" dataCellStyle="Milliers">
      <calculatedColumnFormula>+$I$2+(GEDIS[[#This Row],[QUANTITE]]*GEDIS[[#This Row],[PRIX UNITAIRE]])</calculatedColumnFormula>
    </tableColumn>
    <tableColumn id="6" name="VERSEMENT" dataDxfId="656" totalsRowDxfId="655" dataCellStyle="Milliers"/>
    <tableColumn id="7" name="SOLDE" dataDxfId="654" totalsRowDxfId="653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id="34" name="MOHAMEDZALZALE" displayName="MOHAMEDZALZALE" ref="A8:G278" totalsRowShown="0" headerRowDxfId="649" dataDxfId="648">
  <autoFilter ref="A8:G278"/>
  <tableColumns count="7">
    <tableColumn id="1" name="DATE" dataDxfId="647" totalsRowDxfId="646"/>
    <tableColumn id="2" name="DESIGNATION" dataDxfId="645" totalsRowDxfId="644" dataCellStyle="Milliers"/>
    <tableColumn id="3" name="QUANTITE" dataDxfId="643" totalsRowDxfId="642" dataCellStyle="Milliers"/>
    <tableColumn id="4" name="PRIX UNITAIRE" dataDxfId="641" totalsRowDxfId="640" dataCellStyle="Milliers"/>
    <tableColumn id="5" name="TOTAL MONTANT" dataDxfId="639" totalsRowDxfId="638" dataCellStyle="Milliers">
      <calculatedColumnFormula>+$I$2+(MOHAMEDZALZALE[[#This Row],[QUANTITE]]*MOHAMEDZALZALE[[#This Row],[PRIX UNITAIRE]])</calculatedColumnFormula>
    </tableColumn>
    <tableColumn id="6" name="VERSEMENT" dataDxfId="637" totalsRowDxfId="636" dataCellStyle="Milliers"/>
    <tableColumn id="7" name="SOLDE" dataDxfId="635" totalsRowDxfId="634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id="35" name="AUTOROY" displayName="AUTOROY" ref="A8:G57" totalsRowShown="0" headerRowDxfId="631" dataDxfId="630">
  <autoFilter ref="A8:G57"/>
  <tableColumns count="7">
    <tableColumn id="1" name="DATE" dataDxfId="629" totalsRowDxfId="628"/>
    <tableColumn id="2" name="DESIGNATION" dataDxfId="627" totalsRowDxfId="626" dataCellStyle="Milliers"/>
    <tableColumn id="3" name="QUANTITE" dataDxfId="625" totalsRowDxfId="624" dataCellStyle="Milliers"/>
    <tableColumn id="4" name="PRIX UNITAIRE" dataDxfId="623" totalsRowDxfId="622" dataCellStyle="Milliers"/>
    <tableColumn id="5" name="TOTAL MONTANT" dataDxfId="621" totalsRowDxfId="620" dataCellStyle="Milliers">
      <calculatedColumnFormula>+$I$2+(AUTOROY[[#This Row],[QUANTITE]]*AUTOROY[[#This Row],[PRIX UNITAIRE]])</calculatedColumnFormula>
    </tableColumn>
    <tableColumn id="6" name="VERSEMENT" dataDxfId="619" totalsRowDxfId="618" dataCellStyle="Total"/>
    <tableColumn id="7" name="SOLDE" dataDxfId="617" totalsRowDxfId="61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id="1" name="DUNLOP" displayName="DUNLOP" ref="A8:G71" totalsRowShown="0" headerRowDxfId="612" dataDxfId="611">
  <autoFilter ref="A8:G71"/>
  <tableColumns count="7">
    <tableColumn id="1" name="DATE" dataDxfId="610" totalsRowDxfId="609"/>
    <tableColumn id="2" name="DESIGNATION" dataDxfId="608" totalsRowDxfId="607" dataCellStyle="Milliers"/>
    <tableColumn id="3" name="QUANTITE" dataDxfId="606" totalsRowDxfId="605" dataCellStyle="Milliers"/>
    <tableColumn id="4" name="PRIX UNITAIRE" dataDxfId="604" totalsRowDxfId="603" dataCellStyle="Milliers"/>
    <tableColumn id="5" name="TOTAL MONTANT" dataDxfId="602" totalsRowDxfId="601" dataCellStyle="Milliers">
      <calculatedColumnFormula>$I$1+(DUNLOP[[#This Row],[QUANTITE]]*DUNLOP[[#This Row],[PRIX UNITAIRE]])</calculatedColumnFormula>
    </tableColumn>
    <tableColumn id="6" name="VERSEMENT" dataDxfId="600" totalsRowDxfId="599" dataCellStyle="Milliers"/>
    <tableColumn id="7" name="SOLDE" dataDxfId="598" totalsRowDxfId="597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id="3" name="NABILCO" displayName="NABILCO" ref="A8:G72" totalsRowShown="0" headerRowDxfId="593" dataDxfId="592">
  <autoFilter ref="A8:G72"/>
  <tableColumns count="7">
    <tableColumn id="1" name="DATE" dataDxfId="591" totalsRowDxfId="590"/>
    <tableColumn id="2" name="DESIGNATION" dataDxfId="589" totalsRowDxfId="588" dataCellStyle="Milliers"/>
    <tableColumn id="3" name="QUANTITE" dataDxfId="587" totalsRowDxfId="586" dataCellStyle="Milliers"/>
    <tableColumn id="4" name="PRIX UNITAIRE" dataDxfId="585" totalsRowDxfId="584" dataCellStyle="Milliers"/>
    <tableColumn id="5" name="TOTAL MONTANT" dataDxfId="583" totalsRowDxfId="582" dataCellStyle="Milliers">
      <calculatedColumnFormula>+$I$2+(NABILCO[[#This Row],[QUANTITE]]*NABILCO[[#This Row],[PRIX UNITAIRE]])</calculatedColumnFormula>
    </tableColumn>
    <tableColumn id="6" name="VERSEMENT" dataDxfId="581" totalsRowDxfId="580" dataCellStyle="Milliers"/>
    <tableColumn id="7" name="SOLDE" dataDxfId="579" totalsRowDxfId="57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id="4" name="KABALANE" displayName="KABALANE" ref="A8:G291" totalsRowShown="0" headerRowDxfId="574" dataDxfId="573">
  <autoFilter ref="A8:G291"/>
  <tableColumns count="7">
    <tableColumn id="1" name="DATE" dataDxfId="572" totalsRowDxfId="571"/>
    <tableColumn id="2" name="DESIGNATION" dataDxfId="570" totalsRowDxfId="569" dataCellStyle="Milliers"/>
    <tableColumn id="3" name="QUANTITE" dataDxfId="568" totalsRowDxfId="567" dataCellStyle="Milliers"/>
    <tableColumn id="4" name="PRIX UNITAIRE" dataDxfId="566" totalsRowDxfId="565" dataCellStyle="Milliers"/>
    <tableColumn id="5" name="TOTAL MONTANT" dataDxfId="564" totalsRowDxfId="563" dataCellStyle="Milliers">
      <calculatedColumnFormula>+$I$2+(KABALANE[[#This Row],[QUANTITE]]*KABALANE[[#This Row],[PRIX UNITAIRE]])</calculatedColumnFormula>
    </tableColumn>
    <tableColumn id="6" name="VERSEMENT" dataDxfId="562" totalsRowDxfId="561" dataCellStyle="Milliers"/>
    <tableColumn id="7" name="SOLDE" dataDxfId="560" totalsRowDxfId="55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id="5" name="ABASSBOUGI" displayName="ABASSBOUGI" ref="A8:G71" totalsRowShown="0" headerRowDxfId="555" dataDxfId="554">
  <autoFilter ref="A8:G71"/>
  <tableColumns count="7">
    <tableColumn id="1" name="DATE" dataDxfId="553" totalsRowDxfId="552"/>
    <tableColumn id="2" name="DESIGNATION" dataDxfId="551" totalsRowDxfId="550" dataCellStyle="Milliers"/>
    <tableColumn id="3" name="QUANTITE" dataDxfId="549" totalsRowDxfId="548" dataCellStyle="Milliers"/>
    <tableColumn id="4" name="PRIX UNITAIRE" dataDxfId="547" totalsRowDxfId="546" dataCellStyle="Milliers"/>
    <tableColumn id="5" name="TOTAL MONTANT" dataDxfId="545" totalsRowDxfId="544" dataCellStyle="Milliers">
      <calculatedColumnFormula>+$I$2+(ABASSBOUGI[[#This Row],[QUANTITE]]*ABASSBOUGI[[#This Row],[PRIX UNITAIRE]])</calculatedColumnFormula>
    </tableColumn>
    <tableColumn id="6" name="VERSEMENT" dataDxfId="543" totalsRowDxfId="542" dataCellStyle="Milliers"/>
    <tableColumn id="7" name="SOLDE" dataDxfId="54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id="6" name="DIVERSFOURNISSEUR" displayName="DIVERSFOURNISSEUR" ref="A8:H69" totalsRowShown="0" headerRowDxfId="537" dataDxfId="536">
  <autoFilter ref="A8:H69"/>
  <tableColumns count="8">
    <tableColumn id="1" name="DATE" dataDxfId="535" totalsRowDxfId="534"/>
    <tableColumn id="8" name="NOM FOURNISSEUR" dataDxfId="533" totalsRowDxfId="532"/>
    <tableColumn id="2" name="DESIGNATION" dataDxfId="531" totalsRowDxfId="530" dataCellStyle="Milliers"/>
    <tableColumn id="3" name="QUANTITE" dataDxfId="529" totalsRowDxfId="528" dataCellStyle="Milliers"/>
    <tableColumn id="4" name="PRIX UNITAIRE" dataDxfId="527" totalsRowDxfId="526" dataCellStyle="Milliers"/>
    <tableColumn id="5" name="TOTAL MONTANT" dataDxfId="525" totalsRowDxfId="524" dataCellStyle="Milliers">
      <calculatedColumnFormula>+$I$2+(DIVERSFOURNISSEUR[[#This Row],[QUANTITE]]*DIVERSFOURNISSEUR[[#This Row],[PRIX UNITAIRE]])</calculatedColumnFormula>
    </tableColumn>
    <tableColumn id="6" name="VERSEMENT" dataDxfId="523" totalsRowDxfId="522" dataCellStyle="Milliers"/>
    <tableColumn id="7" name="SOLDE" dataDxfId="521" totalsRowDxfId="520" dataCellStyle="Milliers">
      <calculatedColumnFormula>+SUM($F$9:F9)-SUM($G$9:G9)</calculatedColumnFormula>
    </tableColumn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id="7" name="ROULEMENTMONDIAL" displayName="ROULEMENTMONDIAL" ref="A8:G69" totalsRowShown="0" headerRowDxfId="516" dataDxfId="515">
  <autoFilter ref="A8:G69"/>
  <tableColumns count="7">
    <tableColumn id="1" name="DATE" dataDxfId="514" totalsRowDxfId="513"/>
    <tableColumn id="2" name="DESIGNATION" dataDxfId="512" totalsRowDxfId="511" dataCellStyle="Milliers"/>
    <tableColumn id="3" name="QUANTITE" dataDxfId="510" totalsRowDxfId="509" dataCellStyle="Milliers"/>
    <tableColumn id="4" name="PRIX UNITAIRE" dataDxfId="508" totalsRowDxfId="507" dataCellStyle="Milliers"/>
    <tableColumn id="5" name="TOTAL MONTANT" dataDxfId="506" totalsRowDxfId="505" dataCellStyle="Milliers">
      <calculatedColumnFormula>+$I$2+(ROULEMENTMONDIAL[[#This Row],[QUANTITE]]*ROULEMENTMONDIAL[[#This Row],[PRIX UNITAIRE]])</calculatedColumnFormula>
    </tableColumn>
    <tableColumn id="6" name="VERSEMENT" dataDxfId="504" totalsRowDxfId="503" dataCellStyle="Milliers"/>
    <tableColumn id="7" name="SOLDE" dataDxfId="502" totalsRowDxfId="50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id="8" name="CACOMIAF" displayName="CACOMIAF" ref="A8:G69" totalsRowShown="0" headerRowDxfId="497" dataDxfId="496">
  <autoFilter ref="A8:G69"/>
  <tableColumns count="7">
    <tableColumn id="1" name="DATE" dataDxfId="495" totalsRowDxfId="494"/>
    <tableColumn id="2" name="DESIGNATION" dataDxfId="493" totalsRowDxfId="492" dataCellStyle="Milliers"/>
    <tableColumn id="3" name="QUANTITE" dataDxfId="491" totalsRowDxfId="490" dataCellStyle="Milliers"/>
    <tableColumn id="4" name="PRIX UNITAIRE" dataDxfId="489" totalsRowDxfId="488" dataCellStyle="Milliers"/>
    <tableColumn id="5" name="TOTAL MONTANT" dataDxfId="487" totalsRowDxfId="486" dataCellStyle="Milliers">
      <calculatedColumnFormula>+$I$2+(CACOMIAF[[#This Row],[QUANTITE]]*CACOMIAF[[#This Row],[PRIX UNITAIRE]])</calculatedColumnFormula>
    </tableColumn>
    <tableColumn id="6" name="VERSEMENT" dataDxfId="485" totalsRowDxfId="484" dataCellStyle="Milliers"/>
    <tableColumn id="7" name="SOLDE" dataDxfId="483" totalsRowDxfId="48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id="9" name="HASSANKAFARANI" displayName="HASSANKAFARANI" ref="A8:G69" totalsRowShown="0" headerRowDxfId="478" dataDxfId="477">
  <autoFilter ref="A8:G69"/>
  <tableColumns count="7">
    <tableColumn id="1" name="DATE" dataDxfId="476" totalsRowDxfId="475"/>
    <tableColumn id="2" name="DESIGNATION" dataDxfId="474" totalsRowDxfId="473" dataCellStyle="Milliers"/>
    <tableColumn id="3" name="QUANTITE" dataDxfId="472" totalsRowDxfId="471" dataCellStyle="Milliers"/>
    <tableColumn id="4" name="PRIX UNITAIRE" dataDxfId="470" totalsRowDxfId="469" dataCellStyle="Milliers"/>
    <tableColumn id="5" name="TOTAL MONTANT" dataDxfId="468" totalsRowDxfId="467" dataCellStyle="Milliers">
      <calculatedColumnFormula>+$I$2+(HASSANKAFARANI[[#This Row],[QUANTITE]]*HASSANKAFARANI[[#This Row],[PRIX UNITAIRE]])</calculatedColumnFormula>
    </tableColumn>
    <tableColumn id="6" name="VERSEMENT" dataDxfId="466" totalsRowDxfId="465" dataCellStyle="Milliers"/>
    <tableColumn id="7" name="SOLDE" dataDxfId="464" totalsRowDxfId="463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id="10" name="VICTOR" displayName="VICTOR" ref="A8:G180" totalsRowShown="0" headerRowDxfId="459" dataDxfId="458">
  <autoFilter ref="A8:G180"/>
  <tableColumns count="7">
    <tableColumn id="1" name="DATE" dataDxfId="457" totalsRowDxfId="456"/>
    <tableColumn id="2" name="DESIGNATION" dataDxfId="455" totalsRowDxfId="454" dataCellStyle="Milliers"/>
    <tableColumn id="3" name="QUANTITE" dataDxfId="453" totalsRowDxfId="452" dataCellStyle="Milliers"/>
    <tableColumn id="4" name="PRIX UNITAIRE" dataDxfId="451" totalsRowDxfId="450" dataCellStyle="Milliers"/>
    <tableColumn id="5" name="TOTAL MONTANT" dataDxfId="449" totalsRowDxfId="448" dataCellStyle="Milliers">
      <calculatedColumnFormula>+$I$2+(VICTOR[[#This Row],[QUANTITE]]*VICTOR[[#This Row],[PRIX UNITAIRE]])</calculatedColumnFormula>
    </tableColumn>
    <tableColumn id="6" name="VERSEMENT" dataDxfId="447" totalsRowDxfId="446" dataCellStyle="Milliers"/>
    <tableColumn id="7" name="SOLDE" dataDxfId="445" totalsRowDxfId="444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id="36" name="SOLO" displayName="SOLO" ref="A8:G45" totalsRowShown="0" headerRowDxfId="440" dataDxfId="439">
  <autoFilter ref="A8:G45"/>
  <tableColumns count="7">
    <tableColumn id="1" name="DATE" dataDxfId="438" totalsRowDxfId="437"/>
    <tableColumn id="2" name="DESIGNATION" dataDxfId="436" totalsRowDxfId="435" dataCellStyle="Milliers"/>
    <tableColumn id="3" name="QUANTITE" dataDxfId="434" totalsRowDxfId="433" dataCellStyle="Milliers"/>
    <tableColumn id="4" name="PRIX UNITAIRE" dataDxfId="432" totalsRowDxfId="431" dataCellStyle="Milliers"/>
    <tableColumn id="5" name="TOTAL MONTANT" dataDxfId="430" totalsRowDxfId="429" dataCellStyle="Milliers">
      <calculatedColumnFormula>+$I$2+(SOLO[[#This Row],[QUANTITE]]*SOLO[[#This Row],[PRIX UNITAIRE]])</calculatedColumnFormula>
    </tableColumn>
    <tableColumn id="6" name="VERSEMENT" dataDxfId="428" totalsRowDxfId="427" dataCellStyle="Milliers"/>
    <tableColumn id="7" name="SOLDE" dataDxfId="426" totalsRowDxfId="425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id="11" name="ABASSKANSSA" displayName="ABASSKANSSA" ref="A8:G69" totalsRowShown="0" headerRowDxfId="421" dataDxfId="420">
  <autoFilter ref="A8:G69"/>
  <tableColumns count="7">
    <tableColumn id="1" name="DATE" dataDxfId="419" totalsRowDxfId="418"/>
    <tableColumn id="2" name="DESIGNATION" dataDxfId="417" totalsRowDxfId="416" dataCellStyle="Milliers"/>
    <tableColumn id="3" name="QUANTITE" dataDxfId="415" totalsRowDxfId="414" dataCellStyle="Milliers"/>
    <tableColumn id="4" name="PRIX UNITAIRE" dataDxfId="413" totalsRowDxfId="412" dataCellStyle="Milliers"/>
    <tableColumn id="5" name="TOTAL MONTANT" dataDxfId="411" totalsRowDxfId="410" dataCellStyle="Milliers">
      <calculatedColumnFormula>+$I$2+(ABASSKANSSA[[#This Row],[QUANTITE]]*ABASSKANSSA[[#This Row],[PRIX UNITAIRE]])</calculatedColumnFormula>
    </tableColumn>
    <tableColumn id="6" name="VERSEMENT" dataDxfId="409" totalsRowDxfId="408" dataCellStyle="Milliers"/>
    <tableColumn id="7" name="SOLDE" dataDxfId="407" totalsRowDxfId="40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id="12" name="SAKO" displayName="SAKO" ref="A8:G69" totalsRowShown="0" headerRowDxfId="402" dataDxfId="401">
  <autoFilter ref="A8:G69"/>
  <tableColumns count="7">
    <tableColumn id="1" name="DATE" dataDxfId="400" totalsRowDxfId="399"/>
    <tableColumn id="2" name="DESIGNATION" dataDxfId="398" totalsRowDxfId="397" dataCellStyle="Milliers"/>
    <tableColumn id="3" name="QUANTITE" dataDxfId="396" totalsRowDxfId="395" dataCellStyle="Milliers"/>
    <tableColumn id="4" name="PRIX UNITAIRE" dataDxfId="394" totalsRowDxfId="393" dataCellStyle="Milliers"/>
    <tableColumn id="5" name="TOTAL MONTANT" dataDxfId="392" totalsRowDxfId="391" dataCellStyle="Milliers">
      <calculatedColumnFormula>+$I$2+(SAKO[[#This Row],[QUANTITE]]*SAKO[[#This Row],[PRIX UNITAIRE]])</calculatedColumnFormula>
    </tableColumn>
    <tableColumn id="6" name="VERSEMENT" dataDxfId="390" totalsRowDxfId="389" dataCellStyle="Milliers"/>
    <tableColumn id="7" name="SOLDE" dataDxfId="388" totalsRowDxfId="38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id="13" name="AHMADWESLAKE" displayName="AHMADWESLAKE" ref="A8:G77" totalsRowShown="0" headerRowDxfId="382" dataDxfId="381">
  <autoFilter ref="A8:G77"/>
  <tableColumns count="7">
    <tableColumn id="1" name="DATE" dataDxfId="380" totalsRowDxfId="379"/>
    <tableColumn id="2" name="DESIGNATION" dataDxfId="378" totalsRowDxfId="377" dataCellStyle="Milliers"/>
    <tableColumn id="3" name="QUANTITE" dataDxfId="376" totalsRowDxfId="375" dataCellStyle="Milliers"/>
    <tableColumn id="4" name="PRIX UNITAIRE" dataDxfId="374" totalsRowDxfId="373" dataCellStyle="Milliers"/>
    <tableColumn id="5" name="TOTAL MONTANT" dataDxfId="372" totalsRowDxfId="371" dataCellStyle="Milliers">
      <calculatedColumnFormula>$I$2+(AHMADWESLAKE[[#This Row],[QUANTITE]]*AHMADWESLAKE[[#This Row],[PRIX UNITAIRE]])</calculatedColumnFormula>
    </tableColumn>
    <tableColumn id="6" name="VERSEMENT" dataDxfId="370" totalsRowDxfId="369" dataCellStyle="Milliers"/>
    <tableColumn id="7" name="SOLDE" dataDxfId="368" totalsRowDxfId="36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id="14" name="IRA" displayName="IRA" ref="A8:G70" totalsRowShown="0" headerRowDxfId="363" dataDxfId="362">
  <autoFilter ref="A8:G70"/>
  <tableColumns count="7">
    <tableColumn id="1" name="DATE" dataDxfId="361" totalsRowDxfId="360"/>
    <tableColumn id="2" name="DESIGNATION" dataDxfId="359" totalsRowDxfId="358" dataCellStyle="Milliers"/>
    <tableColumn id="3" name="QUANTITE" dataDxfId="357" totalsRowDxfId="356" dataCellStyle="Milliers"/>
    <tableColumn id="4" name="PRIX UNITAIRE" dataDxfId="355" totalsRowDxfId="354" dataCellStyle="Milliers"/>
    <tableColumn id="5" name="TOTAL MONTANT" dataDxfId="353" totalsRowDxfId="352" dataCellStyle="Milliers">
      <calculatedColumnFormula>+$I$2+(IRA[[#This Row],[QUANTITE]]*IRA[[#This Row],[PRIX UNITAIRE]])</calculatedColumnFormula>
    </tableColumn>
    <tableColumn id="6" name="VERSEMENT" dataDxfId="351" totalsRowDxfId="350" dataCellStyle="Milliers"/>
    <tableColumn id="7" name="SOLDE" dataDxfId="349" totalsRowDxfId="34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id="15" name="GGNPLAQUETTE" displayName="GGNPLAQUETTE" ref="A8:G69" totalsRowShown="0" headerRowDxfId="344" dataDxfId="343">
  <autoFilter ref="A8:G69"/>
  <tableColumns count="7">
    <tableColumn id="1" name="DATE" dataDxfId="342" totalsRowDxfId="341"/>
    <tableColumn id="2" name="DESIGNATION" dataDxfId="340" totalsRowDxfId="339" dataCellStyle="Milliers"/>
    <tableColumn id="3" name="QUANTITE" dataDxfId="338" totalsRowDxfId="337" dataCellStyle="Milliers"/>
    <tableColumn id="4" name="PRIX UNITAIRE" dataDxfId="336" totalsRowDxfId="335" dataCellStyle="Milliers"/>
    <tableColumn id="5" name="TOTAL MONTANT" dataDxfId="334" totalsRowDxfId="333" dataCellStyle="Milliers">
      <calculatedColumnFormula>+$I$2+(GGNPLAQUETTE[[#This Row],[QUANTITE]]*GGNPLAQUETTE[[#This Row],[PRIX UNITAIRE]])</calculatedColumnFormula>
    </tableColumn>
    <tableColumn id="6" name="VERSEMENT" dataDxfId="332" totalsRowDxfId="331" dataCellStyle="Milliers"/>
    <tableColumn id="7" name="SOLDE" dataDxfId="330" totalsRowDxfId="32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id="16" name="LIQUIMOLY" displayName="LIQUIMOLY" ref="A8:G122" totalsRowShown="0" headerRowDxfId="324" dataDxfId="323">
  <autoFilter ref="A8:G122"/>
  <tableColumns count="7">
    <tableColumn id="1" name="DATE" dataDxfId="322" totalsRowDxfId="321"/>
    <tableColumn id="2" name="DESIGNATION" dataDxfId="320" totalsRowDxfId="319" dataCellStyle="Milliers"/>
    <tableColumn id="3" name="QUANTITE" dataDxfId="318" totalsRowDxfId="317" dataCellStyle="Milliers"/>
    <tableColumn id="4" name="PRIX UNITAIRE" dataDxfId="316" totalsRowDxfId="315" dataCellStyle="Milliers"/>
    <tableColumn id="5" name="TOTAL MONTANT" dataDxfId="314" totalsRowDxfId="313" dataCellStyle="Milliers">
      <calculatedColumnFormula>+$I$2+(LIQUIMOLY[[#This Row],[QUANTITE]]*LIQUIMOLY[[#This Row],[PRIX UNITAIRE]])</calculatedColumnFormula>
    </tableColumn>
    <tableColumn id="6" name="VERSEMENT" dataDxfId="312" totalsRowDxfId="311" dataCellStyle="Milliers"/>
    <tableColumn id="7" name="SOLDE" dataDxfId="310" totalsRowDxfId="30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id="17" name="AKHILDAHER" displayName="AKHILDAHER" ref="A8:G122" totalsRowShown="0" headerRowDxfId="305" dataDxfId="304">
  <autoFilter ref="A8:G122"/>
  <tableColumns count="7">
    <tableColumn id="1" name="DATE" dataDxfId="303" totalsRowDxfId="302"/>
    <tableColumn id="2" name="DESIGNATION" dataDxfId="301" totalsRowDxfId="300" dataCellStyle="Milliers"/>
    <tableColumn id="3" name="QUANTITE" dataDxfId="299" totalsRowDxfId="298" dataCellStyle="Milliers"/>
    <tableColumn id="4" name="PRIX UNITAIRE" dataDxfId="297" totalsRowDxfId="296" dataCellStyle="Milliers"/>
    <tableColumn id="5" name="TOTAL MONTANT" dataDxfId="295" totalsRowDxfId="294" dataCellStyle="Milliers">
      <calculatedColumnFormula>+$I$2+(AKHILDAHER[[#This Row],[QUANTITE]]*AKHILDAHER[[#This Row],[PRIX UNITAIRE]])</calculatedColumnFormula>
    </tableColumn>
    <tableColumn id="6" name="VERSEMENT" dataDxfId="293" totalsRowDxfId="292" dataCellStyle="Milliers"/>
    <tableColumn id="7" name="SOLDE" dataDxfId="291" totalsRowDxfId="29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id="18" name="CFAOMOBILITY" displayName="CFAOMOBILITY" ref="A8:G172" totalsRowShown="0" headerRowDxfId="285" dataDxfId="284">
  <autoFilter ref="A8:G172"/>
  <tableColumns count="7">
    <tableColumn id="1" name="DATE" dataDxfId="283" totalsRowDxfId="282"/>
    <tableColumn id="2" name="DESIGNATION" dataDxfId="281" totalsRowDxfId="280" dataCellStyle="Milliers"/>
    <tableColumn id="3" name="QUANTITE" dataDxfId="279" totalsRowDxfId="278" dataCellStyle="Milliers"/>
    <tableColumn id="4" name="PRIX UNITAIRE" dataDxfId="277" totalsRowDxfId="276" dataCellStyle="Milliers"/>
    <tableColumn id="5" name="TOTAL MONTANT" dataDxfId="275" totalsRowDxfId="274" dataCellStyle="Milliers">
      <calculatedColumnFormula>+$I$2+(CFAOMOBILITY[[#This Row],[QUANTITE]]*CFAOMOBILITY[[#This Row],[PRIX UNITAIRE]])</calculatedColumnFormula>
    </tableColumn>
    <tableColumn id="6" name="VERSEMENT" dataDxfId="273" totalsRowDxfId="272" dataCellStyle="Milliers"/>
    <tableColumn id="7" name="SOLDE" dataDxfId="271" totalsRowDxfId="27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id="19" name="HASSANSALAMAN" displayName="HASSANSALAMAN" ref="A8:G122" totalsRowShown="0" headerRowDxfId="266" dataDxfId="265">
  <autoFilter ref="A8:G122"/>
  <tableColumns count="7">
    <tableColumn id="1" name="DATE" dataDxfId="264" totalsRowDxfId="263"/>
    <tableColumn id="2" name="DESIGNATION" dataDxfId="262" totalsRowDxfId="261" dataCellStyle="Milliers"/>
    <tableColumn id="3" name="QUANTITE" dataDxfId="260" totalsRowDxfId="259" dataCellStyle="Milliers"/>
    <tableColumn id="4" name="PRIX UNITAIRE" dataDxfId="258" totalsRowDxfId="257" dataCellStyle="Milliers"/>
    <tableColumn id="5" name="TOTAL MONTANT" dataDxfId="256" totalsRowDxfId="255" dataCellStyle="Milliers">
      <calculatedColumnFormula>+$I$2+(HASSANSALAMAN[[#This Row],[QUANTITE]]*HASSANSALAMAN[[#This Row],[PRIX UNITAIRE]])</calculatedColumnFormula>
    </tableColumn>
    <tableColumn id="6" name="VERSEMENT" dataDxfId="254" totalsRowDxfId="253" dataCellStyle="Milliers"/>
    <tableColumn id="7" name="SOLDE" dataDxfId="252" totalsRowDxfId="25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id="20" name="SPRIINTTECHBOSCH" displayName="SPRIINTTECHBOSCH" ref="A8:G72" totalsRowShown="0" headerRowDxfId="246" dataDxfId="245">
  <autoFilter ref="A8:G72"/>
  <tableColumns count="7">
    <tableColumn id="1" name="DATE" dataDxfId="244" totalsRowDxfId="243"/>
    <tableColumn id="2" name="DESIGNATION" dataDxfId="242" totalsRowDxfId="241" dataCellStyle="Milliers"/>
    <tableColumn id="3" name="QUANTITE" dataDxfId="240" totalsRowDxfId="239" dataCellStyle="Milliers"/>
    <tableColumn id="4" name="PRIX UNITAIRE" dataDxfId="238" totalsRowDxfId="237" dataCellStyle="Milliers"/>
    <tableColumn id="5" name="TOTAL MONTANT" dataDxfId="236" totalsRowDxfId="235" dataCellStyle="Milliers">
      <calculatedColumnFormula>+$I$2+(SPRIINTTECHBOSCH[[#This Row],[QUANTITE]]*SPRIINTTECHBOSCH[[#This Row],[PRIX UNITAIRE]])</calculatedColumnFormula>
    </tableColumn>
    <tableColumn id="6" name="VERSEMENT" dataDxfId="234" totalsRowDxfId="233" dataCellStyle="Milliers"/>
    <tableColumn id="7" name="SOLDE" dataDxfId="232" totalsRowDxfId="23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id="21" name="MAHMOUD" displayName="MAHMOUD" ref="A8:G250" totalsRowShown="0" headerRowDxfId="226" dataDxfId="225">
  <autoFilter ref="A8:G250"/>
  <tableColumns count="7">
    <tableColumn id="1" name="DATE" dataDxfId="224" totalsRowDxfId="223"/>
    <tableColumn id="2" name="DESIGNATION" dataDxfId="222" totalsRowDxfId="221" dataCellStyle="Milliers"/>
    <tableColumn id="3" name="QUANTITE" dataDxfId="220" totalsRowDxfId="219" dataCellStyle="Milliers"/>
    <tableColumn id="4" name="PRIX UNITAIRE" dataDxfId="218" totalsRowDxfId="217" dataCellStyle="Milliers"/>
    <tableColumn id="5" name="TOTAL MONTANT" dataDxfId="216" totalsRowDxfId="215" dataCellStyle="Milliers">
      <calculatedColumnFormula>+$I$2+(MAHMOUD[[#This Row],[QUANTITE]]*MAHMOUD[[#This Row],[PRIX UNITAIRE]])</calculatedColumnFormula>
    </tableColumn>
    <tableColumn id="6" name="VERSEMENT" dataDxfId="214" dataCellStyle="Milliers"/>
    <tableColumn id="7" name="SOLDE" dataDxfId="213" totalsRowDxfId="21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id="22" name="VINODGRAISSE" displayName="VINODGRAISSE" ref="A8:G82" totalsRowShown="0" headerRowDxfId="208" dataDxfId="207">
  <autoFilter ref="A8:G82"/>
  <tableColumns count="7">
    <tableColumn id="1" name="DATE" dataDxfId="206" totalsRowDxfId="205"/>
    <tableColumn id="2" name="DESIGNATION" dataDxfId="204" totalsRowDxfId="203" dataCellStyle="Milliers"/>
    <tableColumn id="3" name="QUANTITE" dataDxfId="202" totalsRowDxfId="201" dataCellStyle="Milliers"/>
    <tableColumn id="4" name="PRIX UNITAIRE" dataDxfId="200" totalsRowDxfId="199" dataCellStyle="Milliers"/>
    <tableColumn id="5" name="TOTAL MONTANT" dataDxfId="198" totalsRowDxfId="197" dataCellStyle="Milliers">
      <calculatedColumnFormula>+$I$2+(VINODGRAISSE[[#This Row],[QUANTITE]]*VINODGRAISSE[[#This Row],[PRIX UNITAIRE]])</calculatedColumnFormula>
    </tableColumn>
    <tableColumn id="6" name="VERSEMENT" dataDxfId="196" totalsRowDxfId="195" dataCellStyle="Milliers"/>
    <tableColumn id="7" name="SOLDE" dataDxfId="194" totalsRowDxfId="193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id="23" name="ABASSFARESS" displayName="ABASSFARESS" ref="A8:G72" totalsRowShown="0" headerRowDxfId="189" dataDxfId="188">
  <autoFilter ref="A8:G72"/>
  <tableColumns count="7">
    <tableColumn id="1" name="DATE" dataDxfId="187" totalsRowDxfId="186"/>
    <tableColumn id="2" name="DESIGNATION" dataDxfId="185" totalsRowDxfId="184" dataCellStyle="Milliers"/>
    <tableColumn id="3" name="QUANTITE" dataDxfId="183" totalsRowDxfId="182" dataCellStyle="Milliers"/>
    <tableColumn id="4" name="PRIX UNITAIRE" dataDxfId="181" totalsRowDxfId="180" dataCellStyle="Milliers"/>
    <tableColumn id="5" name="TOTAL MONTANT" dataDxfId="179" totalsRowDxfId="178" dataCellStyle="Milliers">
      <calculatedColumnFormula>+$I$2+(ABASSFARESS[[#This Row],[QUANTITE]]*ABASSFARESS[[#This Row],[PRIX UNITAIRE]])</calculatedColumnFormula>
    </tableColumn>
    <tableColumn id="6" name="VERSEMENT" dataDxfId="177" totalsRowDxfId="176" dataCellStyle="Milliers"/>
    <tableColumn id="7" name="SOLDE" dataDxfId="175" totalsRowDxfId="174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id="25" name="ALIJONA" displayName="ALIJONA" ref="A8:G153" totalsRowShown="0" headerRowDxfId="170" dataDxfId="169">
  <autoFilter ref="A8:G153"/>
  <tableColumns count="7">
    <tableColumn id="1" name="DATE" dataDxfId="168" totalsRowDxfId="167"/>
    <tableColumn id="2" name="DESIGNATION" dataDxfId="166" totalsRowDxfId="165" dataCellStyle="Milliers"/>
    <tableColumn id="3" name="QUANTITE" dataDxfId="164" totalsRowDxfId="163" dataCellStyle="Milliers"/>
    <tableColumn id="4" name="PRIX UNITAIRE" dataDxfId="162" totalsRowDxfId="161" dataCellStyle="Milliers"/>
    <tableColumn id="5" name="TOTAL MONTANT" dataDxfId="160" totalsRowDxfId="159" dataCellStyle="Milliers">
      <calculatedColumnFormula>+$I$2+(ALIJONA[[#This Row],[QUANTITE]]*ALIJONA[[#This Row],[PRIX UNITAIRE]])</calculatedColumnFormula>
    </tableColumn>
    <tableColumn id="6" name="VERSEMENT" dataDxfId="158" dataCellStyle="Milliers"/>
    <tableColumn id="7" name="SOLDE" dataDxfId="157" totalsRowDxfId="15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id="28" name="JOSEPHCHARBEL" displayName="JOSEPHCHARBEL" ref="A8:G122" totalsRowShown="0" headerRowDxfId="152" dataDxfId="151">
  <autoFilter ref="A8:G122"/>
  <tableColumns count="7">
    <tableColumn id="1" name="DATE" dataDxfId="150" totalsRowDxfId="149"/>
    <tableColumn id="2" name="DESIGNATION" dataDxfId="148" totalsRowDxfId="147" dataCellStyle="Milliers"/>
    <tableColumn id="3" name="QUANTITE" dataDxfId="146" totalsRowDxfId="145" dataCellStyle="Milliers"/>
    <tableColumn id="4" name="PRIX UNITAIRE" dataDxfId="144" totalsRowDxfId="143" dataCellStyle="Milliers"/>
    <tableColumn id="5" name="TOTAL MONTANT" dataDxfId="142" totalsRowDxfId="141" dataCellStyle="Milliers">
      <calculatedColumnFormula>+$I$2+(JOSEPHCHARBEL[[#This Row],[QUANTITE]]*JOSEPHCHARBEL[[#This Row],[PRIX UNITAIRE]])</calculatedColumnFormula>
    </tableColumn>
    <tableColumn id="6" name="VERSEMENT" dataDxfId="140" totalsRowDxfId="139" dataCellStyle="Milliers"/>
    <tableColumn id="7" name="SOLDE" dataDxfId="138" totalsRowDxfId="13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id="26" name="BAKAYOKO" displayName="BAKAYOKO" ref="A8:G236" totalsRowCount="1" headerRowDxfId="131" dataDxfId="130">
  <autoFilter ref="A8:G235"/>
  <tableColumns count="7">
    <tableColumn id="1" name="DATE" dataDxfId="129" totalsRowDxfId="128"/>
    <tableColumn id="2" name="DESIGNATION" dataDxfId="127" totalsRowDxfId="126" dataCellStyle="Milliers"/>
    <tableColumn id="3" name="QUANTITE" dataDxfId="125" totalsRowDxfId="124" dataCellStyle="Milliers"/>
    <tableColumn id="4" name="PRIX UNITAIRE" dataDxfId="123" totalsRowDxfId="122" dataCellStyle="Milliers"/>
    <tableColumn id="5" name="TOTAL MONTANT" totalsRowFunction="sum" dataDxfId="121" totalsRowDxfId="120" dataCellStyle="Milliers">
      <calculatedColumnFormula>+$I$2+(BAKAYOKO[[#This Row],[QUANTITE]]*BAKAYOKO[[#This Row],[PRIX UNITAIRE]])</calculatedColumnFormula>
    </tableColumn>
    <tableColumn id="6" name="VERSEMENT" totalsRowFunction="sum" dataDxfId="119" totalsRowDxfId="118" dataCellStyle="Milliers"/>
    <tableColumn id="7" name="SOLDE" totalsRowFunction="sum" dataDxfId="117" totalsRowDxfId="11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id="27" name="REDA" displayName="REDA" ref="A8:G364" totalsRowShown="0" headerRowDxfId="112" dataDxfId="111">
  <autoFilter ref="A8:G364"/>
  <tableColumns count="7">
    <tableColumn id="1" name="DATE" dataDxfId="110" totalsRowDxfId="109"/>
    <tableColumn id="2" name="DESIGNATION" dataDxfId="108" totalsRowDxfId="107" dataCellStyle="Milliers"/>
    <tableColumn id="3" name="QUANTITE" dataDxfId="106" totalsRowDxfId="105" dataCellStyle="Milliers"/>
    <tableColumn id="4" name="PRIX UNITAIRE" dataDxfId="104" totalsRowDxfId="103" dataCellStyle="Milliers"/>
    <tableColumn id="5" name="TOTAL MONTANT" dataDxfId="102" totalsRowDxfId="101" dataCellStyle="Milliers">
      <calculatedColumnFormula>+$H$2+(REDA[[#This Row],[QUANTITE]]*REDA[[#This Row],[PRIX UNITAIRE]])</calculatedColumnFormula>
    </tableColumn>
    <tableColumn id="6" name="VERSEMENT" dataDxfId="100" totalsRowDxfId="99" dataCellStyle="Milliers"/>
    <tableColumn id="7" name="SOLDE" dataDxfId="98" totalsRowDxfId="9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id="29" name="BENARDPNEU" displayName="BENARDPNEU" ref="A8:G72" totalsRowShown="0" headerRowDxfId="93" dataDxfId="92">
  <autoFilter ref="A8:G72"/>
  <tableColumns count="7">
    <tableColumn id="1" name="DATE" dataDxfId="91" totalsRowDxfId="90"/>
    <tableColumn id="2" name="DESIGNATION" dataDxfId="89" totalsRowDxfId="88" dataCellStyle="Milliers"/>
    <tableColumn id="3" name="QUANTITE" dataDxfId="87" totalsRowDxfId="86" dataCellStyle="Milliers"/>
    <tableColumn id="4" name="PRIX UNITAIRE" dataDxfId="85" totalsRowDxfId="84" dataCellStyle="Milliers"/>
    <tableColumn id="5" name="TOTAL MONTANT" dataDxfId="83" totalsRowDxfId="82" dataCellStyle="Milliers">
      <calculatedColumnFormula>+$I$2+(BENARDPNEU[[#This Row],[QUANTITE]]*BENARDPNEU[[#This Row],[PRIX UNITAIRE]])</calculatedColumnFormula>
    </tableColumn>
    <tableColumn id="6" name="VERSEMENT" dataDxfId="81" totalsRowDxfId="80" dataCellStyle="Milliers"/>
    <tableColumn id="7" name="SOLDE" dataDxfId="79" totalsRowDxfId="7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"/>
  <sheetViews>
    <sheetView showGridLines="0" tabSelected="1" zoomScale="80" zoomScaleNormal="80" workbookViewId="0"/>
  </sheetViews>
  <sheetFormatPr baseColWidth="10" defaultRowHeight="14.4" x14ac:dyDescent="0.3"/>
  <sheetData/>
  <pageMargins left="0.7" right="0.7" top="0.75" bottom="0.75" header="0.3" footer="0.3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/>
  <dimension ref="A1:H159"/>
  <sheetViews>
    <sheetView showGridLines="0" zoomScale="60" zoomScaleNormal="60" workbookViewId="0">
      <pane ySplit="8" topLeftCell="A9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 customWidth="1"/>
    <col min="9" max="16384" width="11.5546875" style="1"/>
  </cols>
  <sheetData>
    <row r="1" spans="1:8" x14ac:dyDescent="0.3">
      <c r="A1" s="31"/>
      <c r="B1" s="31"/>
      <c r="C1" s="31"/>
    </row>
    <row r="2" spans="1:8" ht="36" customHeight="1" thickBot="1" x14ac:dyDescent="0.65">
      <c r="A2" s="31"/>
      <c r="B2" s="31"/>
      <c r="C2" s="31"/>
      <c r="D2" s="37"/>
      <c r="E2" s="38"/>
      <c r="F2" s="38"/>
      <c r="G2" s="38"/>
      <c r="H2" s="1">
        <v>0</v>
      </c>
    </row>
    <row r="3" spans="1:8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8" ht="31.2" x14ac:dyDescent="0.6">
      <c r="A4" s="31"/>
      <c r="B4" s="31"/>
      <c r="C4" s="31"/>
      <c r="D4" s="36" t="s">
        <v>19</v>
      </c>
      <c r="E4" s="39">
        <f>+SUM(MAHMOUDCHAALAN[TOTAL MONTANT])</f>
        <v>4030000</v>
      </c>
      <c r="F4" s="39">
        <f>+SUM(MAHMOUDCHAALAN[VERSEMENT])</f>
        <v>1000000</v>
      </c>
      <c r="G4" s="39">
        <f>+E4-F4</f>
        <v>3030000</v>
      </c>
    </row>
    <row r="5" spans="1:8" ht="29.4" thickBot="1" x14ac:dyDescent="0.35">
      <c r="B5" s="3" t="s">
        <v>7</v>
      </c>
    </row>
    <row r="6" spans="1:8" ht="37.200000000000003" thickBot="1" x14ac:dyDescent="0.75">
      <c r="B6" s="113" t="s">
        <v>57</v>
      </c>
      <c r="C6" s="114"/>
      <c r="E6" s="42" t="b">
        <v>1</v>
      </c>
    </row>
    <row r="8" spans="1:8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8" ht="28.8" x14ac:dyDescent="0.55000000000000004">
      <c r="A9" s="12">
        <v>46069</v>
      </c>
      <c r="B9" s="13" t="s">
        <v>58</v>
      </c>
      <c r="C9" s="10">
        <v>1</v>
      </c>
      <c r="D9" s="10">
        <v>3355000</v>
      </c>
      <c r="E9" s="7">
        <v>3355000</v>
      </c>
      <c r="F9" s="22">
        <v>0</v>
      </c>
      <c r="G9" s="10">
        <f>SUM(E$9:$E9)-SUM(F$9:$F9)</f>
        <v>3355000</v>
      </c>
    </row>
    <row r="10" spans="1:8" ht="28.8" x14ac:dyDescent="0.55000000000000004">
      <c r="A10" s="24">
        <v>46071</v>
      </c>
      <c r="B10" s="65" t="s">
        <v>59</v>
      </c>
      <c r="C10" s="26">
        <v>1</v>
      </c>
      <c r="D10" s="26">
        <v>35000</v>
      </c>
      <c r="E10" s="27">
        <v>35000</v>
      </c>
      <c r="F10" s="30">
        <v>0</v>
      </c>
      <c r="G10" s="29">
        <f>SUM(E$9:$E10)-SUM(F$9:$F10)</f>
        <v>3390000</v>
      </c>
    </row>
    <row r="11" spans="1:8" ht="28.8" x14ac:dyDescent="0.55000000000000004">
      <c r="A11" s="24">
        <v>46071</v>
      </c>
      <c r="B11" s="13" t="s">
        <v>60</v>
      </c>
      <c r="C11" s="26">
        <v>1</v>
      </c>
      <c r="D11" s="26">
        <v>25000</v>
      </c>
      <c r="E11" s="27">
        <v>25000</v>
      </c>
      <c r="F11" s="30">
        <v>0</v>
      </c>
      <c r="G11" s="29">
        <f>SUM(E$9:$E11)-SUM(F$9:$F11)</f>
        <v>3415000</v>
      </c>
    </row>
    <row r="12" spans="1:8" ht="28.8" x14ac:dyDescent="0.55000000000000004">
      <c r="A12" s="24">
        <v>46077</v>
      </c>
      <c r="B12" s="13" t="s">
        <v>34</v>
      </c>
      <c r="C12" s="26">
        <v>1</v>
      </c>
      <c r="D12" s="26">
        <v>400000</v>
      </c>
      <c r="E12" s="27">
        <v>400000</v>
      </c>
      <c r="F12" s="30">
        <v>0</v>
      </c>
      <c r="G12" s="29">
        <f>SUM(E$9:$E12)-SUM(F$9:$F12)</f>
        <v>3815000</v>
      </c>
    </row>
    <row r="13" spans="1:8" ht="28.8" x14ac:dyDescent="0.55000000000000004">
      <c r="A13" s="24">
        <v>46081</v>
      </c>
      <c r="B13" s="25" t="s">
        <v>11</v>
      </c>
      <c r="C13" s="26">
        <v>1</v>
      </c>
      <c r="D13" s="26">
        <v>0</v>
      </c>
      <c r="E13" s="27">
        <v>0</v>
      </c>
      <c r="F13" s="30">
        <v>500000</v>
      </c>
      <c r="G13" s="29">
        <f>SUM(E$9:$E13)-SUM(F$9:$F13)</f>
        <v>3315000</v>
      </c>
    </row>
    <row r="14" spans="1:8" ht="28.8" x14ac:dyDescent="0.55000000000000004">
      <c r="A14" s="24">
        <v>46083</v>
      </c>
      <c r="B14" s="25" t="s">
        <v>61</v>
      </c>
      <c r="C14" s="26">
        <v>2</v>
      </c>
      <c r="D14" s="26">
        <v>7500</v>
      </c>
      <c r="E14" s="27">
        <v>15000</v>
      </c>
      <c r="F14" s="30">
        <v>0</v>
      </c>
      <c r="G14" s="29">
        <f>SUM(E$9:$E14)-SUM(F$9:$F14)</f>
        <v>3330000</v>
      </c>
    </row>
    <row r="15" spans="1:8" ht="28.8" x14ac:dyDescent="0.55000000000000004">
      <c r="A15" s="24">
        <v>46083</v>
      </c>
      <c r="B15" s="25" t="s">
        <v>12</v>
      </c>
      <c r="C15" s="26">
        <v>5</v>
      </c>
      <c r="D15" s="26">
        <v>3500</v>
      </c>
      <c r="E15" s="27">
        <v>17500</v>
      </c>
      <c r="F15" s="30">
        <v>0</v>
      </c>
      <c r="G15" s="29">
        <f>SUM(E$9:$E15)-SUM(F$9:$F15)</f>
        <v>3347500</v>
      </c>
    </row>
    <row r="16" spans="1:8" ht="28.8" x14ac:dyDescent="0.55000000000000004">
      <c r="A16" s="24">
        <v>46083</v>
      </c>
      <c r="B16" s="25" t="s">
        <v>62</v>
      </c>
      <c r="C16" s="26">
        <v>12</v>
      </c>
      <c r="D16" s="26">
        <v>0</v>
      </c>
      <c r="E16" s="27">
        <v>32500</v>
      </c>
      <c r="F16" s="30">
        <v>0</v>
      </c>
      <c r="G16" s="29">
        <f>SUM(E$9:$E16)-SUM(F$9:$F16)</f>
        <v>3380000</v>
      </c>
    </row>
    <row r="17" spans="1:7" ht="28.8" x14ac:dyDescent="0.55000000000000004">
      <c r="A17" s="24">
        <v>46085</v>
      </c>
      <c r="B17" s="25" t="s">
        <v>63</v>
      </c>
      <c r="C17" s="26">
        <v>1</v>
      </c>
      <c r="D17" s="26">
        <v>0</v>
      </c>
      <c r="E17" s="27">
        <v>0</v>
      </c>
      <c r="F17" s="30">
        <v>0</v>
      </c>
      <c r="G17" s="29">
        <f>SUM(E$9:$E17)-SUM(F$9:$F17)</f>
        <v>3380000</v>
      </c>
    </row>
    <row r="18" spans="1:7" ht="28.8" x14ac:dyDescent="0.55000000000000004">
      <c r="A18" s="24">
        <v>46085</v>
      </c>
      <c r="B18" s="25" t="s">
        <v>64</v>
      </c>
      <c r="C18" s="26">
        <v>2</v>
      </c>
      <c r="D18" s="26">
        <v>10000</v>
      </c>
      <c r="E18" s="27">
        <v>20000</v>
      </c>
      <c r="F18" s="30">
        <v>0</v>
      </c>
      <c r="G18" s="29">
        <f>SUM(E$9:$E18)-SUM(F$9:$F18)</f>
        <v>3400000</v>
      </c>
    </row>
    <row r="19" spans="1:7" ht="28.8" x14ac:dyDescent="0.55000000000000004">
      <c r="A19" s="24">
        <v>46086</v>
      </c>
      <c r="B19" s="25" t="s">
        <v>65</v>
      </c>
      <c r="C19" s="26">
        <v>1</v>
      </c>
      <c r="D19" s="26">
        <v>30000</v>
      </c>
      <c r="E19" s="27">
        <v>30000</v>
      </c>
      <c r="F19" s="30">
        <v>0</v>
      </c>
      <c r="G19" s="29">
        <f>SUM(E$9:$E19)-SUM(F$9:$F19)</f>
        <v>3430000</v>
      </c>
    </row>
    <row r="20" spans="1:7" ht="28.8" x14ac:dyDescent="0.55000000000000004">
      <c r="A20" s="24">
        <v>46086</v>
      </c>
      <c r="B20" s="25" t="s">
        <v>66</v>
      </c>
      <c r="C20" s="26">
        <v>1</v>
      </c>
      <c r="D20" s="26">
        <v>30000</v>
      </c>
      <c r="E20" s="27">
        <v>30000</v>
      </c>
      <c r="F20" s="30">
        <v>0</v>
      </c>
      <c r="G20" s="29">
        <f>SUM(E$9:$E20)-SUM(F$9:$F20)</f>
        <v>3460000</v>
      </c>
    </row>
    <row r="21" spans="1:7" ht="28.8" x14ac:dyDescent="0.55000000000000004">
      <c r="A21" s="24">
        <v>46095</v>
      </c>
      <c r="B21" s="25" t="s">
        <v>67</v>
      </c>
      <c r="C21" s="26">
        <v>1</v>
      </c>
      <c r="D21" s="26">
        <v>70000</v>
      </c>
      <c r="E21" s="27">
        <v>70000</v>
      </c>
      <c r="F21" s="30">
        <v>0</v>
      </c>
      <c r="G21" s="29">
        <f>SUM(E$9:$E21)-SUM(F$9:$F21)</f>
        <v>3530000</v>
      </c>
    </row>
    <row r="22" spans="1:7" ht="28.8" x14ac:dyDescent="0.55000000000000004">
      <c r="A22" s="24">
        <v>46094</v>
      </c>
      <c r="B22" s="25" t="s">
        <v>11</v>
      </c>
      <c r="C22" s="26">
        <v>1</v>
      </c>
      <c r="D22" s="26">
        <v>0</v>
      </c>
      <c r="E22" s="27">
        <v>0</v>
      </c>
      <c r="F22" s="30">
        <v>500000</v>
      </c>
      <c r="G22" s="29">
        <f>SUM(E$9:$E22)-SUM(F$9:$F22)</f>
        <v>3030000</v>
      </c>
    </row>
    <row r="23" spans="1:7" ht="28.8" x14ac:dyDescent="0.55000000000000004">
      <c r="A23" s="24"/>
      <c r="B23" s="25"/>
      <c r="C23" s="26"/>
      <c r="D23" s="26"/>
      <c r="E23" s="27">
        <f>+$H$2+(MAHMOUDCHAALAN[[#This Row],[QUANTITE]]*MAHMOUDCHAALAN[[#This Row],[PRIX UNITAIRE]])</f>
        <v>0</v>
      </c>
      <c r="F23" s="30"/>
      <c r="G23" s="29">
        <f>SUM(E$9:$E23)-SUM(F$9:$F23)</f>
        <v>3030000</v>
      </c>
    </row>
    <row r="24" spans="1:7" ht="28.8" x14ac:dyDescent="0.55000000000000004">
      <c r="A24" s="24"/>
      <c r="B24" s="25"/>
      <c r="C24" s="26"/>
      <c r="D24" s="26"/>
      <c r="E24" s="27">
        <f>+$H$2+(MAHMOUDCHAALAN[[#This Row],[QUANTITE]]*MAHMOUDCHAALAN[[#This Row],[PRIX UNITAIRE]])</f>
        <v>0</v>
      </c>
      <c r="F24" s="30"/>
      <c r="G24" s="29">
        <f>SUM(E$9:$E24)-SUM(F$9:$F24)</f>
        <v>3030000</v>
      </c>
    </row>
    <row r="25" spans="1:7" ht="28.8" x14ac:dyDescent="0.55000000000000004">
      <c r="A25" s="24"/>
      <c r="B25" s="25"/>
      <c r="C25" s="26"/>
      <c r="D25" s="26"/>
      <c r="E25" s="27">
        <f>+$H$2+(MAHMOUDCHAALAN[[#This Row],[QUANTITE]]*MAHMOUDCHAALAN[[#This Row],[PRIX UNITAIRE]])</f>
        <v>0</v>
      </c>
      <c r="F25" s="30"/>
      <c r="G25" s="29">
        <f>SUM(E$9:$E25)-SUM(F$9:$F25)</f>
        <v>3030000</v>
      </c>
    </row>
    <row r="26" spans="1:7" ht="28.8" x14ac:dyDescent="0.55000000000000004">
      <c r="A26" s="24"/>
      <c r="B26" s="25"/>
      <c r="C26" s="26"/>
      <c r="D26" s="26"/>
      <c r="E26" s="27">
        <f>+$H$2+(MAHMOUDCHAALAN[[#This Row],[QUANTITE]]*MAHMOUDCHAALAN[[#This Row],[PRIX UNITAIRE]])</f>
        <v>0</v>
      </c>
      <c r="F26" s="30"/>
      <c r="G26" s="29">
        <f>SUM(E$9:$E26)-SUM(F$9:$F26)</f>
        <v>3030000</v>
      </c>
    </row>
    <row r="27" spans="1:7" ht="28.8" x14ac:dyDescent="0.55000000000000004">
      <c r="A27" s="24"/>
      <c r="B27" s="25"/>
      <c r="C27" s="26"/>
      <c r="D27" s="26"/>
      <c r="E27" s="27">
        <f>+$H$2+(MAHMOUDCHAALAN[[#This Row],[QUANTITE]]*MAHMOUDCHAALAN[[#This Row],[PRIX UNITAIRE]])</f>
        <v>0</v>
      </c>
      <c r="F27" s="30"/>
      <c r="G27" s="29">
        <f>SUM(E$9:$E27)-SUM(F$9:$F27)</f>
        <v>3030000</v>
      </c>
    </row>
    <row r="28" spans="1:7" ht="28.8" x14ac:dyDescent="0.55000000000000004">
      <c r="A28" s="24"/>
      <c r="B28" s="25"/>
      <c r="C28" s="26"/>
      <c r="D28" s="26"/>
      <c r="E28" s="27">
        <f>+$H$2+(MAHMOUDCHAALAN[[#This Row],[QUANTITE]]*MAHMOUDCHAALAN[[#This Row],[PRIX UNITAIRE]])</f>
        <v>0</v>
      </c>
      <c r="F28" s="30"/>
      <c r="G28" s="29">
        <f>SUM(E$9:$E28)-SUM(F$9:$F28)</f>
        <v>3030000</v>
      </c>
    </row>
    <row r="29" spans="1:7" ht="28.8" x14ac:dyDescent="0.55000000000000004">
      <c r="A29" s="24"/>
      <c r="B29" s="25"/>
      <c r="C29" s="26"/>
      <c r="D29" s="26"/>
      <c r="E29" s="27">
        <f>+$H$2+(MAHMOUDCHAALAN[[#This Row],[QUANTITE]]*MAHMOUDCHAALAN[[#This Row],[PRIX UNITAIRE]])</f>
        <v>0</v>
      </c>
      <c r="F29" s="30"/>
      <c r="G29" s="29">
        <f>SUM(E$9:$E29)-SUM(F$9:$F29)</f>
        <v>3030000</v>
      </c>
    </row>
    <row r="30" spans="1:7" ht="28.8" x14ac:dyDescent="0.55000000000000004">
      <c r="A30" s="24"/>
      <c r="B30" s="25"/>
      <c r="C30" s="26"/>
      <c r="D30" s="26"/>
      <c r="E30" s="27">
        <f>+$H$2+(MAHMOUDCHAALAN[[#This Row],[QUANTITE]]*MAHMOUDCHAALAN[[#This Row],[PRIX UNITAIRE]])</f>
        <v>0</v>
      </c>
      <c r="F30" s="30"/>
      <c r="G30" s="29">
        <f>SUM(E$9:$E30)-SUM(F$9:$F30)</f>
        <v>3030000</v>
      </c>
    </row>
    <row r="31" spans="1:7" ht="28.8" x14ac:dyDescent="0.55000000000000004">
      <c r="A31" s="24"/>
      <c r="B31" s="25"/>
      <c r="C31" s="26"/>
      <c r="D31" s="26"/>
      <c r="E31" s="27">
        <f>+$H$2+(MAHMOUDCHAALAN[[#This Row],[QUANTITE]]*MAHMOUDCHAALAN[[#This Row],[PRIX UNITAIRE]])</f>
        <v>0</v>
      </c>
      <c r="F31" s="30"/>
      <c r="G31" s="29">
        <f>SUM(E$9:$E31)-SUM(F$9:$F31)</f>
        <v>3030000</v>
      </c>
    </row>
    <row r="32" spans="1:7" ht="28.8" x14ac:dyDescent="0.55000000000000004">
      <c r="A32" s="24"/>
      <c r="B32" s="25"/>
      <c r="C32" s="26"/>
      <c r="D32" s="26"/>
      <c r="E32" s="27">
        <f>+$H$2+(MAHMOUDCHAALAN[[#This Row],[QUANTITE]]*MAHMOUDCHAALAN[[#This Row],[PRIX UNITAIRE]])</f>
        <v>0</v>
      </c>
      <c r="F32" s="30"/>
      <c r="G32" s="29">
        <f>SUM(E$9:$E32)-SUM(F$9:$F32)</f>
        <v>3030000</v>
      </c>
    </row>
    <row r="33" spans="1:7" ht="28.8" x14ac:dyDescent="0.55000000000000004">
      <c r="A33" s="24"/>
      <c r="B33" s="25"/>
      <c r="C33" s="26"/>
      <c r="D33" s="26"/>
      <c r="E33" s="27">
        <f>+$H$2+(MAHMOUDCHAALAN[[#This Row],[QUANTITE]]*MAHMOUDCHAALAN[[#This Row],[PRIX UNITAIRE]])</f>
        <v>0</v>
      </c>
      <c r="F33" s="30"/>
      <c r="G33" s="29">
        <f>SUM(E$9:$E33)-SUM(F$9:$F33)</f>
        <v>3030000</v>
      </c>
    </row>
    <row r="34" spans="1:7" ht="28.8" x14ac:dyDescent="0.55000000000000004">
      <c r="A34" s="24"/>
      <c r="B34" s="25"/>
      <c r="C34" s="26"/>
      <c r="D34" s="26"/>
      <c r="E34" s="27">
        <f>+$H$2+(MAHMOUDCHAALAN[[#This Row],[QUANTITE]]*MAHMOUDCHAALAN[[#This Row],[PRIX UNITAIRE]])</f>
        <v>0</v>
      </c>
      <c r="F34" s="30"/>
      <c r="G34" s="29">
        <f>SUM(E$9:$E34)-SUM(F$9:$F34)</f>
        <v>3030000</v>
      </c>
    </row>
    <row r="35" spans="1:7" ht="28.8" x14ac:dyDescent="0.55000000000000004">
      <c r="A35" s="24"/>
      <c r="B35" s="25"/>
      <c r="C35" s="26"/>
      <c r="D35" s="26"/>
      <c r="E35" s="27">
        <f>+$H$2+(MAHMOUDCHAALAN[[#This Row],[QUANTITE]]*MAHMOUDCHAALAN[[#This Row],[PRIX UNITAIRE]])</f>
        <v>0</v>
      </c>
      <c r="F35" s="30"/>
      <c r="G35" s="29">
        <f>SUM(E$9:$E35)-SUM(F$9:$F35)</f>
        <v>3030000</v>
      </c>
    </row>
    <row r="36" spans="1:7" ht="28.8" x14ac:dyDescent="0.55000000000000004">
      <c r="A36" s="24"/>
      <c r="B36" s="25"/>
      <c r="C36" s="26"/>
      <c r="D36" s="26"/>
      <c r="E36" s="27">
        <f>+$H$2+(MAHMOUDCHAALAN[[#This Row],[QUANTITE]]*MAHMOUDCHAALAN[[#This Row],[PRIX UNITAIRE]])</f>
        <v>0</v>
      </c>
      <c r="F36" s="30"/>
      <c r="G36" s="29">
        <f>SUM(E$9:$E36)-SUM(F$9:$F36)</f>
        <v>3030000</v>
      </c>
    </row>
    <row r="37" spans="1:7" ht="28.8" x14ac:dyDescent="0.55000000000000004">
      <c r="A37" s="24"/>
      <c r="B37" s="25"/>
      <c r="C37" s="26"/>
      <c r="D37" s="26"/>
      <c r="E37" s="27">
        <f>+$H$2+(MAHMOUDCHAALAN[[#This Row],[QUANTITE]]*MAHMOUDCHAALAN[[#This Row],[PRIX UNITAIRE]])</f>
        <v>0</v>
      </c>
      <c r="F37" s="30"/>
      <c r="G37" s="29">
        <f>SUM(E$9:$E37)-SUM(F$9:$F37)</f>
        <v>3030000</v>
      </c>
    </row>
    <row r="38" spans="1:7" ht="28.8" x14ac:dyDescent="0.55000000000000004">
      <c r="A38" s="24"/>
      <c r="B38" s="25"/>
      <c r="C38" s="26"/>
      <c r="D38" s="26"/>
      <c r="E38" s="27">
        <f>+$H$2+(MAHMOUDCHAALAN[[#This Row],[QUANTITE]]*MAHMOUDCHAALAN[[#This Row],[PRIX UNITAIRE]])</f>
        <v>0</v>
      </c>
      <c r="F38" s="30"/>
      <c r="G38" s="29">
        <f>SUM(E$9:$E38)-SUM(F$9:$F38)</f>
        <v>3030000</v>
      </c>
    </row>
    <row r="39" spans="1:7" ht="28.8" x14ac:dyDescent="0.55000000000000004">
      <c r="A39" s="24"/>
      <c r="B39" s="25"/>
      <c r="C39" s="26"/>
      <c r="D39" s="26"/>
      <c r="E39" s="27">
        <f>+$H$2+(MAHMOUDCHAALAN[[#This Row],[QUANTITE]]*MAHMOUDCHAALAN[[#This Row],[PRIX UNITAIRE]])</f>
        <v>0</v>
      </c>
      <c r="F39" s="30"/>
      <c r="G39" s="29">
        <f>SUM(E$9:$E39)-SUM(F$9:$F39)</f>
        <v>3030000</v>
      </c>
    </row>
    <row r="40" spans="1:7" ht="28.8" x14ac:dyDescent="0.55000000000000004">
      <c r="A40" s="24"/>
      <c r="B40" s="25"/>
      <c r="C40" s="26"/>
      <c r="D40" s="26"/>
      <c r="E40" s="27">
        <f>+$H$2+(MAHMOUDCHAALAN[[#This Row],[QUANTITE]]*MAHMOUDCHAALAN[[#This Row],[PRIX UNITAIRE]])</f>
        <v>0</v>
      </c>
      <c r="F40" s="30"/>
      <c r="G40" s="29">
        <f>SUM(E$9:$E40)-SUM(F$9:$F40)</f>
        <v>3030000</v>
      </c>
    </row>
    <row r="41" spans="1:7" ht="28.8" x14ac:dyDescent="0.55000000000000004">
      <c r="A41" s="24"/>
      <c r="B41" s="25"/>
      <c r="C41" s="26"/>
      <c r="D41" s="26"/>
      <c r="E41" s="27">
        <f>+$H$2+(MAHMOUDCHAALAN[[#This Row],[QUANTITE]]*MAHMOUDCHAALAN[[#This Row],[PRIX UNITAIRE]])</f>
        <v>0</v>
      </c>
      <c r="F41" s="30"/>
      <c r="G41" s="29">
        <f>SUM(E$9:$E41)-SUM(F$9:$F41)</f>
        <v>3030000</v>
      </c>
    </row>
    <row r="42" spans="1:7" ht="28.8" x14ac:dyDescent="0.55000000000000004">
      <c r="A42" s="24"/>
      <c r="B42" s="25"/>
      <c r="C42" s="26"/>
      <c r="D42" s="26"/>
      <c r="E42" s="27">
        <f>+$H$2+(MAHMOUDCHAALAN[[#This Row],[QUANTITE]]*MAHMOUDCHAALAN[[#This Row],[PRIX UNITAIRE]])</f>
        <v>0</v>
      </c>
      <c r="F42" s="30"/>
      <c r="G42" s="29">
        <f>SUM(E$9:$E42)-SUM(F$9:$F42)</f>
        <v>3030000</v>
      </c>
    </row>
    <row r="43" spans="1:7" ht="28.8" x14ac:dyDescent="0.55000000000000004">
      <c r="A43" s="24"/>
      <c r="B43" s="25"/>
      <c r="C43" s="26"/>
      <c r="D43" s="26"/>
      <c r="E43" s="27">
        <f>+$H$2+(MAHMOUDCHAALAN[[#This Row],[QUANTITE]]*MAHMOUDCHAALAN[[#This Row],[PRIX UNITAIRE]])</f>
        <v>0</v>
      </c>
      <c r="F43" s="30"/>
      <c r="G43" s="29">
        <f>SUM(E$9:$E43)-SUM(F$9:$F43)</f>
        <v>3030000</v>
      </c>
    </row>
    <row r="44" spans="1:7" ht="28.8" x14ac:dyDescent="0.55000000000000004">
      <c r="A44" s="24"/>
      <c r="B44" s="25"/>
      <c r="C44" s="26"/>
      <c r="D44" s="26"/>
      <c r="E44" s="27">
        <f>+$H$2+(MAHMOUDCHAALAN[[#This Row],[QUANTITE]]*MAHMOUDCHAALAN[[#This Row],[PRIX UNITAIRE]])</f>
        <v>0</v>
      </c>
      <c r="F44" s="30"/>
      <c r="G44" s="29">
        <f>SUM(E$9:$E44)-SUM(F$9:$F44)</f>
        <v>3030000</v>
      </c>
    </row>
    <row r="45" spans="1:7" ht="28.8" x14ac:dyDescent="0.55000000000000004">
      <c r="A45" s="24"/>
      <c r="B45" s="25"/>
      <c r="C45" s="26"/>
      <c r="D45" s="26"/>
      <c r="E45" s="27">
        <f>+$H$2+(MAHMOUDCHAALAN[[#This Row],[QUANTITE]]*MAHMOUDCHAALAN[[#This Row],[PRIX UNITAIRE]])</f>
        <v>0</v>
      </c>
      <c r="F45" s="30"/>
      <c r="G45" s="29">
        <f>SUM(E$9:$E45)-SUM(F$9:$F45)</f>
        <v>3030000</v>
      </c>
    </row>
    <row r="46" spans="1:7" ht="28.8" x14ac:dyDescent="0.55000000000000004">
      <c r="A46" s="24"/>
      <c r="B46" s="25"/>
      <c r="C46" s="26"/>
      <c r="D46" s="26"/>
      <c r="E46" s="27">
        <f>+$H$2+(MAHMOUDCHAALAN[[#This Row],[QUANTITE]]*MAHMOUDCHAALAN[[#This Row],[PRIX UNITAIRE]])</f>
        <v>0</v>
      </c>
      <c r="F46" s="30"/>
      <c r="G46" s="29">
        <f>SUM(E$9:$E46)-SUM(F$9:$F46)</f>
        <v>3030000</v>
      </c>
    </row>
    <row r="47" spans="1:7" ht="28.8" x14ac:dyDescent="0.55000000000000004">
      <c r="A47" s="24"/>
      <c r="B47" s="25"/>
      <c r="C47" s="26"/>
      <c r="D47" s="26"/>
      <c r="E47" s="27">
        <f>+$H$2+(MAHMOUDCHAALAN[[#This Row],[QUANTITE]]*MAHMOUDCHAALAN[[#This Row],[PRIX UNITAIRE]])</f>
        <v>0</v>
      </c>
      <c r="F47" s="30"/>
      <c r="G47" s="29">
        <f>SUM(E$9:$E47)-SUM(F$9:$F47)</f>
        <v>3030000</v>
      </c>
    </row>
    <row r="48" spans="1:7" ht="28.8" x14ac:dyDescent="0.55000000000000004">
      <c r="A48" s="24"/>
      <c r="B48" s="25"/>
      <c r="C48" s="26"/>
      <c r="D48" s="26"/>
      <c r="E48" s="27">
        <f>+$H$2+(MAHMOUDCHAALAN[[#This Row],[QUANTITE]]*MAHMOUDCHAALAN[[#This Row],[PRIX UNITAIRE]])</f>
        <v>0</v>
      </c>
      <c r="F48" s="30"/>
      <c r="G48" s="29">
        <f>SUM(E$9:$E48)-SUM(F$9:$F48)</f>
        <v>3030000</v>
      </c>
    </row>
    <row r="49" spans="1:7" ht="28.8" x14ac:dyDescent="0.55000000000000004">
      <c r="A49" s="24"/>
      <c r="B49" s="25"/>
      <c r="C49" s="26"/>
      <c r="D49" s="26"/>
      <c r="E49" s="27">
        <f>+$H$2+(MAHMOUDCHAALAN[[#This Row],[QUANTITE]]*MAHMOUDCHAALAN[[#This Row],[PRIX UNITAIRE]])</f>
        <v>0</v>
      </c>
      <c r="F49" s="30"/>
      <c r="G49" s="29">
        <f>SUM(E$9:$E49)-SUM(F$9:$F49)</f>
        <v>3030000</v>
      </c>
    </row>
    <row r="50" spans="1:7" ht="28.8" x14ac:dyDescent="0.55000000000000004">
      <c r="A50" s="24"/>
      <c r="B50" s="25"/>
      <c r="C50" s="26"/>
      <c r="D50" s="26"/>
      <c r="E50" s="27">
        <f>+$H$2+(MAHMOUDCHAALAN[[#This Row],[QUANTITE]]*MAHMOUDCHAALAN[[#This Row],[PRIX UNITAIRE]])</f>
        <v>0</v>
      </c>
      <c r="F50" s="30"/>
      <c r="G50" s="29">
        <f>SUM(E$9:$E50)-SUM(F$9:$F50)</f>
        <v>3030000</v>
      </c>
    </row>
    <row r="51" spans="1:7" ht="28.8" x14ac:dyDescent="0.55000000000000004">
      <c r="A51" s="24"/>
      <c r="B51" s="25"/>
      <c r="C51" s="26"/>
      <c r="D51" s="26"/>
      <c r="E51" s="27">
        <f>+$H$2+(MAHMOUDCHAALAN[[#This Row],[QUANTITE]]*MAHMOUDCHAALAN[[#This Row],[PRIX UNITAIRE]])</f>
        <v>0</v>
      </c>
      <c r="F51" s="30"/>
      <c r="G51" s="29">
        <f>SUM(E$9:$E51)-SUM(F$9:$F51)</f>
        <v>3030000</v>
      </c>
    </row>
    <row r="52" spans="1:7" ht="28.8" x14ac:dyDescent="0.55000000000000004">
      <c r="A52" s="24"/>
      <c r="B52" s="25"/>
      <c r="C52" s="26"/>
      <c r="D52" s="26"/>
      <c r="E52" s="27">
        <f>+$H$2+(MAHMOUDCHAALAN[[#This Row],[QUANTITE]]*MAHMOUDCHAALAN[[#This Row],[PRIX UNITAIRE]])</f>
        <v>0</v>
      </c>
      <c r="F52" s="30"/>
      <c r="G52" s="29">
        <f>SUM(E$9:$E52)-SUM(F$9:$F52)</f>
        <v>3030000</v>
      </c>
    </row>
    <row r="53" spans="1:7" ht="28.8" x14ac:dyDescent="0.55000000000000004">
      <c r="A53" s="24"/>
      <c r="B53" s="25"/>
      <c r="C53" s="26"/>
      <c r="D53" s="26"/>
      <c r="E53" s="27">
        <f>+$H$2+(MAHMOUDCHAALAN[[#This Row],[QUANTITE]]*MAHMOUDCHAALAN[[#This Row],[PRIX UNITAIRE]])</f>
        <v>0</v>
      </c>
      <c r="F53" s="30"/>
      <c r="G53" s="29">
        <f>SUM(E$9:$E53)-SUM(F$9:$F53)</f>
        <v>3030000</v>
      </c>
    </row>
    <row r="54" spans="1:7" ht="28.8" x14ac:dyDescent="0.55000000000000004">
      <c r="A54" s="24"/>
      <c r="B54" s="25"/>
      <c r="C54" s="26"/>
      <c r="D54" s="26"/>
      <c r="E54" s="27">
        <f>+$H$2+(MAHMOUDCHAALAN[[#This Row],[QUANTITE]]*MAHMOUDCHAALAN[[#This Row],[PRIX UNITAIRE]])</f>
        <v>0</v>
      </c>
      <c r="F54" s="30"/>
      <c r="G54" s="29">
        <f>SUM(E$9:$E54)-SUM(F$9:$F54)</f>
        <v>3030000</v>
      </c>
    </row>
    <row r="55" spans="1:7" ht="28.8" x14ac:dyDescent="0.55000000000000004">
      <c r="A55" s="24"/>
      <c r="B55" s="25"/>
      <c r="C55" s="26"/>
      <c r="D55" s="26"/>
      <c r="E55" s="27">
        <f>+$H$2+(MAHMOUDCHAALAN[[#This Row],[QUANTITE]]*MAHMOUDCHAALAN[[#This Row],[PRIX UNITAIRE]])</f>
        <v>0</v>
      </c>
      <c r="F55" s="30"/>
      <c r="G55" s="29">
        <f>SUM(E$9:$E55)-SUM(F$9:$F55)</f>
        <v>3030000</v>
      </c>
    </row>
    <row r="56" spans="1:7" ht="28.8" x14ac:dyDescent="0.55000000000000004">
      <c r="A56" s="24"/>
      <c r="B56" s="25"/>
      <c r="C56" s="26"/>
      <c r="D56" s="26"/>
      <c r="E56" s="27">
        <f>+$H$2+(MAHMOUDCHAALAN[[#This Row],[QUANTITE]]*MAHMOUDCHAALAN[[#This Row],[PRIX UNITAIRE]])</f>
        <v>0</v>
      </c>
      <c r="F56" s="30"/>
      <c r="G56" s="29">
        <f>SUM(E$9:$E56)-SUM(F$9:$F56)</f>
        <v>3030000</v>
      </c>
    </row>
    <row r="57" spans="1:7" ht="28.8" x14ac:dyDescent="0.55000000000000004">
      <c r="A57" s="24"/>
      <c r="B57" s="25"/>
      <c r="C57" s="26"/>
      <c r="D57" s="26"/>
      <c r="E57" s="27">
        <f>+$H$2+(MAHMOUDCHAALAN[[#This Row],[QUANTITE]]*MAHMOUDCHAALAN[[#This Row],[PRIX UNITAIRE]])</f>
        <v>0</v>
      </c>
      <c r="F57" s="30"/>
      <c r="G57" s="29">
        <f>SUM(E$9:$E57)-SUM(F$9:$F57)</f>
        <v>3030000</v>
      </c>
    </row>
    <row r="58" spans="1:7" ht="28.8" x14ac:dyDescent="0.55000000000000004">
      <c r="A58" s="24"/>
      <c r="B58" s="25"/>
      <c r="C58" s="26"/>
      <c r="D58" s="26"/>
      <c r="E58" s="27">
        <f>+$H$2+(MAHMOUDCHAALAN[[#This Row],[QUANTITE]]*MAHMOUDCHAALAN[[#This Row],[PRIX UNITAIRE]])</f>
        <v>0</v>
      </c>
      <c r="F58" s="30"/>
      <c r="G58" s="29">
        <f>SUM(E$9:$E58)-SUM(F$9:$F58)</f>
        <v>3030000</v>
      </c>
    </row>
    <row r="59" spans="1:7" ht="28.8" x14ac:dyDescent="0.55000000000000004">
      <c r="A59" s="24"/>
      <c r="B59" s="25"/>
      <c r="C59" s="26"/>
      <c r="D59" s="26"/>
      <c r="E59" s="27">
        <f>+$H$2+(MAHMOUDCHAALAN[[#This Row],[QUANTITE]]*MAHMOUDCHAALAN[[#This Row],[PRIX UNITAIRE]])</f>
        <v>0</v>
      </c>
      <c r="F59" s="30"/>
      <c r="G59" s="29">
        <f>SUM(E$9:$E59)-SUM(F$9:$F59)</f>
        <v>3030000</v>
      </c>
    </row>
    <row r="60" spans="1:7" ht="28.8" x14ac:dyDescent="0.55000000000000004">
      <c r="A60" s="24"/>
      <c r="B60" s="25"/>
      <c r="C60" s="26"/>
      <c r="D60" s="26"/>
      <c r="E60" s="27">
        <f>+$H$2+(MAHMOUDCHAALAN[[#This Row],[QUANTITE]]*MAHMOUDCHAALAN[[#This Row],[PRIX UNITAIRE]])</f>
        <v>0</v>
      </c>
      <c r="F60" s="30"/>
      <c r="G60" s="29">
        <f>SUM(E$9:$E60)-SUM(F$9:$F60)</f>
        <v>3030000</v>
      </c>
    </row>
    <row r="61" spans="1:7" ht="28.8" x14ac:dyDescent="0.55000000000000004">
      <c r="A61" s="24"/>
      <c r="B61" s="25"/>
      <c r="C61" s="26"/>
      <c r="D61" s="26"/>
      <c r="E61" s="27">
        <f>+$H$2+(MAHMOUDCHAALAN[[#This Row],[QUANTITE]]*MAHMOUDCHAALAN[[#This Row],[PRIX UNITAIRE]])</f>
        <v>0</v>
      </c>
      <c r="F61" s="30"/>
      <c r="G61" s="29">
        <f>SUM(E$9:$E61)-SUM(F$9:$F61)</f>
        <v>3030000</v>
      </c>
    </row>
    <row r="62" spans="1:7" ht="28.8" x14ac:dyDescent="0.55000000000000004">
      <c r="A62" s="24"/>
      <c r="B62" s="25"/>
      <c r="C62" s="26"/>
      <c r="D62" s="26"/>
      <c r="E62" s="27">
        <f>+$H$2+(MAHMOUDCHAALAN[[#This Row],[QUANTITE]]*MAHMOUDCHAALAN[[#This Row],[PRIX UNITAIRE]])</f>
        <v>0</v>
      </c>
      <c r="F62" s="30"/>
      <c r="G62" s="29">
        <f>SUM(E$9:$E62)-SUM(F$9:$F62)</f>
        <v>3030000</v>
      </c>
    </row>
    <row r="63" spans="1:7" ht="28.8" x14ac:dyDescent="0.55000000000000004">
      <c r="A63" s="24"/>
      <c r="B63" s="25"/>
      <c r="C63" s="26"/>
      <c r="D63" s="26"/>
      <c r="E63" s="27">
        <f>+$H$2+(MAHMOUDCHAALAN[[#This Row],[QUANTITE]]*MAHMOUDCHAALAN[[#This Row],[PRIX UNITAIRE]])</f>
        <v>0</v>
      </c>
      <c r="F63" s="30"/>
      <c r="G63" s="29">
        <f>SUM(E$9:$E63)-SUM(F$9:$F63)</f>
        <v>3030000</v>
      </c>
    </row>
    <row r="64" spans="1:7" ht="28.8" x14ac:dyDescent="0.55000000000000004">
      <c r="A64" s="24"/>
      <c r="B64" s="25"/>
      <c r="C64" s="26"/>
      <c r="D64" s="26"/>
      <c r="E64" s="27">
        <f>+$H$2+(MAHMOUDCHAALAN[[#This Row],[QUANTITE]]*MAHMOUDCHAALAN[[#This Row],[PRIX UNITAIRE]])</f>
        <v>0</v>
      </c>
      <c r="F64" s="30"/>
      <c r="G64" s="29">
        <f>SUM(E$9:$E64)-SUM(F$9:$F64)</f>
        <v>3030000</v>
      </c>
    </row>
    <row r="65" spans="1:7" ht="28.8" x14ac:dyDescent="0.55000000000000004">
      <c r="A65" s="24"/>
      <c r="B65" s="25"/>
      <c r="C65" s="26"/>
      <c r="D65" s="26"/>
      <c r="E65" s="27">
        <f>+$H$2+(MAHMOUDCHAALAN[[#This Row],[QUANTITE]]*MAHMOUDCHAALAN[[#This Row],[PRIX UNITAIRE]])</f>
        <v>0</v>
      </c>
      <c r="F65" s="30"/>
      <c r="G65" s="29">
        <f>SUM(E$9:$E65)-SUM(F$9:$F65)</f>
        <v>3030000</v>
      </c>
    </row>
    <row r="66" spans="1:7" ht="28.8" x14ac:dyDescent="0.55000000000000004">
      <c r="A66" s="24"/>
      <c r="B66" s="25"/>
      <c r="C66" s="26"/>
      <c r="D66" s="26"/>
      <c r="E66" s="27">
        <f>+$H$2+(MAHMOUDCHAALAN[[#This Row],[QUANTITE]]*MAHMOUDCHAALAN[[#This Row],[PRIX UNITAIRE]])</f>
        <v>0</v>
      </c>
      <c r="F66" s="30"/>
      <c r="G66" s="29">
        <f>SUM(E$9:$E66)-SUM(F$9:$F66)</f>
        <v>3030000</v>
      </c>
    </row>
    <row r="67" spans="1:7" ht="28.8" x14ac:dyDescent="0.55000000000000004">
      <c r="A67" s="24"/>
      <c r="B67" s="25"/>
      <c r="C67" s="26"/>
      <c r="D67" s="26"/>
      <c r="E67" s="27">
        <f>+$H$2+(MAHMOUDCHAALAN[[#This Row],[QUANTITE]]*MAHMOUDCHAALAN[[#This Row],[PRIX UNITAIRE]])</f>
        <v>0</v>
      </c>
      <c r="F67" s="30"/>
      <c r="G67" s="29">
        <f>SUM(E$9:$E67)-SUM(F$9:$F67)</f>
        <v>3030000</v>
      </c>
    </row>
    <row r="68" spans="1:7" ht="28.8" x14ac:dyDescent="0.55000000000000004">
      <c r="A68" s="24"/>
      <c r="B68" s="25"/>
      <c r="C68" s="26"/>
      <c r="D68" s="26"/>
      <c r="E68" s="27">
        <f>+$H$2+(MAHMOUDCHAALAN[[#This Row],[QUANTITE]]*MAHMOUDCHAALAN[[#This Row],[PRIX UNITAIRE]])</f>
        <v>0</v>
      </c>
      <c r="F68" s="30"/>
      <c r="G68" s="29">
        <f>SUM(E$9:$E68)-SUM(F$9:$F68)</f>
        <v>3030000</v>
      </c>
    </row>
    <row r="69" spans="1:7" ht="28.8" x14ac:dyDescent="0.55000000000000004">
      <c r="A69" s="24"/>
      <c r="B69" s="25"/>
      <c r="C69" s="26"/>
      <c r="D69" s="26"/>
      <c r="E69" s="27">
        <f>+$H$2+(MAHMOUDCHAALAN[[#This Row],[QUANTITE]]*MAHMOUDCHAALAN[[#This Row],[PRIX UNITAIRE]])</f>
        <v>0</v>
      </c>
      <c r="F69" s="30"/>
      <c r="G69" s="29">
        <f>SUM(E$9:$E69)-SUM(F$9:$F69)</f>
        <v>3030000</v>
      </c>
    </row>
    <row r="70" spans="1:7" ht="28.8" x14ac:dyDescent="0.55000000000000004">
      <c r="A70" s="24"/>
      <c r="B70" s="25"/>
      <c r="C70" s="26"/>
      <c r="D70" s="26"/>
      <c r="E70" s="27">
        <f>+$H$2+(MAHMOUDCHAALAN[[#This Row],[QUANTITE]]*MAHMOUDCHAALAN[[#This Row],[PRIX UNITAIRE]])</f>
        <v>0</v>
      </c>
      <c r="F70" s="30"/>
      <c r="G70" s="29">
        <f>SUM(E$9:$E70)-SUM(F$9:$F70)</f>
        <v>3030000</v>
      </c>
    </row>
    <row r="71" spans="1:7" ht="28.8" x14ac:dyDescent="0.55000000000000004">
      <c r="A71" s="24"/>
      <c r="B71" s="25"/>
      <c r="C71" s="26"/>
      <c r="D71" s="26"/>
      <c r="E71" s="27">
        <f>+$H$2+(MAHMOUDCHAALAN[[#This Row],[QUANTITE]]*MAHMOUDCHAALAN[[#This Row],[PRIX UNITAIRE]])</f>
        <v>0</v>
      </c>
      <c r="F71" s="30"/>
      <c r="G71" s="29">
        <f>SUM(E$9:$E71)-SUM(F$9:$F71)</f>
        <v>3030000</v>
      </c>
    </row>
    <row r="72" spans="1:7" ht="28.8" x14ac:dyDescent="0.55000000000000004">
      <c r="A72" s="24"/>
      <c r="B72" s="25"/>
      <c r="C72" s="26"/>
      <c r="D72" s="26"/>
      <c r="E72" s="27">
        <f>+$H$2+(MAHMOUDCHAALAN[[#This Row],[QUANTITE]]*MAHMOUDCHAALAN[[#This Row],[PRIX UNITAIRE]])</f>
        <v>0</v>
      </c>
      <c r="F72" s="30"/>
      <c r="G72" s="29">
        <f>SUM(E$9:$E72)-SUM(F$9:$F72)</f>
        <v>3030000</v>
      </c>
    </row>
    <row r="73" spans="1:7" ht="28.8" x14ac:dyDescent="0.55000000000000004">
      <c r="A73" s="24"/>
      <c r="B73" s="25"/>
      <c r="C73" s="26"/>
      <c r="D73" s="26"/>
      <c r="E73" s="27">
        <f>+$H$2+(MAHMOUDCHAALAN[[#This Row],[QUANTITE]]*MAHMOUDCHAALAN[[#This Row],[PRIX UNITAIRE]])</f>
        <v>0</v>
      </c>
      <c r="F73" s="30"/>
      <c r="G73" s="29">
        <f>SUM(E$9:$E73)-SUM(F$9:$F73)</f>
        <v>3030000</v>
      </c>
    </row>
    <row r="74" spans="1:7" ht="28.8" x14ac:dyDescent="0.55000000000000004">
      <c r="A74" s="24"/>
      <c r="B74" s="25"/>
      <c r="C74" s="26"/>
      <c r="D74" s="26"/>
      <c r="E74" s="27">
        <f>+$H$2+(MAHMOUDCHAALAN[[#This Row],[QUANTITE]]*MAHMOUDCHAALAN[[#This Row],[PRIX UNITAIRE]])</f>
        <v>0</v>
      </c>
      <c r="F74" s="30"/>
      <c r="G74" s="29">
        <f>SUM(E$9:$E74)-SUM(F$9:$F74)</f>
        <v>3030000</v>
      </c>
    </row>
    <row r="75" spans="1:7" ht="28.8" x14ac:dyDescent="0.55000000000000004">
      <c r="A75" s="24"/>
      <c r="B75" s="25"/>
      <c r="C75" s="26"/>
      <c r="D75" s="26"/>
      <c r="E75" s="27">
        <f>+$H$2+(MAHMOUDCHAALAN[[#This Row],[QUANTITE]]*MAHMOUDCHAALAN[[#This Row],[PRIX UNITAIRE]])</f>
        <v>0</v>
      </c>
      <c r="F75" s="30"/>
      <c r="G75" s="29">
        <f>SUM(E$9:$E75)-SUM(F$9:$F75)</f>
        <v>3030000</v>
      </c>
    </row>
    <row r="76" spans="1:7" ht="28.8" x14ac:dyDescent="0.55000000000000004">
      <c r="A76" s="24"/>
      <c r="B76" s="25"/>
      <c r="C76" s="26"/>
      <c r="D76" s="26"/>
      <c r="E76" s="27">
        <f>+$H$2+(MAHMOUDCHAALAN[[#This Row],[QUANTITE]]*MAHMOUDCHAALAN[[#This Row],[PRIX UNITAIRE]])</f>
        <v>0</v>
      </c>
      <c r="F76" s="30"/>
      <c r="G76" s="29">
        <f>SUM(E$9:$E76)-SUM(F$9:$F76)</f>
        <v>3030000</v>
      </c>
    </row>
    <row r="77" spans="1:7" ht="28.8" x14ac:dyDescent="0.55000000000000004">
      <c r="A77" s="24"/>
      <c r="B77" s="25"/>
      <c r="C77" s="26"/>
      <c r="D77" s="26"/>
      <c r="E77" s="27">
        <f>+$H$2+(MAHMOUDCHAALAN[[#This Row],[QUANTITE]]*MAHMOUDCHAALAN[[#This Row],[PRIX UNITAIRE]])</f>
        <v>0</v>
      </c>
      <c r="F77" s="30"/>
      <c r="G77" s="29">
        <f>SUM(E$9:$E77)-SUM(F$9:$F77)</f>
        <v>3030000</v>
      </c>
    </row>
    <row r="78" spans="1:7" ht="28.8" x14ac:dyDescent="0.55000000000000004">
      <c r="A78" s="24"/>
      <c r="B78" s="25"/>
      <c r="C78" s="26"/>
      <c r="D78" s="26"/>
      <c r="E78" s="27">
        <f>+$H$2+(MAHMOUDCHAALAN[[#This Row],[QUANTITE]]*MAHMOUDCHAALAN[[#This Row],[PRIX UNITAIRE]])</f>
        <v>0</v>
      </c>
      <c r="F78" s="30"/>
      <c r="G78" s="29">
        <f>SUM(E$9:$E78)-SUM(F$9:$F78)</f>
        <v>3030000</v>
      </c>
    </row>
    <row r="79" spans="1:7" ht="28.8" x14ac:dyDescent="0.55000000000000004">
      <c r="A79" s="24"/>
      <c r="B79" s="25"/>
      <c r="C79" s="26"/>
      <c r="D79" s="26"/>
      <c r="E79" s="27">
        <f>+$H$2+(MAHMOUDCHAALAN[[#This Row],[QUANTITE]]*MAHMOUDCHAALAN[[#This Row],[PRIX UNITAIRE]])</f>
        <v>0</v>
      </c>
      <c r="F79" s="30"/>
      <c r="G79" s="29">
        <f>SUM(E$9:$E79)-SUM(F$9:$F79)</f>
        <v>3030000</v>
      </c>
    </row>
    <row r="80" spans="1:7" ht="28.8" x14ac:dyDescent="0.55000000000000004">
      <c r="A80" s="24"/>
      <c r="B80" s="25"/>
      <c r="C80" s="26"/>
      <c r="D80" s="26"/>
      <c r="E80" s="27">
        <f>+$H$2+(MAHMOUDCHAALAN[[#This Row],[QUANTITE]]*MAHMOUDCHAALAN[[#This Row],[PRIX UNITAIRE]])</f>
        <v>0</v>
      </c>
      <c r="F80" s="30"/>
      <c r="G80" s="29">
        <f>SUM(E$9:$E80)-SUM(F$9:$F80)</f>
        <v>3030000</v>
      </c>
    </row>
    <row r="81" spans="1:7" ht="28.8" x14ac:dyDescent="0.55000000000000004">
      <c r="A81" s="24"/>
      <c r="B81" s="25"/>
      <c r="C81" s="26"/>
      <c r="D81" s="26"/>
      <c r="E81" s="27">
        <f>+$H$2+(MAHMOUDCHAALAN[[#This Row],[QUANTITE]]*MAHMOUDCHAALAN[[#This Row],[PRIX UNITAIRE]])</f>
        <v>0</v>
      </c>
      <c r="F81" s="30"/>
      <c r="G81" s="29">
        <f>SUM(E$9:$E81)-SUM(F$9:$F81)</f>
        <v>3030000</v>
      </c>
    </row>
    <row r="82" spans="1:7" ht="28.8" x14ac:dyDescent="0.55000000000000004">
      <c r="A82" s="24"/>
      <c r="B82" s="25"/>
      <c r="C82" s="26"/>
      <c r="D82" s="26"/>
      <c r="E82" s="27">
        <f>+$H$2+(MAHMOUDCHAALAN[[#This Row],[QUANTITE]]*MAHMOUDCHAALAN[[#This Row],[PRIX UNITAIRE]])</f>
        <v>0</v>
      </c>
      <c r="F82" s="30"/>
      <c r="G82" s="29">
        <f>SUM(E$9:$E82)-SUM(F$9:$F82)</f>
        <v>3030000</v>
      </c>
    </row>
    <row r="83" spans="1:7" ht="28.8" x14ac:dyDescent="0.55000000000000004">
      <c r="A83" s="24"/>
      <c r="B83" s="25"/>
      <c r="C83" s="26"/>
      <c r="D83" s="26"/>
      <c r="E83" s="27">
        <f>+$H$2+(MAHMOUDCHAALAN[[#This Row],[QUANTITE]]*MAHMOUDCHAALAN[[#This Row],[PRIX UNITAIRE]])</f>
        <v>0</v>
      </c>
      <c r="F83" s="30"/>
      <c r="G83" s="29">
        <f>SUM(E$9:$E83)-SUM(F$9:$F83)</f>
        <v>3030000</v>
      </c>
    </row>
    <row r="84" spans="1:7" ht="28.8" x14ac:dyDescent="0.55000000000000004">
      <c r="A84" s="24"/>
      <c r="B84" s="25"/>
      <c r="C84" s="26"/>
      <c r="D84" s="26"/>
      <c r="E84" s="27">
        <f>+$H$2+(MAHMOUDCHAALAN[[#This Row],[QUANTITE]]*MAHMOUDCHAALAN[[#This Row],[PRIX UNITAIRE]])</f>
        <v>0</v>
      </c>
      <c r="F84" s="30"/>
      <c r="G84" s="29">
        <f>SUM(E$9:$E84)-SUM(F$9:$F84)</f>
        <v>3030000</v>
      </c>
    </row>
    <row r="85" spans="1:7" ht="28.8" x14ac:dyDescent="0.55000000000000004">
      <c r="A85" s="24"/>
      <c r="B85" s="25"/>
      <c r="C85" s="26"/>
      <c r="D85" s="26"/>
      <c r="E85" s="27">
        <f>+$H$2+(MAHMOUDCHAALAN[[#This Row],[QUANTITE]]*MAHMOUDCHAALAN[[#This Row],[PRIX UNITAIRE]])</f>
        <v>0</v>
      </c>
      <c r="F85" s="30"/>
      <c r="G85" s="29">
        <f>SUM(E$9:$E85)-SUM(F$9:$F85)</f>
        <v>3030000</v>
      </c>
    </row>
    <row r="86" spans="1:7" ht="28.8" x14ac:dyDescent="0.55000000000000004">
      <c r="A86" s="24"/>
      <c r="B86" s="25"/>
      <c r="C86" s="26"/>
      <c r="D86" s="26"/>
      <c r="E86" s="27">
        <f>+$H$2+(MAHMOUDCHAALAN[[#This Row],[QUANTITE]]*MAHMOUDCHAALAN[[#This Row],[PRIX UNITAIRE]])</f>
        <v>0</v>
      </c>
      <c r="F86" s="30"/>
      <c r="G86" s="29">
        <f>SUM(E$9:$E86)-SUM(F$9:$F86)</f>
        <v>3030000</v>
      </c>
    </row>
    <row r="87" spans="1:7" ht="28.8" x14ac:dyDescent="0.55000000000000004">
      <c r="A87" s="24"/>
      <c r="B87" s="25"/>
      <c r="C87" s="26"/>
      <c r="D87" s="26"/>
      <c r="E87" s="27">
        <f>+$H$2+(MAHMOUDCHAALAN[[#This Row],[QUANTITE]]*MAHMOUDCHAALAN[[#This Row],[PRIX UNITAIRE]])</f>
        <v>0</v>
      </c>
      <c r="F87" s="30"/>
      <c r="G87" s="29">
        <f>SUM(E$9:$E87)-SUM(F$9:$F87)</f>
        <v>3030000</v>
      </c>
    </row>
    <row r="88" spans="1:7" ht="28.8" x14ac:dyDescent="0.55000000000000004">
      <c r="A88" s="24"/>
      <c r="B88" s="25"/>
      <c r="C88" s="26"/>
      <c r="D88" s="26"/>
      <c r="E88" s="27">
        <f>+$H$2+(MAHMOUDCHAALAN[[#This Row],[QUANTITE]]*MAHMOUDCHAALAN[[#This Row],[PRIX UNITAIRE]])</f>
        <v>0</v>
      </c>
      <c r="F88" s="30"/>
      <c r="G88" s="29">
        <f>SUM(E$9:$E88)-SUM(F$9:$F88)</f>
        <v>3030000</v>
      </c>
    </row>
    <row r="89" spans="1:7" ht="28.8" x14ac:dyDescent="0.55000000000000004">
      <c r="A89" s="24"/>
      <c r="B89" s="25"/>
      <c r="C89" s="26"/>
      <c r="D89" s="26"/>
      <c r="E89" s="27">
        <f>+$H$2+(MAHMOUDCHAALAN[[#This Row],[QUANTITE]]*MAHMOUDCHAALAN[[#This Row],[PRIX UNITAIRE]])</f>
        <v>0</v>
      </c>
      <c r="F89" s="30"/>
      <c r="G89" s="29">
        <f>SUM(E$9:$E89)-SUM(F$9:$F89)</f>
        <v>3030000</v>
      </c>
    </row>
    <row r="90" spans="1:7" ht="28.8" x14ac:dyDescent="0.55000000000000004">
      <c r="A90" s="24"/>
      <c r="B90" s="25"/>
      <c r="C90" s="26"/>
      <c r="D90" s="26"/>
      <c r="E90" s="27">
        <f>+$H$2+(MAHMOUDCHAALAN[[#This Row],[QUANTITE]]*MAHMOUDCHAALAN[[#This Row],[PRIX UNITAIRE]])</f>
        <v>0</v>
      </c>
      <c r="F90" s="30"/>
      <c r="G90" s="29">
        <f>SUM(E$9:$E90)-SUM(F$9:$F90)</f>
        <v>3030000</v>
      </c>
    </row>
    <row r="91" spans="1:7" ht="28.8" x14ac:dyDescent="0.55000000000000004">
      <c r="A91" s="24"/>
      <c r="B91" s="25"/>
      <c r="C91" s="26"/>
      <c r="D91" s="26"/>
      <c r="E91" s="27">
        <f>+$H$2+(MAHMOUDCHAALAN[[#This Row],[QUANTITE]]*MAHMOUDCHAALAN[[#This Row],[PRIX UNITAIRE]])</f>
        <v>0</v>
      </c>
      <c r="F91" s="30"/>
      <c r="G91" s="29">
        <f>SUM(E$9:$E91)-SUM(F$9:$F91)</f>
        <v>3030000</v>
      </c>
    </row>
    <row r="92" spans="1:7" ht="28.8" x14ac:dyDescent="0.55000000000000004">
      <c r="A92" s="24"/>
      <c r="B92" s="25"/>
      <c r="C92" s="26"/>
      <c r="D92" s="26"/>
      <c r="E92" s="27">
        <f>+$H$2+(MAHMOUDCHAALAN[[#This Row],[QUANTITE]]*MAHMOUDCHAALAN[[#This Row],[PRIX UNITAIRE]])</f>
        <v>0</v>
      </c>
      <c r="F92" s="30"/>
      <c r="G92" s="29">
        <f>SUM(E$9:$E92)-SUM(F$9:$F92)</f>
        <v>3030000</v>
      </c>
    </row>
    <row r="93" spans="1:7" ht="28.8" x14ac:dyDescent="0.55000000000000004">
      <c r="A93" s="24"/>
      <c r="B93" s="25"/>
      <c r="C93" s="26"/>
      <c r="D93" s="26"/>
      <c r="E93" s="27">
        <f>+$H$2+(MAHMOUDCHAALAN[[#This Row],[QUANTITE]]*MAHMOUDCHAALAN[[#This Row],[PRIX UNITAIRE]])</f>
        <v>0</v>
      </c>
      <c r="F93" s="30"/>
      <c r="G93" s="29">
        <f>SUM(E$9:$E93)-SUM(F$9:$F93)</f>
        <v>3030000</v>
      </c>
    </row>
    <row r="94" spans="1:7" ht="28.8" x14ac:dyDescent="0.55000000000000004">
      <c r="A94" s="24"/>
      <c r="B94" s="25"/>
      <c r="C94" s="26"/>
      <c r="D94" s="26"/>
      <c r="E94" s="27">
        <f>+$H$2+(MAHMOUDCHAALAN[[#This Row],[QUANTITE]]*MAHMOUDCHAALAN[[#This Row],[PRIX UNITAIRE]])</f>
        <v>0</v>
      </c>
      <c r="F94" s="30"/>
      <c r="G94" s="29">
        <f>SUM(E$9:$E94)-SUM(F$9:$F94)</f>
        <v>3030000</v>
      </c>
    </row>
    <row r="95" spans="1:7" ht="28.8" x14ac:dyDescent="0.55000000000000004">
      <c r="A95" s="24"/>
      <c r="B95" s="25"/>
      <c r="C95" s="26"/>
      <c r="D95" s="26"/>
      <c r="E95" s="27">
        <f>+$H$2+(MAHMOUDCHAALAN[[#This Row],[QUANTITE]]*MAHMOUDCHAALAN[[#This Row],[PRIX UNITAIRE]])</f>
        <v>0</v>
      </c>
      <c r="F95" s="30"/>
      <c r="G95" s="29">
        <f>SUM(E$9:$E95)-SUM(F$9:$F95)</f>
        <v>3030000</v>
      </c>
    </row>
    <row r="96" spans="1:7" ht="28.8" x14ac:dyDescent="0.55000000000000004">
      <c r="A96" s="24"/>
      <c r="B96" s="25"/>
      <c r="C96" s="26"/>
      <c r="D96" s="26"/>
      <c r="E96" s="27">
        <f>+$H$2+(MAHMOUDCHAALAN[[#This Row],[QUANTITE]]*MAHMOUDCHAALAN[[#This Row],[PRIX UNITAIRE]])</f>
        <v>0</v>
      </c>
      <c r="F96" s="30"/>
      <c r="G96" s="29">
        <f>SUM(E$9:$E96)-SUM(F$9:$F96)</f>
        <v>3030000</v>
      </c>
    </row>
    <row r="97" spans="1:7" ht="28.8" x14ac:dyDescent="0.55000000000000004">
      <c r="A97" s="24"/>
      <c r="B97" s="25"/>
      <c r="C97" s="26"/>
      <c r="D97" s="26"/>
      <c r="E97" s="27">
        <f>+$H$2+(MAHMOUDCHAALAN[[#This Row],[QUANTITE]]*MAHMOUDCHAALAN[[#This Row],[PRIX UNITAIRE]])</f>
        <v>0</v>
      </c>
      <c r="F97" s="30"/>
      <c r="G97" s="29">
        <f>SUM(E$9:$E97)-SUM(F$9:$F97)</f>
        <v>3030000</v>
      </c>
    </row>
    <row r="98" spans="1:7" ht="28.8" x14ac:dyDescent="0.55000000000000004">
      <c r="A98" s="24"/>
      <c r="B98" s="25"/>
      <c r="C98" s="26"/>
      <c r="D98" s="26"/>
      <c r="E98" s="27">
        <f>+$H$2+(MAHMOUDCHAALAN[[#This Row],[QUANTITE]]*MAHMOUDCHAALAN[[#This Row],[PRIX UNITAIRE]])</f>
        <v>0</v>
      </c>
      <c r="F98" s="30"/>
      <c r="G98" s="29">
        <f>SUM(E$9:$E98)-SUM(F$9:$F98)</f>
        <v>3030000</v>
      </c>
    </row>
    <row r="99" spans="1:7" ht="28.8" x14ac:dyDescent="0.55000000000000004">
      <c r="A99" s="24"/>
      <c r="B99" s="25"/>
      <c r="C99" s="26"/>
      <c r="D99" s="26"/>
      <c r="E99" s="27">
        <f>+$H$2+(MAHMOUDCHAALAN[[#This Row],[QUANTITE]]*MAHMOUDCHAALAN[[#This Row],[PRIX UNITAIRE]])</f>
        <v>0</v>
      </c>
      <c r="F99" s="30"/>
      <c r="G99" s="29">
        <f>SUM(E$9:$E99)-SUM(F$9:$F99)</f>
        <v>3030000</v>
      </c>
    </row>
    <row r="100" spans="1:7" ht="28.8" x14ac:dyDescent="0.55000000000000004">
      <c r="A100" s="24"/>
      <c r="B100" s="25"/>
      <c r="C100" s="26"/>
      <c r="D100" s="26"/>
      <c r="E100" s="27">
        <f>+$H$2+(MAHMOUDCHAALAN[[#This Row],[QUANTITE]]*MAHMOUDCHAALAN[[#This Row],[PRIX UNITAIRE]])</f>
        <v>0</v>
      </c>
      <c r="F100" s="30"/>
      <c r="G100" s="29">
        <f>SUM(E$9:$E100)-SUM(F$9:$F100)</f>
        <v>3030000</v>
      </c>
    </row>
    <row r="101" spans="1:7" ht="28.8" x14ac:dyDescent="0.55000000000000004">
      <c r="A101" s="24"/>
      <c r="B101" s="25"/>
      <c r="C101" s="26"/>
      <c r="D101" s="26"/>
      <c r="E101" s="27">
        <f>+$H$2+(MAHMOUDCHAALAN[[#This Row],[QUANTITE]]*MAHMOUDCHAALAN[[#This Row],[PRIX UNITAIRE]])</f>
        <v>0</v>
      </c>
      <c r="F101" s="30"/>
      <c r="G101" s="29">
        <f>SUM(E$9:$E101)-SUM(F$9:$F101)</f>
        <v>3030000</v>
      </c>
    </row>
    <row r="102" spans="1:7" ht="28.8" x14ac:dyDescent="0.55000000000000004">
      <c r="A102" s="24"/>
      <c r="B102" s="25"/>
      <c r="C102" s="26"/>
      <c r="D102" s="26"/>
      <c r="E102" s="27">
        <f>+$H$2+(MAHMOUDCHAALAN[[#This Row],[QUANTITE]]*MAHMOUDCHAALAN[[#This Row],[PRIX UNITAIRE]])</f>
        <v>0</v>
      </c>
      <c r="F102" s="30"/>
      <c r="G102" s="29">
        <f>SUM(E$9:$E102)-SUM(F$9:$F102)</f>
        <v>3030000</v>
      </c>
    </row>
    <row r="103" spans="1:7" ht="28.8" x14ac:dyDescent="0.55000000000000004">
      <c r="A103" s="24"/>
      <c r="B103" s="25"/>
      <c r="C103" s="26"/>
      <c r="D103" s="26"/>
      <c r="E103" s="27">
        <f>+$H$2+(MAHMOUDCHAALAN[[#This Row],[QUANTITE]]*MAHMOUDCHAALAN[[#This Row],[PRIX UNITAIRE]])</f>
        <v>0</v>
      </c>
      <c r="F103" s="30"/>
      <c r="G103" s="29">
        <f>SUM(E$9:$E103)-SUM(F$9:$F103)</f>
        <v>3030000</v>
      </c>
    </row>
    <row r="104" spans="1:7" ht="28.8" x14ac:dyDescent="0.55000000000000004">
      <c r="A104" s="24"/>
      <c r="B104" s="25"/>
      <c r="C104" s="26"/>
      <c r="D104" s="26"/>
      <c r="E104" s="27">
        <f>+$H$2+(MAHMOUDCHAALAN[[#This Row],[QUANTITE]]*MAHMOUDCHAALAN[[#This Row],[PRIX UNITAIRE]])</f>
        <v>0</v>
      </c>
      <c r="F104" s="30"/>
      <c r="G104" s="29">
        <f>SUM(E$9:$E104)-SUM(F$9:$F104)</f>
        <v>3030000</v>
      </c>
    </row>
    <row r="105" spans="1:7" ht="28.8" x14ac:dyDescent="0.55000000000000004">
      <c r="A105" s="24"/>
      <c r="B105" s="25"/>
      <c r="C105" s="26"/>
      <c r="D105" s="26"/>
      <c r="E105" s="27">
        <f>+$H$2+(MAHMOUDCHAALAN[[#This Row],[QUANTITE]]*MAHMOUDCHAALAN[[#This Row],[PRIX UNITAIRE]])</f>
        <v>0</v>
      </c>
      <c r="F105" s="30"/>
      <c r="G105" s="29">
        <f>SUM(E$9:$E105)-SUM(F$9:$F105)</f>
        <v>3030000</v>
      </c>
    </row>
    <row r="106" spans="1:7" ht="28.8" x14ac:dyDescent="0.55000000000000004">
      <c r="A106" s="24"/>
      <c r="B106" s="25"/>
      <c r="C106" s="26"/>
      <c r="D106" s="26"/>
      <c r="E106" s="27">
        <f>+$H$2+(MAHMOUDCHAALAN[[#This Row],[QUANTITE]]*MAHMOUDCHAALAN[[#This Row],[PRIX UNITAIRE]])</f>
        <v>0</v>
      </c>
      <c r="F106" s="30"/>
      <c r="G106" s="29">
        <f>SUM(E$9:$E106)-SUM(F$9:$F106)</f>
        <v>3030000</v>
      </c>
    </row>
    <row r="107" spans="1:7" ht="28.8" x14ac:dyDescent="0.55000000000000004">
      <c r="A107" s="24"/>
      <c r="B107" s="25"/>
      <c r="C107" s="26"/>
      <c r="D107" s="26"/>
      <c r="E107" s="27">
        <f>+$H$2+(MAHMOUDCHAALAN[[#This Row],[QUANTITE]]*MAHMOUDCHAALAN[[#This Row],[PRIX UNITAIRE]])</f>
        <v>0</v>
      </c>
      <c r="F107" s="30"/>
      <c r="G107" s="29">
        <f>SUM(E$9:$E107)-SUM(F$9:$F107)</f>
        <v>3030000</v>
      </c>
    </row>
    <row r="108" spans="1:7" ht="28.8" x14ac:dyDescent="0.55000000000000004">
      <c r="A108" s="24"/>
      <c r="B108" s="25"/>
      <c r="C108" s="26"/>
      <c r="D108" s="26"/>
      <c r="E108" s="27">
        <f>+$H$2+(MAHMOUDCHAALAN[[#This Row],[QUANTITE]]*MAHMOUDCHAALAN[[#This Row],[PRIX UNITAIRE]])</f>
        <v>0</v>
      </c>
      <c r="F108" s="30"/>
      <c r="G108" s="29">
        <f>SUM(E$9:$E108)-SUM(F$9:$F108)</f>
        <v>3030000</v>
      </c>
    </row>
    <row r="109" spans="1:7" ht="28.8" x14ac:dyDescent="0.55000000000000004">
      <c r="A109" s="24"/>
      <c r="B109" s="25"/>
      <c r="C109" s="26"/>
      <c r="D109" s="26"/>
      <c r="E109" s="27">
        <f>+$H$2+(MAHMOUDCHAALAN[[#This Row],[QUANTITE]]*MAHMOUDCHAALAN[[#This Row],[PRIX UNITAIRE]])</f>
        <v>0</v>
      </c>
      <c r="F109" s="30"/>
      <c r="G109" s="29">
        <f>SUM(E$9:$E109)-SUM(F$9:$F109)</f>
        <v>3030000</v>
      </c>
    </row>
    <row r="110" spans="1:7" ht="28.8" x14ac:dyDescent="0.55000000000000004">
      <c r="A110" s="66"/>
      <c r="B110" s="67"/>
      <c r="C110" s="68"/>
      <c r="D110" s="68"/>
      <c r="E110" s="69">
        <f>+$H$2+(MAHMOUDCHAALAN[[#This Row],[QUANTITE]]*MAHMOUDCHAALAN[[#This Row],[PRIX UNITAIRE]])</f>
        <v>0</v>
      </c>
      <c r="F110" s="72"/>
      <c r="G110" s="71">
        <f>SUM(E$9:$E110)-SUM(F$9:$F110)</f>
        <v>3030000</v>
      </c>
    </row>
    <row r="111" spans="1:7" ht="28.8" x14ac:dyDescent="0.55000000000000004">
      <c r="A111" s="66"/>
      <c r="B111" s="67"/>
      <c r="C111" s="68"/>
      <c r="D111" s="68"/>
      <c r="E111" s="69">
        <f>+$H$2+(MAHMOUDCHAALAN[[#This Row],[QUANTITE]]*MAHMOUDCHAALAN[[#This Row],[PRIX UNITAIRE]])</f>
        <v>0</v>
      </c>
      <c r="F111" s="72"/>
      <c r="G111" s="71">
        <f>SUM(E$9:$E111)-SUM(F$9:$F111)</f>
        <v>3030000</v>
      </c>
    </row>
    <row r="112" spans="1:7" ht="28.8" x14ac:dyDescent="0.55000000000000004">
      <c r="A112" s="66"/>
      <c r="B112" s="67"/>
      <c r="C112" s="68"/>
      <c r="D112" s="68"/>
      <c r="E112" s="69">
        <f>+$H$2+(MAHMOUDCHAALAN[[#This Row],[QUANTITE]]*MAHMOUDCHAALAN[[#This Row],[PRIX UNITAIRE]])</f>
        <v>0</v>
      </c>
      <c r="F112" s="72"/>
      <c r="G112" s="71">
        <f>SUM(E$9:$E112)-SUM(F$9:$F112)</f>
        <v>3030000</v>
      </c>
    </row>
    <row r="113" spans="1:7" ht="28.8" x14ac:dyDescent="0.55000000000000004">
      <c r="A113" s="66"/>
      <c r="B113" s="67"/>
      <c r="C113" s="68"/>
      <c r="D113" s="68"/>
      <c r="E113" s="69">
        <f>+$H$2+(MAHMOUDCHAALAN[[#This Row],[QUANTITE]]*MAHMOUDCHAALAN[[#This Row],[PRIX UNITAIRE]])</f>
        <v>0</v>
      </c>
      <c r="F113" s="72"/>
      <c r="G113" s="71">
        <f>SUM(E$9:$E113)-SUM(F$9:$F113)</f>
        <v>3030000</v>
      </c>
    </row>
    <row r="114" spans="1:7" ht="28.8" x14ac:dyDescent="0.55000000000000004">
      <c r="A114" s="66"/>
      <c r="B114" s="67"/>
      <c r="C114" s="68"/>
      <c r="D114" s="68"/>
      <c r="E114" s="69">
        <f>+$H$2+(MAHMOUDCHAALAN[[#This Row],[QUANTITE]]*MAHMOUDCHAALAN[[#This Row],[PRIX UNITAIRE]])</f>
        <v>0</v>
      </c>
      <c r="F114" s="72"/>
      <c r="G114" s="71">
        <f>SUM(E$9:$E114)-SUM(F$9:$F114)</f>
        <v>3030000</v>
      </c>
    </row>
    <row r="115" spans="1:7" ht="28.8" x14ac:dyDescent="0.55000000000000004">
      <c r="A115" s="66"/>
      <c r="B115" s="67"/>
      <c r="C115" s="68"/>
      <c r="D115" s="68"/>
      <c r="E115" s="69">
        <f>+$H$2+(MAHMOUDCHAALAN[[#This Row],[QUANTITE]]*MAHMOUDCHAALAN[[#This Row],[PRIX UNITAIRE]])</f>
        <v>0</v>
      </c>
      <c r="F115" s="72"/>
      <c r="G115" s="71">
        <f>SUM(E$9:$E115)-SUM(F$9:$F115)</f>
        <v>3030000</v>
      </c>
    </row>
    <row r="116" spans="1:7" ht="28.8" x14ac:dyDescent="0.55000000000000004">
      <c r="A116" s="66"/>
      <c r="B116" s="67"/>
      <c r="C116" s="68"/>
      <c r="D116" s="68"/>
      <c r="E116" s="69">
        <f>+$H$2+(MAHMOUDCHAALAN[[#This Row],[QUANTITE]]*MAHMOUDCHAALAN[[#This Row],[PRIX UNITAIRE]])</f>
        <v>0</v>
      </c>
      <c r="F116" s="72"/>
      <c r="G116" s="71">
        <f>SUM(E$9:$E116)-SUM(F$9:$F116)</f>
        <v>3030000</v>
      </c>
    </row>
    <row r="117" spans="1:7" ht="28.8" x14ac:dyDescent="0.55000000000000004">
      <c r="A117" s="66"/>
      <c r="B117" s="67"/>
      <c r="C117" s="68"/>
      <c r="D117" s="68"/>
      <c r="E117" s="69">
        <f>+$H$2+(MAHMOUDCHAALAN[[#This Row],[QUANTITE]]*MAHMOUDCHAALAN[[#This Row],[PRIX UNITAIRE]])</f>
        <v>0</v>
      </c>
      <c r="F117" s="72"/>
      <c r="G117" s="71">
        <f>SUM(E$9:$E117)-SUM(F$9:$F117)</f>
        <v>3030000</v>
      </c>
    </row>
    <row r="118" spans="1:7" ht="28.8" x14ac:dyDescent="0.55000000000000004">
      <c r="A118" s="66"/>
      <c r="B118" s="67"/>
      <c r="C118" s="68"/>
      <c r="D118" s="68"/>
      <c r="E118" s="69">
        <f>+$H$2+(MAHMOUDCHAALAN[[#This Row],[QUANTITE]]*MAHMOUDCHAALAN[[#This Row],[PRIX UNITAIRE]])</f>
        <v>0</v>
      </c>
      <c r="F118" s="72"/>
      <c r="G118" s="71">
        <f>SUM(E$9:$E118)-SUM(F$9:$F118)</f>
        <v>3030000</v>
      </c>
    </row>
    <row r="119" spans="1:7" ht="28.8" x14ac:dyDescent="0.55000000000000004">
      <c r="A119" s="66"/>
      <c r="B119" s="67"/>
      <c r="C119" s="68"/>
      <c r="D119" s="68"/>
      <c r="E119" s="69">
        <f>+$H$2+(MAHMOUDCHAALAN[[#This Row],[QUANTITE]]*MAHMOUDCHAALAN[[#This Row],[PRIX UNITAIRE]])</f>
        <v>0</v>
      </c>
      <c r="F119" s="72"/>
      <c r="G119" s="71">
        <f>SUM(E$9:$E119)-SUM(F$9:$F119)</f>
        <v>3030000</v>
      </c>
    </row>
    <row r="120" spans="1:7" ht="28.8" x14ac:dyDescent="0.55000000000000004">
      <c r="A120" s="66"/>
      <c r="B120" s="67"/>
      <c r="C120" s="68"/>
      <c r="D120" s="68"/>
      <c r="E120" s="69">
        <f>+$H$2+(MAHMOUDCHAALAN[[#This Row],[QUANTITE]]*MAHMOUDCHAALAN[[#This Row],[PRIX UNITAIRE]])</f>
        <v>0</v>
      </c>
      <c r="F120" s="72"/>
      <c r="G120" s="71">
        <f>SUM(E$9:$E120)-SUM(F$9:$F120)</f>
        <v>3030000</v>
      </c>
    </row>
    <row r="121" spans="1:7" ht="28.8" x14ac:dyDescent="0.55000000000000004">
      <c r="A121" s="66"/>
      <c r="B121" s="67"/>
      <c r="C121" s="68"/>
      <c r="D121" s="68"/>
      <c r="E121" s="69">
        <f>+$H$2+(MAHMOUDCHAALAN[[#This Row],[QUANTITE]]*MAHMOUDCHAALAN[[#This Row],[PRIX UNITAIRE]])</f>
        <v>0</v>
      </c>
      <c r="F121" s="72"/>
      <c r="G121" s="71">
        <f>SUM(E$9:$E121)-SUM(F$9:$F121)</f>
        <v>3030000</v>
      </c>
    </row>
    <row r="122" spans="1:7" ht="28.8" x14ac:dyDescent="0.55000000000000004">
      <c r="A122" s="66"/>
      <c r="B122" s="67"/>
      <c r="C122" s="68"/>
      <c r="D122" s="68"/>
      <c r="E122" s="69">
        <f>+$H$2+(MAHMOUDCHAALAN[[#This Row],[QUANTITE]]*MAHMOUDCHAALAN[[#This Row],[PRIX UNITAIRE]])</f>
        <v>0</v>
      </c>
      <c r="F122" s="72"/>
      <c r="G122" s="71">
        <f>SUM(E$9:$E122)-SUM(F$9:$F122)</f>
        <v>3030000</v>
      </c>
    </row>
    <row r="123" spans="1:7" ht="28.8" x14ac:dyDescent="0.55000000000000004">
      <c r="A123" s="66"/>
      <c r="B123" s="67"/>
      <c r="C123" s="68"/>
      <c r="D123" s="68"/>
      <c r="E123" s="69">
        <f>+$H$2+(MAHMOUDCHAALAN[[#This Row],[QUANTITE]]*MAHMOUDCHAALAN[[#This Row],[PRIX UNITAIRE]])</f>
        <v>0</v>
      </c>
      <c r="F123" s="72"/>
      <c r="G123" s="71">
        <f>SUM(E$9:$E123)-SUM(F$9:$F123)</f>
        <v>3030000</v>
      </c>
    </row>
    <row r="124" spans="1:7" ht="28.8" x14ac:dyDescent="0.55000000000000004">
      <c r="A124" s="66"/>
      <c r="B124" s="67"/>
      <c r="C124" s="68"/>
      <c r="D124" s="68"/>
      <c r="E124" s="69">
        <f>+$H$2+(MAHMOUDCHAALAN[[#This Row],[QUANTITE]]*MAHMOUDCHAALAN[[#This Row],[PRIX UNITAIRE]])</f>
        <v>0</v>
      </c>
      <c r="F124" s="72"/>
      <c r="G124" s="71">
        <f>SUM(E$9:$E124)-SUM(F$9:$F124)</f>
        <v>3030000</v>
      </c>
    </row>
    <row r="125" spans="1:7" ht="28.8" x14ac:dyDescent="0.55000000000000004">
      <c r="A125" s="66"/>
      <c r="B125" s="67"/>
      <c r="C125" s="68"/>
      <c r="D125" s="68"/>
      <c r="E125" s="69">
        <f>+$H$2+(MAHMOUDCHAALAN[[#This Row],[QUANTITE]]*MAHMOUDCHAALAN[[#This Row],[PRIX UNITAIRE]])</f>
        <v>0</v>
      </c>
      <c r="F125" s="72"/>
      <c r="G125" s="71">
        <f>SUM(E$9:$E125)-SUM(F$9:$F125)</f>
        <v>3030000</v>
      </c>
    </row>
    <row r="126" spans="1:7" ht="28.8" x14ac:dyDescent="0.55000000000000004">
      <c r="A126" s="66"/>
      <c r="B126" s="67"/>
      <c r="C126" s="68"/>
      <c r="D126" s="68"/>
      <c r="E126" s="69">
        <f>+$H$2+(MAHMOUDCHAALAN[[#This Row],[QUANTITE]]*MAHMOUDCHAALAN[[#This Row],[PRIX UNITAIRE]])</f>
        <v>0</v>
      </c>
      <c r="F126" s="72"/>
      <c r="G126" s="71">
        <f>SUM(E$9:$E126)-SUM(F$9:$F126)</f>
        <v>3030000</v>
      </c>
    </row>
    <row r="127" spans="1:7" ht="28.8" x14ac:dyDescent="0.55000000000000004">
      <c r="A127" s="66"/>
      <c r="B127" s="67"/>
      <c r="C127" s="68"/>
      <c r="D127" s="68"/>
      <c r="E127" s="69">
        <f>+$H$2+(MAHMOUDCHAALAN[[#This Row],[QUANTITE]]*MAHMOUDCHAALAN[[#This Row],[PRIX UNITAIRE]])</f>
        <v>0</v>
      </c>
      <c r="F127" s="72"/>
      <c r="G127" s="71">
        <f>SUM(E$9:$E127)-SUM(F$9:$F127)</f>
        <v>3030000</v>
      </c>
    </row>
    <row r="128" spans="1:7" ht="28.8" x14ac:dyDescent="0.55000000000000004">
      <c r="A128" s="66"/>
      <c r="B128" s="67"/>
      <c r="C128" s="68"/>
      <c r="D128" s="68"/>
      <c r="E128" s="69">
        <f>+$H$2+(MAHMOUDCHAALAN[[#This Row],[QUANTITE]]*MAHMOUDCHAALAN[[#This Row],[PRIX UNITAIRE]])</f>
        <v>0</v>
      </c>
      <c r="F128" s="72"/>
      <c r="G128" s="71">
        <f>SUM(E$9:$E128)-SUM(F$9:$F128)</f>
        <v>3030000</v>
      </c>
    </row>
    <row r="129" spans="1:7" ht="28.8" x14ac:dyDescent="0.55000000000000004">
      <c r="A129" s="66"/>
      <c r="B129" s="67"/>
      <c r="C129" s="68"/>
      <c r="D129" s="68"/>
      <c r="E129" s="69">
        <f>+$H$2+(MAHMOUDCHAALAN[[#This Row],[QUANTITE]]*MAHMOUDCHAALAN[[#This Row],[PRIX UNITAIRE]])</f>
        <v>0</v>
      </c>
      <c r="F129" s="72"/>
      <c r="G129" s="71">
        <f>SUM(E$9:$E129)-SUM(F$9:$F129)</f>
        <v>3030000</v>
      </c>
    </row>
    <row r="130" spans="1:7" ht="28.8" x14ac:dyDescent="0.55000000000000004">
      <c r="A130" s="66"/>
      <c r="B130" s="67"/>
      <c r="C130" s="68"/>
      <c r="D130" s="68"/>
      <c r="E130" s="69">
        <f>+$H$2+(MAHMOUDCHAALAN[[#This Row],[QUANTITE]]*MAHMOUDCHAALAN[[#This Row],[PRIX UNITAIRE]])</f>
        <v>0</v>
      </c>
      <c r="F130" s="72"/>
      <c r="G130" s="71">
        <f>SUM(E$9:$E130)-SUM(F$9:$F130)</f>
        <v>3030000</v>
      </c>
    </row>
    <row r="131" spans="1:7" ht="28.8" x14ac:dyDescent="0.55000000000000004">
      <c r="A131" s="66"/>
      <c r="B131" s="67"/>
      <c r="C131" s="68"/>
      <c r="D131" s="68"/>
      <c r="E131" s="69">
        <f>+$H$2+(MAHMOUDCHAALAN[[#This Row],[QUANTITE]]*MAHMOUDCHAALAN[[#This Row],[PRIX UNITAIRE]])</f>
        <v>0</v>
      </c>
      <c r="F131" s="72"/>
      <c r="G131" s="71">
        <f>SUM(E$9:$E131)-SUM(F$9:$F131)</f>
        <v>3030000</v>
      </c>
    </row>
    <row r="132" spans="1:7" ht="28.8" x14ac:dyDescent="0.55000000000000004">
      <c r="A132" s="66"/>
      <c r="B132" s="67"/>
      <c r="C132" s="68"/>
      <c r="D132" s="68"/>
      <c r="E132" s="69">
        <f>+$H$2+(MAHMOUDCHAALAN[[#This Row],[QUANTITE]]*MAHMOUDCHAALAN[[#This Row],[PRIX UNITAIRE]])</f>
        <v>0</v>
      </c>
      <c r="F132" s="72"/>
      <c r="G132" s="71">
        <f>SUM(E$9:$E132)-SUM(F$9:$F132)</f>
        <v>3030000</v>
      </c>
    </row>
    <row r="133" spans="1:7" ht="28.8" x14ac:dyDescent="0.55000000000000004">
      <c r="A133" s="66"/>
      <c r="B133" s="67"/>
      <c r="C133" s="68"/>
      <c r="D133" s="68"/>
      <c r="E133" s="69">
        <f>+$H$2+(MAHMOUDCHAALAN[[#This Row],[QUANTITE]]*MAHMOUDCHAALAN[[#This Row],[PRIX UNITAIRE]])</f>
        <v>0</v>
      </c>
      <c r="F133" s="72"/>
      <c r="G133" s="71">
        <f>SUM(E$9:$E133)-SUM(F$9:$F133)</f>
        <v>3030000</v>
      </c>
    </row>
    <row r="134" spans="1:7" ht="28.8" x14ac:dyDescent="0.55000000000000004">
      <c r="A134" s="66"/>
      <c r="B134" s="67"/>
      <c r="C134" s="68"/>
      <c r="D134" s="68"/>
      <c r="E134" s="69">
        <f>+$H$2+(MAHMOUDCHAALAN[[#This Row],[QUANTITE]]*MAHMOUDCHAALAN[[#This Row],[PRIX UNITAIRE]])</f>
        <v>0</v>
      </c>
      <c r="F134" s="72"/>
      <c r="G134" s="71">
        <f>SUM(E$9:$E134)-SUM(F$9:$F134)</f>
        <v>3030000</v>
      </c>
    </row>
    <row r="135" spans="1:7" ht="28.8" x14ac:dyDescent="0.55000000000000004">
      <c r="A135" s="66"/>
      <c r="B135" s="67"/>
      <c r="C135" s="68"/>
      <c r="D135" s="68"/>
      <c r="E135" s="69">
        <f>+$H$2+(MAHMOUDCHAALAN[[#This Row],[QUANTITE]]*MAHMOUDCHAALAN[[#This Row],[PRIX UNITAIRE]])</f>
        <v>0</v>
      </c>
      <c r="F135" s="72"/>
      <c r="G135" s="71">
        <f>SUM(E$9:$E135)-SUM(F$9:$F135)</f>
        <v>3030000</v>
      </c>
    </row>
    <row r="136" spans="1:7" ht="28.8" x14ac:dyDescent="0.55000000000000004">
      <c r="A136" s="66"/>
      <c r="B136" s="67"/>
      <c r="C136" s="68"/>
      <c r="D136" s="68"/>
      <c r="E136" s="69">
        <f>+$H$2+(MAHMOUDCHAALAN[[#This Row],[QUANTITE]]*MAHMOUDCHAALAN[[#This Row],[PRIX UNITAIRE]])</f>
        <v>0</v>
      </c>
      <c r="F136" s="72"/>
      <c r="G136" s="71">
        <f>SUM(E$9:$E136)-SUM(F$9:$F136)</f>
        <v>3030000</v>
      </c>
    </row>
    <row r="137" spans="1:7" ht="28.8" x14ac:dyDescent="0.55000000000000004">
      <c r="A137" s="66"/>
      <c r="B137" s="67"/>
      <c r="C137" s="68"/>
      <c r="D137" s="68"/>
      <c r="E137" s="69">
        <f>+$H$2+(MAHMOUDCHAALAN[[#This Row],[QUANTITE]]*MAHMOUDCHAALAN[[#This Row],[PRIX UNITAIRE]])</f>
        <v>0</v>
      </c>
      <c r="F137" s="72"/>
      <c r="G137" s="71">
        <f>SUM(E$9:$E137)-SUM(F$9:$F137)</f>
        <v>3030000</v>
      </c>
    </row>
    <row r="138" spans="1:7" ht="28.8" x14ac:dyDescent="0.55000000000000004">
      <c r="A138" s="66"/>
      <c r="B138" s="67"/>
      <c r="C138" s="68"/>
      <c r="D138" s="68"/>
      <c r="E138" s="69">
        <f>+$H$2+(MAHMOUDCHAALAN[[#This Row],[QUANTITE]]*MAHMOUDCHAALAN[[#This Row],[PRIX UNITAIRE]])</f>
        <v>0</v>
      </c>
      <c r="F138" s="72"/>
      <c r="G138" s="71">
        <f>SUM(E$9:$E138)-SUM(F$9:$F138)</f>
        <v>3030000</v>
      </c>
    </row>
    <row r="139" spans="1:7" ht="28.8" x14ac:dyDescent="0.55000000000000004">
      <c r="A139" s="66"/>
      <c r="B139" s="67"/>
      <c r="C139" s="68"/>
      <c r="D139" s="68"/>
      <c r="E139" s="69">
        <f>+$H$2+(MAHMOUDCHAALAN[[#This Row],[QUANTITE]]*MAHMOUDCHAALAN[[#This Row],[PRIX UNITAIRE]])</f>
        <v>0</v>
      </c>
      <c r="F139" s="72"/>
      <c r="G139" s="71">
        <f>SUM(E$9:$E139)-SUM(F$9:$F139)</f>
        <v>3030000</v>
      </c>
    </row>
    <row r="140" spans="1:7" ht="28.8" x14ac:dyDescent="0.55000000000000004">
      <c r="A140" s="66"/>
      <c r="B140" s="67"/>
      <c r="C140" s="68"/>
      <c r="D140" s="68"/>
      <c r="E140" s="69">
        <f>+$H$2+(MAHMOUDCHAALAN[[#This Row],[QUANTITE]]*MAHMOUDCHAALAN[[#This Row],[PRIX UNITAIRE]])</f>
        <v>0</v>
      </c>
      <c r="F140" s="72"/>
      <c r="G140" s="71">
        <f>SUM(E$9:$E140)-SUM(F$9:$F140)</f>
        <v>3030000</v>
      </c>
    </row>
    <row r="141" spans="1:7" ht="28.8" x14ac:dyDescent="0.55000000000000004">
      <c r="A141" s="66"/>
      <c r="B141" s="67"/>
      <c r="C141" s="68"/>
      <c r="D141" s="68"/>
      <c r="E141" s="69">
        <f>+$H$2+(MAHMOUDCHAALAN[[#This Row],[QUANTITE]]*MAHMOUDCHAALAN[[#This Row],[PRIX UNITAIRE]])</f>
        <v>0</v>
      </c>
      <c r="F141" s="72"/>
      <c r="G141" s="71">
        <f>SUM(E$9:$E141)-SUM(F$9:$F141)</f>
        <v>3030000</v>
      </c>
    </row>
    <row r="142" spans="1:7" ht="28.8" x14ac:dyDescent="0.55000000000000004">
      <c r="A142" s="66"/>
      <c r="B142" s="67"/>
      <c r="C142" s="68"/>
      <c r="D142" s="68"/>
      <c r="E142" s="69">
        <f>+$H$2+(MAHMOUDCHAALAN[[#This Row],[QUANTITE]]*MAHMOUDCHAALAN[[#This Row],[PRIX UNITAIRE]])</f>
        <v>0</v>
      </c>
      <c r="F142" s="72"/>
      <c r="G142" s="71">
        <f>SUM(E$9:$E142)-SUM(F$9:$F142)</f>
        <v>3030000</v>
      </c>
    </row>
    <row r="143" spans="1:7" ht="28.8" x14ac:dyDescent="0.55000000000000004">
      <c r="A143" s="66"/>
      <c r="B143" s="67"/>
      <c r="C143" s="68"/>
      <c r="D143" s="68"/>
      <c r="E143" s="69">
        <f>+$H$2+(MAHMOUDCHAALAN[[#This Row],[QUANTITE]]*MAHMOUDCHAALAN[[#This Row],[PRIX UNITAIRE]])</f>
        <v>0</v>
      </c>
      <c r="F143" s="72"/>
      <c r="G143" s="71">
        <f>SUM(E$9:$E143)-SUM(F$9:$F143)</f>
        <v>3030000</v>
      </c>
    </row>
    <row r="144" spans="1:7" ht="28.8" x14ac:dyDescent="0.55000000000000004">
      <c r="A144" s="66"/>
      <c r="B144" s="67"/>
      <c r="C144" s="68"/>
      <c r="D144" s="68"/>
      <c r="E144" s="69">
        <f>+$H$2+(MAHMOUDCHAALAN[[#This Row],[QUANTITE]]*MAHMOUDCHAALAN[[#This Row],[PRIX UNITAIRE]])</f>
        <v>0</v>
      </c>
      <c r="F144" s="72"/>
      <c r="G144" s="71">
        <f>SUM(E$9:$E144)-SUM(F$9:$F144)</f>
        <v>3030000</v>
      </c>
    </row>
    <row r="145" spans="1:7" ht="28.8" x14ac:dyDescent="0.55000000000000004">
      <c r="A145" s="66"/>
      <c r="B145" s="67"/>
      <c r="C145" s="68"/>
      <c r="D145" s="68"/>
      <c r="E145" s="69">
        <f>+$H$2+(MAHMOUDCHAALAN[[#This Row],[QUANTITE]]*MAHMOUDCHAALAN[[#This Row],[PRIX UNITAIRE]])</f>
        <v>0</v>
      </c>
      <c r="F145" s="72"/>
      <c r="G145" s="71">
        <f>SUM(E$9:$E145)-SUM(F$9:$F145)</f>
        <v>3030000</v>
      </c>
    </row>
    <row r="146" spans="1:7" ht="28.8" x14ac:dyDescent="0.55000000000000004">
      <c r="A146" s="66"/>
      <c r="B146" s="67"/>
      <c r="C146" s="68"/>
      <c r="D146" s="68"/>
      <c r="E146" s="69">
        <f>+$H$2+(MAHMOUDCHAALAN[[#This Row],[QUANTITE]]*MAHMOUDCHAALAN[[#This Row],[PRIX UNITAIRE]])</f>
        <v>0</v>
      </c>
      <c r="F146" s="72"/>
      <c r="G146" s="71">
        <f>SUM(E$9:$E146)-SUM(F$9:$F146)</f>
        <v>3030000</v>
      </c>
    </row>
    <row r="147" spans="1:7" ht="28.8" x14ac:dyDescent="0.55000000000000004">
      <c r="A147" s="66"/>
      <c r="B147" s="67"/>
      <c r="C147" s="68"/>
      <c r="D147" s="68"/>
      <c r="E147" s="69">
        <f>+$H$2+(MAHMOUDCHAALAN[[#This Row],[QUANTITE]]*MAHMOUDCHAALAN[[#This Row],[PRIX UNITAIRE]])</f>
        <v>0</v>
      </c>
      <c r="F147" s="72"/>
      <c r="G147" s="71">
        <f>SUM(E$9:$E147)-SUM(F$9:$F147)</f>
        <v>3030000</v>
      </c>
    </row>
    <row r="148" spans="1:7" ht="28.8" x14ac:dyDescent="0.55000000000000004">
      <c r="A148" s="66"/>
      <c r="B148" s="67"/>
      <c r="C148" s="68"/>
      <c r="D148" s="68"/>
      <c r="E148" s="69">
        <f>+$H$2+(MAHMOUDCHAALAN[[#This Row],[QUANTITE]]*MAHMOUDCHAALAN[[#This Row],[PRIX UNITAIRE]])</f>
        <v>0</v>
      </c>
      <c r="F148" s="72"/>
      <c r="G148" s="71">
        <f>SUM(E$9:$E148)-SUM(F$9:$F148)</f>
        <v>3030000</v>
      </c>
    </row>
    <row r="149" spans="1:7" ht="28.8" x14ac:dyDescent="0.55000000000000004">
      <c r="A149" s="66"/>
      <c r="B149" s="67"/>
      <c r="C149" s="68"/>
      <c r="D149" s="68"/>
      <c r="E149" s="69">
        <f>+$H$2+(MAHMOUDCHAALAN[[#This Row],[QUANTITE]]*MAHMOUDCHAALAN[[#This Row],[PRIX UNITAIRE]])</f>
        <v>0</v>
      </c>
      <c r="F149" s="72"/>
      <c r="G149" s="71">
        <f>SUM(E$9:$E149)-SUM(F$9:$F149)</f>
        <v>3030000</v>
      </c>
    </row>
    <row r="150" spans="1:7" ht="28.8" x14ac:dyDescent="0.55000000000000004">
      <c r="A150" s="66"/>
      <c r="B150" s="67"/>
      <c r="C150" s="68"/>
      <c r="D150" s="68"/>
      <c r="E150" s="69">
        <f>+$H$2+(MAHMOUDCHAALAN[[#This Row],[QUANTITE]]*MAHMOUDCHAALAN[[#This Row],[PRIX UNITAIRE]])</f>
        <v>0</v>
      </c>
      <c r="F150" s="72"/>
      <c r="G150" s="71">
        <f>SUM(E$9:$E150)-SUM(F$9:$F150)</f>
        <v>3030000</v>
      </c>
    </row>
    <row r="151" spans="1:7" ht="28.8" x14ac:dyDescent="0.55000000000000004">
      <c r="A151" s="66"/>
      <c r="B151" s="67"/>
      <c r="C151" s="68"/>
      <c r="D151" s="68"/>
      <c r="E151" s="69">
        <f>+$H$2+(MAHMOUDCHAALAN[[#This Row],[QUANTITE]]*MAHMOUDCHAALAN[[#This Row],[PRIX UNITAIRE]])</f>
        <v>0</v>
      </c>
      <c r="F151" s="72"/>
      <c r="G151" s="71">
        <f>SUM(E$9:$E151)-SUM(F$9:$F151)</f>
        <v>3030000</v>
      </c>
    </row>
    <row r="152" spans="1:7" ht="28.8" x14ac:dyDescent="0.55000000000000004">
      <c r="A152" s="66"/>
      <c r="B152" s="67"/>
      <c r="C152" s="68"/>
      <c r="D152" s="68"/>
      <c r="E152" s="69">
        <f>+$H$2+(MAHMOUDCHAALAN[[#This Row],[QUANTITE]]*MAHMOUDCHAALAN[[#This Row],[PRIX UNITAIRE]])</f>
        <v>0</v>
      </c>
      <c r="F152" s="72"/>
      <c r="G152" s="71">
        <f>SUM(E$9:$E152)-SUM(F$9:$F152)</f>
        <v>3030000</v>
      </c>
    </row>
    <row r="153" spans="1:7" ht="28.8" x14ac:dyDescent="0.55000000000000004">
      <c r="A153" s="66"/>
      <c r="B153" s="67"/>
      <c r="C153" s="68"/>
      <c r="D153" s="68"/>
      <c r="E153" s="69">
        <f>+$H$2+(MAHMOUDCHAALAN[[#This Row],[QUANTITE]]*MAHMOUDCHAALAN[[#This Row],[PRIX UNITAIRE]])</f>
        <v>0</v>
      </c>
      <c r="F153" s="72"/>
      <c r="G153" s="71">
        <f>SUM(E$9:$E153)-SUM(F$9:$F153)</f>
        <v>3030000</v>
      </c>
    </row>
    <row r="154" spans="1:7" ht="28.8" x14ac:dyDescent="0.55000000000000004">
      <c r="A154" s="66"/>
      <c r="B154" s="67"/>
      <c r="C154" s="68"/>
      <c r="D154" s="68"/>
      <c r="E154" s="69">
        <f>+$H$2+(MAHMOUDCHAALAN[[#This Row],[QUANTITE]]*MAHMOUDCHAALAN[[#This Row],[PRIX UNITAIRE]])</f>
        <v>0</v>
      </c>
      <c r="F154" s="72"/>
      <c r="G154" s="71">
        <f>SUM(E$9:$E154)-SUM(F$9:$F154)</f>
        <v>3030000</v>
      </c>
    </row>
    <row r="155" spans="1:7" ht="28.8" x14ac:dyDescent="0.55000000000000004">
      <c r="A155" s="66"/>
      <c r="B155" s="67"/>
      <c r="C155" s="68"/>
      <c r="D155" s="68"/>
      <c r="E155" s="69">
        <f>+$H$2+(MAHMOUDCHAALAN[[#This Row],[QUANTITE]]*MAHMOUDCHAALAN[[#This Row],[PRIX UNITAIRE]])</f>
        <v>0</v>
      </c>
      <c r="F155" s="72"/>
      <c r="G155" s="71">
        <f>SUM(E$9:$E155)-SUM(F$9:$F155)</f>
        <v>3030000</v>
      </c>
    </row>
    <row r="156" spans="1:7" ht="28.8" x14ac:dyDescent="0.55000000000000004">
      <c r="A156" s="66"/>
      <c r="B156" s="67"/>
      <c r="C156" s="68"/>
      <c r="D156" s="68"/>
      <c r="E156" s="69">
        <f>+$H$2+(MAHMOUDCHAALAN[[#This Row],[QUANTITE]]*MAHMOUDCHAALAN[[#This Row],[PRIX UNITAIRE]])</f>
        <v>0</v>
      </c>
      <c r="F156" s="72"/>
      <c r="G156" s="71">
        <f>SUM(E$9:$E156)-SUM(F$9:$F156)</f>
        <v>3030000</v>
      </c>
    </row>
    <row r="157" spans="1:7" ht="28.8" x14ac:dyDescent="0.55000000000000004">
      <c r="A157" s="66"/>
      <c r="B157" s="67"/>
      <c r="C157" s="68"/>
      <c r="D157" s="68"/>
      <c r="E157" s="69">
        <f>+$H$2+(MAHMOUDCHAALAN[[#This Row],[QUANTITE]]*MAHMOUDCHAALAN[[#This Row],[PRIX UNITAIRE]])</f>
        <v>0</v>
      </c>
      <c r="F157" s="72"/>
      <c r="G157" s="71">
        <f>SUM(E$9:$E157)-SUM(F$9:$F157)</f>
        <v>3030000</v>
      </c>
    </row>
    <row r="158" spans="1:7" ht="28.8" x14ac:dyDescent="0.55000000000000004">
      <c r="A158" s="66"/>
      <c r="B158" s="67"/>
      <c r="C158" s="68"/>
      <c r="D158" s="68"/>
      <c r="E158" s="69">
        <f>+$H$2+(MAHMOUDCHAALAN[[#This Row],[QUANTITE]]*MAHMOUDCHAALAN[[#This Row],[PRIX UNITAIRE]])</f>
        <v>0</v>
      </c>
      <c r="F158" s="72"/>
      <c r="G158" s="71">
        <f>SUM(E$9:$E158)-SUM(F$9:$F158)</f>
        <v>3030000</v>
      </c>
    </row>
    <row r="159" spans="1:7" ht="28.8" x14ac:dyDescent="0.55000000000000004">
      <c r="A159" s="66"/>
      <c r="B159" s="67"/>
      <c r="C159" s="68"/>
      <c r="D159" s="68"/>
      <c r="E159" s="69">
        <f>+$H$2+(MAHMOUDCHAALAN[[#This Row],[QUANTITE]]*MAHMOUDCHAALAN[[#This Row],[PRIX UNITAIRE]])</f>
        <v>0</v>
      </c>
      <c r="F159" s="72"/>
      <c r="G159" s="71">
        <f>SUM(E$9:$E159)-SUM(F$9:$F159)</f>
        <v>3030000</v>
      </c>
    </row>
  </sheetData>
  <sheetProtection selectLockedCells="1" autoFilter="0"/>
  <mergeCells count="1">
    <mergeCell ref="B6:C6"/>
  </mergeCells>
  <conditionalFormatting sqref="A1:C1 A2:G4">
    <cfRule type="expression" dxfId="768" priority="2">
      <formula>$E$6=FALSE</formula>
    </cfRule>
  </conditionalFormatting>
  <conditionalFormatting sqref="B9 B11:B109">
    <cfRule type="expression" dxfId="767" priority="6">
      <formula>$F9</formula>
    </cfRule>
  </conditionalFormatting>
  <conditionalFormatting sqref="G4">
    <cfRule type="cellIs" dxfId="766" priority="3" operator="lessThan">
      <formula>0</formula>
    </cfRule>
    <cfRule type="cellIs" dxfId="765" priority="4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5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I109"/>
  <sheetViews>
    <sheetView showGridLines="0" zoomScale="60" zoomScaleNormal="60" workbookViewId="0">
      <pane ySplit="8" topLeftCell="A9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1"/>
      <c r="B1" s="31"/>
      <c r="C1" s="31"/>
    </row>
    <row r="2" spans="1:9" ht="36" customHeight="1" thickBot="1" x14ac:dyDescent="0.65">
      <c r="A2" s="31"/>
      <c r="B2" s="31"/>
      <c r="C2" s="31"/>
      <c r="D2" s="37"/>
      <c r="E2" s="38"/>
      <c r="F2" s="38"/>
      <c r="G2" s="38"/>
      <c r="I2" s="1">
        <v>0</v>
      </c>
    </row>
    <row r="3" spans="1:9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31"/>
      <c r="B4" s="31"/>
      <c r="C4" s="31"/>
      <c r="D4" s="36" t="s">
        <v>19</v>
      </c>
      <c r="E4" s="39">
        <f>+SUM(CHINOIS[TOTAL MONTANT])</f>
        <v>12350000</v>
      </c>
      <c r="F4" s="39">
        <f>+SUM(CHINOIS[VERSEMENT])</f>
        <v>4200000</v>
      </c>
      <c r="G4" s="39">
        <f>+E4-F4</f>
        <v>8150000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13" t="s">
        <v>70</v>
      </c>
      <c r="C6" s="114"/>
      <c r="E6" s="42" t="b">
        <v>1</v>
      </c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2200000</v>
      </c>
      <c r="E9" s="7">
        <v>2200000</v>
      </c>
      <c r="F9" s="22">
        <v>0</v>
      </c>
      <c r="G9" s="6">
        <f>SUM(E$9:$E9)-SUM(F$9:$F9)</f>
        <v>2200000</v>
      </c>
    </row>
    <row r="10" spans="1:9" ht="28.8" x14ac:dyDescent="0.55000000000000004">
      <c r="A10" s="12">
        <v>46084</v>
      </c>
      <c r="B10" s="13" t="s">
        <v>11</v>
      </c>
      <c r="C10" s="10">
        <v>1</v>
      </c>
      <c r="D10" s="10">
        <v>0</v>
      </c>
      <c r="E10" s="27">
        <v>0</v>
      </c>
      <c r="F10" s="30">
        <v>1200000</v>
      </c>
      <c r="G10" s="29">
        <f>SUM(E$9:$E10)-SUM(F$9:$F10)</f>
        <v>1000000</v>
      </c>
    </row>
    <row r="11" spans="1:9" ht="28.8" x14ac:dyDescent="0.55000000000000004">
      <c r="A11" s="12">
        <v>46093</v>
      </c>
      <c r="B11" s="13" t="s">
        <v>68</v>
      </c>
      <c r="C11" s="10">
        <v>25</v>
      </c>
      <c r="D11" s="10">
        <v>88000</v>
      </c>
      <c r="E11" s="27">
        <v>2200000</v>
      </c>
      <c r="F11" s="30">
        <v>0</v>
      </c>
      <c r="G11" s="10">
        <f>SUM(E$9:$E11)-SUM(F$9:$F11)</f>
        <v>3200000</v>
      </c>
    </row>
    <row r="12" spans="1:9" ht="28.8" x14ac:dyDescent="0.55000000000000004">
      <c r="A12" s="12">
        <v>46094</v>
      </c>
      <c r="B12" s="13" t="s">
        <v>69</v>
      </c>
      <c r="C12" s="10">
        <v>25</v>
      </c>
      <c r="D12" s="10">
        <v>115000</v>
      </c>
      <c r="E12" s="27">
        <v>2875000</v>
      </c>
      <c r="F12" s="30">
        <v>0</v>
      </c>
      <c r="G12" s="29">
        <f>SUM(E$9:$E12)-SUM(F$9:$F12)</f>
        <v>6075000</v>
      </c>
    </row>
    <row r="13" spans="1:9" ht="28.8" x14ac:dyDescent="0.55000000000000004">
      <c r="A13" s="12">
        <v>46098</v>
      </c>
      <c r="B13" s="13" t="s">
        <v>68</v>
      </c>
      <c r="C13" s="10">
        <v>25</v>
      </c>
      <c r="D13" s="10">
        <v>88000</v>
      </c>
      <c r="E13" s="27">
        <v>2200000</v>
      </c>
      <c r="F13" s="30">
        <v>0</v>
      </c>
      <c r="G13" s="29">
        <f>SUM(E$9:$E13)-SUM(F$9:$F13)</f>
        <v>8275000</v>
      </c>
    </row>
    <row r="14" spans="1:9" ht="28.8" x14ac:dyDescent="0.55000000000000004">
      <c r="A14" s="12">
        <v>46098</v>
      </c>
      <c r="B14" s="13" t="s">
        <v>69</v>
      </c>
      <c r="C14" s="10">
        <v>25</v>
      </c>
      <c r="D14" s="10">
        <v>115000</v>
      </c>
      <c r="E14" s="27">
        <v>2875000</v>
      </c>
      <c r="F14" s="30">
        <v>0</v>
      </c>
      <c r="G14" s="29">
        <f>SUM(E$9:$E14)-SUM(F$9:$F14)</f>
        <v>11150000</v>
      </c>
    </row>
    <row r="15" spans="1:9" ht="28.8" x14ac:dyDescent="0.55000000000000004">
      <c r="A15" s="24">
        <v>46098</v>
      </c>
      <c r="B15" s="13" t="s">
        <v>11</v>
      </c>
      <c r="C15" s="26">
        <v>1</v>
      </c>
      <c r="D15" s="26">
        <v>0</v>
      </c>
      <c r="E15" s="27">
        <v>0</v>
      </c>
      <c r="F15" s="30">
        <v>3000000</v>
      </c>
      <c r="G15" s="29">
        <f>SUM(E$9:$E15)-SUM(F$9:$F15)</f>
        <v>8150000</v>
      </c>
    </row>
    <row r="16" spans="1:9" ht="28.8" x14ac:dyDescent="0.55000000000000004">
      <c r="A16" s="24"/>
      <c r="B16" s="13"/>
      <c r="C16" s="26"/>
      <c r="D16" s="26"/>
      <c r="E16" s="27"/>
      <c r="F16" s="30"/>
      <c r="G16" s="29">
        <f>SUM(E$9:$E16)-SUM(F$9:$F16)</f>
        <v>8150000</v>
      </c>
    </row>
    <row r="17" spans="1:7" ht="28.8" x14ac:dyDescent="0.55000000000000004">
      <c r="A17" s="24"/>
      <c r="B17" s="13"/>
      <c r="C17" s="26"/>
      <c r="D17" s="26"/>
      <c r="E17" s="27"/>
      <c r="F17" s="30"/>
      <c r="G17" s="29">
        <f>SUM(E$9:$E17)-SUM(F$9:$F17)</f>
        <v>8150000</v>
      </c>
    </row>
    <row r="18" spans="1:7" ht="28.8" x14ac:dyDescent="0.55000000000000004">
      <c r="A18" s="24"/>
      <c r="B18" s="13"/>
      <c r="C18" s="26"/>
      <c r="D18" s="26"/>
      <c r="E18" s="27"/>
      <c r="F18" s="30"/>
      <c r="G18" s="29">
        <f>SUM(E$9:$E18)-SUM(F$9:$F18)</f>
        <v>8150000</v>
      </c>
    </row>
    <row r="19" spans="1:7" ht="28.8" x14ac:dyDescent="0.55000000000000004">
      <c r="A19" s="24"/>
      <c r="B19" s="13"/>
      <c r="C19" s="26"/>
      <c r="D19" s="26"/>
      <c r="E19" s="27"/>
      <c r="F19" s="30"/>
      <c r="G19" s="29">
        <f>SUM(E$9:$E19)-SUM(F$9:$F19)</f>
        <v>8150000</v>
      </c>
    </row>
    <row r="20" spans="1:7" ht="28.8" x14ac:dyDescent="0.55000000000000004">
      <c r="A20" s="24"/>
      <c r="B20" s="13"/>
      <c r="C20" s="26"/>
      <c r="D20" s="26"/>
      <c r="E20" s="27"/>
      <c r="F20" s="30"/>
      <c r="G20" s="29">
        <f>SUM(E$9:$E20)-SUM(F$9:$F20)</f>
        <v>8150000</v>
      </c>
    </row>
    <row r="21" spans="1:7" ht="28.8" x14ac:dyDescent="0.55000000000000004">
      <c r="A21" s="24"/>
      <c r="B21" s="13"/>
      <c r="C21" s="26"/>
      <c r="D21" s="26"/>
      <c r="E21" s="27"/>
      <c r="F21" s="30"/>
      <c r="G21" s="29">
        <f>SUM(E$9:$E21)-SUM(F$9:$F21)</f>
        <v>8150000</v>
      </c>
    </row>
    <row r="22" spans="1:7" ht="28.8" x14ac:dyDescent="0.55000000000000004">
      <c r="A22" s="24"/>
      <c r="B22" s="13"/>
      <c r="C22" s="26"/>
      <c r="D22" s="26"/>
      <c r="E22" s="27"/>
      <c r="F22" s="30"/>
      <c r="G22" s="29">
        <f>SUM(E$9:$E22)-SUM(F$9:$F22)</f>
        <v>8150000</v>
      </c>
    </row>
    <row r="23" spans="1:7" ht="28.8" x14ac:dyDescent="0.55000000000000004">
      <c r="A23" s="24"/>
      <c r="B23" s="13"/>
      <c r="C23" s="26"/>
      <c r="D23" s="26"/>
      <c r="E23" s="27"/>
      <c r="F23" s="30"/>
      <c r="G23" s="29">
        <f>SUM(E$9:$E23)-SUM(F$9:$F23)</f>
        <v>8150000</v>
      </c>
    </row>
    <row r="24" spans="1:7" ht="28.8" x14ac:dyDescent="0.55000000000000004">
      <c r="A24" s="24"/>
      <c r="B24" s="13"/>
      <c r="C24" s="26"/>
      <c r="D24" s="26"/>
      <c r="E24" s="27"/>
      <c r="F24" s="30"/>
      <c r="G24" s="29">
        <f>SUM(E$9:$E24)-SUM(F$9:$F24)</f>
        <v>8150000</v>
      </c>
    </row>
    <row r="25" spans="1:7" ht="28.8" x14ac:dyDescent="0.55000000000000004">
      <c r="A25" s="24"/>
      <c r="B25" s="13"/>
      <c r="C25" s="26"/>
      <c r="D25" s="26"/>
      <c r="E25" s="27"/>
      <c r="F25" s="30"/>
      <c r="G25" s="29">
        <f>SUM(E$9:$E25)-SUM(F$9:$F25)</f>
        <v>8150000</v>
      </c>
    </row>
    <row r="26" spans="1:7" ht="28.8" x14ac:dyDescent="0.55000000000000004">
      <c r="A26" s="24"/>
      <c r="B26" s="13"/>
      <c r="C26" s="26"/>
      <c r="D26" s="26"/>
      <c r="E26" s="27"/>
      <c r="F26" s="30"/>
      <c r="G26" s="29">
        <f>SUM(E$9:$E26)-SUM(F$9:$F26)</f>
        <v>8150000</v>
      </c>
    </row>
    <row r="27" spans="1:7" ht="28.8" x14ac:dyDescent="0.55000000000000004">
      <c r="A27" s="24"/>
      <c r="B27" s="13"/>
      <c r="C27" s="26"/>
      <c r="D27" s="26"/>
      <c r="E27" s="27"/>
      <c r="F27" s="30"/>
      <c r="G27" s="29">
        <f>SUM(E$9:$E27)-SUM(F$9:$F27)</f>
        <v>8150000</v>
      </c>
    </row>
    <row r="28" spans="1:7" ht="28.8" x14ac:dyDescent="0.55000000000000004">
      <c r="A28" s="24"/>
      <c r="B28" s="13"/>
      <c r="C28" s="26"/>
      <c r="D28" s="26"/>
      <c r="E28" s="27"/>
      <c r="F28" s="30"/>
      <c r="G28" s="29">
        <f>SUM(E$9:$E28)-SUM(F$9:$F28)</f>
        <v>8150000</v>
      </c>
    </row>
    <row r="29" spans="1:7" ht="28.8" x14ac:dyDescent="0.55000000000000004">
      <c r="A29" s="24"/>
      <c r="B29" s="13"/>
      <c r="C29" s="26"/>
      <c r="D29" s="26"/>
      <c r="E29" s="27"/>
      <c r="F29" s="30"/>
      <c r="G29" s="29">
        <f>SUM(E$9:$E29)-SUM(F$9:$F29)</f>
        <v>8150000</v>
      </c>
    </row>
    <row r="30" spans="1:7" ht="28.8" x14ac:dyDescent="0.55000000000000004">
      <c r="A30" s="24"/>
      <c r="B30" s="13"/>
      <c r="C30" s="26"/>
      <c r="D30" s="26"/>
      <c r="E30" s="27"/>
      <c r="F30" s="30"/>
      <c r="G30" s="29">
        <f>SUM(E$9:$E30)-SUM(F$9:$F30)</f>
        <v>8150000</v>
      </c>
    </row>
    <row r="31" spans="1:7" ht="28.8" x14ac:dyDescent="0.55000000000000004">
      <c r="A31" s="24"/>
      <c r="B31" s="25"/>
      <c r="C31" s="26"/>
      <c r="D31" s="26"/>
      <c r="E31" s="27"/>
      <c r="F31" s="30"/>
      <c r="G31" s="29">
        <f>SUM(E$9:$E31)-SUM(F$9:$F31)</f>
        <v>8150000</v>
      </c>
    </row>
    <row r="32" spans="1:7" ht="28.8" x14ac:dyDescent="0.55000000000000004">
      <c r="A32" s="24"/>
      <c r="B32" s="25"/>
      <c r="C32" s="26"/>
      <c r="D32" s="26"/>
      <c r="E32" s="27"/>
      <c r="F32" s="30"/>
      <c r="G32" s="29">
        <f>SUM(E$9:$E32)-SUM(F$9:$F32)</f>
        <v>8150000</v>
      </c>
    </row>
    <row r="33" spans="1:7" ht="28.8" x14ac:dyDescent="0.55000000000000004">
      <c r="A33" s="24"/>
      <c r="B33" s="25"/>
      <c r="C33" s="26"/>
      <c r="D33" s="26"/>
      <c r="E33" s="27"/>
      <c r="F33" s="30"/>
      <c r="G33" s="29">
        <f>SUM(E$9:$E33)-SUM(F$9:$F33)</f>
        <v>8150000</v>
      </c>
    </row>
    <row r="34" spans="1:7" ht="28.8" x14ac:dyDescent="0.55000000000000004">
      <c r="A34" s="24"/>
      <c r="B34" s="25"/>
      <c r="C34" s="26"/>
      <c r="D34" s="26"/>
      <c r="E34" s="27"/>
      <c r="F34" s="30"/>
      <c r="G34" s="29">
        <f>SUM(E$9:$E34)-SUM(F$9:$F34)</f>
        <v>8150000</v>
      </c>
    </row>
    <row r="35" spans="1:7" ht="28.8" x14ac:dyDescent="0.55000000000000004">
      <c r="A35" s="24"/>
      <c r="B35" s="25"/>
      <c r="C35" s="26"/>
      <c r="D35" s="26"/>
      <c r="E35" s="27"/>
      <c r="F35" s="30"/>
      <c r="G35" s="29">
        <f>SUM(E$9:$E35)-SUM(F$9:$F35)</f>
        <v>8150000</v>
      </c>
    </row>
    <row r="36" spans="1:7" ht="28.8" x14ac:dyDescent="0.55000000000000004">
      <c r="A36" s="24"/>
      <c r="B36" s="25"/>
      <c r="C36" s="26"/>
      <c r="D36" s="26"/>
      <c r="E36" s="27"/>
      <c r="F36" s="30"/>
      <c r="G36" s="29">
        <f>SUM(E$9:$E36)-SUM(F$9:$F36)</f>
        <v>8150000</v>
      </c>
    </row>
    <row r="37" spans="1:7" ht="28.8" x14ac:dyDescent="0.55000000000000004">
      <c r="A37" s="24"/>
      <c r="B37" s="25"/>
      <c r="C37" s="26"/>
      <c r="D37" s="26"/>
      <c r="E37" s="27"/>
      <c r="F37" s="30"/>
      <c r="G37" s="29">
        <f>SUM(E$9:$E37)-SUM(F$9:$F37)</f>
        <v>8150000</v>
      </c>
    </row>
    <row r="38" spans="1:7" ht="28.8" x14ac:dyDescent="0.55000000000000004">
      <c r="A38" s="24"/>
      <c r="B38" s="25"/>
      <c r="C38" s="26"/>
      <c r="D38" s="26"/>
      <c r="E38" s="27"/>
      <c r="F38" s="30"/>
      <c r="G38" s="29">
        <f>SUM(E$9:$E38)-SUM(F$9:$F38)</f>
        <v>8150000</v>
      </c>
    </row>
    <row r="39" spans="1:7" ht="28.8" x14ac:dyDescent="0.55000000000000004">
      <c r="A39" s="24"/>
      <c r="B39" s="25"/>
      <c r="C39" s="26"/>
      <c r="D39" s="26"/>
      <c r="E39" s="27"/>
      <c r="F39" s="30"/>
      <c r="G39" s="29">
        <f>SUM(E$9:$E39)-SUM(F$9:$F39)</f>
        <v>8150000</v>
      </c>
    </row>
    <row r="40" spans="1:7" ht="28.8" x14ac:dyDescent="0.55000000000000004">
      <c r="A40" s="24"/>
      <c r="B40" s="25"/>
      <c r="C40" s="26"/>
      <c r="D40" s="26"/>
      <c r="E40" s="27"/>
      <c r="F40" s="30"/>
      <c r="G40" s="29">
        <f>SUM(E$9:$E40)-SUM(F$9:$F40)</f>
        <v>8150000</v>
      </c>
    </row>
    <row r="41" spans="1:7" ht="28.8" x14ac:dyDescent="0.55000000000000004">
      <c r="A41" s="24"/>
      <c r="B41" s="25"/>
      <c r="C41" s="26"/>
      <c r="D41" s="26"/>
      <c r="E41" s="27"/>
      <c r="F41" s="30"/>
      <c r="G41" s="29">
        <f>SUM(E$9:$E41)-SUM(F$9:$F41)</f>
        <v>8150000</v>
      </c>
    </row>
    <row r="42" spans="1:7" ht="28.8" x14ac:dyDescent="0.55000000000000004">
      <c r="A42" s="24"/>
      <c r="B42" s="25"/>
      <c r="C42" s="26"/>
      <c r="D42" s="26"/>
      <c r="E42" s="27"/>
      <c r="F42" s="30"/>
      <c r="G42" s="29">
        <f>SUM(E$9:$E42)-SUM(F$9:$F42)</f>
        <v>8150000</v>
      </c>
    </row>
    <row r="43" spans="1:7" ht="28.8" x14ac:dyDescent="0.55000000000000004">
      <c r="A43" s="24"/>
      <c r="B43" s="25"/>
      <c r="C43" s="26"/>
      <c r="D43" s="26"/>
      <c r="E43" s="27"/>
      <c r="F43" s="30"/>
      <c r="G43" s="29">
        <f>SUM(E$9:$E43)-SUM(F$9:$F43)</f>
        <v>8150000</v>
      </c>
    </row>
    <row r="44" spans="1:7" ht="28.8" x14ac:dyDescent="0.55000000000000004">
      <c r="A44" s="24"/>
      <c r="B44" s="25"/>
      <c r="C44" s="26"/>
      <c r="D44" s="26"/>
      <c r="E44" s="27"/>
      <c r="F44" s="30"/>
      <c r="G44" s="29">
        <f>SUM(E$9:$E44)-SUM(F$9:$F44)</f>
        <v>8150000</v>
      </c>
    </row>
    <row r="45" spans="1:7" ht="28.8" x14ac:dyDescent="0.55000000000000004">
      <c r="A45" s="24"/>
      <c r="B45" s="25"/>
      <c r="C45" s="26"/>
      <c r="D45" s="26"/>
      <c r="E45" s="27"/>
      <c r="F45" s="30"/>
      <c r="G45" s="29">
        <f>SUM(E$9:$E45)-SUM(F$9:$F45)</f>
        <v>8150000</v>
      </c>
    </row>
    <row r="46" spans="1:7" ht="28.8" x14ac:dyDescent="0.55000000000000004">
      <c r="A46" s="24"/>
      <c r="B46" s="25"/>
      <c r="C46" s="26"/>
      <c r="D46" s="26"/>
      <c r="E46" s="27"/>
      <c r="F46" s="30"/>
      <c r="G46" s="29">
        <f>SUM(E$9:$E46)-SUM(F$9:$F46)</f>
        <v>8150000</v>
      </c>
    </row>
    <row r="47" spans="1:7" ht="28.8" x14ac:dyDescent="0.55000000000000004">
      <c r="A47" s="24"/>
      <c r="B47" s="25"/>
      <c r="C47" s="26"/>
      <c r="D47" s="26"/>
      <c r="E47" s="27"/>
      <c r="F47" s="30"/>
      <c r="G47" s="29">
        <f>SUM(E$9:$E47)-SUM(F$9:$F47)</f>
        <v>8150000</v>
      </c>
    </row>
    <row r="48" spans="1:7" ht="28.8" x14ac:dyDescent="0.55000000000000004">
      <c r="A48" s="24"/>
      <c r="B48" s="25"/>
      <c r="C48" s="26"/>
      <c r="D48" s="26"/>
      <c r="E48" s="27"/>
      <c r="F48" s="30"/>
      <c r="G48" s="29">
        <f>SUM(E$9:$E48)-SUM(F$9:$F48)</f>
        <v>8150000</v>
      </c>
    </row>
    <row r="49" spans="1:7" ht="28.8" x14ac:dyDescent="0.55000000000000004">
      <c r="A49" s="24"/>
      <c r="B49" s="25"/>
      <c r="C49" s="26"/>
      <c r="D49" s="26"/>
      <c r="E49" s="27"/>
      <c r="F49" s="30"/>
      <c r="G49" s="29">
        <f>SUM(E$9:$E49)-SUM(F$9:$F49)</f>
        <v>8150000</v>
      </c>
    </row>
    <row r="50" spans="1:7" ht="28.8" x14ac:dyDescent="0.55000000000000004">
      <c r="A50" s="24"/>
      <c r="B50" s="25"/>
      <c r="C50" s="26"/>
      <c r="D50" s="26"/>
      <c r="E50" s="27"/>
      <c r="F50" s="30"/>
      <c r="G50" s="29">
        <f>SUM(E$9:$E50)-SUM(F$9:$F50)</f>
        <v>8150000</v>
      </c>
    </row>
    <row r="51" spans="1:7" ht="28.8" x14ac:dyDescent="0.55000000000000004">
      <c r="A51" s="24"/>
      <c r="B51" s="25"/>
      <c r="C51" s="26"/>
      <c r="D51" s="26"/>
      <c r="E51" s="27"/>
      <c r="F51" s="30"/>
      <c r="G51" s="29">
        <f>SUM(E$9:$E51)-SUM(F$9:$F51)</f>
        <v>8150000</v>
      </c>
    </row>
    <row r="52" spans="1:7" ht="28.8" x14ac:dyDescent="0.55000000000000004">
      <c r="A52" s="24"/>
      <c r="B52" s="25"/>
      <c r="C52" s="26"/>
      <c r="D52" s="26"/>
      <c r="E52" s="27"/>
      <c r="F52" s="30"/>
      <c r="G52" s="29">
        <f>SUM(E$9:$E52)-SUM(F$9:$F52)</f>
        <v>8150000</v>
      </c>
    </row>
    <row r="53" spans="1:7" ht="28.8" x14ac:dyDescent="0.55000000000000004">
      <c r="A53" s="24"/>
      <c r="B53" s="25"/>
      <c r="C53" s="26"/>
      <c r="D53" s="26"/>
      <c r="E53" s="27"/>
      <c r="F53" s="30"/>
      <c r="G53" s="29">
        <f>SUM(E$9:$E53)-SUM(F$9:$F53)</f>
        <v>8150000</v>
      </c>
    </row>
    <row r="54" spans="1:7" ht="28.8" x14ac:dyDescent="0.55000000000000004">
      <c r="A54" s="24"/>
      <c r="B54" s="25"/>
      <c r="C54" s="26"/>
      <c r="D54" s="26"/>
      <c r="E54" s="27"/>
      <c r="F54" s="30"/>
      <c r="G54" s="29">
        <f>SUM(E$9:$E54)-SUM(F$9:$F54)</f>
        <v>8150000</v>
      </c>
    </row>
    <row r="55" spans="1:7" ht="28.8" x14ac:dyDescent="0.55000000000000004">
      <c r="A55" s="24"/>
      <c r="B55" s="25"/>
      <c r="C55" s="26"/>
      <c r="D55" s="26"/>
      <c r="E55" s="27"/>
      <c r="F55" s="30"/>
      <c r="G55" s="29">
        <f>SUM(E$9:$E55)-SUM(F$9:$F55)</f>
        <v>8150000</v>
      </c>
    </row>
    <row r="56" spans="1:7" ht="28.8" x14ac:dyDescent="0.55000000000000004">
      <c r="A56" s="24"/>
      <c r="B56" s="25"/>
      <c r="C56" s="26"/>
      <c r="D56" s="26"/>
      <c r="E56" s="27"/>
      <c r="F56" s="30"/>
      <c r="G56" s="29">
        <f>SUM(E$9:$E56)-SUM(F$9:$F56)</f>
        <v>8150000</v>
      </c>
    </row>
    <row r="57" spans="1:7" ht="28.8" x14ac:dyDescent="0.55000000000000004">
      <c r="A57" s="24"/>
      <c r="B57" s="25"/>
      <c r="C57" s="26"/>
      <c r="D57" s="26"/>
      <c r="E57" s="27"/>
      <c r="F57" s="30"/>
      <c r="G57" s="29">
        <f>SUM(E$9:$E57)-SUM(F$9:$F57)</f>
        <v>8150000</v>
      </c>
    </row>
    <row r="58" spans="1:7" ht="28.8" x14ac:dyDescent="0.55000000000000004">
      <c r="A58" s="24"/>
      <c r="B58" s="25"/>
      <c r="C58" s="26"/>
      <c r="D58" s="26"/>
      <c r="E58" s="27"/>
      <c r="F58" s="30"/>
      <c r="G58" s="29">
        <f>SUM(E$9:$E58)-SUM(F$9:$F58)</f>
        <v>8150000</v>
      </c>
    </row>
    <row r="59" spans="1:7" ht="28.8" x14ac:dyDescent="0.55000000000000004">
      <c r="A59" s="24"/>
      <c r="B59" s="25"/>
      <c r="C59" s="26"/>
      <c r="D59" s="26"/>
      <c r="E59" s="27"/>
      <c r="F59" s="30"/>
      <c r="G59" s="29">
        <f>SUM(E$9:$E59)-SUM(F$9:$F59)</f>
        <v>8150000</v>
      </c>
    </row>
    <row r="60" spans="1:7" ht="28.8" x14ac:dyDescent="0.55000000000000004">
      <c r="A60" s="24"/>
      <c r="B60" s="25"/>
      <c r="C60" s="26"/>
      <c r="D60" s="26"/>
      <c r="E60" s="27"/>
      <c r="F60" s="30"/>
      <c r="G60" s="29">
        <f>SUM(E$9:$E60)-SUM(F$9:$F60)</f>
        <v>8150000</v>
      </c>
    </row>
    <row r="61" spans="1:7" ht="28.8" x14ac:dyDescent="0.55000000000000004">
      <c r="A61" s="24"/>
      <c r="B61" s="25"/>
      <c r="C61" s="26"/>
      <c r="D61" s="26"/>
      <c r="E61" s="27"/>
      <c r="F61" s="30"/>
      <c r="G61" s="29">
        <f>SUM(E$9:$E61)-SUM(F$9:$F61)</f>
        <v>8150000</v>
      </c>
    </row>
    <row r="62" spans="1:7" ht="28.8" x14ac:dyDescent="0.55000000000000004">
      <c r="A62" s="24"/>
      <c r="B62" s="25"/>
      <c r="C62" s="26"/>
      <c r="D62" s="26"/>
      <c r="E62" s="27"/>
      <c r="F62" s="30"/>
      <c r="G62" s="29">
        <f>SUM(E$9:$E62)-SUM(F$9:$F62)</f>
        <v>8150000</v>
      </c>
    </row>
    <row r="63" spans="1:7" ht="28.8" x14ac:dyDescent="0.55000000000000004">
      <c r="A63" s="24"/>
      <c r="B63" s="25"/>
      <c r="C63" s="26"/>
      <c r="D63" s="26"/>
      <c r="E63" s="27"/>
      <c r="F63" s="30"/>
      <c r="G63" s="29">
        <f>SUM(E$9:$E63)-SUM(F$9:$F63)</f>
        <v>8150000</v>
      </c>
    </row>
    <row r="64" spans="1:7" ht="28.8" x14ac:dyDescent="0.55000000000000004">
      <c r="A64" s="24"/>
      <c r="B64" s="25"/>
      <c r="C64" s="26"/>
      <c r="D64" s="26"/>
      <c r="E64" s="27"/>
      <c r="F64" s="30"/>
      <c r="G64" s="29">
        <f>SUM(E$9:$E64)-SUM(F$9:$F64)</f>
        <v>8150000</v>
      </c>
    </row>
    <row r="65" spans="1:7" ht="28.8" x14ac:dyDescent="0.55000000000000004">
      <c r="A65" s="24"/>
      <c r="B65" s="25"/>
      <c r="C65" s="26"/>
      <c r="D65" s="26"/>
      <c r="E65" s="27"/>
      <c r="F65" s="30"/>
      <c r="G65" s="29">
        <f>SUM(E$9:$E65)-SUM(F$9:$F65)</f>
        <v>8150000</v>
      </c>
    </row>
    <row r="66" spans="1:7" ht="28.8" x14ac:dyDescent="0.55000000000000004">
      <c r="A66" s="24"/>
      <c r="B66" s="25"/>
      <c r="C66" s="26"/>
      <c r="D66" s="26"/>
      <c r="E66" s="27"/>
      <c r="F66" s="30"/>
      <c r="G66" s="29">
        <f>SUM(E$9:$E66)-SUM(F$9:$F66)</f>
        <v>8150000</v>
      </c>
    </row>
    <row r="67" spans="1:7" ht="28.8" x14ac:dyDescent="0.55000000000000004">
      <c r="A67" s="24"/>
      <c r="B67" s="25"/>
      <c r="C67" s="26"/>
      <c r="D67" s="26"/>
      <c r="E67" s="27"/>
      <c r="F67" s="30"/>
      <c r="G67" s="29">
        <f>SUM(E$9:$E67)-SUM(F$9:$F67)</f>
        <v>8150000</v>
      </c>
    </row>
    <row r="68" spans="1:7" ht="28.8" x14ac:dyDescent="0.55000000000000004">
      <c r="A68" s="24"/>
      <c r="B68" s="25"/>
      <c r="C68" s="26"/>
      <c r="D68" s="26"/>
      <c r="E68" s="27"/>
      <c r="F68" s="30"/>
      <c r="G68" s="29">
        <f>SUM(E$9:$E68)-SUM(F$9:$F68)</f>
        <v>8150000</v>
      </c>
    </row>
    <row r="69" spans="1:7" ht="28.8" x14ac:dyDescent="0.55000000000000004">
      <c r="A69" s="24"/>
      <c r="B69" s="25"/>
      <c r="C69" s="26"/>
      <c r="D69" s="26"/>
      <c r="E69" s="27"/>
      <c r="F69" s="30"/>
      <c r="G69" s="29">
        <f>SUM(E$9:$E69)-SUM(F$9:$F69)</f>
        <v>8150000</v>
      </c>
    </row>
    <row r="70" spans="1:7" ht="28.8" x14ac:dyDescent="0.55000000000000004">
      <c r="A70" s="24"/>
      <c r="B70" s="25"/>
      <c r="C70" s="26"/>
      <c r="D70" s="26"/>
      <c r="E70" s="27"/>
      <c r="F70" s="30"/>
      <c r="G70" s="29">
        <f>SUM(E$9:$E70)-SUM(F$9:$F70)</f>
        <v>8150000</v>
      </c>
    </row>
    <row r="71" spans="1:7" ht="28.8" x14ac:dyDescent="0.55000000000000004">
      <c r="A71" s="24"/>
      <c r="B71" s="25"/>
      <c r="C71" s="26"/>
      <c r="D71" s="26"/>
      <c r="E71" s="27"/>
      <c r="F71" s="30"/>
      <c r="G71" s="29">
        <f>SUM(E$9:$E71)-SUM(F$9:$F71)</f>
        <v>8150000</v>
      </c>
    </row>
    <row r="72" spans="1:7" ht="28.8" x14ac:dyDescent="0.55000000000000004">
      <c r="A72" s="24"/>
      <c r="B72" s="25"/>
      <c r="C72" s="26"/>
      <c r="D72" s="26"/>
      <c r="E72" s="27"/>
      <c r="F72" s="30"/>
      <c r="G72" s="29">
        <f>SUM(E$9:$E72)-SUM(F$9:$F72)</f>
        <v>8150000</v>
      </c>
    </row>
    <row r="73" spans="1:7" ht="28.8" x14ac:dyDescent="0.55000000000000004">
      <c r="A73" s="24"/>
      <c r="B73" s="25"/>
      <c r="C73" s="26"/>
      <c r="D73" s="26"/>
      <c r="E73" s="27"/>
      <c r="F73" s="30"/>
      <c r="G73" s="29">
        <f>SUM(E$9:$E73)-SUM(F$9:$F73)</f>
        <v>8150000</v>
      </c>
    </row>
    <row r="74" spans="1:7" ht="28.8" x14ac:dyDescent="0.55000000000000004">
      <c r="A74" s="24"/>
      <c r="B74" s="25"/>
      <c r="C74" s="26"/>
      <c r="D74" s="26"/>
      <c r="E74" s="27"/>
      <c r="F74" s="30"/>
      <c r="G74" s="29">
        <f>SUM(E$9:$E74)-SUM(F$9:$F74)</f>
        <v>8150000</v>
      </c>
    </row>
    <row r="75" spans="1:7" ht="28.8" x14ac:dyDescent="0.55000000000000004">
      <c r="A75" s="24"/>
      <c r="B75" s="25"/>
      <c r="C75" s="26"/>
      <c r="D75" s="26"/>
      <c r="E75" s="27"/>
      <c r="F75" s="30"/>
      <c r="G75" s="29">
        <f>SUM(E$9:$E75)-SUM(F$9:$F75)</f>
        <v>8150000</v>
      </c>
    </row>
    <row r="76" spans="1:7" ht="28.8" x14ac:dyDescent="0.55000000000000004">
      <c r="A76" s="24"/>
      <c r="B76" s="25"/>
      <c r="C76" s="26"/>
      <c r="D76" s="26"/>
      <c r="E76" s="27"/>
      <c r="F76" s="30"/>
      <c r="G76" s="29">
        <f>SUM(E$9:$E76)-SUM(F$9:$F76)</f>
        <v>8150000</v>
      </c>
    </row>
    <row r="77" spans="1:7" ht="28.8" x14ac:dyDescent="0.55000000000000004">
      <c r="A77" s="24"/>
      <c r="B77" s="25"/>
      <c r="C77" s="26"/>
      <c r="D77" s="26"/>
      <c r="E77" s="27"/>
      <c r="F77" s="30"/>
      <c r="G77" s="29">
        <f>SUM(E$9:$E77)-SUM(F$9:$F77)</f>
        <v>8150000</v>
      </c>
    </row>
    <row r="78" spans="1:7" ht="28.8" x14ac:dyDescent="0.55000000000000004">
      <c r="A78" s="24"/>
      <c r="B78" s="25"/>
      <c r="C78" s="26"/>
      <c r="D78" s="26"/>
      <c r="E78" s="27"/>
      <c r="F78" s="30"/>
      <c r="G78" s="29">
        <f>SUM(E$9:$E78)-SUM(F$9:$F78)</f>
        <v>8150000</v>
      </c>
    </row>
    <row r="79" spans="1:7" ht="28.8" x14ac:dyDescent="0.55000000000000004">
      <c r="A79" s="24"/>
      <c r="B79" s="25"/>
      <c r="C79" s="26"/>
      <c r="D79" s="26"/>
      <c r="E79" s="27"/>
      <c r="F79" s="30"/>
      <c r="G79" s="29">
        <f>SUM(E$9:$E79)-SUM(F$9:$F79)</f>
        <v>8150000</v>
      </c>
    </row>
    <row r="80" spans="1:7" ht="28.8" x14ac:dyDescent="0.55000000000000004">
      <c r="A80" s="24"/>
      <c r="B80" s="25"/>
      <c r="C80" s="26"/>
      <c r="D80" s="26"/>
      <c r="E80" s="27"/>
      <c r="F80" s="30"/>
      <c r="G80" s="29">
        <f>SUM(E$9:$E80)-SUM(F$9:$F80)</f>
        <v>8150000</v>
      </c>
    </row>
    <row r="81" spans="1:7" ht="28.8" x14ac:dyDescent="0.55000000000000004">
      <c r="A81" s="24"/>
      <c r="B81" s="25"/>
      <c r="C81" s="26"/>
      <c r="D81" s="26"/>
      <c r="E81" s="27"/>
      <c r="F81" s="30"/>
      <c r="G81" s="29">
        <f>SUM(E$9:$E81)-SUM(F$9:$F81)</f>
        <v>8150000</v>
      </c>
    </row>
    <row r="82" spans="1:7" ht="28.8" x14ac:dyDescent="0.55000000000000004">
      <c r="A82" s="24"/>
      <c r="B82" s="25"/>
      <c r="C82" s="26"/>
      <c r="D82" s="26"/>
      <c r="E82" s="27"/>
      <c r="F82" s="30"/>
      <c r="G82" s="29">
        <f>SUM(E$9:$E82)-SUM(F$9:$F82)</f>
        <v>8150000</v>
      </c>
    </row>
    <row r="83" spans="1:7" ht="28.8" x14ac:dyDescent="0.55000000000000004">
      <c r="A83" s="24"/>
      <c r="B83" s="25"/>
      <c r="C83" s="26"/>
      <c r="D83" s="26"/>
      <c r="E83" s="27"/>
      <c r="F83" s="30"/>
      <c r="G83" s="29">
        <f>SUM(E$9:$E83)-SUM(F$9:$F83)</f>
        <v>8150000</v>
      </c>
    </row>
    <row r="84" spans="1:7" ht="28.8" x14ac:dyDescent="0.55000000000000004">
      <c r="A84" s="24"/>
      <c r="B84" s="25"/>
      <c r="C84" s="26"/>
      <c r="D84" s="26"/>
      <c r="E84" s="27"/>
      <c r="F84" s="30"/>
      <c r="G84" s="29">
        <f>SUM(E$9:$E84)-SUM(F$9:$F84)</f>
        <v>8150000</v>
      </c>
    </row>
    <row r="85" spans="1:7" ht="28.8" x14ac:dyDescent="0.55000000000000004">
      <c r="A85" s="24"/>
      <c r="B85" s="25"/>
      <c r="C85" s="26"/>
      <c r="D85" s="26"/>
      <c r="E85" s="27"/>
      <c r="F85" s="30"/>
      <c r="G85" s="29">
        <f>SUM(E$9:$E85)-SUM(F$9:$F85)</f>
        <v>8150000</v>
      </c>
    </row>
    <row r="86" spans="1:7" ht="28.8" x14ac:dyDescent="0.55000000000000004">
      <c r="A86" s="24"/>
      <c r="B86" s="25"/>
      <c r="C86" s="26"/>
      <c r="D86" s="26"/>
      <c r="E86" s="27"/>
      <c r="F86" s="30"/>
      <c r="G86" s="29">
        <f>SUM(E$9:$E86)-SUM(F$9:$F86)</f>
        <v>8150000</v>
      </c>
    </row>
    <row r="87" spans="1:7" ht="28.8" x14ac:dyDescent="0.55000000000000004">
      <c r="A87" s="24"/>
      <c r="B87" s="25"/>
      <c r="C87" s="26"/>
      <c r="D87" s="26"/>
      <c r="E87" s="27"/>
      <c r="F87" s="30"/>
      <c r="G87" s="29">
        <f>SUM(E$9:$E87)-SUM(F$9:$F87)</f>
        <v>8150000</v>
      </c>
    </row>
    <row r="88" spans="1:7" ht="28.8" x14ac:dyDescent="0.55000000000000004">
      <c r="A88" s="24"/>
      <c r="B88" s="25"/>
      <c r="C88" s="26"/>
      <c r="D88" s="26"/>
      <c r="E88" s="27"/>
      <c r="F88" s="30"/>
      <c r="G88" s="29">
        <f>SUM(E$9:$E88)-SUM(F$9:$F88)</f>
        <v>8150000</v>
      </c>
    </row>
    <row r="89" spans="1:7" ht="28.8" x14ac:dyDescent="0.55000000000000004">
      <c r="A89" s="24"/>
      <c r="B89" s="25"/>
      <c r="C89" s="26"/>
      <c r="D89" s="26"/>
      <c r="E89" s="27"/>
      <c r="F89" s="30"/>
      <c r="G89" s="29">
        <f>SUM(E$9:$E89)-SUM(F$9:$F89)</f>
        <v>8150000</v>
      </c>
    </row>
    <row r="90" spans="1:7" ht="28.8" x14ac:dyDescent="0.55000000000000004">
      <c r="A90" s="24"/>
      <c r="B90" s="25"/>
      <c r="C90" s="26"/>
      <c r="D90" s="26"/>
      <c r="E90" s="27"/>
      <c r="F90" s="30"/>
      <c r="G90" s="29">
        <f>SUM(E$9:$E90)-SUM(F$9:$F90)</f>
        <v>8150000</v>
      </c>
    </row>
    <row r="91" spans="1:7" ht="28.8" x14ac:dyDescent="0.55000000000000004">
      <c r="A91" s="24"/>
      <c r="B91" s="25"/>
      <c r="C91" s="26"/>
      <c r="D91" s="26"/>
      <c r="E91" s="27"/>
      <c r="F91" s="30"/>
      <c r="G91" s="29">
        <f>SUM(E$9:$E91)-SUM(F$9:$F91)</f>
        <v>8150000</v>
      </c>
    </row>
    <row r="92" spans="1:7" ht="28.8" x14ac:dyDescent="0.55000000000000004">
      <c r="A92" s="24"/>
      <c r="B92" s="25"/>
      <c r="C92" s="26"/>
      <c r="D92" s="26"/>
      <c r="E92" s="27"/>
      <c r="F92" s="30"/>
      <c r="G92" s="29">
        <f>SUM(E$9:$E92)-SUM(F$9:$F92)</f>
        <v>8150000</v>
      </c>
    </row>
    <row r="93" spans="1:7" ht="28.8" x14ac:dyDescent="0.55000000000000004">
      <c r="A93" s="24"/>
      <c r="B93" s="25"/>
      <c r="C93" s="26"/>
      <c r="D93" s="26"/>
      <c r="E93" s="27"/>
      <c r="F93" s="30"/>
      <c r="G93" s="29">
        <f>SUM(E$9:$E93)-SUM(F$9:$F93)</f>
        <v>8150000</v>
      </c>
    </row>
    <row r="94" spans="1:7" ht="28.8" x14ac:dyDescent="0.55000000000000004">
      <c r="A94" s="24"/>
      <c r="B94" s="25"/>
      <c r="C94" s="26"/>
      <c r="D94" s="26"/>
      <c r="E94" s="27"/>
      <c r="F94" s="30"/>
      <c r="G94" s="29">
        <f>SUM(E$9:$E94)-SUM(F$9:$F94)</f>
        <v>8150000</v>
      </c>
    </row>
    <row r="95" spans="1:7" ht="28.8" x14ac:dyDescent="0.55000000000000004">
      <c r="A95" s="24"/>
      <c r="B95" s="25"/>
      <c r="C95" s="26"/>
      <c r="D95" s="26"/>
      <c r="E95" s="27"/>
      <c r="F95" s="30"/>
      <c r="G95" s="29">
        <f>SUM(E$9:$E95)-SUM(F$9:$F95)</f>
        <v>8150000</v>
      </c>
    </row>
    <row r="96" spans="1:7" ht="28.8" x14ac:dyDescent="0.55000000000000004">
      <c r="A96" s="24"/>
      <c r="B96" s="25"/>
      <c r="C96" s="26"/>
      <c r="D96" s="26"/>
      <c r="E96" s="27"/>
      <c r="F96" s="30"/>
      <c r="G96" s="29">
        <f>SUM(E$9:$E96)-SUM(F$9:$F96)</f>
        <v>8150000</v>
      </c>
    </row>
    <row r="97" spans="1:7" ht="28.8" x14ac:dyDescent="0.55000000000000004">
      <c r="A97" s="24"/>
      <c r="B97" s="25"/>
      <c r="C97" s="26"/>
      <c r="D97" s="26"/>
      <c r="E97" s="27"/>
      <c r="F97" s="30"/>
      <c r="G97" s="29">
        <f>SUM(E$9:$E97)-SUM(F$9:$F97)</f>
        <v>8150000</v>
      </c>
    </row>
    <row r="98" spans="1:7" ht="28.8" x14ac:dyDescent="0.55000000000000004">
      <c r="A98" s="24"/>
      <c r="B98" s="25"/>
      <c r="C98" s="26"/>
      <c r="D98" s="26"/>
      <c r="E98" s="27"/>
      <c r="F98" s="30"/>
      <c r="G98" s="29">
        <f>SUM(E$9:$E98)-SUM(F$9:$F98)</f>
        <v>8150000</v>
      </c>
    </row>
    <row r="99" spans="1:7" ht="28.8" x14ac:dyDescent="0.55000000000000004">
      <c r="A99" s="24"/>
      <c r="B99" s="25"/>
      <c r="C99" s="26"/>
      <c r="D99" s="26"/>
      <c r="E99" s="27"/>
      <c r="F99" s="30"/>
      <c r="G99" s="29">
        <f>SUM(E$9:$E99)-SUM(F$9:$F99)</f>
        <v>8150000</v>
      </c>
    </row>
    <row r="100" spans="1:7" ht="28.8" x14ac:dyDescent="0.55000000000000004">
      <c r="A100" s="24"/>
      <c r="B100" s="25"/>
      <c r="C100" s="26"/>
      <c r="D100" s="26"/>
      <c r="E100" s="27"/>
      <c r="F100" s="30"/>
      <c r="G100" s="29">
        <f>SUM(E$9:$E100)-SUM(F$9:$F100)</f>
        <v>8150000</v>
      </c>
    </row>
    <row r="101" spans="1:7" ht="28.8" x14ac:dyDescent="0.55000000000000004">
      <c r="A101" s="24"/>
      <c r="B101" s="25"/>
      <c r="C101" s="26"/>
      <c r="D101" s="26"/>
      <c r="E101" s="27"/>
      <c r="F101" s="30"/>
      <c r="G101" s="29">
        <f>SUM(E$9:$E101)-SUM(F$9:$F101)</f>
        <v>8150000</v>
      </c>
    </row>
    <row r="102" spans="1:7" ht="28.8" x14ac:dyDescent="0.55000000000000004">
      <c r="A102" s="24"/>
      <c r="B102" s="25"/>
      <c r="C102" s="26"/>
      <c r="D102" s="26"/>
      <c r="E102" s="27"/>
      <c r="F102" s="30"/>
      <c r="G102" s="29">
        <f>SUM(E$9:$E102)-SUM(F$9:$F102)</f>
        <v>8150000</v>
      </c>
    </row>
    <row r="103" spans="1:7" ht="28.8" x14ac:dyDescent="0.55000000000000004">
      <c r="A103" s="24"/>
      <c r="B103" s="25"/>
      <c r="C103" s="26"/>
      <c r="D103" s="26"/>
      <c r="E103" s="27"/>
      <c r="F103" s="30"/>
      <c r="G103" s="29">
        <f>SUM(E$9:$E103)-SUM(F$9:$F103)</f>
        <v>8150000</v>
      </c>
    </row>
    <row r="104" spans="1:7" ht="28.8" x14ac:dyDescent="0.55000000000000004">
      <c r="A104" s="24"/>
      <c r="B104" s="25"/>
      <c r="C104" s="26"/>
      <c r="D104" s="26"/>
      <c r="E104" s="27"/>
      <c r="F104" s="30"/>
      <c r="G104" s="29">
        <f>SUM(E$9:$E104)-SUM(F$9:$F104)</f>
        <v>8150000</v>
      </c>
    </row>
    <row r="105" spans="1:7" ht="28.8" x14ac:dyDescent="0.55000000000000004">
      <c r="A105" s="24"/>
      <c r="B105" s="25"/>
      <c r="C105" s="26"/>
      <c r="D105" s="26"/>
      <c r="E105" s="27">
        <f>+$I$2+(CHINOIS[[#This Row],[QUANTITE]]*CHINOIS[[#This Row],[PRIX UNITAIRE]])</f>
        <v>0</v>
      </c>
      <c r="F105" s="30"/>
      <c r="G105" s="29">
        <f>SUM(E$9:$E105)-SUM(F$9:$F105)</f>
        <v>8150000</v>
      </c>
    </row>
    <row r="106" spans="1:7" ht="28.8" x14ac:dyDescent="0.55000000000000004">
      <c r="A106" s="24"/>
      <c r="B106" s="25"/>
      <c r="C106" s="26"/>
      <c r="D106" s="26"/>
      <c r="E106" s="27">
        <f>+$I$2+(CHINOIS[[#This Row],[QUANTITE]]*CHINOIS[[#This Row],[PRIX UNITAIRE]])</f>
        <v>0</v>
      </c>
      <c r="F106" s="30"/>
      <c r="G106" s="29">
        <f>SUM(E$9:$E106)-SUM(F$9:$F106)</f>
        <v>8150000</v>
      </c>
    </row>
    <row r="107" spans="1:7" ht="28.8" x14ac:dyDescent="0.55000000000000004">
      <c r="A107" s="24"/>
      <c r="B107" s="25"/>
      <c r="C107" s="26"/>
      <c r="D107" s="26"/>
      <c r="E107" s="27">
        <f>+$I$2+(CHINOIS[[#This Row],[QUANTITE]]*CHINOIS[[#This Row],[PRIX UNITAIRE]])</f>
        <v>0</v>
      </c>
      <c r="F107" s="30"/>
      <c r="G107" s="29">
        <f>SUM(E$9:$E107)-SUM(F$9:$F107)</f>
        <v>8150000</v>
      </c>
    </row>
    <row r="108" spans="1:7" ht="28.8" x14ac:dyDescent="0.55000000000000004">
      <c r="A108" s="24"/>
      <c r="B108" s="25"/>
      <c r="C108" s="26"/>
      <c r="D108" s="26"/>
      <c r="E108" s="27">
        <f>+$I$2+(CHINOIS[[#This Row],[QUANTITE]]*CHINOIS[[#This Row],[PRIX UNITAIRE]])</f>
        <v>0</v>
      </c>
      <c r="F108" s="30"/>
      <c r="G108" s="29">
        <f>SUM(E$9:$E108)-SUM(F$9:$F108)</f>
        <v>8150000</v>
      </c>
    </row>
    <row r="109" spans="1:7" ht="28.8" x14ac:dyDescent="0.55000000000000004">
      <c r="A109" s="24"/>
      <c r="B109" s="25"/>
      <c r="C109" s="26"/>
      <c r="D109" s="26"/>
      <c r="E109" s="27">
        <f>+$I$2+(CHINOIS[[#This Row],[QUANTITE]]*CHINOIS[[#This Row],[PRIX UNITAIRE]])</f>
        <v>0</v>
      </c>
      <c r="F109" s="30"/>
      <c r="G109" s="29">
        <f>SUM(E$9:$E109)-SUM(F$9:$F109)</f>
        <v>8150000</v>
      </c>
    </row>
  </sheetData>
  <sheetProtection selectLockedCells="1" autoFilter="0"/>
  <mergeCells count="1">
    <mergeCell ref="B6:C6"/>
  </mergeCells>
  <conditionalFormatting sqref="B9:B109">
    <cfRule type="expression" dxfId="748" priority="1">
      <formula>$F9</formula>
    </cfRule>
  </conditionalFormatting>
  <conditionalFormatting sqref="G4">
    <cfRule type="cellIs" dxfId="747" priority="3" operator="lessThan">
      <formula>0</formula>
    </cfRule>
    <cfRule type="cellIs" dxfId="746" priority="4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orientation="portrait" r:id="rId1"/>
  <ignoredErrors>
    <ignoredError sqref="E9:E15" calculatedColumn="1"/>
    <ignoredError sqref="G10:G15" formulaRange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512"/>
  <sheetViews>
    <sheetView showGridLines="0" topLeftCell="D1" zoomScale="60" zoomScaleNormal="60" workbookViewId="0">
      <pane ySplit="8" topLeftCell="A496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1"/>
      <c r="B1" s="31"/>
      <c r="C1" s="31"/>
    </row>
    <row r="2" spans="1:9" ht="36" customHeight="1" thickBot="1" x14ac:dyDescent="0.65">
      <c r="A2" s="31"/>
      <c r="B2" s="31"/>
      <c r="C2" s="31"/>
      <c r="D2" s="37"/>
      <c r="E2" s="38"/>
      <c r="F2" s="38"/>
      <c r="G2" s="38"/>
      <c r="I2" s="1">
        <v>0</v>
      </c>
    </row>
    <row r="3" spans="1:9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31"/>
      <c r="B4" s="31"/>
      <c r="C4" s="31"/>
      <c r="D4" s="36" t="s">
        <v>19</v>
      </c>
      <c r="E4" s="39">
        <f>+SUM(SUNSTEEKEVIN[TOTAL MONTANT])</f>
        <v>7750000</v>
      </c>
      <c r="F4" s="39">
        <f>+SUM(SUNSTEEKEVIN[VERSEMENT])</f>
        <v>7750000</v>
      </c>
      <c r="G4" s="39">
        <f>+E4-F4</f>
        <v>0</v>
      </c>
    </row>
    <row r="5" spans="1:9" ht="29.4" thickBot="1" x14ac:dyDescent="0.35">
      <c r="B5" s="3" t="s">
        <v>7</v>
      </c>
    </row>
    <row r="6" spans="1:9" ht="37.200000000000003" thickBot="1" x14ac:dyDescent="0.75">
      <c r="B6" s="113" t="s">
        <v>73</v>
      </c>
      <c r="C6" s="114"/>
      <c r="E6" s="42" t="b">
        <v>1</v>
      </c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3690000</v>
      </c>
      <c r="E9" s="7">
        <v>3690000</v>
      </c>
      <c r="F9" s="22">
        <v>0</v>
      </c>
      <c r="G9" s="6">
        <f>SUM(E$9:$E9)-SUM(F$9:$F9)</f>
        <v>3690000</v>
      </c>
    </row>
    <row r="10" spans="1:9" ht="28.8" x14ac:dyDescent="0.55000000000000004">
      <c r="A10" s="12">
        <v>46079</v>
      </c>
      <c r="B10" s="13" t="s">
        <v>11</v>
      </c>
      <c r="C10" s="11">
        <v>1</v>
      </c>
      <c r="D10" s="11">
        <v>0</v>
      </c>
      <c r="E10" s="7">
        <v>0</v>
      </c>
      <c r="F10" s="22">
        <v>3690000</v>
      </c>
      <c r="G10" s="8">
        <f>SUM(E$9:$E10)-SUM(F$9:$F10)</f>
        <v>0</v>
      </c>
    </row>
    <row r="11" spans="1:9" ht="28.8" x14ac:dyDescent="0.55000000000000004">
      <c r="A11" s="12">
        <v>46081</v>
      </c>
      <c r="B11" s="13" t="s">
        <v>71</v>
      </c>
      <c r="C11" s="11">
        <v>20</v>
      </c>
      <c r="D11" s="11">
        <v>115000</v>
      </c>
      <c r="E11" s="7">
        <v>2300000</v>
      </c>
      <c r="F11" s="22">
        <v>0</v>
      </c>
      <c r="G11" s="8">
        <f>SUM(E$9:$E11)-SUM(F$9:$F11)</f>
        <v>2300000</v>
      </c>
    </row>
    <row r="12" spans="1:9" ht="28.8" x14ac:dyDescent="0.55000000000000004">
      <c r="A12" s="12">
        <v>46081</v>
      </c>
      <c r="B12" s="13" t="s">
        <v>72</v>
      </c>
      <c r="C12" s="11">
        <v>20</v>
      </c>
      <c r="D12" s="11">
        <v>88000</v>
      </c>
      <c r="E12" s="7">
        <v>1760000</v>
      </c>
      <c r="F12" s="22">
        <v>0</v>
      </c>
      <c r="G12" s="8">
        <f>SUM(E$9:$E12)-SUM(F$9:$F12)</f>
        <v>4060000</v>
      </c>
    </row>
    <row r="13" spans="1:9" ht="28.8" x14ac:dyDescent="0.55000000000000004">
      <c r="A13" s="12">
        <v>46081</v>
      </c>
      <c r="B13" s="13" t="s">
        <v>11</v>
      </c>
      <c r="C13" s="11">
        <v>1</v>
      </c>
      <c r="D13" s="11">
        <v>0</v>
      </c>
      <c r="E13" s="7">
        <v>0</v>
      </c>
      <c r="F13" s="22">
        <v>1060000</v>
      </c>
      <c r="G13" s="8">
        <f>SUM(E$9:$E13)-SUM(F$9:$F13)</f>
        <v>3000000</v>
      </c>
    </row>
    <row r="14" spans="1:9" ht="28.8" x14ac:dyDescent="0.55000000000000004">
      <c r="A14" s="12">
        <v>46093</v>
      </c>
      <c r="B14" s="13" t="s">
        <v>11</v>
      </c>
      <c r="C14" s="11">
        <v>1</v>
      </c>
      <c r="D14" s="11">
        <v>0</v>
      </c>
      <c r="E14" s="7">
        <v>0</v>
      </c>
      <c r="F14" s="22">
        <v>3000000</v>
      </c>
      <c r="G14" s="8">
        <f>SUM(E$9:$E14)-SUM(F$9:$F14)</f>
        <v>0</v>
      </c>
    </row>
    <row r="15" spans="1:9" ht="28.8" x14ac:dyDescent="0.55000000000000004">
      <c r="A15" s="12"/>
      <c r="B15" s="13"/>
      <c r="C15" s="11"/>
      <c r="D15" s="11"/>
      <c r="E15" s="7"/>
      <c r="F15" s="22"/>
      <c r="G15" s="8">
        <f>SUM(E$9:$E15)-SUM(F$9:$F15)</f>
        <v>0</v>
      </c>
    </row>
    <row r="16" spans="1:9" ht="28.8" x14ac:dyDescent="0.55000000000000004">
      <c r="A16" s="12"/>
      <c r="B16" s="13"/>
      <c r="C16" s="11"/>
      <c r="D16" s="11"/>
      <c r="E16" s="7"/>
      <c r="F16" s="22"/>
      <c r="G16" s="8">
        <f>SUM(E$9:$E16)-SUM(F$9:$F16)</f>
        <v>0</v>
      </c>
    </row>
    <row r="17" spans="1:7" ht="28.8" x14ac:dyDescent="0.55000000000000004">
      <c r="A17" s="12"/>
      <c r="B17" s="13"/>
      <c r="C17" s="11"/>
      <c r="D17" s="11"/>
      <c r="E17" s="7"/>
      <c r="F17" s="22"/>
      <c r="G17" s="8">
        <f>SUM(E$9:$E17)-SUM(F$9:$F17)</f>
        <v>0</v>
      </c>
    </row>
    <row r="18" spans="1:7" ht="28.8" x14ac:dyDescent="0.55000000000000004">
      <c r="A18" s="12"/>
      <c r="B18" s="13"/>
      <c r="C18" s="11"/>
      <c r="D18" s="11"/>
      <c r="E18" s="7"/>
      <c r="F18" s="22"/>
      <c r="G18" s="8">
        <f>SUM(E$9:$E18)-SUM(F$9:$F18)</f>
        <v>0</v>
      </c>
    </row>
    <row r="19" spans="1:7" ht="28.8" x14ac:dyDescent="0.55000000000000004">
      <c r="A19" s="12"/>
      <c r="B19" s="13"/>
      <c r="C19" s="11"/>
      <c r="D19" s="11"/>
      <c r="E19" s="7"/>
      <c r="F19" s="22"/>
      <c r="G19" s="8">
        <f>SUM(E$9:$E19)-SUM(F$9:$F19)</f>
        <v>0</v>
      </c>
    </row>
    <row r="20" spans="1:7" ht="28.8" x14ac:dyDescent="0.55000000000000004">
      <c r="A20" s="12"/>
      <c r="B20" s="13"/>
      <c r="C20" s="11"/>
      <c r="D20" s="11"/>
      <c r="E20" s="7"/>
      <c r="F20" s="22"/>
      <c r="G20" s="8">
        <f>SUM(E$9:$E20)-SUM(F$9:$F20)</f>
        <v>0</v>
      </c>
    </row>
    <row r="21" spans="1:7" ht="28.8" x14ac:dyDescent="0.55000000000000004">
      <c r="A21" s="12"/>
      <c r="B21" s="13"/>
      <c r="C21" s="11"/>
      <c r="D21" s="11"/>
      <c r="E21" s="7"/>
      <c r="F21" s="22"/>
      <c r="G21" s="8">
        <f>SUM(E$9:$E21)-SUM(F$9:$F21)</f>
        <v>0</v>
      </c>
    </row>
    <row r="22" spans="1:7" ht="28.8" x14ac:dyDescent="0.55000000000000004">
      <c r="A22" s="12"/>
      <c r="B22" s="13"/>
      <c r="C22" s="11"/>
      <c r="D22" s="11"/>
      <c r="E22" s="7"/>
      <c r="F22" s="22"/>
      <c r="G22" s="8">
        <f>SUM(E$9:$E22)-SUM(F$9:$F22)</f>
        <v>0</v>
      </c>
    </row>
    <row r="23" spans="1:7" ht="28.8" x14ac:dyDescent="0.55000000000000004">
      <c r="A23" s="12"/>
      <c r="B23" s="13"/>
      <c r="C23" s="11"/>
      <c r="D23" s="11"/>
      <c r="E23" s="7"/>
      <c r="F23" s="22"/>
      <c r="G23" s="8">
        <f>SUM(E$9:$E23)-SUM(F$9:$F23)</f>
        <v>0</v>
      </c>
    </row>
    <row r="24" spans="1:7" ht="28.8" x14ac:dyDescent="0.55000000000000004">
      <c r="A24" s="12"/>
      <c r="B24" s="13"/>
      <c r="C24" s="11"/>
      <c r="D24" s="11"/>
      <c r="E24" s="7"/>
      <c r="F24" s="22"/>
      <c r="G24" s="8">
        <f>SUM(E$9:$E24)-SUM(F$9:$F24)</f>
        <v>0</v>
      </c>
    </row>
    <row r="25" spans="1:7" ht="28.8" x14ac:dyDescent="0.55000000000000004">
      <c r="A25" s="12"/>
      <c r="B25" s="13"/>
      <c r="C25" s="11"/>
      <c r="D25" s="11"/>
      <c r="E25" s="7"/>
      <c r="F25" s="22"/>
      <c r="G25" s="8">
        <f>SUM(E$9:$E25)-SUM(F$9:$F25)</f>
        <v>0</v>
      </c>
    </row>
    <row r="26" spans="1:7" ht="28.8" x14ac:dyDescent="0.55000000000000004">
      <c r="A26" s="12"/>
      <c r="B26" s="13"/>
      <c r="C26" s="11"/>
      <c r="D26" s="11"/>
      <c r="E26" s="7"/>
      <c r="F26" s="22"/>
      <c r="G26" s="8">
        <f>SUM(E$9:$E26)-SUM(F$9:$F26)</f>
        <v>0</v>
      </c>
    </row>
    <row r="27" spans="1:7" ht="28.8" x14ac:dyDescent="0.55000000000000004">
      <c r="A27" s="12"/>
      <c r="B27" s="13"/>
      <c r="C27" s="11"/>
      <c r="D27" s="11"/>
      <c r="E27" s="7"/>
      <c r="F27" s="22"/>
      <c r="G27" s="8">
        <f>SUM(E$9:$E27)-SUM(F$9:$F27)</f>
        <v>0</v>
      </c>
    </row>
    <row r="28" spans="1:7" ht="28.8" x14ac:dyDescent="0.55000000000000004">
      <c r="A28" s="12"/>
      <c r="B28" s="13"/>
      <c r="C28" s="11"/>
      <c r="D28" s="11"/>
      <c r="E28" s="7"/>
      <c r="F28" s="22"/>
      <c r="G28" s="8">
        <f>SUM(E$9:$E28)-SUM(F$9:$F28)</f>
        <v>0</v>
      </c>
    </row>
    <row r="29" spans="1:7" ht="28.8" x14ac:dyDescent="0.55000000000000004">
      <c r="A29" s="12"/>
      <c r="B29" s="13"/>
      <c r="C29" s="11"/>
      <c r="D29" s="11"/>
      <c r="E29" s="7"/>
      <c r="F29" s="22"/>
      <c r="G29" s="8">
        <f>SUM(E$9:$E29)-SUM(F$9:$F29)</f>
        <v>0</v>
      </c>
    </row>
    <row r="30" spans="1:7" ht="28.8" x14ac:dyDescent="0.55000000000000004">
      <c r="A30" s="12"/>
      <c r="B30" s="13"/>
      <c r="C30" s="11"/>
      <c r="D30" s="11"/>
      <c r="E30" s="7"/>
      <c r="F30" s="22"/>
      <c r="G30" s="8">
        <f>SUM(E$9:$E30)-SUM(F$9:$F30)</f>
        <v>0</v>
      </c>
    </row>
    <row r="31" spans="1:7" ht="28.8" x14ac:dyDescent="0.55000000000000004">
      <c r="A31" s="12"/>
      <c r="B31" s="13"/>
      <c r="C31" s="11"/>
      <c r="D31" s="11"/>
      <c r="E31" s="7"/>
      <c r="F31" s="22"/>
      <c r="G31" s="8">
        <f>SUM(E$9:$E31)-SUM(F$9:$F31)</f>
        <v>0</v>
      </c>
    </row>
    <row r="32" spans="1:7" ht="28.8" x14ac:dyDescent="0.55000000000000004">
      <c r="A32" s="12"/>
      <c r="B32" s="13"/>
      <c r="C32" s="11"/>
      <c r="D32" s="11"/>
      <c r="E32" s="7"/>
      <c r="F32" s="22"/>
      <c r="G32" s="8">
        <f>SUM(E$9:$E32)-SUM(F$9:$F32)</f>
        <v>0</v>
      </c>
    </row>
    <row r="33" spans="1:7" ht="28.8" x14ac:dyDescent="0.55000000000000004">
      <c r="A33" s="12"/>
      <c r="B33" s="13"/>
      <c r="C33" s="11"/>
      <c r="D33" s="11"/>
      <c r="E33" s="7"/>
      <c r="F33" s="22"/>
      <c r="G33" s="8">
        <f>SUM(E$9:$E33)-SUM(F$9:$F33)</f>
        <v>0</v>
      </c>
    </row>
    <row r="34" spans="1:7" ht="28.8" x14ac:dyDescent="0.55000000000000004">
      <c r="A34" s="12"/>
      <c r="B34" s="13"/>
      <c r="C34" s="11"/>
      <c r="D34" s="11"/>
      <c r="E34" s="7"/>
      <c r="F34" s="22"/>
      <c r="G34" s="8">
        <f>SUM(E$9:$E34)-SUM(F$9:$F34)</f>
        <v>0</v>
      </c>
    </row>
    <row r="35" spans="1:7" ht="28.8" x14ac:dyDescent="0.55000000000000004">
      <c r="A35" s="12"/>
      <c r="B35" s="13"/>
      <c r="C35" s="11"/>
      <c r="D35" s="11"/>
      <c r="E35" s="7"/>
      <c r="F35" s="22"/>
      <c r="G35" s="8">
        <f>SUM(E$9:$E35)-SUM(F$9:$F35)</f>
        <v>0</v>
      </c>
    </row>
    <row r="36" spans="1:7" ht="28.8" x14ac:dyDescent="0.55000000000000004">
      <c r="A36" s="12"/>
      <c r="B36" s="13"/>
      <c r="C36" s="11"/>
      <c r="D36" s="11"/>
      <c r="E36" s="7"/>
      <c r="F36" s="22"/>
      <c r="G36" s="8">
        <f>SUM(E$9:$E36)-SUM(F$9:$F36)</f>
        <v>0</v>
      </c>
    </row>
    <row r="37" spans="1:7" ht="28.8" x14ac:dyDescent="0.55000000000000004">
      <c r="A37" s="12"/>
      <c r="B37" s="13"/>
      <c r="C37" s="11"/>
      <c r="D37" s="11"/>
      <c r="E37" s="7"/>
      <c r="F37" s="22"/>
      <c r="G37" s="8">
        <f>SUM(E$9:$E37)-SUM(F$9:$F37)</f>
        <v>0</v>
      </c>
    </row>
    <row r="38" spans="1:7" ht="28.8" x14ac:dyDescent="0.55000000000000004">
      <c r="A38" s="12"/>
      <c r="B38" s="13"/>
      <c r="C38" s="11"/>
      <c r="D38" s="11"/>
      <c r="E38" s="7"/>
      <c r="F38" s="22"/>
      <c r="G38" s="8">
        <f>SUM(E$9:$E38)-SUM(F$9:$F38)</f>
        <v>0</v>
      </c>
    </row>
    <row r="39" spans="1:7" ht="28.8" x14ac:dyDescent="0.55000000000000004">
      <c r="A39" s="12"/>
      <c r="B39" s="13"/>
      <c r="C39" s="11"/>
      <c r="D39" s="11"/>
      <c r="E39" s="7"/>
      <c r="F39" s="22"/>
      <c r="G39" s="8">
        <f>SUM(E$9:$E39)-SUM(F$9:$F39)</f>
        <v>0</v>
      </c>
    </row>
    <row r="40" spans="1:7" ht="28.8" x14ac:dyDescent="0.55000000000000004">
      <c r="A40" s="12"/>
      <c r="B40" s="13"/>
      <c r="C40" s="10"/>
      <c r="D40" s="10"/>
      <c r="E40" s="7"/>
      <c r="F40" s="22"/>
      <c r="G40" s="6">
        <f>SUM(E$9:$E40)-SUM(F$9:$F40)</f>
        <v>0</v>
      </c>
    </row>
    <row r="41" spans="1:7" ht="28.8" x14ac:dyDescent="0.55000000000000004">
      <c r="A41" s="12"/>
      <c r="B41" s="13"/>
      <c r="C41" s="10"/>
      <c r="D41" s="10"/>
      <c r="E41" s="7"/>
      <c r="F41" s="22"/>
      <c r="G41" s="6">
        <f>SUM(E$9:$E41)-SUM(F$9:$F41)</f>
        <v>0</v>
      </c>
    </row>
    <row r="42" spans="1:7" ht="28.8" x14ac:dyDescent="0.55000000000000004">
      <c r="A42" s="12"/>
      <c r="B42" s="13"/>
      <c r="C42" s="10"/>
      <c r="D42" s="10"/>
      <c r="E42" s="7"/>
      <c r="F42" s="22"/>
      <c r="G42" s="6">
        <f>SUM(E$9:$E42)-SUM(F$9:$F42)</f>
        <v>0</v>
      </c>
    </row>
    <row r="43" spans="1:7" ht="28.8" x14ac:dyDescent="0.55000000000000004">
      <c r="A43" s="12"/>
      <c r="B43" s="13"/>
      <c r="C43" s="10"/>
      <c r="D43" s="10"/>
      <c r="E43" s="7"/>
      <c r="F43" s="22"/>
      <c r="G43" s="6">
        <f>SUM(E$9:$E43)-SUM(F$9:$F43)</f>
        <v>0</v>
      </c>
    </row>
    <row r="44" spans="1:7" ht="28.8" x14ac:dyDescent="0.55000000000000004">
      <c r="A44" s="12"/>
      <c r="B44" s="13"/>
      <c r="C44" s="10"/>
      <c r="D44" s="10"/>
      <c r="E44" s="7"/>
      <c r="F44" s="22"/>
      <c r="G44" s="6">
        <f>SUM(E$9:$E44)-SUM(F$9:$F44)</f>
        <v>0</v>
      </c>
    </row>
    <row r="45" spans="1:7" ht="28.8" x14ac:dyDescent="0.55000000000000004">
      <c r="A45" s="12"/>
      <c r="B45" s="13"/>
      <c r="C45" s="10"/>
      <c r="D45" s="10"/>
      <c r="E45" s="7"/>
      <c r="F45" s="22"/>
      <c r="G45" s="6">
        <f>SUM(E$9:$E45)-SUM(F$9:$F45)</f>
        <v>0</v>
      </c>
    </row>
    <row r="46" spans="1:7" ht="28.8" x14ac:dyDescent="0.55000000000000004">
      <c r="A46" s="12"/>
      <c r="B46" s="13"/>
      <c r="C46" s="10"/>
      <c r="D46" s="10"/>
      <c r="E46" s="7"/>
      <c r="F46" s="22"/>
      <c r="G46" s="6">
        <f>SUM(E$9:$E46)-SUM(F$9:$F46)</f>
        <v>0</v>
      </c>
    </row>
    <row r="47" spans="1:7" ht="28.8" x14ac:dyDescent="0.55000000000000004">
      <c r="A47" s="12"/>
      <c r="B47" s="13"/>
      <c r="C47" s="10"/>
      <c r="D47" s="10"/>
      <c r="E47" s="7"/>
      <c r="F47" s="22"/>
      <c r="G47" s="6">
        <f>SUM(E$9:$E47)-SUM(F$9:$F47)</f>
        <v>0</v>
      </c>
    </row>
    <row r="48" spans="1:7" ht="28.8" x14ac:dyDescent="0.55000000000000004">
      <c r="A48" s="12"/>
      <c r="B48" s="13"/>
      <c r="C48" s="10"/>
      <c r="D48" s="10"/>
      <c r="E48" s="7"/>
      <c r="F48" s="22"/>
      <c r="G48" s="6">
        <f>SUM(E$9:$E48)-SUM(F$9:$F48)</f>
        <v>0</v>
      </c>
    </row>
    <row r="49" spans="1:7" ht="28.8" x14ac:dyDescent="0.55000000000000004">
      <c r="A49" s="12"/>
      <c r="B49" s="13"/>
      <c r="C49" s="10"/>
      <c r="D49" s="10"/>
      <c r="E49" s="7"/>
      <c r="F49" s="22"/>
      <c r="G49" s="6">
        <f>SUM(E$9:$E49)-SUM(F$9:$F49)</f>
        <v>0</v>
      </c>
    </row>
    <row r="50" spans="1:7" ht="28.8" x14ac:dyDescent="0.55000000000000004">
      <c r="A50" s="12"/>
      <c r="B50" s="13"/>
      <c r="C50" s="10"/>
      <c r="D50" s="10"/>
      <c r="E50" s="7"/>
      <c r="F50" s="22"/>
      <c r="G50" s="6">
        <f>SUM(E$9:$E50)-SUM(F$9:$F50)</f>
        <v>0</v>
      </c>
    </row>
    <row r="51" spans="1:7" ht="28.8" x14ac:dyDescent="0.55000000000000004">
      <c r="A51" s="12"/>
      <c r="B51" s="13"/>
      <c r="C51" s="10"/>
      <c r="D51" s="10"/>
      <c r="E51" s="7"/>
      <c r="F51" s="22"/>
      <c r="G51" s="6">
        <f>SUM(E$9:$E51)-SUM(F$9:$F51)</f>
        <v>0</v>
      </c>
    </row>
    <row r="52" spans="1:7" ht="28.8" x14ac:dyDescent="0.55000000000000004">
      <c r="A52" s="12"/>
      <c r="B52" s="13"/>
      <c r="C52" s="10"/>
      <c r="D52" s="10"/>
      <c r="E52" s="7"/>
      <c r="F52" s="22"/>
      <c r="G52" s="6">
        <f>SUM(E$9:$E52)-SUM(F$9:$F52)</f>
        <v>0</v>
      </c>
    </row>
    <row r="53" spans="1:7" ht="28.8" x14ac:dyDescent="0.55000000000000004">
      <c r="A53" s="12"/>
      <c r="B53" s="13"/>
      <c r="C53" s="10"/>
      <c r="D53" s="10"/>
      <c r="E53" s="7"/>
      <c r="F53" s="22"/>
      <c r="G53" s="6">
        <f>SUM(E$9:$E53)-SUM(F$9:$F53)</f>
        <v>0</v>
      </c>
    </row>
    <row r="54" spans="1:7" ht="28.8" x14ac:dyDescent="0.55000000000000004">
      <c r="A54" s="12"/>
      <c r="B54" s="13"/>
      <c r="C54" s="10"/>
      <c r="D54" s="10"/>
      <c r="E54" s="7"/>
      <c r="F54" s="22"/>
      <c r="G54" s="6">
        <f>SUM(E$9:$E54)-SUM(F$9:$F54)</f>
        <v>0</v>
      </c>
    </row>
    <row r="55" spans="1:7" ht="28.8" x14ac:dyDescent="0.55000000000000004">
      <c r="A55" s="12"/>
      <c r="B55" s="13"/>
      <c r="C55" s="10"/>
      <c r="D55" s="10"/>
      <c r="E55" s="7"/>
      <c r="F55" s="22"/>
      <c r="G55" s="6">
        <f>SUM(E$9:$E55)-SUM(F$9:$F55)</f>
        <v>0</v>
      </c>
    </row>
    <row r="56" spans="1:7" ht="28.8" x14ac:dyDescent="0.55000000000000004">
      <c r="A56" s="12"/>
      <c r="B56" s="13"/>
      <c r="C56" s="10"/>
      <c r="D56" s="10"/>
      <c r="E56" s="7"/>
      <c r="F56" s="22"/>
      <c r="G56" s="6">
        <f>SUM(E$9:$E56)-SUM(F$9:$F56)</f>
        <v>0</v>
      </c>
    </row>
    <row r="57" spans="1:7" ht="28.8" x14ac:dyDescent="0.55000000000000004">
      <c r="A57" s="12"/>
      <c r="B57" s="13"/>
      <c r="C57" s="10"/>
      <c r="D57" s="10"/>
      <c r="E57" s="7"/>
      <c r="F57" s="22"/>
      <c r="G57" s="6">
        <f>SUM(E$9:$E57)-SUM(F$9:$F57)</f>
        <v>0</v>
      </c>
    </row>
    <row r="58" spans="1:7" ht="28.8" x14ac:dyDescent="0.55000000000000004">
      <c r="A58" s="12"/>
      <c r="B58" s="13"/>
      <c r="C58" s="10"/>
      <c r="D58" s="10"/>
      <c r="E58" s="7"/>
      <c r="F58" s="22"/>
      <c r="G58" s="6">
        <f>SUM(E$9:$E58)-SUM(F$9:$F58)</f>
        <v>0</v>
      </c>
    </row>
    <row r="59" spans="1:7" ht="28.8" x14ac:dyDescent="0.55000000000000004">
      <c r="A59" s="12"/>
      <c r="B59" s="13"/>
      <c r="C59" s="10"/>
      <c r="D59" s="10"/>
      <c r="E59" s="7"/>
      <c r="F59" s="22"/>
      <c r="G59" s="6">
        <f>SUM(E$9:$E59)-SUM(F$9:$F59)</f>
        <v>0</v>
      </c>
    </row>
    <row r="60" spans="1:7" ht="28.8" x14ac:dyDescent="0.55000000000000004">
      <c r="A60" s="12"/>
      <c r="B60" s="13"/>
      <c r="C60" s="10"/>
      <c r="D60" s="10"/>
      <c r="E60" s="7"/>
      <c r="F60" s="22"/>
      <c r="G60" s="6">
        <f>SUM(E$9:$E60)-SUM(F$9:$F60)</f>
        <v>0</v>
      </c>
    </row>
    <row r="61" spans="1:7" ht="28.8" x14ac:dyDescent="0.55000000000000004">
      <c r="A61" s="12"/>
      <c r="B61" s="13"/>
      <c r="C61" s="10"/>
      <c r="D61" s="10"/>
      <c r="E61" s="7"/>
      <c r="F61" s="22"/>
      <c r="G61" s="6">
        <f>SUM(E$9:$E61)-SUM(F$9:$F61)</f>
        <v>0</v>
      </c>
    </row>
    <row r="62" spans="1:7" ht="28.8" x14ac:dyDescent="0.55000000000000004">
      <c r="A62" s="12"/>
      <c r="B62" s="13"/>
      <c r="C62" s="10"/>
      <c r="D62" s="10"/>
      <c r="E62" s="7"/>
      <c r="F62" s="22"/>
      <c r="G62" s="6">
        <f>SUM(E$9:$E62)-SUM(F$9:$F62)</f>
        <v>0</v>
      </c>
    </row>
    <row r="63" spans="1:7" ht="28.8" x14ac:dyDescent="0.55000000000000004">
      <c r="A63" s="12"/>
      <c r="B63" s="13"/>
      <c r="C63" s="10"/>
      <c r="D63" s="10"/>
      <c r="E63" s="7"/>
      <c r="F63" s="22"/>
      <c r="G63" s="6">
        <f>SUM(E$9:$E63)-SUM(F$9:$F63)</f>
        <v>0</v>
      </c>
    </row>
    <row r="64" spans="1:7" ht="28.8" x14ac:dyDescent="0.55000000000000004">
      <c r="A64" s="12"/>
      <c r="B64" s="13"/>
      <c r="C64" s="10"/>
      <c r="D64" s="10"/>
      <c r="E64" s="7"/>
      <c r="F64" s="22"/>
      <c r="G64" s="6">
        <f>SUM(E$9:$E64)-SUM(F$9:$F64)</f>
        <v>0</v>
      </c>
    </row>
    <row r="65" spans="1:7" ht="28.8" x14ac:dyDescent="0.55000000000000004">
      <c r="A65" s="12"/>
      <c r="B65" s="13"/>
      <c r="C65" s="10"/>
      <c r="D65" s="10"/>
      <c r="E65" s="7"/>
      <c r="F65" s="22"/>
      <c r="G65" s="6">
        <f>SUM(E$9:$E65)-SUM(F$9:$F65)</f>
        <v>0</v>
      </c>
    </row>
    <row r="66" spans="1:7" ht="28.8" x14ac:dyDescent="0.55000000000000004">
      <c r="A66" s="12"/>
      <c r="B66" s="13"/>
      <c r="C66" s="10"/>
      <c r="D66" s="10"/>
      <c r="E66" s="7"/>
      <c r="F66" s="22"/>
      <c r="G66" s="6">
        <f>SUM(E$9:$E66)-SUM(F$9:$F66)</f>
        <v>0</v>
      </c>
    </row>
    <row r="67" spans="1:7" ht="28.8" x14ac:dyDescent="0.55000000000000004">
      <c r="A67" s="12"/>
      <c r="B67" s="13"/>
      <c r="C67" s="10"/>
      <c r="D67" s="10"/>
      <c r="E67" s="7"/>
      <c r="F67" s="22"/>
      <c r="G67" s="6">
        <f>SUM(E$9:$E67)-SUM(F$9:$F67)</f>
        <v>0</v>
      </c>
    </row>
    <row r="68" spans="1:7" ht="28.8" x14ac:dyDescent="0.55000000000000004">
      <c r="A68" s="12"/>
      <c r="B68" s="13"/>
      <c r="C68" s="10"/>
      <c r="D68" s="10"/>
      <c r="E68" s="7"/>
      <c r="F68" s="22"/>
      <c r="G68" s="6">
        <f>SUM(E$9:$E68)-SUM(F$9:$F68)</f>
        <v>0</v>
      </c>
    </row>
    <row r="69" spans="1:7" ht="28.8" x14ac:dyDescent="0.55000000000000004">
      <c r="A69" s="12"/>
      <c r="B69" s="13"/>
      <c r="C69" s="10"/>
      <c r="D69" s="10"/>
      <c r="E69" s="7"/>
      <c r="F69" s="22"/>
      <c r="G69" s="6">
        <f>SUM(E$9:$E69)-SUM(F$9:$F69)</f>
        <v>0</v>
      </c>
    </row>
    <row r="70" spans="1:7" ht="28.8" x14ac:dyDescent="0.55000000000000004">
      <c r="A70" s="12"/>
      <c r="B70" s="13"/>
      <c r="C70" s="10"/>
      <c r="D70" s="10"/>
      <c r="E70" s="7"/>
      <c r="F70" s="22"/>
      <c r="G70" s="6">
        <f>SUM(E$9:$E70)-SUM(F$9:$F70)</f>
        <v>0</v>
      </c>
    </row>
    <row r="71" spans="1:7" ht="28.8" x14ac:dyDescent="0.55000000000000004">
      <c r="A71" s="12"/>
      <c r="B71" s="13"/>
      <c r="C71" s="10"/>
      <c r="D71" s="10"/>
      <c r="E71" s="7"/>
      <c r="F71" s="22"/>
      <c r="G71" s="6">
        <f>SUM(E$9:$E71)-SUM(F$9:$F71)</f>
        <v>0</v>
      </c>
    </row>
    <row r="72" spans="1:7" ht="28.8" x14ac:dyDescent="0.55000000000000004">
      <c r="A72" s="12"/>
      <c r="B72" s="13"/>
      <c r="C72" s="10"/>
      <c r="D72" s="10"/>
      <c r="E72" s="7"/>
      <c r="F72" s="22"/>
      <c r="G72" s="6">
        <f>SUM(E$9:$E72)-SUM(F$9:$F72)</f>
        <v>0</v>
      </c>
    </row>
    <row r="73" spans="1:7" ht="28.8" x14ac:dyDescent="0.55000000000000004">
      <c r="A73" s="12"/>
      <c r="B73" s="13"/>
      <c r="C73" s="10"/>
      <c r="D73" s="10"/>
      <c r="E73" s="7"/>
      <c r="F73" s="22"/>
      <c r="G73" s="6">
        <f>SUM(E$9:$E73)-SUM(F$9:$F73)</f>
        <v>0</v>
      </c>
    </row>
    <row r="74" spans="1:7" ht="28.8" x14ac:dyDescent="0.55000000000000004">
      <c r="A74" s="12"/>
      <c r="B74" s="13"/>
      <c r="C74" s="10"/>
      <c r="D74" s="10"/>
      <c r="E74" s="7"/>
      <c r="F74" s="22"/>
      <c r="G74" s="6">
        <f>SUM(E$9:$E74)-SUM(F$9:$F74)</f>
        <v>0</v>
      </c>
    </row>
    <row r="75" spans="1:7" ht="28.8" x14ac:dyDescent="0.55000000000000004">
      <c r="A75" s="12"/>
      <c r="B75" s="13"/>
      <c r="C75" s="10"/>
      <c r="D75" s="10"/>
      <c r="E75" s="7"/>
      <c r="F75" s="22"/>
      <c r="G75" s="6">
        <f>SUM(E$9:$E75)-SUM(F$9:$F75)</f>
        <v>0</v>
      </c>
    </row>
    <row r="76" spans="1:7" ht="28.8" x14ac:dyDescent="0.55000000000000004">
      <c r="A76" s="12"/>
      <c r="B76" s="13"/>
      <c r="C76" s="10"/>
      <c r="D76" s="10"/>
      <c r="E76" s="7"/>
      <c r="F76" s="22"/>
      <c r="G76" s="6">
        <f>SUM(E$9:$E76)-SUM(F$9:$F76)</f>
        <v>0</v>
      </c>
    </row>
    <row r="77" spans="1:7" ht="28.8" x14ac:dyDescent="0.55000000000000004">
      <c r="A77" s="12"/>
      <c r="B77" s="13"/>
      <c r="C77" s="10"/>
      <c r="D77" s="10"/>
      <c r="E77" s="7"/>
      <c r="F77" s="22"/>
      <c r="G77" s="6">
        <f>SUM(E$9:$E77)-SUM(F$9:$F77)</f>
        <v>0</v>
      </c>
    </row>
    <row r="78" spans="1:7" ht="28.8" x14ac:dyDescent="0.55000000000000004">
      <c r="A78" s="12"/>
      <c r="B78" s="13"/>
      <c r="C78" s="10"/>
      <c r="D78" s="10"/>
      <c r="E78" s="7"/>
      <c r="F78" s="22"/>
      <c r="G78" s="6">
        <f>SUM(E$9:$E78)-SUM(F$9:$F78)</f>
        <v>0</v>
      </c>
    </row>
    <row r="79" spans="1:7" ht="28.8" x14ac:dyDescent="0.55000000000000004">
      <c r="A79" s="12"/>
      <c r="B79" s="13"/>
      <c r="C79" s="10"/>
      <c r="D79" s="10"/>
      <c r="E79" s="7"/>
      <c r="F79" s="22"/>
      <c r="G79" s="6">
        <f>SUM(E$9:$E79)-SUM(F$9:$F79)</f>
        <v>0</v>
      </c>
    </row>
    <row r="80" spans="1:7" ht="28.8" x14ac:dyDescent="0.55000000000000004">
      <c r="A80" s="12"/>
      <c r="B80" s="13"/>
      <c r="C80" s="10"/>
      <c r="D80" s="10"/>
      <c r="E80" s="7"/>
      <c r="F80" s="22"/>
      <c r="G80" s="6">
        <f>SUM(E$9:$E80)-SUM(F$9:$F80)</f>
        <v>0</v>
      </c>
    </row>
    <row r="81" spans="1:7" ht="28.8" x14ac:dyDescent="0.55000000000000004">
      <c r="A81" s="12"/>
      <c r="B81" s="13"/>
      <c r="C81" s="10"/>
      <c r="D81" s="10"/>
      <c r="E81" s="7"/>
      <c r="F81" s="22"/>
      <c r="G81" s="6">
        <f>SUM(E$9:$E81)-SUM(F$9:$F81)</f>
        <v>0</v>
      </c>
    </row>
    <row r="82" spans="1:7" ht="28.8" x14ac:dyDescent="0.55000000000000004">
      <c r="A82" s="12"/>
      <c r="B82" s="13"/>
      <c r="C82" s="10"/>
      <c r="D82" s="10"/>
      <c r="E82" s="7"/>
      <c r="F82" s="22"/>
      <c r="G82" s="6">
        <f>SUM(E$9:$E82)-SUM(F$9:$F82)</f>
        <v>0</v>
      </c>
    </row>
    <row r="83" spans="1:7" ht="28.8" x14ac:dyDescent="0.55000000000000004">
      <c r="A83" s="12"/>
      <c r="B83" s="13"/>
      <c r="C83" s="10"/>
      <c r="D83" s="10"/>
      <c r="E83" s="7"/>
      <c r="F83" s="22"/>
      <c r="G83" s="6">
        <f>SUM(E$9:$E83)-SUM(F$9:$F83)</f>
        <v>0</v>
      </c>
    </row>
    <row r="84" spans="1:7" ht="28.8" x14ac:dyDescent="0.55000000000000004">
      <c r="A84" s="12"/>
      <c r="B84" s="13"/>
      <c r="C84" s="10"/>
      <c r="D84" s="10"/>
      <c r="E84" s="7"/>
      <c r="F84" s="22"/>
      <c r="G84" s="6">
        <f>SUM(E$9:$E84)-SUM(F$9:$F84)</f>
        <v>0</v>
      </c>
    </row>
    <row r="85" spans="1:7" ht="28.8" x14ac:dyDescent="0.55000000000000004">
      <c r="A85" s="12"/>
      <c r="B85" s="13"/>
      <c r="C85" s="10"/>
      <c r="D85" s="10"/>
      <c r="E85" s="7"/>
      <c r="F85" s="22"/>
      <c r="G85" s="6">
        <f>SUM(E$9:$E85)-SUM(F$9:$F85)</f>
        <v>0</v>
      </c>
    </row>
    <row r="86" spans="1:7" ht="28.8" x14ac:dyDescent="0.55000000000000004">
      <c r="A86" s="12"/>
      <c r="B86" s="13"/>
      <c r="C86" s="10"/>
      <c r="D86" s="10"/>
      <c r="E86" s="7"/>
      <c r="F86" s="22"/>
      <c r="G86" s="6">
        <f>SUM(E$9:$E86)-SUM(F$9:$F86)</f>
        <v>0</v>
      </c>
    </row>
    <row r="87" spans="1:7" ht="28.8" x14ac:dyDescent="0.55000000000000004">
      <c r="A87" s="12"/>
      <c r="B87" s="13"/>
      <c r="C87" s="10"/>
      <c r="D87" s="10"/>
      <c r="E87" s="7"/>
      <c r="F87" s="22"/>
      <c r="G87" s="6">
        <f>SUM(E$9:$E87)-SUM(F$9:$F87)</f>
        <v>0</v>
      </c>
    </row>
    <row r="88" spans="1:7" ht="28.8" x14ac:dyDescent="0.55000000000000004">
      <c r="A88" s="12"/>
      <c r="B88" s="13"/>
      <c r="C88" s="10"/>
      <c r="D88" s="10"/>
      <c r="E88" s="7"/>
      <c r="F88" s="22"/>
      <c r="G88" s="6">
        <f>SUM(E$9:$E88)-SUM(F$9:$F88)</f>
        <v>0</v>
      </c>
    </row>
    <row r="89" spans="1:7" ht="28.8" x14ac:dyDescent="0.55000000000000004">
      <c r="A89" s="12"/>
      <c r="B89" s="13"/>
      <c r="C89" s="10"/>
      <c r="D89" s="10"/>
      <c r="E89" s="7"/>
      <c r="F89" s="22"/>
      <c r="G89" s="6">
        <f>SUM(E$9:$E89)-SUM(F$9:$F89)</f>
        <v>0</v>
      </c>
    </row>
    <row r="90" spans="1:7" ht="28.8" x14ac:dyDescent="0.55000000000000004">
      <c r="A90" s="12"/>
      <c r="B90" s="13"/>
      <c r="C90" s="10"/>
      <c r="D90" s="10"/>
      <c r="E90" s="7"/>
      <c r="F90" s="22"/>
      <c r="G90" s="6">
        <f>SUM(E$9:$E90)-SUM(F$9:$F90)</f>
        <v>0</v>
      </c>
    </row>
    <row r="91" spans="1:7" ht="28.8" x14ac:dyDescent="0.55000000000000004">
      <c r="A91" s="12"/>
      <c r="B91" s="13"/>
      <c r="C91" s="10"/>
      <c r="D91" s="10"/>
      <c r="E91" s="7"/>
      <c r="F91" s="22"/>
      <c r="G91" s="6">
        <f>SUM(E$9:$E91)-SUM(F$9:$F91)</f>
        <v>0</v>
      </c>
    </row>
    <row r="92" spans="1:7" ht="28.8" x14ac:dyDescent="0.55000000000000004">
      <c r="A92" s="12"/>
      <c r="B92" s="13"/>
      <c r="C92" s="10"/>
      <c r="D92" s="10"/>
      <c r="E92" s="7"/>
      <c r="F92" s="22"/>
      <c r="G92" s="6">
        <f>SUM(E$9:$E92)-SUM(F$9:$F92)</f>
        <v>0</v>
      </c>
    </row>
    <row r="93" spans="1:7" ht="28.8" x14ac:dyDescent="0.55000000000000004">
      <c r="A93" s="12"/>
      <c r="B93" s="13"/>
      <c r="C93" s="10"/>
      <c r="D93" s="10"/>
      <c r="E93" s="7"/>
      <c r="F93" s="22"/>
      <c r="G93" s="6">
        <f>SUM(E$9:$E93)-SUM(F$9:$F93)</f>
        <v>0</v>
      </c>
    </row>
    <row r="94" spans="1:7" ht="28.8" x14ac:dyDescent="0.55000000000000004">
      <c r="A94" s="12"/>
      <c r="B94" s="13"/>
      <c r="C94" s="10"/>
      <c r="D94" s="10"/>
      <c r="E94" s="7"/>
      <c r="F94" s="22"/>
      <c r="G94" s="6">
        <f>SUM(E$9:$E94)-SUM(F$9:$F94)</f>
        <v>0</v>
      </c>
    </row>
    <row r="95" spans="1:7" ht="28.8" x14ac:dyDescent="0.55000000000000004">
      <c r="A95" s="12"/>
      <c r="B95" s="13"/>
      <c r="C95" s="10"/>
      <c r="D95" s="10"/>
      <c r="E95" s="7"/>
      <c r="F95" s="22"/>
      <c r="G95" s="6">
        <f>SUM(E$9:$E95)-SUM(F$9:$F95)</f>
        <v>0</v>
      </c>
    </row>
    <row r="96" spans="1:7" ht="28.8" x14ac:dyDescent="0.55000000000000004">
      <c r="A96" s="12"/>
      <c r="B96" s="13"/>
      <c r="C96" s="10"/>
      <c r="D96" s="10"/>
      <c r="E96" s="7"/>
      <c r="F96" s="22"/>
      <c r="G96" s="6">
        <f>SUM(E$9:$E96)-SUM(F$9:$F96)</f>
        <v>0</v>
      </c>
    </row>
    <row r="97" spans="1:7" ht="28.8" x14ac:dyDescent="0.55000000000000004">
      <c r="A97" s="12"/>
      <c r="B97" s="13"/>
      <c r="C97" s="10"/>
      <c r="D97" s="10"/>
      <c r="E97" s="7"/>
      <c r="F97" s="22"/>
      <c r="G97" s="6">
        <f>SUM(E$9:$E97)-SUM(F$9:$F97)</f>
        <v>0</v>
      </c>
    </row>
    <row r="98" spans="1:7" ht="28.8" x14ac:dyDescent="0.55000000000000004">
      <c r="A98" s="12"/>
      <c r="B98" s="13"/>
      <c r="C98" s="10"/>
      <c r="D98" s="10"/>
      <c r="E98" s="7"/>
      <c r="F98" s="22"/>
      <c r="G98" s="6">
        <f>SUM(E$9:$E98)-SUM(F$9:$F98)</f>
        <v>0</v>
      </c>
    </row>
    <row r="99" spans="1:7" ht="28.8" x14ac:dyDescent="0.55000000000000004">
      <c r="A99" s="12"/>
      <c r="B99" s="13"/>
      <c r="C99" s="10"/>
      <c r="D99" s="10"/>
      <c r="E99" s="7"/>
      <c r="F99" s="22"/>
      <c r="G99" s="6">
        <f>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/>
      <c r="F100" s="22"/>
      <c r="G100" s="6">
        <f>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/>
      <c r="F101" s="22"/>
      <c r="G101" s="6">
        <f>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/>
      <c r="F102" s="22"/>
      <c r="G102" s="6">
        <f>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/>
      <c r="F103" s="22"/>
      <c r="G103" s="6">
        <f>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/>
      <c r="F104" s="22"/>
      <c r="G104" s="6">
        <f>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/>
      <c r="F105" s="22"/>
      <c r="G105" s="6">
        <f>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/>
      <c r="F106" s="22"/>
      <c r="G106" s="6">
        <f>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/>
      <c r="F107" s="22"/>
      <c r="G107" s="6">
        <f>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/>
      <c r="F108" s="22"/>
      <c r="G108" s="6">
        <f>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/>
      <c r="F109" s="22"/>
      <c r="G109" s="6">
        <f>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/>
      <c r="F110" s="22"/>
      <c r="G110" s="6">
        <f>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/>
      <c r="F111" s="22"/>
      <c r="G111" s="6">
        <f>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/>
      <c r="F112" s="22"/>
      <c r="G112" s="6">
        <f>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/>
      <c r="F113" s="22"/>
      <c r="G113" s="6">
        <f>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/>
      <c r="F114" s="22"/>
      <c r="G114" s="6">
        <f>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/>
      <c r="F115" s="22"/>
      <c r="G115" s="6">
        <f>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/>
      <c r="F116" s="22"/>
      <c r="G116" s="6">
        <f>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/>
      <c r="F117" s="22"/>
      <c r="G117" s="6">
        <f>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/>
      <c r="F118" s="22"/>
      <c r="G118" s="6">
        <f>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/>
      <c r="F119" s="22"/>
      <c r="G119" s="6">
        <f>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/>
      <c r="F120" s="22"/>
      <c r="G120" s="6">
        <f>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/>
      <c r="F121" s="22"/>
      <c r="G121" s="6">
        <f>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/>
      <c r="F122" s="22"/>
      <c r="G122" s="6">
        <f>SUM(E$9:$E122)-SUM(F$9:$F122)</f>
        <v>0</v>
      </c>
    </row>
    <row r="123" spans="1:7" ht="28.8" x14ac:dyDescent="0.55000000000000004">
      <c r="A123" s="12"/>
      <c r="B123" s="13"/>
      <c r="C123" s="10"/>
      <c r="D123" s="10"/>
      <c r="E123" s="7"/>
      <c r="F123" s="22"/>
      <c r="G123" s="6">
        <f>SUM(E$9:$E123)-SUM(F$9:$F123)</f>
        <v>0</v>
      </c>
    </row>
    <row r="124" spans="1:7" ht="28.8" x14ac:dyDescent="0.55000000000000004">
      <c r="A124" s="12"/>
      <c r="B124" s="13"/>
      <c r="C124" s="10"/>
      <c r="D124" s="10"/>
      <c r="E124" s="7"/>
      <c r="F124" s="22"/>
      <c r="G124" s="6">
        <f>SUM(E$9:$E124)-SUM(F$9:$F124)</f>
        <v>0</v>
      </c>
    </row>
    <row r="125" spans="1:7" ht="28.8" x14ac:dyDescent="0.55000000000000004">
      <c r="A125" s="12"/>
      <c r="B125" s="13"/>
      <c r="C125" s="10"/>
      <c r="D125" s="10"/>
      <c r="E125" s="7"/>
      <c r="F125" s="22"/>
      <c r="G125" s="6">
        <f>SUM(E$9:$E125)-SUM(F$9:$F125)</f>
        <v>0</v>
      </c>
    </row>
    <row r="126" spans="1:7" ht="28.8" x14ac:dyDescent="0.55000000000000004">
      <c r="A126" s="12"/>
      <c r="B126" s="13"/>
      <c r="C126" s="10"/>
      <c r="D126" s="10"/>
      <c r="E126" s="7"/>
      <c r="F126" s="22"/>
      <c r="G126" s="6">
        <f>SUM(E$9:$E126)-SUM(F$9:$F126)</f>
        <v>0</v>
      </c>
    </row>
    <row r="127" spans="1:7" ht="28.8" x14ac:dyDescent="0.55000000000000004">
      <c r="A127" s="12"/>
      <c r="B127" s="13"/>
      <c r="C127" s="10"/>
      <c r="D127" s="10"/>
      <c r="E127" s="7"/>
      <c r="F127" s="22"/>
      <c r="G127" s="6">
        <f>SUM(E$9:$E127)-SUM(F$9:$F127)</f>
        <v>0</v>
      </c>
    </row>
    <row r="128" spans="1:7" ht="28.8" x14ac:dyDescent="0.55000000000000004">
      <c r="A128" s="12"/>
      <c r="B128" s="13"/>
      <c r="C128" s="10"/>
      <c r="D128" s="10"/>
      <c r="E128" s="7"/>
      <c r="F128" s="22"/>
      <c r="G128" s="6">
        <f>SUM(E$9:$E128)-SUM(F$9:$F128)</f>
        <v>0</v>
      </c>
    </row>
    <row r="129" spans="1:7" ht="28.8" x14ac:dyDescent="0.55000000000000004">
      <c r="A129" s="12"/>
      <c r="B129" s="13"/>
      <c r="C129" s="10"/>
      <c r="D129" s="10"/>
      <c r="E129" s="7"/>
      <c r="F129" s="22"/>
      <c r="G129" s="6">
        <f>SUM(E$9:$E129)-SUM(F$9:$F129)</f>
        <v>0</v>
      </c>
    </row>
    <row r="130" spans="1:7" ht="28.8" x14ac:dyDescent="0.55000000000000004">
      <c r="A130" s="12"/>
      <c r="B130" s="13"/>
      <c r="C130" s="10"/>
      <c r="D130" s="10"/>
      <c r="E130" s="7"/>
      <c r="F130" s="22"/>
      <c r="G130" s="6">
        <f>SUM(E$9:$E130)-SUM(F$9:$F130)</f>
        <v>0</v>
      </c>
    </row>
    <row r="131" spans="1:7" ht="28.8" x14ac:dyDescent="0.55000000000000004">
      <c r="A131" s="12"/>
      <c r="B131" s="13"/>
      <c r="C131" s="10"/>
      <c r="D131" s="10"/>
      <c r="E131" s="7"/>
      <c r="F131" s="22"/>
      <c r="G131" s="6">
        <f>SUM(E$9:$E131)-SUM(F$9:$F131)</f>
        <v>0</v>
      </c>
    </row>
    <row r="132" spans="1:7" ht="28.8" x14ac:dyDescent="0.55000000000000004">
      <c r="A132" s="12"/>
      <c r="B132" s="13"/>
      <c r="C132" s="10"/>
      <c r="D132" s="10"/>
      <c r="E132" s="7"/>
      <c r="F132" s="22"/>
      <c r="G132" s="6">
        <f>SUM(E$9:$E132)-SUM(F$9:$F132)</f>
        <v>0</v>
      </c>
    </row>
    <row r="133" spans="1:7" ht="28.8" x14ac:dyDescent="0.55000000000000004">
      <c r="A133" s="12"/>
      <c r="B133" s="13"/>
      <c r="C133" s="10"/>
      <c r="D133" s="10"/>
      <c r="E133" s="7"/>
      <c r="F133" s="22"/>
      <c r="G133" s="6">
        <f>SUM(E$9:$E133)-SUM(F$9:$F133)</f>
        <v>0</v>
      </c>
    </row>
    <row r="134" spans="1:7" ht="28.8" x14ac:dyDescent="0.55000000000000004">
      <c r="A134" s="12"/>
      <c r="B134" s="13"/>
      <c r="C134" s="10"/>
      <c r="D134" s="10"/>
      <c r="E134" s="7"/>
      <c r="F134" s="22"/>
      <c r="G134" s="6">
        <f>SUM(E$9:$E134)-SUM(F$9:$F134)</f>
        <v>0</v>
      </c>
    </row>
    <row r="135" spans="1:7" ht="28.8" x14ac:dyDescent="0.55000000000000004">
      <c r="A135" s="12"/>
      <c r="B135" s="13"/>
      <c r="C135" s="10"/>
      <c r="D135" s="10"/>
      <c r="E135" s="7"/>
      <c r="F135" s="22"/>
      <c r="G135" s="6">
        <f>SUM(E$9:$E135)-SUM(F$9:$F135)</f>
        <v>0</v>
      </c>
    </row>
    <row r="136" spans="1:7" ht="28.8" x14ac:dyDescent="0.55000000000000004">
      <c r="A136" s="12"/>
      <c r="B136" s="13"/>
      <c r="C136" s="10"/>
      <c r="D136" s="10"/>
      <c r="E136" s="7"/>
      <c r="F136" s="22"/>
      <c r="G136" s="6">
        <f>SUM(E$9:$E136)-SUM(F$9:$F136)</f>
        <v>0</v>
      </c>
    </row>
    <row r="137" spans="1:7" ht="28.8" x14ac:dyDescent="0.55000000000000004">
      <c r="A137" s="12"/>
      <c r="B137" s="13"/>
      <c r="C137" s="10"/>
      <c r="D137" s="10"/>
      <c r="E137" s="7"/>
      <c r="F137" s="22"/>
      <c r="G137" s="6">
        <f>SUM(E$9:$E137)-SUM(F$9:$F137)</f>
        <v>0</v>
      </c>
    </row>
    <row r="138" spans="1:7" ht="28.8" x14ac:dyDescent="0.55000000000000004">
      <c r="A138" s="12"/>
      <c r="B138" s="13"/>
      <c r="C138" s="10"/>
      <c r="D138" s="10"/>
      <c r="E138" s="7"/>
      <c r="F138" s="22"/>
      <c r="G138" s="6">
        <f>SUM(E$9:$E138)-SUM(F$9:$F138)</f>
        <v>0</v>
      </c>
    </row>
    <row r="139" spans="1:7" ht="28.8" x14ac:dyDescent="0.55000000000000004">
      <c r="A139" s="12"/>
      <c r="B139" s="13"/>
      <c r="C139" s="10"/>
      <c r="D139" s="10"/>
      <c r="E139" s="7"/>
      <c r="F139" s="22"/>
      <c r="G139" s="6">
        <f>SUM(E$9:$E139)-SUM(F$9:$F139)</f>
        <v>0</v>
      </c>
    </row>
    <row r="140" spans="1:7" ht="28.8" x14ac:dyDescent="0.55000000000000004">
      <c r="A140" s="12"/>
      <c r="B140" s="13"/>
      <c r="C140" s="10"/>
      <c r="D140" s="10"/>
      <c r="E140" s="7"/>
      <c r="F140" s="22"/>
      <c r="G140" s="6">
        <f>SUM(E$9:$E140)-SUM(F$9:$F140)</f>
        <v>0</v>
      </c>
    </row>
    <row r="141" spans="1:7" ht="28.8" x14ac:dyDescent="0.55000000000000004">
      <c r="A141" s="12"/>
      <c r="B141" s="13"/>
      <c r="C141" s="10"/>
      <c r="D141" s="10"/>
      <c r="E141" s="7"/>
      <c r="F141" s="22"/>
      <c r="G141" s="6">
        <f>SUM(E$9:$E141)-SUM(F$9:$F141)</f>
        <v>0</v>
      </c>
    </row>
    <row r="142" spans="1:7" ht="28.8" x14ac:dyDescent="0.55000000000000004">
      <c r="A142" s="12"/>
      <c r="B142" s="13"/>
      <c r="C142" s="10"/>
      <c r="D142" s="10"/>
      <c r="E142" s="7"/>
      <c r="F142" s="22"/>
      <c r="G142" s="6">
        <f>SUM(E$9:$E142)-SUM(F$9:$F142)</f>
        <v>0</v>
      </c>
    </row>
    <row r="143" spans="1:7" ht="28.8" x14ac:dyDescent="0.55000000000000004">
      <c r="A143" s="12"/>
      <c r="B143" s="13"/>
      <c r="C143" s="10"/>
      <c r="D143" s="10"/>
      <c r="E143" s="7"/>
      <c r="F143" s="22"/>
      <c r="G143" s="6">
        <f>SUM(E$9:$E143)-SUM(F$9:$F143)</f>
        <v>0</v>
      </c>
    </row>
    <row r="144" spans="1:7" ht="28.8" x14ac:dyDescent="0.55000000000000004">
      <c r="A144" s="12"/>
      <c r="B144" s="13"/>
      <c r="C144" s="10"/>
      <c r="D144" s="10"/>
      <c r="E144" s="7"/>
      <c r="F144" s="22"/>
      <c r="G144" s="6">
        <f>SUM(E$9:$E144)-SUM(F$9:$F144)</f>
        <v>0</v>
      </c>
    </row>
    <row r="145" spans="1:7" ht="28.8" x14ac:dyDescent="0.55000000000000004">
      <c r="A145" s="12"/>
      <c r="B145" s="13"/>
      <c r="C145" s="10"/>
      <c r="D145" s="10"/>
      <c r="E145" s="7"/>
      <c r="F145" s="22"/>
      <c r="G145" s="6">
        <f>SUM(E$9:$E145)-SUM(F$9:$F145)</f>
        <v>0</v>
      </c>
    </row>
    <row r="146" spans="1:7" ht="28.8" x14ac:dyDescent="0.55000000000000004">
      <c r="A146" s="12"/>
      <c r="B146" s="13"/>
      <c r="C146" s="10"/>
      <c r="D146" s="10"/>
      <c r="E146" s="7"/>
      <c r="F146" s="22"/>
      <c r="G146" s="6">
        <f>SUM(E$9:$E146)-SUM(F$9:$F146)</f>
        <v>0</v>
      </c>
    </row>
    <row r="147" spans="1:7" ht="28.8" x14ac:dyDescent="0.55000000000000004">
      <c r="A147" s="12"/>
      <c r="B147" s="13"/>
      <c r="C147" s="10"/>
      <c r="D147" s="10"/>
      <c r="E147" s="7"/>
      <c r="F147" s="22"/>
      <c r="G147" s="6">
        <f>SUM(E$9:$E147)-SUM(F$9:$F147)</f>
        <v>0</v>
      </c>
    </row>
    <row r="148" spans="1:7" ht="28.8" x14ac:dyDescent="0.55000000000000004">
      <c r="A148" s="12"/>
      <c r="B148" s="13"/>
      <c r="C148" s="10"/>
      <c r="D148" s="10"/>
      <c r="E148" s="7"/>
      <c r="F148" s="22"/>
      <c r="G148" s="6">
        <f>SUM(E$9:$E148)-SUM(F$9:$F148)</f>
        <v>0</v>
      </c>
    </row>
    <row r="149" spans="1:7" ht="28.8" x14ac:dyDescent="0.55000000000000004">
      <c r="A149" s="12"/>
      <c r="B149" s="13"/>
      <c r="C149" s="10"/>
      <c r="D149" s="10"/>
      <c r="E149" s="7"/>
      <c r="F149" s="22"/>
      <c r="G149" s="6">
        <f>SUM(E$9:$E149)-SUM(F$9:$F149)</f>
        <v>0</v>
      </c>
    </row>
    <row r="150" spans="1:7" ht="28.8" x14ac:dyDescent="0.55000000000000004">
      <c r="A150" s="12"/>
      <c r="B150" s="13"/>
      <c r="C150" s="10"/>
      <c r="D150" s="10"/>
      <c r="E150" s="7"/>
      <c r="F150" s="22"/>
      <c r="G150" s="6">
        <f>SUM(E$9:$E150)-SUM(F$9:$F150)</f>
        <v>0</v>
      </c>
    </row>
    <row r="151" spans="1:7" ht="28.8" x14ac:dyDescent="0.55000000000000004">
      <c r="A151" s="12"/>
      <c r="B151" s="13"/>
      <c r="C151" s="10"/>
      <c r="D151" s="10"/>
      <c r="E151" s="7"/>
      <c r="F151" s="22"/>
      <c r="G151" s="6">
        <f>SUM(E$9:$E151)-SUM(F$9:$F151)</f>
        <v>0</v>
      </c>
    </row>
    <row r="152" spans="1:7" ht="28.8" x14ac:dyDescent="0.55000000000000004">
      <c r="A152" s="12"/>
      <c r="B152" s="13"/>
      <c r="C152" s="10"/>
      <c r="D152" s="10"/>
      <c r="E152" s="7"/>
      <c r="F152" s="22"/>
      <c r="G152" s="6">
        <f>SUM(E$9:$E152)-SUM(F$9:$F152)</f>
        <v>0</v>
      </c>
    </row>
    <row r="153" spans="1:7" ht="28.8" x14ac:dyDescent="0.55000000000000004">
      <c r="A153" s="12"/>
      <c r="B153" s="13"/>
      <c r="C153" s="10"/>
      <c r="D153" s="10"/>
      <c r="E153" s="7"/>
      <c r="F153" s="22"/>
      <c r="G153" s="6">
        <f>SUM(E$9:$E153)-SUM(F$9:$F153)</f>
        <v>0</v>
      </c>
    </row>
    <row r="154" spans="1:7" ht="28.8" x14ac:dyDescent="0.55000000000000004">
      <c r="A154" s="12"/>
      <c r="B154" s="13"/>
      <c r="C154" s="10"/>
      <c r="D154" s="10"/>
      <c r="E154" s="7"/>
      <c r="F154" s="22"/>
      <c r="G154" s="6">
        <f>SUM(E$9:$E154)-SUM(F$9:$F154)</f>
        <v>0</v>
      </c>
    </row>
    <row r="155" spans="1:7" ht="28.8" x14ac:dyDescent="0.55000000000000004">
      <c r="A155" s="12"/>
      <c r="B155" s="13"/>
      <c r="C155" s="10"/>
      <c r="D155" s="10"/>
      <c r="E155" s="7"/>
      <c r="F155" s="22"/>
      <c r="G155" s="6">
        <f>SUM(E$9:$E155)-SUM(F$9:$F155)</f>
        <v>0</v>
      </c>
    </row>
    <row r="156" spans="1:7" ht="28.8" x14ac:dyDescent="0.55000000000000004">
      <c r="A156" s="12"/>
      <c r="B156" s="13"/>
      <c r="C156" s="10"/>
      <c r="D156" s="10"/>
      <c r="E156" s="7"/>
      <c r="F156" s="22"/>
      <c r="G156" s="6">
        <f>SUM(E$9:$E156)-SUM(F$9:$F156)</f>
        <v>0</v>
      </c>
    </row>
    <row r="157" spans="1:7" ht="28.8" x14ac:dyDescent="0.55000000000000004">
      <c r="A157" s="12"/>
      <c r="B157" s="13"/>
      <c r="C157" s="10"/>
      <c r="D157" s="10"/>
      <c r="E157" s="7"/>
      <c r="F157" s="22"/>
      <c r="G157" s="6">
        <f>SUM(E$9:$E157)-SUM(F$9:$F157)</f>
        <v>0</v>
      </c>
    </row>
    <row r="158" spans="1:7" ht="28.8" x14ac:dyDescent="0.55000000000000004">
      <c r="A158" s="12"/>
      <c r="B158" s="13"/>
      <c r="C158" s="10"/>
      <c r="D158" s="10"/>
      <c r="E158" s="7"/>
      <c r="F158" s="22"/>
      <c r="G158" s="6">
        <f>SUM(E$9:$E158)-SUM(F$9:$F158)</f>
        <v>0</v>
      </c>
    </row>
    <row r="159" spans="1:7" ht="28.8" x14ac:dyDescent="0.55000000000000004">
      <c r="A159" s="12"/>
      <c r="B159" s="13"/>
      <c r="C159" s="10"/>
      <c r="D159" s="10"/>
      <c r="E159" s="7"/>
      <c r="F159" s="22"/>
      <c r="G159" s="6">
        <f>SUM(E$9:$E159)-SUM(F$9:$F159)</f>
        <v>0</v>
      </c>
    </row>
    <row r="160" spans="1:7" ht="28.8" x14ac:dyDescent="0.55000000000000004">
      <c r="A160" s="12"/>
      <c r="B160" s="13"/>
      <c r="C160" s="10"/>
      <c r="D160" s="10"/>
      <c r="E160" s="7"/>
      <c r="F160" s="22"/>
      <c r="G160" s="6">
        <f>SUM(E$9:$E160)-SUM(F$9:$F160)</f>
        <v>0</v>
      </c>
    </row>
    <row r="161" spans="1:7" ht="28.8" x14ac:dyDescent="0.55000000000000004">
      <c r="A161" s="12"/>
      <c r="B161" s="13"/>
      <c r="C161" s="10"/>
      <c r="D161" s="10"/>
      <c r="E161" s="7"/>
      <c r="F161" s="22"/>
      <c r="G161" s="6">
        <f>SUM(E$9:$E161)-SUM(F$9:$F161)</f>
        <v>0</v>
      </c>
    </row>
    <row r="162" spans="1:7" ht="28.8" x14ac:dyDescent="0.55000000000000004">
      <c r="A162" s="12"/>
      <c r="B162" s="13"/>
      <c r="C162" s="10"/>
      <c r="D162" s="10"/>
      <c r="E162" s="7"/>
      <c r="F162" s="22"/>
      <c r="G162" s="6">
        <f>SUM(E$9:$E162)-SUM(F$9:$F162)</f>
        <v>0</v>
      </c>
    </row>
    <row r="163" spans="1:7" ht="28.8" x14ac:dyDescent="0.55000000000000004">
      <c r="A163" s="12"/>
      <c r="B163" s="13"/>
      <c r="C163" s="10"/>
      <c r="D163" s="10"/>
      <c r="E163" s="7"/>
      <c r="F163" s="22"/>
      <c r="G163" s="6">
        <f>SUM(E$9:$E163)-SUM(F$9:$F163)</f>
        <v>0</v>
      </c>
    </row>
    <row r="164" spans="1:7" ht="28.8" x14ac:dyDescent="0.55000000000000004">
      <c r="A164" s="12"/>
      <c r="B164" s="13"/>
      <c r="C164" s="10"/>
      <c r="D164" s="10"/>
      <c r="E164" s="7"/>
      <c r="F164" s="22"/>
      <c r="G164" s="6">
        <f>SUM(E$9:$E164)-SUM(F$9:$F164)</f>
        <v>0</v>
      </c>
    </row>
    <row r="165" spans="1:7" ht="28.8" x14ac:dyDescent="0.55000000000000004">
      <c r="A165" s="12"/>
      <c r="B165" s="13"/>
      <c r="C165" s="10"/>
      <c r="D165" s="10"/>
      <c r="E165" s="7"/>
      <c r="F165" s="22"/>
      <c r="G165" s="6">
        <f>SUM(E$9:$E165)-SUM(F$9:$F165)</f>
        <v>0</v>
      </c>
    </row>
    <row r="166" spans="1:7" ht="28.8" x14ac:dyDescent="0.55000000000000004">
      <c r="A166" s="12"/>
      <c r="B166" s="13"/>
      <c r="C166" s="10"/>
      <c r="D166" s="10"/>
      <c r="E166" s="7"/>
      <c r="F166" s="22"/>
      <c r="G166" s="6">
        <f>SUM(E$9:$E166)-SUM(F$9:$F166)</f>
        <v>0</v>
      </c>
    </row>
    <row r="167" spans="1:7" ht="28.8" x14ac:dyDescent="0.55000000000000004">
      <c r="A167" s="12"/>
      <c r="B167" s="13"/>
      <c r="C167" s="10"/>
      <c r="D167" s="10"/>
      <c r="E167" s="7"/>
      <c r="F167" s="22"/>
      <c r="G167" s="6">
        <f>SUM(E$9:$E167)-SUM(F$9:$F167)</f>
        <v>0</v>
      </c>
    </row>
    <row r="168" spans="1:7" ht="28.8" x14ac:dyDescent="0.55000000000000004">
      <c r="A168" s="12"/>
      <c r="B168" s="13"/>
      <c r="C168" s="10"/>
      <c r="D168" s="10"/>
      <c r="E168" s="7"/>
      <c r="F168" s="22"/>
      <c r="G168" s="6">
        <f>SUM(E$9:$E168)-SUM(F$9:$F168)</f>
        <v>0</v>
      </c>
    </row>
    <row r="169" spans="1:7" ht="28.8" x14ac:dyDescent="0.55000000000000004">
      <c r="A169" s="12"/>
      <c r="B169" s="13"/>
      <c r="C169" s="10"/>
      <c r="D169" s="10"/>
      <c r="E169" s="7"/>
      <c r="F169" s="22"/>
      <c r="G169" s="6">
        <f>SUM(E$9:$E169)-SUM(F$9:$F169)</f>
        <v>0</v>
      </c>
    </row>
    <row r="170" spans="1:7" ht="28.8" x14ac:dyDescent="0.55000000000000004">
      <c r="A170" s="12"/>
      <c r="B170" s="13"/>
      <c r="C170" s="10"/>
      <c r="D170" s="10"/>
      <c r="E170" s="7"/>
      <c r="F170" s="22"/>
      <c r="G170" s="6">
        <f>SUM(E$9:$E170)-SUM(F$9:$F170)</f>
        <v>0</v>
      </c>
    </row>
    <row r="171" spans="1:7" ht="28.8" x14ac:dyDescent="0.55000000000000004">
      <c r="A171" s="12"/>
      <c r="B171" s="13"/>
      <c r="C171" s="10"/>
      <c r="D171" s="10"/>
      <c r="E171" s="7"/>
      <c r="F171" s="22"/>
      <c r="G171" s="6">
        <f>SUM(E$9:$E171)-SUM(F$9:$F171)</f>
        <v>0</v>
      </c>
    </row>
    <row r="172" spans="1:7" ht="28.8" x14ac:dyDescent="0.55000000000000004">
      <c r="A172" s="12"/>
      <c r="B172" s="13"/>
      <c r="C172" s="10"/>
      <c r="D172" s="10"/>
      <c r="E172" s="7"/>
      <c r="F172" s="22"/>
      <c r="G172" s="6">
        <f>SUM(E$9:$E172)-SUM(F$9:$F172)</f>
        <v>0</v>
      </c>
    </row>
    <row r="173" spans="1:7" ht="28.8" x14ac:dyDescent="0.55000000000000004">
      <c r="A173" s="12"/>
      <c r="B173" s="13"/>
      <c r="C173" s="10"/>
      <c r="D173" s="10"/>
      <c r="E173" s="7"/>
      <c r="F173" s="22"/>
      <c r="G173" s="6">
        <f>SUM(E$9:$E173)-SUM(F$9:$F173)</f>
        <v>0</v>
      </c>
    </row>
    <row r="174" spans="1:7" ht="28.8" x14ac:dyDescent="0.55000000000000004">
      <c r="A174" s="12"/>
      <c r="B174" s="13"/>
      <c r="C174" s="10"/>
      <c r="D174" s="10"/>
      <c r="E174" s="7"/>
      <c r="F174" s="22"/>
      <c r="G174" s="6">
        <f>SUM(E$9:$E174)-SUM(F$9:$F174)</f>
        <v>0</v>
      </c>
    </row>
    <row r="175" spans="1:7" ht="28.8" x14ac:dyDescent="0.55000000000000004">
      <c r="A175" s="12"/>
      <c r="B175" s="13"/>
      <c r="C175" s="10"/>
      <c r="D175" s="10"/>
      <c r="E175" s="7"/>
      <c r="F175" s="22"/>
      <c r="G175" s="6">
        <f>SUM(E$9:$E175)-SUM(F$9:$F175)</f>
        <v>0</v>
      </c>
    </row>
    <row r="176" spans="1:7" ht="28.8" x14ac:dyDescent="0.55000000000000004">
      <c r="A176" s="12"/>
      <c r="B176" s="13"/>
      <c r="C176" s="10"/>
      <c r="D176" s="10"/>
      <c r="E176" s="7"/>
      <c r="F176" s="22"/>
      <c r="G176" s="6">
        <f>SUM(E$9:$E176)-SUM(F$9:$F176)</f>
        <v>0</v>
      </c>
    </row>
    <row r="177" spans="1:7" ht="28.8" x14ac:dyDescent="0.55000000000000004">
      <c r="A177" s="12"/>
      <c r="B177" s="13"/>
      <c r="C177" s="10"/>
      <c r="D177" s="10"/>
      <c r="E177" s="7"/>
      <c r="F177" s="22"/>
      <c r="G177" s="6">
        <f>SUM(E$9:$E177)-SUM(F$9:$F177)</f>
        <v>0</v>
      </c>
    </row>
    <row r="178" spans="1:7" ht="28.8" x14ac:dyDescent="0.55000000000000004">
      <c r="A178" s="12"/>
      <c r="B178" s="13"/>
      <c r="C178" s="10"/>
      <c r="D178" s="10"/>
      <c r="E178" s="7"/>
      <c r="F178" s="22"/>
      <c r="G178" s="6">
        <f>SUM(E$9:$E178)-SUM(F$9:$F178)</f>
        <v>0</v>
      </c>
    </row>
    <row r="179" spans="1:7" ht="28.8" x14ac:dyDescent="0.55000000000000004">
      <c r="A179" s="12"/>
      <c r="B179" s="13"/>
      <c r="C179" s="10"/>
      <c r="D179" s="10"/>
      <c r="E179" s="7"/>
      <c r="F179" s="22"/>
      <c r="G179" s="6">
        <f>SUM(E$9:$E179)-SUM(F$9:$F179)</f>
        <v>0</v>
      </c>
    </row>
    <row r="180" spans="1:7" ht="28.8" x14ac:dyDescent="0.55000000000000004">
      <c r="A180" s="12"/>
      <c r="B180" s="13"/>
      <c r="C180" s="10"/>
      <c r="D180" s="10"/>
      <c r="E180" s="7"/>
      <c r="F180" s="22"/>
      <c r="G180" s="6">
        <f>SUM(E$9:$E180)-SUM(F$9:$F180)</f>
        <v>0</v>
      </c>
    </row>
    <row r="181" spans="1:7" ht="28.8" x14ac:dyDescent="0.55000000000000004">
      <c r="A181" s="12"/>
      <c r="B181" s="13"/>
      <c r="C181" s="10"/>
      <c r="D181" s="10"/>
      <c r="E181" s="7"/>
      <c r="F181" s="22"/>
      <c r="G181" s="6">
        <f>SUM(E$9:$E181)-SUM(F$9:$F181)</f>
        <v>0</v>
      </c>
    </row>
    <row r="182" spans="1:7" ht="28.8" x14ac:dyDescent="0.55000000000000004">
      <c r="A182" s="12"/>
      <c r="B182" s="13"/>
      <c r="C182" s="10"/>
      <c r="D182" s="10"/>
      <c r="E182" s="7"/>
      <c r="F182" s="22"/>
      <c r="G182" s="6">
        <f>SUM(E$9:$E182)-SUM(F$9:$F182)</f>
        <v>0</v>
      </c>
    </row>
    <row r="183" spans="1:7" ht="28.8" x14ac:dyDescent="0.55000000000000004">
      <c r="A183" s="12"/>
      <c r="B183" s="13"/>
      <c r="C183" s="10"/>
      <c r="D183" s="10"/>
      <c r="E183" s="7"/>
      <c r="F183" s="22"/>
      <c r="G183" s="6">
        <f>SUM(E$9:$E183)-SUM(F$9:$F183)</f>
        <v>0</v>
      </c>
    </row>
    <row r="184" spans="1:7" ht="28.8" x14ac:dyDescent="0.55000000000000004">
      <c r="A184" s="12"/>
      <c r="B184" s="13"/>
      <c r="C184" s="10"/>
      <c r="D184" s="10"/>
      <c r="E184" s="7"/>
      <c r="F184" s="22"/>
      <c r="G184" s="6">
        <f>SUM(E$9:$E184)-SUM(F$9:$F184)</f>
        <v>0</v>
      </c>
    </row>
    <row r="185" spans="1:7" ht="28.8" x14ac:dyDescent="0.55000000000000004">
      <c r="A185" s="12"/>
      <c r="B185" s="13"/>
      <c r="C185" s="10"/>
      <c r="D185" s="10"/>
      <c r="E185" s="7"/>
      <c r="F185" s="22"/>
      <c r="G185" s="6">
        <f>SUM(E$9:$E185)-SUM(F$9:$F185)</f>
        <v>0</v>
      </c>
    </row>
    <row r="186" spans="1:7" ht="28.8" x14ac:dyDescent="0.55000000000000004">
      <c r="A186" s="12"/>
      <c r="B186" s="13"/>
      <c r="C186" s="10"/>
      <c r="D186" s="10"/>
      <c r="E186" s="7"/>
      <c r="F186" s="22"/>
      <c r="G186" s="6">
        <f>SUM(E$9:$E186)-SUM(F$9:$F186)</f>
        <v>0</v>
      </c>
    </row>
    <row r="187" spans="1:7" ht="28.8" x14ac:dyDescent="0.55000000000000004">
      <c r="A187" s="12"/>
      <c r="B187" s="13"/>
      <c r="C187" s="10"/>
      <c r="D187" s="10"/>
      <c r="E187" s="7"/>
      <c r="F187" s="22"/>
      <c r="G187" s="6">
        <f>SUM(E$9:$E187)-SUM(F$9:$F187)</f>
        <v>0</v>
      </c>
    </row>
    <row r="188" spans="1:7" ht="28.8" x14ac:dyDescent="0.55000000000000004">
      <c r="A188" s="12"/>
      <c r="B188" s="13"/>
      <c r="C188" s="10"/>
      <c r="D188" s="10"/>
      <c r="E188" s="7"/>
      <c r="F188" s="22"/>
      <c r="G188" s="6">
        <f>SUM(E$9:$E188)-SUM(F$9:$F188)</f>
        <v>0</v>
      </c>
    </row>
    <row r="189" spans="1:7" ht="28.8" x14ac:dyDescent="0.55000000000000004">
      <c r="A189" s="12"/>
      <c r="B189" s="13"/>
      <c r="C189" s="10"/>
      <c r="D189" s="10"/>
      <c r="E189" s="7"/>
      <c r="F189" s="22"/>
      <c r="G189" s="6">
        <f>SUM(E$9:$E189)-SUM(F$9:$F189)</f>
        <v>0</v>
      </c>
    </row>
    <row r="190" spans="1:7" ht="28.8" x14ac:dyDescent="0.55000000000000004">
      <c r="A190" s="12"/>
      <c r="B190" s="13"/>
      <c r="C190" s="10"/>
      <c r="D190" s="10"/>
      <c r="E190" s="7"/>
      <c r="F190" s="22"/>
      <c r="G190" s="6">
        <f>SUM(E$9:$E190)-SUM(F$9:$F190)</f>
        <v>0</v>
      </c>
    </row>
    <row r="191" spans="1:7" ht="28.8" x14ac:dyDescent="0.55000000000000004">
      <c r="A191" s="12"/>
      <c r="B191" s="13"/>
      <c r="C191" s="10"/>
      <c r="D191" s="10"/>
      <c r="E191" s="7"/>
      <c r="F191" s="22"/>
      <c r="G191" s="6">
        <f>SUM(E$9:$E191)-SUM(F$9:$F191)</f>
        <v>0</v>
      </c>
    </row>
    <row r="192" spans="1:7" ht="28.8" x14ac:dyDescent="0.55000000000000004">
      <c r="A192" s="12"/>
      <c r="B192" s="13"/>
      <c r="C192" s="10"/>
      <c r="D192" s="10"/>
      <c r="E192" s="7"/>
      <c r="F192" s="22"/>
      <c r="G192" s="6">
        <f>SUM(E$9:$E192)-SUM(F$9:$F192)</f>
        <v>0</v>
      </c>
    </row>
    <row r="193" spans="1:7" ht="28.8" x14ac:dyDescent="0.55000000000000004">
      <c r="A193" s="12"/>
      <c r="B193" s="13"/>
      <c r="C193" s="10"/>
      <c r="D193" s="10"/>
      <c r="E193" s="7"/>
      <c r="F193" s="22"/>
      <c r="G193" s="6">
        <f>SUM(E$9:$E193)-SUM(F$9:$F193)</f>
        <v>0</v>
      </c>
    </row>
    <row r="194" spans="1:7" ht="28.8" x14ac:dyDescent="0.55000000000000004">
      <c r="A194" s="12"/>
      <c r="B194" s="13"/>
      <c r="C194" s="10"/>
      <c r="D194" s="10"/>
      <c r="E194" s="7"/>
      <c r="F194" s="22"/>
      <c r="G194" s="6">
        <f>SUM(E$9:$E194)-SUM(F$9:$F194)</f>
        <v>0</v>
      </c>
    </row>
    <row r="195" spans="1:7" ht="28.8" x14ac:dyDescent="0.55000000000000004">
      <c r="A195" s="12"/>
      <c r="B195" s="13"/>
      <c r="C195" s="10"/>
      <c r="D195" s="10"/>
      <c r="E195" s="7"/>
      <c r="F195" s="22"/>
      <c r="G195" s="6">
        <f>SUM(E$9:$E195)-SUM(F$9:$F195)</f>
        <v>0</v>
      </c>
    </row>
    <row r="196" spans="1:7" ht="28.8" x14ac:dyDescent="0.55000000000000004">
      <c r="A196" s="12"/>
      <c r="B196" s="13"/>
      <c r="C196" s="10"/>
      <c r="D196" s="10"/>
      <c r="E196" s="7"/>
      <c r="F196" s="22"/>
      <c r="G196" s="6">
        <f>SUM(E$9:$E196)-SUM(F$9:$F196)</f>
        <v>0</v>
      </c>
    </row>
    <row r="197" spans="1:7" ht="28.8" x14ac:dyDescent="0.55000000000000004">
      <c r="A197" s="12"/>
      <c r="B197" s="13"/>
      <c r="C197" s="10"/>
      <c r="D197" s="10"/>
      <c r="E197" s="7"/>
      <c r="F197" s="22"/>
      <c r="G197" s="6">
        <f>SUM(E$9:$E197)-SUM(F$9:$F197)</f>
        <v>0</v>
      </c>
    </row>
    <row r="198" spans="1:7" ht="28.8" x14ac:dyDescent="0.55000000000000004">
      <c r="A198" s="12"/>
      <c r="B198" s="13"/>
      <c r="C198" s="10"/>
      <c r="D198" s="10"/>
      <c r="E198" s="7"/>
      <c r="F198" s="22"/>
      <c r="G198" s="6">
        <f>SUM(E$9:$E198)-SUM(F$9:$F198)</f>
        <v>0</v>
      </c>
    </row>
    <row r="199" spans="1:7" ht="28.8" x14ac:dyDescent="0.55000000000000004">
      <c r="A199" s="12"/>
      <c r="B199" s="13"/>
      <c r="C199" s="10"/>
      <c r="D199" s="10"/>
      <c r="E199" s="7"/>
      <c r="F199" s="22"/>
      <c r="G199" s="6">
        <f>SUM(E$9:$E199)-SUM(F$9:$F199)</f>
        <v>0</v>
      </c>
    </row>
    <row r="200" spans="1:7" ht="28.8" x14ac:dyDescent="0.55000000000000004">
      <c r="A200" s="12"/>
      <c r="B200" s="13"/>
      <c r="C200" s="10"/>
      <c r="D200" s="10"/>
      <c r="E200" s="7"/>
      <c r="F200" s="22"/>
      <c r="G200" s="6">
        <f>SUM(E$9:$E200)-SUM(F$9:$F200)</f>
        <v>0</v>
      </c>
    </row>
    <row r="201" spans="1:7" ht="28.8" x14ac:dyDescent="0.55000000000000004">
      <c r="A201" s="12"/>
      <c r="B201" s="13"/>
      <c r="C201" s="10"/>
      <c r="D201" s="10"/>
      <c r="E201" s="7"/>
      <c r="F201" s="22"/>
      <c r="G201" s="6">
        <f>SUM(E$9:$E201)-SUM(F$9:$F201)</f>
        <v>0</v>
      </c>
    </row>
    <row r="202" spans="1:7" ht="28.8" x14ac:dyDescent="0.55000000000000004">
      <c r="A202" s="12"/>
      <c r="B202" s="13"/>
      <c r="C202" s="10"/>
      <c r="D202" s="10"/>
      <c r="E202" s="7"/>
      <c r="F202" s="22"/>
      <c r="G202" s="6">
        <f>SUM(E$9:$E202)-SUM(F$9:$F202)</f>
        <v>0</v>
      </c>
    </row>
    <row r="203" spans="1:7" ht="28.8" x14ac:dyDescent="0.55000000000000004">
      <c r="A203" s="12"/>
      <c r="B203" s="13"/>
      <c r="C203" s="10"/>
      <c r="D203" s="10"/>
      <c r="E203" s="7"/>
      <c r="F203" s="22"/>
      <c r="G203" s="6">
        <f>SUM(E$9:$E203)-SUM(F$9:$F203)</f>
        <v>0</v>
      </c>
    </row>
    <row r="204" spans="1:7" ht="28.8" x14ac:dyDescent="0.55000000000000004">
      <c r="A204" s="12"/>
      <c r="B204" s="13"/>
      <c r="C204" s="10"/>
      <c r="D204" s="10"/>
      <c r="E204" s="7"/>
      <c r="F204" s="22"/>
      <c r="G204" s="6">
        <f>SUM(E$9:$E204)-SUM(F$9:$F204)</f>
        <v>0</v>
      </c>
    </row>
    <row r="205" spans="1:7" ht="28.8" x14ac:dyDescent="0.55000000000000004">
      <c r="A205" s="12"/>
      <c r="B205" s="13"/>
      <c r="C205" s="10"/>
      <c r="D205" s="10"/>
      <c r="E205" s="7"/>
      <c r="F205" s="22"/>
      <c r="G205" s="6">
        <f>SUM(E$9:$E205)-SUM(F$9:$F205)</f>
        <v>0</v>
      </c>
    </row>
    <row r="206" spans="1:7" ht="28.8" x14ac:dyDescent="0.55000000000000004">
      <c r="A206" s="12"/>
      <c r="B206" s="13"/>
      <c r="C206" s="10"/>
      <c r="D206" s="10"/>
      <c r="E206" s="7"/>
      <c r="F206" s="22"/>
      <c r="G206" s="6">
        <f>SUM(E$9:$E206)-SUM(F$9:$F206)</f>
        <v>0</v>
      </c>
    </row>
    <row r="207" spans="1:7" ht="28.8" x14ac:dyDescent="0.55000000000000004">
      <c r="A207" s="12"/>
      <c r="B207" s="13"/>
      <c r="C207" s="10"/>
      <c r="D207" s="10"/>
      <c r="E207" s="7"/>
      <c r="F207" s="22"/>
      <c r="G207" s="6">
        <f>SUM(E$9:$E207)-SUM(F$9:$F207)</f>
        <v>0</v>
      </c>
    </row>
    <row r="208" spans="1:7" ht="28.8" x14ac:dyDescent="0.55000000000000004">
      <c r="A208" s="12"/>
      <c r="B208" s="13"/>
      <c r="C208" s="10"/>
      <c r="D208" s="10"/>
      <c r="E208" s="7"/>
      <c r="F208" s="22"/>
      <c r="G208" s="6">
        <f>SUM(E$9:$E208)-SUM(F$9:$F208)</f>
        <v>0</v>
      </c>
    </row>
    <row r="209" spans="1:7" ht="28.8" x14ac:dyDescent="0.55000000000000004">
      <c r="A209" s="12"/>
      <c r="B209" s="13"/>
      <c r="C209" s="10"/>
      <c r="D209" s="10"/>
      <c r="E209" s="7"/>
      <c r="F209" s="22"/>
      <c r="G209" s="6">
        <f>SUM(E$9:$E209)-SUM(F$9:$F209)</f>
        <v>0</v>
      </c>
    </row>
    <row r="210" spans="1:7" ht="28.8" x14ac:dyDescent="0.55000000000000004">
      <c r="A210" s="12"/>
      <c r="B210" s="13"/>
      <c r="C210" s="10"/>
      <c r="D210" s="10"/>
      <c r="E210" s="7"/>
      <c r="F210" s="22"/>
      <c r="G210" s="6">
        <f>SUM(E$9:$E210)-SUM(F$9:$F210)</f>
        <v>0</v>
      </c>
    </row>
    <row r="211" spans="1:7" ht="28.8" x14ac:dyDescent="0.55000000000000004">
      <c r="A211" s="12"/>
      <c r="B211" s="13"/>
      <c r="C211" s="10"/>
      <c r="D211" s="10"/>
      <c r="E211" s="7"/>
      <c r="F211" s="22"/>
      <c r="G211" s="6">
        <f>SUM(E$9:$E211)-SUM(F$9:$F211)</f>
        <v>0</v>
      </c>
    </row>
    <row r="212" spans="1:7" ht="28.8" x14ac:dyDescent="0.55000000000000004">
      <c r="A212" s="12"/>
      <c r="B212" s="13"/>
      <c r="C212" s="10"/>
      <c r="D212" s="10"/>
      <c r="E212" s="7"/>
      <c r="F212" s="22"/>
      <c r="G212" s="6">
        <f>SUM(E$9:$E212)-SUM(F$9:$F212)</f>
        <v>0</v>
      </c>
    </row>
    <row r="213" spans="1:7" ht="28.8" x14ac:dyDescent="0.55000000000000004">
      <c r="A213" s="12"/>
      <c r="B213" s="13"/>
      <c r="C213" s="10"/>
      <c r="D213" s="10"/>
      <c r="E213" s="7"/>
      <c r="F213" s="22"/>
      <c r="G213" s="6">
        <f>SUM(E$9:$E213)-SUM(F$9:$F213)</f>
        <v>0</v>
      </c>
    </row>
    <row r="214" spans="1:7" ht="28.8" x14ac:dyDescent="0.55000000000000004">
      <c r="A214" s="12"/>
      <c r="B214" s="13"/>
      <c r="C214" s="10"/>
      <c r="D214" s="10"/>
      <c r="E214" s="7"/>
      <c r="F214" s="22"/>
      <c r="G214" s="6">
        <f>SUM(E$9:$E214)-SUM(F$9:$F214)</f>
        <v>0</v>
      </c>
    </row>
    <row r="215" spans="1:7" ht="28.8" x14ac:dyDescent="0.55000000000000004">
      <c r="A215" s="12"/>
      <c r="B215" s="13"/>
      <c r="C215" s="10"/>
      <c r="D215" s="10"/>
      <c r="E215" s="7"/>
      <c r="F215" s="22"/>
      <c r="G215" s="6">
        <f>SUM(E$9:$E215)-SUM(F$9:$F215)</f>
        <v>0</v>
      </c>
    </row>
    <row r="216" spans="1:7" ht="28.8" x14ac:dyDescent="0.55000000000000004">
      <c r="A216" s="12"/>
      <c r="B216" s="13"/>
      <c r="C216" s="10"/>
      <c r="D216" s="10"/>
      <c r="E216" s="7"/>
      <c r="F216" s="22"/>
      <c r="G216" s="6">
        <f>SUM(E$9:$E216)-SUM(F$9:$F216)</f>
        <v>0</v>
      </c>
    </row>
    <row r="217" spans="1:7" ht="28.8" x14ac:dyDescent="0.55000000000000004">
      <c r="A217" s="12"/>
      <c r="B217" s="13"/>
      <c r="C217" s="10"/>
      <c r="D217" s="10"/>
      <c r="E217" s="7"/>
      <c r="F217" s="22"/>
      <c r="G217" s="6">
        <f>SUM(E$9:$E217)-SUM(F$9:$F217)</f>
        <v>0</v>
      </c>
    </row>
    <row r="218" spans="1:7" ht="28.8" x14ac:dyDescent="0.55000000000000004">
      <c r="A218" s="12"/>
      <c r="B218" s="13"/>
      <c r="C218" s="10"/>
      <c r="D218" s="10"/>
      <c r="E218" s="7"/>
      <c r="F218" s="22"/>
      <c r="G218" s="6">
        <f>SUM(E$9:$E218)-SUM(F$9:$F218)</f>
        <v>0</v>
      </c>
    </row>
    <row r="219" spans="1:7" ht="28.8" x14ac:dyDescent="0.55000000000000004">
      <c r="A219" s="12"/>
      <c r="B219" s="13"/>
      <c r="C219" s="10"/>
      <c r="D219" s="10"/>
      <c r="E219" s="7"/>
      <c r="F219" s="22"/>
      <c r="G219" s="6">
        <f>SUM(E$9:$E219)-SUM(F$9:$F219)</f>
        <v>0</v>
      </c>
    </row>
    <row r="220" spans="1:7" ht="28.8" x14ac:dyDescent="0.55000000000000004">
      <c r="A220" s="12"/>
      <c r="B220" s="13"/>
      <c r="C220" s="10"/>
      <c r="D220" s="10"/>
      <c r="E220" s="7"/>
      <c r="F220" s="22"/>
      <c r="G220" s="6">
        <f>SUM(E$9:$E220)-SUM(F$9:$F220)</f>
        <v>0</v>
      </c>
    </row>
    <row r="221" spans="1:7" ht="28.8" x14ac:dyDescent="0.55000000000000004">
      <c r="A221" s="12"/>
      <c r="B221" s="13"/>
      <c r="C221" s="10"/>
      <c r="D221" s="10"/>
      <c r="E221" s="7"/>
      <c r="F221" s="22"/>
      <c r="G221" s="6">
        <f>SUM(E$9:$E221)-SUM(F$9:$F221)</f>
        <v>0</v>
      </c>
    </row>
    <row r="222" spans="1:7" ht="28.8" x14ac:dyDescent="0.55000000000000004">
      <c r="A222" s="12"/>
      <c r="B222" s="13"/>
      <c r="C222" s="10"/>
      <c r="D222" s="10"/>
      <c r="E222" s="7"/>
      <c r="F222" s="22"/>
      <c r="G222" s="6">
        <f>SUM(E$9:$E222)-SUM(F$9:$F222)</f>
        <v>0</v>
      </c>
    </row>
    <row r="223" spans="1:7" ht="28.8" x14ac:dyDescent="0.55000000000000004">
      <c r="A223" s="12"/>
      <c r="B223" s="13"/>
      <c r="C223" s="10"/>
      <c r="D223" s="10"/>
      <c r="E223" s="7"/>
      <c r="F223" s="22"/>
      <c r="G223" s="6">
        <f>SUM(E$9:$E223)-SUM(F$9:$F223)</f>
        <v>0</v>
      </c>
    </row>
    <row r="224" spans="1:7" ht="28.8" x14ac:dyDescent="0.55000000000000004">
      <c r="A224" s="12"/>
      <c r="B224" s="13"/>
      <c r="C224" s="10"/>
      <c r="D224" s="10"/>
      <c r="E224" s="7"/>
      <c r="F224" s="22"/>
      <c r="G224" s="6">
        <f>SUM(E$9:$E224)-SUM(F$9:$F224)</f>
        <v>0</v>
      </c>
    </row>
    <row r="225" spans="1:7" ht="28.8" x14ac:dyDescent="0.55000000000000004">
      <c r="A225" s="12"/>
      <c r="B225" s="13"/>
      <c r="C225" s="10"/>
      <c r="D225" s="10"/>
      <c r="E225" s="7"/>
      <c r="F225" s="22"/>
      <c r="G225" s="6">
        <f>SUM(E$9:$E225)-SUM(F$9:$F225)</f>
        <v>0</v>
      </c>
    </row>
    <row r="226" spans="1:7" ht="28.8" x14ac:dyDescent="0.55000000000000004">
      <c r="A226" s="12"/>
      <c r="B226" s="13"/>
      <c r="C226" s="10"/>
      <c r="D226" s="10"/>
      <c r="E226" s="7"/>
      <c r="F226" s="22"/>
      <c r="G226" s="6">
        <f>SUM(E$9:$E226)-SUM(F$9:$F226)</f>
        <v>0</v>
      </c>
    </row>
    <row r="227" spans="1:7" ht="28.8" x14ac:dyDescent="0.55000000000000004">
      <c r="A227" s="12"/>
      <c r="B227" s="13"/>
      <c r="C227" s="10"/>
      <c r="D227" s="10"/>
      <c r="E227" s="7"/>
      <c r="F227" s="22"/>
      <c r="G227" s="6">
        <f>SUM(E$9:$E227)-SUM(F$9:$F227)</f>
        <v>0</v>
      </c>
    </row>
    <row r="228" spans="1:7" ht="28.8" x14ac:dyDescent="0.55000000000000004">
      <c r="A228" s="12"/>
      <c r="B228" s="13"/>
      <c r="C228" s="10"/>
      <c r="D228" s="10"/>
      <c r="E228" s="7"/>
      <c r="F228" s="22"/>
      <c r="G228" s="6">
        <f>SUM(E$9:$E228)-SUM(F$9:$F228)</f>
        <v>0</v>
      </c>
    </row>
    <row r="229" spans="1:7" ht="28.8" x14ac:dyDescent="0.55000000000000004">
      <c r="A229" s="12"/>
      <c r="B229" s="13"/>
      <c r="C229" s="10"/>
      <c r="D229" s="10"/>
      <c r="E229" s="7"/>
      <c r="F229" s="22"/>
      <c r="G229" s="6">
        <f>SUM(E$9:$E229)-SUM(F$9:$F229)</f>
        <v>0</v>
      </c>
    </row>
    <row r="230" spans="1:7" ht="28.8" x14ac:dyDescent="0.55000000000000004">
      <c r="A230" s="12"/>
      <c r="B230" s="13"/>
      <c r="C230" s="10"/>
      <c r="D230" s="10"/>
      <c r="E230" s="7"/>
      <c r="F230" s="22"/>
      <c r="G230" s="6">
        <f>SUM(E$9:$E230)-SUM(F$9:$F230)</f>
        <v>0</v>
      </c>
    </row>
    <row r="231" spans="1:7" ht="28.8" x14ac:dyDescent="0.55000000000000004">
      <c r="A231" s="12"/>
      <c r="B231" s="13"/>
      <c r="C231" s="10"/>
      <c r="D231" s="10"/>
      <c r="E231" s="7"/>
      <c r="F231" s="22"/>
      <c r="G231" s="6">
        <f>SUM(E$9:$E231)-SUM(F$9:$F231)</f>
        <v>0</v>
      </c>
    </row>
    <row r="232" spans="1:7" ht="28.8" x14ac:dyDescent="0.55000000000000004">
      <c r="A232" s="12"/>
      <c r="B232" s="13"/>
      <c r="C232" s="10"/>
      <c r="D232" s="10"/>
      <c r="E232" s="7"/>
      <c r="F232" s="22"/>
      <c r="G232" s="6">
        <f>SUM(E$9:$E232)-SUM(F$9:$F232)</f>
        <v>0</v>
      </c>
    </row>
    <row r="233" spans="1:7" ht="28.8" x14ac:dyDescent="0.55000000000000004">
      <c r="A233" s="12"/>
      <c r="B233" s="13"/>
      <c r="C233" s="10"/>
      <c r="D233" s="10"/>
      <c r="E233" s="7"/>
      <c r="F233" s="22"/>
      <c r="G233" s="6">
        <f>SUM(E$9:$E233)-SUM(F$9:$F233)</f>
        <v>0</v>
      </c>
    </row>
    <row r="234" spans="1:7" ht="28.8" x14ac:dyDescent="0.55000000000000004">
      <c r="A234" s="12"/>
      <c r="B234" s="13"/>
      <c r="C234" s="10"/>
      <c r="D234" s="10"/>
      <c r="E234" s="7"/>
      <c r="F234" s="22"/>
      <c r="G234" s="6">
        <f>SUM(E$9:$E234)-SUM(F$9:$F234)</f>
        <v>0</v>
      </c>
    </row>
    <row r="235" spans="1:7" ht="28.8" x14ac:dyDescent="0.55000000000000004">
      <c r="A235" s="12"/>
      <c r="B235" s="13"/>
      <c r="C235" s="10"/>
      <c r="D235" s="10"/>
      <c r="E235" s="7"/>
      <c r="F235" s="22"/>
      <c r="G235" s="6">
        <f>SUM(E$9:$E235)-SUM(F$9:$F235)</f>
        <v>0</v>
      </c>
    </row>
    <row r="236" spans="1:7" ht="28.8" x14ac:dyDescent="0.55000000000000004">
      <c r="A236" s="12"/>
      <c r="B236" s="13"/>
      <c r="C236" s="10"/>
      <c r="D236" s="10"/>
      <c r="E236" s="7"/>
      <c r="F236" s="22"/>
      <c r="G236" s="6">
        <f>SUM(E$9:$E236)-SUM(F$9:$F236)</f>
        <v>0</v>
      </c>
    </row>
    <row r="237" spans="1:7" ht="28.8" x14ac:dyDescent="0.55000000000000004">
      <c r="A237" s="12"/>
      <c r="B237" s="13"/>
      <c r="C237" s="10"/>
      <c r="D237" s="10"/>
      <c r="E237" s="7"/>
      <c r="F237" s="22"/>
      <c r="G237" s="6">
        <f>SUM(E$9:$E237)-SUM(F$9:$F237)</f>
        <v>0</v>
      </c>
    </row>
    <row r="238" spans="1:7" ht="28.8" x14ac:dyDescent="0.55000000000000004">
      <c r="A238" s="12"/>
      <c r="B238" s="13"/>
      <c r="C238" s="10"/>
      <c r="D238" s="10"/>
      <c r="E238" s="7"/>
      <c r="F238" s="22"/>
      <c r="G238" s="6">
        <f>SUM(E$9:$E238)-SUM(F$9:$F238)</f>
        <v>0</v>
      </c>
    </row>
    <row r="239" spans="1:7" ht="28.8" x14ac:dyDescent="0.55000000000000004">
      <c r="A239" s="12"/>
      <c r="B239" s="13"/>
      <c r="C239" s="10"/>
      <c r="D239" s="10"/>
      <c r="E239" s="7"/>
      <c r="F239" s="22"/>
      <c r="G239" s="6">
        <f>SUM(E$9:$E239)-SUM(F$9:$F239)</f>
        <v>0</v>
      </c>
    </row>
    <row r="240" spans="1:7" ht="28.8" x14ac:dyDescent="0.55000000000000004">
      <c r="A240" s="12"/>
      <c r="B240" s="13"/>
      <c r="C240" s="10"/>
      <c r="D240" s="10"/>
      <c r="E240" s="7"/>
      <c r="F240" s="22"/>
      <c r="G240" s="6">
        <f>SUM(E$9:$E240)-SUM(F$9:$F240)</f>
        <v>0</v>
      </c>
    </row>
    <row r="241" spans="1:7" ht="28.8" x14ac:dyDescent="0.55000000000000004">
      <c r="A241" s="12"/>
      <c r="B241" s="13"/>
      <c r="C241" s="10"/>
      <c r="D241" s="10"/>
      <c r="E241" s="7"/>
      <c r="F241" s="22"/>
      <c r="G241" s="6">
        <f>SUM(E$9:$E241)-SUM(F$9:$F241)</f>
        <v>0</v>
      </c>
    </row>
    <row r="242" spans="1:7" ht="28.8" x14ac:dyDescent="0.55000000000000004">
      <c r="A242" s="12"/>
      <c r="B242" s="13"/>
      <c r="C242" s="10"/>
      <c r="D242" s="10"/>
      <c r="E242" s="7"/>
      <c r="F242" s="22"/>
      <c r="G242" s="6">
        <f>SUM(E$9:$E242)-SUM(F$9:$F242)</f>
        <v>0</v>
      </c>
    </row>
    <row r="243" spans="1:7" ht="28.8" x14ac:dyDescent="0.55000000000000004">
      <c r="A243" s="12"/>
      <c r="B243" s="13"/>
      <c r="C243" s="10"/>
      <c r="D243" s="10"/>
      <c r="E243" s="7"/>
      <c r="F243" s="22"/>
      <c r="G243" s="6">
        <f>SUM(E$9:$E243)-SUM(F$9:$F243)</f>
        <v>0</v>
      </c>
    </row>
    <row r="244" spans="1:7" ht="28.8" x14ac:dyDescent="0.55000000000000004">
      <c r="A244" s="12"/>
      <c r="B244" s="13"/>
      <c r="C244" s="10"/>
      <c r="D244" s="10"/>
      <c r="E244" s="7"/>
      <c r="F244" s="22"/>
      <c r="G244" s="6">
        <f>SUM(E$9:$E244)-SUM(F$9:$F244)</f>
        <v>0</v>
      </c>
    </row>
    <row r="245" spans="1:7" ht="28.8" x14ac:dyDescent="0.55000000000000004">
      <c r="A245" s="12"/>
      <c r="B245" s="13"/>
      <c r="C245" s="10"/>
      <c r="D245" s="10"/>
      <c r="E245" s="7"/>
      <c r="F245" s="22"/>
      <c r="G245" s="6">
        <f>SUM(E$9:$E245)-SUM(F$9:$F245)</f>
        <v>0</v>
      </c>
    </row>
    <row r="246" spans="1:7" ht="28.8" x14ac:dyDescent="0.55000000000000004">
      <c r="A246" s="12"/>
      <c r="B246" s="13"/>
      <c r="C246" s="10"/>
      <c r="D246" s="10"/>
      <c r="E246" s="7"/>
      <c r="F246" s="22"/>
      <c r="G246" s="6">
        <f>SUM(E$9:$E246)-SUM(F$9:$F246)</f>
        <v>0</v>
      </c>
    </row>
    <row r="247" spans="1:7" ht="28.8" x14ac:dyDescent="0.55000000000000004">
      <c r="A247" s="12"/>
      <c r="B247" s="13"/>
      <c r="C247" s="10"/>
      <c r="D247" s="10"/>
      <c r="E247" s="7"/>
      <c r="F247" s="22"/>
      <c r="G247" s="6">
        <f>SUM(E$9:$E247)-SUM(F$9:$F247)</f>
        <v>0</v>
      </c>
    </row>
    <row r="248" spans="1:7" ht="28.8" x14ac:dyDescent="0.55000000000000004">
      <c r="A248" s="12"/>
      <c r="B248" s="13"/>
      <c r="C248" s="10"/>
      <c r="D248" s="10"/>
      <c r="E248" s="7"/>
      <c r="F248" s="22"/>
      <c r="G248" s="6">
        <f>SUM(E$9:$E248)-SUM(F$9:$F248)</f>
        <v>0</v>
      </c>
    </row>
    <row r="249" spans="1:7" ht="28.8" x14ac:dyDescent="0.55000000000000004">
      <c r="A249" s="12"/>
      <c r="B249" s="13"/>
      <c r="C249" s="10"/>
      <c r="D249" s="10"/>
      <c r="E249" s="7"/>
      <c r="F249" s="22"/>
      <c r="G249" s="6">
        <f>SUM(E$9:$E249)-SUM(F$9:$F249)</f>
        <v>0</v>
      </c>
    </row>
    <row r="250" spans="1:7" ht="28.8" x14ac:dyDescent="0.55000000000000004">
      <c r="A250" s="12"/>
      <c r="B250" s="13"/>
      <c r="C250" s="10"/>
      <c r="D250" s="10"/>
      <c r="E250" s="7"/>
      <c r="F250" s="22"/>
      <c r="G250" s="6">
        <f>SUM(E$9:$E250)-SUM(F$9:$F250)</f>
        <v>0</v>
      </c>
    </row>
    <row r="251" spans="1:7" ht="28.8" x14ac:dyDescent="0.55000000000000004">
      <c r="A251" s="12"/>
      <c r="B251" s="13"/>
      <c r="C251" s="10"/>
      <c r="D251" s="10"/>
      <c r="E251" s="7"/>
      <c r="F251" s="22"/>
      <c r="G251" s="6">
        <f>SUM(E$9:$E251)-SUM(F$9:$F251)</f>
        <v>0</v>
      </c>
    </row>
    <row r="252" spans="1:7" ht="28.8" x14ac:dyDescent="0.55000000000000004">
      <c r="A252" s="12"/>
      <c r="B252" s="13"/>
      <c r="C252" s="10"/>
      <c r="D252" s="10"/>
      <c r="E252" s="7"/>
      <c r="F252" s="22"/>
      <c r="G252" s="6">
        <f>SUM(E$9:$E252)-SUM(F$9:$F252)</f>
        <v>0</v>
      </c>
    </row>
    <row r="253" spans="1:7" ht="28.8" x14ac:dyDescent="0.55000000000000004">
      <c r="A253" s="12"/>
      <c r="B253" s="13"/>
      <c r="C253" s="10"/>
      <c r="D253" s="10"/>
      <c r="E253" s="7"/>
      <c r="F253" s="22"/>
      <c r="G253" s="6">
        <f>SUM(E$9:$E253)-SUM(F$9:$F253)</f>
        <v>0</v>
      </c>
    </row>
    <row r="254" spans="1:7" ht="28.8" x14ac:dyDescent="0.55000000000000004">
      <c r="A254" s="12"/>
      <c r="B254" s="13"/>
      <c r="C254" s="10"/>
      <c r="D254" s="10"/>
      <c r="E254" s="7"/>
      <c r="F254" s="22"/>
      <c r="G254" s="6">
        <f>SUM(E$9:$E254)-SUM(F$9:$F254)</f>
        <v>0</v>
      </c>
    </row>
    <row r="255" spans="1:7" ht="28.8" x14ac:dyDescent="0.55000000000000004">
      <c r="A255" s="12"/>
      <c r="B255" s="13"/>
      <c r="C255" s="10"/>
      <c r="D255" s="10"/>
      <c r="E255" s="7"/>
      <c r="F255" s="22"/>
      <c r="G255" s="6">
        <f>SUM(E$9:$E255)-SUM(F$9:$F255)</f>
        <v>0</v>
      </c>
    </row>
    <row r="256" spans="1:7" ht="28.8" x14ac:dyDescent="0.55000000000000004">
      <c r="A256" s="12"/>
      <c r="B256" s="13"/>
      <c r="C256" s="10"/>
      <c r="D256" s="10"/>
      <c r="E256" s="7"/>
      <c r="F256" s="22"/>
      <c r="G256" s="6">
        <f>SUM(E$9:$E256)-SUM(F$9:$F256)</f>
        <v>0</v>
      </c>
    </row>
    <row r="257" spans="1:7" ht="28.8" x14ac:dyDescent="0.55000000000000004">
      <c r="A257" s="12"/>
      <c r="B257" s="13"/>
      <c r="C257" s="10"/>
      <c r="D257" s="10"/>
      <c r="E257" s="7"/>
      <c r="F257" s="22"/>
      <c r="G257" s="6">
        <f>SUM(E$9:$E257)-SUM(F$9:$F257)</f>
        <v>0</v>
      </c>
    </row>
    <row r="258" spans="1:7" ht="28.8" x14ac:dyDescent="0.55000000000000004">
      <c r="A258" s="12"/>
      <c r="B258" s="13"/>
      <c r="C258" s="10"/>
      <c r="D258" s="10"/>
      <c r="E258" s="7"/>
      <c r="F258" s="22"/>
      <c r="G258" s="6">
        <f>SUM(E$9:$E258)-SUM(F$9:$F258)</f>
        <v>0</v>
      </c>
    </row>
    <row r="259" spans="1:7" ht="28.8" x14ac:dyDescent="0.55000000000000004">
      <c r="A259" s="12"/>
      <c r="B259" s="13"/>
      <c r="C259" s="10"/>
      <c r="D259" s="10"/>
      <c r="E259" s="7"/>
      <c r="F259" s="22"/>
      <c r="G259" s="6">
        <f>SUM(E$9:$E259)-SUM(F$9:$F259)</f>
        <v>0</v>
      </c>
    </row>
    <row r="260" spans="1:7" ht="28.8" x14ac:dyDescent="0.55000000000000004">
      <c r="A260" s="12"/>
      <c r="B260" s="13"/>
      <c r="C260" s="10"/>
      <c r="D260" s="10"/>
      <c r="E260" s="7"/>
      <c r="F260" s="22"/>
      <c r="G260" s="6">
        <f>SUM(E$9:$E260)-SUM(F$9:$F260)</f>
        <v>0</v>
      </c>
    </row>
    <row r="261" spans="1:7" ht="28.8" x14ac:dyDescent="0.55000000000000004">
      <c r="A261" s="12"/>
      <c r="B261" s="13"/>
      <c r="C261" s="10"/>
      <c r="D261" s="10"/>
      <c r="E261" s="7"/>
      <c r="F261" s="22"/>
      <c r="G261" s="6">
        <f>SUM(E$9:$E261)-SUM(F$9:$F261)</f>
        <v>0</v>
      </c>
    </row>
    <row r="262" spans="1:7" ht="28.8" x14ac:dyDescent="0.55000000000000004">
      <c r="A262" s="12"/>
      <c r="B262" s="13"/>
      <c r="C262" s="10"/>
      <c r="D262" s="10"/>
      <c r="E262" s="7"/>
      <c r="F262" s="22"/>
      <c r="G262" s="6">
        <f>SUM(E$9:$E262)-SUM(F$9:$F262)</f>
        <v>0</v>
      </c>
    </row>
    <row r="263" spans="1:7" ht="28.8" x14ac:dyDescent="0.55000000000000004">
      <c r="A263" s="12"/>
      <c r="B263" s="13"/>
      <c r="C263" s="10"/>
      <c r="D263" s="10"/>
      <c r="E263" s="7"/>
      <c r="F263" s="22"/>
      <c r="G263" s="6">
        <f>SUM(E$9:$E263)-SUM(F$9:$F263)</f>
        <v>0</v>
      </c>
    </row>
    <row r="264" spans="1:7" ht="28.8" x14ac:dyDescent="0.55000000000000004">
      <c r="A264" s="12"/>
      <c r="B264" s="13"/>
      <c r="C264" s="10"/>
      <c r="D264" s="10"/>
      <c r="E264" s="7"/>
      <c r="F264" s="22"/>
      <c r="G264" s="6">
        <f>SUM(E$9:$E264)-SUM(F$9:$F264)</f>
        <v>0</v>
      </c>
    </row>
    <row r="265" spans="1:7" ht="28.8" x14ac:dyDescent="0.55000000000000004">
      <c r="A265" s="12"/>
      <c r="B265" s="13"/>
      <c r="C265" s="10"/>
      <c r="D265" s="10"/>
      <c r="E265" s="7"/>
      <c r="F265" s="22"/>
      <c r="G265" s="6">
        <f>SUM(E$9:$E265)-SUM(F$9:$F265)</f>
        <v>0</v>
      </c>
    </row>
    <row r="266" spans="1:7" ht="28.8" x14ac:dyDescent="0.55000000000000004">
      <c r="A266" s="12"/>
      <c r="B266" s="13"/>
      <c r="C266" s="10"/>
      <c r="D266" s="10"/>
      <c r="E266" s="7"/>
      <c r="F266" s="22"/>
      <c r="G266" s="6">
        <f>SUM(E$9:$E266)-SUM(F$9:$F266)</f>
        <v>0</v>
      </c>
    </row>
    <row r="267" spans="1:7" ht="28.8" x14ac:dyDescent="0.55000000000000004">
      <c r="A267" s="12"/>
      <c r="B267" s="13"/>
      <c r="C267" s="10"/>
      <c r="D267" s="10"/>
      <c r="E267" s="7"/>
      <c r="F267" s="22"/>
      <c r="G267" s="6">
        <f>SUM(E$9:$E267)-SUM(F$9:$F267)</f>
        <v>0</v>
      </c>
    </row>
    <row r="268" spans="1:7" ht="28.8" x14ac:dyDescent="0.55000000000000004">
      <c r="A268" s="12"/>
      <c r="B268" s="13"/>
      <c r="C268" s="10"/>
      <c r="D268" s="10"/>
      <c r="E268" s="7"/>
      <c r="F268" s="22"/>
      <c r="G268" s="6">
        <f>SUM(E$9:$E268)-SUM(F$9:$F268)</f>
        <v>0</v>
      </c>
    </row>
    <row r="269" spans="1:7" ht="28.8" x14ac:dyDescent="0.55000000000000004">
      <c r="A269" s="12"/>
      <c r="B269" s="13"/>
      <c r="C269" s="10"/>
      <c r="D269" s="10"/>
      <c r="E269" s="7"/>
      <c r="F269" s="22"/>
      <c r="G269" s="6">
        <f>SUM(E$9:$E269)-SUM(F$9:$F269)</f>
        <v>0</v>
      </c>
    </row>
    <row r="270" spans="1:7" ht="28.8" x14ac:dyDescent="0.55000000000000004">
      <c r="A270" s="12"/>
      <c r="B270" s="13"/>
      <c r="C270" s="10"/>
      <c r="D270" s="10"/>
      <c r="E270" s="7"/>
      <c r="F270" s="22"/>
      <c r="G270" s="6">
        <f>SUM(E$9:$E270)-SUM(F$9:$F270)</f>
        <v>0</v>
      </c>
    </row>
    <row r="271" spans="1:7" ht="28.8" x14ac:dyDescent="0.55000000000000004">
      <c r="A271" s="12"/>
      <c r="B271" s="13"/>
      <c r="C271" s="10"/>
      <c r="D271" s="10"/>
      <c r="E271" s="7"/>
      <c r="F271" s="22"/>
      <c r="G271" s="6">
        <f>SUM(E$9:$E271)-SUM(F$9:$F271)</f>
        <v>0</v>
      </c>
    </row>
    <row r="272" spans="1:7" ht="28.8" x14ac:dyDescent="0.55000000000000004">
      <c r="A272" s="12"/>
      <c r="B272" s="13"/>
      <c r="C272" s="10"/>
      <c r="D272" s="10"/>
      <c r="E272" s="7"/>
      <c r="F272" s="22"/>
      <c r="G272" s="6">
        <f>SUM(E$9:$E272)-SUM(F$9:$F272)</f>
        <v>0</v>
      </c>
    </row>
    <row r="273" spans="1:7" ht="28.8" x14ac:dyDescent="0.55000000000000004">
      <c r="A273" s="12"/>
      <c r="B273" s="13"/>
      <c r="C273" s="10"/>
      <c r="D273" s="10"/>
      <c r="E273" s="7"/>
      <c r="F273" s="22"/>
      <c r="G273" s="6">
        <f>SUM(E$9:$E273)-SUM(F$9:$F273)</f>
        <v>0</v>
      </c>
    </row>
    <row r="274" spans="1:7" ht="28.8" x14ac:dyDescent="0.55000000000000004">
      <c r="A274" s="12"/>
      <c r="B274" s="13"/>
      <c r="C274" s="10"/>
      <c r="D274" s="10"/>
      <c r="E274" s="7"/>
      <c r="F274" s="22"/>
      <c r="G274" s="6">
        <f>SUM(E$9:$E274)-SUM(F$9:$F274)</f>
        <v>0</v>
      </c>
    </row>
    <row r="275" spans="1:7" ht="28.8" x14ac:dyDescent="0.55000000000000004">
      <c r="A275" s="12"/>
      <c r="B275" s="13"/>
      <c r="C275" s="10"/>
      <c r="D275" s="10"/>
      <c r="E275" s="7"/>
      <c r="F275" s="22"/>
      <c r="G275" s="6">
        <f>SUM(E$9:$E275)-SUM(F$9:$F275)</f>
        <v>0</v>
      </c>
    </row>
    <row r="276" spans="1:7" ht="28.8" x14ac:dyDescent="0.55000000000000004">
      <c r="A276" s="12"/>
      <c r="B276" s="13"/>
      <c r="C276" s="10"/>
      <c r="D276" s="10"/>
      <c r="E276" s="7"/>
      <c r="F276" s="22"/>
      <c r="G276" s="6">
        <f>SUM(E$9:$E276)-SUM(F$9:$F276)</f>
        <v>0</v>
      </c>
    </row>
    <row r="277" spans="1:7" ht="28.8" x14ac:dyDescent="0.55000000000000004">
      <c r="A277" s="12"/>
      <c r="B277" s="13"/>
      <c r="C277" s="10"/>
      <c r="D277" s="10"/>
      <c r="E277" s="7"/>
      <c r="F277" s="22"/>
      <c r="G277" s="6">
        <f>SUM(E$9:$E277)-SUM(F$9:$F277)</f>
        <v>0</v>
      </c>
    </row>
    <row r="278" spans="1:7" ht="28.8" x14ac:dyDescent="0.55000000000000004">
      <c r="A278" s="12"/>
      <c r="B278" s="13"/>
      <c r="C278" s="10"/>
      <c r="D278" s="10"/>
      <c r="E278" s="7"/>
      <c r="F278" s="22"/>
      <c r="G278" s="6">
        <f>SUM(E$9:$E278)-SUM(F$9:$F278)</f>
        <v>0</v>
      </c>
    </row>
    <row r="279" spans="1:7" ht="28.8" x14ac:dyDescent="0.55000000000000004">
      <c r="A279" s="12"/>
      <c r="B279" s="13"/>
      <c r="C279" s="10"/>
      <c r="D279" s="10"/>
      <c r="E279" s="7"/>
      <c r="F279" s="22"/>
      <c r="G279" s="6">
        <f>SUM(E$9:$E279)-SUM(F$9:$F279)</f>
        <v>0</v>
      </c>
    </row>
    <row r="280" spans="1:7" ht="28.8" x14ac:dyDescent="0.55000000000000004">
      <c r="A280" s="12"/>
      <c r="B280" s="13"/>
      <c r="C280" s="10"/>
      <c r="D280" s="10"/>
      <c r="E280" s="7"/>
      <c r="F280" s="22"/>
      <c r="G280" s="6">
        <f>SUM(E$9:$E280)-SUM(F$9:$F280)</f>
        <v>0</v>
      </c>
    </row>
    <row r="281" spans="1:7" ht="28.8" x14ac:dyDescent="0.55000000000000004">
      <c r="A281" s="12"/>
      <c r="B281" s="13"/>
      <c r="C281" s="10"/>
      <c r="D281" s="10"/>
      <c r="E281" s="7"/>
      <c r="F281" s="22"/>
      <c r="G281" s="6">
        <f>SUM(E$9:$E281)-SUM(F$9:$F281)</f>
        <v>0</v>
      </c>
    </row>
    <row r="282" spans="1:7" ht="28.8" x14ac:dyDescent="0.55000000000000004">
      <c r="A282" s="12"/>
      <c r="B282" s="13"/>
      <c r="C282" s="10"/>
      <c r="D282" s="10"/>
      <c r="E282" s="7"/>
      <c r="F282" s="22"/>
      <c r="G282" s="6">
        <f>SUM(E$9:$E282)-SUM(F$9:$F282)</f>
        <v>0</v>
      </c>
    </row>
    <row r="283" spans="1:7" ht="28.8" x14ac:dyDescent="0.55000000000000004">
      <c r="A283" s="12"/>
      <c r="B283" s="13"/>
      <c r="C283" s="10"/>
      <c r="D283" s="10"/>
      <c r="E283" s="7"/>
      <c r="F283" s="22"/>
      <c r="G283" s="6">
        <f>SUM(E$9:$E283)-SUM(F$9:$F283)</f>
        <v>0</v>
      </c>
    </row>
    <row r="284" spans="1:7" ht="28.8" x14ac:dyDescent="0.55000000000000004">
      <c r="A284" s="12"/>
      <c r="B284" s="13"/>
      <c r="C284" s="10"/>
      <c r="D284" s="10"/>
      <c r="E284" s="7"/>
      <c r="F284" s="22"/>
      <c r="G284" s="6">
        <f>SUM(E$9:$E284)-SUM(F$9:$F284)</f>
        <v>0</v>
      </c>
    </row>
    <row r="285" spans="1:7" ht="28.8" x14ac:dyDescent="0.55000000000000004">
      <c r="A285" s="12"/>
      <c r="B285" s="13"/>
      <c r="C285" s="10"/>
      <c r="D285" s="10"/>
      <c r="E285" s="7"/>
      <c r="F285" s="22"/>
      <c r="G285" s="6">
        <f>SUM(E$9:$E285)-SUM(F$9:$F285)</f>
        <v>0</v>
      </c>
    </row>
    <row r="286" spans="1:7" ht="28.8" x14ac:dyDescent="0.55000000000000004">
      <c r="A286" s="12"/>
      <c r="B286" s="13"/>
      <c r="C286" s="10"/>
      <c r="D286" s="10"/>
      <c r="E286" s="7"/>
      <c r="F286" s="22"/>
      <c r="G286" s="6">
        <f>SUM(E$9:$E286)-SUM(F$9:$F286)</f>
        <v>0</v>
      </c>
    </row>
    <row r="287" spans="1:7" ht="28.8" x14ac:dyDescent="0.55000000000000004">
      <c r="A287" s="12"/>
      <c r="B287" s="13"/>
      <c r="C287" s="10"/>
      <c r="D287" s="10"/>
      <c r="E287" s="7"/>
      <c r="F287" s="22"/>
      <c r="G287" s="6">
        <f>SUM(E$9:$E287)-SUM(F$9:$F287)</f>
        <v>0</v>
      </c>
    </row>
    <row r="288" spans="1:7" ht="28.8" x14ac:dyDescent="0.55000000000000004">
      <c r="A288" s="12"/>
      <c r="B288" s="13"/>
      <c r="C288" s="10"/>
      <c r="D288" s="10"/>
      <c r="E288" s="7"/>
      <c r="F288" s="22"/>
      <c r="G288" s="6">
        <f>SUM(E$9:$E288)-SUM(F$9:$F288)</f>
        <v>0</v>
      </c>
    </row>
    <row r="289" spans="1:7" ht="28.8" x14ac:dyDescent="0.55000000000000004">
      <c r="A289" s="12"/>
      <c r="B289" s="13"/>
      <c r="C289" s="10"/>
      <c r="D289" s="10"/>
      <c r="E289" s="7"/>
      <c r="F289" s="22"/>
      <c r="G289" s="6">
        <f>SUM(E$9:$E289)-SUM(F$9:$F289)</f>
        <v>0</v>
      </c>
    </row>
    <row r="290" spans="1:7" ht="28.8" x14ac:dyDescent="0.55000000000000004">
      <c r="A290" s="12"/>
      <c r="B290" s="13"/>
      <c r="C290" s="10"/>
      <c r="D290" s="10"/>
      <c r="E290" s="7"/>
      <c r="F290" s="22"/>
      <c r="G290" s="6">
        <f>SUM(E$9:$E290)-SUM(F$9:$F290)</f>
        <v>0</v>
      </c>
    </row>
    <row r="291" spans="1:7" ht="28.8" x14ac:dyDescent="0.55000000000000004">
      <c r="A291" s="12"/>
      <c r="B291" s="13"/>
      <c r="C291" s="10"/>
      <c r="D291" s="10"/>
      <c r="E291" s="7"/>
      <c r="F291" s="22"/>
      <c r="G291" s="6">
        <f>SUM(E$9:$E291)-SUM(F$9:$F291)</f>
        <v>0</v>
      </c>
    </row>
    <row r="292" spans="1:7" ht="28.8" x14ac:dyDescent="0.55000000000000004">
      <c r="A292" s="12"/>
      <c r="B292" s="13"/>
      <c r="C292" s="10"/>
      <c r="D292" s="10"/>
      <c r="E292" s="7"/>
      <c r="F292" s="22"/>
      <c r="G292" s="6">
        <f>SUM(E$9:$E292)-SUM(F$9:$F292)</f>
        <v>0</v>
      </c>
    </row>
    <row r="293" spans="1:7" ht="28.8" x14ac:dyDescent="0.55000000000000004">
      <c r="A293" s="12"/>
      <c r="B293" s="13"/>
      <c r="C293" s="10"/>
      <c r="D293" s="10"/>
      <c r="E293" s="7"/>
      <c r="F293" s="22"/>
      <c r="G293" s="6">
        <f>SUM(E$9:$E293)-SUM(F$9:$F293)</f>
        <v>0</v>
      </c>
    </row>
    <row r="294" spans="1:7" ht="28.8" x14ac:dyDescent="0.55000000000000004">
      <c r="A294" s="12"/>
      <c r="B294" s="13"/>
      <c r="C294" s="10"/>
      <c r="D294" s="10"/>
      <c r="E294" s="7"/>
      <c r="F294" s="22"/>
      <c r="G294" s="6">
        <f>SUM(E$9:$E294)-SUM(F$9:$F294)</f>
        <v>0</v>
      </c>
    </row>
    <row r="295" spans="1:7" ht="28.8" x14ac:dyDescent="0.55000000000000004">
      <c r="A295" s="12"/>
      <c r="B295" s="13"/>
      <c r="C295" s="10"/>
      <c r="D295" s="10"/>
      <c r="E295" s="7"/>
      <c r="F295" s="22"/>
      <c r="G295" s="6">
        <f>SUM(E$9:$E295)-SUM(F$9:$F295)</f>
        <v>0</v>
      </c>
    </row>
    <row r="296" spans="1:7" ht="28.8" x14ac:dyDescent="0.55000000000000004">
      <c r="A296" s="12"/>
      <c r="B296" s="13"/>
      <c r="C296" s="10"/>
      <c r="D296" s="10"/>
      <c r="E296" s="7"/>
      <c r="F296" s="22"/>
      <c r="G296" s="6">
        <f>SUM(E$9:$E296)-SUM(F$9:$F296)</f>
        <v>0</v>
      </c>
    </row>
    <row r="297" spans="1:7" ht="28.8" x14ac:dyDescent="0.55000000000000004">
      <c r="A297" s="12"/>
      <c r="B297" s="13"/>
      <c r="C297" s="10"/>
      <c r="D297" s="10"/>
      <c r="E297" s="7"/>
      <c r="F297" s="22"/>
      <c r="G297" s="6">
        <f>SUM(E$9:$E297)-SUM(F$9:$F297)</f>
        <v>0</v>
      </c>
    </row>
    <row r="298" spans="1:7" ht="28.8" x14ac:dyDescent="0.55000000000000004">
      <c r="A298" s="12"/>
      <c r="B298" s="13"/>
      <c r="C298" s="10"/>
      <c r="D298" s="10"/>
      <c r="E298" s="7"/>
      <c r="F298" s="22"/>
      <c r="G298" s="6">
        <f>SUM(E$9:$E298)-SUM(F$9:$F298)</f>
        <v>0</v>
      </c>
    </row>
    <row r="299" spans="1:7" ht="28.8" x14ac:dyDescent="0.55000000000000004">
      <c r="A299" s="12"/>
      <c r="B299" s="13"/>
      <c r="C299" s="10"/>
      <c r="D299" s="10"/>
      <c r="E299" s="7"/>
      <c r="F299" s="22"/>
      <c r="G299" s="6">
        <f>SUM(E$9:$E299)-SUM(F$9:$F299)</f>
        <v>0</v>
      </c>
    </row>
    <row r="300" spans="1:7" ht="28.8" x14ac:dyDescent="0.55000000000000004">
      <c r="A300" s="12"/>
      <c r="B300" s="13"/>
      <c r="C300" s="10"/>
      <c r="D300" s="10"/>
      <c r="E300" s="7"/>
      <c r="F300" s="22"/>
      <c r="G300" s="6">
        <f>SUM(E$9:$E300)-SUM(F$9:$F300)</f>
        <v>0</v>
      </c>
    </row>
    <row r="301" spans="1:7" ht="28.8" x14ac:dyDescent="0.55000000000000004">
      <c r="A301" s="12"/>
      <c r="B301" s="13"/>
      <c r="C301" s="10"/>
      <c r="D301" s="10"/>
      <c r="E301" s="7"/>
      <c r="F301" s="22"/>
      <c r="G301" s="6">
        <f>SUM(E$9:$E301)-SUM(F$9:$F301)</f>
        <v>0</v>
      </c>
    </row>
    <row r="302" spans="1:7" ht="28.8" x14ac:dyDescent="0.55000000000000004">
      <c r="A302" s="12"/>
      <c r="B302" s="13"/>
      <c r="C302" s="10"/>
      <c r="D302" s="10"/>
      <c r="E302" s="7"/>
      <c r="F302" s="22"/>
      <c r="G302" s="6">
        <f>SUM(E$9:$E302)-SUM(F$9:$F302)</f>
        <v>0</v>
      </c>
    </row>
    <row r="303" spans="1:7" ht="28.8" x14ac:dyDescent="0.55000000000000004">
      <c r="A303" s="12"/>
      <c r="B303" s="13"/>
      <c r="C303" s="10"/>
      <c r="D303" s="10"/>
      <c r="E303" s="7"/>
      <c r="F303" s="22"/>
      <c r="G303" s="6">
        <f>SUM(E$9:$E303)-SUM(F$9:$F303)</f>
        <v>0</v>
      </c>
    </row>
    <row r="304" spans="1:7" ht="28.8" x14ac:dyDescent="0.55000000000000004">
      <c r="A304" s="12"/>
      <c r="B304" s="13"/>
      <c r="C304" s="10"/>
      <c r="D304" s="10"/>
      <c r="E304" s="7"/>
      <c r="F304" s="22"/>
      <c r="G304" s="6">
        <f>SUM(E$9:$E304)-SUM(F$9:$F304)</f>
        <v>0</v>
      </c>
    </row>
    <row r="305" spans="1:7" ht="28.8" x14ac:dyDescent="0.55000000000000004">
      <c r="A305" s="12"/>
      <c r="B305" s="13"/>
      <c r="C305" s="10"/>
      <c r="D305" s="10"/>
      <c r="E305" s="7"/>
      <c r="F305" s="22"/>
      <c r="G305" s="6">
        <f>SUM(E$9:$E305)-SUM(F$9:$F305)</f>
        <v>0</v>
      </c>
    </row>
    <row r="306" spans="1:7" ht="28.8" x14ac:dyDescent="0.55000000000000004">
      <c r="A306" s="12"/>
      <c r="B306" s="13"/>
      <c r="C306" s="10"/>
      <c r="D306" s="10"/>
      <c r="E306" s="7"/>
      <c r="F306" s="22"/>
      <c r="G306" s="6">
        <f>SUM(E$9:$E306)-SUM(F$9:$F306)</f>
        <v>0</v>
      </c>
    </row>
    <row r="307" spans="1:7" ht="28.8" x14ac:dyDescent="0.55000000000000004">
      <c r="A307" s="12"/>
      <c r="B307" s="13"/>
      <c r="C307" s="10"/>
      <c r="D307" s="10"/>
      <c r="E307" s="7"/>
      <c r="F307" s="22"/>
      <c r="G307" s="6">
        <f>SUM(E$9:$E307)-SUM(F$9:$F307)</f>
        <v>0</v>
      </c>
    </row>
    <row r="308" spans="1:7" ht="28.8" x14ac:dyDescent="0.55000000000000004">
      <c r="A308" s="12"/>
      <c r="B308" s="13"/>
      <c r="C308" s="10"/>
      <c r="D308" s="10"/>
      <c r="E308" s="7"/>
      <c r="F308" s="22"/>
      <c r="G308" s="6">
        <f>SUM(E$9:$E308)-SUM(F$9:$F308)</f>
        <v>0</v>
      </c>
    </row>
    <row r="309" spans="1:7" ht="28.8" x14ac:dyDescent="0.55000000000000004">
      <c r="A309" s="12"/>
      <c r="B309" s="13"/>
      <c r="C309" s="10"/>
      <c r="D309" s="10"/>
      <c r="E309" s="7"/>
      <c r="F309" s="22"/>
      <c r="G309" s="6">
        <f>SUM(E$9:$E309)-SUM(F$9:$F309)</f>
        <v>0</v>
      </c>
    </row>
    <row r="310" spans="1:7" ht="28.8" x14ac:dyDescent="0.55000000000000004">
      <c r="A310" s="12"/>
      <c r="B310" s="13"/>
      <c r="C310" s="10"/>
      <c r="D310" s="10"/>
      <c r="E310" s="7"/>
      <c r="F310" s="22"/>
      <c r="G310" s="6">
        <f>SUM(E$9:$E310)-SUM(F$9:$F310)</f>
        <v>0</v>
      </c>
    </row>
    <row r="311" spans="1:7" ht="28.8" x14ac:dyDescent="0.55000000000000004">
      <c r="A311" s="12"/>
      <c r="B311" s="13"/>
      <c r="C311" s="10"/>
      <c r="D311" s="10"/>
      <c r="E311" s="7"/>
      <c r="F311" s="22"/>
      <c r="G311" s="6">
        <f>SUM(E$9:$E311)-SUM(F$9:$F311)</f>
        <v>0</v>
      </c>
    </row>
    <row r="312" spans="1:7" ht="28.8" x14ac:dyDescent="0.55000000000000004">
      <c r="A312" s="12"/>
      <c r="B312" s="13"/>
      <c r="C312" s="10"/>
      <c r="D312" s="10"/>
      <c r="E312" s="7"/>
      <c r="F312" s="22"/>
      <c r="G312" s="6">
        <f>SUM(E$9:$E312)-SUM(F$9:$F312)</f>
        <v>0</v>
      </c>
    </row>
    <row r="313" spans="1:7" ht="28.8" x14ac:dyDescent="0.55000000000000004">
      <c r="A313" s="12"/>
      <c r="B313" s="13"/>
      <c r="C313" s="10"/>
      <c r="D313" s="10"/>
      <c r="E313" s="7"/>
      <c r="F313" s="22"/>
      <c r="G313" s="6">
        <f>SUM(E$9:$E313)-SUM(F$9:$F313)</f>
        <v>0</v>
      </c>
    </row>
    <row r="314" spans="1:7" ht="28.8" x14ac:dyDescent="0.55000000000000004">
      <c r="A314" s="12"/>
      <c r="B314" s="13"/>
      <c r="C314" s="10"/>
      <c r="D314" s="10"/>
      <c r="E314" s="7"/>
      <c r="F314" s="22"/>
      <c r="G314" s="6">
        <f>SUM(E$9:$E314)-SUM(F$9:$F314)</f>
        <v>0</v>
      </c>
    </row>
    <row r="315" spans="1:7" ht="28.8" x14ac:dyDescent="0.55000000000000004">
      <c r="A315" s="12"/>
      <c r="B315" s="13"/>
      <c r="C315" s="10"/>
      <c r="D315" s="10"/>
      <c r="E315" s="7"/>
      <c r="F315" s="22"/>
      <c r="G315" s="6">
        <f>SUM(E$9:$E315)-SUM(F$9:$F315)</f>
        <v>0</v>
      </c>
    </row>
    <row r="316" spans="1:7" ht="28.8" x14ac:dyDescent="0.55000000000000004">
      <c r="A316" s="12"/>
      <c r="B316" s="13"/>
      <c r="C316" s="10"/>
      <c r="D316" s="10"/>
      <c r="E316" s="7"/>
      <c r="F316" s="22"/>
      <c r="G316" s="6">
        <f>SUM(E$9:$E316)-SUM(F$9:$F316)</f>
        <v>0</v>
      </c>
    </row>
    <row r="317" spans="1:7" ht="28.8" x14ac:dyDescent="0.55000000000000004">
      <c r="A317" s="12"/>
      <c r="B317" s="13"/>
      <c r="C317" s="10"/>
      <c r="D317" s="10"/>
      <c r="E317" s="7"/>
      <c r="F317" s="22"/>
      <c r="G317" s="6">
        <f>SUM(E$9:$E317)-SUM(F$9:$F317)</f>
        <v>0</v>
      </c>
    </row>
    <row r="318" spans="1:7" ht="28.8" x14ac:dyDescent="0.55000000000000004">
      <c r="A318" s="12"/>
      <c r="B318" s="13"/>
      <c r="C318" s="10"/>
      <c r="D318" s="10"/>
      <c r="E318" s="7"/>
      <c r="F318" s="22"/>
      <c r="G318" s="6">
        <f>SUM(E$9:$E318)-SUM(F$9:$F318)</f>
        <v>0</v>
      </c>
    </row>
    <row r="319" spans="1:7" ht="28.8" x14ac:dyDescent="0.55000000000000004">
      <c r="A319" s="12"/>
      <c r="B319" s="13"/>
      <c r="C319" s="10"/>
      <c r="D319" s="10"/>
      <c r="E319" s="7"/>
      <c r="F319" s="22"/>
      <c r="G319" s="6">
        <f>SUM(E$9:$E319)-SUM(F$9:$F319)</f>
        <v>0</v>
      </c>
    </row>
    <row r="320" spans="1:7" ht="28.8" x14ac:dyDescent="0.55000000000000004">
      <c r="A320" s="12"/>
      <c r="B320" s="13"/>
      <c r="C320" s="10"/>
      <c r="D320" s="10"/>
      <c r="E320" s="7"/>
      <c r="F320" s="22"/>
      <c r="G320" s="6">
        <f>SUM(E$9:$E320)-SUM(F$9:$F320)</f>
        <v>0</v>
      </c>
    </row>
    <row r="321" spans="1:7" ht="28.8" x14ac:dyDescent="0.55000000000000004">
      <c r="A321" s="12"/>
      <c r="B321" s="13"/>
      <c r="C321" s="10"/>
      <c r="D321" s="10"/>
      <c r="E321" s="7"/>
      <c r="F321" s="22"/>
      <c r="G321" s="6">
        <f>SUM(E$9:$E321)-SUM(F$9:$F321)</f>
        <v>0</v>
      </c>
    </row>
    <row r="322" spans="1:7" ht="28.8" x14ac:dyDescent="0.55000000000000004">
      <c r="A322" s="12"/>
      <c r="B322" s="13"/>
      <c r="C322" s="10"/>
      <c r="D322" s="10"/>
      <c r="E322" s="7"/>
      <c r="F322" s="22"/>
      <c r="G322" s="6">
        <f>SUM(E$9:$E322)-SUM(F$9:$F322)</f>
        <v>0</v>
      </c>
    </row>
    <row r="323" spans="1:7" ht="28.8" x14ac:dyDescent="0.55000000000000004">
      <c r="A323" s="12"/>
      <c r="B323" s="13"/>
      <c r="C323" s="10"/>
      <c r="D323" s="10"/>
      <c r="E323" s="7"/>
      <c r="F323" s="22"/>
      <c r="G323" s="6">
        <f>SUM(E$9:$E323)-SUM(F$9:$F323)</f>
        <v>0</v>
      </c>
    </row>
    <row r="324" spans="1:7" ht="28.8" x14ac:dyDescent="0.55000000000000004">
      <c r="A324" s="12"/>
      <c r="B324" s="13"/>
      <c r="C324" s="10"/>
      <c r="D324" s="10"/>
      <c r="E324" s="7"/>
      <c r="F324" s="22"/>
      <c r="G324" s="6">
        <f>SUM(E$9:$E324)-SUM(F$9:$F324)</f>
        <v>0</v>
      </c>
    </row>
    <row r="325" spans="1:7" ht="28.8" x14ac:dyDescent="0.55000000000000004">
      <c r="A325" s="12"/>
      <c r="B325" s="13"/>
      <c r="C325" s="10"/>
      <c r="D325" s="10"/>
      <c r="E325" s="7"/>
      <c r="F325" s="22"/>
      <c r="G325" s="6">
        <f>SUM(E$9:$E325)-SUM(F$9:$F325)</f>
        <v>0</v>
      </c>
    </row>
    <row r="326" spans="1:7" ht="28.8" x14ac:dyDescent="0.55000000000000004">
      <c r="A326" s="12"/>
      <c r="B326" s="13"/>
      <c r="C326" s="10"/>
      <c r="D326" s="10"/>
      <c r="E326" s="7"/>
      <c r="F326" s="22"/>
      <c r="G326" s="6">
        <f>SUM(E$9:$E326)-SUM(F$9:$F326)</f>
        <v>0</v>
      </c>
    </row>
    <row r="327" spans="1:7" ht="28.8" x14ac:dyDescent="0.55000000000000004">
      <c r="A327" s="12"/>
      <c r="B327" s="13"/>
      <c r="C327" s="10"/>
      <c r="D327" s="10"/>
      <c r="E327" s="7"/>
      <c r="F327" s="22"/>
      <c r="G327" s="6">
        <f>SUM(E$9:$E327)-SUM(F$9:$F327)</f>
        <v>0</v>
      </c>
    </row>
    <row r="328" spans="1:7" ht="28.8" x14ac:dyDescent="0.55000000000000004">
      <c r="A328" s="12"/>
      <c r="B328" s="13"/>
      <c r="C328" s="10"/>
      <c r="D328" s="10"/>
      <c r="E328" s="7"/>
      <c r="F328" s="22"/>
      <c r="G328" s="6">
        <f>SUM(E$9:$E328)-SUM(F$9:$F328)</f>
        <v>0</v>
      </c>
    </row>
    <row r="329" spans="1:7" ht="28.8" x14ac:dyDescent="0.55000000000000004">
      <c r="A329" s="12"/>
      <c r="B329" s="13"/>
      <c r="C329" s="10"/>
      <c r="D329" s="10"/>
      <c r="E329" s="7"/>
      <c r="F329" s="22"/>
      <c r="G329" s="6">
        <f>SUM(E$9:$E329)-SUM(F$9:$F329)</f>
        <v>0</v>
      </c>
    </row>
    <row r="330" spans="1:7" ht="28.8" x14ac:dyDescent="0.55000000000000004">
      <c r="A330" s="12"/>
      <c r="B330" s="13"/>
      <c r="C330" s="10"/>
      <c r="D330" s="10"/>
      <c r="E330" s="7"/>
      <c r="F330" s="22"/>
      <c r="G330" s="6">
        <f>SUM(E$9:$E330)-SUM(F$9:$F330)</f>
        <v>0</v>
      </c>
    </row>
    <row r="331" spans="1:7" ht="28.8" x14ac:dyDescent="0.55000000000000004">
      <c r="A331" s="12"/>
      <c r="B331" s="13"/>
      <c r="C331" s="10"/>
      <c r="D331" s="10"/>
      <c r="E331" s="7"/>
      <c r="F331" s="22"/>
      <c r="G331" s="6">
        <f>SUM(E$9:$E331)-SUM(F$9:$F331)</f>
        <v>0</v>
      </c>
    </row>
    <row r="332" spans="1:7" ht="28.8" x14ac:dyDescent="0.55000000000000004">
      <c r="A332" s="12"/>
      <c r="B332" s="13"/>
      <c r="C332" s="10"/>
      <c r="D332" s="10"/>
      <c r="E332" s="7"/>
      <c r="F332" s="22"/>
      <c r="G332" s="6">
        <f>SUM(E$9:$E332)-SUM(F$9:$F332)</f>
        <v>0</v>
      </c>
    </row>
    <row r="333" spans="1:7" ht="28.8" x14ac:dyDescent="0.55000000000000004">
      <c r="A333" s="12"/>
      <c r="B333" s="13"/>
      <c r="C333" s="10"/>
      <c r="D333" s="10"/>
      <c r="E333" s="7"/>
      <c r="F333" s="22"/>
      <c r="G333" s="6">
        <f>SUM(E$9:$E333)-SUM(F$9:$F333)</f>
        <v>0</v>
      </c>
    </row>
    <row r="334" spans="1:7" ht="28.8" x14ac:dyDescent="0.55000000000000004">
      <c r="A334" s="12"/>
      <c r="B334" s="13"/>
      <c r="C334" s="10"/>
      <c r="D334" s="10"/>
      <c r="E334" s="7"/>
      <c r="F334" s="22"/>
      <c r="G334" s="6">
        <f>SUM(E$9:$E334)-SUM(F$9:$F334)</f>
        <v>0</v>
      </c>
    </row>
    <row r="335" spans="1:7" ht="28.8" x14ac:dyDescent="0.55000000000000004">
      <c r="A335" s="12"/>
      <c r="B335" s="13"/>
      <c r="C335" s="10"/>
      <c r="D335" s="10"/>
      <c r="E335" s="7"/>
      <c r="F335" s="22"/>
      <c r="G335" s="6">
        <f>SUM(E$9:$E335)-SUM(F$9:$F335)</f>
        <v>0</v>
      </c>
    </row>
    <row r="336" spans="1:7" ht="28.8" x14ac:dyDescent="0.55000000000000004">
      <c r="A336" s="12"/>
      <c r="B336" s="13"/>
      <c r="C336" s="10"/>
      <c r="D336" s="10"/>
      <c r="E336" s="7"/>
      <c r="F336" s="22"/>
      <c r="G336" s="6">
        <f>SUM(E$9:$E336)-SUM(F$9:$F336)</f>
        <v>0</v>
      </c>
    </row>
    <row r="337" spans="1:7" ht="28.8" x14ac:dyDescent="0.55000000000000004">
      <c r="A337" s="12"/>
      <c r="B337" s="13"/>
      <c r="C337" s="10"/>
      <c r="D337" s="10"/>
      <c r="E337" s="7"/>
      <c r="F337" s="22"/>
      <c r="G337" s="6">
        <f>SUM(E$9:$E337)-SUM(F$9:$F337)</f>
        <v>0</v>
      </c>
    </row>
    <row r="338" spans="1:7" ht="28.8" x14ac:dyDescent="0.55000000000000004">
      <c r="A338" s="12"/>
      <c r="B338" s="13"/>
      <c r="C338" s="10"/>
      <c r="D338" s="10"/>
      <c r="E338" s="7"/>
      <c r="F338" s="22"/>
      <c r="G338" s="6">
        <f>SUM(E$9:$E338)-SUM(F$9:$F338)</f>
        <v>0</v>
      </c>
    </row>
    <row r="339" spans="1:7" ht="28.8" x14ac:dyDescent="0.55000000000000004">
      <c r="A339" s="12"/>
      <c r="B339" s="13"/>
      <c r="C339" s="10"/>
      <c r="D339" s="10"/>
      <c r="E339" s="7"/>
      <c r="F339" s="22"/>
      <c r="G339" s="6">
        <f>SUM(E$9:$E339)-SUM(F$9:$F339)</f>
        <v>0</v>
      </c>
    </row>
    <row r="340" spans="1:7" ht="28.8" x14ac:dyDescent="0.55000000000000004">
      <c r="A340" s="12"/>
      <c r="B340" s="13"/>
      <c r="C340" s="10"/>
      <c r="D340" s="10"/>
      <c r="E340" s="7"/>
      <c r="F340" s="22"/>
      <c r="G340" s="6">
        <f>SUM(E$9:$E340)-SUM(F$9:$F340)</f>
        <v>0</v>
      </c>
    </row>
    <row r="341" spans="1:7" ht="28.8" x14ac:dyDescent="0.55000000000000004">
      <c r="A341" s="12"/>
      <c r="B341" s="13"/>
      <c r="C341" s="10"/>
      <c r="D341" s="10"/>
      <c r="E341" s="7"/>
      <c r="F341" s="22"/>
      <c r="G341" s="6">
        <f>SUM(E$9:$E341)-SUM(F$9:$F341)</f>
        <v>0</v>
      </c>
    </row>
    <row r="342" spans="1:7" ht="28.8" x14ac:dyDescent="0.55000000000000004">
      <c r="A342" s="12"/>
      <c r="B342" s="13"/>
      <c r="C342" s="10"/>
      <c r="D342" s="10"/>
      <c r="E342" s="7"/>
      <c r="F342" s="22"/>
      <c r="G342" s="6">
        <f>SUM(E$9:$E342)-SUM(F$9:$F342)</f>
        <v>0</v>
      </c>
    </row>
    <row r="343" spans="1:7" ht="28.8" x14ac:dyDescent="0.55000000000000004">
      <c r="A343" s="12"/>
      <c r="B343" s="13"/>
      <c r="C343" s="10"/>
      <c r="D343" s="10"/>
      <c r="E343" s="7"/>
      <c r="F343" s="22"/>
      <c r="G343" s="6">
        <f>SUM(E$9:$E343)-SUM(F$9:$F343)</f>
        <v>0</v>
      </c>
    </row>
    <row r="344" spans="1:7" ht="28.8" x14ac:dyDescent="0.55000000000000004">
      <c r="A344" s="12"/>
      <c r="B344" s="13"/>
      <c r="C344" s="10"/>
      <c r="D344" s="10"/>
      <c r="E344" s="7"/>
      <c r="F344" s="22"/>
      <c r="G344" s="6">
        <f>SUM(E$9:$E344)-SUM(F$9:$F344)</f>
        <v>0</v>
      </c>
    </row>
    <row r="345" spans="1:7" ht="28.8" x14ac:dyDescent="0.55000000000000004">
      <c r="A345" s="12"/>
      <c r="B345" s="13"/>
      <c r="C345" s="10"/>
      <c r="D345" s="10"/>
      <c r="E345" s="7"/>
      <c r="F345" s="22"/>
      <c r="G345" s="6">
        <f>SUM(E$9:$E345)-SUM(F$9:$F345)</f>
        <v>0</v>
      </c>
    </row>
    <row r="346" spans="1:7" ht="28.8" x14ac:dyDescent="0.55000000000000004">
      <c r="A346" s="12"/>
      <c r="B346" s="13"/>
      <c r="C346" s="10"/>
      <c r="D346" s="10"/>
      <c r="E346" s="7"/>
      <c r="F346" s="22"/>
      <c r="G346" s="6">
        <f>SUM(E$9:$E346)-SUM(F$9:$F346)</f>
        <v>0</v>
      </c>
    </row>
    <row r="347" spans="1:7" ht="28.8" x14ac:dyDescent="0.55000000000000004">
      <c r="A347" s="12"/>
      <c r="B347" s="13"/>
      <c r="C347" s="10"/>
      <c r="D347" s="10"/>
      <c r="E347" s="7"/>
      <c r="F347" s="22"/>
      <c r="G347" s="6">
        <f>SUM(E$9:$E347)-SUM(F$9:$F347)</f>
        <v>0</v>
      </c>
    </row>
    <row r="348" spans="1:7" ht="28.8" x14ac:dyDescent="0.55000000000000004">
      <c r="A348" s="12"/>
      <c r="B348" s="13"/>
      <c r="C348" s="10"/>
      <c r="D348" s="10"/>
      <c r="E348" s="7"/>
      <c r="F348" s="22"/>
      <c r="G348" s="6">
        <f>SUM(E$9:$E348)-SUM(F$9:$F348)</f>
        <v>0</v>
      </c>
    </row>
    <row r="349" spans="1:7" ht="28.8" x14ac:dyDescent="0.55000000000000004">
      <c r="A349" s="12"/>
      <c r="B349" s="13"/>
      <c r="C349" s="10"/>
      <c r="D349" s="10"/>
      <c r="E349" s="7"/>
      <c r="F349" s="22"/>
      <c r="G349" s="6">
        <f>SUM(E$9:$E349)-SUM(F$9:$F349)</f>
        <v>0</v>
      </c>
    </row>
    <row r="350" spans="1:7" ht="28.8" x14ac:dyDescent="0.55000000000000004">
      <c r="A350" s="12"/>
      <c r="B350" s="13"/>
      <c r="C350" s="10"/>
      <c r="D350" s="10"/>
      <c r="E350" s="7"/>
      <c r="F350" s="22"/>
      <c r="G350" s="6">
        <f>SUM(E$9:$E350)-SUM(F$9:$F350)</f>
        <v>0</v>
      </c>
    </row>
    <row r="351" spans="1:7" ht="28.8" x14ac:dyDescent="0.55000000000000004">
      <c r="A351" s="12"/>
      <c r="B351" s="13"/>
      <c r="C351" s="10"/>
      <c r="D351" s="10"/>
      <c r="E351" s="7"/>
      <c r="F351" s="22"/>
      <c r="G351" s="6">
        <f>SUM(E$9:$E351)-SUM(F$9:$F351)</f>
        <v>0</v>
      </c>
    </row>
    <row r="352" spans="1:7" ht="28.8" x14ac:dyDescent="0.55000000000000004">
      <c r="A352" s="12"/>
      <c r="B352" s="13"/>
      <c r="C352" s="10"/>
      <c r="D352" s="10"/>
      <c r="E352" s="7"/>
      <c r="F352" s="22"/>
      <c r="G352" s="6">
        <f>SUM(E$9:$E352)-SUM(F$9:$F352)</f>
        <v>0</v>
      </c>
    </row>
    <row r="353" spans="1:7" ht="28.8" x14ac:dyDescent="0.55000000000000004">
      <c r="A353" s="12"/>
      <c r="B353" s="13"/>
      <c r="C353" s="10"/>
      <c r="D353" s="10"/>
      <c r="E353" s="7"/>
      <c r="F353" s="22"/>
      <c r="G353" s="6">
        <f>SUM(E$9:$E353)-SUM(F$9:$F353)</f>
        <v>0</v>
      </c>
    </row>
    <row r="354" spans="1:7" ht="28.8" x14ac:dyDescent="0.55000000000000004">
      <c r="A354" s="12"/>
      <c r="B354" s="13"/>
      <c r="C354" s="10"/>
      <c r="D354" s="10"/>
      <c r="E354" s="7"/>
      <c r="F354" s="22"/>
      <c r="G354" s="6">
        <f>SUM(E$9:$E354)-SUM(F$9:$F354)</f>
        <v>0</v>
      </c>
    </row>
    <row r="355" spans="1:7" ht="28.8" x14ac:dyDescent="0.55000000000000004">
      <c r="A355" s="12"/>
      <c r="B355" s="13"/>
      <c r="C355" s="10"/>
      <c r="D355" s="10"/>
      <c r="E355" s="7"/>
      <c r="F355" s="22"/>
      <c r="G355" s="6">
        <f>SUM(E$9:$E355)-SUM(F$9:$F355)</f>
        <v>0</v>
      </c>
    </row>
    <row r="356" spans="1:7" ht="28.8" x14ac:dyDescent="0.55000000000000004">
      <c r="A356" s="12"/>
      <c r="B356" s="13"/>
      <c r="C356" s="10"/>
      <c r="D356" s="10"/>
      <c r="E356" s="7"/>
      <c r="F356" s="22"/>
      <c r="G356" s="6">
        <f>SUM(E$9:$E356)-SUM(F$9:$F356)</f>
        <v>0</v>
      </c>
    </row>
    <row r="357" spans="1:7" ht="28.8" x14ac:dyDescent="0.55000000000000004">
      <c r="A357" s="12"/>
      <c r="B357" s="13"/>
      <c r="C357" s="10"/>
      <c r="D357" s="10"/>
      <c r="E357" s="7"/>
      <c r="F357" s="22"/>
      <c r="G357" s="6">
        <f>SUM(E$9:$E357)-SUM(F$9:$F357)</f>
        <v>0</v>
      </c>
    </row>
    <row r="358" spans="1:7" ht="28.8" x14ac:dyDescent="0.55000000000000004">
      <c r="A358" s="12"/>
      <c r="B358" s="13"/>
      <c r="C358" s="10"/>
      <c r="D358" s="10"/>
      <c r="E358" s="7"/>
      <c r="F358" s="22"/>
      <c r="G358" s="6">
        <f>SUM(E$9:$E358)-SUM(F$9:$F358)</f>
        <v>0</v>
      </c>
    </row>
    <row r="359" spans="1:7" ht="28.8" x14ac:dyDescent="0.55000000000000004">
      <c r="A359" s="12"/>
      <c r="B359" s="13"/>
      <c r="C359" s="10"/>
      <c r="D359" s="10"/>
      <c r="E359" s="7"/>
      <c r="F359" s="22"/>
      <c r="G359" s="6">
        <f>SUM(E$9:$E359)-SUM(F$9:$F359)</f>
        <v>0</v>
      </c>
    </row>
    <row r="360" spans="1:7" ht="28.8" x14ac:dyDescent="0.55000000000000004">
      <c r="A360" s="12"/>
      <c r="B360" s="13"/>
      <c r="C360" s="10"/>
      <c r="D360" s="10"/>
      <c r="E360" s="7"/>
      <c r="F360" s="22"/>
      <c r="G360" s="6">
        <f>SUM(E$9:$E360)-SUM(F$9:$F360)</f>
        <v>0</v>
      </c>
    </row>
    <row r="361" spans="1:7" ht="28.8" x14ac:dyDescent="0.55000000000000004">
      <c r="A361" s="12"/>
      <c r="B361" s="13"/>
      <c r="C361" s="10"/>
      <c r="D361" s="10"/>
      <c r="E361" s="7"/>
      <c r="F361" s="22"/>
      <c r="G361" s="6">
        <f>SUM(E$9:$E361)-SUM(F$9:$F361)</f>
        <v>0</v>
      </c>
    </row>
    <row r="362" spans="1:7" ht="28.8" x14ac:dyDescent="0.55000000000000004">
      <c r="A362" s="12"/>
      <c r="B362" s="13"/>
      <c r="C362" s="10"/>
      <c r="D362" s="10"/>
      <c r="E362" s="7"/>
      <c r="F362" s="22"/>
      <c r="G362" s="6">
        <f>SUM(E$9:$E362)-SUM(F$9:$F362)</f>
        <v>0</v>
      </c>
    </row>
    <row r="363" spans="1:7" ht="28.8" x14ac:dyDescent="0.55000000000000004">
      <c r="A363" s="12"/>
      <c r="B363" s="13"/>
      <c r="C363" s="10"/>
      <c r="D363" s="10"/>
      <c r="E363" s="7"/>
      <c r="F363" s="22"/>
      <c r="G363" s="6">
        <f>SUM(E$9:$E363)-SUM(F$9:$F363)</f>
        <v>0</v>
      </c>
    </row>
    <row r="364" spans="1:7" ht="28.8" x14ac:dyDescent="0.55000000000000004">
      <c r="A364" s="12"/>
      <c r="B364" s="13"/>
      <c r="C364" s="10"/>
      <c r="D364" s="10"/>
      <c r="E364" s="7"/>
      <c r="F364" s="22"/>
      <c r="G364" s="6">
        <f>SUM(E$9:$E364)-SUM(F$9:$F364)</f>
        <v>0</v>
      </c>
    </row>
    <row r="365" spans="1:7" ht="28.8" x14ac:dyDescent="0.55000000000000004">
      <c r="A365" s="12"/>
      <c r="B365" s="13"/>
      <c r="C365" s="10"/>
      <c r="D365" s="10"/>
      <c r="E365" s="7"/>
      <c r="F365" s="22"/>
      <c r="G365" s="6">
        <f>SUM(E$9:$E365)-SUM(F$9:$F365)</f>
        <v>0</v>
      </c>
    </row>
    <row r="366" spans="1:7" ht="28.8" x14ac:dyDescent="0.55000000000000004">
      <c r="A366" s="12"/>
      <c r="B366" s="13"/>
      <c r="C366" s="10"/>
      <c r="D366" s="10"/>
      <c r="E366" s="7"/>
      <c r="F366" s="22"/>
      <c r="G366" s="6">
        <f>SUM(E$9:$E366)-SUM(F$9:$F366)</f>
        <v>0</v>
      </c>
    </row>
    <row r="367" spans="1:7" ht="28.8" x14ac:dyDescent="0.55000000000000004">
      <c r="A367" s="12"/>
      <c r="B367" s="13"/>
      <c r="C367" s="10"/>
      <c r="D367" s="10"/>
      <c r="E367" s="7"/>
      <c r="F367" s="22"/>
      <c r="G367" s="6">
        <f>SUM(E$9:$E367)-SUM(F$9:$F367)</f>
        <v>0</v>
      </c>
    </row>
    <row r="368" spans="1:7" ht="28.8" x14ac:dyDescent="0.55000000000000004">
      <c r="A368" s="12"/>
      <c r="B368" s="13"/>
      <c r="C368" s="10"/>
      <c r="D368" s="10"/>
      <c r="E368" s="7"/>
      <c r="F368" s="22"/>
      <c r="G368" s="6">
        <f>SUM(E$9:$E368)-SUM(F$9:$F368)</f>
        <v>0</v>
      </c>
    </row>
    <row r="369" spans="1:7" ht="28.8" x14ac:dyDescent="0.55000000000000004">
      <c r="A369" s="12"/>
      <c r="B369" s="13"/>
      <c r="C369" s="10"/>
      <c r="D369" s="10"/>
      <c r="E369" s="7"/>
      <c r="F369" s="22"/>
      <c r="G369" s="6">
        <f>SUM(E$9:$E369)-SUM(F$9:$F369)</f>
        <v>0</v>
      </c>
    </row>
    <row r="370" spans="1:7" ht="28.8" x14ac:dyDescent="0.55000000000000004">
      <c r="A370" s="12"/>
      <c r="B370" s="13"/>
      <c r="C370" s="10"/>
      <c r="D370" s="10"/>
      <c r="E370" s="7"/>
      <c r="F370" s="22"/>
      <c r="G370" s="6">
        <f>SUM(E$9:$E370)-SUM(F$9:$F370)</f>
        <v>0</v>
      </c>
    </row>
    <row r="371" spans="1:7" ht="28.8" x14ac:dyDescent="0.55000000000000004">
      <c r="A371" s="12"/>
      <c r="B371" s="13"/>
      <c r="C371" s="10"/>
      <c r="D371" s="10"/>
      <c r="E371" s="7"/>
      <c r="F371" s="22"/>
      <c r="G371" s="6">
        <f>SUM(E$9:$E371)-SUM(F$9:$F371)</f>
        <v>0</v>
      </c>
    </row>
    <row r="372" spans="1:7" ht="28.8" x14ac:dyDescent="0.55000000000000004">
      <c r="A372" s="12"/>
      <c r="B372" s="13"/>
      <c r="C372" s="10"/>
      <c r="D372" s="10"/>
      <c r="E372" s="7"/>
      <c r="F372" s="22"/>
      <c r="G372" s="6">
        <f>SUM(E$9:$E372)-SUM(F$9:$F372)</f>
        <v>0</v>
      </c>
    </row>
    <row r="373" spans="1:7" ht="28.8" x14ac:dyDescent="0.55000000000000004">
      <c r="A373" s="12"/>
      <c r="B373" s="13"/>
      <c r="C373" s="10"/>
      <c r="D373" s="10"/>
      <c r="E373" s="7"/>
      <c r="F373" s="22"/>
      <c r="G373" s="6">
        <f>SUM(E$9:$E373)-SUM(F$9:$F373)</f>
        <v>0</v>
      </c>
    </row>
    <row r="374" spans="1:7" ht="28.8" x14ac:dyDescent="0.55000000000000004">
      <c r="A374" s="12"/>
      <c r="B374" s="13"/>
      <c r="C374" s="10"/>
      <c r="D374" s="10"/>
      <c r="E374" s="7"/>
      <c r="F374" s="22"/>
      <c r="G374" s="6">
        <f>SUM(E$9:$E374)-SUM(F$9:$F374)</f>
        <v>0</v>
      </c>
    </row>
    <row r="375" spans="1:7" ht="28.8" x14ac:dyDescent="0.55000000000000004">
      <c r="A375" s="12"/>
      <c r="B375" s="13"/>
      <c r="C375" s="10"/>
      <c r="D375" s="10"/>
      <c r="E375" s="7"/>
      <c r="F375" s="22"/>
      <c r="G375" s="6">
        <f>SUM(E$9:$E375)-SUM(F$9:$F375)</f>
        <v>0</v>
      </c>
    </row>
    <row r="376" spans="1:7" ht="28.8" x14ac:dyDescent="0.55000000000000004">
      <c r="A376" s="12"/>
      <c r="B376" s="13"/>
      <c r="C376" s="10"/>
      <c r="D376" s="10"/>
      <c r="E376" s="7"/>
      <c r="F376" s="22"/>
      <c r="G376" s="6">
        <f>SUM(E$9:$E376)-SUM(F$9:$F376)</f>
        <v>0</v>
      </c>
    </row>
    <row r="377" spans="1:7" ht="28.8" x14ac:dyDescent="0.55000000000000004">
      <c r="A377" s="12"/>
      <c r="B377" s="13"/>
      <c r="C377" s="10"/>
      <c r="D377" s="10"/>
      <c r="E377" s="7"/>
      <c r="F377" s="22"/>
      <c r="G377" s="6">
        <f>SUM(E$9:$E377)-SUM(F$9:$F377)</f>
        <v>0</v>
      </c>
    </row>
    <row r="378" spans="1:7" ht="28.8" x14ac:dyDescent="0.55000000000000004">
      <c r="A378" s="12"/>
      <c r="B378" s="13"/>
      <c r="C378" s="10"/>
      <c r="D378" s="10"/>
      <c r="E378" s="7"/>
      <c r="F378" s="22"/>
      <c r="G378" s="6">
        <f>SUM(E$9:$E378)-SUM(F$9:$F378)</f>
        <v>0</v>
      </c>
    </row>
    <row r="379" spans="1:7" ht="28.8" x14ac:dyDescent="0.55000000000000004">
      <c r="A379" s="12"/>
      <c r="B379" s="13"/>
      <c r="C379" s="10"/>
      <c r="D379" s="10"/>
      <c r="E379" s="7"/>
      <c r="F379" s="22"/>
      <c r="G379" s="6">
        <f>SUM(E$9:$E379)-SUM(F$9:$F379)</f>
        <v>0</v>
      </c>
    </row>
    <row r="380" spans="1:7" ht="28.8" x14ac:dyDescent="0.55000000000000004">
      <c r="A380" s="12"/>
      <c r="B380" s="13"/>
      <c r="C380" s="10"/>
      <c r="D380" s="10"/>
      <c r="E380" s="7"/>
      <c r="F380" s="22"/>
      <c r="G380" s="6">
        <f>SUM(E$9:$E380)-SUM(F$9:$F380)</f>
        <v>0</v>
      </c>
    </row>
    <row r="381" spans="1:7" ht="28.8" x14ac:dyDescent="0.55000000000000004">
      <c r="A381" s="12"/>
      <c r="B381" s="13"/>
      <c r="C381" s="10"/>
      <c r="D381" s="10"/>
      <c r="E381" s="7"/>
      <c r="F381" s="22"/>
      <c r="G381" s="6">
        <f>SUM(E$9:$E381)-SUM(F$9:$F381)</f>
        <v>0</v>
      </c>
    </row>
    <row r="382" spans="1:7" ht="28.8" x14ac:dyDescent="0.55000000000000004">
      <c r="A382" s="12"/>
      <c r="B382" s="13"/>
      <c r="C382" s="10"/>
      <c r="D382" s="10"/>
      <c r="E382" s="7"/>
      <c r="F382" s="22"/>
      <c r="G382" s="6">
        <f>SUM(E$9:$E382)-SUM(F$9:$F382)</f>
        <v>0</v>
      </c>
    </row>
    <row r="383" spans="1:7" ht="28.8" x14ac:dyDescent="0.55000000000000004">
      <c r="A383" s="12"/>
      <c r="B383" s="13"/>
      <c r="C383" s="10"/>
      <c r="D383" s="10"/>
      <c r="E383" s="7"/>
      <c r="F383" s="22"/>
      <c r="G383" s="6">
        <f>SUM(E$9:$E383)-SUM(F$9:$F383)</f>
        <v>0</v>
      </c>
    </row>
    <row r="384" spans="1:7" ht="28.8" x14ac:dyDescent="0.55000000000000004">
      <c r="A384" s="12"/>
      <c r="B384" s="13"/>
      <c r="C384" s="10"/>
      <c r="D384" s="10"/>
      <c r="E384" s="7"/>
      <c r="F384" s="22"/>
      <c r="G384" s="6">
        <f>SUM(E$9:$E384)-SUM(F$9:$F384)</f>
        <v>0</v>
      </c>
    </row>
    <row r="385" spans="1:7" ht="28.8" x14ac:dyDescent="0.55000000000000004">
      <c r="A385" s="12"/>
      <c r="B385" s="13"/>
      <c r="C385" s="10"/>
      <c r="D385" s="10"/>
      <c r="E385" s="7"/>
      <c r="F385" s="22"/>
      <c r="G385" s="6">
        <f>SUM(E$9:$E385)-SUM(F$9:$F385)</f>
        <v>0</v>
      </c>
    </row>
    <row r="386" spans="1:7" ht="28.8" x14ac:dyDescent="0.55000000000000004">
      <c r="A386" s="12"/>
      <c r="B386" s="13"/>
      <c r="C386" s="10"/>
      <c r="D386" s="10"/>
      <c r="E386" s="7"/>
      <c r="F386" s="22"/>
      <c r="G386" s="6">
        <f>SUM(E$9:$E386)-SUM(F$9:$F386)</f>
        <v>0</v>
      </c>
    </row>
    <row r="387" spans="1:7" ht="28.8" x14ac:dyDescent="0.55000000000000004">
      <c r="A387" s="12"/>
      <c r="B387" s="13"/>
      <c r="C387" s="10"/>
      <c r="D387" s="10"/>
      <c r="E387" s="7"/>
      <c r="F387" s="22"/>
      <c r="G387" s="6">
        <f>SUM(E$9:$E387)-SUM(F$9:$F387)</f>
        <v>0</v>
      </c>
    </row>
    <row r="388" spans="1:7" ht="28.8" x14ac:dyDescent="0.55000000000000004">
      <c r="A388" s="12"/>
      <c r="B388" s="13"/>
      <c r="C388" s="10"/>
      <c r="D388" s="10"/>
      <c r="E388" s="7"/>
      <c r="F388" s="22"/>
      <c r="G388" s="6">
        <f>SUM(E$9:$E388)-SUM(F$9:$F388)</f>
        <v>0</v>
      </c>
    </row>
    <row r="389" spans="1:7" ht="28.8" x14ac:dyDescent="0.55000000000000004">
      <c r="A389" s="12"/>
      <c r="B389" s="13"/>
      <c r="C389" s="10"/>
      <c r="D389" s="10"/>
      <c r="E389" s="7"/>
      <c r="F389" s="22"/>
      <c r="G389" s="6">
        <f>SUM(E$9:$E389)-SUM(F$9:$F389)</f>
        <v>0</v>
      </c>
    </row>
    <row r="390" spans="1:7" ht="28.8" x14ac:dyDescent="0.55000000000000004">
      <c r="A390" s="12"/>
      <c r="B390" s="13"/>
      <c r="C390" s="10"/>
      <c r="D390" s="10"/>
      <c r="E390" s="7"/>
      <c r="F390" s="22"/>
      <c r="G390" s="6">
        <f>SUM(E$9:$E390)-SUM(F$9:$F390)</f>
        <v>0</v>
      </c>
    </row>
    <row r="391" spans="1:7" ht="28.8" x14ac:dyDescent="0.55000000000000004">
      <c r="A391" s="12"/>
      <c r="B391" s="13"/>
      <c r="C391" s="10"/>
      <c r="D391" s="10"/>
      <c r="E391" s="7"/>
      <c r="F391" s="22"/>
      <c r="G391" s="6">
        <f>SUM(E$9:$E391)-SUM(F$9:$F391)</f>
        <v>0</v>
      </c>
    </row>
    <row r="392" spans="1:7" ht="28.8" x14ac:dyDescent="0.55000000000000004">
      <c r="A392" s="12"/>
      <c r="B392" s="13"/>
      <c r="C392" s="10"/>
      <c r="D392" s="10"/>
      <c r="E392" s="7"/>
      <c r="F392" s="22"/>
      <c r="G392" s="6">
        <f>SUM(E$9:$E392)-SUM(F$9:$F392)</f>
        <v>0</v>
      </c>
    </row>
    <row r="393" spans="1:7" ht="28.8" x14ac:dyDescent="0.55000000000000004">
      <c r="A393" s="12"/>
      <c r="B393" s="13"/>
      <c r="C393" s="10"/>
      <c r="D393" s="10"/>
      <c r="E393" s="7"/>
      <c r="F393" s="22"/>
      <c r="G393" s="6">
        <f>SUM(E$9:$E393)-SUM(F$9:$F393)</f>
        <v>0</v>
      </c>
    </row>
    <row r="394" spans="1:7" ht="28.8" x14ac:dyDescent="0.55000000000000004">
      <c r="A394" s="12"/>
      <c r="B394" s="13"/>
      <c r="C394" s="10"/>
      <c r="D394" s="10"/>
      <c r="E394" s="7"/>
      <c r="F394" s="22"/>
      <c r="G394" s="6">
        <f>SUM(E$9:$E394)-SUM(F$9:$F394)</f>
        <v>0</v>
      </c>
    </row>
    <row r="395" spans="1:7" ht="28.8" x14ac:dyDescent="0.55000000000000004">
      <c r="A395" s="12"/>
      <c r="B395" s="13"/>
      <c r="C395" s="10"/>
      <c r="D395" s="10"/>
      <c r="E395" s="7"/>
      <c r="F395" s="22"/>
      <c r="G395" s="6">
        <f>SUM(E$9:$E395)-SUM(F$9:$F395)</f>
        <v>0</v>
      </c>
    </row>
    <row r="396" spans="1:7" ht="28.8" x14ac:dyDescent="0.55000000000000004">
      <c r="A396" s="12"/>
      <c r="B396" s="13"/>
      <c r="C396" s="10"/>
      <c r="D396" s="10"/>
      <c r="E396" s="7"/>
      <c r="F396" s="22"/>
      <c r="G396" s="6">
        <f>SUM(E$9:$E396)-SUM(F$9:$F396)</f>
        <v>0</v>
      </c>
    </row>
    <row r="397" spans="1:7" ht="28.8" x14ac:dyDescent="0.55000000000000004">
      <c r="A397" s="12"/>
      <c r="B397" s="13"/>
      <c r="C397" s="10"/>
      <c r="D397" s="10"/>
      <c r="E397" s="7"/>
      <c r="F397" s="22"/>
      <c r="G397" s="6">
        <f>SUM(E$9:$E397)-SUM(F$9:$F397)</f>
        <v>0</v>
      </c>
    </row>
    <row r="398" spans="1:7" ht="28.8" x14ac:dyDescent="0.55000000000000004">
      <c r="A398" s="12"/>
      <c r="B398" s="13"/>
      <c r="C398" s="10"/>
      <c r="D398" s="10"/>
      <c r="E398" s="7"/>
      <c r="F398" s="22"/>
      <c r="G398" s="6">
        <f>SUM(E$9:$E398)-SUM(F$9:$F398)</f>
        <v>0</v>
      </c>
    </row>
    <row r="399" spans="1:7" ht="28.8" x14ac:dyDescent="0.55000000000000004">
      <c r="A399" s="12"/>
      <c r="B399" s="13"/>
      <c r="C399" s="10"/>
      <c r="D399" s="10"/>
      <c r="E399" s="7"/>
      <c r="F399" s="22"/>
      <c r="G399" s="6">
        <f>SUM(E$9:$E399)-SUM(F$9:$F399)</f>
        <v>0</v>
      </c>
    </row>
    <row r="400" spans="1:7" ht="28.8" x14ac:dyDescent="0.55000000000000004">
      <c r="A400" s="12"/>
      <c r="B400" s="13"/>
      <c r="C400" s="10"/>
      <c r="D400" s="10"/>
      <c r="E400" s="7"/>
      <c r="F400" s="22"/>
      <c r="G400" s="6">
        <f>SUM(E$9:$E400)-SUM(F$9:$F400)</f>
        <v>0</v>
      </c>
    </row>
    <row r="401" spans="1:7" ht="28.8" x14ac:dyDescent="0.55000000000000004">
      <c r="A401" s="12"/>
      <c r="B401" s="13"/>
      <c r="C401" s="10"/>
      <c r="D401" s="10"/>
      <c r="E401" s="7"/>
      <c r="F401" s="22"/>
      <c r="G401" s="6">
        <f>SUM(E$9:$E401)-SUM(F$9:$F401)</f>
        <v>0</v>
      </c>
    </row>
    <row r="402" spans="1:7" ht="28.8" x14ac:dyDescent="0.55000000000000004">
      <c r="A402" s="12"/>
      <c r="B402" s="13"/>
      <c r="C402" s="10"/>
      <c r="D402" s="10"/>
      <c r="E402" s="7"/>
      <c r="F402" s="22"/>
      <c r="G402" s="6">
        <f>SUM(E$9:$E402)-SUM(F$9:$F402)</f>
        <v>0</v>
      </c>
    </row>
    <row r="403" spans="1:7" ht="28.8" x14ac:dyDescent="0.55000000000000004">
      <c r="A403" s="12"/>
      <c r="B403" s="13"/>
      <c r="C403" s="10"/>
      <c r="D403" s="10"/>
      <c r="E403" s="7"/>
      <c r="F403" s="22"/>
      <c r="G403" s="6">
        <f>SUM(E$9:$E403)-SUM(F$9:$F403)</f>
        <v>0</v>
      </c>
    </row>
    <row r="404" spans="1:7" ht="28.8" x14ac:dyDescent="0.55000000000000004">
      <c r="A404" s="12"/>
      <c r="B404" s="13"/>
      <c r="C404" s="10"/>
      <c r="D404" s="10"/>
      <c r="E404" s="7"/>
      <c r="F404" s="22"/>
      <c r="G404" s="6">
        <f>SUM(E$9:$E404)-SUM(F$9:$F404)</f>
        <v>0</v>
      </c>
    </row>
    <row r="405" spans="1:7" ht="28.8" x14ac:dyDescent="0.55000000000000004">
      <c r="A405" s="12"/>
      <c r="B405" s="13"/>
      <c r="C405" s="10"/>
      <c r="D405" s="10"/>
      <c r="E405" s="7"/>
      <c r="F405" s="22"/>
      <c r="G405" s="6">
        <f>SUM(E$9:$E405)-SUM(F$9:$F405)</f>
        <v>0</v>
      </c>
    </row>
    <row r="406" spans="1:7" ht="28.8" x14ac:dyDescent="0.55000000000000004">
      <c r="A406" s="12"/>
      <c r="B406" s="13"/>
      <c r="C406" s="10"/>
      <c r="D406" s="10"/>
      <c r="E406" s="7"/>
      <c r="F406" s="22"/>
      <c r="G406" s="6">
        <f>SUM(E$9:$E406)-SUM(F$9:$F406)</f>
        <v>0</v>
      </c>
    </row>
    <row r="407" spans="1:7" ht="28.8" x14ac:dyDescent="0.55000000000000004">
      <c r="A407" s="12"/>
      <c r="B407" s="13"/>
      <c r="C407" s="10"/>
      <c r="D407" s="10"/>
      <c r="E407" s="7"/>
      <c r="F407" s="22"/>
      <c r="G407" s="6">
        <f>SUM(E$9:$E407)-SUM(F$9:$F407)</f>
        <v>0</v>
      </c>
    </row>
    <row r="408" spans="1:7" ht="28.8" x14ac:dyDescent="0.55000000000000004">
      <c r="A408" s="12"/>
      <c r="B408" s="13"/>
      <c r="C408" s="10"/>
      <c r="D408" s="10"/>
      <c r="E408" s="7"/>
      <c r="F408" s="22"/>
      <c r="G408" s="6">
        <f>SUM(E$9:$E408)-SUM(F$9:$F408)</f>
        <v>0</v>
      </c>
    </row>
    <row r="409" spans="1:7" ht="28.8" x14ac:dyDescent="0.55000000000000004">
      <c r="A409" s="12"/>
      <c r="B409" s="13"/>
      <c r="C409" s="10"/>
      <c r="D409" s="10"/>
      <c r="E409" s="7"/>
      <c r="F409" s="22"/>
      <c r="G409" s="6">
        <f>SUM(E$9:$E409)-SUM(F$9:$F409)</f>
        <v>0</v>
      </c>
    </row>
    <row r="410" spans="1:7" ht="28.8" x14ac:dyDescent="0.55000000000000004">
      <c r="A410" s="12"/>
      <c r="B410" s="13"/>
      <c r="C410" s="10"/>
      <c r="D410" s="10"/>
      <c r="E410" s="7"/>
      <c r="F410" s="22"/>
      <c r="G410" s="6">
        <f>SUM(E$9:$E410)-SUM(F$9:$F410)</f>
        <v>0</v>
      </c>
    </row>
    <row r="411" spans="1:7" ht="28.8" x14ac:dyDescent="0.55000000000000004">
      <c r="A411" s="12"/>
      <c r="B411" s="13"/>
      <c r="C411" s="10"/>
      <c r="D411" s="10"/>
      <c r="E411" s="7"/>
      <c r="F411" s="22"/>
      <c r="G411" s="6">
        <f>SUM(E$9:$E411)-SUM(F$9:$F411)</f>
        <v>0</v>
      </c>
    </row>
    <row r="412" spans="1:7" ht="28.8" x14ac:dyDescent="0.55000000000000004">
      <c r="A412" s="12"/>
      <c r="B412" s="13"/>
      <c r="C412" s="10"/>
      <c r="D412" s="10"/>
      <c r="E412" s="7"/>
      <c r="F412" s="22"/>
      <c r="G412" s="6">
        <f>SUM(E$9:$E412)-SUM(F$9:$F412)</f>
        <v>0</v>
      </c>
    </row>
    <row r="413" spans="1:7" ht="28.8" x14ac:dyDescent="0.55000000000000004">
      <c r="A413" s="12"/>
      <c r="B413" s="13"/>
      <c r="C413" s="10"/>
      <c r="D413" s="10"/>
      <c r="E413" s="7"/>
      <c r="F413" s="22"/>
      <c r="G413" s="6">
        <f>SUM(E$9:$E413)-SUM(F$9:$F413)</f>
        <v>0</v>
      </c>
    </row>
    <row r="414" spans="1:7" ht="28.8" x14ac:dyDescent="0.55000000000000004">
      <c r="A414" s="12"/>
      <c r="B414" s="13"/>
      <c r="C414" s="10"/>
      <c r="D414" s="10"/>
      <c r="E414" s="7"/>
      <c r="F414" s="22"/>
      <c r="G414" s="6">
        <f>SUM(E$9:$E414)-SUM(F$9:$F414)</f>
        <v>0</v>
      </c>
    </row>
    <row r="415" spans="1:7" ht="28.8" x14ac:dyDescent="0.55000000000000004">
      <c r="A415" s="12"/>
      <c r="B415" s="13"/>
      <c r="C415" s="10"/>
      <c r="D415" s="10"/>
      <c r="E415" s="7"/>
      <c r="F415" s="22"/>
      <c r="G415" s="6">
        <f>SUM(E$9:$E415)-SUM(F$9:$F415)</f>
        <v>0</v>
      </c>
    </row>
    <row r="416" spans="1:7" ht="28.8" x14ac:dyDescent="0.55000000000000004">
      <c r="A416" s="12"/>
      <c r="B416" s="13"/>
      <c r="C416" s="10"/>
      <c r="D416" s="10"/>
      <c r="E416" s="7"/>
      <c r="F416" s="22"/>
      <c r="G416" s="6">
        <f>SUM(E$9:$E416)-SUM(F$9:$F416)</f>
        <v>0</v>
      </c>
    </row>
    <row r="417" spans="1:7" ht="28.8" x14ac:dyDescent="0.55000000000000004">
      <c r="A417" s="12"/>
      <c r="B417" s="13"/>
      <c r="C417" s="10"/>
      <c r="D417" s="10"/>
      <c r="E417" s="7"/>
      <c r="F417" s="22"/>
      <c r="G417" s="6">
        <f>SUM(E$9:$E417)-SUM(F$9:$F417)</f>
        <v>0</v>
      </c>
    </row>
    <row r="418" spans="1:7" ht="28.8" x14ac:dyDescent="0.55000000000000004">
      <c r="A418" s="12"/>
      <c r="B418" s="13"/>
      <c r="C418" s="10"/>
      <c r="D418" s="10"/>
      <c r="E418" s="7"/>
      <c r="F418" s="22"/>
      <c r="G418" s="6">
        <f>SUM(E$9:$E418)-SUM(F$9:$F418)</f>
        <v>0</v>
      </c>
    </row>
    <row r="419" spans="1:7" ht="28.8" x14ac:dyDescent="0.55000000000000004">
      <c r="A419" s="12"/>
      <c r="B419" s="13"/>
      <c r="C419" s="10"/>
      <c r="D419" s="10"/>
      <c r="E419" s="7"/>
      <c r="F419" s="22"/>
      <c r="G419" s="6">
        <f>SUM(E$9:$E419)-SUM(F$9:$F419)</f>
        <v>0</v>
      </c>
    </row>
    <row r="420" spans="1:7" ht="28.8" x14ac:dyDescent="0.55000000000000004">
      <c r="A420" s="12"/>
      <c r="B420" s="13"/>
      <c r="C420" s="10"/>
      <c r="D420" s="10"/>
      <c r="E420" s="7"/>
      <c r="F420" s="22"/>
      <c r="G420" s="6">
        <f>SUM(E$9:$E420)-SUM(F$9:$F420)</f>
        <v>0</v>
      </c>
    </row>
    <row r="421" spans="1:7" ht="28.8" x14ac:dyDescent="0.55000000000000004">
      <c r="A421" s="12"/>
      <c r="B421" s="13"/>
      <c r="C421" s="10"/>
      <c r="D421" s="10"/>
      <c r="E421" s="7"/>
      <c r="F421" s="22"/>
      <c r="G421" s="6">
        <f>SUM(E$9:$E421)-SUM(F$9:$F421)</f>
        <v>0</v>
      </c>
    </row>
    <row r="422" spans="1:7" ht="28.8" x14ac:dyDescent="0.55000000000000004">
      <c r="A422" s="12"/>
      <c r="B422" s="13"/>
      <c r="C422" s="10"/>
      <c r="D422" s="10"/>
      <c r="E422" s="7"/>
      <c r="F422" s="22"/>
      <c r="G422" s="6">
        <f>SUM(E$9:$E422)-SUM(F$9:$F422)</f>
        <v>0</v>
      </c>
    </row>
    <row r="423" spans="1:7" ht="28.8" x14ac:dyDescent="0.55000000000000004">
      <c r="A423" s="12"/>
      <c r="B423" s="13"/>
      <c r="C423" s="10"/>
      <c r="D423" s="10"/>
      <c r="E423" s="7"/>
      <c r="F423" s="22"/>
      <c r="G423" s="6">
        <f>SUM(E$9:$E423)-SUM(F$9:$F423)</f>
        <v>0</v>
      </c>
    </row>
    <row r="424" spans="1:7" ht="28.8" x14ac:dyDescent="0.55000000000000004">
      <c r="A424" s="12"/>
      <c r="B424" s="13"/>
      <c r="C424" s="10"/>
      <c r="D424" s="10"/>
      <c r="E424" s="7"/>
      <c r="F424" s="22"/>
      <c r="G424" s="6">
        <f>SUM(E$9:$E424)-SUM(F$9:$F424)</f>
        <v>0</v>
      </c>
    </row>
    <row r="425" spans="1:7" ht="28.8" x14ac:dyDescent="0.55000000000000004">
      <c r="A425" s="12"/>
      <c r="B425" s="13"/>
      <c r="C425" s="10"/>
      <c r="D425" s="10"/>
      <c r="E425" s="7"/>
      <c r="F425" s="22"/>
      <c r="G425" s="6">
        <f>SUM(E$9:$E425)-SUM(F$9:$F425)</f>
        <v>0</v>
      </c>
    </row>
    <row r="426" spans="1:7" ht="28.8" x14ac:dyDescent="0.55000000000000004">
      <c r="A426" s="12"/>
      <c r="B426" s="13"/>
      <c r="C426" s="10"/>
      <c r="D426" s="10"/>
      <c r="E426" s="7"/>
      <c r="F426" s="22"/>
      <c r="G426" s="6">
        <f>SUM(E$9:$E426)-SUM(F$9:$F426)</f>
        <v>0</v>
      </c>
    </row>
    <row r="427" spans="1:7" ht="28.8" x14ac:dyDescent="0.55000000000000004">
      <c r="A427" s="12"/>
      <c r="B427" s="13"/>
      <c r="C427" s="10"/>
      <c r="D427" s="10"/>
      <c r="E427" s="7"/>
      <c r="F427" s="22"/>
      <c r="G427" s="6">
        <f>SUM(E$9:$E427)-SUM(F$9:$F427)</f>
        <v>0</v>
      </c>
    </row>
    <row r="428" spans="1:7" ht="28.8" x14ac:dyDescent="0.55000000000000004">
      <c r="A428" s="12"/>
      <c r="B428" s="13"/>
      <c r="C428" s="10"/>
      <c r="D428" s="10"/>
      <c r="E428" s="7"/>
      <c r="F428" s="22"/>
      <c r="G428" s="6">
        <f>SUM(E$9:$E428)-SUM(F$9:$F428)</f>
        <v>0</v>
      </c>
    </row>
    <row r="429" spans="1:7" ht="28.8" x14ac:dyDescent="0.55000000000000004">
      <c r="A429" s="12"/>
      <c r="B429" s="13"/>
      <c r="C429" s="10"/>
      <c r="D429" s="10"/>
      <c r="E429" s="7"/>
      <c r="F429" s="22"/>
      <c r="G429" s="6">
        <f>SUM(E$9:$E429)-SUM(F$9:$F429)</f>
        <v>0</v>
      </c>
    </row>
    <row r="430" spans="1:7" ht="28.8" x14ac:dyDescent="0.55000000000000004">
      <c r="A430" s="12"/>
      <c r="B430" s="13"/>
      <c r="C430" s="10"/>
      <c r="D430" s="10"/>
      <c r="E430" s="7"/>
      <c r="F430" s="22"/>
      <c r="G430" s="6">
        <f>SUM(E$9:$E430)-SUM(F$9:$F430)</f>
        <v>0</v>
      </c>
    </row>
    <row r="431" spans="1:7" ht="28.8" x14ac:dyDescent="0.55000000000000004">
      <c r="A431" s="12"/>
      <c r="B431" s="13"/>
      <c r="C431" s="10"/>
      <c r="D431" s="10"/>
      <c r="E431" s="7"/>
      <c r="F431" s="22"/>
      <c r="G431" s="6">
        <f>SUM(E$9:$E431)-SUM(F$9:$F431)</f>
        <v>0</v>
      </c>
    </row>
    <row r="432" spans="1:7" ht="28.8" x14ac:dyDescent="0.55000000000000004">
      <c r="A432" s="12"/>
      <c r="B432" s="13"/>
      <c r="C432" s="10"/>
      <c r="D432" s="10"/>
      <c r="E432" s="7"/>
      <c r="F432" s="22"/>
      <c r="G432" s="6">
        <f>SUM(E$9:$E432)-SUM(F$9:$F432)</f>
        <v>0</v>
      </c>
    </row>
    <row r="433" spans="1:7" ht="28.8" x14ac:dyDescent="0.55000000000000004">
      <c r="A433" s="12"/>
      <c r="B433" s="13"/>
      <c r="C433" s="10"/>
      <c r="D433" s="10"/>
      <c r="E433" s="7"/>
      <c r="F433" s="22"/>
      <c r="G433" s="6">
        <f>SUM(E$9:$E433)-SUM(F$9:$F433)</f>
        <v>0</v>
      </c>
    </row>
    <row r="434" spans="1:7" ht="28.8" x14ac:dyDescent="0.55000000000000004">
      <c r="A434" s="12"/>
      <c r="B434" s="13"/>
      <c r="C434" s="10"/>
      <c r="D434" s="10"/>
      <c r="E434" s="7"/>
      <c r="F434" s="22"/>
      <c r="G434" s="6">
        <f>SUM(E$9:$E434)-SUM(F$9:$F434)</f>
        <v>0</v>
      </c>
    </row>
    <row r="435" spans="1:7" ht="28.8" x14ac:dyDescent="0.55000000000000004">
      <c r="A435" s="12"/>
      <c r="B435" s="13"/>
      <c r="C435" s="10"/>
      <c r="D435" s="10"/>
      <c r="E435" s="7"/>
      <c r="F435" s="22"/>
      <c r="G435" s="6">
        <f>SUM(E$9:$E435)-SUM(F$9:$F435)</f>
        <v>0</v>
      </c>
    </row>
    <row r="436" spans="1:7" ht="28.8" x14ac:dyDescent="0.55000000000000004">
      <c r="A436" s="12"/>
      <c r="B436" s="13"/>
      <c r="C436" s="10"/>
      <c r="D436" s="10"/>
      <c r="E436" s="7"/>
      <c r="F436" s="22"/>
      <c r="G436" s="6">
        <f>SUM(E$9:$E436)-SUM(F$9:$F436)</f>
        <v>0</v>
      </c>
    </row>
    <row r="437" spans="1:7" ht="28.8" x14ac:dyDescent="0.55000000000000004">
      <c r="A437" s="12"/>
      <c r="B437" s="13"/>
      <c r="C437" s="10"/>
      <c r="D437" s="10"/>
      <c r="E437" s="7"/>
      <c r="F437" s="22"/>
      <c r="G437" s="6">
        <f>SUM(E$9:$E437)-SUM(F$9:$F437)</f>
        <v>0</v>
      </c>
    </row>
    <row r="438" spans="1:7" ht="28.8" x14ac:dyDescent="0.55000000000000004">
      <c r="A438" s="12"/>
      <c r="B438" s="13"/>
      <c r="C438" s="10"/>
      <c r="D438" s="10"/>
      <c r="E438" s="7"/>
      <c r="F438" s="22"/>
      <c r="G438" s="6">
        <f>SUM(E$9:$E438)-SUM(F$9:$F438)</f>
        <v>0</v>
      </c>
    </row>
    <row r="439" spans="1:7" ht="28.8" x14ac:dyDescent="0.55000000000000004">
      <c r="A439" s="12"/>
      <c r="B439" s="13"/>
      <c r="C439" s="10"/>
      <c r="D439" s="10"/>
      <c r="E439" s="7"/>
      <c r="F439" s="22"/>
      <c r="G439" s="6">
        <f>SUM(E$9:$E439)-SUM(F$9:$F439)</f>
        <v>0</v>
      </c>
    </row>
    <row r="440" spans="1:7" ht="28.8" x14ac:dyDescent="0.55000000000000004">
      <c r="A440" s="12"/>
      <c r="B440" s="13"/>
      <c r="C440" s="10"/>
      <c r="D440" s="10"/>
      <c r="E440" s="7"/>
      <c r="F440" s="22"/>
      <c r="G440" s="6">
        <f>SUM(E$9:$E440)-SUM(F$9:$F440)</f>
        <v>0</v>
      </c>
    </row>
    <row r="441" spans="1:7" ht="28.8" x14ac:dyDescent="0.55000000000000004">
      <c r="A441" s="12"/>
      <c r="B441" s="13"/>
      <c r="C441" s="10"/>
      <c r="D441" s="10"/>
      <c r="E441" s="7"/>
      <c r="F441" s="22"/>
      <c r="G441" s="6">
        <f>SUM(E$9:$E441)-SUM(F$9:$F441)</f>
        <v>0</v>
      </c>
    </row>
    <row r="442" spans="1:7" ht="28.8" x14ac:dyDescent="0.55000000000000004">
      <c r="A442" s="12"/>
      <c r="B442" s="13"/>
      <c r="C442" s="10"/>
      <c r="D442" s="10"/>
      <c r="E442" s="7"/>
      <c r="F442" s="22"/>
      <c r="G442" s="6">
        <f>SUM(E$9:$E442)-SUM(F$9:$F442)</f>
        <v>0</v>
      </c>
    </row>
    <row r="443" spans="1:7" ht="28.8" x14ac:dyDescent="0.55000000000000004">
      <c r="A443" s="12"/>
      <c r="B443" s="13"/>
      <c r="C443" s="10"/>
      <c r="D443" s="10"/>
      <c r="E443" s="7"/>
      <c r="F443" s="22"/>
      <c r="G443" s="6">
        <f>SUM(E$9:$E443)-SUM(F$9:$F443)</f>
        <v>0</v>
      </c>
    </row>
    <row r="444" spans="1:7" ht="28.8" x14ac:dyDescent="0.55000000000000004">
      <c r="A444" s="12"/>
      <c r="B444" s="13"/>
      <c r="C444" s="10"/>
      <c r="D444" s="10"/>
      <c r="E444" s="7"/>
      <c r="F444" s="22"/>
      <c r="G444" s="6">
        <f>SUM(E$9:$E444)-SUM(F$9:$F444)</f>
        <v>0</v>
      </c>
    </row>
    <row r="445" spans="1:7" ht="28.8" x14ac:dyDescent="0.55000000000000004">
      <c r="A445" s="12"/>
      <c r="B445" s="13"/>
      <c r="C445" s="10"/>
      <c r="D445" s="10"/>
      <c r="E445" s="7"/>
      <c r="F445" s="22"/>
      <c r="G445" s="6">
        <f>SUM(E$9:$E445)-SUM(F$9:$F445)</f>
        <v>0</v>
      </c>
    </row>
    <row r="446" spans="1:7" ht="28.8" x14ac:dyDescent="0.55000000000000004">
      <c r="A446" s="12"/>
      <c r="B446" s="13"/>
      <c r="C446" s="10"/>
      <c r="D446" s="10"/>
      <c r="E446" s="7"/>
      <c r="F446" s="22"/>
      <c r="G446" s="6">
        <f>SUM(E$9:$E446)-SUM(F$9:$F446)</f>
        <v>0</v>
      </c>
    </row>
    <row r="447" spans="1:7" ht="28.8" x14ac:dyDescent="0.55000000000000004">
      <c r="A447" s="12"/>
      <c r="B447" s="13"/>
      <c r="C447" s="10"/>
      <c r="D447" s="10"/>
      <c r="E447" s="7"/>
      <c r="F447" s="22"/>
      <c r="G447" s="6">
        <f>SUM(E$9:$E447)-SUM(F$9:$F447)</f>
        <v>0</v>
      </c>
    </row>
    <row r="448" spans="1:7" ht="28.8" x14ac:dyDescent="0.55000000000000004">
      <c r="A448" s="12"/>
      <c r="B448" s="13"/>
      <c r="C448" s="10"/>
      <c r="D448" s="10"/>
      <c r="E448" s="7"/>
      <c r="F448" s="22"/>
      <c r="G448" s="6">
        <f>SUM(E$9:$E448)-SUM(F$9:$F448)</f>
        <v>0</v>
      </c>
    </row>
    <row r="449" spans="1:7" ht="28.8" x14ac:dyDescent="0.55000000000000004">
      <c r="A449" s="12"/>
      <c r="B449" s="13"/>
      <c r="C449" s="10"/>
      <c r="D449" s="10"/>
      <c r="E449" s="7"/>
      <c r="F449" s="22"/>
      <c r="G449" s="6">
        <f>SUM(E$9:$E449)-SUM(F$9:$F449)</f>
        <v>0</v>
      </c>
    </row>
    <row r="450" spans="1:7" ht="28.8" x14ac:dyDescent="0.55000000000000004">
      <c r="A450" s="12"/>
      <c r="B450" s="13"/>
      <c r="C450" s="10"/>
      <c r="D450" s="10"/>
      <c r="E450" s="7"/>
      <c r="F450" s="22"/>
      <c r="G450" s="6">
        <f>SUM(E$9:$E450)-SUM(F$9:$F450)</f>
        <v>0</v>
      </c>
    </row>
    <row r="451" spans="1:7" ht="28.8" x14ac:dyDescent="0.55000000000000004">
      <c r="A451" s="12"/>
      <c r="B451" s="13"/>
      <c r="C451" s="10"/>
      <c r="D451" s="10"/>
      <c r="E451" s="7"/>
      <c r="F451" s="22"/>
      <c r="G451" s="6">
        <f>SUM(E$9:$E451)-SUM(F$9:$F451)</f>
        <v>0</v>
      </c>
    </row>
    <row r="452" spans="1:7" ht="28.8" x14ac:dyDescent="0.55000000000000004">
      <c r="A452" s="12"/>
      <c r="B452" s="13"/>
      <c r="C452" s="10"/>
      <c r="D452" s="10"/>
      <c r="E452" s="7"/>
      <c r="F452" s="22"/>
      <c r="G452" s="6">
        <f>SUM(E$9:$E452)-SUM(F$9:$F452)</f>
        <v>0</v>
      </c>
    </row>
    <row r="453" spans="1:7" ht="28.8" x14ac:dyDescent="0.55000000000000004">
      <c r="A453" s="12"/>
      <c r="B453" s="13"/>
      <c r="C453" s="10"/>
      <c r="D453" s="10"/>
      <c r="E453" s="7"/>
      <c r="F453" s="22"/>
      <c r="G453" s="6">
        <f>SUM(E$9:$E453)-SUM(F$9:$F453)</f>
        <v>0</v>
      </c>
    </row>
    <row r="454" spans="1:7" ht="28.8" x14ac:dyDescent="0.55000000000000004">
      <c r="A454" s="12"/>
      <c r="B454" s="13"/>
      <c r="C454" s="10"/>
      <c r="D454" s="10"/>
      <c r="E454" s="7"/>
      <c r="F454" s="22"/>
      <c r="G454" s="6">
        <f>SUM(E$9:$E454)-SUM(F$9:$F454)</f>
        <v>0</v>
      </c>
    </row>
    <row r="455" spans="1:7" ht="28.8" x14ac:dyDescent="0.55000000000000004">
      <c r="A455" s="12"/>
      <c r="B455" s="13"/>
      <c r="C455" s="10"/>
      <c r="D455" s="10"/>
      <c r="E455" s="7"/>
      <c r="F455" s="22"/>
      <c r="G455" s="6">
        <f>SUM(E$9:$E455)-SUM(F$9:$F455)</f>
        <v>0</v>
      </c>
    </row>
    <row r="456" spans="1:7" ht="28.8" x14ac:dyDescent="0.55000000000000004">
      <c r="A456" s="12"/>
      <c r="B456" s="13"/>
      <c r="C456" s="10"/>
      <c r="D456" s="10"/>
      <c r="E456" s="7"/>
      <c r="F456" s="22"/>
      <c r="G456" s="6">
        <f>SUM(E$9:$E456)-SUM(F$9:$F456)</f>
        <v>0</v>
      </c>
    </row>
    <row r="457" spans="1:7" ht="28.8" x14ac:dyDescent="0.55000000000000004">
      <c r="A457" s="12"/>
      <c r="B457" s="13"/>
      <c r="C457" s="10"/>
      <c r="D457" s="10"/>
      <c r="E457" s="7"/>
      <c r="F457" s="22"/>
      <c r="G457" s="6">
        <f>SUM(E$9:$E457)-SUM(F$9:$F457)</f>
        <v>0</v>
      </c>
    </row>
    <row r="458" spans="1:7" ht="28.8" x14ac:dyDescent="0.55000000000000004">
      <c r="A458" s="12"/>
      <c r="B458" s="13"/>
      <c r="C458" s="10"/>
      <c r="D458" s="10"/>
      <c r="E458" s="7"/>
      <c r="F458" s="22"/>
      <c r="G458" s="6">
        <f>SUM(E$9:$E458)-SUM(F$9:$F458)</f>
        <v>0</v>
      </c>
    </row>
    <row r="459" spans="1:7" ht="28.8" x14ac:dyDescent="0.55000000000000004">
      <c r="A459" s="12"/>
      <c r="B459" s="13"/>
      <c r="C459" s="10"/>
      <c r="D459" s="10"/>
      <c r="E459" s="7"/>
      <c r="F459" s="22"/>
      <c r="G459" s="6">
        <f>SUM(E$9:$E459)-SUM(F$9:$F459)</f>
        <v>0</v>
      </c>
    </row>
    <row r="460" spans="1:7" ht="28.8" x14ac:dyDescent="0.55000000000000004">
      <c r="A460" s="12"/>
      <c r="B460" s="13"/>
      <c r="C460" s="10"/>
      <c r="D460" s="10"/>
      <c r="E460" s="7"/>
      <c r="F460" s="22"/>
      <c r="G460" s="6">
        <f>SUM(E$9:$E460)-SUM(F$9:$F460)</f>
        <v>0</v>
      </c>
    </row>
    <row r="461" spans="1:7" ht="28.8" x14ac:dyDescent="0.55000000000000004">
      <c r="A461" s="12"/>
      <c r="B461" s="13"/>
      <c r="C461" s="10"/>
      <c r="D461" s="10"/>
      <c r="E461" s="7"/>
      <c r="F461" s="22"/>
      <c r="G461" s="6">
        <f>SUM(E$9:$E461)-SUM(F$9:$F461)</f>
        <v>0</v>
      </c>
    </row>
    <row r="462" spans="1:7" ht="28.8" x14ac:dyDescent="0.55000000000000004">
      <c r="A462" s="12"/>
      <c r="B462" s="13"/>
      <c r="C462" s="10"/>
      <c r="D462" s="10"/>
      <c r="E462" s="7"/>
      <c r="F462" s="22"/>
      <c r="G462" s="6">
        <f>SUM(E$9:$E462)-SUM(F$9:$F462)</f>
        <v>0</v>
      </c>
    </row>
    <row r="463" spans="1:7" ht="28.8" x14ac:dyDescent="0.55000000000000004">
      <c r="A463" s="12"/>
      <c r="B463" s="13"/>
      <c r="C463" s="10"/>
      <c r="D463" s="10"/>
      <c r="E463" s="7"/>
      <c r="F463" s="22"/>
      <c r="G463" s="6">
        <f>SUM(E$9:$E463)-SUM(F$9:$F463)</f>
        <v>0</v>
      </c>
    </row>
    <row r="464" spans="1:7" ht="28.8" x14ac:dyDescent="0.55000000000000004">
      <c r="A464" s="12"/>
      <c r="B464" s="13"/>
      <c r="C464" s="10"/>
      <c r="D464" s="10"/>
      <c r="E464" s="7"/>
      <c r="F464" s="22"/>
      <c r="G464" s="6">
        <f>SUM(E$9:$E464)-SUM(F$9:$F464)</f>
        <v>0</v>
      </c>
    </row>
    <row r="465" spans="1:7" ht="28.8" x14ac:dyDescent="0.55000000000000004">
      <c r="A465" s="12"/>
      <c r="B465" s="13"/>
      <c r="C465" s="10"/>
      <c r="D465" s="10"/>
      <c r="E465" s="7"/>
      <c r="F465" s="22"/>
      <c r="G465" s="6">
        <f>SUM(E$9:$E465)-SUM(F$9:$F465)</f>
        <v>0</v>
      </c>
    </row>
    <row r="466" spans="1:7" ht="28.8" x14ac:dyDescent="0.55000000000000004">
      <c r="A466" s="12"/>
      <c r="B466" s="13"/>
      <c r="C466" s="10"/>
      <c r="D466" s="10"/>
      <c r="E466" s="7"/>
      <c r="F466" s="22"/>
      <c r="G466" s="6">
        <f>SUM(E$9:$E466)-SUM(F$9:$F466)</f>
        <v>0</v>
      </c>
    </row>
    <row r="467" spans="1:7" ht="28.8" x14ac:dyDescent="0.55000000000000004">
      <c r="A467" s="12"/>
      <c r="B467" s="13"/>
      <c r="C467" s="10"/>
      <c r="D467" s="10"/>
      <c r="E467" s="7"/>
      <c r="F467" s="22"/>
      <c r="G467" s="6">
        <f>SUM(E$9:$E467)-SUM(F$9:$F467)</f>
        <v>0</v>
      </c>
    </row>
    <row r="468" spans="1:7" ht="28.8" x14ac:dyDescent="0.55000000000000004">
      <c r="A468" s="12"/>
      <c r="B468" s="13"/>
      <c r="C468" s="10"/>
      <c r="D468" s="10"/>
      <c r="E468" s="7"/>
      <c r="F468" s="22"/>
      <c r="G468" s="6">
        <f>SUM(E$9:$E468)-SUM(F$9:$F468)</f>
        <v>0</v>
      </c>
    </row>
    <row r="469" spans="1:7" ht="28.8" x14ac:dyDescent="0.55000000000000004">
      <c r="A469" s="12"/>
      <c r="B469" s="13"/>
      <c r="C469" s="10"/>
      <c r="D469" s="10"/>
      <c r="E469" s="7"/>
      <c r="F469" s="22"/>
      <c r="G469" s="6">
        <f>SUM(E$9:$E469)-SUM(F$9:$F469)</f>
        <v>0</v>
      </c>
    </row>
    <row r="470" spans="1:7" ht="28.8" x14ac:dyDescent="0.55000000000000004">
      <c r="A470" s="12"/>
      <c r="B470" s="13"/>
      <c r="C470" s="10"/>
      <c r="D470" s="10"/>
      <c r="E470" s="7"/>
      <c r="F470" s="22"/>
      <c r="G470" s="6">
        <f>SUM(E$9:$E470)-SUM(F$9:$F470)</f>
        <v>0</v>
      </c>
    </row>
    <row r="471" spans="1:7" ht="28.8" x14ac:dyDescent="0.55000000000000004">
      <c r="A471" s="12"/>
      <c r="B471" s="13"/>
      <c r="C471" s="10"/>
      <c r="D471" s="10"/>
      <c r="E471" s="7"/>
      <c r="F471" s="22"/>
      <c r="G471" s="6">
        <f>SUM(E$9:$E471)-SUM(F$9:$F471)</f>
        <v>0</v>
      </c>
    </row>
    <row r="472" spans="1:7" ht="28.8" x14ac:dyDescent="0.55000000000000004">
      <c r="A472" s="12"/>
      <c r="B472" s="13"/>
      <c r="C472" s="10"/>
      <c r="D472" s="10"/>
      <c r="E472" s="7"/>
      <c r="F472" s="22"/>
      <c r="G472" s="6">
        <f>SUM(E$9:$E472)-SUM(F$9:$F472)</f>
        <v>0</v>
      </c>
    </row>
    <row r="473" spans="1:7" ht="28.8" x14ac:dyDescent="0.55000000000000004">
      <c r="A473" s="12"/>
      <c r="B473" s="13"/>
      <c r="C473" s="10"/>
      <c r="D473" s="10"/>
      <c r="E473" s="7"/>
      <c r="F473" s="22"/>
      <c r="G473" s="6">
        <f>SUM(E$9:$E473)-SUM(F$9:$F473)</f>
        <v>0</v>
      </c>
    </row>
    <row r="474" spans="1:7" ht="28.8" x14ac:dyDescent="0.55000000000000004">
      <c r="A474" s="12"/>
      <c r="B474" s="13"/>
      <c r="C474" s="10"/>
      <c r="D474" s="10"/>
      <c r="E474" s="7"/>
      <c r="F474" s="22"/>
      <c r="G474" s="6">
        <f>SUM(E$9:$E474)-SUM(F$9:$F474)</f>
        <v>0</v>
      </c>
    </row>
    <row r="475" spans="1:7" ht="28.8" x14ac:dyDescent="0.55000000000000004">
      <c r="A475" s="12"/>
      <c r="B475" s="13"/>
      <c r="C475" s="10"/>
      <c r="D475" s="10"/>
      <c r="E475" s="7"/>
      <c r="F475" s="22"/>
      <c r="G475" s="6">
        <f>SUM(E$9:$E475)-SUM(F$9:$F475)</f>
        <v>0</v>
      </c>
    </row>
    <row r="476" spans="1:7" ht="28.8" x14ac:dyDescent="0.55000000000000004">
      <c r="A476" s="12"/>
      <c r="B476" s="13"/>
      <c r="C476" s="10"/>
      <c r="D476" s="10"/>
      <c r="E476" s="7"/>
      <c r="F476" s="22"/>
      <c r="G476" s="6">
        <f>SUM(E$9:$E476)-SUM(F$9:$F476)</f>
        <v>0</v>
      </c>
    </row>
    <row r="477" spans="1:7" ht="28.8" x14ac:dyDescent="0.55000000000000004">
      <c r="A477" s="12"/>
      <c r="B477" s="13"/>
      <c r="C477" s="10"/>
      <c r="D477" s="10"/>
      <c r="E477" s="7"/>
      <c r="F477" s="22"/>
      <c r="G477" s="6">
        <f>SUM(E$9:$E477)-SUM(F$9:$F477)</f>
        <v>0</v>
      </c>
    </row>
    <row r="478" spans="1:7" ht="28.8" x14ac:dyDescent="0.55000000000000004">
      <c r="A478" s="12"/>
      <c r="B478" s="13"/>
      <c r="C478" s="10"/>
      <c r="D478" s="10"/>
      <c r="E478" s="7"/>
      <c r="F478" s="22"/>
      <c r="G478" s="6">
        <f>SUM(E$9:$E478)-SUM(F$9:$F478)</f>
        <v>0</v>
      </c>
    </row>
    <row r="479" spans="1:7" ht="28.8" x14ac:dyDescent="0.55000000000000004">
      <c r="A479" s="12"/>
      <c r="B479" s="13"/>
      <c r="C479" s="10"/>
      <c r="D479" s="10"/>
      <c r="E479" s="7"/>
      <c r="F479" s="22"/>
      <c r="G479" s="6">
        <f>SUM(E$9:$E479)-SUM(F$9:$F479)</f>
        <v>0</v>
      </c>
    </row>
    <row r="480" spans="1:7" ht="28.8" x14ac:dyDescent="0.55000000000000004">
      <c r="A480" s="12"/>
      <c r="B480" s="13"/>
      <c r="C480" s="10"/>
      <c r="D480" s="10"/>
      <c r="E480" s="7"/>
      <c r="F480" s="22"/>
      <c r="G480" s="6">
        <f>SUM(E$9:$E480)-SUM(F$9:$F480)</f>
        <v>0</v>
      </c>
    </row>
    <row r="481" spans="1:7" ht="28.8" x14ac:dyDescent="0.55000000000000004">
      <c r="A481" s="12"/>
      <c r="B481" s="13"/>
      <c r="C481" s="10"/>
      <c r="D481" s="10"/>
      <c r="E481" s="7"/>
      <c r="F481" s="22"/>
      <c r="G481" s="6">
        <f>SUM(E$9:$E481)-SUM(F$9:$F481)</f>
        <v>0</v>
      </c>
    </row>
    <row r="482" spans="1:7" ht="28.8" x14ac:dyDescent="0.55000000000000004">
      <c r="A482" s="12"/>
      <c r="B482" s="13"/>
      <c r="C482" s="10"/>
      <c r="D482" s="10"/>
      <c r="E482" s="7"/>
      <c r="F482" s="22"/>
      <c r="G482" s="6">
        <f>SUM(E$9:$E482)-SUM(F$9:$F482)</f>
        <v>0</v>
      </c>
    </row>
    <row r="483" spans="1:7" ht="28.8" x14ac:dyDescent="0.55000000000000004">
      <c r="A483" s="12"/>
      <c r="B483" s="13"/>
      <c r="C483" s="10"/>
      <c r="D483" s="10"/>
      <c r="E483" s="7"/>
      <c r="F483" s="22"/>
      <c r="G483" s="6">
        <f>SUM(E$9:$E483)-SUM(F$9:$F483)</f>
        <v>0</v>
      </c>
    </row>
    <row r="484" spans="1:7" ht="28.8" x14ac:dyDescent="0.55000000000000004">
      <c r="A484" s="12"/>
      <c r="B484" s="13"/>
      <c r="C484" s="10"/>
      <c r="D484" s="10"/>
      <c r="E484" s="7"/>
      <c r="F484" s="22"/>
      <c r="G484" s="6">
        <f>SUM(E$9:$E484)-SUM(F$9:$F484)</f>
        <v>0</v>
      </c>
    </row>
    <row r="485" spans="1:7" ht="28.8" x14ac:dyDescent="0.55000000000000004">
      <c r="A485" s="12"/>
      <c r="B485" s="13"/>
      <c r="C485" s="10"/>
      <c r="D485" s="10"/>
      <c r="E485" s="7"/>
      <c r="F485" s="22"/>
      <c r="G485" s="6">
        <f>SUM(E$9:$E485)-SUM(F$9:$F485)</f>
        <v>0</v>
      </c>
    </row>
    <row r="486" spans="1:7" ht="28.8" x14ac:dyDescent="0.55000000000000004">
      <c r="A486" s="12"/>
      <c r="B486" s="13"/>
      <c r="C486" s="10"/>
      <c r="D486" s="10"/>
      <c r="E486" s="7"/>
      <c r="F486" s="22"/>
      <c r="G486" s="6">
        <f>SUM(E$9:$E486)-SUM(F$9:$F486)</f>
        <v>0</v>
      </c>
    </row>
    <row r="487" spans="1:7" ht="28.8" x14ac:dyDescent="0.55000000000000004">
      <c r="A487" s="12"/>
      <c r="B487" s="13"/>
      <c r="C487" s="10"/>
      <c r="D487" s="10"/>
      <c r="E487" s="7"/>
      <c r="F487" s="22"/>
      <c r="G487" s="6">
        <f>SUM(E$9:$E487)-SUM(F$9:$F487)</f>
        <v>0</v>
      </c>
    </row>
    <row r="488" spans="1:7" ht="28.8" x14ac:dyDescent="0.55000000000000004">
      <c r="A488" s="12"/>
      <c r="B488" s="13"/>
      <c r="C488" s="10"/>
      <c r="D488" s="10"/>
      <c r="E488" s="7"/>
      <c r="F488" s="22"/>
      <c r="G488" s="6">
        <f>SUM(E$9:$E488)-SUM(F$9:$F488)</f>
        <v>0</v>
      </c>
    </row>
    <row r="489" spans="1:7" ht="28.8" x14ac:dyDescent="0.55000000000000004">
      <c r="A489" s="12"/>
      <c r="B489" s="13"/>
      <c r="C489" s="10"/>
      <c r="D489" s="10"/>
      <c r="E489" s="7"/>
      <c r="F489" s="22"/>
      <c r="G489" s="6">
        <f>SUM(E$9:$E489)-SUM(F$9:$F489)</f>
        <v>0</v>
      </c>
    </row>
    <row r="490" spans="1:7" ht="28.8" x14ac:dyDescent="0.55000000000000004">
      <c r="A490" s="12"/>
      <c r="B490" s="13"/>
      <c r="C490" s="10"/>
      <c r="D490" s="10"/>
      <c r="E490" s="7"/>
      <c r="F490" s="22"/>
      <c r="G490" s="6">
        <f>SUM(E$9:$E490)-SUM(F$9:$F490)</f>
        <v>0</v>
      </c>
    </row>
    <row r="491" spans="1:7" ht="28.8" x14ac:dyDescent="0.55000000000000004">
      <c r="A491" s="12"/>
      <c r="B491" s="13"/>
      <c r="C491" s="10"/>
      <c r="D491" s="10"/>
      <c r="E491" s="7"/>
      <c r="F491" s="22"/>
      <c r="G491" s="6">
        <f>SUM(E$9:$E491)-SUM(F$9:$F491)</f>
        <v>0</v>
      </c>
    </row>
    <row r="492" spans="1:7" ht="28.8" x14ac:dyDescent="0.55000000000000004">
      <c r="A492" s="12"/>
      <c r="B492" s="13"/>
      <c r="C492" s="10"/>
      <c r="D492" s="10"/>
      <c r="E492" s="7"/>
      <c r="F492" s="22"/>
      <c r="G492" s="6">
        <f>SUM(E$9:$E492)-SUM(F$9:$F492)</f>
        <v>0</v>
      </c>
    </row>
    <row r="493" spans="1:7" ht="28.8" x14ac:dyDescent="0.55000000000000004">
      <c r="A493" s="12"/>
      <c r="B493" s="13"/>
      <c r="C493" s="10"/>
      <c r="D493" s="10"/>
      <c r="E493" s="7"/>
      <c r="F493" s="22"/>
      <c r="G493" s="6">
        <f>SUM(E$9:$E493)-SUM(F$9:$F493)</f>
        <v>0</v>
      </c>
    </row>
    <row r="494" spans="1:7" ht="28.8" x14ac:dyDescent="0.55000000000000004">
      <c r="A494" s="12"/>
      <c r="B494" s="13"/>
      <c r="C494" s="10"/>
      <c r="D494" s="10"/>
      <c r="E494" s="7"/>
      <c r="F494" s="22"/>
      <c r="G494" s="6">
        <f>SUM(E$9:$E494)-SUM(F$9:$F494)</f>
        <v>0</v>
      </c>
    </row>
    <row r="495" spans="1:7" ht="28.8" x14ac:dyDescent="0.55000000000000004">
      <c r="A495" s="12"/>
      <c r="B495" s="13"/>
      <c r="C495" s="10"/>
      <c r="D495" s="10"/>
      <c r="E495" s="7"/>
      <c r="F495" s="22"/>
      <c r="G495" s="6">
        <f>SUM(E$9:$E495)-SUM(F$9:$F495)</f>
        <v>0</v>
      </c>
    </row>
    <row r="496" spans="1:7" ht="28.8" x14ac:dyDescent="0.55000000000000004">
      <c r="A496" s="12"/>
      <c r="B496" s="13"/>
      <c r="C496" s="10"/>
      <c r="D496" s="10"/>
      <c r="E496" s="7"/>
      <c r="F496" s="22"/>
      <c r="G496" s="6">
        <f>SUM(E$9:$E496)-SUM(F$9:$F496)</f>
        <v>0</v>
      </c>
    </row>
    <row r="497" spans="1:7" ht="28.8" x14ac:dyDescent="0.55000000000000004">
      <c r="A497" s="12"/>
      <c r="B497" s="13"/>
      <c r="C497" s="10"/>
      <c r="D497" s="10"/>
      <c r="E497" s="7"/>
      <c r="F497" s="22"/>
      <c r="G497" s="6">
        <f>SUM(E$9:$E497)-SUM(F$9:$F497)</f>
        <v>0</v>
      </c>
    </row>
    <row r="498" spans="1:7" ht="28.8" x14ac:dyDescent="0.55000000000000004">
      <c r="A498" s="12"/>
      <c r="B498" s="13"/>
      <c r="C498" s="10"/>
      <c r="D498" s="10"/>
      <c r="E498" s="7"/>
      <c r="F498" s="22"/>
      <c r="G498" s="6">
        <f>SUM(E$9:$E498)-SUM(F$9:$F498)</f>
        <v>0</v>
      </c>
    </row>
    <row r="499" spans="1:7" ht="28.8" x14ac:dyDescent="0.55000000000000004">
      <c r="A499" s="12"/>
      <c r="B499" s="13"/>
      <c r="C499" s="10"/>
      <c r="D499" s="10"/>
      <c r="E499" s="7"/>
      <c r="F499" s="22"/>
      <c r="G499" s="6">
        <f>SUM(E$9:$E499)-SUM(F$9:$F499)</f>
        <v>0</v>
      </c>
    </row>
    <row r="500" spans="1:7" ht="28.8" x14ac:dyDescent="0.55000000000000004">
      <c r="A500" s="12"/>
      <c r="B500" s="13"/>
      <c r="C500" s="10"/>
      <c r="D500" s="10"/>
      <c r="E500" s="7"/>
      <c r="F500" s="22"/>
      <c r="G500" s="6">
        <f>SUM(E$9:$E500)-SUM(F$9:$F500)</f>
        <v>0</v>
      </c>
    </row>
    <row r="501" spans="1:7" ht="28.8" x14ac:dyDescent="0.55000000000000004">
      <c r="A501" s="12"/>
      <c r="B501" s="13"/>
      <c r="C501" s="10"/>
      <c r="D501" s="10"/>
      <c r="E501" s="7"/>
      <c r="F501" s="22"/>
      <c r="G501" s="6">
        <f>SUM(E$9:$E501)-SUM(F$9:$F501)</f>
        <v>0</v>
      </c>
    </row>
    <row r="502" spans="1:7" ht="28.8" x14ac:dyDescent="0.55000000000000004">
      <c r="A502" s="12"/>
      <c r="B502" s="13"/>
      <c r="C502" s="10"/>
      <c r="D502" s="10"/>
      <c r="E502" s="7"/>
      <c r="F502" s="22"/>
      <c r="G502" s="6">
        <f>SUM(E$9:$E502)-SUM(F$9:$F502)</f>
        <v>0</v>
      </c>
    </row>
    <row r="503" spans="1:7" ht="28.8" x14ac:dyDescent="0.55000000000000004">
      <c r="A503" s="12"/>
      <c r="B503" s="13"/>
      <c r="C503" s="10"/>
      <c r="D503" s="10"/>
      <c r="E503" s="7"/>
      <c r="F503" s="22"/>
      <c r="G503" s="6">
        <f>SUM(E$9:$E503)-SUM(F$9:$F503)</f>
        <v>0</v>
      </c>
    </row>
    <row r="504" spans="1:7" ht="28.8" x14ac:dyDescent="0.55000000000000004">
      <c r="A504" s="12"/>
      <c r="B504" s="13"/>
      <c r="C504" s="10"/>
      <c r="D504" s="10"/>
      <c r="E504" s="7"/>
      <c r="F504" s="22"/>
      <c r="G504" s="6">
        <f>SUM(E$9:$E504)-SUM(F$9:$F504)</f>
        <v>0</v>
      </c>
    </row>
    <row r="505" spans="1:7" ht="28.8" x14ac:dyDescent="0.55000000000000004">
      <c r="A505" s="12"/>
      <c r="B505" s="13"/>
      <c r="C505" s="10"/>
      <c r="D505" s="10"/>
      <c r="E505" s="7"/>
      <c r="F505" s="22"/>
      <c r="G505" s="6">
        <f>SUM(E$9:$E505)-SUM(F$9:$F505)</f>
        <v>0</v>
      </c>
    </row>
    <row r="506" spans="1:7" ht="28.8" x14ac:dyDescent="0.55000000000000004">
      <c r="A506" s="12"/>
      <c r="B506" s="13"/>
      <c r="C506" s="10"/>
      <c r="D506" s="10"/>
      <c r="E506" s="7"/>
      <c r="F506" s="22"/>
      <c r="G506" s="6">
        <f>SUM(E$9:$E506)-SUM(F$9:$F506)</f>
        <v>0</v>
      </c>
    </row>
    <row r="507" spans="1:7" ht="28.8" x14ac:dyDescent="0.55000000000000004">
      <c r="A507" s="12"/>
      <c r="B507" s="13"/>
      <c r="C507" s="10"/>
      <c r="D507" s="10"/>
      <c r="E507" s="7"/>
      <c r="F507" s="22"/>
      <c r="G507" s="6">
        <f>SUM(E$9:$E507)-SUM(F$9:$F507)</f>
        <v>0</v>
      </c>
    </row>
    <row r="508" spans="1:7" ht="28.8" x14ac:dyDescent="0.55000000000000004">
      <c r="A508" s="12"/>
      <c r="B508" s="13"/>
      <c r="C508" s="10"/>
      <c r="D508" s="10"/>
      <c r="E508" s="7"/>
      <c r="F508" s="22"/>
      <c r="G508" s="6">
        <f>SUM(E$9:$E508)-SUM(F$9:$F508)</f>
        <v>0</v>
      </c>
    </row>
    <row r="509" spans="1:7" ht="28.8" x14ac:dyDescent="0.55000000000000004">
      <c r="A509" s="12"/>
      <c r="B509" s="13"/>
      <c r="C509" s="10"/>
      <c r="D509" s="10"/>
      <c r="E509" s="7">
        <f>+$I$2+(SUNSTEEKEVIN[[#This Row],[QUANTITE]]*SUNSTEEKEVIN[[#This Row],[PRIX UNITAIRE]])</f>
        <v>0</v>
      </c>
      <c r="F509" s="22"/>
      <c r="G509" s="6">
        <f>SUM(E$9:$E509)-SUM(F$9:$F509)</f>
        <v>0</v>
      </c>
    </row>
    <row r="510" spans="1:7" ht="28.8" x14ac:dyDescent="0.55000000000000004">
      <c r="A510" s="12"/>
      <c r="B510" s="13"/>
      <c r="C510" s="10"/>
      <c r="D510" s="10"/>
      <c r="E510" s="7">
        <f>+$I$2+(SUNSTEEKEVIN[[#This Row],[QUANTITE]]*SUNSTEEKEVIN[[#This Row],[PRIX UNITAIRE]])</f>
        <v>0</v>
      </c>
      <c r="F510" s="22"/>
      <c r="G510" s="6">
        <f>SUM(E$9:$E510)-SUM(F$9:$F510)</f>
        <v>0</v>
      </c>
    </row>
    <row r="511" spans="1:7" ht="28.8" x14ac:dyDescent="0.55000000000000004">
      <c r="A511" s="12"/>
      <c r="B511" s="13"/>
      <c r="C511" s="10"/>
      <c r="D511" s="10"/>
      <c r="E511" s="7">
        <f>+$I$2+(SUNSTEEKEVIN[[#This Row],[QUANTITE]]*SUNSTEEKEVIN[[#This Row],[PRIX UNITAIRE]])</f>
        <v>0</v>
      </c>
      <c r="F511" s="22"/>
      <c r="G511" s="6">
        <f>SUM(E$9:$E511)-SUM(F$9:$F511)</f>
        <v>0</v>
      </c>
    </row>
    <row r="512" spans="1:7" ht="28.8" x14ac:dyDescent="0.55000000000000004">
      <c r="A512" s="12"/>
      <c r="B512" s="13"/>
      <c r="C512" s="10"/>
      <c r="D512" s="10"/>
      <c r="E512" s="7">
        <f>+$I$2+(SUNSTEEKEVIN[[#This Row],[QUANTITE]]*SUNSTEEKEVIN[[#This Row],[PRIX UNITAIRE]])</f>
        <v>0</v>
      </c>
      <c r="F512" s="22"/>
      <c r="G512" s="6">
        <f>SUM(E$9:$E512)-SUM(F$9:$F512)</f>
        <v>0</v>
      </c>
    </row>
  </sheetData>
  <sheetProtection selectLockedCells="1" autoFilter="0"/>
  <mergeCells count="1">
    <mergeCell ref="B6:C6"/>
  </mergeCells>
  <conditionalFormatting sqref="A1:C1 A2:G4">
    <cfRule type="expression" dxfId="729" priority="1">
      <formula>$E$6=FALSE</formula>
    </cfRule>
  </conditionalFormatting>
  <conditionalFormatting sqref="B9:B512">
    <cfRule type="expression" dxfId="728" priority="5">
      <formula>$F9</formula>
    </cfRule>
  </conditionalFormatting>
  <conditionalFormatting sqref="G4">
    <cfRule type="cellIs" dxfId="727" priority="2" operator="lessThan">
      <formula>0</formula>
    </cfRule>
    <cfRule type="cellIs" dxfId="726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51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/>
  <dimension ref="A1:I109"/>
  <sheetViews>
    <sheetView showGridLines="0" zoomScale="60" zoomScaleNormal="60" workbookViewId="0">
      <pane ySplit="8" topLeftCell="A9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1"/>
      <c r="B1" s="31"/>
      <c r="C1" s="31"/>
    </row>
    <row r="2" spans="1:9" ht="36" customHeight="1" thickBot="1" x14ac:dyDescent="0.65">
      <c r="A2" s="31"/>
      <c r="B2" s="31"/>
      <c r="C2" s="31"/>
      <c r="D2" s="37"/>
      <c r="E2" s="38"/>
      <c r="F2" s="38"/>
      <c r="G2" s="38"/>
      <c r="I2" s="1">
        <v>0</v>
      </c>
    </row>
    <row r="3" spans="1:9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31"/>
      <c r="B4" s="31"/>
      <c r="C4" s="31"/>
      <c r="D4" s="36" t="s">
        <v>19</v>
      </c>
      <c r="E4" s="39">
        <f>+SUM(MOUSTAPHAFAWAZ[TOTAL MONTANT])</f>
        <v>1137500</v>
      </c>
      <c r="F4" s="39">
        <f>+SUM(MOUSTAPHAFAWAZ[VERSEMENT])</f>
        <v>807500</v>
      </c>
      <c r="G4" s="39">
        <f>+E4-F4</f>
        <v>330000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13" t="s">
        <v>74</v>
      </c>
      <c r="C6" s="114"/>
      <c r="E6" s="42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332500</v>
      </c>
      <c r="E9" s="7">
        <v>332500</v>
      </c>
      <c r="F9" s="22">
        <v>0</v>
      </c>
      <c r="G9" s="6">
        <f>SUM(E$9:$E9)-SUM(F$9:$F9)</f>
        <v>332500</v>
      </c>
    </row>
    <row r="10" spans="1:9" ht="28.8" x14ac:dyDescent="0.55000000000000004">
      <c r="A10" s="24">
        <v>46066</v>
      </c>
      <c r="B10" s="13" t="s">
        <v>75</v>
      </c>
      <c r="C10" s="26">
        <v>3</v>
      </c>
      <c r="D10" s="26">
        <v>65000</v>
      </c>
      <c r="E10" s="7">
        <v>195000</v>
      </c>
      <c r="F10" s="30">
        <v>0</v>
      </c>
      <c r="G10" s="29">
        <f>SUM(E$9:$E10)-SUM(F$9:$F10)</f>
        <v>527500</v>
      </c>
    </row>
    <row r="11" spans="1:9" ht="28.8" x14ac:dyDescent="0.55000000000000004">
      <c r="A11" s="24">
        <v>46072</v>
      </c>
      <c r="B11" s="13" t="s">
        <v>76</v>
      </c>
      <c r="C11" s="26">
        <v>2</v>
      </c>
      <c r="D11" s="26">
        <v>32500</v>
      </c>
      <c r="E11" s="7">
        <v>65000</v>
      </c>
      <c r="F11" s="30">
        <v>0</v>
      </c>
      <c r="G11" s="29">
        <f>SUM(E$9:$E11)-SUM(F$9:$F11)</f>
        <v>592500</v>
      </c>
    </row>
    <row r="12" spans="1:9" ht="28.8" x14ac:dyDescent="0.55000000000000004">
      <c r="A12" s="24">
        <v>46080</v>
      </c>
      <c r="B12" s="13" t="s">
        <v>77</v>
      </c>
      <c r="C12" s="26">
        <v>2</v>
      </c>
      <c r="D12" s="26">
        <v>35000</v>
      </c>
      <c r="E12" s="7">
        <v>70000</v>
      </c>
      <c r="F12" s="30">
        <v>0</v>
      </c>
      <c r="G12" s="29">
        <f>SUM(E$9:$E12)-SUM(F$9:$F12)</f>
        <v>662500</v>
      </c>
    </row>
    <row r="13" spans="1:9" ht="28.8" x14ac:dyDescent="0.55000000000000004">
      <c r="A13" s="24">
        <v>46083</v>
      </c>
      <c r="B13" s="13" t="s">
        <v>78</v>
      </c>
      <c r="C13" s="26">
        <v>2</v>
      </c>
      <c r="D13" s="26">
        <v>35000</v>
      </c>
      <c r="E13" s="7">
        <v>70000</v>
      </c>
      <c r="F13" s="30">
        <v>0</v>
      </c>
      <c r="G13" s="29">
        <f>SUM(E$9:$E13)-SUM(F$9:$F13)</f>
        <v>732500</v>
      </c>
    </row>
    <row r="14" spans="1:9" ht="28.8" x14ac:dyDescent="0.55000000000000004">
      <c r="A14" s="24">
        <v>46084</v>
      </c>
      <c r="B14" s="13" t="s">
        <v>79</v>
      </c>
      <c r="C14" s="26">
        <v>2</v>
      </c>
      <c r="D14" s="26">
        <v>37500</v>
      </c>
      <c r="E14" s="7">
        <v>75000</v>
      </c>
      <c r="F14" s="30">
        <v>0</v>
      </c>
      <c r="G14" s="29">
        <f>SUM(E$9:$E14)-SUM(F$9:$F14)</f>
        <v>807500</v>
      </c>
    </row>
    <row r="15" spans="1:9" ht="28.8" x14ac:dyDescent="0.55000000000000004">
      <c r="A15" s="24">
        <v>46091</v>
      </c>
      <c r="B15" s="13" t="s">
        <v>11</v>
      </c>
      <c r="C15" s="26">
        <v>1</v>
      </c>
      <c r="D15" s="26">
        <v>0</v>
      </c>
      <c r="E15" s="7">
        <v>0</v>
      </c>
      <c r="F15" s="30">
        <v>807500</v>
      </c>
      <c r="G15" s="29">
        <f>SUM(E$9:$E15)-SUM(F$9:$F15)</f>
        <v>0</v>
      </c>
    </row>
    <row r="16" spans="1:9" ht="28.8" x14ac:dyDescent="0.55000000000000004">
      <c r="A16" s="24">
        <v>46092</v>
      </c>
      <c r="B16" s="13" t="s">
        <v>80</v>
      </c>
      <c r="C16" s="26">
        <v>4</v>
      </c>
      <c r="D16" s="26">
        <v>37500</v>
      </c>
      <c r="E16" s="27">
        <v>150000</v>
      </c>
      <c r="F16" s="30">
        <v>0</v>
      </c>
      <c r="G16" s="29">
        <f>SUM(E$9:$E16)-SUM(F$9:$F16)</f>
        <v>150000</v>
      </c>
    </row>
    <row r="17" spans="1:7" ht="28.8" x14ac:dyDescent="0.55000000000000004">
      <c r="A17" s="24">
        <v>46099</v>
      </c>
      <c r="B17" s="13" t="s">
        <v>81</v>
      </c>
      <c r="C17" s="26">
        <v>4</v>
      </c>
      <c r="D17" s="26">
        <v>45000</v>
      </c>
      <c r="E17" s="27">
        <v>180000</v>
      </c>
      <c r="F17" s="30">
        <v>0</v>
      </c>
      <c r="G17" s="29">
        <f>SUM(E$9:$E17)-SUM(F$9:$F17)</f>
        <v>330000</v>
      </c>
    </row>
    <row r="18" spans="1:7" ht="28.8" x14ac:dyDescent="0.55000000000000004">
      <c r="A18" s="24"/>
      <c r="B18" s="13"/>
      <c r="C18" s="26"/>
      <c r="D18" s="26"/>
      <c r="E18" s="27">
        <f>MOUSTAPHAFAWAZ[[#This Row],[PRIX UNITAIRE]]*MOUSTAPHAFAWAZ[[#This Row],[QUANTITE]]</f>
        <v>0</v>
      </c>
      <c r="F18" s="30"/>
      <c r="G18" s="29">
        <f>SUM(E$9:$E18)-SUM(F$9:$F18)</f>
        <v>330000</v>
      </c>
    </row>
    <row r="19" spans="1:7" ht="28.8" x14ac:dyDescent="0.55000000000000004">
      <c r="A19" s="24"/>
      <c r="B19" s="13"/>
      <c r="C19" s="26"/>
      <c r="D19" s="26"/>
      <c r="E19" s="27">
        <f>MOUSTAPHAFAWAZ[[#This Row],[PRIX UNITAIRE]]*MOUSTAPHAFAWAZ[[#This Row],[QUANTITE]]</f>
        <v>0</v>
      </c>
      <c r="F19" s="30"/>
      <c r="G19" s="29">
        <f>SUM(E$9:$E19)-SUM(F$9:$F19)</f>
        <v>330000</v>
      </c>
    </row>
    <row r="20" spans="1:7" ht="28.8" x14ac:dyDescent="0.55000000000000004">
      <c r="A20" s="24"/>
      <c r="B20" s="13"/>
      <c r="C20" s="26"/>
      <c r="D20" s="26"/>
      <c r="E20" s="27">
        <f>MOUSTAPHAFAWAZ[[#This Row],[PRIX UNITAIRE]]*MOUSTAPHAFAWAZ[[#This Row],[QUANTITE]]</f>
        <v>0</v>
      </c>
      <c r="F20" s="30"/>
      <c r="G20" s="29">
        <f>SUM(E$9:$E20)-SUM(F$9:$F20)</f>
        <v>330000</v>
      </c>
    </row>
    <row r="21" spans="1:7" ht="28.8" x14ac:dyDescent="0.55000000000000004">
      <c r="A21" s="24"/>
      <c r="B21" s="13"/>
      <c r="C21" s="26"/>
      <c r="D21" s="26"/>
      <c r="E21" s="27">
        <f>MOUSTAPHAFAWAZ[[#This Row],[PRIX UNITAIRE]]*MOUSTAPHAFAWAZ[[#This Row],[QUANTITE]]</f>
        <v>0</v>
      </c>
      <c r="F21" s="30"/>
      <c r="G21" s="29">
        <f>SUM(E$9:$E21)-SUM(F$9:$F21)</f>
        <v>330000</v>
      </c>
    </row>
    <row r="22" spans="1:7" ht="28.8" x14ac:dyDescent="0.55000000000000004">
      <c r="A22" s="24"/>
      <c r="B22" s="13"/>
      <c r="C22" s="26"/>
      <c r="D22" s="26"/>
      <c r="E22" s="27">
        <f>MOUSTAPHAFAWAZ[[#This Row],[PRIX UNITAIRE]]*MOUSTAPHAFAWAZ[[#This Row],[QUANTITE]]</f>
        <v>0</v>
      </c>
      <c r="F22" s="30"/>
      <c r="G22" s="29">
        <f>SUM(E$9:$E22)-SUM(F$9:$F22)</f>
        <v>330000</v>
      </c>
    </row>
    <row r="23" spans="1:7" ht="28.8" x14ac:dyDescent="0.55000000000000004">
      <c r="A23" s="24"/>
      <c r="B23" s="13"/>
      <c r="C23" s="26"/>
      <c r="D23" s="26"/>
      <c r="E23" s="27">
        <f>MOUSTAPHAFAWAZ[[#This Row],[PRIX UNITAIRE]]*MOUSTAPHAFAWAZ[[#This Row],[QUANTITE]]</f>
        <v>0</v>
      </c>
      <c r="F23" s="30"/>
      <c r="G23" s="29">
        <f>SUM(E$9:$E23)-SUM(F$9:$F23)</f>
        <v>330000</v>
      </c>
    </row>
    <row r="24" spans="1:7" ht="28.8" x14ac:dyDescent="0.55000000000000004">
      <c r="A24" s="24"/>
      <c r="B24" s="13"/>
      <c r="C24" s="26"/>
      <c r="D24" s="26"/>
      <c r="E24" s="27">
        <f>MOUSTAPHAFAWAZ[[#This Row],[PRIX UNITAIRE]]*MOUSTAPHAFAWAZ[[#This Row],[QUANTITE]]</f>
        <v>0</v>
      </c>
      <c r="F24" s="30"/>
      <c r="G24" s="29">
        <f>SUM(E$9:$E24)-SUM(F$9:$F24)</f>
        <v>330000</v>
      </c>
    </row>
    <row r="25" spans="1:7" ht="28.8" x14ac:dyDescent="0.55000000000000004">
      <c r="A25" s="24"/>
      <c r="B25" s="13"/>
      <c r="C25" s="26"/>
      <c r="D25" s="26"/>
      <c r="E25" s="27">
        <f>MOUSTAPHAFAWAZ[[#This Row],[PRIX UNITAIRE]]*MOUSTAPHAFAWAZ[[#This Row],[QUANTITE]]</f>
        <v>0</v>
      </c>
      <c r="F25" s="30"/>
      <c r="G25" s="29">
        <f>SUM(E$9:$E25)-SUM(F$9:$F25)</f>
        <v>330000</v>
      </c>
    </row>
    <row r="26" spans="1:7" ht="28.8" x14ac:dyDescent="0.55000000000000004">
      <c r="A26" s="24"/>
      <c r="B26" s="13"/>
      <c r="C26" s="26"/>
      <c r="D26" s="26"/>
      <c r="E26" s="27">
        <f>MOUSTAPHAFAWAZ[[#This Row],[PRIX UNITAIRE]]*MOUSTAPHAFAWAZ[[#This Row],[QUANTITE]]</f>
        <v>0</v>
      </c>
      <c r="F26" s="30"/>
      <c r="G26" s="29">
        <f>SUM(E$9:$E26)-SUM(F$9:$F26)</f>
        <v>330000</v>
      </c>
    </row>
    <row r="27" spans="1:7" ht="28.8" x14ac:dyDescent="0.55000000000000004">
      <c r="A27" s="24"/>
      <c r="B27" s="13"/>
      <c r="C27" s="26"/>
      <c r="D27" s="26"/>
      <c r="E27" s="27">
        <f>MOUSTAPHAFAWAZ[[#This Row],[PRIX UNITAIRE]]*MOUSTAPHAFAWAZ[[#This Row],[QUANTITE]]</f>
        <v>0</v>
      </c>
      <c r="F27" s="22"/>
      <c r="G27" s="29">
        <f>SUM(E$9:$E27)-SUM(F$9:$F27)</f>
        <v>330000</v>
      </c>
    </row>
    <row r="28" spans="1:7" ht="28.8" x14ac:dyDescent="0.55000000000000004">
      <c r="A28" s="24"/>
      <c r="B28" s="13"/>
      <c r="C28" s="26"/>
      <c r="D28" s="26"/>
      <c r="E28" s="27">
        <f>MOUSTAPHAFAWAZ[[#This Row],[PRIX UNITAIRE]]*MOUSTAPHAFAWAZ[[#This Row],[QUANTITE]]</f>
        <v>0</v>
      </c>
      <c r="F28" s="30"/>
      <c r="G28" s="29">
        <f>SUM(E$9:$E28)-SUM(F$9:$F28)</f>
        <v>330000</v>
      </c>
    </row>
    <row r="29" spans="1:7" ht="28.8" x14ac:dyDescent="0.55000000000000004">
      <c r="A29" s="24"/>
      <c r="B29" s="13"/>
      <c r="C29" s="26"/>
      <c r="D29" s="26"/>
      <c r="E29" s="27">
        <f>MOUSTAPHAFAWAZ[[#This Row],[PRIX UNITAIRE]]*MOUSTAPHAFAWAZ[[#This Row],[QUANTITE]]</f>
        <v>0</v>
      </c>
      <c r="F29" s="30"/>
      <c r="G29" s="29">
        <f>SUM(E$9:$E29)-SUM(F$9:$F29)</f>
        <v>330000</v>
      </c>
    </row>
    <row r="30" spans="1:7" ht="28.8" x14ac:dyDescent="0.55000000000000004">
      <c r="A30" s="24"/>
      <c r="B30" s="13"/>
      <c r="C30" s="26"/>
      <c r="D30" s="26"/>
      <c r="E30" s="27">
        <f>MOUSTAPHAFAWAZ[[#This Row],[PRIX UNITAIRE]]*MOUSTAPHAFAWAZ[[#This Row],[QUANTITE]]</f>
        <v>0</v>
      </c>
      <c r="F30" s="30"/>
      <c r="G30" s="29">
        <f>SUM(E$9:$E30)-SUM(F$9:$F30)</f>
        <v>330000</v>
      </c>
    </row>
    <row r="31" spans="1:7" ht="28.8" x14ac:dyDescent="0.55000000000000004">
      <c r="A31" s="24"/>
      <c r="B31" s="13"/>
      <c r="C31" s="26"/>
      <c r="D31" s="26"/>
      <c r="E31" s="27">
        <f>MOUSTAPHAFAWAZ[[#This Row],[PRIX UNITAIRE]]*MOUSTAPHAFAWAZ[[#This Row],[QUANTITE]]</f>
        <v>0</v>
      </c>
      <c r="F31" s="30"/>
      <c r="G31" s="29">
        <f>SUM(E$9:$E31)-SUM(F$9:$F31)</f>
        <v>330000</v>
      </c>
    </row>
    <row r="32" spans="1:7" ht="28.8" x14ac:dyDescent="0.55000000000000004">
      <c r="A32" s="24"/>
      <c r="B32" s="13"/>
      <c r="C32" s="26"/>
      <c r="D32" s="26"/>
      <c r="E32" s="27">
        <f>MOUSTAPHAFAWAZ[[#This Row],[PRIX UNITAIRE]]*MOUSTAPHAFAWAZ[[#This Row],[QUANTITE]]</f>
        <v>0</v>
      </c>
      <c r="F32" s="30"/>
      <c r="G32" s="29">
        <f>SUM(E$9:$E32)-SUM(F$9:$F32)</f>
        <v>330000</v>
      </c>
    </row>
    <row r="33" spans="1:7" ht="28.8" x14ac:dyDescent="0.55000000000000004">
      <c r="A33" s="24"/>
      <c r="B33" s="13"/>
      <c r="C33" s="26"/>
      <c r="D33" s="26"/>
      <c r="E33" s="27">
        <f>MOUSTAPHAFAWAZ[[#This Row],[PRIX UNITAIRE]]*MOUSTAPHAFAWAZ[[#This Row],[QUANTITE]]</f>
        <v>0</v>
      </c>
      <c r="F33" s="30"/>
      <c r="G33" s="29">
        <f>SUM(E$9:$E33)-SUM(F$9:$F33)</f>
        <v>330000</v>
      </c>
    </row>
    <row r="34" spans="1:7" ht="28.8" x14ac:dyDescent="0.55000000000000004">
      <c r="A34" s="24"/>
      <c r="B34" s="13"/>
      <c r="C34" s="26"/>
      <c r="D34" s="26"/>
      <c r="E34" s="27">
        <f>MOUSTAPHAFAWAZ[[#This Row],[PRIX UNITAIRE]]*MOUSTAPHAFAWAZ[[#This Row],[QUANTITE]]</f>
        <v>0</v>
      </c>
      <c r="F34" s="30"/>
      <c r="G34" s="29">
        <f>SUM(E$9:$E34)-SUM(F$9:$F34)</f>
        <v>330000</v>
      </c>
    </row>
    <row r="35" spans="1:7" ht="28.8" x14ac:dyDescent="0.55000000000000004">
      <c r="A35" s="24"/>
      <c r="B35" s="13"/>
      <c r="C35" s="26"/>
      <c r="D35" s="26"/>
      <c r="E35" s="27">
        <f>MOUSTAPHAFAWAZ[[#This Row],[PRIX UNITAIRE]]*MOUSTAPHAFAWAZ[[#This Row],[QUANTITE]]</f>
        <v>0</v>
      </c>
      <c r="F35" s="30"/>
      <c r="G35" s="29">
        <f>SUM(E$9:$E35)-SUM(F$9:$F35)</f>
        <v>330000</v>
      </c>
    </row>
    <row r="36" spans="1:7" ht="28.8" x14ac:dyDescent="0.55000000000000004">
      <c r="A36" s="24"/>
      <c r="B36" s="13"/>
      <c r="C36" s="26"/>
      <c r="D36" s="26"/>
      <c r="E36" s="27">
        <f>MOUSTAPHAFAWAZ[[#This Row],[PRIX UNITAIRE]]*MOUSTAPHAFAWAZ[[#This Row],[QUANTITE]]</f>
        <v>0</v>
      </c>
      <c r="F36" s="30"/>
      <c r="G36" s="29">
        <f>SUM(E$9:$E36)-SUM(F$9:$F36)</f>
        <v>330000</v>
      </c>
    </row>
    <row r="37" spans="1:7" ht="28.8" x14ac:dyDescent="0.55000000000000004">
      <c r="A37" s="24"/>
      <c r="B37" s="13"/>
      <c r="C37" s="26"/>
      <c r="D37" s="26"/>
      <c r="E37" s="27">
        <f>MOUSTAPHAFAWAZ[[#This Row],[PRIX UNITAIRE]]*MOUSTAPHAFAWAZ[[#This Row],[QUANTITE]]</f>
        <v>0</v>
      </c>
      <c r="F37" s="30"/>
      <c r="G37" s="29">
        <f>SUM(E$9:$E37)-SUM(F$9:$F37)</f>
        <v>330000</v>
      </c>
    </row>
    <row r="38" spans="1:7" ht="28.8" x14ac:dyDescent="0.55000000000000004">
      <c r="A38" s="24"/>
      <c r="B38" s="13"/>
      <c r="C38" s="26"/>
      <c r="D38" s="26"/>
      <c r="E38" s="27">
        <f>MOUSTAPHAFAWAZ[[#This Row],[PRIX UNITAIRE]]*MOUSTAPHAFAWAZ[[#This Row],[QUANTITE]]</f>
        <v>0</v>
      </c>
      <c r="F38" s="30"/>
      <c r="G38" s="29">
        <f>SUM(E$9:$E38)-SUM(F$9:$F38)</f>
        <v>330000</v>
      </c>
    </row>
    <row r="39" spans="1:7" ht="28.8" x14ac:dyDescent="0.55000000000000004">
      <c r="A39" s="24"/>
      <c r="B39" s="13"/>
      <c r="C39" s="26"/>
      <c r="D39" s="26"/>
      <c r="E39" s="27">
        <f>MOUSTAPHAFAWAZ[[#This Row],[PRIX UNITAIRE]]*MOUSTAPHAFAWAZ[[#This Row],[QUANTITE]]</f>
        <v>0</v>
      </c>
      <c r="F39" s="30"/>
      <c r="G39" s="29">
        <f>SUM(E$9:$E39)-SUM(F$9:$F39)</f>
        <v>330000</v>
      </c>
    </row>
    <row r="40" spans="1:7" ht="28.8" x14ac:dyDescent="0.55000000000000004">
      <c r="A40" s="24"/>
      <c r="B40" s="13"/>
      <c r="C40" s="26"/>
      <c r="D40" s="26"/>
      <c r="E40" s="27">
        <f>MOUSTAPHAFAWAZ[[#This Row],[PRIX UNITAIRE]]*MOUSTAPHAFAWAZ[[#This Row],[QUANTITE]]</f>
        <v>0</v>
      </c>
      <c r="F40" s="30"/>
      <c r="G40" s="29">
        <f>SUM(E$9:$E40)-SUM(F$9:$F40)</f>
        <v>330000</v>
      </c>
    </row>
    <row r="41" spans="1:7" ht="28.8" x14ac:dyDescent="0.55000000000000004">
      <c r="A41" s="24"/>
      <c r="B41" s="13"/>
      <c r="C41" s="26"/>
      <c r="D41" s="26"/>
      <c r="E41" s="27">
        <f>MOUSTAPHAFAWAZ[[#This Row],[PRIX UNITAIRE]]*MOUSTAPHAFAWAZ[[#This Row],[QUANTITE]]</f>
        <v>0</v>
      </c>
      <c r="F41" s="30"/>
      <c r="G41" s="29">
        <f>SUM(E$9:$E41)-SUM(F$9:$F41)</f>
        <v>330000</v>
      </c>
    </row>
    <row r="42" spans="1:7" ht="28.8" x14ac:dyDescent="0.55000000000000004">
      <c r="A42" s="24"/>
      <c r="B42" s="13"/>
      <c r="C42" s="26"/>
      <c r="D42" s="26"/>
      <c r="E42" s="27">
        <f>MOUSTAPHAFAWAZ[[#This Row],[PRIX UNITAIRE]]*MOUSTAPHAFAWAZ[[#This Row],[QUANTITE]]</f>
        <v>0</v>
      </c>
      <c r="F42" s="30"/>
      <c r="G42" s="29">
        <f>SUM(E$9:$E42)-SUM(F$9:$F42)</f>
        <v>330000</v>
      </c>
    </row>
    <row r="43" spans="1:7" ht="28.8" x14ac:dyDescent="0.55000000000000004">
      <c r="A43" s="24"/>
      <c r="B43" s="13"/>
      <c r="C43" s="26"/>
      <c r="D43" s="26"/>
      <c r="E43" s="27">
        <f>MOUSTAPHAFAWAZ[[#This Row],[PRIX UNITAIRE]]*MOUSTAPHAFAWAZ[[#This Row],[QUANTITE]]</f>
        <v>0</v>
      </c>
      <c r="F43" s="30"/>
      <c r="G43" s="29">
        <f>SUM(E$9:$E43)-SUM(F$9:$F43)</f>
        <v>330000</v>
      </c>
    </row>
    <row r="44" spans="1:7" ht="28.8" x14ac:dyDescent="0.55000000000000004">
      <c r="A44" s="24"/>
      <c r="B44" s="13"/>
      <c r="C44" s="26"/>
      <c r="D44" s="26"/>
      <c r="E44" s="27">
        <f>MOUSTAPHAFAWAZ[[#This Row],[PRIX UNITAIRE]]*MOUSTAPHAFAWAZ[[#This Row],[QUANTITE]]</f>
        <v>0</v>
      </c>
      <c r="F44" s="30"/>
      <c r="G44" s="29">
        <f>SUM(E$9:$E44)-SUM(F$9:$F44)</f>
        <v>330000</v>
      </c>
    </row>
    <row r="45" spans="1:7" ht="28.8" x14ac:dyDescent="0.55000000000000004">
      <c r="A45" s="24"/>
      <c r="B45" s="13"/>
      <c r="C45" s="26"/>
      <c r="D45" s="26"/>
      <c r="E45" s="27">
        <f>MOUSTAPHAFAWAZ[[#This Row],[PRIX UNITAIRE]]*MOUSTAPHAFAWAZ[[#This Row],[QUANTITE]]</f>
        <v>0</v>
      </c>
      <c r="F45" s="30"/>
      <c r="G45" s="29">
        <f>SUM(E$9:$E45)-SUM(F$9:$F45)</f>
        <v>330000</v>
      </c>
    </row>
    <row r="46" spans="1:7" ht="28.8" x14ac:dyDescent="0.55000000000000004">
      <c r="A46" s="24"/>
      <c r="B46" s="13"/>
      <c r="C46" s="26"/>
      <c r="D46" s="26"/>
      <c r="E46" s="27">
        <f>MOUSTAPHAFAWAZ[[#This Row],[PRIX UNITAIRE]]*MOUSTAPHAFAWAZ[[#This Row],[QUANTITE]]</f>
        <v>0</v>
      </c>
      <c r="F46" s="30"/>
      <c r="G46" s="29">
        <f>SUM(E$9:$E46)-SUM(F$9:$F46)</f>
        <v>330000</v>
      </c>
    </row>
    <row r="47" spans="1:7" ht="28.8" x14ac:dyDescent="0.55000000000000004">
      <c r="A47" s="24"/>
      <c r="B47" s="13"/>
      <c r="C47" s="26"/>
      <c r="D47" s="26"/>
      <c r="E47" s="27">
        <f>MOUSTAPHAFAWAZ[[#This Row],[PRIX UNITAIRE]]*MOUSTAPHAFAWAZ[[#This Row],[QUANTITE]]</f>
        <v>0</v>
      </c>
      <c r="F47" s="30"/>
      <c r="G47" s="29">
        <f>SUM(E$9:$E47)-SUM(F$9:$F47)</f>
        <v>330000</v>
      </c>
    </row>
    <row r="48" spans="1:7" ht="28.8" x14ac:dyDescent="0.55000000000000004">
      <c r="A48" s="24"/>
      <c r="B48" s="13"/>
      <c r="C48" s="26"/>
      <c r="D48" s="26"/>
      <c r="E48" s="27">
        <f>MOUSTAPHAFAWAZ[[#This Row],[PRIX UNITAIRE]]*MOUSTAPHAFAWAZ[[#This Row],[QUANTITE]]</f>
        <v>0</v>
      </c>
      <c r="F48" s="30"/>
      <c r="G48" s="29">
        <f>SUM(E$9:$E48)-SUM(F$9:$F48)</f>
        <v>330000</v>
      </c>
    </row>
    <row r="49" spans="1:7" ht="28.8" x14ac:dyDescent="0.55000000000000004">
      <c r="A49" s="24"/>
      <c r="B49" s="13"/>
      <c r="C49" s="26"/>
      <c r="D49" s="26"/>
      <c r="E49" s="27">
        <f>MOUSTAPHAFAWAZ[[#This Row],[PRIX UNITAIRE]]*MOUSTAPHAFAWAZ[[#This Row],[QUANTITE]]</f>
        <v>0</v>
      </c>
      <c r="F49" s="30"/>
      <c r="G49" s="29">
        <f>SUM(E$9:$E49)-SUM(F$9:$F49)</f>
        <v>330000</v>
      </c>
    </row>
    <row r="50" spans="1:7" ht="28.8" x14ac:dyDescent="0.55000000000000004">
      <c r="A50" s="24"/>
      <c r="B50" s="13"/>
      <c r="C50" s="26"/>
      <c r="D50" s="26"/>
      <c r="E50" s="27">
        <f>MOUSTAPHAFAWAZ[[#This Row],[PRIX UNITAIRE]]*MOUSTAPHAFAWAZ[[#This Row],[QUANTITE]]</f>
        <v>0</v>
      </c>
      <c r="F50" s="30"/>
      <c r="G50" s="29">
        <f>SUM(E$9:$E50)-SUM(F$9:$F50)</f>
        <v>330000</v>
      </c>
    </row>
    <row r="51" spans="1:7" ht="28.8" x14ac:dyDescent="0.55000000000000004">
      <c r="A51" s="24"/>
      <c r="B51" s="13"/>
      <c r="C51" s="26"/>
      <c r="D51" s="26"/>
      <c r="E51" s="27">
        <f>MOUSTAPHAFAWAZ[[#This Row],[PRIX UNITAIRE]]*MOUSTAPHAFAWAZ[[#This Row],[QUANTITE]]</f>
        <v>0</v>
      </c>
      <c r="F51" s="30"/>
      <c r="G51" s="29">
        <f>SUM(E$9:$E51)-SUM(F$9:$F51)</f>
        <v>330000</v>
      </c>
    </row>
    <row r="52" spans="1:7" ht="28.8" x14ac:dyDescent="0.55000000000000004">
      <c r="A52" s="24"/>
      <c r="B52" s="13"/>
      <c r="C52" s="26"/>
      <c r="D52" s="26"/>
      <c r="E52" s="27">
        <f>MOUSTAPHAFAWAZ[[#This Row],[PRIX UNITAIRE]]*MOUSTAPHAFAWAZ[[#This Row],[QUANTITE]]</f>
        <v>0</v>
      </c>
      <c r="F52" s="30"/>
      <c r="G52" s="29">
        <f>SUM(E$9:$E52)-SUM(F$9:$F52)</f>
        <v>330000</v>
      </c>
    </row>
    <row r="53" spans="1:7" ht="28.8" x14ac:dyDescent="0.55000000000000004">
      <c r="A53" s="24"/>
      <c r="B53" s="13"/>
      <c r="C53" s="26"/>
      <c r="D53" s="26"/>
      <c r="E53" s="27">
        <f>MOUSTAPHAFAWAZ[[#This Row],[PRIX UNITAIRE]]*MOUSTAPHAFAWAZ[[#This Row],[QUANTITE]]</f>
        <v>0</v>
      </c>
      <c r="F53" s="30"/>
      <c r="G53" s="29">
        <f>SUM(E$9:$E53)-SUM(F$9:$F53)</f>
        <v>330000</v>
      </c>
    </row>
    <row r="54" spans="1:7" ht="28.8" x14ac:dyDescent="0.55000000000000004">
      <c r="A54" s="24"/>
      <c r="B54" s="13"/>
      <c r="C54" s="26"/>
      <c r="D54" s="26"/>
      <c r="E54" s="27">
        <f>MOUSTAPHAFAWAZ[[#This Row],[PRIX UNITAIRE]]*MOUSTAPHAFAWAZ[[#This Row],[QUANTITE]]</f>
        <v>0</v>
      </c>
      <c r="F54" s="30"/>
      <c r="G54" s="29">
        <f>SUM(E$9:$E54)-SUM(F$9:$F54)</f>
        <v>330000</v>
      </c>
    </row>
    <row r="55" spans="1:7" ht="28.8" x14ac:dyDescent="0.55000000000000004">
      <c r="A55" s="24"/>
      <c r="B55" s="13"/>
      <c r="C55" s="26"/>
      <c r="D55" s="26"/>
      <c r="E55" s="27">
        <f>MOUSTAPHAFAWAZ[[#This Row],[PRIX UNITAIRE]]*MOUSTAPHAFAWAZ[[#This Row],[QUANTITE]]</f>
        <v>0</v>
      </c>
      <c r="F55" s="30"/>
      <c r="G55" s="29">
        <f>SUM(E$9:$E55)-SUM(F$9:$F55)</f>
        <v>330000</v>
      </c>
    </row>
    <row r="56" spans="1:7" ht="28.8" x14ac:dyDescent="0.55000000000000004">
      <c r="A56" s="24"/>
      <c r="B56" s="13"/>
      <c r="C56" s="26"/>
      <c r="D56" s="26"/>
      <c r="E56" s="27">
        <f>MOUSTAPHAFAWAZ[[#This Row],[PRIX UNITAIRE]]*MOUSTAPHAFAWAZ[[#This Row],[QUANTITE]]</f>
        <v>0</v>
      </c>
      <c r="F56" s="30"/>
      <c r="G56" s="29">
        <f>SUM(E$9:$E56)-SUM(F$9:$F56)</f>
        <v>330000</v>
      </c>
    </row>
    <row r="57" spans="1:7" ht="28.8" x14ac:dyDescent="0.55000000000000004">
      <c r="A57" s="24"/>
      <c r="B57" s="13"/>
      <c r="C57" s="26"/>
      <c r="D57" s="26"/>
      <c r="E57" s="27">
        <f>MOUSTAPHAFAWAZ[[#This Row],[PRIX UNITAIRE]]*MOUSTAPHAFAWAZ[[#This Row],[QUANTITE]]</f>
        <v>0</v>
      </c>
      <c r="F57" s="30"/>
      <c r="G57" s="29">
        <f>SUM(E$9:$E57)-SUM(F$9:$F57)</f>
        <v>330000</v>
      </c>
    </row>
    <row r="58" spans="1:7" ht="28.8" x14ac:dyDescent="0.55000000000000004">
      <c r="A58" s="24"/>
      <c r="B58" s="13"/>
      <c r="C58" s="26"/>
      <c r="D58" s="26"/>
      <c r="E58" s="27">
        <f>MOUSTAPHAFAWAZ[[#This Row],[PRIX UNITAIRE]]*MOUSTAPHAFAWAZ[[#This Row],[QUANTITE]]</f>
        <v>0</v>
      </c>
      <c r="F58" s="30"/>
      <c r="G58" s="29">
        <f>SUM(E$9:$E58)-SUM(F$9:$F58)</f>
        <v>330000</v>
      </c>
    </row>
    <row r="59" spans="1:7" ht="28.8" x14ac:dyDescent="0.55000000000000004">
      <c r="A59" s="24"/>
      <c r="B59" s="13"/>
      <c r="C59" s="26"/>
      <c r="D59" s="26"/>
      <c r="E59" s="27">
        <f>MOUSTAPHAFAWAZ[[#This Row],[PRIX UNITAIRE]]*MOUSTAPHAFAWAZ[[#This Row],[QUANTITE]]</f>
        <v>0</v>
      </c>
      <c r="F59" s="30"/>
      <c r="G59" s="29">
        <f>SUM(E$9:$E59)-SUM(F$9:$F59)</f>
        <v>330000</v>
      </c>
    </row>
    <row r="60" spans="1:7" ht="28.8" x14ac:dyDescent="0.55000000000000004">
      <c r="A60" s="24"/>
      <c r="B60" s="13"/>
      <c r="C60" s="26"/>
      <c r="D60" s="26"/>
      <c r="E60" s="27">
        <f>MOUSTAPHAFAWAZ[[#This Row],[PRIX UNITAIRE]]*MOUSTAPHAFAWAZ[[#This Row],[QUANTITE]]</f>
        <v>0</v>
      </c>
      <c r="F60" s="30"/>
      <c r="G60" s="29">
        <f>SUM(E$9:$E60)-SUM(F$9:$F60)</f>
        <v>330000</v>
      </c>
    </row>
    <row r="61" spans="1:7" ht="28.8" x14ac:dyDescent="0.55000000000000004">
      <c r="A61" s="24"/>
      <c r="B61" s="25"/>
      <c r="C61" s="26"/>
      <c r="D61" s="26"/>
      <c r="E61" s="27">
        <f>MOUSTAPHAFAWAZ[[#This Row],[PRIX UNITAIRE]]*MOUSTAPHAFAWAZ[[#This Row],[QUANTITE]]</f>
        <v>0</v>
      </c>
      <c r="F61" s="30"/>
      <c r="G61" s="29">
        <f>SUM(E$9:$E61)-SUM(F$9:$F61)</f>
        <v>330000</v>
      </c>
    </row>
    <row r="62" spans="1:7" ht="28.8" x14ac:dyDescent="0.55000000000000004">
      <c r="A62" s="24"/>
      <c r="B62" s="25"/>
      <c r="C62" s="26"/>
      <c r="D62" s="26"/>
      <c r="E62" s="27">
        <f>MOUSTAPHAFAWAZ[[#This Row],[PRIX UNITAIRE]]*MOUSTAPHAFAWAZ[[#This Row],[QUANTITE]]</f>
        <v>0</v>
      </c>
      <c r="F62" s="30"/>
      <c r="G62" s="29">
        <f>SUM(E$9:$E62)-SUM(F$9:$F62)</f>
        <v>330000</v>
      </c>
    </row>
    <row r="63" spans="1:7" ht="28.8" x14ac:dyDescent="0.55000000000000004">
      <c r="A63" s="24"/>
      <c r="B63" s="25"/>
      <c r="C63" s="26"/>
      <c r="D63" s="26"/>
      <c r="E63" s="27">
        <f>MOUSTAPHAFAWAZ[[#This Row],[PRIX UNITAIRE]]*MOUSTAPHAFAWAZ[[#This Row],[QUANTITE]]</f>
        <v>0</v>
      </c>
      <c r="F63" s="30"/>
      <c r="G63" s="29">
        <f>SUM(E$9:$E63)-SUM(F$9:$F63)</f>
        <v>330000</v>
      </c>
    </row>
    <row r="64" spans="1:7" ht="28.8" x14ac:dyDescent="0.55000000000000004">
      <c r="A64" s="24"/>
      <c r="B64" s="25"/>
      <c r="C64" s="26"/>
      <c r="D64" s="26"/>
      <c r="E64" s="27">
        <f>MOUSTAPHAFAWAZ[[#This Row],[PRIX UNITAIRE]]*MOUSTAPHAFAWAZ[[#This Row],[QUANTITE]]</f>
        <v>0</v>
      </c>
      <c r="F64" s="30"/>
      <c r="G64" s="29">
        <f>SUM(E$9:$E64)-SUM(F$9:$F64)</f>
        <v>330000</v>
      </c>
    </row>
    <row r="65" spans="1:7" ht="28.8" x14ac:dyDescent="0.55000000000000004">
      <c r="A65" s="24"/>
      <c r="B65" s="25"/>
      <c r="C65" s="26"/>
      <c r="D65" s="26"/>
      <c r="E65" s="27">
        <f>MOUSTAPHAFAWAZ[[#This Row],[PRIX UNITAIRE]]*MOUSTAPHAFAWAZ[[#This Row],[QUANTITE]]</f>
        <v>0</v>
      </c>
      <c r="F65" s="30"/>
      <c r="G65" s="29">
        <f>SUM(E$9:$E65)-SUM(F$9:$F65)</f>
        <v>330000</v>
      </c>
    </row>
    <row r="66" spans="1:7" ht="28.8" x14ac:dyDescent="0.55000000000000004">
      <c r="A66" s="24"/>
      <c r="B66" s="25"/>
      <c r="C66" s="26"/>
      <c r="D66" s="26"/>
      <c r="E66" s="27">
        <f>MOUSTAPHAFAWAZ[[#This Row],[PRIX UNITAIRE]]*MOUSTAPHAFAWAZ[[#This Row],[QUANTITE]]</f>
        <v>0</v>
      </c>
      <c r="F66" s="30"/>
      <c r="G66" s="29">
        <f>SUM(E$9:$E66)-SUM(F$9:$F66)</f>
        <v>330000</v>
      </c>
    </row>
    <row r="67" spans="1:7" ht="28.8" x14ac:dyDescent="0.55000000000000004">
      <c r="A67" s="24"/>
      <c r="B67" s="25"/>
      <c r="C67" s="26"/>
      <c r="D67" s="26"/>
      <c r="E67" s="27">
        <f>MOUSTAPHAFAWAZ[[#This Row],[PRIX UNITAIRE]]*MOUSTAPHAFAWAZ[[#This Row],[QUANTITE]]</f>
        <v>0</v>
      </c>
      <c r="F67" s="30"/>
      <c r="G67" s="29">
        <f>SUM(E$9:$E67)-SUM(F$9:$F67)</f>
        <v>330000</v>
      </c>
    </row>
    <row r="68" spans="1:7" ht="28.8" x14ac:dyDescent="0.55000000000000004">
      <c r="A68" s="24"/>
      <c r="B68" s="25"/>
      <c r="C68" s="26"/>
      <c r="D68" s="26"/>
      <c r="E68" s="27">
        <f>MOUSTAPHAFAWAZ[[#This Row],[PRIX UNITAIRE]]*MOUSTAPHAFAWAZ[[#This Row],[QUANTITE]]</f>
        <v>0</v>
      </c>
      <c r="F68" s="30"/>
      <c r="G68" s="29">
        <f>SUM(E$9:$E68)-SUM(F$9:$F68)</f>
        <v>330000</v>
      </c>
    </row>
    <row r="69" spans="1:7" ht="28.8" x14ac:dyDescent="0.55000000000000004">
      <c r="A69" s="24"/>
      <c r="B69" s="25"/>
      <c r="C69" s="26"/>
      <c r="D69" s="26"/>
      <c r="E69" s="27">
        <f>MOUSTAPHAFAWAZ[[#This Row],[PRIX UNITAIRE]]*MOUSTAPHAFAWAZ[[#This Row],[QUANTITE]]</f>
        <v>0</v>
      </c>
      <c r="F69" s="30"/>
      <c r="G69" s="29">
        <f>SUM(E$9:$E69)-SUM(F$9:$F69)</f>
        <v>330000</v>
      </c>
    </row>
    <row r="70" spans="1:7" ht="28.8" x14ac:dyDescent="0.55000000000000004">
      <c r="A70" s="24"/>
      <c r="B70" s="25"/>
      <c r="C70" s="26"/>
      <c r="D70" s="26"/>
      <c r="E70" s="27">
        <f>MOUSTAPHAFAWAZ[[#This Row],[PRIX UNITAIRE]]*MOUSTAPHAFAWAZ[[#This Row],[QUANTITE]]</f>
        <v>0</v>
      </c>
      <c r="F70" s="30"/>
      <c r="G70" s="29">
        <f>SUM(E$9:$E70)-SUM(F$9:$F70)</f>
        <v>330000</v>
      </c>
    </row>
    <row r="71" spans="1:7" ht="28.8" x14ac:dyDescent="0.55000000000000004">
      <c r="A71" s="24"/>
      <c r="B71" s="25"/>
      <c r="C71" s="26"/>
      <c r="D71" s="26"/>
      <c r="E71" s="27">
        <f>MOUSTAPHAFAWAZ[[#This Row],[PRIX UNITAIRE]]*MOUSTAPHAFAWAZ[[#This Row],[QUANTITE]]</f>
        <v>0</v>
      </c>
      <c r="F71" s="30"/>
      <c r="G71" s="29">
        <f>SUM(E$9:$E71)-SUM(F$9:$F71)</f>
        <v>330000</v>
      </c>
    </row>
    <row r="72" spans="1:7" ht="28.8" x14ac:dyDescent="0.55000000000000004">
      <c r="A72" s="24"/>
      <c r="B72" s="25"/>
      <c r="C72" s="26"/>
      <c r="D72" s="26"/>
      <c r="E72" s="27">
        <f>MOUSTAPHAFAWAZ[[#This Row],[PRIX UNITAIRE]]*MOUSTAPHAFAWAZ[[#This Row],[QUANTITE]]</f>
        <v>0</v>
      </c>
      <c r="F72" s="30"/>
      <c r="G72" s="29">
        <f>SUM(E$9:$E72)-SUM(F$9:$F72)</f>
        <v>330000</v>
      </c>
    </row>
    <row r="73" spans="1:7" ht="28.8" x14ac:dyDescent="0.55000000000000004">
      <c r="A73" s="24"/>
      <c r="B73" s="25"/>
      <c r="C73" s="26"/>
      <c r="D73" s="26"/>
      <c r="E73" s="27">
        <f>MOUSTAPHAFAWAZ[[#This Row],[PRIX UNITAIRE]]*MOUSTAPHAFAWAZ[[#This Row],[QUANTITE]]</f>
        <v>0</v>
      </c>
      <c r="F73" s="30"/>
      <c r="G73" s="29">
        <f>SUM(E$9:$E73)-SUM(F$9:$F73)</f>
        <v>330000</v>
      </c>
    </row>
    <row r="74" spans="1:7" ht="28.8" x14ac:dyDescent="0.55000000000000004">
      <c r="A74" s="24"/>
      <c r="B74" s="25"/>
      <c r="C74" s="26"/>
      <c r="D74" s="26"/>
      <c r="E74" s="27">
        <f>MOUSTAPHAFAWAZ[[#This Row],[PRIX UNITAIRE]]*MOUSTAPHAFAWAZ[[#This Row],[QUANTITE]]</f>
        <v>0</v>
      </c>
      <c r="F74" s="30"/>
      <c r="G74" s="29">
        <f>SUM(E$9:$E74)-SUM(F$9:$F74)</f>
        <v>330000</v>
      </c>
    </row>
    <row r="75" spans="1:7" ht="28.8" x14ac:dyDescent="0.55000000000000004">
      <c r="A75" s="24"/>
      <c r="B75" s="25"/>
      <c r="C75" s="26"/>
      <c r="D75" s="26"/>
      <c r="E75" s="27">
        <f>MOUSTAPHAFAWAZ[[#This Row],[PRIX UNITAIRE]]*MOUSTAPHAFAWAZ[[#This Row],[QUANTITE]]</f>
        <v>0</v>
      </c>
      <c r="F75" s="30"/>
      <c r="G75" s="29">
        <f>SUM(E$9:$E75)-SUM(F$9:$F75)</f>
        <v>330000</v>
      </c>
    </row>
    <row r="76" spans="1:7" ht="28.8" x14ac:dyDescent="0.55000000000000004">
      <c r="A76" s="24"/>
      <c r="B76" s="25"/>
      <c r="C76" s="26"/>
      <c r="D76" s="26"/>
      <c r="E76" s="27">
        <f>MOUSTAPHAFAWAZ[[#This Row],[PRIX UNITAIRE]]*MOUSTAPHAFAWAZ[[#This Row],[QUANTITE]]</f>
        <v>0</v>
      </c>
      <c r="F76" s="30"/>
      <c r="G76" s="29">
        <f>SUM(E$9:$E76)-SUM(F$9:$F76)</f>
        <v>330000</v>
      </c>
    </row>
    <row r="77" spans="1:7" ht="28.8" x14ac:dyDescent="0.55000000000000004">
      <c r="A77" s="24"/>
      <c r="B77" s="25"/>
      <c r="C77" s="26"/>
      <c r="D77" s="26"/>
      <c r="E77" s="27">
        <f>MOUSTAPHAFAWAZ[[#This Row],[PRIX UNITAIRE]]*MOUSTAPHAFAWAZ[[#This Row],[QUANTITE]]</f>
        <v>0</v>
      </c>
      <c r="F77" s="30"/>
      <c r="G77" s="29">
        <f>SUM(E$9:$E77)-SUM(F$9:$F77)</f>
        <v>330000</v>
      </c>
    </row>
    <row r="78" spans="1:7" ht="28.8" x14ac:dyDescent="0.55000000000000004">
      <c r="A78" s="24"/>
      <c r="B78" s="25"/>
      <c r="C78" s="26"/>
      <c r="D78" s="26"/>
      <c r="E78" s="27">
        <f>MOUSTAPHAFAWAZ[[#This Row],[PRIX UNITAIRE]]*MOUSTAPHAFAWAZ[[#This Row],[QUANTITE]]</f>
        <v>0</v>
      </c>
      <c r="F78" s="30"/>
      <c r="G78" s="29">
        <f>SUM(E$9:$E78)-SUM(F$9:$F78)</f>
        <v>330000</v>
      </c>
    </row>
    <row r="79" spans="1:7" ht="28.8" x14ac:dyDescent="0.55000000000000004">
      <c r="A79" s="24"/>
      <c r="B79" s="25"/>
      <c r="C79" s="26"/>
      <c r="D79" s="26"/>
      <c r="E79" s="27">
        <f>MOUSTAPHAFAWAZ[[#This Row],[PRIX UNITAIRE]]*MOUSTAPHAFAWAZ[[#This Row],[QUANTITE]]</f>
        <v>0</v>
      </c>
      <c r="F79" s="30"/>
      <c r="G79" s="29">
        <f>SUM(E$9:$E79)-SUM(F$9:$F79)</f>
        <v>330000</v>
      </c>
    </row>
    <row r="80" spans="1:7" ht="28.8" x14ac:dyDescent="0.55000000000000004">
      <c r="A80" s="24"/>
      <c r="B80" s="25"/>
      <c r="C80" s="26"/>
      <c r="D80" s="26"/>
      <c r="E80" s="27">
        <f>MOUSTAPHAFAWAZ[[#This Row],[PRIX UNITAIRE]]*MOUSTAPHAFAWAZ[[#This Row],[QUANTITE]]</f>
        <v>0</v>
      </c>
      <c r="F80" s="30"/>
      <c r="G80" s="29">
        <f>SUM(E$9:$E80)-SUM(F$9:$F80)</f>
        <v>330000</v>
      </c>
    </row>
    <row r="81" spans="1:7" ht="28.8" x14ac:dyDescent="0.55000000000000004">
      <c r="A81" s="24"/>
      <c r="B81" s="25"/>
      <c r="C81" s="26"/>
      <c r="D81" s="26"/>
      <c r="E81" s="27">
        <f>MOUSTAPHAFAWAZ[[#This Row],[PRIX UNITAIRE]]*MOUSTAPHAFAWAZ[[#This Row],[QUANTITE]]</f>
        <v>0</v>
      </c>
      <c r="F81" s="30"/>
      <c r="G81" s="29">
        <f>SUM(E$9:$E81)-SUM(F$9:$F81)</f>
        <v>330000</v>
      </c>
    </row>
    <row r="82" spans="1:7" ht="28.8" x14ac:dyDescent="0.55000000000000004">
      <c r="A82" s="24"/>
      <c r="B82" s="25"/>
      <c r="C82" s="26"/>
      <c r="D82" s="26"/>
      <c r="E82" s="27">
        <f>MOUSTAPHAFAWAZ[[#This Row],[PRIX UNITAIRE]]*MOUSTAPHAFAWAZ[[#This Row],[QUANTITE]]</f>
        <v>0</v>
      </c>
      <c r="F82" s="30"/>
      <c r="G82" s="29">
        <f>SUM(E$9:$E82)-SUM(F$9:$F82)</f>
        <v>330000</v>
      </c>
    </row>
    <row r="83" spans="1:7" ht="28.8" x14ac:dyDescent="0.55000000000000004">
      <c r="A83" s="24"/>
      <c r="B83" s="25"/>
      <c r="C83" s="26"/>
      <c r="D83" s="26"/>
      <c r="E83" s="27">
        <f>MOUSTAPHAFAWAZ[[#This Row],[PRIX UNITAIRE]]*MOUSTAPHAFAWAZ[[#This Row],[QUANTITE]]</f>
        <v>0</v>
      </c>
      <c r="F83" s="30"/>
      <c r="G83" s="29">
        <f>SUM(E$9:$E83)-SUM(F$9:$F83)</f>
        <v>330000</v>
      </c>
    </row>
    <row r="84" spans="1:7" ht="28.8" x14ac:dyDescent="0.55000000000000004">
      <c r="A84" s="24"/>
      <c r="B84" s="25"/>
      <c r="C84" s="26"/>
      <c r="D84" s="26"/>
      <c r="E84" s="27">
        <f>MOUSTAPHAFAWAZ[[#This Row],[PRIX UNITAIRE]]*MOUSTAPHAFAWAZ[[#This Row],[QUANTITE]]</f>
        <v>0</v>
      </c>
      <c r="F84" s="30"/>
      <c r="G84" s="29">
        <f>SUM(E$9:$E84)-SUM(F$9:$F84)</f>
        <v>330000</v>
      </c>
    </row>
    <row r="85" spans="1:7" ht="28.8" x14ac:dyDescent="0.55000000000000004">
      <c r="A85" s="24"/>
      <c r="B85" s="25"/>
      <c r="C85" s="26"/>
      <c r="D85" s="26"/>
      <c r="E85" s="27">
        <f>MOUSTAPHAFAWAZ[[#This Row],[PRIX UNITAIRE]]*MOUSTAPHAFAWAZ[[#This Row],[QUANTITE]]</f>
        <v>0</v>
      </c>
      <c r="F85" s="30"/>
      <c r="G85" s="29">
        <f>SUM(E$9:$E85)-SUM(F$9:$F85)</f>
        <v>330000</v>
      </c>
    </row>
    <row r="86" spans="1:7" ht="28.8" x14ac:dyDescent="0.55000000000000004">
      <c r="A86" s="24"/>
      <c r="B86" s="25"/>
      <c r="C86" s="26"/>
      <c r="D86" s="26"/>
      <c r="E86" s="27">
        <f>MOUSTAPHAFAWAZ[[#This Row],[PRIX UNITAIRE]]*MOUSTAPHAFAWAZ[[#This Row],[QUANTITE]]</f>
        <v>0</v>
      </c>
      <c r="F86" s="30"/>
      <c r="G86" s="29">
        <f>SUM(E$9:$E86)-SUM(F$9:$F86)</f>
        <v>330000</v>
      </c>
    </row>
    <row r="87" spans="1:7" ht="28.8" x14ac:dyDescent="0.55000000000000004">
      <c r="A87" s="24"/>
      <c r="B87" s="25"/>
      <c r="C87" s="26"/>
      <c r="D87" s="26"/>
      <c r="E87" s="27">
        <f>MOUSTAPHAFAWAZ[[#This Row],[PRIX UNITAIRE]]*MOUSTAPHAFAWAZ[[#This Row],[QUANTITE]]</f>
        <v>0</v>
      </c>
      <c r="F87" s="30"/>
      <c r="G87" s="29">
        <f>SUM(E$9:$E87)-SUM(F$9:$F87)</f>
        <v>330000</v>
      </c>
    </row>
    <row r="88" spans="1:7" ht="28.8" x14ac:dyDescent="0.55000000000000004">
      <c r="A88" s="24"/>
      <c r="B88" s="25"/>
      <c r="C88" s="26"/>
      <c r="D88" s="26"/>
      <c r="E88" s="27">
        <f>MOUSTAPHAFAWAZ[[#This Row],[PRIX UNITAIRE]]*MOUSTAPHAFAWAZ[[#This Row],[QUANTITE]]</f>
        <v>0</v>
      </c>
      <c r="F88" s="30"/>
      <c r="G88" s="29">
        <f>SUM(E$9:$E88)-SUM(F$9:$F88)</f>
        <v>330000</v>
      </c>
    </row>
    <row r="89" spans="1:7" ht="28.8" x14ac:dyDescent="0.55000000000000004">
      <c r="A89" s="24"/>
      <c r="B89" s="25"/>
      <c r="C89" s="26"/>
      <c r="D89" s="26"/>
      <c r="E89" s="27">
        <f>MOUSTAPHAFAWAZ[[#This Row],[PRIX UNITAIRE]]*MOUSTAPHAFAWAZ[[#This Row],[QUANTITE]]</f>
        <v>0</v>
      </c>
      <c r="F89" s="30"/>
      <c r="G89" s="29">
        <f>SUM(E$9:$E89)-SUM(F$9:$F89)</f>
        <v>330000</v>
      </c>
    </row>
    <row r="90" spans="1:7" ht="28.8" x14ac:dyDescent="0.55000000000000004">
      <c r="A90" s="24"/>
      <c r="B90" s="25"/>
      <c r="C90" s="26"/>
      <c r="D90" s="26"/>
      <c r="E90" s="27">
        <f>MOUSTAPHAFAWAZ[[#This Row],[PRIX UNITAIRE]]*MOUSTAPHAFAWAZ[[#This Row],[QUANTITE]]</f>
        <v>0</v>
      </c>
      <c r="F90" s="30"/>
      <c r="G90" s="29">
        <f>SUM(E$9:$E90)-SUM(F$9:$F90)</f>
        <v>330000</v>
      </c>
    </row>
    <row r="91" spans="1:7" ht="28.8" x14ac:dyDescent="0.55000000000000004">
      <c r="A91" s="24"/>
      <c r="B91" s="25"/>
      <c r="C91" s="26"/>
      <c r="D91" s="26"/>
      <c r="E91" s="27">
        <f>MOUSTAPHAFAWAZ[[#This Row],[PRIX UNITAIRE]]*MOUSTAPHAFAWAZ[[#This Row],[QUANTITE]]</f>
        <v>0</v>
      </c>
      <c r="F91" s="30"/>
      <c r="G91" s="29">
        <f>SUM(E$9:$E91)-SUM(F$9:$F91)</f>
        <v>330000</v>
      </c>
    </row>
    <row r="92" spans="1:7" ht="28.8" x14ac:dyDescent="0.55000000000000004">
      <c r="A92" s="24"/>
      <c r="B92" s="25"/>
      <c r="C92" s="26"/>
      <c r="D92" s="26"/>
      <c r="E92" s="27">
        <f>MOUSTAPHAFAWAZ[[#This Row],[PRIX UNITAIRE]]*MOUSTAPHAFAWAZ[[#This Row],[QUANTITE]]</f>
        <v>0</v>
      </c>
      <c r="F92" s="30"/>
      <c r="G92" s="29">
        <f>SUM(E$9:$E92)-SUM(F$9:$F92)</f>
        <v>330000</v>
      </c>
    </row>
    <row r="93" spans="1:7" ht="28.8" x14ac:dyDescent="0.55000000000000004">
      <c r="A93" s="24"/>
      <c r="B93" s="25"/>
      <c r="C93" s="26"/>
      <c r="D93" s="26"/>
      <c r="E93" s="27">
        <f>MOUSTAPHAFAWAZ[[#This Row],[PRIX UNITAIRE]]*MOUSTAPHAFAWAZ[[#This Row],[QUANTITE]]</f>
        <v>0</v>
      </c>
      <c r="F93" s="30"/>
      <c r="G93" s="29">
        <f>SUM(E$9:$E93)-SUM(F$9:$F93)</f>
        <v>330000</v>
      </c>
    </row>
    <row r="94" spans="1:7" ht="28.8" x14ac:dyDescent="0.55000000000000004">
      <c r="A94" s="24"/>
      <c r="B94" s="25"/>
      <c r="C94" s="26"/>
      <c r="D94" s="26"/>
      <c r="E94" s="27">
        <f>MOUSTAPHAFAWAZ[[#This Row],[PRIX UNITAIRE]]*MOUSTAPHAFAWAZ[[#This Row],[QUANTITE]]</f>
        <v>0</v>
      </c>
      <c r="F94" s="30"/>
      <c r="G94" s="29">
        <f>SUM(E$9:$E94)-SUM(F$9:$F94)</f>
        <v>330000</v>
      </c>
    </row>
    <row r="95" spans="1:7" ht="28.8" x14ac:dyDescent="0.55000000000000004">
      <c r="A95" s="24"/>
      <c r="B95" s="25"/>
      <c r="C95" s="26"/>
      <c r="D95" s="26"/>
      <c r="E95" s="27">
        <f>MOUSTAPHAFAWAZ[[#This Row],[PRIX UNITAIRE]]*MOUSTAPHAFAWAZ[[#This Row],[QUANTITE]]</f>
        <v>0</v>
      </c>
      <c r="F95" s="30"/>
      <c r="G95" s="29">
        <f>SUM(E$9:$E95)-SUM(F$9:$F95)</f>
        <v>330000</v>
      </c>
    </row>
    <row r="96" spans="1:7" ht="28.8" x14ac:dyDescent="0.55000000000000004">
      <c r="A96" s="24"/>
      <c r="B96" s="25"/>
      <c r="C96" s="26"/>
      <c r="D96" s="26"/>
      <c r="E96" s="27">
        <f>MOUSTAPHAFAWAZ[[#This Row],[PRIX UNITAIRE]]*MOUSTAPHAFAWAZ[[#This Row],[QUANTITE]]</f>
        <v>0</v>
      </c>
      <c r="F96" s="30"/>
      <c r="G96" s="29">
        <f>SUM(E$9:$E96)-SUM(F$9:$F96)</f>
        <v>330000</v>
      </c>
    </row>
    <row r="97" spans="1:7" ht="28.8" x14ac:dyDescent="0.55000000000000004">
      <c r="A97" s="24"/>
      <c r="B97" s="25"/>
      <c r="C97" s="26"/>
      <c r="D97" s="26"/>
      <c r="E97" s="27">
        <f>MOUSTAPHAFAWAZ[[#This Row],[PRIX UNITAIRE]]*MOUSTAPHAFAWAZ[[#This Row],[QUANTITE]]</f>
        <v>0</v>
      </c>
      <c r="F97" s="30"/>
      <c r="G97" s="29">
        <f>SUM(E$9:$E97)-SUM(F$9:$F97)</f>
        <v>330000</v>
      </c>
    </row>
    <row r="98" spans="1:7" ht="28.8" x14ac:dyDescent="0.55000000000000004">
      <c r="A98" s="24"/>
      <c r="B98" s="25"/>
      <c r="C98" s="26"/>
      <c r="D98" s="26"/>
      <c r="E98" s="27">
        <f>MOUSTAPHAFAWAZ[[#This Row],[PRIX UNITAIRE]]*MOUSTAPHAFAWAZ[[#This Row],[QUANTITE]]</f>
        <v>0</v>
      </c>
      <c r="F98" s="30"/>
      <c r="G98" s="29">
        <f>SUM(E$9:$E98)-SUM(F$9:$F98)</f>
        <v>330000</v>
      </c>
    </row>
    <row r="99" spans="1:7" ht="28.8" x14ac:dyDescent="0.55000000000000004">
      <c r="A99" s="24"/>
      <c r="B99" s="25"/>
      <c r="C99" s="26"/>
      <c r="D99" s="26"/>
      <c r="E99" s="27">
        <f>MOUSTAPHAFAWAZ[[#This Row],[PRIX UNITAIRE]]*MOUSTAPHAFAWAZ[[#This Row],[QUANTITE]]</f>
        <v>0</v>
      </c>
      <c r="F99" s="30"/>
      <c r="G99" s="29">
        <f>SUM(E$9:$E99)-SUM(F$9:$F99)</f>
        <v>330000</v>
      </c>
    </row>
    <row r="100" spans="1:7" ht="28.8" x14ac:dyDescent="0.55000000000000004">
      <c r="A100" s="24"/>
      <c r="B100" s="25"/>
      <c r="C100" s="26"/>
      <c r="D100" s="26"/>
      <c r="E100" s="27">
        <f>MOUSTAPHAFAWAZ[[#This Row],[PRIX UNITAIRE]]*MOUSTAPHAFAWAZ[[#This Row],[QUANTITE]]</f>
        <v>0</v>
      </c>
      <c r="F100" s="30"/>
      <c r="G100" s="29">
        <f>SUM(E$9:$E100)-SUM(F$9:$F100)</f>
        <v>330000</v>
      </c>
    </row>
    <row r="101" spans="1:7" ht="28.8" x14ac:dyDescent="0.55000000000000004">
      <c r="A101" s="24"/>
      <c r="B101" s="25"/>
      <c r="C101" s="26"/>
      <c r="D101" s="26"/>
      <c r="E101" s="27">
        <f>MOUSTAPHAFAWAZ[[#This Row],[PRIX UNITAIRE]]*MOUSTAPHAFAWAZ[[#This Row],[QUANTITE]]</f>
        <v>0</v>
      </c>
      <c r="F101" s="30"/>
      <c r="G101" s="29">
        <f>SUM(E$9:$E101)-SUM(F$9:$F101)</f>
        <v>330000</v>
      </c>
    </row>
    <row r="102" spans="1:7" ht="28.8" x14ac:dyDescent="0.55000000000000004">
      <c r="A102" s="24"/>
      <c r="B102" s="25"/>
      <c r="C102" s="26"/>
      <c r="D102" s="26"/>
      <c r="E102" s="27">
        <f>MOUSTAPHAFAWAZ[[#This Row],[PRIX UNITAIRE]]*MOUSTAPHAFAWAZ[[#This Row],[QUANTITE]]</f>
        <v>0</v>
      </c>
      <c r="F102" s="30"/>
      <c r="G102" s="29">
        <f>SUM(E$9:$E102)-SUM(F$9:$F102)</f>
        <v>330000</v>
      </c>
    </row>
    <row r="103" spans="1:7" ht="28.8" x14ac:dyDescent="0.55000000000000004">
      <c r="A103" s="24"/>
      <c r="B103" s="25"/>
      <c r="C103" s="26"/>
      <c r="D103" s="26"/>
      <c r="E103" s="27">
        <f>MOUSTAPHAFAWAZ[[#This Row],[PRIX UNITAIRE]]*MOUSTAPHAFAWAZ[[#This Row],[QUANTITE]]</f>
        <v>0</v>
      </c>
      <c r="F103" s="30"/>
      <c r="G103" s="29">
        <f>SUM(E$9:$E103)-SUM(F$9:$F103)</f>
        <v>330000</v>
      </c>
    </row>
    <row r="104" spans="1:7" ht="28.8" x14ac:dyDescent="0.55000000000000004">
      <c r="A104" s="24"/>
      <c r="B104" s="25"/>
      <c r="C104" s="26"/>
      <c r="D104" s="26"/>
      <c r="E104" s="27">
        <f>MOUSTAPHAFAWAZ[[#This Row],[PRIX UNITAIRE]]*MOUSTAPHAFAWAZ[[#This Row],[QUANTITE]]</f>
        <v>0</v>
      </c>
      <c r="F104" s="30"/>
      <c r="G104" s="29">
        <f>SUM(E$9:$E104)-SUM(F$9:$F104)</f>
        <v>330000</v>
      </c>
    </row>
    <row r="105" spans="1:7" ht="28.8" x14ac:dyDescent="0.55000000000000004">
      <c r="A105" s="24"/>
      <c r="B105" s="25"/>
      <c r="C105" s="26"/>
      <c r="D105" s="26"/>
      <c r="E105" s="27">
        <f>MOUSTAPHAFAWAZ[[#This Row],[PRIX UNITAIRE]]*MOUSTAPHAFAWAZ[[#This Row],[QUANTITE]]</f>
        <v>0</v>
      </c>
      <c r="F105" s="30"/>
      <c r="G105" s="29">
        <f>SUM(E$9:$E105)-SUM(F$9:$F105)</f>
        <v>330000</v>
      </c>
    </row>
    <row r="106" spans="1:7" ht="28.8" x14ac:dyDescent="0.55000000000000004">
      <c r="A106" s="24"/>
      <c r="B106" s="25"/>
      <c r="C106" s="26"/>
      <c r="D106" s="26"/>
      <c r="E106" s="27">
        <f>MOUSTAPHAFAWAZ[[#This Row],[PRIX UNITAIRE]]*MOUSTAPHAFAWAZ[[#This Row],[QUANTITE]]</f>
        <v>0</v>
      </c>
      <c r="F106" s="30"/>
      <c r="G106" s="29">
        <f>SUM(E$9:$E106)-SUM(F$9:$F106)</f>
        <v>330000</v>
      </c>
    </row>
    <row r="107" spans="1:7" ht="28.8" x14ac:dyDescent="0.55000000000000004">
      <c r="A107" s="24"/>
      <c r="B107" s="25"/>
      <c r="C107" s="26"/>
      <c r="D107" s="26"/>
      <c r="E107" s="27">
        <f>MOUSTAPHAFAWAZ[[#This Row],[PRIX UNITAIRE]]*MOUSTAPHAFAWAZ[[#This Row],[QUANTITE]]</f>
        <v>0</v>
      </c>
      <c r="F107" s="30"/>
      <c r="G107" s="29">
        <f>SUM(E$9:$E107)-SUM(F$9:$F107)</f>
        <v>330000</v>
      </c>
    </row>
    <row r="108" spans="1:7" ht="28.8" x14ac:dyDescent="0.55000000000000004">
      <c r="A108" s="24"/>
      <c r="B108" s="25"/>
      <c r="C108" s="26"/>
      <c r="D108" s="26"/>
      <c r="E108" s="27">
        <f>MOUSTAPHAFAWAZ[[#This Row],[PRIX UNITAIRE]]*MOUSTAPHAFAWAZ[[#This Row],[QUANTITE]]</f>
        <v>0</v>
      </c>
      <c r="F108" s="30"/>
      <c r="G108" s="29">
        <f>SUM(E$9:$E108)-SUM(F$9:$F108)</f>
        <v>330000</v>
      </c>
    </row>
    <row r="109" spans="1:7" ht="28.8" x14ac:dyDescent="0.55000000000000004">
      <c r="A109" s="24"/>
      <c r="B109" s="25"/>
      <c r="C109" s="26"/>
      <c r="D109" s="26"/>
      <c r="E109" s="27">
        <f>MOUSTAPHAFAWAZ[[#This Row],[PRIX UNITAIRE]]*MOUSTAPHAFAWAZ[[#This Row],[QUANTITE]]</f>
        <v>0</v>
      </c>
      <c r="F109" s="30"/>
      <c r="G109" s="29">
        <f>SUM(E$9:$E109)-SUM(F$9:$F109)</f>
        <v>330000</v>
      </c>
    </row>
  </sheetData>
  <sheetProtection selectLockedCells="1" autoFilter="0"/>
  <mergeCells count="1">
    <mergeCell ref="B6:C6"/>
  </mergeCells>
  <conditionalFormatting sqref="B9:B109">
    <cfRule type="expression" dxfId="709" priority="5">
      <formula>$F9</formula>
    </cfRule>
  </conditionalFormatting>
  <conditionalFormatting sqref="G4">
    <cfRule type="cellIs" dxfId="708" priority="2" operator="lessThan">
      <formula>0</formula>
    </cfRule>
    <cfRule type="cellIs" dxfId="70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I109"/>
  <sheetViews>
    <sheetView showGridLines="0" zoomScale="60" zoomScaleNormal="60" workbookViewId="0">
      <pane ySplit="8" topLeftCell="A46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1"/>
      <c r="B1" s="31"/>
      <c r="C1" s="31"/>
    </row>
    <row r="2" spans="1:9" ht="36" customHeight="1" thickBot="1" x14ac:dyDescent="0.65">
      <c r="A2" s="31"/>
      <c r="B2" s="31"/>
      <c r="C2" s="31"/>
      <c r="D2" s="37"/>
      <c r="E2" s="38"/>
      <c r="F2" s="38"/>
      <c r="G2" s="38"/>
      <c r="I2" s="1">
        <v>0</v>
      </c>
    </row>
    <row r="3" spans="1:9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31"/>
      <c r="B4" s="31"/>
      <c r="C4" s="31"/>
      <c r="D4" s="36" t="s">
        <v>19</v>
      </c>
      <c r="E4" s="39">
        <f>+SUM(PETITSOLO[TOTAL MONTANT])</f>
        <v>5357500</v>
      </c>
      <c r="F4" s="39">
        <f>+SUM(PETITSOLO[VERSEMENT])</f>
        <v>5177500</v>
      </c>
      <c r="G4" s="39">
        <f>+E4-F4</f>
        <v>180000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13" t="s">
        <v>15</v>
      </c>
      <c r="C6" s="114"/>
      <c r="E6" s="42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45834</v>
      </c>
      <c r="B9" s="13" t="s">
        <v>22</v>
      </c>
      <c r="C9" s="10">
        <v>4</v>
      </c>
      <c r="D9" s="10">
        <v>35000</v>
      </c>
      <c r="E9" s="7">
        <f>+$I$2+(PETITSOLO[[#This Row],[QUANTITE]]*PETITSOLO[[#This Row],[PRIX UNITAIRE]])</f>
        <v>140000</v>
      </c>
      <c r="F9" s="22"/>
      <c r="G9" s="6">
        <f>SUM(E$9:$E9)-SUM(F$9:$F9)</f>
        <v>140000</v>
      </c>
    </row>
    <row r="10" spans="1:9" ht="28.8" x14ac:dyDescent="0.55000000000000004">
      <c r="A10" s="24">
        <v>45839</v>
      </c>
      <c r="B10" s="13" t="s">
        <v>23</v>
      </c>
      <c r="C10" s="26">
        <v>2</v>
      </c>
      <c r="D10" s="26">
        <v>35000</v>
      </c>
      <c r="E10" s="27">
        <f>+$I$2+(PETITSOLO[[#This Row],[QUANTITE]]*PETITSOLO[[#This Row],[PRIX UNITAIRE]])</f>
        <v>70000</v>
      </c>
      <c r="F10" s="30"/>
      <c r="G10" s="29">
        <f>SUM(E$9:$E10)-SUM(F$9:$F10)</f>
        <v>210000</v>
      </c>
    </row>
    <row r="11" spans="1:9" ht="28.8" x14ac:dyDescent="0.55000000000000004">
      <c r="A11" s="24">
        <v>45840</v>
      </c>
      <c r="B11" s="13" t="s">
        <v>27</v>
      </c>
      <c r="C11" s="26">
        <v>4</v>
      </c>
      <c r="D11" s="26">
        <v>40000</v>
      </c>
      <c r="E11" s="27">
        <f>+$I$2+(PETITSOLO[[#This Row],[QUANTITE]]*PETITSOLO[[#This Row],[PRIX UNITAIRE]])</f>
        <v>160000</v>
      </c>
      <c r="F11" s="30"/>
      <c r="G11" s="6">
        <f>SUM(E$9:$E11)-SUM(F$9:$F11)</f>
        <v>370000</v>
      </c>
    </row>
    <row r="12" spans="1:9" ht="28.8" x14ac:dyDescent="0.55000000000000004">
      <c r="A12" s="24">
        <v>45846</v>
      </c>
      <c r="B12" s="13" t="s">
        <v>24</v>
      </c>
      <c r="C12" s="26">
        <v>2</v>
      </c>
      <c r="D12" s="26">
        <v>50000</v>
      </c>
      <c r="E12" s="27">
        <f>+$I$2+(PETITSOLO[[#This Row],[QUANTITE]]*PETITSOLO[[#This Row],[PRIX UNITAIRE]])</f>
        <v>100000</v>
      </c>
      <c r="F12" s="30"/>
      <c r="G12" s="29">
        <f>SUM(E$9:$E12)-SUM(F$9:$F12)</f>
        <v>470000</v>
      </c>
    </row>
    <row r="13" spans="1:9" ht="28.8" x14ac:dyDescent="0.55000000000000004">
      <c r="A13" s="24">
        <v>45847</v>
      </c>
      <c r="B13" s="13" t="s">
        <v>13</v>
      </c>
      <c r="C13" s="26">
        <v>4</v>
      </c>
      <c r="D13" s="26">
        <v>35000</v>
      </c>
      <c r="E13" s="27">
        <f>+$I$2+(PETITSOLO[[#This Row],[QUANTITE]]*PETITSOLO[[#This Row],[PRIX UNITAIRE]])</f>
        <v>140000</v>
      </c>
      <c r="F13" s="30"/>
      <c r="G13" s="29">
        <f>SUM(E$9:$E13)-SUM(F$9:$F13)</f>
        <v>610000</v>
      </c>
    </row>
    <row r="14" spans="1:9" ht="28.8" x14ac:dyDescent="0.55000000000000004">
      <c r="A14" s="24">
        <v>45848</v>
      </c>
      <c r="B14" s="13" t="s">
        <v>25</v>
      </c>
      <c r="C14" s="26">
        <v>2</v>
      </c>
      <c r="D14" s="26">
        <v>40000</v>
      </c>
      <c r="E14" s="27">
        <f>+$I$2+(PETITSOLO[[#This Row],[QUANTITE]]*PETITSOLO[[#This Row],[PRIX UNITAIRE]])</f>
        <v>80000</v>
      </c>
      <c r="F14" s="30"/>
      <c r="G14" s="29">
        <f>SUM(E$9:$E14)-SUM(F$9:$F14)</f>
        <v>690000</v>
      </c>
    </row>
    <row r="15" spans="1:9" ht="28.8" x14ac:dyDescent="0.55000000000000004">
      <c r="A15" s="24">
        <v>45849</v>
      </c>
      <c r="B15" s="13" t="s">
        <v>26</v>
      </c>
      <c r="C15" s="26">
        <v>10</v>
      </c>
      <c r="D15" s="26">
        <v>35000</v>
      </c>
      <c r="E15" s="27">
        <f>+$I$2+(PETITSOLO[[#This Row],[QUANTITE]]*PETITSOLO[[#This Row],[PRIX UNITAIRE]])</f>
        <v>350000</v>
      </c>
      <c r="F15" s="30"/>
      <c r="G15" s="29">
        <f>SUM(E$9:$E15)-SUM(F$9:$F15)</f>
        <v>1040000</v>
      </c>
    </row>
    <row r="16" spans="1:9" ht="28.8" x14ac:dyDescent="0.55000000000000004">
      <c r="A16" s="24">
        <v>45849</v>
      </c>
      <c r="B16" s="13" t="s">
        <v>25</v>
      </c>
      <c r="C16" s="26">
        <v>4</v>
      </c>
      <c r="D16" s="26">
        <v>42500</v>
      </c>
      <c r="E16" s="27">
        <f>+$I$2+(PETITSOLO[[#This Row],[QUANTITE]]*PETITSOLO[[#This Row],[PRIX UNITAIRE]])</f>
        <v>170000</v>
      </c>
      <c r="F16" s="30"/>
      <c r="G16" s="29">
        <f>SUM(E$9:$E16)-SUM(F$9:$F16)</f>
        <v>1210000</v>
      </c>
    </row>
    <row r="17" spans="1:7" ht="28.8" x14ac:dyDescent="0.55000000000000004">
      <c r="A17" s="24">
        <v>45836</v>
      </c>
      <c r="B17" s="13" t="s">
        <v>28</v>
      </c>
      <c r="C17" s="26">
        <v>4</v>
      </c>
      <c r="D17" s="26">
        <v>42500</v>
      </c>
      <c r="E17" s="27">
        <f>+$I$2+(PETITSOLO[[#This Row],[QUANTITE]]*PETITSOLO[[#This Row],[PRIX UNITAIRE]])</f>
        <v>170000</v>
      </c>
      <c r="F17" s="30"/>
      <c r="G17" s="29">
        <f>SUM(E$9:$E17)-SUM(F$9:$F17)</f>
        <v>1380000</v>
      </c>
    </row>
    <row r="18" spans="1:7" ht="28.8" x14ac:dyDescent="0.55000000000000004">
      <c r="A18" s="24">
        <v>45850</v>
      </c>
      <c r="B18" s="13" t="s">
        <v>9</v>
      </c>
      <c r="C18" s="26"/>
      <c r="D18" s="26"/>
      <c r="E18" s="27">
        <f>+$I$2+(PETITSOLO[[#This Row],[QUANTITE]]*PETITSOLO[[#This Row],[PRIX UNITAIRE]])</f>
        <v>0</v>
      </c>
      <c r="F18" s="30">
        <v>1380000</v>
      </c>
      <c r="G18" s="29">
        <f>SUM(E$9:$E18)-SUM(F$9:$F18)</f>
        <v>0</v>
      </c>
    </row>
    <row r="19" spans="1:7" ht="28.8" x14ac:dyDescent="0.55000000000000004">
      <c r="A19" s="24">
        <v>45852</v>
      </c>
      <c r="B19" s="13" t="s">
        <v>33</v>
      </c>
      <c r="C19" s="26">
        <v>4</v>
      </c>
      <c r="D19" s="26">
        <v>40000</v>
      </c>
      <c r="E19" s="27">
        <f>+$I$2+(PETITSOLO[[#This Row],[QUANTITE]]*PETITSOLO[[#This Row],[PRIX UNITAIRE]])</f>
        <v>160000</v>
      </c>
      <c r="F19" s="30"/>
      <c r="G19" s="29">
        <f>SUM(E$9:$E19)-SUM(F$9:$F19)</f>
        <v>160000</v>
      </c>
    </row>
    <row r="20" spans="1:7" ht="28.8" x14ac:dyDescent="0.55000000000000004">
      <c r="A20" s="24">
        <v>45852</v>
      </c>
      <c r="B20" s="13" t="s">
        <v>29</v>
      </c>
      <c r="C20" s="26">
        <v>4</v>
      </c>
      <c r="D20" s="26">
        <v>50000</v>
      </c>
      <c r="E20" s="27">
        <f>+$I$2+(PETITSOLO[[#This Row],[QUANTITE]]*PETITSOLO[[#This Row],[PRIX UNITAIRE]])</f>
        <v>200000</v>
      </c>
      <c r="F20" s="30"/>
      <c r="G20" s="29">
        <f>SUM(E$9:$E20)-SUM(F$9:$F20)</f>
        <v>360000</v>
      </c>
    </row>
    <row r="21" spans="1:7" ht="28.8" x14ac:dyDescent="0.55000000000000004">
      <c r="A21" s="24">
        <v>45856</v>
      </c>
      <c r="B21" s="13" t="s">
        <v>31</v>
      </c>
      <c r="C21" s="26">
        <v>2</v>
      </c>
      <c r="D21" s="26">
        <v>25000</v>
      </c>
      <c r="E21" s="27">
        <f>+$I$2+(PETITSOLO[[#This Row],[QUANTITE]]*PETITSOLO[[#This Row],[PRIX UNITAIRE]])</f>
        <v>50000</v>
      </c>
      <c r="F21" s="30"/>
      <c r="G21" s="29">
        <f>SUM(E$9:$E21)-SUM(F$9:$F21)</f>
        <v>410000</v>
      </c>
    </row>
    <row r="22" spans="1:7" ht="28.8" x14ac:dyDescent="0.55000000000000004">
      <c r="A22" s="24">
        <v>45853</v>
      </c>
      <c r="B22" s="13" t="s">
        <v>32</v>
      </c>
      <c r="C22" s="26">
        <v>0</v>
      </c>
      <c r="D22" s="26"/>
      <c r="E22" s="27">
        <f>+$I$2+(PETITSOLO[[#This Row],[QUANTITE]]*PETITSOLO[[#This Row],[PRIX UNITAIRE]])</f>
        <v>0</v>
      </c>
      <c r="F22" s="30"/>
      <c r="G22" s="29">
        <f>SUM(E$9:$E22)-SUM(F$9:$F22)</f>
        <v>410000</v>
      </c>
    </row>
    <row r="23" spans="1:7" ht="28.8" x14ac:dyDescent="0.55000000000000004">
      <c r="A23" s="24">
        <v>45855</v>
      </c>
      <c r="B23" s="13" t="s">
        <v>30</v>
      </c>
      <c r="C23" s="26">
        <v>4</v>
      </c>
      <c r="D23" s="26">
        <v>50000</v>
      </c>
      <c r="E23" s="27">
        <f>+$I$2+(PETITSOLO[[#This Row],[QUANTITE]]*PETITSOLO[[#This Row],[PRIX UNITAIRE]])</f>
        <v>200000</v>
      </c>
      <c r="F23" s="30"/>
      <c r="G23" s="29">
        <f>SUM(E$9:$E23)-SUM(F$9:$F23)</f>
        <v>610000</v>
      </c>
    </row>
    <row r="24" spans="1:7" ht="28.8" x14ac:dyDescent="0.55000000000000004">
      <c r="A24" s="24">
        <v>45856</v>
      </c>
      <c r="B24" s="13" t="s">
        <v>9</v>
      </c>
      <c r="C24" s="26"/>
      <c r="D24" s="26"/>
      <c r="E24" s="27">
        <f>+$I$2+(PETITSOLO[[#This Row],[QUANTITE]]*PETITSOLO[[#This Row],[PRIX UNITAIRE]])</f>
        <v>0</v>
      </c>
      <c r="F24" s="30">
        <v>610000</v>
      </c>
      <c r="G24" s="29">
        <f>SUM(E$9:$E24)-SUM(F$9:$F24)</f>
        <v>0</v>
      </c>
    </row>
    <row r="25" spans="1:7" ht="28.8" x14ac:dyDescent="0.55000000000000004">
      <c r="A25" s="24">
        <v>45860</v>
      </c>
      <c r="B25" s="13" t="s">
        <v>21</v>
      </c>
      <c r="C25" s="26">
        <v>2</v>
      </c>
      <c r="D25" s="26">
        <v>42500</v>
      </c>
      <c r="E25" s="27">
        <f>+$I$2+(PETITSOLO[[#This Row],[QUANTITE]]*PETITSOLO[[#This Row],[PRIX UNITAIRE]])</f>
        <v>85000</v>
      </c>
      <c r="F25" s="30"/>
      <c r="G25" s="29">
        <f>SUM(E$9:$E25)-SUM(F$9:$F25)</f>
        <v>85000</v>
      </c>
    </row>
    <row r="26" spans="1:7" ht="28.8" x14ac:dyDescent="0.55000000000000004">
      <c r="A26" s="24">
        <v>45861</v>
      </c>
      <c r="B26" s="13" t="s">
        <v>10</v>
      </c>
      <c r="C26" s="26">
        <v>6</v>
      </c>
      <c r="D26" s="26">
        <v>16000</v>
      </c>
      <c r="E26" s="27">
        <f>+$I$2+(PETITSOLO[[#This Row],[QUANTITE]]*PETITSOLO[[#This Row],[PRIX UNITAIRE]])</f>
        <v>96000</v>
      </c>
      <c r="F26" s="30"/>
      <c r="G26" s="29">
        <f>SUM(E$9:$E26)-SUM(F$9:$F26)</f>
        <v>181000</v>
      </c>
    </row>
    <row r="27" spans="1:7" ht="28.8" x14ac:dyDescent="0.55000000000000004">
      <c r="A27" s="24">
        <v>45862</v>
      </c>
      <c r="B27" s="13" t="s">
        <v>35</v>
      </c>
      <c r="C27" s="26">
        <v>2</v>
      </c>
      <c r="D27" s="26">
        <v>40000</v>
      </c>
      <c r="E27" s="27">
        <f>+$I$2+(PETITSOLO[[#This Row],[QUANTITE]]*PETITSOLO[[#This Row],[PRIX UNITAIRE]])</f>
        <v>80000</v>
      </c>
      <c r="F27" s="30"/>
      <c r="G27" s="29">
        <f>SUM(E$9:$E27)-SUM(F$9:$F27)</f>
        <v>261000</v>
      </c>
    </row>
    <row r="28" spans="1:7" ht="28.8" x14ac:dyDescent="0.55000000000000004">
      <c r="A28" s="24">
        <v>45863</v>
      </c>
      <c r="B28" s="13" t="s">
        <v>36</v>
      </c>
      <c r="C28" s="26">
        <v>6</v>
      </c>
      <c r="D28" s="26">
        <v>40000</v>
      </c>
      <c r="E28" s="27">
        <f>+$I$2+(PETITSOLO[[#This Row],[QUANTITE]]*PETITSOLO[[#This Row],[PRIX UNITAIRE]])</f>
        <v>240000</v>
      </c>
      <c r="F28" s="30"/>
      <c r="G28" s="29">
        <f>SUM(E$9:$E28)-SUM(F$9:$F28)</f>
        <v>501000</v>
      </c>
    </row>
    <row r="29" spans="1:7" ht="28.8" x14ac:dyDescent="0.55000000000000004">
      <c r="A29" s="24">
        <v>45864</v>
      </c>
      <c r="B29" s="13" t="s">
        <v>21</v>
      </c>
      <c r="C29" s="26">
        <v>4</v>
      </c>
      <c r="D29" s="26"/>
      <c r="E29" s="27">
        <f>+$I$2+(PETITSOLO[[#This Row],[QUANTITE]]*PETITSOLO[[#This Row],[PRIX UNITAIRE]])</f>
        <v>0</v>
      </c>
      <c r="F29" s="30"/>
      <c r="G29" s="29">
        <f>SUM(E$9:$E29)-SUM(F$9:$F29)</f>
        <v>501000</v>
      </c>
    </row>
    <row r="30" spans="1:7" ht="28.8" x14ac:dyDescent="0.55000000000000004">
      <c r="A30" s="24">
        <v>45861</v>
      </c>
      <c r="B30" s="13" t="s">
        <v>37</v>
      </c>
      <c r="C30" s="26">
        <v>2</v>
      </c>
      <c r="D30" s="26">
        <v>140000</v>
      </c>
      <c r="E30" s="27">
        <f>+$I$2+(PETITSOLO[[#This Row],[QUANTITE]]*PETITSOLO[[#This Row],[PRIX UNITAIRE]])</f>
        <v>280000</v>
      </c>
      <c r="F30" s="30"/>
      <c r="G30" s="29">
        <f>SUM(E$9:$E30)-SUM(F$9:$F30)</f>
        <v>781000</v>
      </c>
    </row>
    <row r="31" spans="1:7" ht="28.8" x14ac:dyDescent="0.55000000000000004">
      <c r="A31" s="24">
        <v>45857</v>
      </c>
      <c r="B31" s="13" t="s">
        <v>14</v>
      </c>
      <c r="C31" s="26">
        <v>2</v>
      </c>
      <c r="D31" s="26">
        <v>35000</v>
      </c>
      <c r="E31" s="27">
        <f>+$I$2+(PETITSOLO[[#This Row],[QUANTITE]]*PETITSOLO[[#This Row],[PRIX UNITAIRE]])</f>
        <v>70000</v>
      </c>
      <c r="F31" s="30"/>
      <c r="G31" s="29">
        <f>SUM(E$9:$E31)-SUM(F$9:$F31)</f>
        <v>851000</v>
      </c>
    </row>
    <row r="32" spans="1:7" ht="28.8" x14ac:dyDescent="0.55000000000000004">
      <c r="A32" s="24">
        <v>45857</v>
      </c>
      <c r="B32" s="13" t="s">
        <v>36</v>
      </c>
      <c r="C32" s="26">
        <v>4</v>
      </c>
      <c r="D32" s="26">
        <v>40000</v>
      </c>
      <c r="E32" s="27">
        <f>+$I$2+(PETITSOLO[[#This Row],[QUANTITE]]*PETITSOLO[[#This Row],[PRIX UNITAIRE]])</f>
        <v>160000</v>
      </c>
      <c r="F32" s="30"/>
      <c r="G32" s="29">
        <f>SUM(E$9:$E32)-SUM(F$9:$F32)</f>
        <v>1011000</v>
      </c>
    </row>
    <row r="33" spans="1:7" ht="28.8" x14ac:dyDescent="0.55000000000000004">
      <c r="A33" s="24">
        <v>45864</v>
      </c>
      <c r="B33" s="13" t="s">
        <v>9</v>
      </c>
      <c r="C33" s="26"/>
      <c r="D33" s="26"/>
      <c r="E33" s="27">
        <f>+$I$2+(PETITSOLO[[#This Row],[QUANTITE]]*PETITSOLO[[#This Row],[PRIX UNITAIRE]])</f>
        <v>0</v>
      </c>
      <c r="F33" s="30">
        <v>780000</v>
      </c>
      <c r="G33" s="29">
        <f>SUM(E$9:$E33)-SUM(F$9:$F33)</f>
        <v>231000</v>
      </c>
    </row>
    <row r="34" spans="1:7" ht="28.8" x14ac:dyDescent="0.55000000000000004">
      <c r="A34" s="24">
        <v>45868</v>
      </c>
      <c r="B34" s="13" t="s">
        <v>14</v>
      </c>
      <c r="C34" s="26">
        <v>4</v>
      </c>
      <c r="D34" s="26">
        <v>35000</v>
      </c>
      <c r="E34" s="27">
        <f>+$I$2+(PETITSOLO[[#This Row],[QUANTITE]]*PETITSOLO[[#This Row],[PRIX UNITAIRE]])</f>
        <v>140000</v>
      </c>
      <c r="F34" s="30"/>
      <c r="G34" s="29">
        <f>SUM(E$9:$E34)-SUM(F$9:$F34)</f>
        <v>371000</v>
      </c>
    </row>
    <row r="35" spans="1:7" ht="28.8" x14ac:dyDescent="0.55000000000000004">
      <c r="A35" s="24">
        <v>45871</v>
      </c>
      <c r="B35" s="13" t="s">
        <v>21</v>
      </c>
      <c r="C35" s="26">
        <v>2</v>
      </c>
      <c r="D35" s="26">
        <v>42500</v>
      </c>
      <c r="E35" s="27">
        <f>+$I$2+(PETITSOLO[[#This Row],[QUANTITE]]*PETITSOLO[[#This Row],[PRIX UNITAIRE]])</f>
        <v>85000</v>
      </c>
      <c r="F35" s="30"/>
      <c r="G35" s="29">
        <f>SUM(E$9:$E35)-SUM(F$9:$F35)</f>
        <v>456000</v>
      </c>
    </row>
    <row r="36" spans="1:7" ht="28.8" x14ac:dyDescent="0.55000000000000004">
      <c r="A36" s="24">
        <v>45874</v>
      </c>
      <c r="B36" s="13" t="s">
        <v>38</v>
      </c>
      <c r="C36" s="26">
        <v>4</v>
      </c>
      <c r="D36" s="26"/>
      <c r="E36" s="27">
        <f>+$I$2+(PETITSOLO[[#This Row],[QUANTITE]]*PETITSOLO[[#This Row],[PRIX UNITAIRE]])</f>
        <v>0</v>
      </c>
      <c r="F36" s="30"/>
      <c r="G36" s="29">
        <f>SUM(E$9:$E36)-SUM(F$9:$F36)</f>
        <v>456000</v>
      </c>
    </row>
    <row r="37" spans="1:7" ht="28.8" x14ac:dyDescent="0.55000000000000004">
      <c r="A37" s="24">
        <v>45864</v>
      </c>
      <c r="B37" s="13" t="s">
        <v>39</v>
      </c>
      <c r="C37" s="26">
        <v>3</v>
      </c>
      <c r="D37" s="26">
        <v>42500</v>
      </c>
      <c r="E37" s="27">
        <f>+$I$2+(PETITSOLO[[#This Row],[QUANTITE]]*PETITSOLO[[#This Row],[PRIX UNITAIRE]])</f>
        <v>127500</v>
      </c>
      <c r="F37" s="30"/>
      <c r="G37" s="29">
        <f>SUM(E$9:$E37)-SUM(F$9:$F37)</f>
        <v>583500</v>
      </c>
    </row>
    <row r="38" spans="1:7" ht="28.8" x14ac:dyDescent="0.55000000000000004">
      <c r="A38" s="24">
        <v>45864</v>
      </c>
      <c r="B38" s="13" t="s">
        <v>40</v>
      </c>
      <c r="C38" s="26">
        <v>4</v>
      </c>
      <c r="D38" s="26">
        <v>42500</v>
      </c>
      <c r="E38" s="27">
        <f>+$I$2+(PETITSOLO[[#This Row],[QUANTITE]]*PETITSOLO[[#This Row],[PRIX UNITAIRE]])</f>
        <v>170000</v>
      </c>
      <c r="F38" s="30"/>
      <c r="G38" s="29">
        <f>SUM(E$9:$E38)-SUM(F$9:$F38)</f>
        <v>753500</v>
      </c>
    </row>
    <row r="39" spans="1:7" ht="28.8" x14ac:dyDescent="0.55000000000000004">
      <c r="A39" s="24">
        <v>45877</v>
      </c>
      <c r="B39" s="13" t="s">
        <v>41</v>
      </c>
      <c r="C39" s="26">
        <v>4</v>
      </c>
      <c r="D39" s="26">
        <v>40000</v>
      </c>
      <c r="E39" s="27">
        <f>+$I$2+(PETITSOLO[[#This Row],[QUANTITE]]*PETITSOLO[[#This Row],[PRIX UNITAIRE]])</f>
        <v>160000</v>
      </c>
      <c r="F39" s="30"/>
      <c r="G39" s="29">
        <f>SUM(E$9:$E39)-SUM(F$9:$F39)</f>
        <v>913500</v>
      </c>
    </row>
    <row r="40" spans="1:7" ht="28.8" x14ac:dyDescent="0.55000000000000004">
      <c r="A40" s="24">
        <v>45877</v>
      </c>
      <c r="B40" s="13" t="s">
        <v>35</v>
      </c>
      <c r="C40" s="26">
        <v>4</v>
      </c>
      <c r="D40" s="26"/>
      <c r="E40" s="27">
        <f>+$I$2+(PETITSOLO[[#This Row],[QUANTITE]]*PETITSOLO[[#This Row],[PRIX UNITAIRE]])</f>
        <v>0</v>
      </c>
      <c r="F40" s="30"/>
      <c r="G40" s="29">
        <f>SUM(E$9:$E40)-SUM(F$9:$F40)</f>
        <v>913500</v>
      </c>
    </row>
    <row r="41" spans="1:7" ht="28.8" x14ac:dyDescent="0.55000000000000004">
      <c r="A41" s="24">
        <v>45880</v>
      </c>
      <c r="B41" s="13" t="s">
        <v>42</v>
      </c>
      <c r="C41" s="26">
        <v>2</v>
      </c>
      <c r="D41" s="26"/>
      <c r="E41" s="27">
        <f>+$I$2+(PETITSOLO[[#This Row],[QUANTITE]]*PETITSOLO[[#This Row],[PRIX UNITAIRE]])</f>
        <v>0</v>
      </c>
      <c r="F41" s="30"/>
      <c r="G41" s="29">
        <f>SUM(E$9:$E41)-SUM(F$9:$F41)</f>
        <v>913500</v>
      </c>
    </row>
    <row r="42" spans="1:7" ht="28.8" x14ac:dyDescent="0.55000000000000004">
      <c r="A42" s="24">
        <v>45881</v>
      </c>
      <c r="B42" s="13" t="s">
        <v>43</v>
      </c>
      <c r="C42" s="26">
        <v>4</v>
      </c>
      <c r="D42" s="26">
        <v>35000</v>
      </c>
      <c r="E42" s="27">
        <f>+$I$2+(PETITSOLO[[#This Row],[QUANTITE]]*PETITSOLO[[#This Row],[PRIX UNITAIRE]])</f>
        <v>140000</v>
      </c>
      <c r="F42" s="30"/>
      <c r="G42" s="29">
        <f>SUM(E$9:$E42)-SUM(F$9:$F42)</f>
        <v>1053500</v>
      </c>
    </row>
    <row r="43" spans="1:7" ht="28.8" x14ac:dyDescent="0.55000000000000004">
      <c r="A43" s="24">
        <v>45889</v>
      </c>
      <c r="B43" s="13" t="s">
        <v>44</v>
      </c>
      <c r="C43" s="26">
        <v>4</v>
      </c>
      <c r="D43" s="26">
        <v>40000</v>
      </c>
      <c r="E43" s="27">
        <f>+$I$2+(PETITSOLO[[#This Row],[QUANTITE]]*PETITSOLO[[#This Row],[PRIX UNITAIRE]])</f>
        <v>160000</v>
      </c>
      <c r="F43" s="30"/>
      <c r="G43" s="29">
        <f>SUM(E$9:$E43)-SUM(F$9:$F43)</f>
        <v>1213500</v>
      </c>
    </row>
    <row r="44" spans="1:7" ht="28.8" x14ac:dyDescent="0.55000000000000004">
      <c r="A44" s="24">
        <v>45881</v>
      </c>
      <c r="B44" s="13" t="s">
        <v>45</v>
      </c>
      <c r="C44" s="26">
        <v>4</v>
      </c>
      <c r="D44" s="26">
        <v>35000</v>
      </c>
      <c r="E44" s="27">
        <f>+$I$2+(PETITSOLO[[#This Row],[QUANTITE]]*PETITSOLO[[#This Row],[PRIX UNITAIRE]])</f>
        <v>140000</v>
      </c>
      <c r="F44" s="30"/>
      <c r="G44" s="29">
        <f>SUM(E$9:$E44)-SUM(F$9:$F44)</f>
        <v>1353500</v>
      </c>
    </row>
    <row r="45" spans="1:7" ht="28.8" x14ac:dyDescent="0.55000000000000004">
      <c r="A45" s="24">
        <v>45892</v>
      </c>
      <c r="B45" s="13" t="s">
        <v>46</v>
      </c>
      <c r="C45" s="26">
        <v>4</v>
      </c>
      <c r="D45" s="26">
        <v>50000</v>
      </c>
      <c r="E45" s="27">
        <f>+$I$2+(PETITSOLO[[#This Row],[QUANTITE]]*PETITSOLO[[#This Row],[PRIX UNITAIRE]])</f>
        <v>200000</v>
      </c>
      <c r="F45" s="30"/>
      <c r="G45" s="29">
        <f>SUM(E$9:$E45)-SUM(F$9:$F45)</f>
        <v>1553500</v>
      </c>
    </row>
    <row r="46" spans="1:7" ht="28.8" x14ac:dyDescent="0.55000000000000004">
      <c r="A46" s="24">
        <v>45897</v>
      </c>
      <c r="B46" s="13" t="s">
        <v>47</v>
      </c>
      <c r="C46" s="26">
        <v>4</v>
      </c>
      <c r="D46" s="26">
        <v>42500</v>
      </c>
      <c r="E46" s="27">
        <f>+$I$2+(PETITSOLO[[#This Row],[QUANTITE]]*PETITSOLO[[#This Row],[PRIX UNITAIRE]])</f>
        <v>170000</v>
      </c>
      <c r="F46" s="30"/>
      <c r="G46" s="29">
        <f>SUM(E$9:$E46)-SUM(F$9:$F46)</f>
        <v>1723500</v>
      </c>
    </row>
    <row r="47" spans="1:7" ht="28.8" x14ac:dyDescent="0.55000000000000004">
      <c r="A47" s="24">
        <v>45910</v>
      </c>
      <c r="B47" s="13" t="s">
        <v>48</v>
      </c>
      <c r="C47" s="26">
        <v>4</v>
      </c>
      <c r="D47" s="26">
        <v>35000</v>
      </c>
      <c r="E47" s="27">
        <f>+$I$2+(PETITSOLO[[#This Row],[QUANTITE]]*PETITSOLO[[#This Row],[PRIX UNITAIRE]])</f>
        <v>140000</v>
      </c>
      <c r="F47" s="30"/>
      <c r="G47" s="29">
        <f>SUM(E$9:$E47)-SUM(F$9:$F47)</f>
        <v>1863500</v>
      </c>
    </row>
    <row r="48" spans="1:7" ht="28.8" x14ac:dyDescent="0.55000000000000004">
      <c r="A48" s="24">
        <v>45913</v>
      </c>
      <c r="B48" s="13" t="s">
        <v>49</v>
      </c>
      <c r="C48" s="26">
        <v>4</v>
      </c>
      <c r="D48" s="26">
        <v>75000</v>
      </c>
      <c r="E48" s="27">
        <f>+$I$2+(PETITSOLO[[#This Row],[QUANTITE]]*PETITSOLO[[#This Row],[PRIX UNITAIRE]])</f>
        <v>300000</v>
      </c>
      <c r="F48" s="30"/>
      <c r="G48" s="29">
        <f>SUM(E$9:$E48)-SUM(F$9:$F48)</f>
        <v>2163500</v>
      </c>
    </row>
    <row r="49" spans="1:7" ht="28.8" x14ac:dyDescent="0.55000000000000004">
      <c r="A49" s="24">
        <v>45918</v>
      </c>
      <c r="B49" s="13" t="s">
        <v>9</v>
      </c>
      <c r="C49" s="26"/>
      <c r="D49" s="26"/>
      <c r="E49" s="27">
        <f>+$I$2+(PETITSOLO[[#This Row],[QUANTITE]]*PETITSOLO[[#This Row],[PRIX UNITAIRE]])</f>
        <v>0</v>
      </c>
      <c r="F49" s="30">
        <v>2172000</v>
      </c>
      <c r="G49" s="29">
        <f>SUM(E$9:$E49)-SUM(F$9:$F49)</f>
        <v>-8500</v>
      </c>
    </row>
    <row r="50" spans="1:7" ht="28.8" x14ac:dyDescent="0.55000000000000004">
      <c r="A50" s="24">
        <v>45874</v>
      </c>
      <c r="B50" s="13" t="s">
        <v>38</v>
      </c>
      <c r="C50" s="26">
        <v>4</v>
      </c>
      <c r="D50" s="26">
        <v>35000</v>
      </c>
      <c r="E50" s="27">
        <f>+$I$2+(PETITSOLO[[#This Row],[QUANTITE]]*PETITSOLO[[#This Row],[PRIX UNITAIRE]])</f>
        <v>140000</v>
      </c>
      <c r="F50" s="30"/>
      <c r="G50" s="29">
        <f>SUM(E$9:$E50)-SUM(F$9:$F50)</f>
        <v>131500</v>
      </c>
    </row>
    <row r="51" spans="1:7" ht="28.8" x14ac:dyDescent="0.55000000000000004">
      <c r="A51" s="24">
        <v>45909</v>
      </c>
      <c r="B51" s="13" t="s">
        <v>50</v>
      </c>
      <c r="C51" s="26">
        <v>4</v>
      </c>
      <c r="D51" s="26">
        <v>16000</v>
      </c>
      <c r="E51" s="27">
        <f>+$I$2+(PETITSOLO[[#This Row],[QUANTITE]]*PETITSOLO[[#This Row],[PRIX UNITAIRE]])</f>
        <v>64000</v>
      </c>
      <c r="F51" s="30"/>
      <c r="G51" s="29">
        <f>SUM(E$9:$E51)-SUM(F$9:$F51)</f>
        <v>195500</v>
      </c>
    </row>
    <row r="52" spans="1:7" ht="28.8" x14ac:dyDescent="0.55000000000000004">
      <c r="A52" s="24">
        <v>45918</v>
      </c>
      <c r="B52" s="13" t="s">
        <v>9</v>
      </c>
      <c r="C52" s="26"/>
      <c r="D52" s="26"/>
      <c r="E52" s="27">
        <f>+$I$2+(PETITSOLO[[#This Row],[QUANTITE]]*PETITSOLO[[#This Row],[PRIX UNITAIRE]])</f>
        <v>0</v>
      </c>
      <c r="F52" s="30">
        <v>195500</v>
      </c>
      <c r="G52" s="29">
        <f>SUM(E$9:$E52)-SUM(F$9:$F52)</f>
        <v>0</v>
      </c>
    </row>
    <row r="53" spans="1:7" ht="28.8" x14ac:dyDescent="0.55000000000000004">
      <c r="A53" s="24">
        <v>46073</v>
      </c>
      <c r="B53" s="13" t="s">
        <v>53</v>
      </c>
      <c r="C53" s="26">
        <v>1</v>
      </c>
      <c r="D53" s="10">
        <v>40000</v>
      </c>
      <c r="E53" s="27">
        <f>+$I$2+(PETITSOLO[[#This Row],[QUANTITE]]*PETITSOLO[[#This Row],[PRIX UNITAIRE]])</f>
        <v>40000</v>
      </c>
      <c r="F53" s="30"/>
      <c r="G53" s="29">
        <f>SUM(E$9:$E53)-SUM(F$9:$F53)</f>
        <v>40000</v>
      </c>
    </row>
    <row r="54" spans="1:7" ht="28.8" x14ac:dyDescent="0.55000000000000004">
      <c r="A54" s="24">
        <v>46084</v>
      </c>
      <c r="B54" s="13"/>
      <c r="C54" s="26"/>
      <c r="D54" s="26"/>
      <c r="E54" s="27">
        <f>+$I$2+(PETITSOLO[[#This Row],[QUANTITE]]*PETITSOLO[[#This Row],[PRIX UNITAIRE]])</f>
        <v>0</v>
      </c>
      <c r="F54" s="30">
        <v>40000</v>
      </c>
      <c r="G54" s="29">
        <f>SUM(E$9:$E54)-SUM(F$9:$F54)</f>
        <v>0</v>
      </c>
    </row>
    <row r="55" spans="1:7" ht="28.8" x14ac:dyDescent="0.55000000000000004">
      <c r="A55" s="24">
        <v>46098</v>
      </c>
      <c r="B55" s="13" t="s">
        <v>54</v>
      </c>
      <c r="C55" s="26">
        <v>4</v>
      </c>
      <c r="D55" s="26">
        <v>45000</v>
      </c>
      <c r="E55" s="27">
        <f>+$I$2+(PETITSOLO[[#This Row],[QUANTITE]]*PETITSOLO[[#This Row],[PRIX UNITAIRE]])</f>
        <v>180000</v>
      </c>
      <c r="F55" s="30"/>
      <c r="G55" s="29">
        <f>SUM(E$9:$E55)-SUM(F$9:$F55)</f>
        <v>180000</v>
      </c>
    </row>
    <row r="56" spans="1:7" ht="28.8" x14ac:dyDescent="0.55000000000000004">
      <c r="A56" s="24">
        <v>46099</v>
      </c>
      <c r="B56" s="13" t="s">
        <v>55</v>
      </c>
      <c r="C56" s="26">
        <v>4</v>
      </c>
      <c r="D56" s="26"/>
      <c r="E56" s="27">
        <f>+$I$2+(PETITSOLO[[#This Row],[QUANTITE]]*PETITSOLO[[#This Row],[PRIX UNITAIRE]])</f>
        <v>0</v>
      </c>
      <c r="F56" s="30"/>
      <c r="G56" s="29">
        <f>SUM(E$9:$E56)-SUM(F$9:$F56)</f>
        <v>180000</v>
      </c>
    </row>
    <row r="57" spans="1:7" ht="28.8" x14ac:dyDescent="0.55000000000000004">
      <c r="A57" s="24"/>
      <c r="B57" s="25"/>
      <c r="C57" s="26"/>
      <c r="D57" s="26"/>
      <c r="E57" s="27">
        <f>+$I$2+(PETITSOLO[[#This Row],[QUANTITE]]*PETITSOLO[[#This Row],[PRIX UNITAIRE]])</f>
        <v>0</v>
      </c>
      <c r="F57" s="30"/>
      <c r="G57" s="29">
        <f>SUM(E$9:$E57)-SUM(F$9:$F57)</f>
        <v>180000</v>
      </c>
    </row>
    <row r="58" spans="1:7" ht="28.8" x14ac:dyDescent="0.55000000000000004">
      <c r="A58" s="24"/>
      <c r="B58" s="25"/>
      <c r="C58" s="26"/>
      <c r="D58" s="26"/>
      <c r="E58" s="27">
        <f>+$I$2+(PETITSOLO[[#This Row],[QUANTITE]]*PETITSOLO[[#This Row],[PRIX UNITAIRE]])</f>
        <v>0</v>
      </c>
      <c r="F58" s="30"/>
      <c r="G58" s="29">
        <f>SUM(E$9:$E58)-SUM(F$9:$F58)</f>
        <v>180000</v>
      </c>
    </row>
    <row r="59" spans="1:7" ht="28.8" x14ac:dyDescent="0.55000000000000004">
      <c r="A59" s="24"/>
      <c r="B59" s="25"/>
      <c r="C59" s="26"/>
      <c r="D59" s="26"/>
      <c r="E59" s="27">
        <f>+$I$2+(PETITSOLO[[#This Row],[QUANTITE]]*PETITSOLO[[#This Row],[PRIX UNITAIRE]])</f>
        <v>0</v>
      </c>
      <c r="F59" s="30"/>
      <c r="G59" s="29">
        <f>SUM(E$9:$E59)-SUM(F$9:$F59)</f>
        <v>180000</v>
      </c>
    </row>
    <row r="60" spans="1:7" ht="28.8" x14ac:dyDescent="0.55000000000000004">
      <c r="A60" s="24"/>
      <c r="B60" s="25"/>
      <c r="C60" s="26"/>
      <c r="D60" s="26"/>
      <c r="E60" s="27">
        <f>+$I$2+(PETITSOLO[[#This Row],[QUANTITE]]*PETITSOLO[[#This Row],[PRIX UNITAIRE]])</f>
        <v>0</v>
      </c>
      <c r="F60" s="30"/>
      <c r="G60" s="29">
        <f>SUM(E$9:$E60)-SUM(F$9:$F60)</f>
        <v>180000</v>
      </c>
    </row>
    <row r="61" spans="1:7" ht="28.8" x14ac:dyDescent="0.55000000000000004">
      <c r="A61" s="24"/>
      <c r="B61" s="25"/>
      <c r="C61" s="26"/>
      <c r="D61" s="26"/>
      <c r="E61" s="27">
        <f>+$I$2+(PETITSOLO[[#This Row],[QUANTITE]]*PETITSOLO[[#This Row],[PRIX UNITAIRE]])</f>
        <v>0</v>
      </c>
      <c r="F61" s="30"/>
      <c r="G61" s="29">
        <f>SUM(E$9:$E61)-SUM(F$9:$F61)</f>
        <v>180000</v>
      </c>
    </row>
    <row r="62" spans="1:7" ht="28.8" x14ac:dyDescent="0.55000000000000004">
      <c r="A62" s="24"/>
      <c r="B62" s="25"/>
      <c r="C62" s="26"/>
      <c r="D62" s="26"/>
      <c r="E62" s="27">
        <f>+$I$2+(PETITSOLO[[#This Row],[QUANTITE]]*PETITSOLO[[#This Row],[PRIX UNITAIRE]])</f>
        <v>0</v>
      </c>
      <c r="F62" s="30"/>
      <c r="G62" s="29">
        <f>SUM(E$9:$E62)-SUM(F$9:$F62)</f>
        <v>180000</v>
      </c>
    </row>
    <row r="63" spans="1:7" ht="28.8" x14ac:dyDescent="0.55000000000000004">
      <c r="A63" s="24"/>
      <c r="B63" s="25"/>
      <c r="C63" s="26"/>
      <c r="D63" s="26"/>
      <c r="E63" s="27">
        <f>+$I$2+(PETITSOLO[[#This Row],[QUANTITE]]*PETITSOLO[[#This Row],[PRIX UNITAIRE]])</f>
        <v>0</v>
      </c>
      <c r="F63" s="30"/>
      <c r="G63" s="29">
        <f>SUM(E$9:$E63)-SUM(F$9:$F63)</f>
        <v>180000</v>
      </c>
    </row>
    <row r="64" spans="1:7" ht="28.8" x14ac:dyDescent="0.55000000000000004">
      <c r="A64" s="24"/>
      <c r="B64" s="25"/>
      <c r="C64" s="26"/>
      <c r="D64" s="26"/>
      <c r="E64" s="27">
        <f>+$I$2+(PETITSOLO[[#This Row],[QUANTITE]]*PETITSOLO[[#This Row],[PRIX UNITAIRE]])</f>
        <v>0</v>
      </c>
      <c r="F64" s="30"/>
      <c r="G64" s="29">
        <f>SUM(E$9:$E64)-SUM(F$9:$F64)</f>
        <v>180000</v>
      </c>
    </row>
    <row r="65" spans="1:7" ht="28.8" x14ac:dyDescent="0.55000000000000004">
      <c r="A65" s="24"/>
      <c r="B65" s="25"/>
      <c r="C65" s="26"/>
      <c r="D65" s="26"/>
      <c r="E65" s="27">
        <f>+$I$2+(PETITSOLO[[#This Row],[QUANTITE]]*PETITSOLO[[#This Row],[PRIX UNITAIRE]])</f>
        <v>0</v>
      </c>
      <c r="F65" s="30"/>
      <c r="G65" s="29">
        <f>SUM(E$9:$E65)-SUM(F$9:$F65)</f>
        <v>180000</v>
      </c>
    </row>
    <row r="66" spans="1:7" ht="28.8" x14ac:dyDescent="0.55000000000000004">
      <c r="A66" s="24"/>
      <c r="B66" s="25"/>
      <c r="C66" s="26"/>
      <c r="D66" s="26"/>
      <c r="E66" s="27">
        <f>+$I$2+(PETITSOLO[[#This Row],[QUANTITE]]*PETITSOLO[[#This Row],[PRIX UNITAIRE]])</f>
        <v>0</v>
      </c>
      <c r="F66" s="30"/>
      <c r="G66" s="29">
        <f>SUM(E$9:$E66)-SUM(F$9:$F66)</f>
        <v>180000</v>
      </c>
    </row>
    <row r="67" spans="1:7" ht="28.8" x14ac:dyDescent="0.55000000000000004">
      <c r="A67" s="24"/>
      <c r="B67" s="25"/>
      <c r="C67" s="26"/>
      <c r="D67" s="26"/>
      <c r="E67" s="27">
        <f>+$I$2+(PETITSOLO[[#This Row],[QUANTITE]]*PETITSOLO[[#This Row],[PRIX UNITAIRE]])</f>
        <v>0</v>
      </c>
      <c r="F67" s="30"/>
      <c r="G67" s="29">
        <f>SUM(E$9:$E67)-SUM(F$9:$F67)</f>
        <v>180000</v>
      </c>
    </row>
    <row r="68" spans="1:7" ht="28.8" x14ac:dyDescent="0.55000000000000004">
      <c r="A68" s="24"/>
      <c r="B68" s="25"/>
      <c r="C68" s="26"/>
      <c r="D68" s="26"/>
      <c r="E68" s="27">
        <f>+$I$2+(PETITSOLO[[#This Row],[QUANTITE]]*PETITSOLO[[#This Row],[PRIX UNITAIRE]])</f>
        <v>0</v>
      </c>
      <c r="F68" s="30"/>
      <c r="G68" s="29">
        <f>SUM(E$9:$E68)-SUM(F$9:$F68)</f>
        <v>180000</v>
      </c>
    </row>
    <row r="69" spans="1:7" ht="28.8" x14ac:dyDescent="0.55000000000000004">
      <c r="A69" s="24"/>
      <c r="B69" s="25"/>
      <c r="C69" s="26"/>
      <c r="D69" s="26"/>
      <c r="E69" s="27">
        <f>+$I$2+(PETITSOLO[[#This Row],[QUANTITE]]*PETITSOLO[[#This Row],[PRIX UNITAIRE]])</f>
        <v>0</v>
      </c>
      <c r="F69" s="30"/>
      <c r="G69" s="29">
        <f>SUM(E$9:$E69)-SUM(F$9:$F69)</f>
        <v>180000</v>
      </c>
    </row>
    <row r="70" spans="1:7" ht="28.8" x14ac:dyDescent="0.55000000000000004">
      <c r="A70" s="24"/>
      <c r="B70" s="25"/>
      <c r="C70" s="26"/>
      <c r="D70" s="26"/>
      <c r="E70" s="27">
        <f>+$I$2+(PETITSOLO[[#This Row],[QUANTITE]]*PETITSOLO[[#This Row],[PRIX UNITAIRE]])</f>
        <v>0</v>
      </c>
      <c r="F70" s="30"/>
      <c r="G70" s="29">
        <f>SUM(E$9:$E70)-SUM(F$9:$F70)</f>
        <v>180000</v>
      </c>
    </row>
    <row r="71" spans="1:7" ht="28.8" x14ac:dyDescent="0.55000000000000004">
      <c r="A71" s="24"/>
      <c r="B71" s="25"/>
      <c r="C71" s="26"/>
      <c r="D71" s="26"/>
      <c r="E71" s="27">
        <f>+$I$2+(PETITSOLO[[#This Row],[QUANTITE]]*PETITSOLO[[#This Row],[PRIX UNITAIRE]])</f>
        <v>0</v>
      </c>
      <c r="F71" s="30"/>
      <c r="G71" s="29">
        <f>SUM(E$9:$E71)-SUM(F$9:$F71)</f>
        <v>180000</v>
      </c>
    </row>
    <row r="72" spans="1:7" ht="28.8" x14ac:dyDescent="0.55000000000000004">
      <c r="A72" s="24"/>
      <c r="B72" s="25"/>
      <c r="C72" s="26"/>
      <c r="D72" s="26"/>
      <c r="E72" s="27">
        <f>+$I$2+(PETITSOLO[[#This Row],[QUANTITE]]*PETITSOLO[[#This Row],[PRIX UNITAIRE]])</f>
        <v>0</v>
      </c>
      <c r="F72" s="30"/>
      <c r="G72" s="29">
        <f>SUM(E$9:$E72)-SUM(F$9:$F72)</f>
        <v>180000</v>
      </c>
    </row>
    <row r="73" spans="1:7" ht="28.8" x14ac:dyDescent="0.55000000000000004">
      <c r="A73" s="24"/>
      <c r="B73" s="25"/>
      <c r="C73" s="26"/>
      <c r="D73" s="26"/>
      <c r="E73" s="27">
        <f>+$I$2+(PETITSOLO[[#This Row],[QUANTITE]]*PETITSOLO[[#This Row],[PRIX UNITAIRE]])</f>
        <v>0</v>
      </c>
      <c r="F73" s="30"/>
      <c r="G73" s="29">
        <f>SUM(E$9:$E73)-SUM(F$9:$F73)</f>
        <v>180000</v>
      </c>
    </row>
    <row r="74" spans="1:7" ht="28.8" x14ac:dyDescent="0.55000000000000004">
      <c r="A74" s="24"/>
      <c r="B74" s="25"/>
      <c r="C74" s="26"/>
      <c r="D74" s="26"/>
      <c r="E74" s="27">
        <f>+$I$2+(PETITSOLO[[#This Row],[QUANTITE]]*PETITSOLO[[#This Row],[PRIX UNITAIRE]])</f>
        <v>0</v>
      </c>
      <c r="F74" s="30"/>
      <c r="G74" s="29">
        <f>SUM(E$9:$E74)-SUM(F$9:$F74)</f>
        <v>180000</v>
      </c>
    </row>
    <row r="75" spans="1:7" ht="28.8" x14ac:dyDescent="0.55000000000000004">
      <c r="A75" s="24"/>
      <c r="B75" s="25"/>
      <c r="C75" s="26"/>
      <c r="D75" s="26"/>
      <c r="E75" s="27">
        <f>+$I$2+(PETITSOLO[[#This Row],[QUANTITE]]*PETITSOLO[[#This Row],[PRIX UNITAIRE]])</f>
        <v>0</v>
      </c>
      <c r="F75" s="30"/>
      <c r="G75" s="29">
        <f>SUM(E$9:$E75)-SUM(F$9:$F75)</f>
        <v>180000</v>
      </c>
    </row>
    <row r="76" spans="1:7" ht="28.8" x14ac:dyDescent="0.55000000000000004">
      <c r="A76" s="24"/>
      <c r="B76" s="25"/>
      <c r="C76" s="26"/>
      <c r="D76" s="26"/>
      <c r="E76" s="27">
        <f>+$I$2+(PETITSOLO[[#This Row],[QUANTITE]]*PETITSOLO[[#This Row],[PRIX UNITAIRE]])</f>
        <v>0</v>
      </c>
      <c r="F76" s="30"/>
      <c r="G76" s="29">
        <f>SUM(E$9:$E76)-SUM(F$9:$F76)</f>
        <v>180000</v>
      </c>
    </row>
    <row r="77" spans="1:7" ht="28.8" x14ac:dyDescent="0.55000000000000004">
      <c r="A77" s="24"/>
      <c r="B77" s="25"/>
      <c r="C77" s="26"/>
      <c r="D77" s="26"/>
      <c r="E77" s="27">
        <f>+$I$2+(PETITSOLO[[#This Row],[QUANTITE]]*PETITSOLO[[#This Row],[PRIX UNITAIRE]])</f>
        <v>0</v>
      </c>
      <c r="F77" s="30"/>
      <c r="G77" s="29">
        <f>SUM(E$9:$E77)-SUM(F$9:$F77)</f>
        <v>180000</v>
      </c>
    </row>
    <row r="78" spans="1:7" ht="28.8" x14ac:dyDescent="0.55000000000000004">
      <c r="A78" s="24"/>
      <c r="B78" s="25"/>
      <c r="C78" s="26"/>
      <c r="D78" s="26"/>
      <c r="E78" s="27">
        <f>+$I$2+(PETITSOLO[[#This Row],[QUANTITE]]*PETITSOLO[[#This Row],[PRIX UNITAIRE]])</f>
        <v>0</v>
      </c>
      <c r="F78" s="30"/>
      <c r="G78" s="29">
        <f>SUM(E$9:$E78)-SUM(F$9:$F78)</f>
        <v>180000</v>
      </c>
    </row>
    <row r="79" spans="1:7" ht="28.8" x14ac:dyDescent="0.55000000000000004">
      <c r="A79" s="24"/>
      <c r="B79" s="25"/>
      <c r="C79" s="26"/>
      <c r="D79" s="26"/>
      <c r="E79" s="27">
        <f>+$I$2+(PETITSOLO[[#This Row],[QUANTITE]]*PETITSOLO[[#This Row],[PRIX UNITAIRE]])</f>
        <v>0</v>
      </c>
      <c r="F79" s="30"/>
      <c r="G79" s="29">
        <f>SUM(E$9:$E79)-SUM(F$9:$F79)</f>
        <v>180000</v>
      </c>
    </row>
    <row r="80" spans="1:7" ht="28.8" x14ac:dyDescent="0.55000000000000004">
      <c r="A80" s="24"/>
      <c r="B80" s="25"/>
      <c r="C80" s="26"/>
      <c r="D80" s="26"/>
      <c r="E80" s="27">
        <f>+$I$2+(PETITSOLO[[#This Row],[QUANTITE]]*PETITSOLO[[#This Row],[PRIX UNITAIRE]])</f>
        <v>0</v>
      </c>
      <c r="F80" s="30"/>
      <c r="G80" s="29">
        <f>SUM(E$9:$E80)-SUM(F$9:$F80)</f>
        <v>180000</v>
      </c>
    </row>
    <row r="81" spans="1:7" ht="28.8" x14ac:dyDescent="0.55000000000000004">
      <c r="A81" s="24"/>
      <c r="B81" s="25"/>
      <c r="C81" s="26"/>
      <c r="D81" s="26"/>
      <c r="E81" s="27">
        <f>+$I$2+(PETITSOLO[[#This Row],[QUANTITE]]*PETITSOLO[[#This Row],[PRIX UNITAIRE]])</f>
        <v>0</v>
      </c>
      <c r="F81" s="30"/>
      <c r="G81" s="29">
        <f>SUM(E$9:$E81)-SUM(F$9:$F81)</f>
        <v>180000</v>
      </c>
    </row>
    <row r="82" spans="1:7" ht="28.8" x14ac:dyDescent="0.55000000000000004">
      <c r="A82" s="24"/>
      <c r="B82" s="25"/>
      <c r="C82" s="26"/>
      <c r="D82" s="26"/>
      <c r="E82" s="27">
        <f>+$I$2+(PETITSOLO[[#This Row],[QUANTITE]]*PETITSOLO[[#This Row],[PRIX UNITAIRE]])</f>
        <v>0</v>
      </c>
      <c r="F82" s="30"/>
      <c r="G82" s="29">
        <f>SUM(E$9:$E82)-SUM(F$9:$F82)</f>
        <v>180000</v>
      </c>
    </row>
    <row r="83" spans="1:7" ht="28.8" x14ac:dyDescent="0.55000000000000004">
      <c r="A83" s="24"/>
      <c r="B83" s="25"/>
      <c r="C83" s="26"/>
      <c r="D83" s="26"/>
      <c r="E83" s="27">
        <f>+$I$2+(PETITSOLO[[#This Row],[QUANTITE]]*PETITSOLO[[#This Row],[PRIX UNITAIRE]])</f>
        <v>0</v>
      </c>
      <c r="F83" s="30"/>
      <c r="G83" s="29">
        <f>SUM(E$9:$E83)-SUM(F$9:$F83)</f>
        <v>180000</v>
      </c>
    </row>
    <row r="84" spans="1:7" ht="28.8" x14ac:dyDescent="0.55000000000000004">
      <c r="A84" s="24"/>
      <c r="B84" s="25"/>
      <c r="C84" s="26"/>
      <c r="D84" s="26"/>
      <c r="E84" s="27">
        <f>+$I$2+(PETITSOLO[[#This Row],[QUANTITE]]*PETITSOLO[[#This Row],[PRIX UNITAIRE]])</f>
        <v>0</v>
      </c>
      <c r="F84" s="30"/>
      <c r="G84" s="29">
        <f>SUM(E$9:$E84)-SUM(F$9:$F84)</f>
        <v>180000</v>
      </c>
    </row>
    <row r="85" spans="1:7" ht="28.8" x14ac:dyDescent="0.55000000000000004">
      <c r="A85" s="24"/>
      <c r="B85" s="25"/>
      <c r="C85" s="26"/>
      <c r="D85" s="26"/>
      <c r="E85" s="27">
        <f>+$I$2+(PETITSOLO[[#This Row],[QUANTITE]]*PETITSOLO[[#This Row],[PRIX UNITAIRE]])</f>
        <v>0</v>
      </c>
      <c r="F85" s="30"/>
      <c r="G85" s="29">
        <f>SUM(E$9:$E85)-SUM(F$9:$F85)</f>
        <v>180000</v>
      </c>
    </row>
    <row r="86" spans="1:7" ht="28.8" x14ac:dyDescent="0.55000000000000004">
      <c r="A86" s="24"/>
      <c r="B86" s="25"/>
      <c r="C86" s="26"/>
      <c r="D86" s="26"/>
      <c r="E86" s="27">
        <f>+$I$2+(PETITSOLO[[#This Row],[QUANTITE]]*PETITSOLO[[#This Row],[PRIX UNITAIRE]])</f>
        <v>0</v>
      </c>
      <c r="F86" s="30"/>
      <c r="G86" s="29">
        <f>SUM(E$9:$E86)-SUM(F$9:$F86)</f>
        <v>180000</v>
      </c>
    </row>
    <row r="87" spans="1:7" ht="28.8" x14ac:dyDescent="0.55000000000000004">
      <c r="A87" s="24"/>
      <c r="B87" s="25"/>
      <c r="C87" s="26"/>
      <c r="D87" s="26"/>
      <c r="E87" s="27">
        <f>+$I$2+(PETITSOLO[[#This Row],[QUANTITE]]*PETITSOLO[[#This Row],[PRIX UNITAIRE]])</f>
        <v>0</v>
      </c>
      <c r="F87" s="30"/>
      <c r="G87" s="29">
        <f>SUM(E$9:$E87)-SUM(F$9:$F87)</f>
        <v>180000</v>
      </c>
    </row>
    <row r="88" spans="1:7" ht="28.8" x14ac:dyDescent="0.55000000000000004">
      <c r="A88" s="24"/>
      <c r="B88" s="25"/>
      <c r="C88" s="26"/>
      <c r="D88" s="26"/>
      <c r="E88" s="27">
        <f>+$I$2+(PETITSOLO[[#This Row],[QUANTITE]]*PETITSOLO[[#This Row],[PRIX UNITAIRE]])</f>
        <v>0</v>
      </c>
      <c r="F88" s="30"/>
      <c r="G88" s="29">
        <f>SUM(E$9:$E88)-SUM(F$9:$F88)</f>
        <v>180000</v>
      </c>
    </row>
    <row r="89" spans="1:7" ht="28.8" x14ac:dyDescent="0.55000000000000004">
      <c r="A89" s="24"/>
      <c r="B89" s="25"/>
      <c r="C89" s="26"/>
      <c r="D89" s="26"/>
      <c r="E89" s="27">
        <f>+$I$2+(PETITSOLO[[#This Row],[QUANTITE]]*PETITSOLO[[#This Row],[PRIX UNITAIRE]])</f>
        <v>0</v>
      </c>
      <c r="F89" s="30"/>
      <c r="G89" s="29">
        <f>SUM(E$9:$E89)-SUM(F$9:$F89)</f>
        <v>180000</v>
      </c>
    </row>
    <row r="90" spans="1:7" ht="28.8" x14ac:dyDescent="0.55000000000000004">
      <c r="A90" s="24"/>
      <c r="B90" s="25"/>
      <c r="C90" s="26"/>
      <c r="D90" s="26"/>
      <c r="E90" s="27">
        <f>+$I$2+(PETITSOLO[[#This Row],[QUANTITE]]*PETITSOLO[[#This Row],[PRIX UNITAIRE]])</f>
        <v>0</v>
      </c>
      <c r="F90" s="30"/>
      <c r="G90" s="29">
        <f>SUM(E$9:$E90)-SUM(F$9:$F90)</f>
        <v>180000</v>
      </c>
    </row>
    <row r="91" spans="1:7" ht="28.8" x14ac:dyDescent="0.55000000000000004">
      <c r="A91" s="24"/>
      <c r="B91" s="25"/>
      <c r="C91" s="26"/>
      <c r="D91" s="26"/>
      <c r="E91" s="27">
        <f>+$I$2+(PETITSOLO[[#This Row],[QUANTITE]]*PETITSOLO[[#This Row],[PRIX UNITAIRE]])</f>
        <v>0</v>
      </c>
      <c r="F91" s="30"/>
      <c r="G91" s="29">
        <f>SUM(E$9:$E91)-SUM(F$9:$F91)</f>
        <v>180000</v>
      </c>
    </row>
    <row r="92" spans="1:7" ht="28.8" x14ac:dyDescent="0.55000000000000004">
      <c r="A92" s="24"/>
      <c r="B92" s="25"/>
      <c r="C92" s="26"/>
      <c r="D92" s="26"/>
      <c r="E92" s="27">
        <f>+$I$2+(PETITSOLO[[#This Row],[QUANTITE]]*PETITSOLO[[#This Row],[PRIX UNITAIRE]])</f>
        <v>0</v>
      </c>
      <c r="F92" s="30"/>
      <c r="G92" s="29">
        <f>SUM(E$9:$E92)-SUM(F$9:$F92)</f>
        <v>180000</v>
      </c>
    </row>
    <row r="93" spans="1:7" ht="28.8" x14ac:dyDescent="0.55000000000000004">
      <c r="A93" s="24"/>
      <c r="B93" s="25"/>
      <c r="C93" s="26"/>
      <c r="D93" s="26"/>
      <c r="E93" s="27">
        <f>+$I$2+(PETITSOLO[[#This Row],[QUANTITE]]*PETITSOLO[[#This Row],[PRIX UNITAIRE]])</f>
        <v>0</v>
      </c>
      <c r="F93" s="30"/>
      <c r="G93" s="29">
        <f>SUM(E$9:$E93)-SUM(F$9:$F93)</f>
        <v>180000</v>
      </c>
    </row>
    <row r="94" spans="1:7" ht="28.8" x14ac:dyDescent="0.55000000000000004">
      <c r="A94" s="24"/>
      <c r="B94" s="25"/>
      <c r="C94" s="26"/>
      <c r="D94" s="26"/>
      <c r="E94" s="27">
        <f>+$I$2+(PETITSOLO[[#This Row],[QUANTITE]]*PETITSOLO[[#This Row],[PRIX UNITAIRE]])</f>
        <v>0</v>
      </c>
      <c r="F94" s="30"/>
      <c r="G94" s="29">
        <f>SUM(E$9:$E94)-SUM(F$9:$F94)</f>
        <v>180000</v>
      </c>
    </row>
    <row r="95" spans="1:7" ht="28.8" x14ac:dyDescent="0.55000000000000004">
      <c r="A95" s="24"/>
      <c r="B95" s="25"/>
      <c r="C95" s="26"/>
      <c r="D95" s="26"/>
      <c r="E95" s="27">
        <f>+$I$2+(PETITSOLO[[#This Row],[QUANTITE]]*PETITSOLO[[#This Row],[PRIX UNITAIRE]])</f>
        <v>0</v>
      </c>
      <c r="F95" s="30"/>
      <c r="G95" s="29">
        <f>SUM(E$9:$E95)-SUM(F$9:$F95)</f>
        <v>180000</v>
      </c>
    </row>
    <row r="96" spans="1:7" ht="28.8" x14ac:dyDescent="0.55000000000000004">
      <c r="A96" s="24"/>
      <c r="B96" s="25"/>
      <c r="C96" s="26"/>
      <c r="D96" s="26"/>
      <c r="E96" s="27">
        <f>+$I$2+(PETITSOLO[[#This Row],[QUANTITE]]*PETITSOLO[[#This Row],[PRIX UNITAIRE]])</f>
        <v>0</v>
      </c>
      <c r="F96" s="30"/>
      <c r="G96" s="29">
        <f>SUM(E$9:$E96)-SUM(F$9:$F96)</f>
        <v>180000</v>
      </c>
    </row>
    <row r="97" spans="1:7" ht="28.8" x14ac:dyDescent="0.55000000000000004">
      <c r="A97" s="24"/>
      <c r="B97" s="25"/>
      <c r="C97" s="26"/>
      <c r="D97" s="26"/>
      <c r="E97" s="27">
        <f>+$I$2+(PETITSOLO[[#This Row],[QUANTITE]]*PETITSOLO[[#This Row],[PRIX UNITAIRE]])</f>
        <v>0</v>
      </c>
      <c r="F97" s="30"/>
      <c r="G97" s="29">
        <f>SUM(E$9:$E97)-SUM(F$9:$F97)</f>
        <v>180000</v>
      </c>
    </row>
    <row r="98" spans="1:7" ht="28.8" x14ac:dyDescent="0.55000000000000004">
      <c r="A98" s="24"/>
      <c r="B98" s="25"/>
      <c r="C98" s="26"/>
      <c r="D98" s="26"/>
      <c r="E98" s="27">
        <f>+$I$2+(PETITSOLO[[#This Row],[QUANTITE]]*PETITSOLO[[#This Row],[PRIX UNITAIRE]])</f>
        <v>0</v>
      </c>
      <c r="F98" s="30"/>
      <c r="G98" s="29">
        <f>SUM(E$9:$E98)-SUM(F$9:$F98)</f>
        <v>180000</v>
      </c>
    </row>
    <row r="99" spans="1:7" ht="28.8" x14ac:dyDescent="0.55000000000000004">
      <c r="A99" s="24"/>
      <c r="B99" s="25"/>
      <c r="C99" s="26"/>
      <c r="D99" s="26"/>
      <c r="E99" s="27">
        <f>+$I$2+(PETITSOLO[[#This Row],[QUANTITE]]*PETITSOLO[[#This Row],[PRIX UNITAIRE]])</f>
        <v>0</v>
      </c>
      <c r="F99" s="30"/>
      <c r="G99" s="29">
        <f>SUM(E$9:$E99)-SUM(F$9:$F99)</f>
        <v>180000</v>
      </c>
    </row>
    <row r="100" spans="1:7" ht="28.8" x14ac:dyDescent="0.55000000000000004">
      <c r="A100" s="24"/>
      <c r="B100" s="25"/>
      <c r="C100" s="26"/>
      <c r="D100" s="26"/>
      <c r="E100" s="27">
        <f>+$I$2+(PETITSOLO[[#This Row],[QUANTITE]]*PETITSOLO[[#This Row],[PRIX UNITAIRE]])</f>
        <v>0</v>
      </c>
      <c r="F100" s="30"/>
      <c r="G100" s="29">
        <f>SUM(E$9:$E100)-SUM(F$9:$F100)</f>
        <v>180000</v>
      </c>
    </row>
    <row r="101" spans="1:7" ht="28.8" x14ac:dyDescent="0.55000000000000004">
      <c r="A101" s="24"/>
      <c r="B101" s="25"/>
      <c r="C101" s="26"/>
      <c r="D101" s="26"/>
      <c r="E101" s="27">
        <f>+$I$2+(PETITSOLO[[#This Row],[QUANTITE]]*PETITSOLO[[#This Row],[PRIX UNITAIRE]])</f>
        <v>0</v>
      </c>
      <c r="F101" s="30"/>
      <c r="G101" s="29">
        <f>SUM(E$9:$E101)-SUM(F$9:$F101)</f>
        <v>180000</v>
      </c>
    </row>
    <row r="102" spans="1:7" ht="28.8" x14ac:dyDescent="0.55000000000000004">
      <c r="A102" s="24"/>
      <c r="B102" s="25"/>
      <c r="C102" s="26"/>
      <c r="D102" s="26"/>
      <c r="E102" s="27">
        <f>+$I$2+(PETITSOLO[[#This Row],[QUANTITE]]*PETITSOLO[[#This Row],[PRIX UNITAIRE]])</f>
        <v>0</v>
      </c>
      <c r="F102" s="30"/>
      <c r="G102" s="29">
        <f>SUM(E$9:$E102)-SUM(F$9:$F102)</f>
        <v>180000</v>
      </c>
    </row>
    <row r="103" spans="1:7" ht="28.8" x14ac:dyDescent="0.55000000000000004">
      <c r="A103" s="24"/>
      <c r="B103" s="25"/>
      <c r="C103" s="26"/>
      <c r="D103" s="26"/>
      <c r="E103" s="27">
        <f>+$I$2+(PETITSOLO[[#This Row],[QUANTITE]]*PETITSOLO[[#This Row],[PRIX UNITAIRE]])</f>
        <v>0</v>
      </c>
      <c r="F103" s="30"/>
      <c r="G103" s="29">
        <f>SUM(E$9:$E103)-SUM(F$9:$F103)</f>
        <v>180000</v>
      </c>
    </row>
    <row r="104" spans="1:7" ht="28.8" x14ac:dyDescent="0.55000000000000004">
      <c r="A104" s="24"/>
      <c r="B104" s="25"/>
      <c r="C104" s="26"/>
      <c r="D104" s="26"/>
      <c r="E104" s="27">
        <f>+$I$2+(PETITSOLO[[#This Row],[QUANTITE]]*PETITSOLO[[#This Row],[PRIX UNITAIRE]])</f>
        <v>0</v>
      </c>
      <c r="F104" s="30"/>
      <c r="G104" s="29">
        <f>SUM(E$9:$E104)-SUM(F$9:$F104)</f>
        <v>180000</v>
      </c>
    </row>
    <row r="105" spans="1:7" ht="28.8" x14ac:dyDescent="0.55000000000000004">
      <c r="A105" s="24"/>
      <c r="B105" s="25"/>
      <c r="C105" s="26"/>
      <c r="D105" s="26"/>
      <c r="E105" s="27">
        <f>+$I$2+(PETITSOLO[[#This Row],[QUANTITE]]*PETITSOLO[[#This Row],[PRIX UNITAIRE]])</f>
        <v>0</v>
      </c>
      <c r="F105" s="30"/>
      <c r="G105" s="29">
        <f>SUM(E$9:$E105)-SUM(F$9:$F105)</f>
        <v>180000</v>
      </c>
    </row>
    <row r="106" spans="1:7" ht="28.8" x14ac:dyDescent="0.55000000000000004">
      <c r="A106" s="24"/>
      <c r="B106" s="25"/>
      <c r="C106" s="26"/>
      <c r="D106" s="26"/>
      <c r="E106" s="27">
        <f>+$I$2+(PETITSOLO[[#This Row],[QUANTITE]]*PETITSOLO[[#This Row],[PRIX UNITAIRE]])</f>
        <v>0</v>
      </c>
      <c r="F106" s="30"/>
      <c r="G106" s="29">
        <f>SUM(E$9:$E106)-SUM(F$9:$F106)</f>
        <v>180000</v>
      </c>
    </row>
    <row r="107" spans="1:7" ht="28.8" x14ac:dyDescent="0.55000000000000004">
      <c r="A107" s="24"/>
      <c r="B107" s="25"/>
      <c r="C107" s="26"/>
      <c r="D107" s="26"/>
      <c r="E107" s="27">
        <f>+$I$2+(PETITSOLO[[#This Row],[QUANTITE]]*PETITSOLO[[#This Row],[PRIX UNITAIRE]])</f>
        <v>0</v>
      </c>
      <c r="F107" s="30"/>
      <c r="G107" s="29">
        <f>SUM(E$9:$E107)-SUM(F$9:$F107)</f>
        <v>180000</v>
      </c>
    </row>
    <row r="108" spans="1:7" ht="28.8" x14ac:dyDescent="0.55000000000000004">
      <c r="A108" s="24"/>
      <c r="B108" s="25"/>
      <c r="C108" s="26"/>
      <c r="D108" s="26"/>
      <c r="E108" s="27">
        <f>+$I$2+(PETITSOLO[[#This Row],[QUANTITE]]*PETITSOLO[[#This Row],[PRIX UNITAIRE]])</f>
        <v>0</v>
      </c>
      <c r="F108" s="30"/>
      <c r="G108" s="29">
        <f>SUM(E$9:$E108)-SUM(F$9:$F108)</f>
        <v>180000</v>
      </c>
    </row>
    <row r="109" spans="1:7" ht="28.8" x14ac:dyDescent="0.55000000000000004">
      <c r="A109" s="24"/>
      <c r="B109" s="25"/>
      <c r="C109" s="26"/>
      <c r="D109" s="26"/>
      <c r="E109" s="27">
        <f>+$I$2+(PETITSOLO[[#This Row],[QUANTITE]]*PETITSOLO[[#This Row],[PRIX UNITAIRE]])</f>
        <v>0</v>
      </c>
      <c r="F109" s="30"/>
      <c r="G109" s="29">
        <f>SUM(E$9:$E109)-SUM(F$9:$F109)</f>
        <v>180000</v>
      </c>
    </row>
  </sheetData>
  <sheetProtection selectLockedCells="1" autoFilter="0"/>
  <mergeCells count="1">
    <mergeCell ref="B6:C6"/>
  </mergeCells>
  <conditionalFormatting sqref="B9:B109">
    <cfRule type="expression" dxfId="690" priority="5">
      <formula>$F9</formula>
    </cfRule>
  </conditionalFormatting>
  <conditionalFormatting sqref="G4">
    <cfRule type="cellIs" dxfId="689" priority="2" operator="lessThan">
      <formula>0</formula>
    </cfRule>
    <cfRule type="cellIs" dxfId="688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I11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 activeCell="E24" sqref="E24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3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+SUM(GEDIS[TOTAL MONTANT])</f>
        <v>9035000</v>
      </c>
      <c r="F4" s="39">
        <f>+SUM(GEDIS[VERSEMENT])</f>
        <v>3500000</v>
      </c>
      <c r="G4" s="97">
        <f>+E4-F4</f>
        <v>5535000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82</v>
      </c>
      <c r="C6" s="114"/>
      <c r="E6" s="105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3302000</v>
      </c>
      <c r="E9" s="7">
        <v>3302000</v>
      </c>
      <c r="F9" s="14">
        <v>0</v>
      </c>
      <c r="G9" s="6">
        <f>SUM(E$9:$E9)-SUM(F$9:$F9)</f>
        <v>3302000</v>
      </c>
    </row>
    <row r="10" spans="1:9" ht="28.8" x14ac:dyDescent="0.55000000000000004">
      <c r="A10" s="12">
        <v>46077</v>
      </c>
      <c r="B10" s="13" t="s">
        <v>83</v>
      </c>
      <c r="C10" s="10">
        <v>2</v>
      </c>
      <c r="D10" s="10">
        <v>350000</v>
      </c>
      <c r="E10" s="7">
        <v>700000</v>
      </c>
      <c r="F10" s="14">
        <v>0</v>
      </c>
      <c r="G10" s="6">
        <f>SUM(E$9:$E10)-SUM(F$9:$F10)</f>
        <v>4002000</v>
      </c>
    </row>
    <row r="11" spans="1:9" ht="28.8" x14ac:dyDescent="0.55000000000000004">
      <c r="A11" s="12">
        <v>46077</v>
      </c>
      <c r="B11" s="13" t="s">
        <v>84</v>
      </c>
      <c r="C11" s="10">
        <v>1</v>
      </c>
      <c r="D11" s="10">
        <v>195000</v>
      </c>
      <c r="E11" s="7">
        <v>195000</v>
      </c>
      <c r="F11" s="14">
        <v>0</v>
      </c>
      <c r="G11" s="6">
        <f>SUM(E$9:$E11)-SUM(F$9:$F11)</f>
        <v>4197000</v>
      </c>
    </row>
    <row r="12" spans="1:9" ht="28.8" x14ac:dyDescent="0.55000000000000004">
      <c r="A12" s="12">
        <v>46083</v>
      </c>
      <c r="B12" s="13" t="s">
        <v>85</v>
      </c>
      <c r="C12" s="10">
        <v>2</v>
      </c>
      <c r="D12" s="10">
        <v>350000</v>
      </c>
      <c r="E12" s="7">
        <v>700000</v>
      </c>
      <c r="F12" s="14">
        <v>0</v>
      </c>
      <c r="G12" s="6">
        <f>SUM(E$9:$E12)-SUM(F$9:$F12)</f>
        <v>4897000</v>
      </c>
    </row>
    <row r="13" spans="1:9" ht="28.8" x14ac:dyDescent="0.55000000000000004">
      <c r="A13" s="12">
        <v>46083</v>
      </c>
      <c r="B13" s="13" t="s">
        <v>84</v>
      </c>
      <c r="C13" s="10">
        <v>2</v>
      </c>
      <c r="D13" s="10">
        <v>195000</v>
      </c>
      <c r="E13" s="7">
        <v>390000</v>
      </c>
      <c r="F13" s="14">
        <v>0</v>
      </c>
      <c r="G13" s="6">
        <f>SUM(E$9:$E13)-SUM(F$9:$F13)</f>
        <v>5287000</v>
      </c>
    </row>
    <row r="14" spans="1:9" ht="28.8" x14ac:dyDescent="0.55000000000000004">
      <c r="A14" s="12">
        <v>46083</v>
      </c>
      <c r="B14" s="13" t="s">
        <v>86</v>
      </c>
      <c r="C14" s="10">
        <v>1</v>
      </c>
      <c r="D14" s="10">
        <v>390000</v>
      </c>
      <c r="E14" s="7">
        <v>390000</v>
      </c>
      <c r="F14" s="14">
        <v>0</v>
      </c>
      <c r="G14" s="6">
        <f>SUM(E$9:$E14)-SUM(F$9:$F14)</f>
        <v>5677000</v>
      </c>
    </row>
    <row r="15" spans="1:9" ht="28.8" x14ac:dyDescent="0.55000000000000004">
      <c r="A15" s="12">
        <v>46083</v>
      </c>
      <c r="B15" s="13" t="s">
        <v>83</v>
      </c>
      <c r="C15" s="10">
        <v>2</v>
      </c>
      <c r="D15" s="10">
        <v>350000</v>
      </c>
      <c r="E15" s="7">
        <v>700000</v>
      </c>
      <c r="F15" s="14">
        <v>0</v>
      </c>
      <c r="G15" s="6">
        <f>SUM(E$9:$E15)-SUM(F$9:$F15)</f>
        <v>6377000</v>
      </c>
    </row>
    <row r="16" spans="1:9" ht="28.8" x14ac:dyDescent="0.55000000000000004">
      <c r="A16" s="12">
        <v>46083</v>
      </c>
      <c r="B16" s="13" t="s">
        <v>87</v>
      </c>
      <c r="C16" s="10">
        <v>2</v>
      </c>
      <c r="D16" s="10">
        <v>195000</v>
      </c>
      <c r="E16" s="7">
        <v>390000</v>
      </c>
      <c r="F16" s="14">
        <v>0</v>
      </c>
      <c r="G16" s="6">
        <f>SUM(E$9:$E16)-SUM(F$9:$F16)</f>
        <v>6767000</v>
      </c>
    </row>
    <row r="17" spans="1:7" ht="28.8" x14ac:dyDescent="0.55000000000000004">
      <c r="A17" s="12">
        <v>46083</v>
      </c>
      <c r="B17" s="13" t="s">
        <v>84</v>
      </c>
      <c r="C17" s="10">
        <v>1</v>
      </c>
      <c r="D17" s="10">
        <v>195000</v>
      </c>
      <c r="E17" s="7">
        <v>195000</v>
      </c>
      <c r="F17" s="14">
        <v>0</v>
      </c>
      <c r="G17" s="6">
        <f>SUM(E$9:$E17)-SUM(F$9:$F17)</f>
        <v>6962000</v>
      </c>
    </row>
    <row r="18" spans="1:7" ht="28.8" x14ac:dyDescent="0.55000000000000004">
      <c r="A18" s="12">
        <v>46084</v>
      </c>
      <c r="B18" s="13" t="s">
        <v>11</v>
      </c>
      <c r="C18" s="10">
        <v>1</v>
      </c>
      <c r="D18" s="10">
        <v>0</v>
      </c>
      <c r="E18" s="7">
        <v>0</v>
      </c>
      <c r="F18" s="14">
        <v>3500000</v>
      </c>
      <c r="G18" s="6">
        <f>SUM(E$9:$E18)-SUM(F$9:$F18)</f>
        <v>3462000</v>
      </c>
    </row>
    <row r="19" spans="1:7" ht="28.8" x14ac:dyDescent="0.55000000000000004">
      <c r="A19" s="12">
        <v>46087</v>
      </c>
      <c r="B19" s="13" t="s">
        <v>83</v>
      </c>
      <c r="C19" s="10">
        <v>2</v>
      </c>
      <c r="D19" s="10">
        <v>350000</v>
      </c>
      <c r="E19" s="7">
        <v>700000</v>
      </c>
      <c r="F19" s="14">
        <v>0</v>
      </c>
      <c r="G19" s="6">
        <f>SUM(E$9:$E19)-SUM(F$9:$F19)</f>
        <v>4162000</v>
      </c>
    </row>
    <row r="20" spans="1:7" ht="28.8" x14ac:dyDescent="0.55000000000000004">
      <c r="A20" s="12">
        <v>46087</v>
      </c>
      <c r="B20" s="13" t="s">
        <v>84</v>
      </c>
      <c r="C20" s="10">
        <v>1</v>
      </c>
      <c r="D20" s="10">
        <v>195000</v>
      </c>
      <c r="E20" s="7">
        <v>195000</v>
      </c>
      <c r="F20" s="14">
        <v>0</v>
      </c>
      <c r="G20" s="6">
        <f>SUM(E$9:$E20)-SUM(F$9:$F20)</f>
        <v>4357000</v>
      </c>
    </row>
    <row r="21" spans="1:7" ht="28.8" x14ac:dyDescent="0.55000000000000004">
      <c r="A21" s="12">
        <v>46099</v>
      </c>
      <c r="B21" s="13" t="s">
        <v>84</v>
      </c>
      <c r="C21" s="10">
        <v>2</v>
      </c>
      <c r="D21" s="10">
        <v>195000</v>
      </c>
      <c r="E21" s="7">
        <v>390000</v>
      </c>
      <c r="F21" s="14">
        <v>0</v>
      </c>
      <c r="G21" s="6">
        <f>SUM(E$9:$E21)-SUM(F$9:$F21)</f>
        <v>4747000</v>
      </c>
    </row>
    <row r="22" spans="1:7" ht="28.8" x14ac:dyDescent="0.55000000000000004">
      <c r="A22" s="12">
        <v>46099</v>
      </c>
      <c r="B22" s="13" t="s">
        <v>83</v>
      </c>
      <c r="C22" s="10">
        <v>2</v>
      </c>
      <c r="D22" s="10">
        <v>350000</v>
      </c>
      <c r="E22" s="7">
        <v>700000</v>
      </c>
      <c r="F22" s="14">
        <v>0</v>
      </c>
      <c r="G22" s="6">
        <f>SUM(E$9:$E22)-SUM(F$9:$F22)</f>
        <v>5447000</v>
      </c>
    </row>
    <row r="23" spans="1:7" ht="28.8" x14ac:dyDescent="0.55000000000000004">
      <c r="A23" s="12">
        <v>46100</v>
      </c>
      <c r="B23" s="13" t="s">
        <v>200</v>
      </c>
      <c r="C23" s="10">
        <v>5</v>
      </c>
      <c r="D23" s="10">
        <v>17600</v>
      </c>
      <c r="E23" s="7">
        <f>GEDIS[[#This Row],[PRIX UNITAIRE]]*GEDIS[[#This Row],[QUANTITE]]</f>
        <v>88000</v>
      </c>
      <c r="F23" s="14"/>
      <c r="G23" s="6">
        <f>SUM(E$9:$E23)-SUM(F$9:$F23)</f>
        <v>5535000</v>
      </c>
    </row>
    <row r="24" spans="1:7" ht="28.8" x14ac:dyDescent="0.55000000000000004">
      <c r="A24" s="12"/>
      <c r="B24" s="13"/>
      <c r="C24" s="10"/>
      <c r="D24" s="10"/>
      <c r="E24" s="7"/>
      <c r="F24" s="14"/>
      <c r="G24" s="6">
        <f>SUM(E$9:$E24)-SUM(F$9:$F24)</f>
        <v>5535000</v>
      </c>
    </row>
    <row r="25" spans="1:7" ht="28.8" x14ac:dyDescent="0.55000000000000004">
      <c r="A25" s="12"/>
      <c r="B25" s="13"/>
      <c r="C25" s="10"/>
      <c r="D25" s="10"/>
      <c r="E25" s="7"/>
      <c r="F25" s="14"/>
      <c r="G25" s="6">
        <f>SUM(E$9:$E25)-SUM(F$9:$F25)</f>
        <v>5535000</v>
      </c>
    </row>
    <row r="26" spans="1:7" ht="28.8" x14ac:dyDescent="0.55000000000000004">
      <c r="A26" s="12"/>
      <c r="B26" s="13"/>
      <c r="C26" s="10"/>
      <c r="D26" s="10"/>
      <c r="E26" s="7"/>
      <c r="F26" s="14"/>
      <c r="G26" s="6">
        <f>SUM(E$9:$E26)-SUM(F$9:$F26)</f>
        <v>5535000</v>
      </c>
    </row>
    <row r="27" spans="1:7" ht="28.8" x14ac:dyDescent="0.55000000000000004">
      <c r="A27" s="12"/>
      <c r="B27" s="13"/>
      <c r="C27" s="10"/>
      <c r="D27" s="10"/>
      <c r="E27" s="7"/>
      <c r="F27" s="14"/>
      <c r="G27" s="6">
        <f>SUM(E$9:$E27)-SUM(F$9:$F27)</f>
        <v>5535000</v>
      </c>
    </row>
    <row r="28" spans="1:7" ht="28.8" x14ac:dyDescent="0.55000000000000004">
      <c r="A28" s="12"/>
      <c r="B28" s="13"/>
      <c r="C28" s="10"/>
      <c r="D28" s="10"/>
      <c r="E28" s="7"/>
      <c r="F28" s="14"/>
      <c r="G28" s="6">
        <f>SUM(E$9:$E28)-SUM(F$9:$F28)</f>
        <v>5535000</v>
      </c>
    </row>
    <row r="29" spans="1:7" ht="28.8" x14ac:dyDescent="0.55000000000000004">
      <c r="A29" s="12"/>
      <c r="B29" s="13"/>
      <c r="C29" s="10"/>
      <c r="D29" s="10"/>
      <c r="E29" s="7"/>
      <c r="F29" s="14"/>
      <c r="G29" s="6">
        <f>SUM(E$9:$E29)-SUM(F$9:$F29)</f>
        <v>5535000</v>
      </c>
    </row>
    <row r="30" spans="1:7" ht="28.8" x14ac:dyDescent="0.55000000000000004">
      <c r="A30" s="12"/>
      <c r="B30" s="13"/>
      <c r="C30" s="10"/>
      <c r="D30" s="10"/>
      <c r="E30" s="7"/>
      <c r="F30" s="14"/>
      <c r="G30" s="6">
        <f>SUM(E$9:$E30)-SUM(F$9:$F30)</f>
        <v>5535000</v>
      </c>
    </row>
    <row r="31" spans="1:7" ht="28.8" x14ac:dyDescent="0.55000000000000004">
      <c r="A31" s="12"/>
      <c r="B31" s="13"/>
      <c r="C31" s="10"/>
      <c r="D31" s="10"/>
      <c r="E31" s="7"/>
      <c r="F31" s="14"/>
      <c r="G31" s="6">
        <f>SUM(E$9:$E31)-SUM(F$9:$F31)</f>
        <v>5535000</v>
      </c>
    </row>
    <row r="32" spans="1:7" ht="28.8" x14ac:dyDescent="0.55000000000000004">
      <c r="A32" s="12"/>
      <c r="B32" s="13"/>
      <c r="C32" s="10"/>
      <c r="D32" s="10"/>
      <c r="E32" s="7"/>
      <c r="F32" s="14"/>
      <c r="G32" s="6">
        <f>SUM(E$9:$E32)-SUM(F$9:$F32)</f>
        <v>5535000</v>
      </c>
    </row>
    <row r="33" spans="1:7" ht="28.8" x14ac:dyDescent="0.55000000000000004">
      <c r="A33" s="12"/>
      <c r="B33" s="13"/>
      <c r="C33" s="10"/>
      <c r="D33" s="10"/>
      <c r="E33" s="7"/>
      <c r="F33" s="14"/>
      <c r="G33" s="6">
        <f>SUM(E$9:$E33)-SUM(F$9:$F33)</f>
        <v>5535000</v>
      </c>
    </row>
    <row r="34" spans="1:7" ht="28.8" x14ac:dyDescent="0.55000000000000004">
      <c r="A34" s="12"/>
      <c r="B34" s="13"/>
      <c r="C34" s="10"/>
      <c r="D34" s="10"/>
      <c r="E34" s="7"/>
      <c r="F34" s="14"/>
      <c r="G34" s="6">
        <f>SUM(E$9:$E34)-SUM(F$9:$F34)</f>
        <v>5535000</v>
      </c>
    </row>
    <row r="35" spans="1:7" ht="28.8" x14ac:dyDescent="0.55000000000000004">
      <c r="A35" s="12"/>
      <c r="B35" s="13"/>
      <c r="C35" s="10"/>
      <c r="D35" s="10"/>
      <c r="E35" s="7"/>
      <c r="F35" s="14"/>
      <c r="G35" s="6">
        <f>SUM(E$9:$E35)-SUM(F$9:$F35)</f>
        <v>5535000</v>
      </c>
    </row>
    <row r="36" spans="1:7" ht="28.8" x14ac:dyDescent="0.55000000000000004">
      <c r="A36" s="12"/>
      <c r="B36" s="13"/>
      <c r="C36" s="10"/>
      <c r="D36" s="10"/>
      <c r="E36" s="7"/>
      <c r="F36" s="14"/>
      <c r="G36" s="6">
        <f>SUM(E$9:$E36)-SUM(F$9:$F36)</f>
        <v>5535000</v>
      </c>
    </row>
    <row r="37" spans="1:7" ht="28.8" x14ac:dyDescent="0.55000000000000004">
      <c r="A37" s="12"/>
      <c r="B37" s="13"/>
      <c r="C37" s="10"/>
      <c r="D37" s="10"/>
      <c r="E37" s="7"/>
      <c r="F37" s="14"/>
      <c r="G37" s="6">
        <f>SUM(E$9:$E37)-SUM(F$9:$F37)</f>
        <v>5535000</v>
      </c>
    </row>
    <row r="38" spans="1:7" ht="28.8" x14ac:dyDescent="0.55000000000000004">
      <c r="A38" s="12"/>
      <c r="B38" s="13"/>
      <c r="C38" s="10"/>
      <c r="D38" s="10"/>
      <c r="E38" s="7"/>
      <c r="F38" s="14"/>
      <c r="G38" s="6">
        <f>SUM(E$9:$E38)-SUM(F$9:$F38)</f>
        <v>5535000</v>
      </c>
    </row>
    <row r="39" spans="1:7" ht="28.8" x14ac:dyDescent="0.55000000000000004">
      <c r="A39" s="12"/>
      <c r="B39" s="13"/>
      <c r="C39" s="10"/>
      <c r="D39" s="10"/>
      <c r="E39" s="7"/>
      <c r="F39" s="14"/>
      <c r="G39" s="6">
        <f>SUM(E$9:$E39)-SUM(F$9:$F39)</f>
        <v>5535000</v>
      </c>
    </row>
    <row r="40" spans="1:7" ht="28.8" x14ac:dyDescent="0.55000000000000004">
      <c r="A40" s="12"/>
      <c r="B40" s="13"/>
      <c r="C40" s="10"/>
      <c r="D40" s="10"/>
      <c r="E40" s="7"/>
      <c r="F40" s="14"/>
      <c r="G40" s="6">
        <f>SUM(E$9:$E40)-SUM(F$9:$F40)</f>
        <v>5535000</v>
      </c>
    </row>
    <row r="41" spans="1:7" ht="28.8" x14ac:dyDescent="0.55000000000000004">
      <c r="A41" s="12"/>
      <c r="B41" s="13"/>
      <c r="C41" s="10"/>
      <c r="D41" s="10"/>
      <c r="E41" s="7"/>
      <c r="F41" s="14"/>
      <c r="G41" s="6">
        <f>SUM(E$9:$E41)-SUM(F$9:$F41)</f>
        <v>5535000</v>
      </c>
    </row>
    <row r="42" spans="1:7" ht="28.8" x14ac:dyDescent="0.55000000000000004">
      <c r="A42" s="12"/>
      <c r="B42" s="13"/>
      <c r="C42" s="10"/>
      <c r="D42" s="10"/>
      <c r="E42" s="7"/>
      <c r="F42" s="14"/>
      <c r="G42" s="6">
        <f>SUM(E$9:$E42)-SUM(F$9:$F42)</f>
        <v>5535000</v>
      </c>
    </row>
    <row r="43" spans="1:7" ht="28.8" x14ac:dyDescent="0.55000000000000004">
      <c r="A43" s="12"/>
      <c r="B43" s="13"/>
      <c r="C43" s="10"/>
      <c r="D43" s="10"/>
      <c r="E43" s="7"/>
      <c r="F43" s="14"/>
      <c r="G43" s="6">
        <f>SUM(E$9:$E43)-SUM(F$9:$F43)</f>
        <v>5535000</v>
      </c>
    </row>
    <row r="44" spans="1:7" ht="28.8" x14ac:dyDescent="0.55000000000000004">
      <c r="A44" s="12"/>
      <c r="B44" s="13"/>
      <c r="C44" s="10"/>
      <c r="D44" s="10"/>
      <c r="E44" s="7"/>
      <c r="F44" s="14"/>
      <c r="G44" s="6">
        <f>SUM(E$9:$E44)-SUM(F$9:$F44)</f>
        <v>5535000</v>
      </c>
    </row>
    <row r="45" spans="1:7" ht="28.8" x14ac:dyDescent="0.55000000000000004">
      <c r="A45" s="12"/>
      <c r="B45" s="13"/>
      <c r="C45" s="10"/>
      <c r="D45" s="10"/>
      <c r="E45" s="7"/>
      <c r="F45" s="14"/>
      <c r="G45" s="6">
        <f>SUM(E$9:$E45)-SUM(F$9:$F45)</f>
        <v>5535000</v>
      </c>
    </row>
    <row r="46" spans="1:7" ht="28.8" x14ac:dyDescent="0.55000000000000004">
      <c r="A46" s="12"/>
      <c r="B46" s="13"/>
      <c r="C46" s="10"/>
      <c r="D46" s="10"/>
      <c r="E46" s="7"/>
      <c r="F46" s="14"/>
      <c r="G46" s="6">
        <f>SUM(E$9:$E46)-SUM(F$9:$F46)</f>
        <v>5535000</v>
      </c>
    </row>
    <row r="47" spans="1:7" ht="28.8" x14ac:dyDescent="0.55000000000000004">
      <c r="A47" s="12"/>
      <c r="B47" s="13"/>
      <c r="C47" s="10"/>
      <c r="D47" s="10"/>
      <c r="E47" s="7"/>
      <c r="F47" s="14"/>
      <c r="G47" s="6">
        <f>SUM(E$9:$E47)-SUM(F$9:$F47)</f>
        <v>5535000</v>
      </c>
    </row>
    <row r="48" spans="1:7" ht="28.8" x14ac:dyDescent="0.55000000000000004">
      <c r="A48" s="12"/>
      <c r="B48" s="13"/>
      <c r="C48" s="10"/>
      <c r="D48" s="10"/>
      <c r="E48" s="7"/>
      <c r="F48" s="14"/>
      <c r="G48" s="6">
        <f>SUM(E$9:$E48)-SUM(F$9:$F48)</f>
        <v>5535000</v>
      </c>
    </row>
    <row r="49" spans="1:7" ht="28.8" x14ac:dyDescent="0.55000000000000004">
      <c r="A49" s="12"/>
      <c r="B49" s="13"/>
      <c r="C49" s="10"/>
      <c r="D49" s="10"/>
      <c r="E49" s="7"/>
      <c r="F49" s="14"/>
      <c r="G49" s="6">
        <f>SUM(E$9:$E49)-SUM(F$9:$F49)</f>
        <v>5535000</v>
      </c>
    </row>
    <row r="50" spans="1:7" ht="28.8" x14ac:dyDescent="0.55000000000000004">
      <c r="A50" s="12"/>
      <c r="B50" s="13"/>
      <c r="C50" s="10"/>
      <c r="D50" s="10"/>
      <c r="E50" s="7"/>
      <c r="F50" s="14"/>
      <c r="G50" s="6">
        <f>SUM(E$9:$E50)-SUM(F$9:$F50)</f>
        <v>5535000</v>
      </c>
    </row>
    <row r="51" spans="1:7" ht="28.8" x14ac:dyDescent="0.55000000000000004">
      <c r="A51" s="12"/>
      <c r="B51" s="13"/>
      <c r="C51" s="10"/>
      <c r="D51" s="10"/>
      <c r="E51" s="7"/>
      <c r="F51" s="14"/>
      <c r="G51" s="6">
        <f>SUM(E$9:$E51)-SUM(F$9:$F51)</f>
        <v>5535000</v>
      </c>
    </row>
    <row r="52" spans="1:7" ht="28.8" x14ac:dyDescent="0.55000000000000004">
      <c r="A52" s="12"/>
      <c r="B52" s="13"/>
      <c r="C52" s="10"/>
      <c r="D52" s="10"/>
      <c r="E52" s="7"/>
      <c r="F52" s="14"/>
      <c r="G52" s="6">
        <f>SUM(E$9:$E52)-SUM(F$9:$F52)</f>
        <v>5535000</v>
      </c>
    </row>
    <row r="53" spans="1:7" ht="28.8" x14ac:dyDescent="0.55000000000000004">
      <c r="A53" s="12"/>
      <c r="B53" s="13"/>
      <c r="C53" s="10"/>
      <c r="D53" s="10"/>
      <c r="E53" s="7"/>
      <c r="F53" s="14"/>
      <c r="G53" s="6">
        <f>SUM(E$9:$E53)-SUM(F$9:$F53)</f>
        <v>5535000</v>
      </c>
    </row>
    <row r="54" spans="1:7" ht="28.8" x14ac:dyDescent="0.55000000000000004">
      <c r="A54" s="12"/>
      <c r="B54" s="13"/>
      <c r="C54" s="10"/>
      <c r="D54" s="10"/>
      <c r="E54" s="7"/>
      <c r="F54" s="14"/>
      <c r="G54" s="6">
        <f>SUM(E$9:$E54)-SUM(F$9:$F54)</f>
        <v>5535000</v>
      </c>
    </row>
    <row r="55" spans="1:7" ht="28.8" x14ac:dyDescent="0.55000000000000004">
      <c r="A55" s="12"/>
      <c r="B55" s="13"/>
      <c r="C55" s="10"/>
      <c r="D55" s="10"/>
      <c r="E55" s="7"/>
      <c r="F55" s="14"/>
      <c r="G55" s="6">
        <f>SUM(E$9:$E55)-SUM(F$9:$F55)</f>
        <v>5535000</v>
      </c>
    </row>
    <row r="56" spans="1:7" ht="28.8" x14ac:dyDescent="0.55000000000000004">
      <c r="A56" s="12"/>
      <c r="B56" s="13"/>
      <c r="C56" s="10"/>
      <c r="D56" s="10"/>
      <c r="E56" s="7"/>
      <c r="F56" s="14"/>
      <c r="G56" s="6">
        <f>SUM(E$9:$E56)-SUM(F$9:$F56)</f>
        <v>5535000</v>
      </c>
    </row>
    <row r="57" spans="1:7" ht="28.8" x14ac:dyDescent="0.55000000000000004">
      <c r="A57" s="12"/>
      <c r="B57" s="13"/>
      <c r="C57" s="10"/>
      <c r="D57" s="10"/>
      <c r="E57" s="7"/>
      <c r="F57" s="14"/>
      <c r="G57" s="6">
        <f>SUM(E$9:$E57)-SUM(F$9:$F57)</f>
        <v>5535000</v>
      </c>
    </row>
    <row r="58" spans="1:7" ht="28.8" x14ac:dyDescent="0.55000000000000004">
      <c r="A58" s="12"/>
      <c r="B58" s="13"/>
      <c r="C58" s="10"/>
      <c r="D58" s="10"/>
      <c r="E58" s="7"/>
      <c r="F58" s="14"/>
      <c r="G58" s="6">
        <f>SUM(E$9:$E58)-SUM(F$9:$F58)</f>
        <v>5535000</v>
      </c>
    </row>
    <row r="59" spans="1:7" ht="28.8" x14ac:dyDescent="0.55000000000000004">
      <c r="A59" s="12"/>
      <c r="B59" s="13"/>
      <c r="C59" s="10"/>
      <c r="D59" s="10"/>
      <c r="E59" s="7"/>
      <c r="F59" s="14"/>
      <c r="G59" s="6">
        <f>SUM(E$9:$E59)-SUM(F$9:$F59)</f>
        <v>5535000</v>
      </c>
    </row>
    <row r="60" spans="1:7" ht="28.8" x14ac:dyDescent="0.55000000000000004">
      <c r="A60" s="12"/>
      <c r="B60" s="13"/>
      <c r="C60" s="10"/>
      <c r="D60" s="10"/>
      <c r="E60" s="7"/>
      <c r="F60" s="14"/>
      <c r="G60" s="6">
        <f>SUM(E$9:$E60)-SUM(F$9:$F60)</f>
        <v>5535000</v>
      </c>
    </row>
    <row r="61" spans="1:7" ht="28.8" x14ac:dyDescent="0.55000000000000004">
      <c r="A61" s="12"/>
      <c r="B61" s="13"/>
      <c r="C61" s="10"/>
      <c r="D61" s="10"/>
      <c r="E61" s="7"/>
      <c r="F61" s="14"/>
      <c r="G61" s="6">
        <f>SUM(E$9:$E61)-SUM(F$9:$F61)</f>
        <v>5535000</v>
      </c>
    </row>
    <row r="62" spans="1:7" ht="28.8" x14ac:dyDescent="0.55000000000000004">
      <c r="A62" s="12"/>
      <c r="B62" s="13"/>
      <c r="C62" s="10"/>
      <c r="D62" s="10"/>
      <c r="E62" s="7"/>
      <c r="F62" s="14"/>
      <c r="G62" s="6">
        <f>SUM(E$9:$E62)-SUM(F$9:$F62)</f>
        <v>5535000</v>
      </c>
    </row>
    <row r="63" spans="1:7" ht="28.8" x14ac:dyDescent="0.55000000000000004">
      <c r="A63" s="12"/>
      <c r="B63" s="13"/>
      <c r="C63" s="10"/>
      <c r="D63" s="10"/>
      <c r="E63" s="7"/>
      <c r="F63" s="14"/>
      <c r="G63" s="6">
        <f>SUM(E$9:$E63)-SUM(F$9:$F63)</f>
        <v>5535000</v>
      </c>
    </row>
    <row r="64" spans="1:7" ht="28.8" x14ac:dyDescent="0.55000000000000004">
      <c r="A64" s="12"/>
      <c r="B64" s="13"/>
      <c r="C64" s="10"/>
      <c r="D64" s="10"/>
      <c r="E64" s="7"/>
      <c r="F64" s="14"/>
      <c r="G64" s="6">
        <f>SUM(E$9:$E64)-SUM(F$9:$F64)</f>
        <v>5535000</v>
      </c>
    </row>
    <row r="65" spans="1:7" ht="28.8" x14ac:dyDescent="0.55000000000000004">
      <c r="A65" s="12"/>
      <c r="B65" s="13"/>
      <c r="C65" s="10"/>
      <c r="D65" s="10"/>
      <c r="E65" s="7"/>
      <c r="F65" s="14"/>
      <c r="G65" s="6">
        <f>SUM(E$9:$E65)-SUM(F$9:$F65)</f>
        <v>5535000</v>
      </c>
    </row>
    <row r="66" spans="1:7" ht="28.8" x14ac:dyDescent="0.55000000000000004">
      <c r="A66" s="12"/>
      <c r="B66" s="13"/>
      <c r="C66" s="10"/>
      <c r="D66" s="10"/>
      <c r="E66" s="7"/>
      <c r="F66" s="14"/>
      <c r="G66" s="6">
        <f>SUM(E$9:$E66)-SUM(F$9:$F66)</f>
        <v>5535000</v>
      </c>
    </row>
    <row r="67" spans="1:7" ht="28.8" x14ac:dyDescent="0.55000000000000004">
      <c r="A67" s="12"/>
      <c r="B67" s="13"/>
      <c r="C67" s="10"/>
      <c r="D67" s="10"/>
      <c r="E67" s="7"/>
      <c r="F67" s="14"/>
      <c r="G67" s="6">
        <f>SUM(E$9:$E67)-SUM(F$9:$F67)</f>
        <v>5535000</v>
      </c>
    </row>
    <row r="68" spans="1:7" ht="28.8" x14ac:dyDescent="0.55000000000000004">
      <c r="A68" s="12"/>
      <c r="B68" s="13"/>
      <c r="C68" s="10"/>
      <c r="D68" s="10"/>
      <c r="E68" s="7"/>
      <c r="F68" s="14"/>
      <c r="G68" s="6">
        <f>SUM(E$9:$E68)-SUM(F$9:$F68)</f>
        <v>5535000</v>
      </c>
    </row>
    <row r="69" spans="1:7" ht="28.8" x14ac:dyDescent="0.55000000000000004">
      <c r="A69" s="12"/>
      <c r="B69" s="13"/>
      <c r="C69" s="10"/>
      <c r="D69" s="10"/>
      <c r="E69" s="7"/>
      <c r="F69" s="14"/>
      <c r="G69" s="6">
        <f>SUM(E$9:$E69)-SUM(F$9:$F69)</f>
        <v>5535000</v>
      </c>
    </row>
    <row r="70" spans="1:7" ht="28.8" x14ac:dyDescent="0.55000000000000004">
      <c r="A70" s="12"/>
      <c r="B70" s="13"/>
      <c r="C70" s="10"/>
      <c r="D70" s="10"/>
      <c r="E70" s="7"/>
      <c r="F70" s="14"/>
      <c r="G70" s="6">
        <f>SUM(E$9:$E70)-SUM(F$9:$F70)</f>
        <v>5535000</v>
      </c>
    </row>
    <row r="71" spans="1:7" ht="28.8" x14ac:dyDescent="0.55000000000000004">
      <c r="A71" s="12"/>
      <c r="B71" s="13"/>
      <c r="C71" s="10"/>
      <c r="D71" s="10"/>
      <c r="E71" s="7"/>
      <c r="F71" s="14"/>
      <c r="G71" s="6">
        <f>SUM(E$9:$E71)-SUM(F$9:$F71)</f>
        <v>5535000</v>
      </c>
    </row>
    <row r="72" spans="1:7" ht="28.8" x14ac:dyDescent="0.55000000000000004">
      <c r="A72" s="12"/>
      <c r="B72" s="13"/>
      <c r="C72" s="10"/>
      <c r="D72" s="10"/>
      <c r="E72" s="7"/>
      <c r="F72" s="14"/>
      <c r="G72" s="6">
        <f>SUM(E$9:$E72)-SUM(F$9:$F72)</f>
        <v>5535000</v>
      </c>
    </row>
    <row r="73" spans="1:7" ht="28.8" x14ac:dyDescent="0.55000000000000004">
      <c r="A73" s="12"/>
      <c r="B73" s="13"/>
      <c r="C73" s="10"/>
      <c r="D73" s="10"/>
      <c r="E73" s="7"/>
      <c r="F73" s="14"/>
      <c r="G73" s="6">
        <f>SUM(E$9:$E73)-SUM(F$9:$F73)</f>
        <v>5535000</v>
      </c>
    </row>
    <row r="74" spans="1:7" ht="28.8" x14ac:dyDescent="0.55000000000000004">
      <c r="A74" s="12"/>
      <c r="B74" s="13"/>
      <c r="C74" s="10"/>
      <c r="D74" s="10"/>
      <c r="E74" s="7"/>
      <c r="F74" s="14"/>
      <c r="G74" s="6">
        <f>SUM(E$9:$E74)-SUM(F$9:$F74)</f>
        <v>5535000</v>
      </c>
    </row>
    <row r="75" spans="1:7" ht="28.8" x14ac:dyDescent="0.55000000000000004">
      <c r="A75" s="12"/>
      <c r="B75" s="13"/>
      <c r="C75" s="10"/>
      <c r="D75" s="10"/>
      <c r="E75" s="7"/>
      <c r="F75" s="14"/>
      <c r="G75" s="6">
        <f>SUM(E$9:$E75)-SUM(F$9:$F75)</f>
        <v>5535000</v>
      </c>
    </row>
    <row r="76" spans="1:7" ht="28.8" x14ac:dyDescent="0.55000000000000004">
      <c r="A76" s="12"/>
      <c r="B76" s="13"/>
      <c r="C76" s="10"/>
      <c r="D76" s="10"/>
      <c r="E76" s="7"/>
      <c r="F76" s="14"/>
      <c r="G76" s="6">
        <f>SUM(E$9:$E76)-SUM(F$9:$F76)</f>
        <v>5535000</v>
      </c>
    </row>
    <row r="77" spans="1:7" ht="28.8" x14ac:dyDescent="0.55000000000000004">
      <c r="A77" s="12"/>
      <c r="B77" s="13"/>
      <c r="C77" s="10"/>
      <c r="D77" s="10"/>
      <c r="E77" s="7"/>
      <c r="F77" s="14"/>
      <c r="G77" s="6">
        <f>SUM(E$9:$E77)-SUM(F$9:$F77)</f>
        <v>5535000</v>
      </c>
    </row>
    <row r="78" spans="1:7" ht="28.8" x14ac:dyDescent="0.55000000000000004">
      <c r="A78" s="12"/>
      <c r="B78" s="13"/>
      <c r="C78" s="10"/>
      <c r="D78" s="10"/>
      <c r="E78" s="7"/>
      <c r="F78" s="14"/>
      <c r="G78" s="6">
        <f>SUM(E$9:$E78)-SUM(F$9:$F78)</f>
        <v>5535000</v>
      </c>
    </row>
    <row r="79" spans="1:7" ht="28.8" x14ac:dyDescent="0.55000000000000004">
      <c r="A79" s="12"/>
      <c r="B79" s="13"/>
      <c r="C79" s="10"/>
      <c r="D79" s="10"/>
      <c r="E79" s="7"/>
      <c r="F79" s="14"/>
      <c r="G79" s="6">
        <f>SUM(E$9:$E79)-SUM(F$9:$F79)</f>
        <v>5535000</v>
      </c>
    </row>
    <row r="80" spans="1:7" ht="28.8" x14ac:dyDescent="0.55000000000000004">
      <c r="A80" s="12"/>
      <c r="B80" s="13"/>
      <c r="C80" s="10"/>
      <c r="D80" s="10"/>
      <c r="E80" s="7"/>
      <c r="F80" s="14"/>
      <c r="G80" s="6">
        <f>SUM(E$9:$E80)-SUM(F$9:$F80)</f>
        <v>5535000</v>
      </c>
    </row>
    <row r="81" spans="1:7" ht="28.8" x14ac:dyDescent="0.55000000000000004">
      <c r="A81" s="12"/>
      <c r="B81" s="13"/>
      <c r="C81" s="10"/>
      <c r="D81" s="10"/>
      <c r="E81" s="7"/>
      <c r="F81" s="14"/>
      <c r="G81" s="6">
        <f>SUM(E$9:$E81)-SUM(F$9:$F81)</f>
        <v>5535000</v>
      </c>
    </row>
    <row r="82" spans="1:7" ht="28.8" x14ac:dyDescent="0.55000000000000004">
      <c r="A82" s="12"/>
      <c r="B82" s="13"/>
      <c r="C82" s="10"/>
      <c r="D82" s="10"/>
      <c r="E82" s="7"/>
      <c r="F82" s="14"/>
      <c r="G82" s="6">
        <f>SUM(E$9:$E82)-SUM(F$9:$F82)</f>
        <v>5535000</v>
      </c>
    </row>
    <row r="83" spans="1:7" ht="28.8" x14ac:dyDescent="0.55000000000000004">
      <c r="A83" s="12"/>
      <c r="B83" s="13"/>
      <c r="C83" s="10"/>
      <c r="D83" s="10"/>
      <c r="E83" s="7"/>
      <c r="F83" s="14"/>
      <c r="G83" s="6">
        <f>SUM(E$9:$E83)-SUM(F$9:$F83)</f>
        <v>5535000</v>
      </c>
    </row>
    <row r="84" spans="1:7" ht="28.8" x14ac:dyDescent="0.55000000000000004">
      <c r="A84" s="12"/>
      <c r="B84" s="13"/>
      <c r="C84" s="10"/>
      <c r="D84" s="10"/>
      <c r="E84" s="7"/>
      <c r="F84" s="14"/>
      <c r="G84" s="6">
        <f>SUM(E$9:$E84)-SUM(F$9:$F84)</f>
        <v>5535000</v>
      </c>
    </row>
    <row r="85" spans="1:7" ht="28.8" x14ac:dyDescent="0.55000000000000004">
      <c r="A85" s="12"/>
      <c r="B85" s="13"/>
      <c r="C85" s="10"/>
      <c r="D85" s="10"/>
      <c r="E85" s="7"/>
      <c r="F85" s="14"/>
      <c r="G85" s="6">
        <f>SUM(E$9:$E85)-SUM(F$9:$F85)</f>
        <v>5535000</v>
      </c>
    </row>
    <row r="86" spans="1:7" ht="28.8" x14ac:dyDescent="0.55000000000000004">
      <c r="A86" s="12"/>
      <c r="B86" s="13"/>
      <c r="C86" s="10"/>
      <c r="D86" s="10"/>
      <c r="E86" s="7"/>
      <c r="F86" s="14"/>
      <c r="G86" s="6">
        <f>SUM(E$9:$E86)-SUM(F$9:$F86)</f>
        <v>5535000</v>
      </c>
    </row>
    <row r="87" spans="1:7" ht="28.8" x14ac:dyDescent="0.55000000000000004">
      <c r="A87" s="12"/>
      <c r="B87" s="13"/>
      <c r="C87" s="10"/>
      <c r="D87" s="10"/>
      <c r="E87" s="7"/>
      <c r="F87" s="14"/>
      <c r="G87" s="6">
        <f>SUM(E$9:$E87)-SUM(F$9:$F87)</f>
        <v>5535000</v>
      </c>
    </row>
    <row r="88" spans="1:7" ht="28.8" x14ac:dyDescent="0.55000000000000004">
      <c r="A88" s="12"/>
      <c r="B88" s="13"/>
      <c r="C88" s="10"/>
      <c r="D88" s="10"/>
      <c r="E88" s="7"/>
      <c r="F88" s="14"/>
      <c r="G88" s="6">
        <f>SUM(E$9:$E88)-SUM(F$9:$F88)</f>
        <v>5535000</v>
      </c>
    </row>
    <row r="89" spans="1:7" ht="28.8" x14ac:dyDescent="0.55000000000000004">
      <c r="A89" s="12"/>
      <c r="B89" s="13"/>
      <c r="C89" s="10"/>
      <c r="D89" s="10"/>
      <c r="E89" s="7"/>
      <c r="F89" s="14"/>
      <c r="G89" s="6">
        <f>SUM(E$9:$E89)-SUM(F$9:$F89)</f>
        <v>5535000</v>
      </c>
    </row>
    <row r="90" spans="1:7" ht="28.8" x14ac:dyDescent="0.55000000000000004">
      <c r="A90" s="12"/>
      <c r="B90" s="13"/>
      <c r="C90" s="10"/>
      <c r="D90" s="10"/>
      <c r="E90" s="7"/>
      <c r="F90" s="14"/>
      <c r="G90" s="6">
        <f>SUM(E$9:$E90)-SUM(F$9:$F90)</f>
        <v>5535000</v>
      </c>
    </row>
    <row r="91" spans="1:7" ht="28.8" x14ac:dyDescent="0.55000000000000004">
      <c r="A91" s="12"/>
      <c r="B91" s="13"/>
      <c r="C91" s="10"/>
      <c r="D91" s="10"/>
      <c r="E91" s="7"/>
      <c r="F91" s="14"/>
      <c r="G91" s="6">
        <f>SUM(E$9:$E91)-SUM(F$9:$F91)</f>
        <v>5535000</v>
      </c>
    </row>
    <row r="92" spans="1:7" ht="28.8" x14ac:dyDescent="0.55000000000000004">
      <c r="A92" s="12"/>
      <c r="B92" s="13"/>
      <c r="C92" s="10"/>
      <c r="D92" s="10"/>
      <c r="E92" s="7"/>
      <c r="F92" s="14"/>
      <c r="G92" s="6">
        <f>SUM(E$9:$E92)-SUM(F$9:$F92)</f>
        <v>5535000</v>
      </c>
    </row>
    <row r="93" spans="1:7" ht="28.8" x14ac:dyDescent="0.55000000000000004">
      <c r="A93" s="12"/>
      <c r="B93" s="13"/>
      <c r="C93" s="10"/>
      <c r="D93" s="10"/>
      <c r="E93" s="7"/>
      <c r="F93" s="14"/>
      <c r="G93" s="6">
        <f>SUM(E$9:$E93)-SUM(F$9:$F93)</f>
        <v>5535000</v>
      </c>
    </row>
    <row r="94" spans="1:7" ht="28.8" x14ac:dyDescent="0.55000000000000004">
      <c r="A94" s="12"/>
      <c r="B94" s="13"/>
      <c r="C94" s="10"/>
      <c r="D94" s="10"/>
      <c r="E94" s="7"/>
      <c r="F94" s="14"/>
      <c r="G94" s="6">
        <f>SUM(E$9:$E94)-SUM(F$9:$F94)</f>
        <v>5535000</v>
      </c>
    </row>
    <row r="95" spans="1:7" ht="28.8" x14ac:dyDescent="0.55000000000000004">
      <c r="A95" s="12"/>
      <c r="B95" s="13"/>
      <c r="C95" s="10"/>
      <c r="D95" s="10"/>
      <c r="E95" s="7"/>
      <c r="F95" s="14"/>
      <c r="G95" s="6">
        <f>SUM(E$9:$E95)-SUM(F$9:$F95)</f>
        <v>5535000</v>
      </c>
    </row>
    <row r="96" spans="1:7" ht="28.8" x14ac:dyDescent="0.55000000000000004">
      <c r="A96" s="12"/>
      <c r="B96" s="13"/>
      <c r="C96" s="10"/>
      <c r="D96" s="10"/>
      <c r="E96" s="7"/>
      <c r="F96" s="14"/>
      <c r="G96" s="6">
        <f>SUM(E$9:$E96)-SUM(F$9:$F96)</f>
        <v>5535000</v>
      </c>
    </row>
    <row r="97" spans="1:7" ht="28.8" x14ac:dyDescent="0.55000000000000004">
      <c r="A97" s="12"/>
      <c r="B97" s="13"/>
      <c r="C97" s="10"/>
      <c r="D97" s="10"/>
      <c r="E97" s="7"/>
      <c r="F97" s="14"/>
      <c r="G97" s="6">
        <f>SUM(E$9:$E97)-SUM(F$9:$F97)</f>
        <v>5535000</v>
      </c>
    </row>
    <row r="98" spans="1:7" ht="28.8" x14ac:dyDescent="0.55000000000000004">
      <c r="A98" s="12"/>
      <c r="B98" s="13"/>
      <c r="C98" s="10"/>
      <c r="D98" s="10"/>
      <c r="E98" s="7"/>
      <c r="F98" s="14"/>
      <c r="G98" s="6">
        <f>SUM(E$9:$E98)-SUM(F$9:$F98)</f>
        <v>5535000</v>
      </c>
    </row>
    <row r="99" spans="1:7" ht="28.8" x14ac:dyDescent="0.55000000000000004">
      <c r="A99" s="12"/>
      <c r="B99" s="13"/>
      <c r="C99" s="10"/>
      <c r="D99" s="10"/>
      <c r="E99" s="7"/>
      <c r="F99" s="14"/>
      <c r="G99" s="6">
        <f>SUM(E$9:$E99)-SUM(F$9:$F99)</f>
        <v>5535000</v>
      </c>
    </row>
    <row r="100" spans="1:7" ht="28.8" x14ac:dyDescent="0.55000000000000004">
      <c r="A100" s="12"/>
      <c r="B100" s="13"/>
      <c r="C100" s="10"/>
      <c r="D100" s="10"/>
      <c r="E100" s="7"/>
      <c r="F100" s="14"/>
      <c r="G100" s="6">
        <f>SUM(E$9:$E100)-SUM(F$9:$F100)</f>
        <v>5535000</v>
      </c>
    </row>
    <row r="101" spans="1:7" ht="28.8" x14ac:dyDescent="0.55000000000000004">
      <c r="A101" s="12"/>
      <c r="B101" s="13"/>
      <c r="C101" s="10"/>
      <c r="D101" s="10"/>
      <c r="E101" s="7"/>
      <c r="F101" s="14"/>
      <c r="G101" s="6">
        <f>SUM(E$9:$E101)-SUM(F$9:$F101)</f>
        <v>5535000</v>
      </c>
    </row>
    <row r="102" spans="1:7" ht="28.8" x14ac:dyDescent="0.55000000000000004">
      <c r="A102" s="12"/>
      <c r="B102" s="13"/>
      <c r="C102" s="10"/>
      <c r="D102" s="10"/>
      <c r="E102" s="7"/>
      <c r="F102" s="14"/>
      <c r="G102" s="6">
        <f>SUM(E$9:$E102)-SUM(F$9:$F102)</f>
        <v>5535000</v>
      </c>
    </row>
    <row r="103" spans="1:7" ht="28.8" x14ac:dyDescent="0.55000000000000004">
      <c r="A103" s="12"/>
      <c r="B103" s="13"/>
      <c r="C103" s="10"/>
      <c r="D103" s="10"/>
      <c r="E103" s="7">
        <f>+$I$2+(GEDIS[[#This Row],[QUANTITE]]*GEDIS[[#This Row],[PRIX UNITAIRE]])</f>
        <v>0</v>
      </c>
      <c r="F103" s="14"/>
      <c r="G103" s="6">
        <f>SUM(E$9:$E103)-SUM(F$9:$F103)</f>
        <v>5535000</v>
      </c>
    </row>
    <row r="104" spans="1:7" ht="28.8" x14ac:dyDescent="0.55000000000000004">
      <c r="A104" s="12"/>
      <c r="B104" s="13"/>
      <c r="C104" s="10"/>
      <c r="D104" s="10"/>
      <c r="E104" s="7">
        <f>+$I$2+(GEDIS[[#This Row],[QUANTITE]]*GEDIS[[#This Row],[PRIX UNITAIRE]])</f>
        <v>0</v>
      </c>
      <c r="F104" s="14"/>
      <c r="G104" s="6">
        <f>SUM(E$9:$E104)-SUM(F$9:$F104)</f>
        <v>5535000</v>
      </c>
    </row>
    <row r="105" spans="1:7" ht="28.8" x14ac:dyDescent="0.55000000000000004">
      <c r="A105" s="12"/>
      <c r="B105" s="13"/>
      <c r="C105" s="10"/>
      <c r="D105" s="10"/>
      <c r="E105" s="7">
        <f>+$I$2+(GEDIS[[#This Row],[QUANTITE]]*GEDIS[[#This Row],[PRIX UNITAIRE]])</f>
        <v>0</v>
      </c>
      <c r="F105" s="14"/>
      <c r="G105" s="6">
        <f>SUM(E$9:$E105)-SUM(F$9:$F105)</f>
        <v>5535000</v>
      </c>
    </row>
    <row r="106" spans="1:7" ht="28.8" x14ac:dyDescent="0.55000000000000004">
      <c r="A106" s="12"/>
      <c r="B106" s="13"/>
      <c r="C106" s="10"/>
      <c r="D106" s="10"/>
      <c r="E106" s="7">
        <f>+$I$2+(GEDIS[[#This Row],[QUANTITE]]*GEDIS[[#This Row],[PRIX UNITAIRE]])</f>
        <v>0</v>
      </c>
      <c r="F106" s="14"/>
      <c r="G106" s="6">
        <f>SUM(E$9:$E106)-SUM(F$9:$F106)</f>
        <v>5535000</v>
      </c>
    </row>
    <row r="107" spans="1:7" ht="28.8" x14ac:dyDescent="0.55000000000000004">
      <c r="A107" s="12"/>
      <c r="B107" s="13"/>
      <c r="C107" s="10"/>
      <c r="D107" s="10"/>
      <c r="E107" s="7">
        <f>+$I$2+(GEDIS[[#This Row],[QUANTITE]]*GEDIS[[#This Row],[PRIX UNITAIRE]])</f>
        <v>0</v>
      </c>
      <c r="F107" s="14"/>
      <c r="G107" s="6">
        <f>SUM(E$9:$E107)-SUM(F$9:$F107)</f>
        <v>5535000</v>
      </c>
    </row>
    <row r="108" spans="1:7" ht="28.8" x14ac:dyDescent="0.55000000000000004">
      <c r="A108" s="12"/>
      <c r="B108" s="13"/>
      <c r="C108" s="10"/>
      <c r="D108" s="10"/>
      <c r="E108" s="7">
        <f>+$I$2+(GEDIS[[#This Row],[QUANTITE]]*GEDIS[[#This Row],[PRIX UNITAIRE]])</f>
        <v>0</v>
      </c>
      <c r="F108" s="14"/>
      <c r="G108" s="6">
        <f>SUM(E$9:$E108)-SUM(F$9:$F108)</f>
        <v>5535000</v>
      </c>
    </row>
    <row r="109" spans="1:7" ht="28.8" x14ac:dyDescent="0.55000000000000004">
      <c r="A109" s="12"/>
      <c r="B109" s="13"/>
      <c r="C109" s="10"/>
      <c r="D109" s="10"/>
      <c r="E109" s="7">
        <f>+$I$2+(GEDIS[[#This Row],[QUANTITE]]*GEDIS[[#This Row],[PRIX UNITAIRE]])</f>
        <v>0</v>
      </c>
      <c r="F109" s="14"/>
      <c r="G109" s="6">
        <f>SUM(E$9:$E109)-SUM(F$9:$F109)</f>
        <v>5535000</v>
      </c>
    </row>
    <row r="110" spans="1:7" ht="28.8" x14ac:dyDescent="0.55000000000000004">
      <c r="A110" s="12"/>
      <c r="B110" s="13"/>
      <c r="C110" s="10"/>
      <c r="D110" s="10"/>
      <c r="E110" s="7">
        <f>+$I$2+(GEDIS[[#This Row],[QUANTITE]]*GEDIS[[#This Row],[PRIX UNITAIRE]])</f>
        <v>0</v>
      </c>
      <c r="F110" s="14"/>
      <c r="G110" s="6">
        <f>SUM(E$9:$E110)-SUM(F$9:$F110)</f>
        <v>5535000</v>
      </c>
    </row>
    <row r="111" spans="1:7" ht="28.8" x14ac:dyDescent="0.55000000000000004">
      <c r="A111" s="12"/>
      <c r="B111" s="13"/>
      <c r="C111" s="10"/>
      <c r="D111" s="10"/>
      <c r="E111" s="7">
        <f>+$I$2+(GEDIS[[#This Row],[QUANTITE]]*GEDIS[[#This Row],[PRIX UNITAIRE]])</f>
        <v>0</v>
      </c>
      <c r="F111" s="14"/>
      <c r="G111" s="6">
        <f>SUM(E$9:$E111)-SUM(F$9:$F111)</f>
        <v>5535000</v>
      </c>
    </row>
    <row r="112" spans="1:7" ht="28.8" x14ac:dyDescent="0.55000000000000004">
      <c r="A112" s="12"/>
      <c r="B112" s="13"/>
      <c r="C112" s="10"/>
      <c r="D112" s="10"/>
      <c r="E112" s="7">
        <f>+$I$2+(GEDIS[[#This Row],[QUANTITE]]*GEDIS[[#This Row],[PRIX UNITAIRE]])</f>
        <v>0</v>
      </c>
      <c r="F112" s="14"/>
      <c r="G112" s="6">
        <f>SUM(E$9:$E112)-SUM(F$9:$F112)</f>
        <v>5535000</v>
      </c>
    </row>
  </sheetData>
  <sheetProtection selectLockedCells="1" autoFilter="0"/>
  <mergeCells count="1">
    <mergeCell ref="B6:C6"/>
  </mergeCells>
  <conditionalFormatting sqref="B9:B112">
    <cfRule type="expression" dxfId="671" priority="5">
      <formula>$F9</formula>
    </cfRule>
  </conditionalFormatting>
  <conditionalFormatting sqref="G4">
    <cfRule type="cellIs" dxfId="670" priority="2" operator="lessThan">
      <formula>0</formula>
    </cfRule>
    <cfRule type="cellIs" dxfId="669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1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/>
  <dimension ref="A1:I278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30.44140625" style="1" bestFit="1" customWidth="1"/>
    <col min="5" max="5" width="33.6640625" bestFit="1" customWidth="1"/>
    <col min="6" max="6" width="38.44140625" style="1" customWidth="1"/>
    <col min="7" max="7" width="34.441406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+SUM(MOHAMEDZALZALE[TOTAL MONTANT])</f>
        <v>169171000</v>
      </c>
      <c r="F4" s="39">
        <f>+SUM(MOHAMEDZALZALE[VERSEMENT])</f>
        <v>0</v>
      </c>
      <c r="G4" s="97">
        <f>+E4-F4</f>
        <v>169171000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88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169171000</v>
      </c>
      <c r="E9" s="7">
        <v>169171000</v>
      </c>
      <c r="F9" s="22"/>
      <c r="G9" s="6">
        <f>+SUM(E$9:$E9)-SUM(F$9:$F9)</f>
        <v>169171000</v>
      </c>
    </row>
    <row r="10" spans="1:9" ht="28.8" x14ac:dyDescent="0.55000000000000004">
      <c r="A10" s="12"/>
      <c r="B10" s="13"/>
      <c r="C10" s="11"/>
      <c r="D10" s="11"/>
      <c r="E10" s="7"/>
      <c r="F10" s="22"/>
      <c r="G10" s="8">
        <f>+SUM(E$9:$E10)-SUM(F$9:$F10)</f>
        <v>169171000</v>
      </c>
    </row>
    <row r="11" spans="1:9" ht="28.8" x14ac:dyDescent="0.55000000000000004">
      <c r="A11" s="12"/>
      <c r="B11" s="13"/>
      <c r="C11" s="11"/>
      <c r="D11" s="11"/>
      <c r="E11" s="7"/>
      <c r="F11" s="22"/>
      <c r="G11" s="8">
        <f>+SUM(E$9:$E11)-SUM(F$9:$F11)</f>
        <v>169171000</v>
      </c>
    </row>
    <row r="12" spans="1:9" ht="28.8" x14ac:dyDescent="0.55000000000000004">
      <c r="A12" s="12"/>
      <c r="B12" s="13"/>
      <c r="C12" s="11"/>
      <c r="D12" s="11"/>
      <c r="E12" s="7"/>
      <c r="F12" s="22"/>
      <c r="G12" s="8">
        <f>+SUM(E$9:$E12)-SUM(F$9:$F12)</f>
        <v>169171000</v>
      </c>
    </row>
    <row r="13" spans="1:9" ht="28.8" x14ac:dyDescent="0.55000000000000004">
      <c r="A13" s="12"/>
      <c r="B13" s="13"/>
      <c r="C13" s="11"/>
      <c r="D13" s="11"/>
      <c r="E13" s="7"/>
      <c r="F13" s="22"/>
      <c r="G13" s="8">
        <f>+SUM(E$9:$E13)-SUM(F$9:$F13)</f>
        <v>169171000</v>
      </c>
    </row>
    <row r="14" spans="1:9" ht="28.8" x14ac:dyDescent="0.55000000000000004">
      <c r="A14" s="12"/>
      <c r="B14" s="13"/>
      <c r="C14" s="11"/>
      <c r="D14" s="11"/>
      <c r="E14" s="7"/>
      <c r="F14" s="22"/>
      <c r="G14" s="8">
        <f>+SUM(E$9:$E14)-SUM(F$9:$F14)</f>
        <v>169171000</v>
      </c>
    </row>
    <row r="15" spans="1:9" ht="28.8" x14ac:dyDescent="0.55000000000000004">
      <c r="A15" s="12"/>
      <c r="B15" s="13"/>
      <c r="C15" s="11"/>
      <c r="D15" s="11"/>
      <c r="E15" s="7"/>
      <c r="F15" s="22"/>
      <c r="G15" s="8">
        <f>+SUM(E$9:$E15)-SUM(F$9:$F15)</f>
        <v>169171000</v>
      </c>
    </row>
    <row r="16" spans="1:9" ht="28.8" x14ac:dyDescent="0.55000000000000004">
      <c r="A16" s="12"/>
      <c r="B16" s="13"/>
      <c r="C16" s="11"/>
      <c r="D16" s="11"/>
      <c r="E16" s="7"/>
      <c r="F16" s="22"/>
      <c r="G16" s="8">
        <f>+SUM(E$9:$E16)-SUM(F$9:$F16)</f>
        <v>169171000</v>
      </c>
    </row>
    <row r="17" spans="1:7" ht="28.8" x14ac:dyDescent="0.55000000000000004">
      <c r="A17" s="12"/>
      <c r="B17" s="13"/>
      <c r="C17" s="11"/>
      <c r="D17" s="11"/>
      <c r="E17" s="7"/>
      <c r="F17" s="22"/>
      <c r="G17" s="8">
        <f>+SUM(E$9:$E17)-SUM(F$9:$F17)</f>
        <v>169171000</v>
      </c>
    </row>
    <row r="18" spans="1:7" ht="28.8" x14ac:dyDescent="0.55000000000000004">
      <c r="A18" s="12"/>
      <c r="B18" s="13"/>
      <c r="C18" s="10"/>
      <c r="D18" s="10"/>
      <c r="E18" s="7"/>
      <c r="F18" s="22"/>
      <c r="G18" s="6">
        <f>+SUM(E$9:$E18)-SUM(F$9:$F18)</f>
        <v>169171000</v>
      </c>
    </row>
    <row r="19" spans="1:7" ht="28.8" x14ac:dyDescent="0.55000000000000004">
      <c r="A19" s="12"/>
      <c r="B19" s="13"/>
      <c r="C19" s="10"/>
      <c r="D19" s="10"/>
      <c r="E19" s="7"/>
      <c r="F19" s="22"/>
      <c r="G19" s="6">
        <f>+SUM(E$9:$E19)-SUM(F$9:$F19)</f>
        <v>169171000</v>
      </c>
    </row>
    <row r="20" spans="1:7" ht="28.8" x14ac:dyDescent="0.55000000000000004">
      <c r="A20" s="12"/>
      <c r="B20" s="13"/>
      <c r="C20" s="10"/>
      <c r="D20" s="10"/>
      <c r="E20" s="7"/>
      <c r="F20" s="22"/>
      <c r="G20" s="6">
        <f>+SUM(E$9:$E20)-SUM(F$9:$F20)</f>
        <v>169171000</v>
      </c>
    </row>
    <row r="21" spans="1:7" ht="28.8" x14ac:dyDescent="0.55000000000000004">
      <c r="A21" s="12"/>
      <c r="B21" s="13"/>
      <c r="C21" s="10"/>
      <c r="D21" s="10"/>
      <c r="E21" s="7"/>
      <c r="F21" s="22"/>
      <c r="G21" s="6">
        <f>+SUM(E$9:$E21)-SUM(F$9:$F21)</f>
        <v>169171000</v>
      </c>
    </row>
    <row r="22" spans="1:7" ht="28.8" x14ac:dyDescent="0.55000000000000004">
      <c r="A22" s="12"/>
      <c r="B22" s="13"/>
      <c r="C22" s="10"/>
      <c r="D22" s="10"/>
      <c r="E22" s="7"/>
      <c r="F22" s="22"/>
      <c r="G22" s="6">
        <f>+SUM(E$9:$E22)-SUM(F$9:$F22)</f>
        <v>169171000</v>
      </c>
    </row>
    <row r="23" spans="1:7" ht="28.8" x14ac:dyDescent="0.55000000000000004">
      <c r="A23" s="12"/>
      <c r="B23" s="13"/>
      <c r="C23" s="10"/>
      <c r="D23" s="10"/>
      <c r="E23" s="7"/>
      <c r="F23" s="22"/>
      <c r="G23" s="6">
        <f>+SUM(E$9:$E23)-SUM(F$9:$F23)</f>
        <v>169171000</v>
      </c>
    </row>
    <row r="24" spans="1:7" ht="28.8" x14ac:dyDescent="0.55000000000000004">
      <c r="A24" s="12"/>
      <c r="B24" s="13"/>
      <c r="C24" s="10"/>
      <c r="D24" s="10"/>
      <c r="E24" s="7"/>
      <c r="F24" s="22"/>
      <c r="G24" s="6">
        <f>+SUM(E$9:$E24)-SUM(F$9:$F24)</f>
        <v>169171000</v>
      </c>
    </row>
    <row r="25" spans="1:7" ht="28.8" x14ac:dyDescent="0.55000000000000004">
      <c r="A25" s="12"/>
      <c r="B25" s="13"/>
      <c r="C25" s="10"/>
      <c r="D25" s="10"/>
      <c r="E25" s="7"/>
      <c r="F25" s="22"/>
      <c r="G25" s="6">
        <f>+SUM(E$9:$E25)-SUM(F$9:$F25)</f>
        <v>169171000</v>
      </c>
    </row>
    <row r="26" spans="1:7" ht="28.8" x14ac:dyDescent="0.55000000000000004">
      <c r="A26" s="12"/>
      <c r="B26" s="13"/>
      <c r="C26" s="10"/>
      <c r="D26" s="10"/>
      <c r="E26" s="7"/>
      <c r="F26" s="22"/>
      <c r="G26" s="6">
        <f>+SUM(E$9:$E26)-SUM(F$9:$F26)</f>
        <v>169171000</v>
      </c>
    </row>
    <row r="27" spans="1:7" ht="28.8" x14ac:dyDescent="0.55000000000000004">
      <c r="A27" s="12"/>
      <c r="B27" s="13"/>
      <c r="C27" s="10"/>
      <c r="D27" s="10"/>
      <c r="E27" s="7"/>
      <c r="F27" s="22"/>
      <c r="G27" s="6">
        <f>+SUM(E$9:$E27)-SUM(F$9:$F27)</f>
        <v>169171000</v>
      </c>
    </row>
    <row r="28" spans="1:7" ht="28.8" x14ac:dyDescent="0.55000000000000004">
      <c r="A28" s="12"/>
      <c r="B28" s="13"/>
      <c r="C28" s="10"/>
      <c r="D28" s="10"/>
      <c r="E28" s="7"/>
      <c r="F28" s="22"/>
      <c r="G28" s="6">
        <f>+SUM(E$9:$E28)-SUM(F$9:$F28)</f>
        <v>169171000</v>
      </c>
    </row>
    <row r="29" spans="1:7" ht="28.8" x14ac:dyDescent="0.55000000000000004">
      <c r="A29" s="12"/>
      <c r="B29" s="13"/>
      <c r="C29" s="10"/>
      <c r="D29" s="10"/>
      <c r="E29" s="7"/>
      <c r="F29" s="22"/>
      <c r="G29" s="6">
        <f>+SUM(E$9:$E29)-SUM(F$9:$F29)</f>
        <v>169171000</v>
      </c>
    </row>
    <row r="30" spans="1:7" ht="28.8" x14ac:dyDescent="0.55000000000000004">
      <c r="A30" s="12"/>
      <c r="B30" s="13"/>
      <c r="C30" s="10"/>
      <c r="D30" s="10"/>
      <c r="E30" s="7"/>
      <c r="F30" s="22"/>
      <c r="G30" s="6">
        <f>+SUM(E$9:$E30)-SUM(F$9:$F30)</f>
        <v>169171000</v>
      </c>
    </row>
    <row r="31" spans="1:7" ht="28.8" x14ac:dyDescent="0.55000000000000004">
      <c r="A31" s="12"/>
      <c r="B31" s="13"/>
      <c r="C31" s="10"/>
      <c r="D31" s="10"/>
      <c r="E31" s="7"/>
      <c r="F31" s="22"/>
      <c r="G31" s="6">
        <f>+SUM(E$9:$E31)-SUM(F$9:$F31)</f>
        <v>169171000</v>
      </c>
    </row>
    <row r="32" spans="1:7" ht="28.8" x14ac:dyDescent="0.55000000000000004">
      <c r="A32" s="12"/>
      <c r="B32" s="13"/>
      <c r="C32" s="10"/>
      <c r="D32" s="10"/>
      <c r="E32" s="7"/>
      <c r="F32" s="22"/>
      <c r="G32" s="6">
        <f>+SUM(E$9:$E32)-SUM(F$9:$F32)</f>
        <v>169171000</v>
      </c>
    </row>
    <row r="33" spans="1:7" ht="28.8" x14ac:dyDescent="0.55000000000000004">
      <c r="A33" s="12"/>
      <c r="B33" s="13"/>
      <c r="C33" s="10"/>
      <c r="D33" s="10"/>
      <c r="E33" s="7"/>
      <c r="F33" s="22"/>
      <c r="G33" s="6">
        <f>+SUM(E$9:$E33)-SUM(F$9:$F33)</f>
        <v>169171000</v>
      </c>
    </row>
    <row r="34" spans="1:7" ht="28.8" x14ac:dyDescent="0.55000000000000004">
      <c r="A34" s="12"/>
      <c r="B34" s="13"/>
      <c r="C34" s="10"/>
      <c r="D34" s="10"/>
      <c r="E34" s="7"/>
      <c r="F34" s="22"/>
      <c r="G34" s="6">
        <f>+SUM(E$9:$E34)-SUM(F$9:$F34)</f>
        <v>169171000</v>
      </c>
    </row>
    <row r="35" spans="1:7" ht="28.8" x14ac:dyDescent="0.55000000000000004">
      <c r="A35" s="12"/>
      <c r="B35" s="13"/>
      <c r="C35" s="10"/>
      <c r="D35" s="10"/>
      <c r="E35" s="7"/>
      <c r="F35" s="22"/>
      <c r="G35" s="6">
        <f>+SUM(E$9:$E35)-SUM(F$9:$F35)</f>
        <v>169171000</v>
      </c>
    </row>
    <row r="36" spans="1:7" ht="28.8" x14ac:dyDescent="0.55000000000000004">
      <c r="A36" s="12"/>
      <c r="B36" s="13"/>
      <c r="C36" s="10"/>
      <c r="D36" s="10"/>
      <c r="E36" s="7"/>
      <c r="F36" s="22"/>
      <c r="G36" s="6">
        <f>+SUM(E$9:$E36)-SUM(F$9:$F36)</f>
        <v>169171000</v>
      </c>
    </row>
    <row r="37" spans="1:7" ht="28.8" x14ac:dyDescent="0.55000000000000004">
      <c r="A37" s="12"/>
      <c r="B37" s="13"/>
      <c r="C37" s="10"/>
      <c r="D37" s="10"/>
      <c r="E37" s="7"/>
      <c r="F37" s="22"/>
      <c r="G37" s="6">
        <f>+SUM(E$9:$E37)-SUM(F$9:$F37)</f>
        <v>169171000</v>
      </c>
    </row>
    <row r="38" spans="1:7" ht="28.8" x14ac:dyDescent="0.55000000000000004">
      <c r="A38" s="12"/>
      <c r="B38" s="13"/>
      <c r="C38" s="10"/>
      <c r="D38" s="10"/>
      <c r="E38" s="7"/>
      <c r="F38" s="22"/>
      <c r="G38" s="6">
        <f>+SUM(E$9:$E38)-SUM(F$9:$F38)</f>
        <v>169171000</v>
      </c>
    </row>
    <row r="39" spans="1:7" ht="28.8" x14ac:dyDescent="0.55000000000000004">
      <c r="A39" s="12"/>
      <c r="B39" s="13"/>
      <c r="C39" s="10"/>
      <c r="D39" s="10"/>
      <c r="E39" s="7"/>
      <c r="F39" s="22"/>
      <c r="G39" s="6">
        <f>+SUM(E$9:$E39)-SUM(F$9:$F39)</f>
        <v>169171000</v>
      </c>
    </row>
    <row r="40" spans="1:7" ht="28.8" x14ac:dyDescent="0.55000000000000004">
      <c r="A40" s="12"/>
      <c r="B40" s="13"/>
      <c r="C40" s="10"/>
      <c r="D40" s="10"/>
      <c r="E40" s="7"/>
      <c r="F40" s="22"/>
      <c r="G40" s="6">
        <f>+SUM(E$9:$E40)-SUM(F$9:$F40)</f>
        <v>169171000</v>
      </c>
    </row>
    <row r="41" spans="1:7" ht="28.8" x14ac:dyDescent="0.55000000000000004">
      <c r="A41" s="12"/>
      <c r="B41" s="13"/>
      <c r="C41" s="10"/>
      <c r="D41" s="10"/>
      <c r="E41" s="7"/>
      <c r="F41" s="22"/>
      <c r="G41" s="6">
        <f>+SUM(E$9:$E41)-SUM(F$9:$F41)</f>
        <v>169171000</v>
      </c>
    </row>
    <row r="42" spans="1:7" ht="28.8" x14ac:dyDescent="0.55000000000000004">
      <c r="A42" s="12"/>
      <c r="B42" s="13"/>
      <c r="C42" s="10"/>
      <c r="D42" s="10"/>
      <c r="E42" s="7"/>
      <c r="F42" s="22"/>
      <c r="G42" s="6">
        <f>+SUM(E$9:$E42)-SUM(F$9:$F42)</f>
        <v>169171000</v>
      </c>
    </row>
    <row r="43" spans="1:7" ht="28.8" x14ac:dyDescent="0.55000000000000004">
      <c r="A43" s="12"/>
      <c r="B43" s="13"/>
      <c r="C43" s="10"/>
      <c r="D43" s="10"/>
      <c r="E43" s="7"/>
      <c r="F43" s="22"/>
      <c r="G43" s="6">
        <f>+SUM(E$9:$E43)-SUM(F$9:$F43)</f>
        <v>169171000</v>
      </c>
    </row>
    <row r="44" spans="1:7" ht="28.8" x14ac:dyDescent="0.55000000000000004">
      <c r="A44" s="12"/>
      <c r="B44" s="13"/>
      <c r="C44" s="10"/>
      <c r="D44" s="10"/>
      <c r="E44" s="7"/>
      <c r="F44" s="22"/>
      <c r="G44" s="6">
        <f>+SUM(E$9:$E44)-SUM(F$9:$F44)</f>
        <v>169171000</v>
      </c>
    </row>
    <row r="45" spans="1:7" ht="28.8" x14ac:dyDescent="0.55000000000000004">
      <c r="A45" s="12"/>
      <c r="B45" s="13"/>
      <c r="C45" s="10"/>
      <c r="D45" s="10"/>
      <c r="E45" s="7"/>
      <c r="F45" s="22"/>
      <c r="G45" s="6">
        <f>+SUM(E$9:$E45)-SUM(F$9:$F45)</f>
        <v>169171000</v>
      </c>
    </row>
    <row r="46" spans="1:7" ht="28.8" x14ac:dyDescent="0.55000000000000004">
      <c r="A46" s="12"/>
      <c r="B46" s="13"/>
      <c r="C46" s="10"/>
      <c r="D46" s="10"/>
      <c r="E46" s="7"/>
      <c r="F46" s="22"/>
      <c r="G46" s="6">
        <f>+SUM(E$9:$E46)-SUM(F$9:$F46)</f>
        <v>169171000</v>
      </c>
    </row>
    <row r="47" spans="1:7" ht="28.8" x14ac:dyDescent="0.55000000000000004">
      <c r="A47" s="12"/>
      <c r="B47" s="13"/>
      <c r="C47" s="10"/>
      <c r="D47" s="10"/>
      <c r="E47" s="7"/>
      <c r="F47" s="22"/>
      <c r="G47" s="6">
        <f>+SUM(E$9:$E47)-SUM(F$9:$F47)</f>
        <v>169171000</v>
      </c>
    </row>
    <row r="48" spans="1:7" ht="28.8" x14ac:dyDescent="0.55000000000000004">
      <c r="A48" s="12"/>
      <c r="B48" s="13"/>
      <c r="C48" s="10"/>
      <c r="D48" s="10"/>
      <c r="E48" s="7"/>
      <c r="F48" s="22"/>
      <c r="G48" s="6">
        <f>+SUM(E$9:$E48)-SUM(F$9:$F48)</f>
        <v>169171000</v>
      </c>
    </row>
    <row r="49" spans="1:7" ht="28.8" x14ac:dyDescent="0.55000000000000004">
      <c r="A49" s="12"/>
      <c r="B49" s="13"/>
      <c r="C49" s="10"/>
      <c r="D49" s="10"/>
      <c r="E49" s="7"/>
      <c r="F49" s="22"/>
      <c r="G49" s="6">
        <f>+SUM(E$9:$E49)-SUM(F$9:$F49)</f>
        <v>169171000</v>
      </c>
    </row>
    <row r="50" spans="1:7" ht="28.8" x14ac:dyDescent="0.55000000000000004">
      <c r="A50" s="12"/>
      <c r="B50" s="13"/>
      <c r="C50" s="10"/>
      <c r="D50" s="10"/>
      <c r="E50" s="7"/>
      <c r="F50" s="22"/>
      <c r="G50" s="6">
        <f>+SUM(E$9:$E50)-SUM(F$9:$F50)</f>
        <v>169171000</v>
      </c>
    </row>
    <row r="51" spans="1:7" ht="28.8" x14ac:dyDescent="0.55000000000000004">
      <c r="A51" s="12"/>
      <c r="B51" s="13"/>
      <c r="C51" s="10"/>
      <c r="D51" s="10"/>
      <c r="E51" s="7"/>
      <c r="F51" s="22"/>
      <c r="G51" s="6">
        <f>+SUM(E$9:$E51)-SUM(F$9:$F51)</f>
        <v>169171000</v>
      </c>
    </row>
    <row r="52" spans="1:7" ht="28.8" x14ac:dyDescent="0.55000000000000004">
      <c r="A52" s="12"/>
      <c r="B52" s="13"/>
      <c r="C52" s="10"/>
      <c r="D52" s="10"/>
      <c r="E52" s="7"/>
      <c r="F52" s="22"/>
      <c r="G52" s="6">
        <f>+SUM(E$9:$E52)-SUM(F$9:$F52)</f>
        <v>169171000</v>
      </c>
    </row>
    <row r="53" spans="1:7" ht="28.8" x14ac:dyDescent="0.55000000000000004">
      <c r="A53" s="12"/>
      <c r="B53" s="13"/>
      <c r="C53" s="10"/>
      <c r="D53" s="10"/>
      <c r="E53" s="7"/>
      <c r="F53" s="22"/>
      <c r="G53" s="6">
        <f>+SUM(E$9:$E53)-SUM(F$9:$F53)</f>
        <v>169171000</v>
      </c>
    </row>
    <row r="54" spans="1:7" ht="28.8" x14ac:dyDescent="0.55000000000000004">
      <c r="A54" s="12"/>
      <c r="B54" s="13"/>
      <c r="C54" s="10"/>
      <c r="D54" s="10"/>
      <c r="E54" s="7"/>
      <c r="F54" s="22"/>
      <c r="G54" s="6">
        <f>+SUM(E$9:$E54)-SUM(F$9:$F54)</f>
        <v>169171000</v>
      </c>
    </row>
    <row r="55" spans="1:7" ht="28.8" x14ac:dyDescent="0.55000000000000004">
      <c r="A55" s="12"/>
      <c r="B55" s="13"/>
      <c r="C55" s="10"/>
      <c r="D55" s="10"/>
      <c r="E55" s="7"/>
      <c r="F55" s="22"/>
      <c r="G55" s="6">
        <f>+SUM(E$9:$E55)-SUM(F$9:$F55)</f>
        <v>169171000</v>
      </c>
    </row>
    <row r="56" spans="1:7" ht="28.8" x14ac:dyDescent="0.55000000000000004">
      <c r="A56" s="12"/>
      <c r="B56" s="13"/>
      <c r="C56" s="10"/>
      <c r="D56" s="10"/>
      <c r="E56" s="7"/>
      <c r="F56" s="22"/>
      <c r="G56" s="6">
        <f>+SUM(E$9:$E56)-SUM(F$9:$F56)</f>
        <v>169171000</v>
      </c>
    </row>
    <row r="57" spans="1:7" ht="28.8" x14ac:dyDescent="0.55000000000000004">
      <c r="A57" s="12"/>
      <c r="B57" s="13"/>
      <c r="C57" s="10"/>
      <c r="D57" s="10"/>
      <c r="E57" s="7"/>
      <c r="F57" s="22"/>
      <c r="G57" s="6">
        <f>+SUM(E$9:$E57)-SUM(F$9:$F57)</f>
        <v>169171000</v>
      </c>
    </row>
    <row r="58" spans="1:7" ht="28.8" x14ac:dyDescent="0.55000000000000004">
      <c r="A58" s="12"/>
      <c r="B58" s="13"/>
      <c r="C58" s="10"/>
      <c r="D58" s="10"/>
      <c r="E58" s="7"/>
      <c r="F58" s="22"/>
      <c r="G58" s="6">
        <f>+SUM(E$9:$E58)-SUM(F$9:$F58)</f>
        <v>169171000</v>
      </c>
    </row>
    <row r="59" spans="1:7" ht="28.8" x14ac:dyDescent="0.55000000000000004">
      <c r="A59" s="12"/>
      <c r="B59" s="13"/>
      <c r="C59" s="10"/>
      <c r="D59" s="10"/>
      <c r="E59" s="7"/>
      <c r="F59" s="22"/>
      <c r="G59" s="6">
        <f>+SUM(E$9:$E59)-SUM(F$9:$F59)</f>
        <v>169171000</v>
      </c>
    </row>
    <row r="60" spans="1:7" ht="28.8" x14ac:dyDescent="0.55000000000000004">
      <c r="A60" s="12"/>
      <c r="B60" s="13"/>
      <c r="C60" s="10"/>
      <c r="D60" s="10"/>
      <c r="E60" s="7"/>
      <c r="F60" s="22"/>
      <c r="G60" s="6">
        <f>+SUM(E$9:$E60)-SUM(F$9:$F60)</f>
        <v>169171000</v>
      </c>
    </row>
    <row r="61" spans="1:7" ht="28.8" x14ac:dyDescent="0.55000000000000004">
      <c r="A61" s="12"/>
      <c r="B61" s="13"/>
      <c r="C61" s="10"/>
      <c r="D61" s="10"/>
      <c r="E61" s="7"/>
      <c r="F61" s="22"/>
      <c r="G61" s="6">
        <f>+SUM(E$9:$E61)-SUM(F$9:$F61)</f>
        <v>169171000</v>
      </c>
    </row>
    <row r="62" spans="1:7" ht="28.8" x14ac:dyDescent="0.55000000000000004">
      <c r="A62" s="12"/>
      <c r="B62" s="13"/>
      <c r="C62" s="10"/>
      <c r="D62" s="10"/>
      <c r="E62" s="7"/>
      <c r="F62" s="22"/>
      <c r="G62" s="6">
        <f>+SUM(E$9:$E62)-SUM(F$9:$F62)</f>
        <v>169171000</v>
      </c>
    </row>
    <row r="63" spans="1:7" ht="28.8" x14ac:dyDescent="0.55000000000000004">
      <c r="A63" s="12"/>
      <c r="B63" s="13"/>
      <c r="C63" s="10"/>
      <c r="D63" s="10"/>
      <c r="E63" s="7"/>
      <c r="F63" s="22"/>
      <c r="G63" s="6">
        <f>+SUM(E$9:$E63)-SUM(F$9:$F63)</f>
        <v>169171000</v>
      </c>
    </row>
    <row r="64" spans="1:7" ht="28.8" x14ac:dyDescent="0.55000000000000004">
      <c r="A64" s="12"/>
      <c r="B64" s="13"/>
      <c r="C64" s="10"/>
      <c r="D64" s="10"/>
      <c r="E64" s="7"/>
      <c r="F64" s="22"/>
      <c r="G64" s="6">
        <f>+SUM(E$9:$E64)-SUM(F$9:$F64)</f>
        <v>169171000</v>
      </c>
    </row>
    <row r="65" spans="1:7" ht="28.8" x14ac:dyDescent="0.55000000000000004">
      <c r="A65" s="12"/>
      <c r="B65" s="13"/>
      <c r="C65" s="10"/>
      <c r="D65" s="10"/>
      <c r="E65" s="7"/>
      <c r="F65" s="22"/>
      <c r="G65" s="6">
        <f>+SUM(E$9:$E65)-SUM(F$9:$F65)</f>
        <v>169171000</v>
      </c>
    </row>
    <row r="66" spans="1:7" ht="28.8" x14ac:dyDescent="0.55000000000000004">
      <c r="A66" s="12"/>
      <c r="B66" s="13"/>
      <c r="C66" s="10"/>
      <c r="D66" s="10"/>
      <c r="E66" s="7"/>
      <c r="F66" s="22"/>
      <c r="G66" s="6">
        <f>+SUM(E$9:$E66)-SUM(F$9:$F66)</f>
        <v>169171000</v>
      </c>
    </row>
    <row r="67" spans="1:7" ht="28.8" x14ac:dyDescent="0.55000000000000004">
      <c r="A67" s="12"/>
      <c r="B67" s="13"/>
      <c r="C67" s="10"/>
      <c r="D67" s="10"/>
      <c r="E67" s="7"/>
      <c r="F67" s="22"/>
      <c r="G67" s="6">
        <f>+SUM(E$9:$E67)-SUM(F$9:$F67)</f>
        <v>169171000</v>
      </c>
    </row>
    <row r="68" spans="1:7" ht="28.8" x14ac:dyDescent="0.55000000000000004">
      <c r="A68" s="12"/>
      <c r="B68" s="13"/>
      <c r="C68" s="10"/>
      <c r="D68" s="10"/>
      <c r="E68" s="7"/>
      <c r="F68" s="22"/>
      <c r="G68" s="6">
        <f>+SUM(E$9:$E68)-SUM(F$9:$F68)</f>
        <v>169171000</v>
      </c>
    </row>
    <row r="69" spans="1:7" ht="28.8" x14ac:dyDescent="0.55000000000000004">
      <c r="A69" s="12"/>
      <c r="B69" s="13"/>
      <c r="C69" s="10"/>
      <c r="D69" s="10"/>
      <c r="E69" s="7"/>
      <c r="F69" s="22"/>
      <c r="G69" s="6">
        <f>+SUM(E$9:$E69)-SUM(F$9:$F69)</f>
        <v>169171000</v>
      </c>
    </row>
    <row r="70" spans="1:7" ht="28.8" x14ac:dyDescent="0.55000000000000004">
      <c r="A70" s="12"/>
      <c r="B70" s="13"/>
      <c r="C70" s="10"/>
      <c r="D70" s="10"/>
      <c r="E70" s="7"/>
      <c r="F70" s="22"/>
      <c r="G70" s="6">
        <f>+SUM(E$9:$E70)-SUM(F$9:$F70)</f>
        <v>169171000</v>
      </c>
    </row>
    <row r="71" spans="1:7" ht="28.8" x14ac:dyDescent="0.55000000000000004">
      <c r="A71" s="12"/>
      <c r="B71" s="13"/>
      <c r="C71" s="10"/>
      <c r="D71" s="10"/>
      <c r="E71" s="7"/>
      <c r="F71" s="22"/>
      <c r="G71" s="6">
        <f>+SUM(E$9:$E71)-SUM(F$9:$F71)</f>
        <v>169171000</v>
      </c>
    </row>
    <row r="72" spans="1:7" ht="28.8" x14ac:dyDescent="0.55000000000000004">
      <c r="A72" s="12"/>
      <c r="B72" s="13"/>
      <c r="C72" s="10"/>
      <c r="D72" s="10"/>
      <c r="E72" s="7"/>
      <c r="F72" s="22"/>
      <c r="G72" s="6">
        <f>+SUM(E$9:$E72)-SUM(F$9:$F72)</f>
        <v>169171000</v>
      </c>
    </row>
    <row r="73" spans="1:7" ht="28.8" x14ac:dyDescent="0.55000000000000004">
      <c r="A73" s="12"/>
      <c r="B73" s="13"/>
      <c r="C73" s="10"/>
      <c r="D73" s="10"/>
      <c r="E73" s="7"/>
      <c r="F73" s="22"/>
      <c r="G73" s="6">
        <f>+SUM(E$9:$E73)-SUM(F$9:$F73)</f>
        <v>169171000</v>
      </c>
    </row>
    <row r="74" spans="1:7" ht="28.8" x14ac:dyDescent="0.55000000000000004">
      <c r="A74" s="12"/>
      <c r="B74" s="13"/>
      <c r="C74" s="10"/>
      <c r="D74" s="10"/>
      <c r="E74" s="7"/>
      <c r="F74" s="22"/>
      <c r="G74" s="6">
        <f>+SUM(E$9:$E74)-SUM(F$9:$F74)</f>
        <v>169171000</v>
      </c>
    </row>
    <row r="75" spans="1:7" ht="28.8" x14ac:dyDescent="0.55000000000000004">
      <c r="A75" s="12"/>
      <c r="B75" s="13"/>
      <c r="C75" s="10"/>
      <c r="D75" s="10"/>
      <c r="E75" s="7"/>
      <c r="F75" s="22"/>
      <c r="G75" s="6">
        <f>+SUM(E$9:$E75)-SUM(F$9:$F75)</f>
        <v>169171000</v>
      </c>
    </row>
    <row r="76" spans="1:7" ht="28.8" x14ac:dyDescent="0.55000000000000004">
      <c r="A76" s="12"/>
      <c r="B76" s="13"/>
      <c r="C76" s="10"/>
      <c r="D76" s="10"/>
      <c r="E76" s="7"/>
      <c r="F76" s="22"/>
      <c r="G76" s="6">
        <f>+SUM(E$9:$E76)-SUM(F$9:$F76)</f>
        <v>169171000</v>
      </c>
    </row>
    <row r="77" spans="1:7" ht="28.8" x14ac:dyDescent="0.55000000000000004">
      <c r="A77" s="12"/>
      <c r="B77" s="13"/>
      <c r="C77" s="10"/>
      <c r="D77" s="10"/>
      <c r="E77" s="7"/>
      <c r="F77" s="22"/>
      <c r="G77" s="6">
        <f>+SUM(E$9:$E77)-SUM(F$9:$F77)</f>
        <v>169171000</v>
      </c>
    </row>
    <row r="78" spans="1:7" ht="28.8" x14ac:dyDescent="0.55000000000000004">
      <c r="A78" s="12"/>
      <c r="B78" s="13"/>
      <c r="C78" s="10"/>
      <c r="D78" s="10"/>
      <c r="E78" s="7"/>
      <c r="F78" s="22"/>
      <c r="G78" s="6">
        <f>+SUM(E$9:$E78)-SUM(F$9:$F78)</f>
        <v>169171000</v>
      </c>
    </row>
    <row r="79" spans="1:7" ht="28.8" x14ac:dyDescent="0.55000000000000004">
      <c r="A79" s="12"/>
      <c r="B79" s="13"/>
      <c r="C79" s="10"/>
      <c r="D79" s="10"/>
      <c r="E79" s="7"/>
      <c r="F79" s="22"/>
      <c r="G79" s="6">
        <f>+SUM(E$9:$E79)-SUM(F$9:$F79)</f>
        <v>169171000</v>
      </c>
    </row>
    <row r="80" spans="1:7" ht="28.8" x14ac:dyDescent="0.55000000000000004">
      <c r="A80" s="12"/>
      <c r="B80" s="13"/>
      <c r="C80" s="10"/>
      <c r="D80" s="10"/>
      <c r="E80" s="7"/>
      <c r="F80" s="22"/>
      <c r="G80" s="6">
        <f>+SUM(E$9:$E80)-SUM(F$9:$F80)</f>
        <v>169171000</v>
      </c>
    </row>
    <row r="81" spans="1:7" ht="28.8" x14ac:dyDescent="0.55000000000000004">
      <c r="A81" s="12"/>
      <c r="B81" s="13"/>
      <c r="C81" s="10"/>
      <c r="D81" s="10"/>
      <c r="E81" s="7"/>
      <c r="F81" s="22"/>
      <c r="G81" s="6">
        <f>+SUM(E$9:$E81)-SUM(F$9:$F81)</f>
        <v>169171000</v>
      </c>
    </row>
    <row r="82" spans="1:7" ht="28.8" x14ac:dyDescent="0.55000000000000004">
      <c r="A82" s="12"/>
      <c r="B82" s="13"/>
      <c r="C82" s="10"/>
      <c r="D82" s="10"/>
      <c r="E82" s="7"/>
      <c r="F82" s="22"/>
      <c r="G82" s="6">
        <f>+SUM(E$9:$E82)-SUM(F$9:$F82)</f>
        <v>169171000</v>
      </c>
    </row>
    <row r="83" spans="1:7" ht="28.8" x14ac:dyDescent="0.55000000000000004">
      <c r="A83" s="12"/>
      <c r="B83" s="13"/>
      <c r="C83" s="10"/>
      <c r="D83" s="10"/>
      <c r="E83" s="7"/>
      <c r="F83" s="22"/>
      <c r="G83" s="6">
        <f>+SUM(E$9:$E83)-SUM(F$9:$F83)</f>
        <v>169171000</v>
      </c>
    </row>
    <row r="84" spans="1:7" ht="28.8" x14ac:dyDescent="0.55000000000000004">
      <c r="A84" s="12"/>
      <c r="B84" s="13"/>
      <c r="C84" s="10"/>
      <c r="D84" s="10"/>
      <c r="E84" s="7"/>
      <c r="F84" s="22"/>
      <c r="G84" s="6">
        <f>+SUM(E$9:$E84)-SUM(F$9:$F84)</f>
        <v>169171000</v>
      </c>
    </row>
    <row r="85" spans="1:7" ht="28.8" x14ac:dyDescent="0.55000000000000004">
      <c r="A85" s="12"/>
      <c r="B85" s="13"/>
      <c r="C85" s="10"/>
      <c r="D85" s="10"/>
      <c r="E85" s="7"/>
      <c r="F85" s="22"/>
      <c r="G85" s="6">
        <f>+SUM(E$9:$E85)-SUM(F$9:$F85)</f>
        <v>169171000</v>
      </c>
    </row>
    <row r="86" spans="1:7" ht="28.8" x14ac:dyDescent="0.55000000000000004">
      <c r="A86" s="12"/>
      <c r="B86" s="13"/>
      <c r="C86" s="10"/>
      <c r="D86" s="10"/>
      <c r="E86" s="7"/>
      <c r="F86" s="22"/>
      <c r="G86" s="6">
        <f>+SUM(E$9:$E86)-SUM(F$9:$F86)</f>
        <v>169171000</v>
      </c>
    </row>
    <row r="87" spans="1:7" ht="28.8" x14ac:dyDescent="0.55000000000000004">
      <c r="A87" s="12"/>
      <c r="B87" s="13"/>
      <c r="C87" s="10"/>
      <c r="D87" s="10"/>
      <c r="E87" s="7"/>
      <c r="F87" s="22"/>
      <c r="G87" s="6">
        <f>+SUM(E$9:$E87)-SUM(F$9:$F87)</f>
        <v>169171000</v>
      </c>
    </row>
    <row r="88" spans="1:7" ht="28.8" x14ac:dyDescent="0.55000000000000004">
      <c r="A88" s="12"/>
      <c r="B88" s="13"/>
      <c r="C88" s="10"/>
      <c r="D88" s="10"/>
      <c r="E88" s="7"/>
      <c r="F88" s="22"/>
      <c r="G88" s="6">
        <f>+SUM(E$9:$E88)-SUM(F$9:$F88)</f>
        <v>169171000</v>
      </c>
    </row>
    <row r="89" spans="1:7" ht="28.8" x14ac:dyDescent="0.55000000000000004">
      <c r="A89" s="12"/>
      <c r="B89" s="13"/>
      <c r="C89" s="10"/>
      <c r="D89" s="10"/>
      <c r="E89" s="7"/>
      <c r="F89" s="22"/>
      <c r="G89" s="6">
        <f>+SUM(E$9:$E89)-SUM(F$9:$F89)</f>
        <v>169171000</v>
      </c>
    </row>
    <row r="90" spans="1:7" ht="28.8" x14ac:dyDescent="0.55000000000000004">
      <c r="A90" s="12"/>
      <c r="B90" s="13"/>
      <c r="C90" s="10"/>
      <c r="D90" s="10"/>
      <c r="E90" s="7"/>
      <c r="F90" s="22"/>
      <c r="G90" s="6">
        <f>+SUM(E$9:$E90)-SUM(F$9:$F90)</f>
        <v>169171000</v>
      </c>
    </row>
    <row r="91" spans="1:7" ht="28.8" x14ac:dyDescent="0.55000000000000004">
      <c r="A91" s="12"/>
      <c r="B91" s="13"/>
      <c r="C91" s="10"/>
      <c r="D91" s="10"/>
      <c r="E91" s="7"/>
      <c r="F91" s="22"/>
      <c r="G91" s="6">
        <f>+SUM(E$9:$E91)-SUM(F$9:$F91)</f>
        <v>169171000</v>
      </c>
    </row>
    <row r="92" spans="1:7" ht="28.8" x14ac:dyDescent="0.55000000000000004">
      <c r="A92" s="12"/>
      <c r="B92" s="13"/>
      <c r="C92" s="10"/>
      <c r="D92" s="10"/>
      <c r="E92" s="7"/>
      <c r="F92" s="22"/>
      <c r="G92" s="6">
        <f>+SUM(E$9:$E92)-SUM(F$9:$F92)</f>
        <v>169171000</v>
      </c>
    </row>
    <row r="93" spans="1:7" ht="28.8" x14ac:dyDescent="0.55000000000000004">
      <c r="A93" s="12"/>
      <c r="B93" s="13"/>
      <c r="C93" s="10"/>
      <c r="D93" s="10"/>
      <c r="E93" s="7"/>
      <c r="F93" s="22"/>
      <c r="G93" s="6">
        <f>+SUM(E$9:$E93)-SUM(F$9:$F93)</f>
        <v>169171000</v>
      </c>
    </row>
    <row r="94" spans="1:7" ht="28.8" x14ac:dyDescent="0.55000000000000004">
      <c r="A94" s="12"/>
      <c r="B94" s="13"/>
      <c r="C94" s="10"/>
      <c r="D94" s="10"/>
      <c r="E94" s="7"/>
      <c r="F94" s="22"/>
      <c r="G94" s="6">
        <f>+SUM(E$9:$E94)-SUM(F$9:$F94)</f>
        <v>169171000</v>
      </c>
    </row>
    <row r="95" spans="1:7" ht="28.8" x14ac:dyDescent="0.55000000000000004">
      <c r="A95" s="12"/>
      <c r="B95" s="13"/>
      <c r="C95" s="10"/>
      <c r="D95" s="10"/>
      <c r="E95" s="7"/>
      <c r="F95" s="22"/>
      <c r="G95" s="6">
        <f>+SUM(E$9:$E95)-SUM(F$9:$F95)</f>
        <v>169171000</v>
      </c>
    </row>
    <row r="96" spans="1:7" ht="28.8" x14ac:dyDescent="0.55000000000000004">
      <c r="A96" s="12"/>
      <c r="B96" s="13"/>
      <c r="C96" s="10"/>
      <c r="D96" s="10"/>
      <c r="E96" s="7"/>
      <c r="F96" s="22"/>
      <c r="G96" s="6">
        <f>+SUM(E$9:$E96)-SUM(F$9:$F96)</f>
        <v>169171000</v>
      </c>
    </row>
    <row r="97" spans="1:7" ht="28.8" x14ac:dyDescent="0.55000000000000004">
      <c r="A97" s="12"/>
      <c r="B97" s="13"/>
      <c r="C97" s="10"/>
      <c r="D97" s="10"/>
      <c r="E97" s="7"/>
      <c r="F97" s="22"/>
      <c r="G97" s="6">
        <f>+SUM(E$9:$E97)-SUM(F$9:$F97)</f>
        <v>169171000</v>
      </c>
    </row>
    <row r="98" spans="1:7" ht="28.8" x14ac:dyDescent="0.55000000000000004">
      <c r="A98" s="12"/>
      <c r="B98" s="13"/>
      <c r="C98" s="10"/>
      <c r="D98" s="10"/>
      <c r="E98" s="7"/>
      <c r="F98" s="22"/>
      <c r="G98" s="6">
        <f>+SUM(E$9:$E98)-SUM(F$9:$F98)</f>
        <v>169171000</v>
      </c>
    </row>
    <row r="99" spans="1:7" ht="28.8" x14ac:dyDescent="0.55000000000000004">
      <c r="A99" s="12"/>
      <c r="B99" s="13"/>
      <c r="C99" s="10"/>
      <c r="D99" s="10"/>
      <c r="E99" s="7"/>
      <c r="F99" s="22"/>
      <c r="G99" s="6">
        <f>+SUM(E$9:$E99)-SUM(F$9:$F99)</f>
        <v>169171000</v>
      </c>
    </row>
    <row r="100" spans="1:7" ht="28.8" x14ac:dyDescent="0.55000000000000004">
      <c r="A100" s="12"/>
      <c r="B100" s="13"/>
      <c r="C100" s="10"/>
      <c r="D100" s="10"/>
      <c r="E100" s="7"/>
      <c r="F100" s="22"/>
      <c r="G100" s="6">
        <f>+SUM(E$9:$E100)-SUM(F$9:$F100)</f>
        <v>169171000</v>
      </c>
    </row>
    <row r="101" spans="1:7" ht="28.8" x14ac:dyDescent="0.55000000000000004">
      <c r="A101" s="12"/>
      <c r="B101" s="13"/>
      <c r="C101" s="10"/>
      <c r="D101" s="10"/>
      <c r="E101" s="7"/>
      <c r="F101" s="22"/>
      <c r="G101" s="6">
        <f>+SUM(E$9:$E101)-SUM(F$9:$F101)</f>
        <v>169171000</v>
      </c>
    </row>
    <row r="102" spans="1:7" ht="28.8" x14ac:dyDescent="0.55000000000000004">
      <c r="A102" s="12"/>
      <c r="B102" s="13"/>
      <c r="C102" s="10"/>
      <c r="D102" s="10"/>
      <c r="E102" s="7"/>
      <c r="F102" s="22"/>
      <c r="G102" s="6">
        <f>+SUM(E$9:$E102)-SUM(F$9:$F102)</f>
        <v>169171000</v>
      </c>
    </row>
    <row r="103" spans="1:7" ht="28.8" x14ac:dyDescent="0.55000000000000004">
      <c r="A103" s="12"/>
      <c r="B103" s="13"/>
      <c r="C103" s="10"/>
      <c r="D103" s="10"/>
      <c r="E103" s="7"/>
      <c r="F103" s="22"/>
      <c r="G103" s="6">
        <f>+SUM(E$9:$E103)-SUM(F$9:$F103)</f>
        <v>169171000</v>
      </c>
    </row>
    <row r="104" spans="1:7" ht="28.8" x14ac:dyDescent="0.55000000000000004">
      <c r="A104" s="12"/>
      <c r="B104" s="13"/>
      <c r="C104" s="10"/>
      <c r="D104" s="10"/>
      <c r="E104" s="7"/>
      <c r="F104" s="22"/>
      <c r="G104" s="6">
        <f>+SUM(E$9:$E104)-SUM(F$9:$F104)</f>
        <v>169171000</v>
      </c>
    </row>
    <row r="105" spans="1:7" ht="28.8" x14ac:dyDescent="0.55000000000000004">
      <c r="A105" s="12"/>
      <c r="B105" s="13"/>
      <c r="C105" s="10"/>
      <c r="D105" s="10"/>
      <c r="E105" s="7"/>
      <c r="F105" s="22"/>
      <c r="G105" s="6">
        <f>+SUM(E$9:$E105)-SUM(F$9:$F105)</f>
        <v>169171000</v>
      </c>
    </row>
    <row r="106" spans="1:7" ht="28.8" x14ac:dyDescent="0.55000000000000004">
      <c r="A106" s="12"/>
      <c r="B106" s="13"/>
      <c r="C106" s="10"/>
      <c r="D106" s="10"/>
      <c r="E106" s="7"/>
      <c r="F106" s="22"/>
      <c r="G106" s="6">
        <f>+SUM(E$9:$E106)-SUM(F$9:$F106)</f>
        <v>169171000</v>
      </c>
    </row>
    <row r="107" spans="1:7" ht="28.8" x14ac:dyDescent="0.55000000000000004">
      <c r="A107" s="12"/>
      <c r="B107" s="13"/>
      <c r="C107" s="10"/>
      <c r="D107" s="10"/>
      <c r="E107" s="7"/>
      <c r="F107" s="22"/>
      <c r="G107" s="6">
        <f>+SUM(E$9:$E107)-SUM(F$9:$F107)</f>
        <v>169171000</v>
      </c>
    </row>
    <row r="108" spans="1:7" ht="28.8" x14ac:dyDescent="0.55000000000000004">
      <c r="A108" s="12"/>
      <c r="B108" s="13"/>
      <c r="C108" s="10"/>
      <c r="D108" s="10"/>
      <c r="E108" s="7"/>
      <c r="F108" s="22"/>
      <c r="G108" s="6">
        <f>+SUM(E$9:$E108)-SUM(F$9:$F108)</f>
        <v>169171000</v>
      </c>
    </row>
    <row r="109" spans="1:7" ht="28.8" x14ac:dyDescent="0.55000000000000004">
      <c r="A109" s="12"/>
      <c r="B109" s="13"/>
      <c r="C109" s="10"/>
      <c r="D109" s="10"/>
      <c r="E109" s="7"/>
      <c r="F109" s="22"/>
      <c r="G109" s="6">
        <f>+SUM(E$9:$E109)-SUM(F$9:$F109)</f>
        <v>169171000</v>
      </c>
    </row>
    <row r="110" spans="1:7" ht="28.8" x14ac:dyDescent="0.55000000000000004">
      <c r="A110" s="12"/>
      <c r="B110" s="13"/>
      <c r="C110" s="10"/>
      <c r="D110" s="10"/>
      <c r="E110" s="7"/>
      <c r="F110" s="22"/>
      <c r="G110" s="6">
        <f>+SUM(E$9:$E110)-SUM(F$9:$F110)</f>
        <v>169171000</v>
      </c>
    </row>
    <row r="111" spans="1:7" ht="28.8" x14ac:dyDescent="0.55000000000000004">
      <c r="A111" s="12"/>
      <c r="B111" s="13"/>
      <c r="C111" s="10"/>
      <c r="D111" s="10"/>
      <c r="E111" s="7"/>
      <c r="F111" s="22"/>
      <c r="G111" s="6">
        <f>+SUM(E$9:$E111)-SUM(F$9:$F111)</f>
        <v>169171000</v>
      </c>
    </row>
    <row r="112" spans="1:7" ht="28.8" x14ac:dyDescent="0.55000000000000004">
      <c r="A112" s="12"/>
      <c r="B112" s="13"/>
      <c r="C112" s="10"/>
      <c r="D112" s="10"/>
      <c r="E112" s="7"/>
      <c r="F112" s="22"/>
      <c r="G112" s="6">
        <f>+SUM(E$9:$E112)-SUM(F$9:$F112)</f>
        <v>169171000</v>
      </c>
    </row>
    <row r="113" spans="1:7" ht="28.8" x14ac:dyDescent="0.55000000000000004">
      <c r="A113" s="12"/>
      <c r="B113" s="13"/>
      <c r="C113" s="10"/>
      <c r="D113" s="10"/>
      <c r="E113" s="7"/>
      <c r="F113" s="22"/>
      <c r="G113" s="6">
        <f>+SUM(E$9:$E113)-SUM(F$9:$F113)</f>
        <v>169171000</v>
      </c>
    </row>
    <row r="114" spans="1:7" ht="28.8" x14ac:dyDescent="0.55000000000000004">
      <c r="A114" s="12"/>
      <c r="B114" s="13"/>
      <c r="C114" s="10"/>
      <c r="D114" s="10"/>
      <c r="E114" s="7"/>
      <c r="F114" s="22"/>
      <c r="G114" s="6">
        <f>+SUM(E$9:$E114)-SUM(F$9:$F114)</f>
        <v>169171000</v>
      </c>
    </row>
    <row r="115" spans="1:7" ht="28.8" x14ac:dyDescent="0.55000000000000004">
      <c r="A115" s="12"/>
      <c r="B115" s="13"/>
      <c r="C115" s="10"/>
      <c r="D115" s="10"/>
      <c r="E115" s="7"/>
      <c r="F115" s="22"/>
      <c r="G115" s="6">
        <f>+SUM(E$9:$E115)-SUM(F$9:$F115)</f>
        <v>169171000</v>
      </c>
    </row>
    <row r="116" spans="1:7" ht="28.8" x14ac:dyDescent="0.55000000000000004">
      <c r="A116" s="12"/>
      <c r="B116" s="13"/>
      <c r="C116" s="10"/>
      <c r="D116" s="10"/>
      <c r="E116" s="7"/>
      <c r="F116" s="22"/>
      <c r="G116" s="6">
        <f>+SUM(E$9:$E116)-SUM(F$9:$F116)</f>
        <v>169171000</v>
      </c>
    </row>
    <row r="117" spans="1:7" ht="28.8" x14ac:dyDescent="0.55000000000000004">
      <c r="A117" s="12"/>
      <c r="B117" s="13"/>
      <c r="C117" s="10"/>
      <c r="D117" s="10"/>
      <c r="E117" s="7"/>
      <c r="F117" s="22"/>
      <c r="G117" s="6">
        <f>+SUM(E$9:$E117)-SUM(F$9:$F117)</f>
        <v>169171000</v>
      </c>
    </row>
    <row r="118" spans="1:7" ht="28.8" x14ac:dyDescent="0.55000000000000004">
      <c r="A118" s="12"/>
      <c r="B118" s="13"/>
      <c r="C118" s="10"/>
      <c r="D118" s="10"/>
      <c r="E118" s="7"/>
      <c r="F118" s="22"/>
      <c r="G118" s="6">
        <f>+SUM(E$9:$E118)-SUM(F$9:$F118)</f>
        <v>169171000</v>
      </c>
    </row>
    <row r="119" spans="1:7" ht="28.8" x14ac:dyDescent="0.55000000000000004">
      <c r="A119" s="12"/>
      <c r="B119" s="13"/>
      <c r="C119" s="10"/>
      <c r="D119" s="10"/>
      <c r="E119" s="7"/>
      <c r="F119" s="22"/>
      <c r="G119" s="6">
        <f>+SUM(E$9:$E119)-SUM(F$9:$F119)</f>
        <v>169171000</v>
      </c>
    </row>
    <row r="120" spans="1:7" ht="28.8" x14ac:dyDescent="0.55000000000000004">
      <c r="A120" s="12"/>
      <c r="B120" s="13"/>
      <c r="C120" s="10"/>
      <c r="D120" s="10"/>
      <c r="E120" s="7"/>
      <c r="F120" s="22"/>
      <c r="G120" s="6">
        <f>+SUM(E$9:$E120)-SUM(F$9:$F120)</f>
        <v>169171000</v>
      </c>
    </row>
    <row r="121" spans="1:7" ht="28.8" x14ac:dyDescent="0.55000000000000004">
      <c r="A121" s="12"/>
      <c r="B121" s="13"/>
      <c r="C121" s="10"/>
      <c r="D121" s="10"/>
      <c r="E121" s="7"/>
      <c r="F121" s="22"/>
      <c r="G121" s="6">
        <f>+SUM(E$9:$E121)-SUM(F$9:$F121)</f>
        <v>169171000</v>
      </c>
    </row>
    <row r="122" spans="1:7" ht="28.8" x14ac:dyDescent="0.55000000000000004">
      <c r="A122" s="12"/>
      <c r="B122" s="13"/>
      <c r="C122" s="10"/>
      <c r="D122" s="10"/>
      <c r="E122" s="7"/>
      <c r="F122" s="22"/>
      <c r="G122" s="6">
        <f>+SUM(E$9:$E122)-SUM(F$9:$F122)</f>
        <v>169171000</v>
      </c>
    </row>
    <row r="123" spans="1:7" ht="28.8" x14ac:dyDescent="0.55000000000000004">
      <c r="A123" s="12"/>
      <c r="B123" s="13"/>
      <c r="C123" s="10"/>
      <c r="D123" s="10"/>
      <c r="E123" s="7"/>
      <c r="F123" s="22"/>
      <c r="G123" s="6">
        <f>+SUM(E$9:$E123)-SUM(F$9:$F123)</f>
        <v>169171000</v>
      </c>
    </row>
    <row r="124" spans="1:7" ht="28.8" x14ac:dyDescent="0.55000000000000004">
      <c r="A124" s="12"/>
      <c r="B124" s="13"/>
      <c r="C124" s="10"/>
      <c r="D124" s="10"/>
      <c r="E124" s="7"/>
      <c r="F124" s="22"/>
      <c r="G124" s="6">
        <f>+SUM(E$9:$E124)-SUM(F$9:$F124)</f>
        <v>169171000</v>
      </c>
    </row>
    <row r="125" spans="1:7" ht="28.8" x14ac:dyDescent="0.55000000000000004">
      <c r="A125" s="12"/>
      <c r="B125" s="13"/>
      <c r="C125" s="10"/>
      <c r="D125" s="10"/>
      <c r="E125" s="7"/>
      <c r="F125" s="22"/>
      <c r="G125" s="6">
        <f>+SUM(E$9:$E125)-SUM(F$9:$F125)</f>
        <v>169171000</v>
      </c>
    </row>
    <row r="126" spans="1:7" ht="28.8" x14ac:dyDescent="0.55000000000000004">
      <c r="A126" s="12"/>
      <c r="B126" s="13"/>
      <c r="C126" s="10"/>
      <c r="D126" s="10"/>
      <c r="E126" s="7"/>
      <c r="F126" s="22"/>
      <c r="G126" s="6">
        <f>+SUM(E$9:$E126)-SUM(F$9:$F126)</f>
        <v>169171000</v>
      </c>
    </row>
    <row r="127" spans="1:7" ht="28.8" x14ac:dyDescent="0.55000000000000004">
      <c r="A127" s="12"/>
      <c r="B127" s="13"/>
      <c r="C127" s="10"/>
      <c r="D127" s="10"/>
      <c r="E127" s="7"/>
      <c r="F127" s="22"/>
      <c r="G127" s="6">
        <f>+SUM(E$9:$E127)-SUM(F$9:$F127)</f>
        <v>169171000</v>
      </c>
    </row>
    <row r="128" spans="1:7" ht="28.8" x14ac:dyDescent="0.55000000000000004">
      <c r="A128" s="12"/>
      <c r="B128" s="13"/>
      <c r="C128" s="10"/>
      <c r="D128" s="10"/>
      <c r="E128" s="7"/>
      <c r="F128" s="22"/>
      <c r="G128" s="6">
        <f>+SUM(E$9:$E128)-SUM(F$9:$F128)</f>
        <v>169171000</v>
      </c>
    </row>
    <row r="129" spans="1:7" ht="28.8" x14ac:dyDescent="0.55000000000000004">
      <c r="A129" s="12"/>
      <c r="B129" s="13"/>
      <c r="C129" s="10"/>
      <c r="D129" s="10"/>
      <c r="E129" s="7"/>
      <c r="F129" s="22"/>
      <c r="G129" s="6">
        <f>+SUM(E$9:$E129)-SUM(F$9:$F129)</f>
        <v>169171000</v>
      </c>
    </row>
    <row r="130" spans="1:7" ht="28.8" x14ac:dyDescent="0.55000000000000004">
      <c r="A130" s="12"/>
      <c r="B130" s="13"/>
      <c r="C130" s="10"/>
      <c r="D130" s="10"/>
      <c r="E130" s="7"/>
      <c r="F130" s="22"/>
      <c r="G130" s="6">
        <f>+SUM(E$9:$E130)-SUM(F$9:$F130)</f>
        <v>169171000</v>
      </c>
    </row>
    <row r="131" spans="1:7" ht="28.8" x14ac:dyDescent="0.55000000000000004">
      <c r="A131" s="12"/>
      <c r="B131" s="13"/>
      <c r="C131" s="10"/>
      <c r="D131" s="10"/>
      <c r="E131" s="7"/>
      <c r="F131" s="22"/>
      <c r="G131" s="6">
        <f>+SUM(E$9:$E131)-SUM(F$9:$F131)</f>
        <v>169171000</v>
      </c>
    </row>
    <row r="132" spans="1:7" ht="28.8" x14ac:dyDescent="0.55000000000000004">
      <c r="A132" s="12"/>
      <c r="B132" s="13"/>
      <c r="C132" s="10"/>
      <c r="D132" s="10"/>
      <c r="E132" s="7"/>
      <c r="F132" s="22"/>
      <c r="G132" s="6">
        <f>+SUM(E$9:$E132)-SUM(F$9:$F132)</f>
        <v>169171000</v>
      </c>
    </row>
    <row r="133" spans="1:7" ht="28.8" x14ac:dyDescent="0.55000000000000004">
      <c r="A133" s="12"/>
      <c r="B133" s="13"/>
      <c r="C133" s="10"/>
      <c r="D133" s="10"/>
      <c r="E133" s="7"/>
      <c r="F133" s="22"/>
      <c r="G133" s="6">
        <f>+SUM(E$9:$E133)-SUM(F$9:$F133)</f>
        <v>169171000</v>
      </c>
    </row>
    <row r="134" spans="1:7" ht="28.8" x14ac:dyDescent="0.55000000000000004">
      <c r="A134" s="12"/>
      <c r="B134" s="13"/>
      <c r="C134" s="10"/>
      <c r="D134" s="10"/>
      <c r="E134" s="7"/>
      <c r="F134" s="22"/>
      <c r="G134" s="6">
        <f>+SUM(E$9:$E134)-SUM(F$9:$F134)</f>
        <v>169171000</v>
      </c>
    </row>
    <row r="135" spans="1:7" ht="28.8" x14ac:dyDescent="0.55000000000000004">
      <c r="A135" s="12"/>
      <c r="B135" s="13"/>
      <c r="C135" s="10"/>
      <c r="D135" s="10"/>
      <c r="E135" s="7"/>
      <c r="F135" s="22"/>
      <c r="G135" s="6">
        <f>+SUM(E$9:$E135)-SUM(F$9:$F135)</f>
        <v>169171000</v>
      </c>
    </row>
    <row r="136" spans="1:7" ht="28.8" x14ac:dyDescent="0.55000000000000004">
      <c r="A136" s="12"/>
      <c r="B136" s="13"/>
      <c r="C136" s="10"/>
      <c r="D136" s="10"/>
      <c r="E136" s="7"/>
      <c r="F136" s="22"/>
      <c r="G136" s="6">
        <f>+SUM(E$9:$E136)-SUM(F$9:$F136)</f>
        <v>169171000</v>
      </c>
    </row>
    <row r="137" spans="1:7" ht="28.8" x14ac:dyDescent="0.55000000000000004">
      <c r="A137" s="12"/>
      <c r="B137" s="13"/>
      <c r="C137" s="10"/>
      <c r="D137" s="10"/>
      <c r="E137" s="7"/>
      <c r="F137" s="22"/>
      <c r="G137" s="6">
        <f>+SUM(E$9:$E137)-SUM(F$9:$F137)</f>
        <v>169171000</v>
      </c>
    </row>
    <row r="138" spans="1:7" ht="28.8" x14ac:dyDescent="0.55000000000000004">
      <c r="A138" s="12"/>
      <c r="B138" s="13"/>
      <c r="C138" s="10"/>
      <c r="D138" s="10"/>
      <c r="E138" s="7"/>
      <c r="F138" s="22"/>
      <c r="G138" s="6">
        <f>+SUM(E$9:$E138)-SUM(F$9:$F138)</f>
        <v>169171000</v>
      </c>
    </row>
    <row r="139" spans="1:7" ht="28.8" x14ac:dyDescent="0.55000000000000004">
      <c r="A139" s="12"/>
      <c r="B139" s="13"/>
      <c r="C139" s="10"/>
      <c r="D139" s="10"/>
      <c r="E139" s="7"/>
      <c r="F139" s="22"/>
      <c r="G139" s="6">
        <f>+SUM(E$9:$E139)-SUM(F$9:$F139)</f>
        <v>169171000</v>
      </c>
    </row>
    <row r="140" spans="1:7" ht="28.8" x14ac:dyDescent="0.55000000000000004">
      <c r="A140" s="12"/>
      <c r="B140" s="13"/>
      <c r="C140" s="10"/>
      <c r="D140" s="10"/>
      <c r="E140" s="7"/>
      <c r="F140" s="22"/>
      <c r="G140" s="6">
        <f>+SUM(E$9:$E140)-SUM(F$9:$F140)</f>
        <v>169171000</v>
      </c>
    </row>
    <row r="141" spans="1:7" ht="28.8" x14ac:dyDescent="0.55000000000000004">
      <c r="A141" s="12"/>
      <c r="B141" s="13"/>
      <c r="C141" s="10"/>
      <c r="D141" s="10"/>
      <c r="E141" s="7"/>
      <c r="F141" s="22"/>
      <c r="G141" s="6">
        <f>+SUM(E$9:$E141)-SUM(F$9:$F141)</f>
        <v>169171000</v>
      </c>
    </row>
    <row r="142" spans="1:7" ht="28.8" x14ac:dyDescent="0.55000000000000004">
      <c r="A142" s="12"/>
      <c r="B142" s="13"/>
      <c r="C142" s="10"/>
      <c r="D142" s="10"/>
      <c r="E142" s="7"/>
      <c r="F142" s="22"/>
      <c r="G142" s="6">
        <f>+SUM(E$9:$E142)-SUM(F$9:$F142)</f>
        <v>169171000</v>
      </c>
    </row>
    <row r="143" spans="1:7" ht="28.8" x14ac:dyDescent="0.55000000000000004">
      <c r="A143" s="12"/>
      <c r="B143" s="13"/>
      <c r="C143" s="10"/>
      <c r="D143" s="10"/>
      <c r="E143" s="7"/>
      <c r="F143" s="22"/>
      <c r="G143" s="6">
        <f>+SUM(E$9:$E143)-SUM(F$9:$F143)</f>
        <v>169171000</v>
      </c>
    </row>
    <row r="144" spans="1:7" ht="28.8" x14ac:dyDescent="0.55000000000000004">
      <c r="A144" s="12"/>
      <c r="B144" s="13"/>
      <c r="C144" s="10"/>
      <c r="D144" s="10"/>
      <c r="E144" s="7"/>
      <c r="F144" s="22"/>
      <c r="G144" s="6">
        <f>+SUM(E$9:$E144)-SUM(F$9:$F144)</f>
        <v>169171000</v>
      </c>
    </row>
    <row r="145" spans="1:7" ht="28.8" x14ac:dyDescent="0.55000000000000004">
      <c r="A145" s="12"/>
      <c r="B145" s="13"/>
      <c r="C145" s="10"/>
      <c r="D145" s="10"/>
      <c r="E145" s="7"/>
      <c r="F145" s="22"/>
      <c r="G145" s="6">
        <f>+SUM(E$9:$E145)-SUM(F$9:$F145)</f>
        <v>169171000</v>
      </c>
    </row>
    <row r="146" spans="1:7" ht="28.8" x14ac:dyDescent="0.55000000000000004">
      <c r="A146" s="12"/>
      <c r="B146" s="13"/>
      <c r="C146" s="10"/>
      <c r="D146" s="10"/>
      <c r="E146" s="7"/>
      <c r="F146" s="22"/>
      <c r="G146" s="6">
        <f>+SUM(E$9:$E146)-SUM(F$9:$F146)</f>
        <v>169171000</v>
      </c>
    </row>
    <row r="147" spans="1:7" ht="28.8" x14ac:dyDescent="0.55000000000000004">
      <c r="A147" s="12"/>
      <c r="B147" s="13"/>
      <c r="C147" s="10"/>
      <c r="D147" s="10"/>
      <c r="E147" s="7"/>
      <c r="F147" s="22"/>
      <c r="G147" s="6">
        <f>+SUM(E$9:$E147)-SUM(F$9:$F147)</f>
        <v>169171000</v>
      </c>
    </row>
    <row r="148" spans="1:7" ht="28.8" x14ac:dyDescent="0.55000000000000004">
      <c r="A148" s="12"/>
      <c r="B148" s="13"/>
      <c r="C148" s="10"/>
      <c r="D148" s="10"/>
      <c r="E148" s="7"/>
      <c r="F148" s="22"/>
      <c r="G148" s="6">
        <f>+SUM(E$9:$E148)-SUM(F$9:$F148)</f>
        <v>169171000</v>
      </c>
    </row>
    <row r="149" spans="1:7" ht="28.8" x14ac:dyDescent="0.55000000000000004">
      <c r="A149" s="12"/>
      <c r="B149" s="13"/>
      <c r="C149" s="10"/>
      <c r="D149" s="10"/>
      <c r="E149" s="7"/>
      <c r="F149" s="22"/>
      <c r="G149" s="6">
        <f>+SUM(E$9:$E149)-SUM(F$9:$F149)</f>
        <v>169171000</v>
      </c>
    </row>
    <row r="150" spans="1:7" ht="28.8" x14ac:dyDescent="0.55000000000000004">
      <c r="A150" s="12"/>
      <c r="B150" s="13"/>
      <c r="C150" s="10"/>
      <c r="D150" s="10"/>
      <c r="E150" s="7"/>
      <c r="F150" s="22"/>
      <c r="G150" s="6">
        <f>+SUM(E$9:$E150)-SUM(F$9:$F150)</f>
        <v>169171000</v>
      </c>
    </row>
    <row r="151" spans="1:7" ht="28.8" x14ac:dyDescent="0.55000000000000004">
      <c r="A151" s="12"/>
      <c r="B151" s="13"/>
      <c r="C151" s="10"/>
      <c r="D151" s="10"/>
      <c r="E151" s="7"/>
      <c r="F151" s="22"/>
      <c r="G151" s="6">
        <f>+SUM(E$9:$E151)-SUM(F$9:$F151)</f>
        <v>169171000</v>
      </c>
    </row>
    <row r="152" spans="1:7" ht="28.8" x14ac:dyDescent="0.55000000000000004">
      <c r="A152" s="12"/>
      <c r="B152" s="13"/>
      <c r="C152" s="10"/>
      <c r="D152" s="10"/>
      <c r="E152" s="7"/>
      <c r="F152" s="22"/>
      <c r="G152" s="6">
        <f>+SUM(E$9:$E152)-SUM(F$9:$F152)</f>
        <v>169171000</v>
      </c>
    </row>
    <row r="153" spans="1:7" ht="28.8" x14ac:dyDescent="0.55000000000000004">
      <c r="A153" s="12"/>
      <c r="B153" s="13"/>
      <c r="C153" s="10"/>
      <c r="D153" s="10"/>
      <c r="E153" s="7"/>
      <c r="F153" s="22"/>
      <c r="G153" s="6">
        <f>+SUM(E$9:$E153)-SUM(F$9:$F153)</f>
        <v>169171000</v>
      </c>
    </row>
    <row r="154" spans="1:7" ht="28.8" x14ac:dyDescent="0.55000000000000004">
      <c r="A154" s="12"/>
      <c r="B154" s="13"/>
      <c r="C154" s="10"/>
      <c r="D154" s="10"/>
      <c r="E154" s="7"/>
      <c r="F154" s="22"/>
      <c r="G154" s="6">
        <f>+SUM(E$9:$E154)-SUM(F$9:$F154)</f>
        <v>169171000</v>
      </c>
    </row>
    <row r="155" spans="1:7" ht="28.8" x14ac:dyDescent="0.55000000000000004">
      <c r="A155" s="12"/>
      <c r="B155" s="13"/>
      <c r="C155" s="10"/>
      <c r="D155" s="10"/>
      <c r="E155" s="7"/>
      <c r="F155" s="22"/>
      <c r="G155" s="6">
        <f>+SUM(E$9:$E155)-SUM(F$9:$F155)</f>
        <v>169171000</v>
      </c>
    </row>
    <row r="156" spans="1:7" ht="28.8" x14ac:dyDescent="0.55000000000000004">
      <c r="A156" s="12"/>
      <c r="B156" s="13"/>
      <c r="C156" s="10"/>
      <c r="D156" s="10"/>
      <c r="E156" s="7"/>
      <c r="F156" s="22"/>
      <c r="G156" s="6">
        <f>+SUM(E$9:$E156)-SUM(F$9:$F156)</f>
        <v>169171000</v>
      </c>
    </row>
    <row r="157" spans="1:7" ht="28.8" x14ac:dyDescent="0.55000000000000004">
      <c r="A157" s="12"/>
      <c r="B157" s="13"/>
      <c r="C157" s="10"/>
      <c r="D157" s="10"/>
      <c r="E157" s="7"/>
      <c r="F157" s="22"/>
      <c r="G157" s="6">
        <f>+SUM(E$9:$E157)-SUM(F$9:$F157)</f>
        <v>169171000</v>
      </c>
    </row>
    <row r="158" spans="1:7" ht="28.8" x14ac:dyDescent="0.55000000000000004">
      <c r="A158" s="58"/>
      <c r="B158" s="13"/>
      <c r="C158" s="59"/>
      <c r="D158" s="59"/>
      <c r="E158" s="55"/>
      <c r="F158" s="56"/>
      <c r="G158" s="57">
        <f>+SUM(E$9:$E158)-SUM(F$9:$F158)</f>
        <v>169171000</v>
      </c>
    </row>
    <row r="159" spans="1:7" ht="28.8" x14ac:dyDescent="0.55000000000000004">
      <c r="A159" s="58"/>
      <c r="B159" s="13"/>
      <c r="C159" s="59"/>
      <c r="D159" s="59"/>
      <c r="E159" s="55"/>
      <c r="F159" s="56"/>
      <c r="G159" s="57">
        <f>+SUM(E$9:$E159)-SUM(F$9:$F159)</f>
        <v>169171000</v>
      </c>
    </row>
    <row r="160" spans="1:7" ht="28.8" x14ac:dyDescent="0.55000000000000004">
      <c r="A160" s="58"/>
      <c r="B160" s="13"/>
      <c r="C160" s="59"/>
      <c r="D160" s="59"/>
      <c r="E160" s="55"/>
      <c r="F160" s="56"/>
      <c r="G160" s="57">
        <f>+SUM(E$9:$E160)-SUM(F$9:$F160)</f>
        <v>169171000</v>
      </c>
    </row>
    <row r="161" spans="1:7" ht="28.8" x14ac:dyDescent="0.55000000000000004">
      <c r="A161" s="12"/>
      <c r="B161" s="13"/>
      <c r="C161" s="10"/>
      <c r="D161" s="10"/>
      <c r="E161" s="7"/>
      <c r="F161" s="22"/>
      <c r="G161" s="6">
        <f>+SUM(E$9:$E161)-SUM(F$9:$F161)</f>
        <v>169171000</v>
      </c>
    </row>
    <row r="162" spans="1:7" ht="28.8" x14ac:dyDescent="0.55000000000000004">
      <c r="A162" s="12"/>
      <c r="B162" s="13"/>
      <c r="C162" s="10"/>
      <c r="D162" s="10"/>
      <c r="E162" s="7"/>
      <c r="F162" s="22"/>
      <c r="G162" s="6">
        <f>+SUM(E$9:$E162)-SUM(F$9:$F162)</f>
        <v>169171000</v>
      </c>
    </row>
    <row r="163" spans="1:7" ht="28.8" x14ac:dyDescent="0.55000000000000004">
      <c r="A163" s="12"/>
      <c r="B163" s="13"/>
      <c r="C163" s="10"/>
      <c r="D163" s="10"/>
      <c r="E163" s="7"/>
      <c r="F163" s="22"/>
      <c r="G163" s="6">
        <f>+SUM(E$9:$E163)-SUM(F$9:$F163)</f>
        <v>169171000</v>
      </c>
    </row>
    <row r="164" spans="1:7" ht="28.8" x14ac:dyDescent="0.55000000000000004">
      <c r="A164" s="12"/>
      <c r="B164" s="13"/>
      <c r="C164" s="10"/>
      <c r="D164" s="10"/>
      <c r="E164" s="7"/>
      <c r="F164" s="22"/>
      <c r="G164" s="6">
        <f>+SUM(E$9:$E164)-SUM(F$9:$F164)</f>
        <v>169171000</v>
      </c>
    </row>
    <row r="165" spans="1:7" ht="28.8" x14ac:dyDescent="0.55000000000000004">
      <c r="A165" s="12"/>
      <c r="B165" s="13"/>
      <c r="C165" s="10"/>
      <c r="D165" s="10"/>
      <c r="E165" s="7"/>
      <c r="F165" s="22"/>
      <c r="G165" s="6">
        <f>+SUM(E$9:$E165)-SUM(F$9:$F165)</f>
        <v>169171000</v>
      </c>
    </row>
    <row r="166" spans="1:7" ht="28.8" x14ac:dyDescent="0.55000000000000004">
      <c r="A166" s="12"/>
      <c r="B166" s="13"/>
      <c r="C166" s="10"/>
      <c r="D166" s="10"/>
      <c r="E166" s="7"/>
      <c r="F166" s="22"/>
      <c r="G166" s="6">
        <f>+SUM(E$9:$E166)-SUM(F$9:$F166)</f>
        <v>169171000</v>
      </c>
    </row>
    <row r="167" spans="1:7" ht="28.8" x14ac:dyDescent="0.55000000000000004">
      <c r="A167" s="12"/>
      <c r="B167" s="13"/>
      <c r="C167" s="10"/>
      <c r="D167" s="10"/>
      <c r="E167" s="7"/>
      <c r="F167" s="22"/>
      <c r="G167" s="6">
        <f>+SUM(E$9:$E167)-SUM(F$9:$F167)</f>
        <v>169171000</v>
      </c>
    </row>
    <row r="168" spans="1:7" ht="28.8" x14ac:dyDescent="0.55000000000000004">
      <c r="A168" s="12"/>
      <c r="B168" s="13"/>
      <c r="C168" s="10"/>
      <c r="D168" s="10"/>
      <c r="E168" s="7"/>
      <c r="F168" s="22"/>
      <c r="G168" s="6">
        <f>+SUM(E$9:$E168)-SUM(F$9:$F168)</f>
        <v>169171000</v>
      </c>
    </row>
    <row r="169" spans="1:7" ht="28.8" x14ac:dyDescent="0.55000000000000004">
      <c r="A169" s="12"/>
      <c r="B169" s="13"/>
      <c r="C169" s="10"/>
      <c r="D169" s="10"/>
      <c r="E169" s="7"/>
      <c r="F169" s="22"/>
      <c r="G169" s="6">
        <f>+SUM(E$9:$E169)-SUM(F$9:$F169)</f>
        <v>169171000</v>
      </c>
    </row>
    <row r="170" spans="1:7" ht="28.8" x14ac:dyDescent="0.55000000000000004">
      <c r="A170" s="12"/>
      <c r="B170" s="13"/>
      <c r="C170" s="10"/>
      <c r="D170" s="10"/>
      <c r="E170" s="7"/>
      <c r="F170" s="22"/>
      <c r="G170" s="6">
        <f>+SUM(E$9:$E170)-SUM(F$9:$F170)</f>
        <v>169171000</v>
      </c>
    </row>
    <row r="171" spans="1:7" ht="28.8" x14ac:dyDescent="0.55000000000000004">
      <c r="A171" s="12"/>
      <c r="B171" s="13"/>
      <c r="C171" s="10"/>
      <c r="D171" s="10"/>
      <c r="E171" s="7"/>
      <c r="F171" s="22"/>
      <c r="G171" s="6">
        <f>+SUM(E$9:$E171)-SUM(F$9:$F171)</f>
        <v>169171000</v>
      </c>
    </row>
    <row r="172" spans="1:7" ht="28.8" x14ac:dyDescent="0.55000000000000004">
      <c r="A172" s="12"/>
      <c r="B172" s="13"/>
      <c r="C172" s="10"/>
      <c r="D172" s="10"/>
      <c r="E172" s="7"/>
      <c r="F172" s="22"/>
      <c r="G172" s="6">
        <f>+SUM(E$9:$E172)-SUM(F$9:$F172)</f>
        <v>169171000</v>
      </c>
    </row>
    <row r="173" spans="1:7" ht="28.8" x14ac:dyDescent="0.55000000000000004">
      <c r="A173" s="12"/>
      <c r="B173" s="13"/>
      <c r="C173" s="10"/>
      <c r="D173" s="10"/>
      <c r="E173" s="7"/>
      <c r="F173" s="22"/>
      <c r="G173" s="6">
        <f>+SUM(E$9:$E173)-SUM(F$9:$F173)</f>
        <v>169171000</v>
      </c>
    </row>
    <row r="174" spans="1:7" ht="28.8" x14ac:dyDescent="0.55000000000000004">
      <c r="A174" s="12"/>
      <c r="B174" s="13"/>
      <c r="C174" s="10"/>
      <c r="D174" s="10"/>
      <c r="E174" s="7"/>
      <c r="F174" s="22"/>
      <c r="G174" s="6">
        <f>+SUM(E$9:$E174)-SUM(F$9:$F174)</f>
        <v>169171000</v>
      </c>
    </row>
    <row r="175" spans="1:7" ht="28.8" x14ac:dyDescent="0.55000000000000004">
      <c r="A175" s="12"/>
      <c r="B175" s="13"/>
      <c r="C175" s="10"/>
      <c r="D175" s="10"/>
      <c r="E175" s="7"/>
      <c r="F175" s="22"/>
      <c r="G175" s="6">
        <f>+SUM(E$9:$E175)-SUM(F$9:$F175)</f>
        <v>169171000</v>
      </c>
    </row>
    <row r="176" spans="1:7" ht="28.8" x14ac:dyDescent="0.55000000000000004">
      <c r="A176" s="12"/>
      <c r="B176" s="13"/>
      <c r="C176" s="10"/>
      <c r="D176" s="10"/>
      <c r="E176" s="7"/>
      <c r="F176" s="22"/>
      <c r="G176" s="6">
        <f>+SUM(E$9:$E176)-SUM(F$9:$F176)</f>
        <v>169171000</v>
      </c>
    </row>
    <row r="177" spans="1:7" ht="28.8" x14ac:dyDescent="0.55000000000000004">
      <c r="A177" s="12"/>
      <c r="B177" s="13"/>
      <c r="C177" s="10"/>
      <c r="D177" s="10"/>
      <c r="E177" s="7"/>
      <c r="F177" s="22"/>
      <c r="G177" s="6">
        <f>+SUM(E$9:$E177)-SUM(F$9:$F177)</f>
        <v>169171000</v>
      </c>
    </row>
    <row r="178" spans="1:7" ht="28.8" x14ac:dyDescent="0.55000000000000004">
      <c r="A178" s="12"/>
      <c r="B178" s="13"/>
      <c r="C178" s="10"/>
      <c r="D178" s="10"/>
      <c r="E178" s="7"/>
      <c r="F178" s="22"/>
      <c r="G178" s="6">
        <f>+SUM(E$9:$E178)-SUM(F$9:$F178)</f>
        <v>169171000</v>
      </c>
    </row>
    <row r="179" spans="1:7" ht="28.8" x14ac:dyDescent="0.55000000000000004">
      <c r="A179" s="12"/>
      <c r="B179" s="13"/>
      <c r="C179" s="10"/>
      <c r="D179" s="10"/>
      <c r="E179" s="7"/>
      <c r="F179" s="22"/>
      <c r="G179" s="6">
        <f>+SUM(E$9:$E179)-SUM(F$9:$F179)</f>
        <v>169171000</v>
      </c>
    </row>
    <row r="180" spans="1:7" ht="28.8" x14ac:dyDescent="0.55000000000000004">
      <c r="A180" s="12"/>
      <c r="B180" s="13"/>
      <c r="C180" s="10"/>
      <c r="D180" s="10"/>
      <c r="E180" s="7"/>
      <c r="F180" s="22"/>
      <c r="G180" s="6">
        <f>+SUM(E$9:$E180)-SUM(F$9:$F180)</f>
        <v>169171000</v>
      </c>
    </row>
    <row r="181" spans="1:7" ht="28.8" x14ac:dyDescent="0.55000000000000004">
      <c r="A181" s="12"/>
      <c r="B181" s="13"/>
      <c r="C181" s="10"/>
      <c r="D181" s="10"/>
      <c r="E181" s="7"/>
      <c r="F181" s="22"/>
      <c r="G181" s="6">
        <f>+SUM(E$9:$E181)-SUM(F$9:$F181)</f>
        <v>169171000</v>
      </c>
    </row>
    <row r="182" spans="1:7" ht="28.8" x14ac:dyDescent="0.55000000000000004">
      <c r="A182" s="12"/>
      <c r="B182" s="13"/>
      <c r="C182" s="10"/>
      <c r="D182" s="10"/>
      <c r="E182" s="7"/>
      <c r="F182" s="22"/>
      <c r="G182" s="6">
        <f>+SUM(E$9:$E182)-SUM(F$9:$F182)</f>
        <v>169171000</v>
      </c>
    </row>
    <row r="183" spans="1:7" ht="28.8" x14ac:dyDescent="0.55000000000000004">
      <c r="A183" s="12"/>
      <c r="B183" s="13"/>
      <c r="C183" s="10"/>
      <c r="D183" s="10"/>
      <c r="E183" s="7"/>
      <c r="F183" s="22"/>
      <c r="G183" s="6">
        <f>+SUM(E$9:$E183)-SUM(F$9:$F183)</f>
        <v>169171000</v>
      </c>
    </row>
    <row r="184" spans="1:7" ht="28.8" x14ac:dyDescent="0.55000000000000004">
      <c r="A184" s="12"/>
      <c r="B184" s="13"/>
      <c r="C184" s="10"/>
      <c r="D184" s="10"/>
      <c r="E184" s="7"/>
      <c r="F184" s="22"/>
      <c r="G184" s="6">
        <f>+SUM(E$9:$E184)-SUM(F$9:$F184)</f>
        <v>169171000</v>
      </c>
    </row>
    <row r="185" spans="1:7" ht="28.8" x14ac:dyDescent="0.55000000000000004">
      <c r="A185" s="12"/>
      <c r="B185" s="13"/>
      <c r="C185" s="10"/>
      <c r="D185" s="10"/>
      <c r="E185" s="7"/>
      <c r="F185" s="22"/>
      <c r="G185" s="6">
        <f>+SUM(E$9:$E185)-SUM(F$9:$F185)</f>
        <v>169171000</v>
      </c>
    </row>
    <row r="186" spans="1:7" ht="28.8" x14ac:dyDescent="0.55000000000000004">
      <c r="A186" s="12"/>
      <c r="B186" s="13"/>
      <c r="C186" s="10"/>
      <c r="D186" s="10"/>
      <c r="E186" s="7"/>
      <c r="F186" s="22"/>
      <c r="G186" s="6">
        <f>+SUM(E$9:$E186)-SUM(F$9:$F186)</f>
        <v>169171000</v>
      </c>
    </row>
    <row r="187" spans="1:7" ht="28.8" x14ac:dyDescent="0.55000000000000004">
      <c r="A187" s="12"/>
      <c r="B187" s="13"/>
      <c r="C187" s="10"/>
      <c r="D187" s="10"/>
      <c r="E187" s="7"/>
      <c r="F187" s="22"/>
      <c r="G187" s="6">
        <f>+SUM(E$9:$E187)-SUM(F$9:$F187)</f>
        <v>169171000</v>
      </c>
    </row>
    <row r="188" spans="1:7" ht="28.8" x14ac:dyDescent="0.55000000000000004">
      <c r="A188" s="12"/>
      <c r="B188" s="13"/>
      <c r="C188" s="10"/>
      <c r="D188" s="10"/>
      <c r="E188" s="7"/>
      <c r="F188" s="22"/>
      <c r="G188" s="6">
        <f>+SUM(E$9:$E188)-SUM(F$9:$F188)</f>
        <v>169171000</v>
      </c>
    </row>
    <row r="189" spans="1:7" ht="28.8" x14ac:dyDescent="0.55000000000000004">
      <c r="A189" s="12"/>
      <c r="B189" s="13"/>
      <c r="C189" s="10"/>
      <c r="D189" s="10"/>
      <c r="E189" s="7"/>
      <c r="F189" s="22"/>
      <c r="G189" s="6">
        <f>+SUM(E$9:$E189)-SUM(F$9:$F189)</f>
        <v>169171000</v>
      </c>
    </row>
    <row r="190" spans="1:7" ht="28.8" x14ac:dyDescent="0.55000000000000004">
      <c r="A190" s="12"/>
      <c r="B190" s="13"/>
      <c r="C190" s="10"/>
      <c r="D190" s="10"/>
      <c r="E190" s="7"/>
      <c r="F190" s="22"/>
      <c r="G190" s="6">
        <f>+SUM(E$9:$E190)-SUM(F$9:$F190)</f>
        <v>169171000</v>
      </c>
    </row>
    <row r="191" spans="1:7" ht="28.8" x14ac:dyDescent="0.55000000000000004">
      <c r="A191" s="12"/>
      <c r="B191" s="13"/>
      <c r="C191" s="10"/>
      <c r="D191" s="10"/>
      <c r="E191" s="7"/>
      <c r="F191" s="22"/>
      <c r="G191" s="6">
        <f>+SUM(E$9:$E191)-SUM(F$9:$F191)</f>
        <v>169171000</v>
      </c>
    </row>
    <row r="192" spans="1:7" ht="28.8" x14ac:dyDescent="0.55000000000000004">
      <c r="A192" s="12"/>
      <c r="B192" s="13"/>
      <c r="C192" s="10"/>
      <c r="D192" s="10"/>
      <c r="E192" s="7"/>
      <c r="F192" s="22"/>
      <c r="G192" s="6">
        <f>+SUM(E$9:$E192)-SUM(F$9:$F192)</f>
        <v>169171000</v>
      </c>
    </row>
    <row r="193" spans="1:7" ht="28.8" x14ac:dyDescent="0.55000000000000004">
      <c r="A193" s="12"/>
      <c r="B193" s="13"/>
      <c r="C193" s="10"/>
      <c r="D193" s="10"/>
      <c r="E193" s="7"/>
      <c r="F193" s="22"/>
      <c r="G193" s="6">
        <f>+SUM(E$9:$E193)-SUM(F$9:$F193)</f>
        <v>169171000</v>
      </c>
    </row>
    <row r="194" spans="1:7" ht="28.8" x14ac:dyDescent="0.55000000000000004">
      <c r="A194" s="12"/>
      <c r="B194" s="13"/>
      <c r="C194" s="10"/>
      <c r="D194" s="10"/>
      <c r="E194" s="7"/>
      <c r="F194" s="22"/>
      <c r="G194" s="6">
        <f>+SUM(E$9:$E194)-SUM(F$9:$F194)</f>
        <v>169171000</v>
      </c>
    </row>
    <row r="195" spans="1:7" ht="28.8" x14ac:dyDescent="0.55000000000000004">
      <c r="A195" s="12"/>
      <c r="B195" s="13"/>
      <c r="C195" s="10"/>
      <c r="D195" s="10"/>
      <c r="E195" s="7"/>
      <c r="F195" s="22"/>
      <c r="G195" s="6">
        <f>+SUM(E$9:$E195)-SUM(F$9:$F195)</f>
        <v>169171000</v>
      </c>
    </row>
    <row r="196" spans="1:7" ht="28.8" x14ac:dyDescent="0.55000000000000004">
      <c r="A196" s="12"/>
      <c r="B196" s="13"/>
      <c r="C196" s="10"/>
      <c r="D196" s="10"/>
      <c r="E196" s="7"/>
      <c r="F196" s="22"/>
      <c r="G196" s="6">
        <f>+SUM(E$9:$E196)-SUM(F$9:$F196)</f>
        <v>169171000</v>
      </c>
    </row>
    <row r="197" spans="1:7" ht="28.8" x14ac:dyDescent="0.55000000000000004">
      <c r="A197" s="12"/>
      <c r="B197" s="13"/>
      <c r="C197" s="10"/>
      <c r="D197" s="10"/>
      <c r="E197" s="7"/>
      <c r="F197" s="22"/>
      <c r="G197" s="6">
        <f>+SUM(E$9:$E197)-SUM(F$9:$F197)</f>
        <v>169171000</v>
      </c>
    </row>
    <row r="198" spans="1:7" ht="28.8" x14ac:dyDescent="0.55000000000000004">
      <c r="A198" s="12"/>
      <c r="B198" s="13"/>
      <c r="C198" s="10"/>
      <c r="D198" s="10"/>
      <c r="E198" s="7"/>
      <c r="F198" s="22"/>
      <c r="G198" s="6">
        <f>+SUM(E$9:$E198)-SUM(F$9:$F198)</f>
        <v>169171000</v>
      </c>
    </row>
    <row r="199" spans="1:7" ht="28.8" x14ac:dyDescent="0.55000000000000004">
      <c r="A199" s="12"/>
      <c r="B199" s="13"/>
      <c r="C199" s="10"/>
      <c r="D199" s="10"/>
      <c r="E199" s="7"/>
      <c r="F199" s="22"/>
      <c r="G199" s="6">
        <f>+SUM(E$9:$E199)-SUM(F$9:$F199)</f>
        <v>169171000</v>
      </c>
    </row>
    <row r="200" spans="1:7" ht="28.8" x14ac:dyDescent="0.55000000000000004">
      <c r="A200" s="12"/>
      <c r="B200" s="13"/>
      <c r="C200" s="10"/>
      <c r="D200" s="10"/>
      <c r="E200" s="7"/>
      <c r="F200" s="22"/>
      <c r="G200" s="6">
        <f>+SUM(E$9:$E200)-SUM(F$9:$F200)</f>
        <v>169171000</v>
      </c>
    </row>
    <row r="201" spans="1:7" ht="28.8" x14ac:dyDescent="0.55000000000000004">
      <c r="A201" s="12"/>
      <c r="B201" s="13"/>
      <c r="C201" s="10"/>
      <c r="D201" s="10"/>
      <c r="E201" s="7"/>
      <c r="F201" s="22"/>
      <c r="G201" s="6">
        <f>+SUM(E$9:$E201)-SUM(F$9:$F201)</f>
        <v>169171000</v>
      </c>
    </row>
    <row r="202" spans="1:7" ht="28.8" x14ac:dyDescent="0.55000000000000004">
      <c r="A202" s="12"/>
      <c r="B202" s="13"/>
      <c r="C202" s="10"/>
      <c r="D202" s="10"/>
      <c r="E202" s="7"/>
      <c r="F202" s="22"/>
      <c r="G202" s="6">
        <f>+SUM(E$9:$E202)-SUM(F$9:$F202)</f>
        <v>169171000</v>
      </c>
    </row>
    <row r="203" spans="1:7" ht="28.8" x14ac:dyDescent="0.55000000000000004">
      <c r="A203" s="12"/>
      <c r="B203" s="13"/>
      <c r="C203" s="10"/>
      <c r="D203" s="10"/>
      <c r="E203" s="7"/>
      <c r="F203" s="22"/>
      <c r="G203" s="6">
        <f>+SUM(E$9:$E203)-SUM(F$9:$F203)</f>
        <v>169171000</v>
      </c>
    </row>
    <row r="204" spans="1:7" ht="28.8" x14ac:dyDescent="0.55000000000000004">
      <c r="A204" s="12"/>
      <c r="B204" s="13"/>
      <c r="C204" s="10"/>
      <c r="D204" s="10"/>
      <c r="E204" s="7"/>
      <c r="F204" s="22"/>
      <c r="G204" s="6">
        <f>+SUM(E$9:$E204)-SUM(F$9:$F204)</f>
        <v>169171000</v>
      </c>
    </row>
    <row r="205" spans="1:7" ht="28.8" x14ac:dyDescent="0.55000000000000004">
      <c r="A205" s="12"/>
      <c r="B205" s="13"/>
      <c r="C205" s="10"/>
      <c r="D205" s="10"/>
      <c r="E205" s="7"/>
      <c r="F205" s="22"/>
      <c r="G205" s="6">
        <f>+SUM(E$9:$E205)-SUM(F$9:$F205)</f>
        <v>169171000</v>
      </c>
    </row>
    <row r="206" spans="1:7" ht="28.8" x14ac:dyDescent="0.55000000000000004">
      <c r="A206" s="12"/>
      <c r="B206" s="13"/>
      <c r="C206" s="10"/>
      <c r="D206" s="10"/>
      <c r="E206" s="7"/>
      <c r="F206" s="22"/>
      <c r="G206" s="6">
        <f>+SUM(E$9:$E206)-SUM(F$9:$F206)</f>
        <v>169171000</v>
      </c>
    </row>
    <row r="207" spans="1:7" ht="28.8" x14ac:dyDescent="0.55000000000000004">
      <c r="A207" s="12"/>
      <c r="B207" s="13"/>
      <c r="C207" s="10"/>
      <c r="D207" s="10"/>
      <c r="E207" s="7"/>
      <c r="F207" s="22"/>
      <c r="G207" s="6">
        <f>+SUM(E$9:$E207)-SUM(F$9:$F207)</f>
        <v>169171000</v>
      </c>
    </row>
    <row r="208" spans="1:7" ht="28.8" x14ac:dyDescent="0.55000000000000004">
      <c r="A208" s="12"/>
      <c r="B208" s="13"/>
      <c r="C208" s="10"/>
      <c r="D208" s="10"/>
      <c r="E208" s="7"/>
      <c r="F208" s="22"/>
      <c r="G208" s="6">
        <f>+SUM(E$9:$E208)-SUM(F$9:$F208)</f>
        <v>169171000</v>
      </c>
    </row>
    <row r="209" spans="1:7" ht="28.8" x14ac:dyDescent="0.55000000000000004">
      <c r="A209" s="12"/>
      <c r="B209" s="13"/>
      <c r="C209" s="10"/>
      <c r="D209" s="10"/>
      <c r="E209" s="7"/>
      <c r="F209" s="22"/>
      <c r="G209" s="6">
        <f>+SUM(E$9:$E209)-SUM(F$9:$F209)</f>
        <v>169171000</v>
      </c>
    </row>
    <row r="210" spans="1:7" ht="28.8" x14ac:dyDescent="0.55000000000000004">
      <c r="A210" s="12"/>
      <c r="B210" s="13"/>
      <c r="C210" s="10"/>
      <c r="D210" s="10"/>
      <c r="E210" s="7"/>
      <c r="F210" s="22"/>
      <c r="G210" s="6">
        <f>+SUM(E$9:$E210)-SUM(F$9:$F210)</f>
        <v>169171000</v>
      </c>
    </row>
    <row r="211" spans="1:7" ht="28.8" x14ac:dyDescent="0.55000000000000004">
      <c r="A211" s="12"/>
      <c r="B211" s="13"/>
      <c r="C211" s="10"/>
      <c r="D211" s="10"/>
      <c r="E211" s="7"/>
      <c r="F211" s="22"/>
      <c r="G211" s="6">
        <f>+SUM(E$9:$E211)-SUM(F$9:$F211)</f>
        <v>169171000</v>
      </c>
    </row>
    <row r="212" spans="1:7" ht="28.8" x14ac:dyDescent="0.55000000000000004">
      <c r="A212" s="12"/>
      <c r="B212" s="13"/>
      <c r="C212" s="10"/>
      <c r="D212" s="10"/>
      <c r="E212" s="7"/>
      <c r="F212" s="22"/>
      <c r="G212" s="6">
        <f>+SUM(E$9:$E212)-SUM(F$9:$F212)</f>
        <v>169171000</v>
      </c>
    </row>
    <row r="213" spans="1:7" ht="28.8" x14ac:dyDescent="0.55000000000000004">
      <c r="A213" s="12"/>
      <c r="B213" s="13"/>
      <c r="C213" s="10"/>
      <c r="D213" s="10"/>
      <c r="E213" s="7"/>
      <c r="F213" s="22"/>
      <c r="G213" s="6">
        <f>+SUM(E$9:$E213)-SUM(F$9:$F213)</f>
        <v>169171000</v>
      </c>
    </row>
    <row r="214" spans="1:7" ht="28.8" x14ac:dyDescent="0.55000000000000004">
      <c r="A214" s="12"/>
      <c r="B214" s="13"/>
      <c r="C214" s="10"/>
      <c r="D214" s="10"/>
      <c r="E214" s="7"/>
      <c r="F214" s="22"/>
      <c r="G214" s="6">
        <f>+SUM(E$9:$E214)-SUM(F$9:$F214)</f>
        <v>169171000</v>
      </c>
    </row>
    <row r="215" spans="1:7" ht="28.8" x14ac:dyDescent="0.55000000000000004">
      <c r="A215" s="12"/>
      <c r="B215" s="13"/>
      <c r="C215" s="10"/>
      <c r="D215" s="10"/>
      <c r="E215" s="7"/>
      <c r="F215" s="22"/>
      <c r="G215" s="6">
        <f>+SUM(E$9:$E215)-SUM(F$9:$F215)</f>
        <v>169171000</v>
      </c>
    </row>
    <row r="216" spans="1:7" ht="28.8" x14ac:dyDescent="0.55000000000000004">
      <c r="A216" s="12"/>
      <c r="B216" s="13"/>
      <c r="C216" s="10"/>
      <c r="D216" s="10"/>
      <c r="E216" s="7"/>
      <c r="F216" s="22"/>
      <c r="G216" s="6">
        <f>+SUM(E$9:$E216)-SUM(F$9:$F216)</f>
        <v>169171000</v>
      </c>
    </row>
    <row r="217" spans="1:7" ht="28.8" x14ac:dyDescent="0.55000000000000004">
      <c r="A217" s="12"/>
      <c r="B217" s="13"/>
      <c r="C217" s="10"/>
      <c r="D217" s="10"/>
      <c r="E217" s="7"/>
      <c r="F217" s="22"/>
      <c r="G217" s="6">
        <f>+SUM(E$9:$E217)-SUM(F$9:$F217)</f>
        <v>169171000</v>
      </c>
    </row>
    <row r="218" spans="1:7" ht="28.8" x14ac:dyDescent="0.55000000000000004">
      <c r="A218" s="12"/>
      <c r="B218" s="13"/>
      <c r="C218" s="10"/>
      <c r="D218" s="10"/>
      <c r="E218" s="7"/>
      <c r="F218" s="22"/>
      <c r="G218" s="6">
        <f>+SUM(E$9:$E218)-SUM(F$9:$F218)</f>
        <v>169171000</v>
      </c>
    </row>
    <row r="219" spans="1:7" ht="28.8" x14ac:dyDescent="0.55000000000000004">
      <c r="A219" s="12"/>
      <c r="B219" s="13"/>
      <c r="C219" s="10"/>
      <c r="D219" s="10"/>
      <c r="E219" s="7"/>
      <c r="F219" s="22"/>
      <c r="G219" s="6">
        <f>+SUM(E$9:$E219)-SUM(F$9:$F219)</f>
        <v>169171000</v>
      </c>
    </row>
    <row r="220" spans="1:7" ht="28.8" x14ac:dyDescent="0.55000000000000004">
      <c r="A220" s="12"/>
      <c r="B220" s="13"/>
      <c r="C220" s="10"/>
      <c r="D220" s="10"/>
      <c r="E220" s="7"/>
      <c r="F220" s="22"/>
      <c r="G220" s="6">
        <f>+SUM(E$9:$E220)-SUM(F$9:$F220)</f>
        <v>169171000</v>
      </c>
    </row>
    <row r="221" spans="1:7" ht="28.8" x14ac:dyDescent="0.55000000000000004">
      <c r="A221" s="12"/>
      <c r="B221" s="13"/>
      <c r="C221" s="10"/>
      <c r="D221" s="10"/>
      <c r="E221" s="7"/>
      <c r="F221" s="22"/>
      <c r="G221" s="6">
        <f>+SUM(E$9:$E221)-SUM(F$9:$F221)</f>
        <v>169171000</v>
      </c>
    </row>
    <row r="222" spans="1:7" ht="28.8" x14ac:dyDescent="0.55000000000000004">
      <c r="A222" s="12"/>
      <c r="B222" s="13"/>
      <c r="C222" s="10"/>
      <c r="D222" s="10"/>
      <c r="E222" s="7"/>
      <c r="F222" s="22"/>
      <c r="G222" s="6">
        <f>+SUM(E$9:$E222)-SUM(F$9:$F222)</f>
        <v>169171000</v>
      </c>
    </row>
    <row r="223" spans="1:7" ht="28.8" x14ac:dyDescent="0.55000000000000004">
      <c r="A223" s="12"/>
      <c r="B223" s="13"/>
      <c r="C223" s="10"/>
      <c r="D223" s="10"/>
      <c r="E223" s="7"/>
      <c r="F223" s="22"/>
      <c r="G223" s="6">
        <f>+SUM(E$9:$E223)-SUM(F$9:$F223)</f>
        <v>169171000</v>
      </c>
    </row>
    <row r="224" spans="1:7" ht="28.8" x14ac:dyDescent="0.55000000000000004">
      <c r="A224" s="12"/>
      <c r="B224" s="13"/>
      <c r="C224" s="10"/>
      <c r="D224" s="10"/>
      <c r="E224" s="7"/>
      <c r="F224" s="22"/>
      <c r="G224" s="6">
        <f>+SUM(E$9:$E224)-SUM(F$9:$F224)</f>
        <v>169171000</v>
      </c>
    </row>
    <row r="225" spans="1:7" ht="28.8" x14ac:dyDescent="0.55000000000000004">
      <c r="A225" s="12"/>
      <c r="B225" s="13"/>
      <c r="C225" s="10"/>
      <c r="D225" s="10"/>
      <c r="E225" s="7"/>
      <c r="F225" s="22"/>
      <c r="G225" s="6">
        <f>+SUM(E$9:$E225)-SUM(F$9:$F225)</f>
        <v>169171000</v>
      </c>
    </row>
    <row r="226" spans="1:7" ht="28.8" x14ac:dyDescent="0.55000000000000004">
      <c r="A226" s="12"/>
      <c r="B226" s="13"/>
      <c r="C226" s="10"/>
      <c r="D226" s="10"/>
      <c r="E226" s="7"/>
      <c r="F226" s="22"/>
      <c r="G226" s="6">
        <f>+SUM(E$9:$E226)-SUM(F$9:$F226)</f>
        <v>169171000</v>
      </c>
    </row>
    <row r="227" spans="1:7" ht="28.8" x14ac:dyDescent="0.55000000000000004">
      <c r="A227" s="12"/>
      <c r="B227" s="13"/>
      <c r="C227" s="10"/>
      <c r="D227" s="10"/>
      <c r="E227" s="7"/>
      <c r="F227" s="22"/>
      <c r="G227" s="6">
        <f>+SUM(E$9:$E227)-SUM(F$9:$F227)</f>
        <v>169171000</v>
      </c>
    </row>
    <row r="228" spans="1:7" ht="28.8" x14ac:dyDescent="0.55000000000000004">
      <c r="A228" s="12"/>
      <c r="B228" s="13"/>
      <c r="C228" s="10"/>
      <c r="D228" s="10"/>
      <c r="E228" s="7"/>
      <c r="F228" s="22"/>
      <c r="G228" s="6">
        <f>+SUM(E$9:$E228)-SUM(F$9:$F228)</f>
        <v>169171000</v>
      </c>
    </row>
    <row r="229" spans="1:7" ht="28.8" x14ac:dyDescent="0.55000000000000004">
      <c r="A229" s="79"/>
      <c r="B229" s="13"/>
      <c r="C229" s="81"/>
      <c r="D229" s="81"/>
      <c r="E229" s="82"/>
      <c r="F229" s="83"/>
      <c r="G229" s="84">
        <f>+SUM(E$9:$E229)-SUM(F$9:$F229)</f>
        <v>169171000</v>
      </c>
    </row>
    <row r="230" spans="1:7" ht="28.8" x14ac:dyDescent="0.55000000000000004">
      <c r="A230" s="79"/>
      <c r="B230" s="13"/>
      <c r="C230" s="81"/>
      <c r="D230" s="81"/>
      <c r="E230" s="82"/>
      <c r="F230" s="83"/>
      <c r="G230" s="84">
        <f>+SUM(E$9:$E230)-SUM(F$9:$F230)</f>
        <v>169171000</v>
      </c>
    </row>
    <row r="231" spans="1:7" ht="28.8" x14ac:dyDescent="0.55000000000000004">
      <c r="A231" s="79"/>
      <c r="B231" s="13"/>
      <c r="C231" s="81"/>
      <c r="D231" s="81"/>
      <c r="E231" s="82"/>
      <c r="F231" s="83"/>
      <c r="G231" s="84">
        <f>+SUM(E$9:$E231)-SUM(F$9:$F231)</f>
        <v>169171000</v>
      </c>
    </row>
    <row r="232" spans="1:7" ht="28.8" x14ac:dyDescent="0.55000000000000004">
      <c r="A232" s="79"/>
      <c r="B232" s="13"/>
      <c r="C232" s="81"/>
      <c r="D232" s="81"/>
      <c r="E232" s="82"/>
      <c r="F232" s="83"/>
      <c r="G232" s="84">
        <f>+SUM(E$9:$E232)-SUM(F$9:$F232)</f>
        <v>169171000</v>
      </c>
    </row>
    <row r="233" spans="1:7" ht="28.8" x14ac:dyDescent="0.55000000000000004">
      <c r="A233" s="79"/>
      <c r="B233" s="13"/>
      <c r="C233" s="81"/>
      <c r="D233" s="81"/>
      <c r="E233" s="82"/>
      <c r="F233" s="83"/>
      <c r="G233" s="84">
        <f>+SUM(E$9:$E233)-SUM(F$9:$F233)</f>
        <v>169171000</v>
      </c>
    </row>
    <row r="234" spans="1:7" ht="28.8" x14ac:dyDescent="0.55000000000000004">
      <c r="A234" s="79"/>
      <c r="B234" s="13"/>
      <c r="C234" s="81"/>
      <c r="D234" s="81"/>
      <c r="E234" s="82"/>
      <c r="F234" s="83"/>
      <c r="G234" s="84">
        <f>+SUM(E$9:$E234)-SUM(F$9:$F234)</f>
        <v>169171000</v>
      </c>
    </row>
    <row r="235" spans="1:7" ht="28.8" x14ac:dyDescent="0.55000000000000004">
      <c r="A235" s="79"/>
      <c r="B235" s="13"/>
      <c r="C235" s="81"/>
      <c r="D235" s="81"/>
      <c r="E235" s="82"/>
      <c r="F235" s="83"/>
      <c r="G235" s="84">
        <f>+SUM(E$9:$E235)-SUM(F$9:$F235)</f>
        <v>169171000</v>
      </c>
    </row>
    <row r="236" spans="1:7" ht="28.8" x14ac:dyDescent="0.55000000000000004">
      <c r="A236" s="79"/>
      <c r="B236" s="13"/>
      <c r="C236" s="81"/>
      <c r="D236" s="81"/>
      <c r="E236" s="82"/>
      <c r="F236" s="83"/>
      <c r="G236" s="84">
        <f>+SUM(E$9:$E236)-SUM(F$9:$F236)</f>
        <v>169171000</v>
      </c>
    </row>
    <row r="237" spans="1:7" ht="28.8" x14ac:dyDescent="0.55000000000000004">
      <c r="A237" s="79"/>
      <c r="B237" s="13"/>
      <c r="C237" s="81"/>
      <c r="D237" s="81"/>
      <c r="E237" s="82"/>
      <c r="F237" s="83"/>
      <c r="G237" s="84">
        <f>+SUM(E$9:$E237)-SUM(F$9:$F237)</f>
        <v>169171000</v>
      </c>
    </row>
    <row r="238" spans="1:7" ht="28.8" x14ac:dyDescent="0.55000000000000004">
      <c r="A238" s="79"/>
      <c r="B238" s="13"/>
      <c r="C238" s="81"/>
      <c r="D238" s="81"/>
      <c r="E238" s="82"/>
      <c r="F238" s="83"/>
      <c r="G238" s="84">
        <f>+SUM(E$9:$E238)-SUM(F$9:$F238)</f>
        <v>169171000</v>
      </c>
    </row>
    <row r="239" spans="1:7" ht="28.8" x14ac:dyDescent="0.55000000000000004">
      <c r="A239" s="79"/>
      <c r="B239" s="13"/>
      <c r="C239" s="81"/>
      <c r="D239" s="81"/>
      <c r="E239" s="82"/>
      <c r="F239" s="83"/>
      <c r="G239" s="84">
        <f>+SUM(E$9:$E239)-SUM(F$9:$F239)</f>
        <v>169171000</v>
      </c>
    </row>
    <row r="240" spans="1:7" ht="28.8" x14ac:dyDescent="0.55000000000000004">
      <c r="A240" s="79"/>
      <c r="B240" s="13"/>
      <c r="C240" s="81"/>
      <c r="D240" s="81"/>
      <c r="E240" s="82"/>
      <c r="F240" s="83"/>
      <c r="G240" s="84">
        <f>+SUM(E$9:$E240)-SUM(F$9:$F240)</f>
        <v>169171000</v>
      </c>
    </row>
    <row r="241" spans="1:7" ht="28.8" x14ac:dyDescent="0.55000000000000004">
      <c r="A241" s="79"/>
      <c r="B241" s="13"/>
      <c r="C241" s="81"/>
      <c r="D241" s="81"/>
      <c r="E241" s="82"/>
      <c r="F241" s="83"/>
      <c r="G241" s="84">
        <f>+SUM(E$9:$E241)-SUM(F$9:$F241)</f>
        <v>169171000</v>
      </c>
    </row>
    <row r="242" spans="1:7" ht="28.8" x14ac:dyDescent="0.55000000000000004">
      <c r="A242" s="79"/>
      <c r="B242" s="13"/>
      <c r="C242" s="81"/>
      <c r="D242" s="81"/>
      <c r="E242" s="82"/>
      <c r="F242" s="83"/>
      <c r="G242" s="84">
        <f>+SUM(E$9:$E242)-SUM(F$9:$F242)</f>
        <v>169171000</v>
      </c>
    </row>
    <row r="243" spans="1:7" ht="28.8" x14ac:dyDescent="0.55000000000000004">
      <c r="A243" s="79"/>
      <c r="B243" s="13"/>
      <c r="C243" s="81"/>
      <c r="D243" s="81"/>
      <c r="E243" s="82"/>
      <c r="F243" s="83"/>
      <c r="G243" s="84">
        <f>+SUM(E$9:$E243)-SUM(F$9:$F243)</f>
        <v>169171000</v>
      </c>
    </row>
    <row r="244" spans="1:7" ht="28.8" x14ac:dyDescent="0.55000000000000004">
      <c r="A244" s="79"/>
      <c r="B244" s="13"/>
      <c r="C244" s="81"/>
      <c r="D244" s="81"/>
      <c r="E244" s="82"/>
      <c r="F244" s="83"/>
      <c r="G244" s="84">
        <f>+SUM(E$9:$E244)-SUM(F$9:$F244)</f>
        <v>169171000</v>
      </c>
    </row>
    <row r="245" spans="1:7" ht="28.8" x14ac:dyDescent="0.55000000000000004">
      <c r="A245" s="79"/>
      <c r="B245" s="13"/>
      <c r="C245" s="81"/>
      <c r="D245" s="81"/>
      <c r="E245" s="82"/>
      <c r="F245" s="83"/>
      <c r="G245" s="84">
        <f>+SUM(E$9:$E245)-SUM(F$9:$F245)</f>
        <v>169171000</v>
      </c>
    </row>
    <row r="246" spans="1:7" ht="28.8" x14ac:dyDescent="0.55000000000000004">
      <c r="A246" s="79"/>
      <c r="B246" s="13"/>
      <c r="C246" s="81"/>
      <c r="D246" s="81"/>
      <c r="E246" s="82"/>
      <c r="F246" s="83"/>
      <c r="G246" s="84">
        <f>+SUM(E$9:$E246)-SUM(F$9:$F246)</f>
        <v>169171000</v>
      </c>
    </row>
    <row r="247" spans="1:7" ht="28.8" x14ac:dyDescent="0.55000000000000004">
      <c r="A247" s="79"/>
      <c r="B247" s="13"/>
      <c r="C247" s="81"/>
      <c r="D247" s="81"/>
      <c r="E247" s="82"/>
      <c r="F247" s="83"/>
      <c r="G247" s="84">
        <f>+SUM(E$9:$E247)-SUM(F$9:$F247)</f>
        <v>169171000</v>
      </c>
    </row>
    <row r="248" spans="1:7" ht="28.8" x14ac:dyDescent="0.55000000000000004">
      <c r="A248" s="79"/>
      <c r="B248" s="13"/>
      <c r="C248" s="81"/>
      <c r="D248" s="81"/>
      <c r="E248" s="82"/>
      <c r="F248" s="83"/>
      <c r="G248" s="84">
        <f>+SUM(E$9:$E248)-SUM(F$9:$F248)</f>
        <v>169171000</v>
      </c>
    </row>
    <row r="249" spans="1:7" ht="28.8" x14ac:dyDescent="0.55000000000000004">
      <c r="A249" s="79"/>
      <c r="B249" s="13"/>
      <c r="C249" s="81"/>
      <c r="D249" s="81"/>
      <c r="E249" s="82"/>
      <c r="F249" s="83"/>
      <c r="G249" s="84">
        <f>+SUM(E$9:$E249)-SUM(F$9:$F249)</f>
        <v>169171000</v>
      </c>
    </row>
    <row r="250" spans="1:7" ht="28.8" x14ac:dyDescent="0.55000000000000004">
      <c r="A250" s="79"/>
      <c r="B250" s="13"/>
      <c r="C250" s="81"/>
      <c r="D250" s="81"/>
      <c r="E250" s="82"/>
      <c r="F250" s="83"/>
      <c r="G250" s="84">
        <f>+SUM(E$9:$E250)-SUM(F$9:$F250)</f>
        <v>169171000</v>
      </c>
    </row>
    <row r="251" spans="1:7" ht="28.8" x14ac:dyDescent="0.55000000000000004">
      <c r="A251" s="79"/>
      <c r="B251" s="13"/>
      <c r="C251" s="81"/>
      <c r="D251" s="81"/>
      <c r="E251" s="82"/>
      <c r="F251" s="83"/>
      <c r="G251" s="84">
        <f>+SUM(E$9:$E251)-SUM(F$9:$F251)</f>
        <v>169171000</v>
      </c>
    </row>
    <row r="252" spans="1:7" ht="28.8" x14ac:dyDescent="0.55000000000000004">
      <c r="A252" s="79"/>
      <c r="B252" s="13"/>
      <c r="C252" s="81"/>
      <c r="D252" s="81"/>
      <c r="E252" s="82"/>
      <c r="F252" s="83"/>
      <c r="G252" s="84">
        <f>+SUM(E$9:$E252)-SUM(F$9:$F252)</f>
        <v>169171000</v>
      </c>
    </row>
    <row r="253" spans="1:7" ht="28.8" x14ac:dyDescent="0.55000000000000004">
      <c r="A253" s="79"/>
      <c r="B253" s="13"/>
      <c r="C253" s="81"/>
      <c r="D253" s="81"/>
      <c r="E253" s="82"/>
      <c r="F253" s="83"/>
      <c r="G253" s="84">
        <f>+SUM(E$9:$E253)-SUM(F$9:$F253)</f>
        <v>169171000</v>
      </c>
    </row>
    <row r="254" spans="1:7" ht="28.8" x14ac:dyDescent="0.55000000000000004">
      <c r="A254" s="79"/>
      <c r="B254" s="13"/>
      <c r="C254" s="81"/>
      <c r="D254" s="81"/>
      <c r="E254" s="82"/>
      <c r="F254" s="83"/>
      <c r="G254" s="84">
        <f>+SUM(E$9:$E254)-SUM(F$9:$F254)</f>
        <v>169171000</v>
      </c>
    </row>
    <row r="255" spans="1:7" ht="28.8" x14ac:dyDescent="0.55000000000000004">
      <c r="A255" s="79"/>
      <c r="B255" s="13"/>
      <c r="C255" s="81"/>
      <c r="D255" s="81"/>
      <c r="E255" s="82"/>
      <c r="F255" s="83"/>
      <c r="G255" s="84">
        <f>+SUM(E$9:$E255)-SUM(F$9:$F255)</f>
        <v>169171000</v>
      </c>
    </row>
    <row r="256" spans="1:7" ht="28.8" x14ac:dyDescent="0.55000000000000004">
      <c r="A256" s="79"/>
      <c r="B256" s="13"/>
      <c r="C256" s="81"/>
      <c r="D256" s="81"/>
      <c r="E256" s="82"/>
      <c r="F256" s="83"/>
      <c r="G256" s="84">
        <f>+SUM(E$9:$E256)-SUM(F$9:$F256)</f>
        <v>169171000</v>
      </c>
    </row>
    <row r="257" spans="1:7" ht="28.8" x14ac:dyDescent="0.55000000000000004">
      <c r="A257" s="79"/>
      <c r="B257" s="13"/>
      <c r="C257" s="81"/>
      <c r="D257" s="81"/>
      <c r="E257" s="82"/>
      <c r="F257" s="83"/>
      <c r="G257" s="84">
        <f>+SUM(E$9:$E257)-SUM(F$9:$F257)</f>
        <v>169171000</v>
      </c>
    </row>
    <row r="258" spans="1:7" ht="28.8" x14ac:dyDescent="0.55000000000000004">
      <c r="A258" s="79"/>
      <c r="B258" s="13"/>
      <c r="C258" s="81"/>
      <c r="D258" s="81"/>
      <c r="E258" s="82"/>
      <c r="F258" s="83"/>
      <c r="G258" s="84">
        <f>+SUM(E$9:$E258)-SUM(F$9:$F258)</f>
        <v>169171000</v>
      </c>
    </row>
    <row r="259" spans="1:7" ht="28.8" x14ac:dyDescent="0.55000000000000004">
      <c r="A259" s="79"/>
      <c r="B259" s="13"/>
      <c r="C259" s="81"/>
      <c r="D259" s="81"/>
      <c r="E259" s="82"/>
      <c r="F259" s="83"/>
      <c r="G259" s="84">
        <f>+SUM(E$9:$E259)-SUM(F$9:$F259)</f>
        <v>169171000</v>
      </c>
    </row>
    <row r="260" spans="1:7" ht="28.8" x14ac:dyDescent="0.55000000000000004">
      <c r="A260" s="79"/>
      <c r="B260" s="13"/>
      <c r="C260" s="81"/>
      <c r="D260" s="81"/>
      <c r="E260" s="82"/>
      <c r="F260" s="83"/>
      <c r="G260" s="84">
        <f>+SUM(E$9:$E260)-SUM(F$9:$F260)</f>
        <v>169171000</v>
      </c>
    </row>
    <row r="261" spans="1:7" ht="28.8" x14ac:dyDescent="0.55000000000000004">
      <c r="A261" s="79"/>
      <c r="B261" s="13"/>
      <c r="C261" s="81"/>
      <c r="D261" s="81"/>
      <c r="E261" s="82"/>
      <c r="F261" s="83"/>
      <c r="G261" s="84">
        <f>+SUM(E$9:$E261)-SUM(F$9:$F261)</f>
        <v>169171000</v>
      </c>
    </row>
    <row r="262" spans="1:7" ht="28.8" x14ac:dyDescent="0.55000000000000004">
      <c r="A262" s="79"/>
      <c r="B262" s="13"/>
      <c r="C262" s="81"/>
      <c r="D262" s="81"/>
      <c r="E262" s="82"/>
      <c r="F262" s="83"/>
      <c r="G262" s="84">
        <f>+SUM(E$9:$E262)-SUM(F$9:$F262)</f>
        <v>169171000</v>
      </c>
    </row>
    <row r="263" spans="1:7" ht="28.8" x14ac:dyDescent="0.55000000000000004">
      <c r="A263" s="79"/>
      <c r="B263" s="13"/>
      <c r="C263" s="81"/>
      <c r="D263" s="81"/>
      <c r="E263" s="82"/>
      <c r="F263" s="83"/>
      <c r="G263" s="84">
        <f>+SUM(E$9:$E263)-SUM(F$9:$F263)</f>
        <v>169171000</v>
      </c>
    </row>
    <row r="264" spans="1:7" ht="28.8" x14ac:dyDescent="0.55000000000000004">
      <c r="A264" s="79"/>
      <c r="B264" s="13"/>
      <c r="C264" s="81"/>
      <c r="D264" s="81"/>
      <c r="E264" s="82"/>
      <c r="F264" s="83"/>
      <c r="G264" s="84">
        <f>+SUM(E$9:$E264)-SUM(F$9:$F264)</f>
        <v>169171000</v>
      </c>
    </row>
    <row r="265" spans="1:7" ht="28.8" x14ac:dyDescent="0.55000000000000004">
      <c r="A265" s="79"/>
      <c r="B265" s="13"/>
      <c r="C265" s="81"/>
      <c r="D265" s="81"/>
      <c r="E265" s="82"/>
      <c r="F265" s="83"/>
      <c r="G265" s="84">
        <f>+SUM(E$9:$E265)-SUM(F$9:$F265)</f>
        <v>169171000</v>
      </c>
    </row>
    <row r="266" spans="1:7" ht="28.8" x14ac:dyDescent="0.55000000000000004">
      <c r="A266" s="79"/>
      <c r="B266" s="13"/>
      <c r="C266" s="81"/>
      <c r="D266" s="81"/>
      <c r="E266" s="82"/>
      <c r="F266" s="83"/>
      <c r="G266" s="84">
        <f>+SUM(E$9:$E266)-SUM(F$9:$F266)</f>
        <v>169171000</v>
      </c>
    </row>
    <row r="267" spans="1:7" ht="28.8" x14ac:dyDescent="0.55000000000000004">
      <c r="A267" s="79"/>
      <c r="B267" s="13"/>
      <c r="C267" s="81"/>
      <c r="D267" s="81"/>
      <c r="E267" s="82"/>
      <c r="F267" s="83"/>
      <c r="G267" s="84">
        <f>+SUM(E$9:$E267)-SUM(F$9:$F267)</f>
        <v>169171000</v>
      </c>
    </row>
    <row r="268" spans="1:7" ht="28.8" x14ac:dyDescent="0.55000000000000004">
      <c r="A268" s="79"/>
      <c r="B268" s="13"/>
      <c r="C268" s="81"/>
      <c r="D268" s="81"/>
      <c r="E268" s="82"/>
      <c r="F268" s="83"/>
      <c r="G268" s="84">
        <f>+SUM(E$9:$E268)-SUM(F$9:$F268)</f>
        <v>169171000</v>
      </c>
    </row>
    <row r="269" spans="1:7" ht="28.8" x14ac:dyDescent="0.55000000000000004">
      <c r="A269" s="79"/>
      <c r="B269" s="80"/>
      <c r="C269" s="81"/>
      <c r="D269" s="81"/>
      <c r="E269" s="82">
        <f>+$I$2+(MOHAMEDZALZALE[[#This Row],[QUANTITE]]*MOHAMEDZALZALE[[#This Row],[PRIX UNITAIRE]])</f>
        <v>0</v>
      </c>
      <c r="F269" s="83"/>
      <c r="G269" s="84">
        <f>+SUM(E$9:$E269)-SUM(F$9:$F269)</f>
        <v>169171000</v>
      </c>
    </row>
    <row r="270" spans="1:7" ht="28.8" x14ac:dyDescent="0.55000000000000004">
      <c r="A270" s="79"/>
      <c r="B270" s="80"/>
      <c r="C270" s="81"/>
      <c r="D270" s="81"/>
      <c r="E270" s="82">
        <f>+$I$2+(MOHAMEDZALZALE[[#This Row],[QUANTITE]]*MOHAMEDZALZALE[[#This Row],[PRIX UNITAIRE]])</f>
        <v>0</v>
      </c>
      <c r="F270" s="83"/>
      <c r="G270" s="84">
        <f>+SUM(E$9:$E270)-SUM(F$9:$F270)</f>
        <v>169171000</v>
      </c>
    </row>
    <row r="271" spans="1:7" ht="28.8" x14ac:dyDescent="0.55000000000000004">
      <c r="A271" s="79"/>
      <c r="B271" s="80"/>
      <c r="C271" s="81"/>
      <c r="D271" s="81"/>
      <c r="E271" s="82">
        <f>+$I$2+(MOHAMEDZALZALE[[#This Row],[QUANTITE]]*MOHAMEDZALZALE[[#This Row],[PRIX UNITAIRE]])</f>
        <v>0</v>
      </c>
      <c r="F271" s="83"/>
      <c r="G271" s="84">
        <f>+SUM(E$9:$E271)-SUM(F$9:$F271)</f>
        <v>169171000</v>
      </c>
    </row>
    <row r="272" spans="1:7" ht="28.8" x14ac:dyDescent="0.55000000000000004">
      <c r="A272" s="79"/>
      <c r="B272" s="80"/>
      <c r="C272" s="81"/>
      <c r="D272" s="81"/>
      <c r="E272" s="82">
        <f>+$I$2+(MOHAMEDZALZALE[[#This Row],[QUANTITE]]*MOHAMEDZALZALE[[#This Row],[PRIX UNITAIRE]])</f>
        <v>0</v>
      </c>
      <c r="F272" s="83"/>
      <c r="G272" s="84">
        <f>+SUM(E$9:$E272)-SUM(F$9:$F272)</f>
        <v>169171000</v>
      </c>
    </row>
    <row r="273" spans="1:7" ht="28.8" x14ac:dyDescent="0.55000000000000004">
      <c r="A273" s="79"/>
      <c r="B273" s="80"/>
      <c r="C273" s="81"/>
      <c r="D273" s="81"/>
      <c r="E273" s="82">
        <f>+$I$2+(MOHAMEDZALZALE[[#This Row],[QUANTITE]]*MOHAMEDZALZALE[[#This Row],[PRIX UNITAIRE]])</f>
        <v>0</v>
      </c>
      <c r="F273" s="83"/>
      <c r="G273" s="84">
        <f>+SUM(E$9:$E273)-SUM(F$9:$F273)</f>
        <v>169171000</v>
      </c>
    </row>
    <row r="274" spans="1:7" ht="28.8" x14ac:dyDescent="0.55000000000000004">
      <c r="A274" s="79"/>
      <c r="B274" s="80"/>
      <c r="C274" s="81"/>
      <c r="D274" s="81"/>
      <c r="E274" s="82">
        <f>+$I$2+(MOHAMEDZALZALE[[#This Row],[QUANTITE]]*MOHAMEDZALZALE[[#This Row],[PRIX UNITAIRE]])</f>
        <v>0</v>
      </c>
      <c r="F274" s="83"/>
      <c r="G274" s="84">
        <f>+SUM(E$9:$E274)-SUM(F$9:$F274)</f>
        <v>169171000</v>
      </c>
    </row>
    <row r="275" spans="1:7" ht="28.8" x14ac:dyDescent="0.55000000000000004">
      <c r="A275" s="79"/>
      <c r="B275" s="80"/>
      <c r="C275" s="81"/>
      <c r="D275" s="81"/>
      <c r="E275" s="82">
        <f>+$I$2+(MOHAMEDZALZALE[[#This Row],[QUANTITE]]*MOHAMEDZALZALE[[#This Row],[PRIX UNITAIRE]])</f>
        <v>0</v>
      </c>
      <c r="F275" s="83"/>
      <c r="G275" s="84">
        <f>+SUM(E$9:$E275)-SUM(F$9:$F275)</f>
        <v>169171000</v>
      </c>
    </row>
    <row r="276" spans="1:7" ht="28.8" x14ac:dyDescent="0.55000000000000004">
      <c r="A276" s="79"/>
      <c r="B276" s="80"/>
      <c r="C276" s="81"/>
      <c r="D276" s="81"/>
      <c r="E276" s="82">
        <f>+$I$2+(MOHAMEDZALZALE[[#This Row],[QUANTITE]]*MOHAMEDZALZALE[[#This Row],[PRIX UNITAIRE]])</f>
        <v>0</v>
      </c>
      <c r="F276" s="83"/>
      <c r="G276" s="84">
        <f>+SUM(E$9:$E276)-SUM(F$9:$F276)</f>
        <v>169171000</v>
      </c>
    </row>
    <row r="277" spans="1:7" ht="28.8" x14ac:dyDescent="0.55000000000000004">
      <c r="A277" s="79"/>
      <c r="B277" s="80"/>
      <c r="C277" s="81"/>
      <c r="D277" s="81"/>
      <c r="E277" s="82">
        <f>+$I$2+(MOHAMEDZALZALE[[#This Row],[QUANTITE]]*MOHAMEDZALZALE[[#This Row],[PRIX UNITAIRE]])</f>
        <v>0</v>
      </c>
      <c r="F277" s="83"/>
      <c r="G277" s="84">
        <f>+SUM(E$9:$E277)-SUM(F$9:$F277)</f>
        <v>169171000</v>
      </c>
    </row>
    <row r="278" spans="1:7" ht="28.8" x14ac:dyDescent="0.55000000000000004">
      <c r="A278" s="79"/>
      <c r="B278" s="80"/>
      <c r="C278" s="81"/>
      <c r="D278" s="81"/>
      <c r="E278" s="82">
        <f>+$I$2+(MOHAMEDZALZALE[[#This Row],[QUANTITE]]*MOHAMEDZALZALE[[#This Row],[PRIX UNITAIRE]])</f>
        <v>0</v>
      </c>
      <c r="F278" s="83"/>
      <c r="G278" s="84">
        <f>+SUM(E$9:$E278)-SUM(F$9:$F278)</f>
        <v>169171000</v>
      </c>
    </row>
  </sheetData>
  <sheetProtection selectLockedCells="1" autoFilter="0"/>
  <mergeCells count="1">
    <mergeCell ref="B6:C6"/>
  </mergeCells>
  <conditionalFormatting sqref="B9:B278">
    <cfRule type="expression" dxfId="652" priority="5">
      <formula>$F9</formula>
    </cfRule>
  </conditionalFormatting>
  <conditionalFormatting sqref="G4">
    <cfRule type="cellIs" dxfId="651" priority="2" operator="lessThan">
      <formula>0</formula>
    </cfRule>
    <cfRule type="cellIs" dxfId="650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78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/>
  <dimension ref="A1:I57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+SUM(AUTOROY[TOTAL MONTANT])</f>
        <v>195000</v>
      </c>
      <c r="F4" s="39">
        <f>+SUM(AUTOROY[VERSEMENT])</f>
        <v>195000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89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61">
        <v>46069</v>
      </c>
      <c r="B9" s="40" t="s">
        <v>58</v>
      </c>
      <c r="C9" s="112">
        <v>1</v>
      </c>
      <c r="D9" s="64">
        <v>195000</v>
      </c>
      <c r="E9" s="64">
        <v>195000</v>
      </c>
      <c r="F9" s="109">
        <v>0</v>
      </c>
      <c r="G9" s="60">
        <f>+SUM(E$9:$E9)-SUM(F$9:$F9)</f>
        <v>195000</v>
      </c>
    </row>
    <row r="10" spans="1:9" ht="28.8" x14ac:dyDescent="0.55000000000000004">
      <c r="A10" s="61">
        <v>46078</v>
      </c>
      <c r="B10" s="40" t="s">
        <v>90</v>
      </c>
      <c r="C10" s="62">
        <v>0</v>
      </c>
      <c r="D10" s="63">
        <v>0</v>
      </c>
      <c r="E10" s="64">
        <v>0</v>
      </c>
      <c r="F10" s="109">
        <v>195000</v>
      </c>
      <c r="G10" s="60">
        <f>+SUM(E$9:$E10)-SUM(F$9:$F10)</f>
        <v>0</v>
      </c>
    </row>
    <row r="11" spans="1:9" ht="28.8" x14ac:dyDescent="0.55000000000000004">
      <c r="A11" s="61"/>
      <c r="B11" s="40"/>
      <c r="C11" s="62"/>
      <c r="D11" s="63"/>
      <c r="E11" s="64">
        <v>0</v>
      </c>
      <c r="F11" s="109"/>
      <c r="G11" s="60">
        <f>+SUM(E$9:$E11)-SUM(F$9:$F11)</f>
        <v>0</v>
      </c>
    </row>
    <row r="12" spans="1:9" ht="28.8" x14ac:dyDescent="0.55000000000000004">
      <c r="A12" s="61"/>
      <c r="B12" s="40"/>
      <c r="C12" s="62"/>
      <c r="D12" s="63"/>
      <c r="E12" s="64">
        <v>0</v>
      </c>
      <c r="F12" s="109"/>
      <c r="G12" s="60">
        <f>+SUM(E$9:$E12)-SUM(F$9:$F12)</f>
        <v>0</v>
      </c>
    </row>
    <row r="13" spans="1:9" ht="28.8" x14ac:dyDescent="0.55000000000000004">
      <c r="A13" s="61"/>
      <c r="B13" s="40"/>
      <c r="C13" s="62"/>
      <c r="D13" s="63"/>
      <c r="E13" s="64">
        <v>0</v>
      </c>
      <c r="F13" s="109"/>
      <c r="G13" s="60">
        <f>+SUM(E$9:$E13)-SUM(F$9:$F13)</f>
        <v>0</v>
      </c>
    </row>
    <row r="14" spans="1:9" ht="28.8" x14ac:dyDescent="0.55000000000000004">
      <c r="A14" s="61"/>
      <c r="B14" s="40"/>
      <c r="C14" s="62"/>
      <c r="D14" s="63"/>
      <c r="E14" s="64">
        <v>0</v>
      </c>
      <c r="F14" s="109"/>
      <c r="G14" s="60">
        <f>+SUM(E$9:$E14)-SUM(F$9:$F14)</f>
        <v>0</v>
      </c>
    </row>
    <row r="15" spans="1:9" ht="28.8" x14ac:dyDescent="0.55000000000000004">
      <c r="A15" s="61"/>
      <c r="B15" s="40"/>
      <c r="C15" s="62"/>
      <c r="D15" s="63"/>
      <c r="E15" s="64">
        <v>0</v>
      </c>
      <c r="F15" s="109"/>
      <c r="G15" s="60">
        <f>+SUM(E$9:$E15)-SUM(F$9:$F15)</f>
        <v>0</v>
      </c>
    </row>
    <row r="16" spans="1:9" ht="28.8" x14ac:dyDescent="0.55000000000000004">
      <c r="A16" s="61"/>
      <c r="B16" s="40"/>
      <c r="C16" s="62"/>
      <c r="D16" s="63"/>
      <c r="E16" s="64">
        <v>0</v>
      </c>
      <c r="F16" s="109"/>
      <c r="G16" s="60">
        <f>+SUM(E$9:$E16)-SUM(F$9:$F16)</f>
        <v>0</v>
      </c>
    </row>
    <row r="17" spans="1:7" ht="28.8" x14ac:dyDescent="0.55000000000000004">
      <c r="A17" s="61"/>
      <c r="B17" s="40"/>
      <c r="C17" s="62"/>
      <c r="D17" s="63"/>
      <c r="E17" s="64">
        <v>0</v>
      </c>
      <c r="F17" s="109"/>
      <c r="G17" s="60">
        <f>+SUM(E$9:$E17)-SUM(F$9:$F17)</f>
        <v>0</v>
      </c>
    </row>
    <row r="18" spans="1:7" ht="28.8" x14ac:dyDescent="0.55000000000000004">
      <c r="A18" s="61"/>
      <c r="B18" s="40"/>
      <c r="C18" s="62"/>
      <c r="D18" s="63"/>
      <c r="E18" s="64">
        <v>0</v>
      </c>
      <c r="F18" s="109"/>
      <c r="G18" s="60">
        <f>+SUM(E$9:$E18)-SUM(F$9:$F18)</f>
        <v>0</v>
      </c>
    </row>
    <row r="19" spans="1:7" ht="28.8" x14ac:dyDescent="0.55000000000000004">
      <c r="A19" s="61"/>
      <c r="B19" s="40"/>
      <c r="C19" s="62"/>
      <c r="D19" s="63"/>
      <c r="E19" s="64">
        <v>0</v>
      </c>
      <c r="F19" s="109"/>
      <c r="G19" s="60">
        <f>+SUM(E$9:$E19)-SUM(F$9:$F19)</f>
        <v>0</v>
      </c>
    </row>
    <row r="20" spans="1:7" ht="28.8" x14ac:dyDescent="0.55000000000000004">
      <c r="A20" s="61"/>
      <c r="B20" s="40"/>
      <c r="C20" s="62"/>
      <c r="D20" s="63"/>
      <c r="E20" s="64">
        <v>0</v>
      </c>
      <c r="F20" s="109"/>
      <c r="G20" s="60">
        <f>+SUM(E$9:$E20)-SUM(F$9:$F20)</f>
        <v>0</v>
      </c>
    </row>
    <row r="21" spans="1:7" ht="28.8" x14ac:dyDescent="0.55000000000000004">
      <c r="A21" s="61"/>
      <c r="B21" s="40"/>
      <c r="C21" s="62"/>
      <c r="D21" s="63"/>
      <c r="E21" s="64">
        <f>+$I$2+(AUTOROY[[#This Row],[QUANTITE]]*AUTOROY[[#This Row],[PRIX UNITAIRE]])</f>
        <v>0</v>
      </c>
      <c r="F21" s="109"/>
      <c r="G21" s="60">
        <f>+SUM(E$9:$E21)-SUM(F$9:$F21)</f>
        <v>0</v>
      </c>
    </row>
    <row r="22" spans="1:7" ht="28.8" x14ac:dyDescent="0.55000000000000004">
      <c r="A22" s="61"/>
      <c r="B22" s="40"/>
      <c r="C22" s="62"/>
      <c r="D22" s="63"/>
      <c r="E22" s="64">
        <f>+$I$2+(AUTOROY[[#This Row],[QUANTITE]]*AUTOROY[[#This Row],[PRIX UNITAIRE]])</f>
        <v>0</v>
      </c>
      <c r="F22" s="109"/>
      <c r="G22" s="60">
        <f>+SUM(E$9:$E22)-SUM(F$9:$F22)</f>
        <v>0</v>
      </c>
    </row>
    <row r="23" spans="1:7" ht="28.8" x14ac:dyDescent="0.55000000000000004">
      <c r="A23" s="61"/>
      <c r="B23" s="40"/>
      <c r="C23" s="62"/>
      <c r="D23" s="63"/>
      <c r="E23" s="64">
        <f>+$I$2+(AUTOROY[[#This Row],[QUANTITE]]*AUTOROY[[#This Row],[PRIX UNITAIRE]])</f>
        <v>0</v>
      </c>
      <c r="F23" s="109"/>
      <c r="G23" s="60">
        <f>+SUM(E$9:$E23)-SUM(F$9:$F23)</f>
        <v>0</v>
      </c>
    </row>
    <row r="24" spans="1:7" ht="28.8" x14ac:dyDescent="0.55000000000000004">
      <c r="A24" s="61"/>
      <c r="B24" s="40"/>
      <c r="C24" s="62"/>
      <c r="D24" s="63"/>
      <c r="E24" s="64">
        <f>+$I$2+(AUTOROY[[#This Row],[QUANTITE]]*AUTOROY[[#This Row],[PRIX UNITAIRE]])</f>
        <v>0</v>
      </c>
      <c r="F24" s="109"/>
      <c r="G24" s="60">
        <f>+SUM(E$9:$E24)-SUM(F$9:$F24)</f>
        <v>0</v>
      </c>
    </row>
    <row r="25" spans="1:7" ht="28.8" x14ac:dyDescent="0.55000000000000004">
      <c r="A25" s="61"/>
      <c r="B25" s="40"/>
      <c r="C25" s="62"/>
      <c r="D25" s="63"/>
      <c r="E25" s="64">
        <f>+$I$2+(AUTOROY[[#This Row],[QUANTITE]]*AUTOROY[[#This Row],[PRIX UNITAIRE]])</f>
        <v>0</v>
      </c>
      <c r="F25" s="109"/>
      <c r="G25" s="60">
        <f>+SUM(E$9:$E25)-SUM(F$9:$F25)</f>
        <v>0</v>
      </c>
    </row>
    <row r="26" spans="1:7" ht="28.8" x14ac:dyDescent="0.55000000000000004">
      <c r="A26" s="61"/>
      <c r="B26" s="40"/>
      <c r="C26" s="62"/>
      <c r="D26" s="63"/>
      <c r="E26" s="64">
        <f>+$I$2+(AUTOROY[[#This Row],[QUANTITE]]*AUTOROY[[#This Row],[PRIX UNITAIRE]])</f>
        <v>0</v>
      </c>
      <c r="F26" s="109"/>
      <c r="G26" s="60">
        <f>+SUM(E$9:$E26)-SUM(F$9:$F26)</f>
        <v>0</v>
      </c>
    </row>
    <row r="27" spans="1:7" ht="28.8" x14ac:dyDescent="0.55000000000000004">
      <c r="A27" s="61"/>
      <c r="B27" s="40"/>
      <c r="C27" s="62"/>
      <c r="D27" s="63"/>
      <c r="E27" s="64">
        <f>+$I$2+(AUTOROY[[#This Row],[QUANTITE]]*AUTOROY[[#This Row],[PRIX UNITAIRE]])</f>
        <v>0</v>
      </c>
      <c r="F27" s="109"/>
      <c r="G27" s="60">
        <f>+SUM(E$9:$E27)-SUM(F$9:$F27)</f>
        <v>0</v>
      </c>
    </row>
    <row r="28" spans="1:7" ht="28.8" x14ac:dyDescent="0.55000000000000004">
      <c r="A28" s="61"/>
      <c r="B28" s="40"/>
      <c r="C28" s="62"/>
      <c r="D28" s="63"/>
      <c r="E28" s="64">
        <f>+$I$2+(AUTOROY[[#This Row],[QUANTITE]]*AUTOROY[[#This Row],[PRIX UNITAIRE]])</f>
        <v>0</v>
      </c>
      <c r="F28" s="109"/>
      <c r="G28" s="60">
        <f>+SUM(E$9:$E28)-SUM(F$9:$F28)</f>
        <v>0</v>
      </c>
    </row>
    <row r="29" spans="1:7" ht="28.8" x14ac:dyDescent="0.55000000000000004">
      <c r="A29" s="61"/>
      <c r="B29" s="40"/>
      <c r="C29" s="62"/>
      <c r="D29" s="63"/>
      <c r="E29" s="64">
        <f>+$I$2+(AUTOROY[[#This Row],[QUANTITE]]*AUTOROY[[#This Row],[PRIX UNITAIRE]])</f>
        <v>0</v>
      </c>
      <c r="F29" s="109"/>
      <c r="G29" s="60">
        <f>+SUM(E$9:$E29)-SUM(F$9:$F29)</f>
        <v>0</v>
      </c>
    </row>
    <row r="30" spans="1:7" ht="28.8" x14ac:dyDescent="0.55000000000000004">
      <c r="A30" s="61"/>
      <c r="B30" s="40"/>
      <c r="C30" s="62"/>
      <c r="D30" s="63"/>
      <c r="E30" s="64">
        <f>+$I$2+(AUTOROY[[#This Row],[QUANTITE]]*AUTOROY[[#This Row],[PRIX UNITAIRE]])</f>
        <v>0</v>
      </c>
      <c r="F30" s="109"/>
      <c r="G30" s="60">
        <f>+SUM(E$9:$E30)-SUM(F$9:$F30)</f>
        <v>0</v>
      </c>
    </row>
    <row r="31" spans="1:7" ht="28.8" x14ac:dyDescent="0.55000000000000004">
      <c r="A31" s="61"/>
      <c r="B31" s="40"/>
      <c r="C31" s="62"/>
      <c r="D31" s="63"/>
      <c r="E31" s="64">
        <f>+$I$2+(AUTOROY[[#This Row],[QUANTITE]]*AUTOROY[[#This Row],[PRIX UNITAIRE]])</f>
        <v>0</v>
      </c>
      <c r="F31" s="109"/>
      <c r="G31" s="60">
        <f>+SUM(E$9:$E31)-SUM(F$9:$F31)</f>
        <v>0</v>
      </c>
    </row>
    <row r="32" spans="1:7" ht="28.8" x14ac:dyDescent="0.55000000000000004">
      <c r="A32" s="61"/>
      <c r="B32" s="40"/>
      <c r="C32" s="62"/>
      <c r="D32" s="63"/>
      <c r="E32" s="64">
        <f>+$I$2+(AUTOROY[[#This Row],[QUANTITE]]*AUTOROY[[#This Row],[PRIX UNITAIRE]])</f>
        <v>0</v>
      </c>
      <c r="F32" s="109"/>
      <c r="G32" s="60">
        <f>+SUM(E$9:$E32)-SUM(F$9:$F32)</f>
        <v>0</v>
      </c>
    </row>
    <row r="33" spans="1:7" ht="28.8" x14ac:dyDescent="0.55000000000000004">
      <c r="A33" s="61"/>
      <c r="B33" s="40"/>
      <c r="C33" s="62"/>
      <c r="D33" s="63"/>
      <c r="E33" s="64">
        <f>+$I$2+(AUTOROY[[#This Row],[QUANTITE]]*AUTOROY[[#This Row],[PRIX UNITAIRE]])</f>
        <v>0</v>
      </c>
      <c r="F33" s="109"/>
      <c r="G33" s="60">
        <f>+SUM(E$9:$E33)-SUM(F$9:$F33)</f>
        <v>0</v>
      </c>
    </row>
    <row r="34" spans="1:7" ht="28.8" x14ac:dyDescent="0.55000000000000004">
      <c r="A34" s="61"/>
      <c r="B34" s="40"/>
      <c r="C34" s="62"/>
      <c r="D34" s="63"/>
      <c r="E34" s="64">
        <f>+$I$2+(AUTOROY[[#This Row],[QUANTITE]]*AUTOROY[[#This Row],[PRIX UNITAIRE]])</f>
        <v>0</v>
      </c>
      <c r="F34" s="109"/>
      <c r="G34" s="60">
        <f>+SUM(E$9:$E34)-SUM(F$9:$F34)</f>
        <v>0</v>
      </c>
    </row>
    <row r="35" spans="1:7" ht="28.8" x14ac:dyDescent="0.55000000000000004">
      <c r="A35" s="61"/>
      <c r="B35" s="40"/>
      <c r="C35" s="62"/>
      <c r="D35" s="63"/>
      <c r="E35" s="64">
        <f>+$I$2+(AUTOROY[[#This Row],[QUANTITE]]*AUTOROY[[#This Row],[PRIX UNITAIRE]])</f>
        <v>0</v>
      </c>
      <c r="F35" s="109"/>
      <c r="G35" s="60">
        <f>+SUM(E$9:$E35)-SUM(F$9:$F35)</f>
        <v>0</v>
      </c>
    </row>
    <row r="36" spans="1:7" ht="28.8" x14ac:dyDescent="0.55000000000000004">
      <c r="A36" s="61"/>
      <c r="B36" s="40"/>
      <c r="C36" s="62"/>
      <c r="D36" s="63"/>
      <c r="E36" s="64">
        <f>+$I$2+(AUTOROY[[#This Row],[QUANTITE]]*AUTOROY[[#This Row],[PRIX UNITAIRE]])</f>
        <v>0</v>
      </c>
      <c r="F36" s="109"/>
      <c r="G36" s="60">
        <f>+SUM(E$9:$E36)-SUM(F$9:$F36)</f>
        <v>0</v>
      </c>
    </row>
    <row r="37" spans="1:7" ht="28.8" x14ac:dyDescent="0.55000000000000004">
      <c r="A37" s="61"/>
      <c r="B37" s="40"/>
      <c r="C37" s="62"/>
      <c r="D37" s="63"/>
      <c r="E37" s="64">
        <f>+$I$2+(AUTOROY[[#This Row],[QUANTITE]]*AUTOROY[[#This Row],[PRIX UNITAIRE]])</f>
        <v>0</v>
      </c>
      <c r="F37" s="109"/>
      <c r="G37" s="60">
        <f>+SUM(E$9:$E37)-SUM(F$9:$F37)</f>
        <v>0</v>
      </c>
    </row>
    <row r="38" spans="1:7" ht="28.8" x14ac:dyDescent="0.55000000000000004">
      <c r="A38" s="61"/>
      <c r="B38" s="40"/>
      <c r="C38" s="62"/>
      <c r="D38" s="63"/>
      <c r="E38" s="64">
        <f>+$I$2+(AUTOROY[[#This Row],[QUANTITE]]*AUTOROY[[#This Row],[PRIX UNITAIRE]])</f>
        <v>0</v>
      </c>
      <c r="F38" s="109"/>
      <c r="G38" s="60">
        <f>+SUM(E$9:$E38)-SUM(F$9:$F38)</f>
        <v>0</v>
      </c>
    </row>
    <row r="39" spans="1:7" ht="28.8" x14ac:dyDescent="0.55000000000000004">
      <c r="A39" s="61"/>
      <c r="B39" s="40"/>
      <c r="C39" s="62"/>
      <c r="D39" s="63"/>
      <c r="E39" s="64">
        <f>+$I$2+(AUTOROY[[#This Row],[QUANTITE]]*AUTOROY[[#This Row],[PRIX UNITAIRE]])</f>
        <v>0</v>
      </c>
      <c r="F39" s="109"/>
      <c r="G39" s="60">
        <f>+SUM(E$9:$E39)-SUM(F$9:$F39)</f>
        <v>0</v>
      </c>
    </row>
    <row r="40" spans="1:7" ht="28.8" x14ac:dyDescent="0.55000000000000004">
      <c r="A40" s="61"/>
      <c r="B40" s="40"/>
      <c r="C40" s="62"/>
      <c r="D40" s="63"/>
      <c r="E40" s="64">
        <f>+$I$2+(AUTOROY[[#This Row],[QUANTITE]]*AUTOROY[[#This Row],[PRIX UNITAIRE]])</f>
        <v>0</v>
      </c>
      <c r="F40" s="109"/>
      <c r="G40" s="60">
        <f>+SUM(E$9:$E40)-SUM(F$9:$F40)</f>
        <v>0</v>
      </c>
    </row>
    <row r="41" spans="1:7" ht="28.8" x14ac:dyDescent="0.55000000000000004">
      <c r="A41" s="61"/>
      <c r="B41" s="40"/>
      <c r="C41" s="62"/>
      <c r="D41" s="63"/>
      <c r="E41" s="64">
        <f>+$I$2+(AUTOROY[[#This Row],[QUANTITE]]*AUTOROY[[#This Row],[PRIX UNITAIRE]])</f>
        <v>0</v>
      </c>
      <c r="F41" s="109"/>
      <c r="G41" s="60">
        <f>+SUM(E$9:$E41)-SUM(F$9:$F41)</f>
        <v>0</v>
      </c>
    </row>
    <row r="42" spans="1:7" ht="28.8" x14ac:dyDescent="0.55000000000000004">
      <c r="A42" s="61"/>
      <c r="B42" s="40"/>
      <c r="C42" s="62"/>
      <c r="D42" s="63"/>
      <c r="E42" s="64">
        <f>+$I$2+(AUTOROY[[#This Row],[QUANTITE]]*AUTOROY[[#This Row],[PRIX UNITAIRE]])</f>
        <v>0</v>
      </c>
      <c r="F42" s="109"/>
      <c r="G42" s="60">
        <f>+SUM(E$9:$E42)-SUM(F$9:$F42)</f>
        <v>0</v>
      </c>
    </row>
    <row r="43" spans="1:7" ht="28.8" x14ac:dyDescent="0.55000000000000004">
      <c r="A43" s="61"/>
      <c r="B43" s="40"/>
      <c r="C43" s="62"/>
      <c r="D43" s="63"/>
      <c r="E43" s="64">
        <f>+$I$2+(AUTOROY[[#This Row],[QUANTITE]]*AUTOROY[[#This Row],[PRIX UNITAIRE]])</f>
        <v>0</v>
      </c>
      <c r="F43" s="109"/>
      <c r="G43" s="60">
        <f>+SUM(E$9:$E43)-SUM(F$9:$F43)</f>
        <v>0</v>
      </c>
    </row>
    <row r="44" spans="1:7" ht="28.8" x14ac:dyDescent="0.55000000000000004">
      <c r="A44" s="61"/>
      <c r="B44" s="40"/>
      <c r="C44" s="62"/>
      <c r="D44" s="63"/>
      <c r="E44" s="64">
        <f>+$I$2+(AUTOROY[[#This Row],[QUANTITE]]*AUTOROY[[#This Row],[PRIX UNITAIRE]])</f>
        <v>0</v>
      </c>
      <c r="F44" s="109"/>
      <c r="G44" s="60">
        <f>+SUM(E$9:$E44)-SUM(F$9:$F44)</f>
        <v>0</v>
      </c>
    </row>
    <row r="45" spans="1:7" ht="28.8" x14ac:dyDescent="0.55000000000000004">
      <c r="A45" s="61"/>
      <c r="B45" s="40"/>
      <c r="C45" s="62"/>
      <c r="D45" s="63"/>
      <c r="E45" s="64">
        <f>+$I$2+(AUTOROY[[#This Row],[QUANTITE]]*AUTOROY[[#This Row],[PRIX UNITAIRE]])</f>
        <v>0</v>
      </c>
      <c r="F45" s="109"/>
      <c r="G45" s="60">
        <f>+SUM(E$9:$E45)-SUM(F$9:$F45)</f>
        <v>0</v>
      </c>
    </row>
    <row r="46" spans="1:7" ht="28.8" x14ac:dyDescent="0.55000000000000004">
      <c r="A46" s="61"/>
      <c r="B46" s="40"/>
      <c r="C46" s="62"/>
      <c r="D46" s="63"/>
      <c r="E46" s="64">
        <f>+$I$2+(AUTOROY[[#This Row],[QUANTITE]]*AUTOROY[[#This Row],[PRIX UNITAIRE]])</f>
        <v>0</v>
      </c>
      <c r="F46" s="109"/>
      <c r="G46" s="60">
        <f>+SUM(E$9:$E46)-SUM(F$9:$F46)</f>
        <v>0</v>
      </c>
    </row>
    <row r="47" spans="1:7" ht="28.8" x14ac:dyDescent="0.55000000000000004">
      <c r="A47" s="61"/>
      <c r="B47" s="40"/>
      <c r="C47" s="62"/>
      <c r="D47" s="63"/>
      <c r="E47" s="64">
        <f>+$I$2+(AUTOROY[[#This Row],[QUANTITE]]*AUTOROY[[#This Row],[PRIX UNITAIRE]])</f>
        <v>0</v>
      </c>
      <c r="F47" s="109"/>
      <c r="G47" s="60">
        <f>+SUM(E$9:$E47)-SUM(F$9:$F47)</f>
        <v>0</v>
      </c>
    </row>
    <row r="48" spans="1:7" ht="28.8" x14ac:dyDescent="0.55000000000000004">
      <c r="A48" s="61"/>
      <c r="B48" s="40"/>
      <c r="C48" s="62"/>
      <c r="D48" s="63"/>
      <c r="E48" s="64">
        <f>+$I$2+(AUTOROY[[#This Row],[QUANTITE]]*AUTOROY[[#This Row],[PRIX UNITAIRE]])</f>
        <v>0</v>
      </c>
      <c r="F48" s="109"/>
      <c r="G48" s="60">
        <f>+SUM(E$9:$E48)-SUM(F$9:$F48)</f>
        <v>0</v>
      </c>
    </row>
    <row r="49" spans="1:7" ht="28.8" x14ac:dyDescent="0.55000000000000004">
      <c r="A49" s="61"/>
      <c r="B49" s="40"/>
      <c r="C49" s="62"/>
      <c r="D49" s="63"/>
      <c r="E49" s="64">
        <f>+$I$2+(AUTOROY[[#This Row],[QUANTITE]]*AUTOROY[[#This Row],[PRIX UNITAIRE]])</f>
        <v>0</v>
      </c>
      <c r="F49" s="109"/>
      <c r="G49" s="60">
        <f>+SUM(E$9:$E49)-SUM(F$9:$F49)</f>
        <v>0</v>
      </c>
    </row>
    <row r="50" spans="1:7" ht="28.8" x14ac:dyDescent="0.55000000000000004">
      <c r="A50" s="61"/>
      <c r="B50" s="40"/>
      <c r="C50" s="62"/>
      <c r="D50" s="63"/>
      <c r="E50" s="64">
        <f>+$I$2+(AUTOROY[[#This Row],[QUANTITE]]*AUTOROY[[#This Row],[PRIX UNITAIRE]])</f>
        <v>0</v>
      </c>
      <c r="F50" s="109"/>
      <c r="G50" s="60">
        <f>+SUM(E$9:$E50)-SUM(F$9:$F50)</f>
        <v>0</v>
      </c>
    </row>
    <row r="51" spans="1:7" ht="28.8" x14ac:dyDescent="0.55000000000000004">
      <c r="A51" s="61"/>
      <c r="B51" s="40"/>
      <c r="C51" s="62"/>
      <c r="D51" s="63"/>
      <c r="E51" s="64">
        <f>+$I$2+(AUTOROY[[#This Row],[QUANTITE]]*AUTOROY[[#This Row],[PRIX UNITAIRE]])</f>
        <v>0</v>
      </c>
      <c r="F51" s="109"/>
      <c r="G51" s="60">
        <f>+SUM(E$9:$E51)-SUM(F$9:$F51)</f>
        <v>0</v>
      </c>
    </row>
    <row r="52" spans="1:7" ht="28.8" x14ac:dyDescent="0.55000000000000004">
      <c r="A52" s="61"/>
      <c r="B52" s="40"/>
      <c r="C52" s="62"/>
      <c r="D52" s="63"/>
      <c r="E52" s="64">
        <f>+$I$2+(AUTOROY[[#This Row],[QUANTITE]]*AUTOROY[[#This Row],[PRIX UNITAIRE]])</f>
        <v>0</v>
      </c>
      <c r="F52" s="109"/>
      <c r="G52" s="60">
        <f>+SUM(E$9:$E52)-SUM(F$9:$F52)</f>
        <v>0</v>
      </c>
    </row>
    <row r="53" spans="1:7" ht="28.8" x14ac:dyDescent="0.55000000000000004">
      <c r="A53" s="61"/>
      <c r="B53" s="40"/>
      <c r="C53" s="62"/>
      <c r="D53" s="63"/>
      <c r="E53" s="64">
        <f>+$I$2+(AUTOROY[[#This Row],[QUANTITE]]*AUTOROY[[#This Row],[PRIX UNITAIRE]])</f>
        <v>0</v>
      </c>
      <c r="F53" s="109"/>
      <c r="G53" s="60">
        <f>+SUM(E$9:$E53)-SUM(F$9:$F53)</f>
        <v>0</v>
      </c>
    </row>
    <row r="54" spans="1:7" ht="28.8" x14ac:dyDescent="0.55000000000000004">
      <c r="A54" s="61"/>
      <c r="B54" s="40"/>
      <c r="C54" s="62"/>
      <c r="D54" s="63"/>
      <c r="E54" s="64">
        <f>+$I$2+(AUTOROY[[#This Row],[QUANTITE]]*AUTOROY[[#This Row],[PRIX UNITAIRE]])</f>
        <v>0</v>
      </c>
      <c r="F54" s="109"/>
      <c r="G54" s="60">
        <f>+SUM(E$9:$E54)-SUM(F$9:$F54)</f>
        <v>0</v>
      </c>
    </row>
    <row r="55" spans="1:7" ht="28.8" x14ac:dyDescent="0.55000000000000004">
      <c r="A55" s="61"/>
      <c r="B55" s="40"/>
      <c r="C55" s="62"/>
      <c r="D55" s="63"/>
      <c r="E55" s="64">
        <f>+$I$2+(AUTOROY[[#This Row],[QUANTITE]]*AUTOROY[[#This Row],[PRIX UNITAIRE]])</f>
        <v>0</v>
      </c>
      <c r="F55" s="109"/>
      <c r="G55" s="60">
        <f>+SUM(E$9:$E55)-SUM(F$9:$F55)</f>
        <v>0</v>
      </c>
    </row>
    <row r="56" spans="1:7" ht="28.8" x14ac:dyDescent="0.55000000000000004">
      <c r="A56" s="61"/>
      <c r="B56" s="40"/>
      <c r="C56" s="62"/>
      <c r="D56" s="63"/>
      <c r="E56" s="64">
        <f>+$I$2+(AUTOROY[[#This Row],[QUANTITE]]*AUTOROY[[#This Row],[PRIX UNITAIRE]])</f>
        <v>0</v>
      </c>
      <c r="F56" s="109"/>
      <c r="G56" s="60">
        <f>+SUM(E$9:$E56)-SUM(F$9:$F56)</f>
        <v>0</v>
      </c>
    </row>
    <row r="57" spans="1:7" ht="28.8" x14ac:dyDescent="0.55000000000000004">
      <c r="A57" s="61"/>
      <c r="B57" s="40"/>
      <c r="C57" s="62"/>
      <c r="D57" s="63"/>
      <c r="E57" s="64">
        <f>+$I$2+(AUTOROY[[#This Row],[QUANTITE]]*AUTOROY[[#This Row],[PRIX UNITAIRE]])</f>
        <v>0</v>
      </c>
      <c r="F57" s="109"/>
      <c r="G57" s="60">
        <f>+SUM(E$9:$E57)-SUM(F$9:$F57)</f>
        <v>0</v>
      </c>
    </row>
  </sheetData>
  <sheetProtection selectLockedCells="1" autoFilter="0"/>
  <mergeCells count="1">
    <mergeCell ref="B6:C6"/>
  </mergeCells>
  <conditionalFormatting sqref="G4">
    <cfRule type="cellIs" dxfId="633" priority="6" operator="lessThan">
      <formula>0</formula>
    </cfRule>
    <cfRule type="cellIs" dxfId="632" priority="7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5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I71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6.33203125" style="1" customWidth="1"/>
    <col min="2" max="2" width="51.33203125" style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  <c r="I1" s="1">
        <v>0</v>
      </c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+SUM(DUNLOP[TOTAL MONTANT])</f>
        <v>16947660</v>
      </c>
      <c r="F4" s="39">
        <f>+SUM(DUNLOP[VERSEMENT])</f>
        <v>5000000</v>
      </c>
      <c r="G4" s="97">
        <f>+E4-F4</f>
        <v>11947660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91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16947660</v>
      </c>
      <c r="E9" s="7">
        <v>16947660</v>
      </c>
      <c r="F9" s="14">
        <v>0</v>
      </c>
      <c r="G9" s="6">
        <f>SUM(E$9:$E9)-SUM(F$9:$F9)</f>
        <v>16947660</v>
      </c>
    </row>
    <row r="10" spans="1:9" ht="28.8" x14ac:dyDescent="0.55000000000000004">
      <c r="A10" s="12">
        <v>46092</v>
      </c>
      <c r="B10" s="13" t="s">
        <v>11</v>
      </c>
      <c r="C10" s="11">
        <v>1</v>
      </c>
      <c r="D10" s="11">
        <v>0</v>
      </c>
      <c r="E10" s="7">
        <v>0</v>
      </c>
      <c r="F10" s="14">
        <v>5000000</v>
      </c>
      <c r="G10" s="8">
        <f>SUM(E$9:$E10)-SUM(F$9:$F10)</f>
        <v>11947660</v>
      </c>
    </row>
    <row r="11" spans="1:9" ht="28.8" x14ac:dyDescent="0.55000000000000004">
      <c r="A11" s="12"/>
      <c r="B11" s="13"/>
      <c r="C11" s="11"/>
      <c r="D11" s="11"/>
      <c r="E11" s="7"/>
      <c r="F11" s="14"/>
      <c r="G11" s="8">
        <f>SUM(E$9:$E11)-SUM(F$9:$F11)</f>
        <v>11947660</v>
      </c>
    </row>
    <row r="12" spans="1:9" ht="28.8" x14ac:dyDescent="0.55000000000000004">
      <c r="A12" s="12"/>
      <c r="B12" s="13"/>
      <c r="C12" s="10"/>
      <c r="D12" s="10"/>
      <c r="E12" s="7"/>
      <c r="F12" s="14"/>
      <c r="G12" s="6">
        <f>SUM(E$9:$E12)-SUM(F$9:$F12)</f>
        <v>11947660</v>
      </c>
    </row>
    <row r="13" spans="1:9" ht="28.8" x14ac:dyDescent="0.55000000000000004">
      <c r="A13" s="12"/>
      <c r="B13" s="13"/>
      <c r="C13" s="10"/>
      <c r="D13" s="10"/>
      <c r="E13" s="7"/>
      <c r="F13" s="14"/>
      <c r="G13" s="6">
        <f>SUM(E$9:$E13)-SUM(F$9:$F13)</f>
        <v>11947660</v>
      </c>
    </row>
    <row r="14" spans="1:9" ht="28.8" x14ac:dyDescent="0.55000000000000004">
      <c r="A14" s="12"/>
      <c r="B14" s="13"/>
      <c r="C14" s="10"/>
      <c r="D14" s="10"/>
      <c r="E14" s="7"/>
      <c r="F14" s="14"/>
      <c r="G14" s="6">
        <f>SUM(E$9:$E14)-SUM(F$9:$F14)</f>
        <v>11947660</v>
      </c>
    </row>
    <row r="15" spans="1:9" ht="28.8" x14ac:dyDescent="0.55000000000000004">
      <c r="A15" s="12"/>
      <c r="B15" s="13"/>
      <c r="C15" s="10"/>
      <c r="D15" s="10"/>
      <c r="E15" s="7"/>
      <c r="F15" s="14"/>
      <c r="G15" s="6">
        <f>SUM(E$9:$E15)-SUM(F$9:$F15)</f>
        <v>11947660</v>
      </c>
    </row>
    <row r="16" spans="1:9" ht="28.8" x14ac:dyDescent="0.55000000000000004">
      <c r="A16" s="12"/>
      <c r="B16" s="13"/>
      <c r="C16" s="10"/>
      <c r="D16" s="10"/>
      <c r="E16" s="7"/>
      <c r="F16" s="14"/>
      <c r="G16" s="6">
        <f>SUM(E$9:$E16)-SUM(F$9:$F16)</f>
        <v>11947660</v>
      </c>
    </row>
    <row r="17" spans="1:7" ht="28.8" x14ac:dyDescent="0.55000000000000004">
      <c r="A17" s="12"/>
      <c r="B17" s="13"/>
      <c r="C17" s="10"/>
      <c r="D17" s="10"/>
      <c r="E17" s="7"/>
      <c r="F17" s="14"/>
      <c r="G17" s="6">
        <f>SUM(E$9:$E17)-SUM(F$9:$F17)</f>
        <v>11947660</v>
      </c>
    </row>
    <row r="18" spans="1:7" ht="28.8" x14ac:dyDescent="0.55000000000000004">
      <c r="A18" s="12"/>
      <c r="B18" s="13"/>
      <c r="C18" s="10"/>
      <c r="D18" s="10"/>
      <c r="E18" s="7"/>
      <c r="F18" s="14"/>
      <c r="G18" s="6">
        <f>SUM(E$9:$E18)-SUM(F$9:$F18)</f>
        <v>11947660</v>
      </c>
    </row>
    <row r="19" spans="1:7" ht="28.8" x14ac:dyDescent="0.55000000000000004">
      <c r="A19" s="12"/>
      <c r="B19" s="13"/>
      <c r="C19" s="10"/>
      <c r="D19" s="10"/>
      <c r="E19" s="7"/>
      <c r="F19" s="14"/>
      <c r="G19" s="6">
        <f>SUM(E$9:$E19)-SUM(F$9:$F19)</f>
        <v>11947660</v>
      </c>
    </row>
    <row r="20" spans="1:7" ht="28.8" x14ac:dyDescent="0.55000000000000004">
      <c r="A20" s="12"/>
      <c r="B20" s="13"/>
      <c r="C20" s="10"/>
      <c r="D20" s="10"/>
      <c r="E20" s="7"/>
      <c r="F20" s="14"/>
      <c r="G20" s="6">
        <f>SUM(E$9:$E20)-SUM(F$9:$F20)</f>
        <v>11947660</v>
      </c>
    </row>
    <row r="21" spans="1:7" ht="28.8" x14ac:dyDescent="0.55000000000000004">
      <c r="A21" s="12"/>
      <c r="B21" s="13"/>
      <c r="C21" s="10"/>
      <c r="D21" s="10"/>
      <c r="E21" s="7"/>
      <c r="F21" s="14"/>
      <c r="G21" s="6">
        <f>SUM(E$9:$E21)-SUM(F$9:$F21)</f>
        <v>11947660</v>
      </c>
    </row>
    <row r="22" spans="1:7" ht="28.8" x14ac:dyDescent="0.55000000000000004">
      <c r="A22" s="12"/>
      <c r="B22" s="13"/>
      <c r="C22" s="10"/>
      <c r="D22" s="10"/>
      <c r="E22" s="7"/>
      <c r="F22" s="14"/>
      <c r="G22" s="6">
        <f>SUM(E$9:$E22)-SUM(F$9:$F22)</f>
        <v>11947660</v>
      </c>
    </row>
    <row r="23" spans="1:7" ht="28.8" x14ac:dyDescent="0.55000000000000004">
      <c r="A23" s="12"/>
      <c r="B23" s="13"/>
      <c r="C23" s="10"/>
      <c r="D23" s="10"/>
      <c r="E23" s="7"/>
      <c r="F23" s="14"/>
      <c r="G23" s="6">
        <f>SUM(E$9:$E23)-SUM(F$9:$F23)</f>
        <v>11947660</v>
      </c>
    </row>
    <row r="24" spans="1:7" ht="28.8" x14ac:dyDescent="0.55000000000000004">
      <c r="A24" s="12"/>
      <c r="B24" s="13"/>
      <c r="C24" s="10"/>
      <c r="D24" s="10"/>
      <c r="E24" s="7"/>
      <c r="F24" s="14"/>
      <c r="G24" s="6">
        <f>SUM(E$9:$E24)-SUM(F$9:$F24)</f>
        <v>11947660</v>
      </c>
    </row>
    <row r="25" spans="1:7" ht="28.8" x14ac:dyDescent="0.55000000000000004">
      <c r="A25" s="12"/>
      <c r="B25" s="13"/>
      <c r="C25" s="10"/>
      <c r="D25" s="10"/>
      <c r="E25" s="7"/>
      <c r="F25" s="14"/>
      <c r="G25" s="6">
        <f>SUM(E$9:$E25)-SUM(F$9:$F25)</f>
        <v>11947660</v>
      </c>
    </row>
    <row r="26" spans="1:7" ht="28.8" x14ac:dyDescent="0.55000000000000004">
      <c r="A26" s="12"/>
      <c r="B26" s="13"/>
      <c r="C26" s="10"/>
      <c r="D26" s="10"/>
      <c r="E26" s="7"/>
      <c r="F26" s="14"/>
      <c r="G26" s="6">
        <f>SUM(E$9:$E26)-SUM(F$9:$F26)</f>
        <v>11947660</v>
      </c>
    </row>
    <row r="27" spans="1:7" ht="28.8" x14ac:dyDescent="0.55000000000000004">
      <c r="A27" s="12"/>
      <c r="B27" s="13"/>
      <c r="C27" s="10"/>
      <c r="D27" s="10"/>
      <c r="E27" s="7"/>
      <c r="F27" s="14"/>
      <c r="G27" s="6">
        <f>SUM(E$9:$E27)-SUM(F$9:$F27)</f>
        <v>11947660</v>
      </c>
    </row>
    <row r="28" spans="1:7" ht="28.8" x14ac:dyDescent="0.55000000000000004">
      <c r="A28" s="12"/>
      <c r="B28" s="13"/>
      <c r="C28" s="10"/>
      <c r="D28" s="10"/>
      <c r="E28" s="7"/>
      <c r="F28" s="14"/>
      <c r="G28" s="6">
        <f>SUM(E$9:$E28)-SUM(F$9:$F28)</f>
        <v>11947660</v>
      </c>
    </row>
    <row r="29" spans="1:7" ht="28.8" x14ac:dyDescent="0.55000000000000004">
      <c r="A29" s="12"/>
      <c r="B29" s="13"/>
      <c r="C29" s="10"/>
      <c r="D29" s="10"/>
      <c r="E29" s="7"/>
      <c r="F29" s="14"/>
      <c r="G29" s="6">
        <f>SUM(E$9:$E29)-SUM(F$9:$F29)</f>
        <v>11947660</v>
      </c>
    </row>
    <row r="30" spans="1:7" ht="28.8" x14ac:dyDescent="0.55000000000000004">
      <c r="A30" s="12"/>
      <c r="B30" s="13"/>
      <c r="C30" s="10"/>
      <c r="D30" s="10"/>
      <c r="E30" s="7"/>
      <c r="F30" s="14"/>
      <c r="G30" s="6">
        <f>SUM(E$9:$E30)-SUM(F$9:$F30)</f>
        <v>11947660</v>
      </c>
    </row>
    <row r="31" spans="1:7" ht="28.8" x14ac:dyDescent="0.55000000000000004">
      <c r="A31" s="12"/>
      <c r="B31" s="13"/>
      <c r="C31" s="10"/>
      <c r="D31" s="10"/>
      <c r="E31" s="7"/>
      <c r="F31" s="14"/>
      <c r="G31" s="6">
        <f>SUM(E$9:$E31)-SUM(F$9:$F31)</f>
        <v>11947660</v>
      </c>
    </row>
    <row r="32" spans="1:7" ht="28.8" x14ac:dyDescent="0.55000000000000004">
      <c r="A32" s="12"/>
      <c r="B32" s="13"/>
      <c r="C32" s="10"/>
      <c r="D32" s="10"/>
      <c r="E32" s="7"/>
      <c r="F32" s="14"/>
      <c r="G32" s="6">
        <f>SUM(E$9:$E32)-SUM(F$9:$F32)</f>
        <v>11947660</v>
      </c>
    </row>
    <row r="33" spans="1:7" ht="28.8" x14ac:dyDescent="0.55000000000000004">
      <c r="A33" s="12"/>
      <c r="B33" s="13"/>
      <c r="C33" s="10"/>
      <c r="D33" s="10"/>
      <c r="E33" s="7"/>
      <c r="F33" s="14"/>
      <c r="G33" s="6">
        <f>SUM(E$9:$E33)-SUM(F$9:$F33)</f>
        <v>11947660</v>
      </c>
    </row>
    <row r="34" spans="1:7" ht="28.8" x14ac:dyDescent="0.55000000000000004">
      <c r="A34" s="12"/>
      <c r="B34" s="13"/>
      <c r="C34" s="10"/>
      <c r="D34" s="10"/>
      <c r="E34" s="7"/>
      <c r="F34" s="14"/>
      <c r="G34" s="6">
        <f>SUM(E$9:$E34)-SUM(F$9:$F34)</f>
        <v>11947660</v>
      </c>
    </row>
    <row r="35" spans="1:7" ht="28.8" x14ac:dyDescent="0.55000000000000004">
      <c r="A35" s="12"/>
      <c r="B35" s="13"/>
      <c r="C35" s="10"/>
      <c r="D35" s="10"/>
      <c r="E35" s="7"/>
      <c r="F35" s="14"/>
      <c r="G35" s="6">
        <f>SUM(E$9:$E35)-SUM(F$9:$F35)</f>
        <v>11947660</v>
      </c>
    </row>
    <row r="36" spans="1:7" ht="28.8" x14ac:dyDescent="0.55000000000000004">
      <c r="A36" s="12"/>
      <c r="B36" s="13"/>
      <c r="C36" s="10"/>
      <c r="D36" s="10"/>
      <c r="E36" s="7"/>
      <c r="F36" s="14"/>
      <c r="G36" s="6">
        <f>SUM(E$9:$E36)-SUM(F$9:$F36)</f>
        <v>11947660</v>
      </c>
    </row>
    <row r="37" spans="1:7" ht="28.8" x14ac:dyDescent="0.55000000000000004">
      <c r="A37" s="12"/>
      <c r="B37" s="13"/>
      <c r="C37" s="10"/>
      <c r="D37" s="10"/>
      <c r="E37" s="7"/>
      <c r="F37" s="14"/>
      <c r="G37" s="6">
        <f>SUM(E$9:$E37)-SUM(F$9:$F37)</f>
        <v>11947660</v>
      </c>
    </row>
    <row r="38" spans="1:7" ht="28.8" x14ac:dyDescent="0.55000000000000004">
      <c r="A38" s="12"/>
      <c r="B38" s="13"/>
      <c r="C38" s="10"/>
      <c r="D38" s="10"/>
      <c r="E38" s="7"/>
      <c r="F38" s="14"/>
      <c r="G38" s="6">
        <f>SUM(E$9:$E38)-SUM(F$9:$F38)</f>
        <v>11947660</v>
      </c>
    </row>
    <row r="39" spans="1:7" ht="28.8" x14ac:dyDescent="0.55000000000000004">
      <c r="A39" s="12"/>
      <c r="B39" s="13"/>
      <c r="C39" s="10"/>
      <c r="D39" s="10"/>
      <c r="E39" s="7"/>
      <c r="F39" s="14"/>
      <c r="G39" s="6">
        <f>SUM(E$9:$E39)-SUM(F$9:$F39)</f>
        <v>11947660</v>
      </c>
    </row>
    <row r="40" spans="1:7" ht="28.8" x14ac:dyDescent="0.55000000000000004">
      <c r="A40" s="12"/>
      <c r="B40" s="13"/>
      <c r="C40" s="10"/>
      <c r="D40" s="10"/>
      <c r="E40" s="7"/>
      <c r="F40" s="14"/>
      <c r="G40" s="6">
        <f>SUM(E$9:$E40)-SUM(F$9:$F40)</f>
        <v>11947660</v>
      </c>
    </row>
    <row r="41" spans="1:7" ht="28.8" x14ac:dyDescent="0.55000000000000004">
      <c r="A41" s="12"/>
      <c r="B41" s="13"/>
      <c r="C41" s="10"/>
      <c r="D41" s="10"/>
      <c r="E41" s="7"/>
      <c r="F41" s="14"/>
      <c r="G41" s="6">
        <f>SUM(E$9:$E41)-SUM(F$9:$F41)</f>
        <v>11947660</v>
      </c>
    </row>
    <row r="42" spans="1:7" ht="28.8" x14ac:dyDescent="0.55000000000000004">
      <c r="A42" s="12"/>
      <c r="B42" s="13"/>
      <c r="C42" s="10"/>
      <c r="D42" s="10"/>
      <c r="E42" s="7"/>
      <c r="F42" s="14"/>
      <c r="G42" s="6">
        <f>SUM(E$9:$E42)-SUM(F$9:$F42)</f>
        <v>11947660</v>
      </c>
    </row>
    <row r="43" spans="1:7" ht="28.8" x14ac:dyDescent="0.55000000000000004">
      <c r="A43" s="12"/>
      <c r="B43" s="13"/>
      <c r="C43" s="10"/>
      <c r="D43" s="10"/>
      <c r="E43" s="7"/>
      <c r="F43" s="14"/>
      <c r="G43" s="6">
        <f>SUM(E$9:$E43)-SUM(F$9:$F43)</f>
        <v>11947660</v>
      </c>
    </row>
    <row r="44" spans="1:7" ht="28.8" x14ac:dyDescent="0.55000000000000004">
      <c r="A44" s="12"/>
      <c r="B44" s="13"/>
      <c r="C44" s="10"/>
      <c r="D44" s="10"/>
      <c r="E44" s="7"/>
      <c r="F44" s="14"/>
      <c r="G44" s="6">
        <f>SUM(E$9:$E44)-SUM(F$9:$F44)</f>
        <v>11947660</v>
      </c>
    </row>
    <row r="45" spans="1:7" ht="28.8" x14ac:dyDescent="0.55000000000000004">
      <c r="A45" s="12"/>
      <c r="B45" s="13"/>
      <c r="C45" s="10"/>
      <c r="D45" s="10"/>
      <c r="E45" s="7"/>
      <c r="F45" s="14"/>
      <c r="G45" s="6">
        <f>SUM(E$9:$E45)-SUM(F$9:$F45)</f>
        <v>11947660</v>
      </c>
    </row>
    <row r="46" spans="1:7" ht="28.8" x14ac:dyDescent="0.55000000000000004">
      <c r="A46" s="12"/>
      <c r="B46" s="13"/>
      <c r="C46" s="10"/>
      <c r="D46" s="10"/>
      <c r="E46" s="7"/>
      <c r="F46" s="14"/>
      <c r="G46" s="6">
        <f>SUM(E$9:$E46)-SUM(F$9:$F46)</f>
        <v>11947660</v>
      </c>
    </row>
    <row r="47" spans="1:7" ht="28.8" x14ac:dyDescent="0.55000000000000004">
      <c r="A47" s="12"/>
      <c r="B47" s="13"/>
      <c r="C47" s="10"/>
      <c r="D47" s="10"/>
      <c r="E47" s="7"/>
      <c r="F47" s="14"/>
      <c r="G47" s="6">
        <f>SUM(E$9:$E47)-SUM(F$9:$F47)</f>
        <v>11947660</v>
      </c>
    </row>
    <row r="48" spans="1:7" ht="28.8" x14ac:dyDescent="0.55000000000000004">
      <c r="A48" s="12"/>
      <c r="B48" s="13"/>
      <c r="C48" s="10"/>
      <c r="D48" s="10"/>
      <c r="E48" s="7"/>
      <c r="F48" s="14"/>
      <c r="G48" s="6">
        <f>SUM(E$9:$E48)-SUM(F$9:$F48)</f>
        <v>11947660</v>
      </c>
    </row>
    <row r="49" spans="1:7" ht="28.8" x14ac:dyDescent="0.55000000000000004">
      <c r="A49" s="12"/>
      <c r="B49" s="13"/>
      <c r="C49" s="10"/>
      <c r="D49" s="10"/>
      <c r="E49" s="7"/>
      <c r="F49" s="14"/>
      <c r="G49" s="6">
        <f>SUM(E$9:$E49)-SUM(F$9:$F49)</f>
        <v>11947660</v>
      </c>
    </row>
    <row r="50" spans="1:7" ht="28.8" x14ac:dyDescent="0.55000000000000004">
      <c r="A50" s="12"/>
      <c r="B50" s="13"/>
      <c r="C50" s="10"/>
      <c r="D50" s="10"/>
      <c r="E50" s="7"/>
      <c r="F50" s="14"/>
      <c r="G50" s="6">
        <f>SUM(E$9:$E50)-SUM(F$9:$F50)</f>
        <v>11947660</v>
      </c>
    </row>
    <row r="51" spans="1:7" ht="28.8" x14ac:dyDescent="0.55000000000000004">
      <c r="A51" s="12"/>
      <c r="B51" s="13"/>
      <c r="C51" s="10"/>
      <c r="D51" s="10"/>
      <c r="E51" s="7"/>
      <c r="F51" s="14"/>
      <c r="G51" s="6">
        <f>SUM(E$9:$E51)-SUM(F$9:$F51)</f>
        <v>11947660</v>
      </c>
    </row>
    <row r="52" spans="1:7" ht="28.8" x14ac:dyDescent="0.55000000000000004">
      <c r="A52" s="12"/>
      <c r="B52" s="13"/>
      <c r="C52" s="10"/>
      <c r="D52" s="10"/>
      <c r="E52" s="7"/>
      <c r="F52" s="14"/>
      <c r="G52" s="6">
        <f>SUM(E$9:$E52)-SUM(F$9:$F52)</f>
        <v>11947660</v>
      </c>
    </row>
    <row r="53" spans="1:7" ht="28.8" x14ac:dyDescent="0.55000000000000004">
      <c r="A53" s="12"/>
      <c r="B53" s="13"/>
      <c r="C53" s="10"/>
      <c r="D53" s="10"/>
      <c r="E53" s="7"/>
      <c r="F53" s="14"/>
      <c r="G53" s="6">
        <f>SUM(E$9:$E53)-SUM(F$9:$F53)</f>
        <v>11947660</v>
      </c>
    </row>
    <row r="54" spans="1:7" ht="28.8" x14ac:dyDescent="0.55000000000000004">
      <c r="A54" s="12"/>
      <c r="B54" s="13"/>
      <c r="C54" s="10"/>
      <c r="D54" s="10"/>
      <c r="E54" s="7"/>
      <c r="F54" s="14"/>
      <c r="G54" s="6">
        <f>SUM(E$9:$E54)-SUM(F$9:$F54)</f>
        <v>11947660</v>
      </c>
    </row>
    <row r="55" spans="1:7" ht="28.8" x14ac:dyDescent="0.55000000000000004">
      <c r="A55" s="12"/>
      <c r="B55" s="13"/>
      <c r="C55" s="10"/>
      <c r="D55" s="10"/>
      <c r="E55" s="7"/>
      <c r="F55" s="14"/>
      <c r="G55" s="6">
        <f>SUM(E$9:$E55)-SUM(F$9:$F55)</f>
        <v>11947660</v>
      </c>
    </row>
    <row r="56" spans="1:7" ht="28.8" x14ac:dyDescent="0.55000000000000004">
      <c r="A56" s="12"/>
      <c r="B56" s="13"/>
      <c r="C56" s="10"/>
      <c r="D56" s="10"/>
      <c r="E56" s="7"/>
      <c r="F56" s="14"/>
      <c r="G56" s="6">
        <f>SUM(E$9:$E56)-SUM(F$9:$F56)</f>
        <v>11947660</v>
      </c>
    </row>
    <row r="57" spans="1:7" ht="28.8" x14ac:dyDescent="0.55000000000000004">
      <c r="A57" s="12"/>
      <c r="B57" s="13"/>
      <c r="C57" s="10"/>
      <c r="D57" s="10"/>
      <c r="E57" s="7"/>
      <c r="F57" s="14"/>
      <c r="G57" s="6">
        <f>SUM(E$9:$E57)-SUM(F$9:$F57)</f>
        <v>11947660</v>
      </c>
    </row>
    <row r="58" spans="1:7" ht="28.8" x14ac:dyDescent="0.55000000000000004">
      <c r="A58" s="12"/>
      <c r="B58" s="13"/>
      <c r="C58" s="10"/>
      <c r="D58" s="10"/>
      <c r="E58" s="7"/>
      <c r="F58" s="14"/>
      <c r="G58" s="6">
        <f>SUM(E$9:$E58)-SUM(F$9:$F58)</f>
        <v>11947660</v>
      </c>
    </row>
    <row r="59" spans="1:7" ht="28.8" x14ac:dyDescent="0.55000000000000004">
      <c r="A59" s="12"/>
      <c r="B59" s="13"/>
      <c r="C59" s="10"/>
      <c r="D59" s="10"/>
      <c r="E59" s="7"/>
      <c r="F59" s="14"/>
      <c r="G59" s="6">
        <f>SUM(E$9:$E59)-SUM(F$9:$F59)</f>
        <v>11947660</v>
      </c>
    </row>
    <row r="60" spans="1:7" ht="28.8" x14ac:dyDescent="0.55000000000000004">
      <c r="A60" s="12"/>
      <c r="B60" s="13"/>
      <c r="C60" s="10"/>
      <c r="D60" s="10"/>
      <c r="E60" s="7"/>
      <c r="F60" s="14"/>
      <c r="G60" s="6">
        <f>SUM(E$9:$E60)-SUM(F$9:$F60)</f>
        <v>11947660</v>
      </c>
    </row>
    <row r="61" spans="1:7" ht="28.8" x14ac:dyDescent="0.55000000000000004">
      <c r="A61" s="12"/>
      <c r="B61" s="13"/>
      <c r="C61" s="10"/>
      <c r="D61" s="10"/>
      <c r="E61" s="7"/>
      <c r="F61" s="14"/>
      <c r="G61" s="6">
        <f>SUM(E$9:$E61)-SUM(F$9:$F61)</f>
        <v>11947660</v>
      </c>
    </row>
    <row r="62" spans="1:7" ht="28.8" x14ac:dyDescent="0.55000000000000004">
      <c r="A62" s="12"/>
      <c r="B62" s="13"/>
      <c r="C62" s="10"/>
      <c r="D62" s="10"/>
      <c r="E62" s="7"/>
      <c r="F62" s="14"/>
      <c r="G62" s="6">
        <f>SUM(E$9:$E62)-SUM(F$9:$F62)</f>
        <v>11947660</v>
      </c>
    </row>
    <row r="63" spans="1:7" ht="28.8" x14ac:dyDescent="0.55000000000000004">
      <c r="A63" s="12"/>
      <c r="B63" s="13"/>
      <c r="C63" s="10"/>
      <c r="D63" s="10"/>
      <c r="E63" s="7"/>
      <c r="F63" s="14"/>
      <c r="G63" s="6">
        <f>SUM(E$9:$E63)-SUM(F$9:$F63)</f>
        <v>11947660</v>
      </c>
    </row>
    <row r="64" spans="1:7" ht="28.8" x14ac:dyDescent="0.55000000000000004">
      <c r="A64" s="12"/>
      <c r="B64" s="13"/>
      <c r="C64" s="10"/>
      <c r="D64" s="10"/>
      <c r="E64" s="7"/>
      <c r="F64" s="14"/>
      <c r="G64" s="6">
        <f>SUM(E$9:$E64)-SUM(F$9:$F64)</f>
        <v>11947660</v>
      </c>
    </row>
    <row r="65" spans="1:7" ht="28.8" x14ac:dyDescent="0.55000000000000004">
      <c r="A65" s="12"/>
      <c r="B65" s="13"/>
      <c r="C65" s="10"/>
      <c r="D65" s="10"/>
      <c r="E65" s="7"/>
      <c r="F65" s="14"/>
      <c r="G65" s="6">
        <f>SUM(E$9:$E65)-SUM(F$9:$F65)</f>
        <v>11947660</v>
      </c>
    </row>
    <row r="66" spans="1:7" ht="28.8" x14ac:dyDescent="0.55000000000000004">
      <c r="A66" s="12"/>
      <c r="B66" s="13"/>
      <c r="C66" s="10"/>
      <c r="D66" s="10"/>
      <c r="E66" s="7"/>
      <c r="F66" s="14"/>
      <c r="G66" s="6">
        <f>SUM(E$9:$E66)-SUM(F$9:$F66)</f>
        <v>11947660</v>
      </c>
    </row>
    <row r="67" spans="1:7" ht="28.8" x14ac:dyDescent="0.55000000000000004">
      <c r="A67" s="12"/>
      <c r="B67" s="13"/>
      <c r="C67" s="10"/>
      <c r="D67" s="10"/>
      <c r="E67" s="7"/>
      <c r="F67" s="14"/>
      <c r="G67" s="6">
        <f>SUM(E$9:$E67)-SUM(F$9:$F67)</f>
        <v>11947660</v>
      </c>
    </row>
    <row r="68" spans="1:7" ht="28.8" x14ac:dyDescent="0.55000000000000004">
      <c r="A68" s="12"/>
      <c r="B68" s="13"/>
      <c r="C68" s="10"/>
      <c r="D68" s="10"/>
      <c r="E68" s="7"/>
      <c r="F68" s="14"/>
      <c r="G68" s="6">
        <f>SUM(E$9:$E68)-SUM(F$9:$F68)</f>
        <v>11947660</v>
      </c>
    </row>
    <row r="69" spans="1:7" ht="28.8" x14ac:dyDescent="0.55000000000000004">
      <c r="A69" s="12"/>
      <c r="B69" s="13"/>
      <c r="C69" s="10"/>
      <c r="D69" s="10"/>
      <c r="E69" s="7"/>
      <c r="F69" s="14"/>
      <c r="G69" s="6">
        <f>SUM(E$9:$E69)-SUM(F$9:$F69)</f>
        <v>11947660</v>
      </c>
    </row>
    <row r="70" spans="1:7" ht="28.8" x14ac:dyDescent="0.55000000000000004">
      <c r="A70" s="12"/>
      <c r="B70" s="13"/>
      <c r="C70" s="10"/>
      <c r="D70" s="10"/>
      <c r="E70" s="7"/>
      <c r="F70" s="14"/>
      <c r="G70" s="6">
        <f>SUM(E$9:$E70)-SUM(F$9:$F70)</f>
        <v>11947660</v>
      </c>
    </row>
    <row r="71" spans="1:7" ht="28.8" x14ac:dyDescent="0.55000000000000004">
      <c r="A71" s="12"/>
      <c r="B71" s="13"/>
      <c r="C71" s="10"/>
      <c r="D71" s="10"/>
      <c r="E71" s="7"/>
      <c r="F71" s="14"/>
      <c r="G71" s="6">
        <f>SUM(E$9:$E71)-SUM(F$9:$F71)</f>
        <v>11947660</v>
      </c>
    </row>
  </sheetData>
  <sheetProtection selectLockedCells="1" autoFilter="0"/>
  <mergeCells count="1">
    <mergeCell ref="B6:C6"/>
  </mergeCells>
  <conditionalFormatting sqref="B9:B71">
    <cfRule type="expression" dxfId="615" priority="5">
      <formula>$F9</formula>
    </cfRule>
  </conditionalFormatting>
  <conditionalFormatting sqref="G4">
    <cfRule type="cellIs" dxfId="614" priority="2" operator="lessThan">
      <formula>0</formula>
    </cfRule>
    <cfRule type="cellIs" dxfId="613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I7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+SUM(NABILCO[TOTAL MONTANT])</f>
        <v>4461000</v>
      </c>
      <c r="F4" s="39">
        <f>+SUM(NABILCO[VERSEMENT])</f>
        <v>1846000</v>
      </c>
      <c r="G4" s="97">
        <f>+E4-F4</f>
        <v>2615000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92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3318500</v>
      </c>
      <c r="E9" s="7">
        <v>3318500</v>
      </c>
      <c r="F9" s="14">
        <v>0</v>
      </c>
      <c r="G9" s="6">
        <f>+SUM(E$9:$E9)-SUM(F$9:$F9)</f>
        <v>3318500</v>
      </c>
    </row>
    <row r="10" spans="1:9" ht="28.8" x14ac:dyDescent="0.55000000000000004">
      <c r="A10" s="12">
        <v>46071</v>
      </c>
      <c r="B10" s="13" t="s">
        <v>93</v>
      </c>
      <c r="C10" s="11">
        <v>3</v>
      </c>
      <c r="D10" s="11">
        <v>7500</v>
      </c>
      <c r="E10" s="7">
        <v>22500</v>
      </c>
      <c r="F10" s="14">
        <v>0</v>
      </c>
      <c r="G10" s="8">
        <f>+SUM(E$9:$E10)-SUM(F$9:$F10)</f>
        <v>3341000</v>
      </c>
    </row>
    <row r="11" spans="1:9" ht="28.8" x14ac:dyDescent="0.55000000000000004">
      <c r="A11" s="12">
        <v>46076</v>
      </c>
      <c r="B11" s="13" t="s">
        <v>94</v>
      </c>
      <c r="C11" s="11">
        <v>1</v>
      </c>
      <c r="D11" s="11">
        <v>10000</v>
      </c>
      <c r="E11" s="7">
        <v>10000</v>
      </c>
      <c r="F11" s="14">
        <v>0</v>
      </c>
      <c r="G11" s="8">
        <f>+SUM(E$9:$E11)-SUM(F$9:$F11)</f>
        <v>3351000</v>
      </c>
    </row>
    <row r="12" spans="1:9" ht="28.8" x14ac:dyDescent="0.55000000000000004">
      <c r="A12" s="15">
        <v>46078</v>
      </c>
      <c r="B12" s="16" t="s">
        <v>95</v>
      </c>
      <c r="C12" s="11">
        <v>2</v>
      </c>
      <c r="D12" s="11">
        <v>35000</v>
      </c>
      <c r="E12" s="7">
        <v>70000</v>
      </c>
      <c r="F12" s="17">
        <v>0</v>
      </c>
      <c r="G12" s="8">
        <f>+SUM(E$9:$E12)-SUM(F$9:$F12)</f>
        <v>3421000</v>
      </c>
    </row>
    <row r="13" spans="1:9" ht="28.8" x14ac:dyDescent="0.55000000000000004">
      <c r="A13" s="12">
        <v>46078</v>
      </c>
      <c r="B13" s="13" t="s">
        <v>96</v>
      </c>
      <c r="C13" s="10">
        <v>2</v>
      </c>
      <c r="D13" s="10">
        <v>22500</v>
      </c>
      <c r="E13" s="7">
        <v>45000</v>
      </c>
      <c r="F13" s="14">
        <v>0</v>
      </c>
      <c r="G13" s="6">
        <f>+SUM(E$9:$E13)-SUM(F$9:$F13)</f>
        <v>3466000</v>
      </c>
    </row>
    <row r="14" spans="1:9" ht="28.8" x14ac:dyDescent="0.55000000000000004">
      <c r="A14" s="12">
        <v>46080</v>
      </c>
      <c r="B14" s="13" t="s">
        <v>97</v>
      </c>
      <c r="C14" s="10">
        <v>2</v>
      </c>
      <c r="D14" s="10">
        <v>20000</v>
      </c>
      <c r="E14" s="7">
        <v>40000</v>
      </c>
      <c r="F14" s="14">
        <v>0</v>
      </c>
      <c r="G14" s="6">
        <f>+SUM(E$9:$E14)-SUM(F$9:$F14)</f>
        <v>3506000</v>
      </c>
    </row>
    <row r="15" spans="1:9" ht="28.8" x14ac:dyDescent="0.55000000000000004">
      <c r="A15" s="12">
        <v>46080</v>
      </c>
      <c r="B15" s="13" t="s">
        <v>98</v>
      </c>
      <c r="C15" s="10">
        <v>1</v>
      </c>
      <c r="D15" s="10">
        <v>20000</v>
      </c>
      <c r="E15" s="7">
        <v>20000</v>
      </c>
      <c r="F15" s="14">
        <v>0</v>
      </c>
      <c r="G15" s="6">
        <f>+SUM(E$9:$E15)-SUM(F$9:$F15)</f>
        <v>3526000</v>
      </c>
    </row>
    <row r="16" spans="1:9" ht="28.8" x14ac:dyDescent="0.55000000000000004">
      <c r="A16" s="12">
        <v>46083</v>
      </c>
      <c r="B16" s="13" t="s">
        <v>99</v>
      </c>
      <c r="C16" s="10">
        <v>2</v>
      </c>
      <c r="D16" s="10">
        <v>7500</v>
      </c>
      <c r="E16" s="7">
        <v>15000</v>
      </c>
      <c r="F16" s="14">
        <v>0</v>
      </c>
      <c r="G16" s="6">
        <f>+SUM(E$9:$E16)-SUM(F$9:$F16)</f>
        <v>3541000</v>
      </c>
    </row>
    <row r="17" spans="1:7" ht="28.8" x14ac:dyDescent="0.55000000000000004">
      <c r="A17" s="12">
        <v>46086</v>
      </c>
      <c r="B17" s="13" t="s">
        <v>100</v>
      </c>
      <c r="C17" s="10">
        <v>1</v>
      </c>
      <c r="D17" s="10">
        <v>300000</v>
      </c>
      <c r="E17" s="7">
        <v>300000</v>
      </c>
      <c r="F17" s="14">
        <v>0</v>
      </c>
      <c r="G17" s="6">
        <f>+SUM(E$9:$E17)-SUM(F$9:$F17)</f>
        <v>3841000</v>
      </c>
    </row>
    <row r="18" spans="1:7" ht="28.8" x14ac:dyDescent="0.55000000000000004">
      <c r="A18" s="12">
        <v>46087</v>
      </c>
      <c r="B18" s="13" t="s">
        <v>101</v>
      </c>
      <c r="C18" s="10">
        <v>1</v>
      </c>
      <c r="D18" s="10">
        <v>5000</v>
      </c>
      <c r="E18" s="7">
        <v>5000</v>
      </c>
      <c r="F18" s="14">
        <v>0</v>
      </c>
      <c r="G18" s="6">
        <f>+SUM(E$9:$E18)-SUM(F$9:$F18)</f>
        <v>3846000</v>
      </c>
    </row>
    <row r="19" spans="1:7" ht="28.8" x14ac:dyDescent="0.55000000000000004">
      <c r="A19" s="12">
        <v>46088</v>
      </c>
      <c r="B19" s="13" t="s">
        <v>102</v>
      </c>
      <c r="C19" s="10">
        <v>1</v>
      </c>
      <c r="D19" s="10">
        <v>0</v>
      </c>
      <c r="E19" s="7">
        <v>0</v>
      </c>
      <c r="F19" s="14">
        <v>1846000</v>
      </c>
      <c r="G19" s="6">
        <f>+SUM(E$9:$E19)-SUM(F$9:$F19)</f>
        <v>2000000</v>
      </c>
    </row>
    <row r="20" spans="1:7" ht="28.8" x14ac:dyDescent="0.55000000000000004">
      <c r="A20" s="12">
        <v>46090</v>
      </c>
      <c r="B20" s="13" t="s">
        <v>103</v>
      </c>
      <c r="C20" s="10">
        <v>2</v>
      </c>
      <c r="D20" s="10">
        <v>65000</v>
      </c>
      <c r="E20" s="7">
        <v>130000</v>
      </c>
      <c r="F20" s="14">
        <v>0</v>
      </c>
      <c r="G20" s="6">
        <f>+SUM(E$9:$E20)-SUM(F$9:$F20)</f>
        <v>2130000</v>
      </c>
    </row>
    <row r="21" spans="1:7" ht="28.8" x14ac:dyDescent="0.55000000000000004">
      <c r="A21" s="12">
        <v>46090</v>
      </c>
      <c r="B21" s="13" t="s">
        <v>104</v>
      </c>
      <c r="C21" s="10">
        <v>1</v>
      </c>
      <c r="D21" s="10">
        <v>30000</v>
      </c>
      <c r="E21" s="7">
        <v>30000</v>
      </c>
      <c r="F21" s="14">
        <v>0</v>
      </c>
      <c r="G21" s="6">
        <f>+SUM(E$9:$E21)-SUM(F$9:$F21)</f>
        <v>2160000</v>
      </c>
    </row>
    <row r="22" spans="1:7" ht="28.8" x14ac:dyDescent="0.55000000000000004">
      <c r="A22" s="12">
        <v>46090</v>
      </c>
      <c r="B22" s="13" t="s">
        <v>105</v>
      </c>
      <c r="C22" s="10">
        <v>4</v>
      </c>
      <c r="D22" s="10">
        <v>10000</v>
      </c>
      <c r="E22" s="7">
        <v>40000</v>
      </c>
      <c r="F22" s="14">
        <v>0</v>
      </c>
      <c r="G22" s="6">
        <f>+SUM(E$9:$E22)-SUM(F$9:$F22)</f>
        <v>2200000</v>
      </c>
    </row>
    <row r="23" spans="1:7" ht="28.8" x14ac:dyDescent="0.55000000000000004">
      <c r="A23" s="12">
        <v>46092</v>
      </c>
      <c r="B23" s="13" t="s">
        <v>106</v>
      </c>
      <c r="C23" s="10">
        <v>2</v>
      </c>
      <c r="D23" s="10">
        <v>50000</v>
      </c>
      <c r="E23" s="7">
        <v>100000</v>
      </c>
      <c r="F23" s="14">
        <v>0</v>
      </c>
      <c r="G23" s="6">
        <f>+SUM(E$9:$E23)-SUM(F$9:$F23)</f>
        <v>2300000</v>
      </c>
    </row>
    <row r="24" spans="1:7" ht="28.8" x14ac:dyDescent="0.55000000000000004">
      <c r="A24" s="12">
        <v>46092</v>
      </c>
      <c r="B24" s="13" t="s">
        <v>107</v>
      </c>
      <c r="C24" s="10">
        <v>1</v>
      </c>
      <c r="D24" s="10">
        <v>60000</v>
      </c>
      <c r="E24" s="7">
        <v>60000</v>
      </c>
      <c r="F24" s="14">
        <v>0</v>
      </c>
      <c r="G24" s="6">
        <f>+SUM(E$9:$E24)-SUM(F$9:$F24)</f>
        <v>2360000</v>
      </c>
    </row>
    <row r="25" spans="1:7" ht="28.8" x14ac:dyDescent="0.55000000000000004">
      <c r="A25" s="12">
        <v>46098</v>
      </c>
      <c r="B25" s="13" t="s">
        <v>108</v>
      </c>
      <c r="C25" s="10">
        <v>1</v>
      </c>
      <c r="D25" s="10">
        <v>15000</v>
      </c>
      <c r="E25" s="7">
        <v>15000</v>
      </c>
      <c r="F25" s="14">
        <v>0</v>
      </c>
      <c r="G25" s="6">
        <f>+SUM(E$9:$E25)-SUM(F$9:$F25)</f>
        <v>2375000</v>
      </c>
    </row>
    <row r="26" spans="1:7" ht="28.8" x14ac:dyDescent="0.55000000000000004">
      <c r="A26" s="12">
        <v>46098</v>
      </c>
      <c r="B26" s="13" t="s">
        <v>109</v>
      </c>
      <c r="C26" s="10">
        <v>1</v>
      </c>
      <c r="D26" s="10">
        <v>75000</v>
      </c>
      <c r="E26" s="7">
        <v>75000</v>
      </c>
      <c r="F26" s="14">
        <v>0</v>
      </c>
      <c r="G26" s="6">
        <f>+SUM(E$9:$E26)-SUM(F$9:$F26)</f>
        <v>2450000</v>
      </c>
    </row>
    <row r="27" spans="1:7" ht="28.8" x14ac:dyDescent="0.55000000000000004">
      <c r="A27" s="12">
        <v>46098</v>
      </c>
      <c r="B27" s="13" t="s">
        <v>110</v>
      </c>
      <c r="C27" s="10">
        <v>1</v>
      </c>
      <c r="D27" s="10">
        <v>90000</v>
      </c>
      <c r="E27" s="7">
        <v>90000</v>
      </c>
      <c r="F27" s="14">
        <v>0</v>
      </c>
      <c r="G27" s="6">
        <f>+SUM(E$9:$E27)-SUM(F$9:$F27)</f>
        <v>2540000</v>
      </c>
    </row>
    <row r="28" spans="1:7" ht="28.8" x14ac:dyDescent="0.55000000000000004">
      <c r="A28" s="12">
        <v>46098</v>
      </c>
      <c r="B28" s="13" t="s">
        <v>111</v>
      </c>
      <c r="C28" s="10">
        <v>1</v>
      </c>
      <c r="D28" s="10">
        <v>70000</v>
      </c>
      <c r="E28" s="7">
        <v>70000</v>
      </c>
      <c r="F28" s="14">
        <v>0</v>
      </c>
      <c r="G28" s="6">
        <f>+SUM(E$9:$E28)-SUM(F$9:$F28)</f>
        <v>2610000</v>
      </c>
    </row>
    <row r="29" spans="1:7" ht="28.8" x14ac:dyDescent="0.55000000000000004">
      <c r="A29" s="12">
        <v>46099</v>
      </c>
      <c r="B29" s="13" t="s">
        <v>112</v>
      </c>
      <c r="C29" s="10">
        <v>1</v>
      </c>
      <c r="D29" s="10">
        <v>5000</v>
      </c>
      <c r="E29" s="7">
        <v>5000</v>
      </c>
      <c r="F29" s="14">
        <v>0</v>
      </c>
      <c r="G29" s="6">
        <f>+SUM(E$9:$E29)-SUM(F$9:$F29)</f>
        <v>2615000</v>
      </c>
    </row>
    <row r="30" spans="1:7" ht="28.8" x14ac:dyDescent="0.55000000000000004">
      <c r="A30" s="12"/>
      <c r="B30" s="13"/>
      <c r="C30" s="10"/>
      <c r="D30" s="10"/>
      <c r="E30" s="7"/>
      <c r="F30" s="14"/>
      <c r="G30" s="6">
        <f>+SUM(E$9:$E30)-SUM(F$9:$F30)</f>
        <v>2615000</v>
      </c>
    </row>
    <row r="31" spans="1:7" ht="28.8" x14ac:dyDescent="0.55000000000000004">
      <c r="A31" s="12"/>
      <c r="B31" s="13"/>
      <c r="C31" s="10"/>
      <c r="D31" s="10"/>
      <c r="E31" s="7"/>
      <c r="F31" s="14"/>
      <c r="G31" s="6">
        <f>+SUM(E$9:$E31)-SUM(F$9:$F31)</f>
        <v>2615000</v>
      </c>
    </row>
    <row r="32" spans="1:7" ht="28.8" x14ac:dyDescent="0.55000000000000004">
      <c r="A32" s="12"/>
      <c r="B32" s="13"/>
      <c r="C32" s="10"/>
      <c r="D32" s="10"/>
      <c r="E32" s="7"/>
      <c r="F32" s="14"/>
      <c r="G32" s="6">
        <f>+SUM(E$9:$E32)-SUM(F$9:$F32)</f>
        <v>2615000</v>
      </c>
    </row>
    <row r="33" spans="1:7" ht="28.8" x14ac:dyDescent="0.55000000000000004">
      <c r="A33" s="12"/>
      <c r="B33" s="13"/>
      <c r="C33" s="10"/>
      <c r="D33" s="10"/>
      <c r="E33" s="7"/>
      <c r="F33" s="14"/>
      <c r="G33" s="6">
        <f>+SUM(E$9:$E33)-SUM(F$9:$F33)</f>
        <v>2615000</v>
      </c>
    </row>
    <row r="34" spans="1:7" ht="28.8" x14ac:dyDescent="0.55000000000000004">
      <c r="A34" s="12"/>
      <c r="B34" s="13"/>
      <c r="C34" s="10"/>
      <c r="D34" s="10"/>
      <c r="E34" s="7"/>
      <c r="F34" s="14"/>
      <c r="G34" s="6">
        <f>+SUM(E$9:$E34)-SUM(F$9:$F34)</f>
        <v>2615000</v>
      </c>
    </row>
    <row r="35" spans="1:7" ht="28.8" x14ac:dyDescent="0.55000000000000004">
      <c r="A35" s="12"/>
      <c r="B35" s="13"/>
      <c r="C35" s="10"/>
      <c r="D35" s="10"/>
      <c r="E35" s="7"/>
      <c r="F35" s="14"/>
      <c r="G35" s="6">
        <f>+SUM(E$9:$E35)-SUM(F$9:$F35)</f>
        <v>2615000</v>
      </c>
    </row>
    <row r="36" spans="1:7" ht="28.8" x14ac:dyDescent="0.55000000000000004">
      <c r="A36" s="12"/>
      <c r="B36" s="13"/>
      <c r="C36" s="10"/>
      <c r="D36" s="10"/>
      <c r="E36" s="7"/>
      <c r="F36" s="14"/>
      <c r="G36" s="6">
        <f>+SUM(E$9:$E36)-SUM(F$9:$F36)</f>
        <v>2615000</v>
      </c>
    </row>
    <row r="37" spans="1:7" ht="28.8" x14ac:dyDescent="0.55000000000000004">
      <c r="A37" s="12"/>
      <c r="B37" s="13"/>
      <c r="C37" s="10"/>
      <c r="D37" s="10"/>
      <c r="E37" s="7"/>
      <c r="F37" s="14"/>
      <c r="G37" s="6">
        <f>+SUM(E$9:$E37)-SUM(F$9:$F37)</f>
        <v>2615000</v>
      </c>
    </row>
    <row r="38" spans="1:7" ht="28.8" x14ac:dyDescent="0.55000000000000004">
      <c r="A38" s="12"/>
      <c r="B38" s="13"/>
      <c r="C38" s="10"/>
      <c r="D38" s="10"/>
      <c r="E38" s="7"/>
      <c r="F38" s="14"/>
      <c r="G38" s="6">
        <f>+SUM(E$9:$E38)-SUM(F$9:$F38)</f>
        <v>2615000</v>
      </c>
    </row>
    <row r="39" spans="1:7" ht="28.8" x14ac:dyDescent="0.55000000000000004">
      <c r="A39" s="12"/>
      <c r="B39" s="13"/>
      <c r="C39" s="10"/>
      <c r="D39" s="10"/>
      <c r="E39" s="7"/>
      <c r="F39" s="14"/>
      <c r="G39" s="6">
        <f>+SUM(E$9:$E39)-SUM(F$9:$F39)</f>
        <v>2615000</v>
      </c>
    </row>
    <row r="40" spans="1:7" ht="28.8" x14ac:dyDescent="0.55000000000000004">
      <c r="A40" s="12"/>
      <c r="B40" s="13"/>
      <c r="C40" s="10"/>
      <c r="D40" s="10"/>
      <c r="E40" s="7"/>
      <c r="F40" s="14"/>
      <c r="G40" s="6">
        <f>+SUM(E$9:$E40)-SUM(F$9:$F40)</f>
        <v>2615000</v>
      </c>
    </row>
    <row r="41" spans="1:7" ht="28.8" x14ac:dyDescent="0.55000000000000004">
      <c r="A41" s="12"/>
      <c r="B41" s="13"/>
      <c r="C41" s="10"/>
      <c r="D41" s="10"/>
      <c r="E41" s="7"/>
      <c r="F41" s="14"/>
      <c r="G41" s="6">
        <f>+SUM(E$9:$E41)-SUM(F$9:$F41)</f>
        <v>2615000</v>
      </c>
    </row>
    <row r="42" spans="1:7" ht="28.8" x14ac:dyDescent="0.55000000000000004">
      <c r="A42" s="12"/>
      <c r="B42" s="13"/>
      <c r="C42" s="10"/>
      <c r="D42" s="10"/>
      <c r="E42" s="7"/>
      <c r="F42" s="14"/>
      <c r="G42" s="6">
        <f>+SUM(E$9:$E42)-SUM(F$9:$F42)</f>
        <v>2615000</v>
      </c>
    </row>
    <row r="43" spans="1:7" ht="28.8" x14ac:dyDescent="0.55000000000000004">
      <c r="A43" s="12"/>
      <c r="B43" s="13"/>
      <c r="C43" s="10"/>
      <c r="D43" s="10"/>
      <c r="E43" s="7"/>
      <c r="F43" s="14"/>
      <c r="G43" s="6">
        <f>+SUM(E$9:$E43)-SUM(F$9:$F43)</f>
        <v>2615000</v>
      </c>
    </row>
    <row r="44" spans="1:7" ht="28.8" x14ac:dyDescent="0.55000000000000004">
      <c r="A44" s="12"/>
      <c r="B44" s="13"/>
      <c r="C44" s="10"/>
      <c r="D44" s="10"/>
      <c r="E44" s="7"/>
      <c r="F44" s="14"/>
      <c r="G44" s="6">
        <f>+SUM(E$9:$E44)-SUM(F$9:$F44)</f>
        <v>2615000</v>
      </c>
    </row>
    <row r="45" spans="1:7" ht="28.8" x14ac:dyDescent="0.55000000000000004">
      <c r="A45" s="12"/>
      <c r="B45" s="13"/>
      <c r="C45" s="10"/>
      <c r="D45" s="10"/>
      <c r="E45" s="7"/>
      <c r="F45" s="14"/>
      <c r="G45" s="6">
        <f>+SUM(E$9:$E45)-SUM(F$9:$F45)</f>
        <v>2615000</v>
      </c>
    </row>
    <row r="46" spans="1:7" ht="28.8" x14ac:dyDescent="0.55000000000000004">
      <c r="A46" s="12"/>
      <c r="B46" s="13"/>
      <c r="C46" s="10"/>
      <c r="D46" s="10"/>
      <c r="E46" s="7"/>
      <c r="F46" s="14"/>
      <c r="G46" s="6">
        <f>+SUM(E$9:$E46)-SUM(F$9:$F46)</f>
        <v>2615000</v>
      </c>
    </row>
    <row r="47" spans="1:7" ht="28.8" x14ac:dyDescent="0.55000000000000004">
      <c r="A47" s="12"/>
      <c r="B47" s="13"/>
      <c r="C47" s="10"/>
      <c r="D47" s="10"/>
      <c r="E47" s="7"/>
      <c r="F47" s="14"/>
      <c r="G47" s="6">
        <f>+SUM(E$9:$E47)-SUM(F$9:$F47)</f>
        <v>2615000</v>
      </c>
    </row>
    <row r="48" spans="1:7" ht="28.8" x14ac:dyDescent="0.55000000000000004">
      <c r="A48" s="12"/>
      <c r="B48" s="13"/>
      <c r="C48" s="10"/>
      <c r="D48" s="10"/>
      <c r="E48" s="7"/>
      <c r="F48" s="14"/>
      <c r="G48" s="6">
        <f>+SUM(E$9:$E48)-SUM(F$9:$F48)</f>
        <v>2615000</v>
      </c>
    </row>
    <row r="49" spans="1:7" ht="28.8" x14ac:dyDescent="0.55000000000000004">
      <c r="A49" s="12"/>
      <c r="B49" s="13"/>
      <c r="C49" s="10"/>
      <c r="D49" s="10"/>
      <c r="E49" s="7"/>
      <c r="F49" s="14"/>
      <c r="G49" s="6">
        <f>+SUM(E$9:$E49)-SUM(F$9:$F49)</f>
        <v>2615000</v>
      </c>
    </row>
    <row r="50" spans="1:7" ht="28.8" x14ac:dyDescent="0.55000000000000004">
      <c r="A50" s="12"/>
      <c r="B50" s="13"/>
      <c r="C50" s="10"/>
      <c r="D50" s="10"/>
      <c r="E50" s="7"/>
      <c r="F50" s="14"/>
      <c r="G50" s="6">
        <f>+SUM(E$9:$E50)-SUM(F$9:$F50)</f>
        <v>2615000</v>
      </c>
    </row>
    <row r="51" spans="1:7" ht="28.8" x14ac:dyDescent="0.55000000000000004">
      <c r="A51" s="12"/>
      <c r="B51" s="13"/>
      <c r="C51" s="10"/>
      <c r="D51" s="10"/>
      <c r="E51" s="7"/>
      <c r="F51" s="14"/>
      <c r="G51" s="6">
        <f>+SUM(E$9:$E51)-SUM(F$9:$F51)</f>
        <v>2615000</v>
      </c>
    </row>
    <row r="52" spans="1:7" ht="28.8" x14ac:dyDescent="0.55000000000000004">
      <c r="A52" s="12"/>
      <c r="B52" s="13"/>
      <c r="C52" s="10"/>
      <c r="D52" s="10"/>
      <c r="E52" s="7"/>
      <c r="F52" s="14"/>
      <c r="G52" s="6">
        <f>+SUM(E$9:$E52)-SUM(F$9:$F52)</f>
        <v>2615000</v>
      </c>
    </row>
    <row r="53" spans="1:7" ht="28.8" x14ac:dyDescent="0.55000000000000004">
      <c r="A53" s="12"/>
      <c r="B53" s="13"/>
      <c r="C53" s="10"/>
      <c r="D53" s="10"/>
      <c r="E53" s="7"/>
      <c r="F53" s="14"/>
      <c r="G53" s="6">
        <f>+SUM(E$9:$E53)-SUM(F$9:$F53)</f>
        <v>2615000</v>
      </c>
    </row>
    <row r="54" spans="1:7" ht="28.8" x14ac:dyDescent="0.55000000000000004">
      <c r="A54" s="12"/>
      <c r="B54" s="13"/>
      <c r="C54" s="10"/>
      <c r="D54" s="10"/>
      <c r="E54" s="7"/>
      <c r="F54" s="14"/>
      <c r="G54" s="6">
        <f>+SUM(E$9:$E54)-SUM(F$9:$F54)</f>
        <v>2615000</v>
      </c>
    </row>
    <row r="55" spans="1:7" ht="28.8" x14ac:dyDescent="0.55000000000000004">
      <c r="A55" s="12"/>
      <c r="B55" s="13"/>
      <c r="C55" s="10"/>
      <c r="D55" s="10"/>
      <c r="E55" s="7"/>
      <c r="F55" s="14"/>
      <c r="G55" s="6">
        <f>+SUM(E$9:$E55)-SUM(F$9:$F55)</f>
        <v>2615000</v>
      </c>
    </row>
    <row r="56" spans="1:7" ht="28.8" x14ac:dyDescent="0.55000000000000004">
      <c r="A56" s="12"/>
      <c r="B56" s="13"/>
      <c r="C56" s="10"/>
      <c r="D56" s="10"/>
      <c r="E56" s="7"/>
      <c r="F56" s="14"/>
      <c r="G56" s="6">
        <f>+SUM(E$9:$E56)-SUM(F$9:$F56)</f>
        <v>2615000</v>
      </c>
    </row>
    <row r="57" spans="1:7" ht="28.8" x14ac:dyDescent="0.55000000000000004">
      <c r="A57" s="12"/>
      <c r="B57" s="13"/>
      <c r="C57" s="10"/>
      <c r="D57" s="10"/>
      <c r="E57" s="7"/>
      <c r="F57" s="14"/>
      <c r="G57" s="6">
        <f>+SUM(E$9:$E57)-SUM(F$9:$F57)</f>
        <v>2615000</v>
      </c>
    </row>
    <row r="58" spans="1:7" ht="28.8" x14ac:dyDescent="0.55000000000000004">
      <c r="A58" s="12"/>
      <c r="B58" s="13"/>
      <c r="C58" s="10"/>
      <c r="D58" s="10"/>
      <c r="E58" s="7"/>
      <c r="F58" s="14"/>
      <c r="G58" s="6">
        <f>+SUM(E$9:$E58)-SUM(F$9:$F58)</f>
        <v>2615000</v>
      </c>
    </row>
    <row r="59" spans="1:7" ht="28.8" x14ac:dyDescent="0.55000000000000004">
      <c r="A59" s="12"/>
      <c r="B59" s="13"/>
      <c r="C59" s="10"/>
      <c r="D59" s="10"/>
      <c r="E59" s="7"/>
      <c r="F59" s="14"/>
      <c r="G59" s="6">
        <f>+SUM(E$9:$E59)-SUM(F$9:$F59)</f>
        <v>2615000</v>
      </c>
    </row>
    <row r="60" spans="1:7" ht="28.8" x14ac:dyDescent="0.55000000000000004">
      <c r="A60" s="12"/>
      <c r="B60" s="13"/>
      <c r="C60" s="10"/>
      <c r="D60" s="10"/>
      <c r="E60" s="7"/>
      <c r="F60" s="14"/>
      <c r="G60" s="6">
        <f>+SUM(E$9:$E60)-SUM(F$9:$F60)</f>
        <v>2615000</v>
      </c>
    </row>
    <row r="61" spans="1:7" ht="28.8" x14ac:dyDescent="0.55000000000000004">
      <c r="A61" s="12"/>
      <c r="B61" s="13"/>
      <c r="C61" s="10"/>
      <c r="D61" s="10"/>
      <c r="E61" s="7"/>
      <c r="F61" s="14"/>
      <c r="G61" s="6">
        <f>+SUM(E$9:$E61)-SUM(F$9:$F61)</f>
        <v>2615000</v>
      </c>
    </row>
    <row r="62" spans="1:7" ht="28.8" x14ac:dyDescent="0.55000000000000004">
      <c r="A62" s="12"/>
      <c r="B62" s="13"/>
      <c r="C62" s="10"/>
      <c r="D62" s="10"/>
      <c r="E62" s="7"/>
      <c r="F62" s="14"/>
      <c r="G62" s="6">
        <f>+SUM(E$9:$E62)-SUM(F$9:$F62)</f>
        <v>2615000</v>
      </c>
    </row>
    <row r="63" spans="1:7" ht="28.8" x14ac:dyDescent="0.55000000000000004">
      <c r="A63" s="12"/>
      <c r="B63" s="13"/>
      <c r="C63" s="10"/>
      <c r="D63" s="10"/>
      <c r="E63" s="7"/>
      <c r="F63" s="14"/>
      <c r="G63" s="6">
        <f>+SUM(E$9:$E63)-SUM(F$9:$F63)</f>
        <v>2615000</v>
      </c>
    </row>
    <row r="64" spans="1:7" ht="28.8" x14ac:dyDescent="0.55000000000000004">
      <c r="A64" s="12"/>
      <c r="B64" s="13"/>
      <c r="C64" s="10"/>
      <c r="D64" s="10"/>
      <c r="E64" s="7"/>
      <c r="F64" s="14"/>
      <c r="G64" s="6">
        <f>+SUM(E$9:$E64)-SUM(F$9:$F64)</f>
        <v>2615000</v>
      </c>
    </row>
    <row r="65" spans="1:7" ht="28.8" x14ac:dyDescent="0.55000000000000004">
      <c r="A65" s="12"/>
      <c r="B65" s="13"/>
      <c r="C65" s="10"/>
      <c r="D65" s="10"/>
      <c r="E65" s="7"/>
      <c r="F65" s="14"/>
      <c r="G65" s="6">
        <f>+SUM(E$9:$E65)-SUM(F$9:$F65)</f>
        <v>2615000</v>
      </c>
    </row>
    <row r="66" spans="1:7" ht="28.8" x14ac:dyDescent="0.55000000000000004">
      <c r="A66" s="12"/>
      <c r="B66" s="13"/>
      <c r="C66" s="10"/>
      <c r="D66" s="10"/>
      <c r="E66" s="7"/>
      <c r="F66" s="14"/>
      <c r="G66" s="6">
        <f>+SUM(E$9:$E66)-SUM(F$9:$F66)</f>
        <v>2615000</v>
      </c>
    </row>
    <row r="67" spans="1:7" ht="28.8" x14ac:dyDescent="0.55000000000000004">
      <c r="A67" s="12"/>
      <c r="B67" s="13"/>
      <c r="C67" s="10"/>
      <c r="D67" s="10"/>
      <c r="E67" s="7"/>
      <c r="F67" s="14"/>
      <c r="G67" s="6">
        <f>+SUM(E$9:$E67)-SUM(F$9:$F67)</f>
        <v>2615000</v>
      </c>
    </row>
    <row r="68" spans="1:7" ht="28.8" x14ac:dyDescent="0.55000000000000004">
      <c r="A68" s="12"/>
      <c r="B68" s="13"/>
      <c r="C68" s="10"/>
      <c r="D68" s="10"/>
      <c r="E68" s="7"/>
      <c r="F68" s="14"/>
      <c r="G68" s="6">
        <f>+SUM(E$9:$E68)-SUM(F$9:$F68)</f>
        <v>2615000</v>
      </c>
    </row>
    <row r="69" spans="1:7" ht="28.8" x14ac:dyDescent="0.55000000000000004">
      <c r="A69" s="12"/>
      <c r="B69" s="13"/>
      <c r="C69" s="10"/>
      <c r="D69" s="10"/>
      <c r="E69" s="7"/>
      <c r="F69" s="14"/>
      <c r="G69" s="6">
        <f>+SUM(E$9:$E69)-SUM(F$9:$F69)</f>
        <v>2615000</v>
      </c>
    </row>
    <row r="70" spans="1:7" ht="28.8" x14ac:dyDescent="0.55000000000000004">
      <c r="A70" s="12"/>
      <c r="B70" s="13"/>
      <c r="C70" s="10"/>
      <c r="D70" s="10"/>
      <c r="E70" s="7"/>
      <c r="F70" s="14"/>
      <c r="G70" s="6">
        <f>+SUM(E$9:$E70)-SUM(F$9:$F70)</f>
        <v>2615000</v>
      </c>
    </row>
    <row r="71" spans="1:7" ht="28.8" x14ac:dyDescent="0.55000000000000004">
      <c r="A71" s="12"/>
      <c r="B71" s="13"/>
      <c r="C71" s="10"/>
      <c r="D71" s="10"/>
      <c r="E71" s="7"/>
      <c r="F71" s="14"/>
      <c r="G71" s="6">
        <f>+SUM(E$9:$E71)-SUM(F$9:$F71)</f>
        <v>2615000</v>
      </c>
    </row>
    <row r="72" spans="1:7" ht="28.8" x14ac:dyDescent="0.55000000000000004">
      <c r="A72" s="12"/>
      <c r="B72" s="13"/>
      <c r="C72" s="10"/>
      <c r="D72" s="10"/>
      <c r="E72" s="7"/>
      <c r="F72" s="14"/>
      <c r="G72" s="6">
        <f>+SUM(E$9:$E72)-SUM(F$9:$F72)</f>
        <v>2615000</v>
      </c>
    </row>
  </sheetData>
  <sheetProtection selectLockedCells="1" autoFilter="0"/>
  <mergeCells count="1">
    <mergeCell ref="B6:C6"/>
  </mergeCells>
  <conditionalFormatting sqref="B9:B72">
    <cfRule type="expression" dxfId="596" priority="5">
      <formula>$F9</formula>
    </cfRule>
  </conditionalFormatting>
  <conditionalFormatting sqref="G4">
    <cfRule type="cellIs" dxfId="595" priority="2" operator="lessThan">
      <formula>0</formula>
    </cfRule>
    <cfRule type="cellIs" dxfId="594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I291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+SUM(KABALANE[TOTAL MONTANT])</f>
        <v>2689649</v>
      </c>
      <c r="F4" s="39">
        <f>+SUM(KABALANE[VERSEMENT])</f>
        <v>0</v>
      </c>
      <c r="G4" s="97">
        <f>+E4-F4</f>
        <v>2689649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113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8">
        <v>2689649</v>
      </c>
      <c r="E9" s="7">
        <f>+$I$2+(KABALANE[[#This Row],[QUANTITE]]*KABALANE[[#This Row],[PRIX UNITAIRE]])</f>
        <v>2689649</v>
      </c>
      <c r="F9" s="20"/>
      <c r="G9" s="6">
        <f>+SUM(E$9:$E9)-SUM(F$9:$F9)</f>
        <v>2689649</v>
      </c>
    </row>
    <row r="10" spans="1:9" ht="28.8" x14ac:dyDescent="0.55000000000000004">
      <c r="A10" s="12"/>
      <c r="B10" s="13"/>
      <c r="C10" s="10"/>
      <c r="D10" s="10"/>
      <c r="E10" s="7">
        <f>+$I$2+(KABALANE[[#This Row],[QUANTITE]]*KABALANE[[#This Row],[PRIX UNITAIRE]])</f>
        <v>0</v>
      </c>
      <c r="F10" s="23"/>
      <c r="G10" s="6">
        <f>+SUM(E$9:$E10)-SUM(F$9:$F10)</f>
        <v>2689649</v>
      </c>
    </row>
    <row r="11" spans="1:9" ht="28.8" x14ac:dyDescent="0.55000000000000004">
      <c r="A11" s="12"/>
      <c r="B11" s="13"/>
      <c r="C11" s="10"/>
      <c r="D11" s="10"/>
      <c r="E11" s="7">
        <f>+$I$2+(KABALANE[[#This Row],[QUANTITE]]*KABALANE[[#This Row],[PRIX UNITAIRE]])</f>
        <v>0</v>
      </c>
      <c r="F11" s="23"/>
      <c r="G11" s="6">
        <f>+SUM(E$9:$E11)-SUM(F$9:$F11)</f>
        <v>2689649</v>
      </c>
    </row>
    <row r="12" spans="1:9" ht="28.8" x14ac:dyDescent="0.55000000000000004">
      <c r="A12" s="12"/>
      <c r="B12" s="13"/>
      <c r="C12" s="10"/>
      <c r="D12" s="10"/>
      <c r="E12" s="7">
        <f>+$I$2+(KABALANE[[#This Row],[QUANTITE]]*KABALANE[[#This Row],[PRIX UNITAIRE]])</f>
        <v>0</v>
      </c>
      <c r="F12" s="23"/>
      <c r="G12" s="6">
        <f>+SUM(E$9:$E12)-SUM(F$9:$F12)</f>
        <v>2689649</v>
      </c>
    </row>
    <row r="13" spans="1:9" ht="28.8" x14ac:dyDescent="0.55000000000000004">
      <c r="A13" s="12"/>
      <c r="B13" s="13"/>
      <c r="C13" s="10"/>
      <c r="D13" s="10"/>
      <c r="E13" s="7">
        <f>+$I$2+(KABALANE[[#This Row],[QUANTITE]]*KABALANE[[#This Row],[PRIX UNITAIRE]])</f>
        <v>0</v>
      </c>
      <c r="F13" s="23"/>
      <c r="G13" s="6">
        <f>+SUM(E$9:$E13)-SUM(F$9:$F13)</f>
        <v>2689649</v>
      </c>
    </row>
    <row r="14" spans="1:9" ht="28.8" x14ac:dyDescent="0.55000000000000004">
      <c r="A14" s="12"/>
      <c r="B14" s="13"/>
      <c r="C14" s="10"/>
      <c r="D14" s="10"/>
      <c r="E14" s="7">
        <f>+$I$2+(KABALANE[[#This Row],[QUANTITE]]*KABALANE[[#This Row],[PRIX UNITAIRE]])</f>
        <v>0</v>
      </c>
      <c r="F14" s="23"/>
      <c r="G14" s="6">
        <f>+SUM(E$9:$E14)-SUM(F$9:$F14)</f>
        <v>2689649</v>
      </c>
    </row>
    <row r="15" spans="1:9" ht="28.8" x14ac:dyDescent="0.55000000000000004">
      <c r="A15" s="12"/>
      <c r="B15" s="13"/>
      <c r="C15" s="10"/>
      <c r="D15" s="10"/>
      <c r="E15" s="7">
        <f>+$I$2+(KABALANE[[#This Row],[QUANTITE]]*KABALANE[[#This Row],[PRIX UNITAIRE]])</f>
        <v>0</v>
      </c>
      <c r="F15" s="23"/>
      <c r="G15" s="6">
        <f>+SUM(E$9:$E15)-SUM(F$9:$F15)</f>
        <v>2689649</v>
      </c>
    </row>
    <row r="16" spans="1:9" ht="28.8" x14ac:dyDescent="0.55000000000000004">
      <c r="A16" s="12"/>
      <c r="B16" s="13"/>
      <c r="C16" s="10"/>
      <c r="D16" s="10"/>
      <c r="E16" s="7">
        <f>+$I$2+(KABALANE[[#This Row],[QUANTITE]]*KABALANE[[#This Row],[PRIX UNITAIRE]])</f>
        <v>0</v>
      </c>
      <c r="F16" s="23"/>
      <c r="G16" s="6">
        <f>+SUM(E$9:$E16)-SUM(F$9:$F16)</f>
        <v>2689649</v>
      </c>
    </row>
    <row r="17" spans="1:7" ht="28.8" x14ac:dyDescent="0.55000000000000004">
      <c r="A17" s="12"/>
      <c r="B17" s="13"/>
      <c r="C17" s="10"/>
      <c r="D17" s="10"/>
      <c r="E17" s="7">
        <f>+$I$2+(KABALANE[[#This Row],[QUANTITE]]*KABALANE[[#This Row],[PRIX UNITAIRE]])</f>
        <v>0</v>
      </c>
      <c r="F17" s="23"/>
      <c r="G17" s="6">
        <f>+SUM(E$9:$E17)-SUM(F$9:$F17)</f>
        <v>2689649</v>
      </c>
    </row>
    <row r="18" spans="1:7" ht="28.8" x14ac:dyDescent="0.55000000000000004">
      <c r="A18" s="12"/>
      <c r="B18" s="13"/>
      <c r="C18" s="10"/>
      <c r="D18" s="10"/>
      <c r="E18" s="7">
        <f>+$I$2+(KABALANE[[#This Row],[QUANTITE]]*KABALANE[[#This Row],[PRIX UNITAIRE]])</f>
        <v>0</v>
      </c>
      <c r="F18" s="23"/>
      <c r="G18" s="6">
        <f>+SUM(E$9:$E18)-SUM(F$9:$F18)</f>
        <v>2689649</v>
      </c>
    </row>
    <row r="19" spans="1:7" ht="28.8" x14ac:dyDescent="0.55000000000000004">
      <c r="A19" s="12"/>
      <c r="B19" s="13"/>
      <c r="C19" s="10"/>
      <c r="D19" s="10"/>
      <c r="E19" s="7">
        <f>+$I$2+(KABALANE[[#This Row],[QUANTITE]]*KABALANE[[#This Row],[PRIX UNITAIRE]])</f>
        <v>0</v>
      </c>
      <c r="F19" s="23"/>
      <c r="G19" s="6">
        <f>+SUM(E$9:$E19)-SUM(F$9:$F19)</f>
        <v>2689649</v>
      </c>
    </row>
    <row r="20" spans="1:7" ht="28.8" x14ac:dyDescent="0.55000000000000004">
      <c r="A20" s="12"/>
      <c r="B20" s="13"/>
      <c r="C20" s="10"/>
      <c r="D20" s="10"/>
      <c r="E20" s="7">
        <f>+$I$2+(KABALANE[[#This Row],[QUANTITE]]*KABALANE[[#This Row],[PRIX UNITAIRE]])</f>
        <v>0</v>
      </c>
      <c r="F20" s="23"/>
      <c r="G20" s="6">
        <f>+SUM(E$9:$E20)-SUM(F$9:$F20)</f>
        <v>2689649</v>
      </c>
    </row>
    <row r="21" spans="1:7" ht="28.8" x14ac:dyDescent="0.55000000000000004">
      <c r="A21" s="12"/>
      <c r="B21" s="13"/>
      <c r="C21" s="10"/>
      <c r="D21" s="10"/>
      <c r="E21" s="7">
        <f>+$I$2+(KABALANE[[#This Row],[QUANTITE]]*KABALANE[[#This Row],[PRIX UNITAIRE]])</f>
        <v>0</v>
      </c>
      <c r="F21" s="23"/>
      <c r="G21" s="6">
        <f>+SUM(E$9:$E21)-SUM(F$9:$F21)</f>
        <v>2689649</v>
      </c>
    </row>
    <row r="22" spans="1:7" ht="28.8" x14ac:dyDescent="0.55000000000000004">
      <c r="A22" s="12"/>
      <c r="B22" s="13"/>
      <c r="C22" s="10"/>
      <c r="D22" s="10"/>
      <c r="E22" s="7">
        <f>+$I$2+(KABALANE[[#This Row],[QUANTITE]]*KABALANE[[#This Row],[PRIX UNITAIRE]])</f>
        <v>0</v>
      </c>
      <c r="F22" s="23"/>
      <c r="G22" s="6">
        <f>+SUM(E$9:$E22)-SUM(F$9:$F22)</f>
        <v>2689649</v>
      </c>
    </row>
    <row r="23" spans="1:7" ht="28.8" x14ac:dyDescent="0.55000000000000004">
      <c r="A23" s="12"/>
      <c r="B23" s="13"/>
      <c r="C23" s="10"/>
      <c r="D23" s="10"/>
      <c r="E23" s="7">
        <f>+$I$2+(KABALANE[[#This Row],[QUANTITE]]*KABALANE[[#This Row],[PRIX UNITAIRE]])</f>
        <v>0</v>
      </c>
      <c r="F23" s="23"/>
      <c r="G23" s="6">
        <f>+SUM(E$9:$E23)-SUM(F$9:$F23)</f>
        <v>2689649</v>
      </c>
    </row>
    <row r="24" spans="1:7" ht="28.8" x14ac:dyDescent="0.55000000000000004">
      <c r="A24" s="12"/>
      <c r="B24" s="13"/>
      <c r="C24" s="10"/>
      <c r="D24" s="10"/>
      <c r="E24" s="7">
        <f>+$I$2+(KABALANE[[#This Row],[QUANTITE]]*KABALANE[[#This Row],[PRIX UNITAIRE]])</f>
        <v>0</v>
      </c>
      <c r="F24" s="23"/>
      <c r="G24" s="6">
        <f>+SUM(E$9:$E24)-SUM(F$9:$F24)</f>
        <v>2689649</v>
      </c>
    </row>
    <row r="25" spans="1:7" ht="28.8" x14ac:dyDescent="0.55000000000000004">
      <c r="A25" s="12"/>
      <c r="B25" s="13"/>
      <c r="C25" s="10"/>
      <c r="D25" s="10"/>
      <c r="E25" s="7">
        <f>+$I$2+(KABALANE[[#This Row],[QUANTITE]]*KABALANE[[#This Row],[PRIX UNITAIRE]])</f>
        <v>0</v>
      </c>
      <c r="F25" s="23"/>
      <c r="G25" s="6">
        <f>+SUM(E$9:$E25)-SUM(F$9:$F25)</f>
        <v>2689649</v>
      </c>
    </row>
    <row r="26" spans="1:7" ht="28.8" x14ac:dyDescent="0.55000000000000004">
      <c r="A26" s="12"/>
      <c r="B26" s="13"/>
      <c r="C26" s="10"/>
      <c r="D26" s="10"/>
      <c r="E26" s="7">
        <f>+$I$2+(KABALANE[[#This Row],[QUANTITE]]*KABALANE[[#This Row],[PRIX UNITAIRE]])</f>
        <v>0</v>
      </c>
      <c r="F26" s="23"/>
      <c r="G26" s="6">
        <f>+SUM(E$9:$E26)-SUM(F$9:$F26)</f>
        <v>2689649</v>
      </c>
    </row>
    <row r="27" spans="1:7" ht="28.8" x14ac:dyDescent="0.55000000000000004">
      <c r="A27" s="12"/>
      <c r="B27" s="13"/>
      <c r="C27" s="10"/>
      <c r="D27" s="10"/>
      <c r="E27" s="7">
        <f>+$I$2+(KABALANE[[#This Row],[QUANTITE]]*KABALANE[[#This Row],[PRIX UNITAIRE]])</f>
        <v>0</v>
      </c>
      <c r="F27" s="23"/>
      <c r="G27" s="6">
        <f>+SUM(E$9:$E27)-SUM(F$9:$F27)</f>
        <v>2689649</v>
      </c>
    </row>
    <row r="28" spans="1:7" ht="28.8" x14ac:dyDescent="0.55000000000000004">
      <c r="A28" s="12"/>
      <c r="B28" s="13"/>
      <c r="C28" s="10"/>
      <c r="D28" s="10"/>
      <c r="E28" s="7">
        <f>+$I$2+(KABALANE[[#This Row],[QUANTITE]]*KABALANE[[#This Row],[PRIX UNITAIRE]])</f>
        <v>0</v>
      </c>
      <c r="F28" s="23"/>
      <c r="G28" s="6">
        <f>+SUM(E$9:$E28)-SUM(F$9:$F28)</f>
        <v>2689649</v>
      </c>
    </row>
    <row r="29" spans="1:7" ht="28.8" x14ac:dyDescent="0.55000000000000004">
      <c r="A29" s="12"/>
      <c r="B29" s="13"/>
      <c r="C29" s="10"/>
      <c r="D29" s="10"/>
      <c r="E29" s="7">
        <f>+$I$2+(KABALANE[[#This Row],[QUANTITE]]*KABALANE[[#This Row],[PRIX UNITAIRE]])</f>
        <v>0</v>
      </c>
      <c r="F29" s="23"/>
      <c r="G29" s="6">
        <f>+SUM(E$9:$E29)-SUM(F$9:$F29)</f>
        <v>2689649</v>
      </c>
    </row>
    <row r="30" spans="1:7" ht="28.8" x14ac:dyDescent="0.55000000000000004">
      <c r="A30" s="12"/>
      <c r="B30" s="13"/>
      <c r="C30" s="10"/>
      <c r="D30" s="10"/>
      <c r="E30" s="7">
        <f>+$I$2+(KABALANE[[#This Row],[QUANTITE]]*KABALANE[[#This Row],[PRIX UNITAIRE]])</f>
        <v>0</v>
      </c>
      <c r="F30" s="23"/>
      <c r="G30" s="6">
        <f>+SUM(E$9:$E30)-SUM(F$9:$F30)</f>
        <v>2689649</v>
      </c>
    </row>
    <row r="31" spans="1:7" ht="28.8" x14ac:dyDescent="0.55000000000000004">
      <c r="A31" s="12"/>
      <c r="B31" s="13"/>
      <c r="C31" s="10"/>
      <c r="D31" s="10"/>
      <c r="E31" s="7">
        <f>+$I$2+(KABALANE[[#This Row],[QUANTITE]]*KABALANE[[#This Row],[PRIX UNITAIRE]])</f>
        <v>0</v>
      </c>
      <c r="F31" s="23"/>
      <c r="G31" s="6">
        <f>+SUM(E$9:$E31)-SUM(F$9:$F31)</f>
        <v>2689649</v>
      </c>
    </row>
    <row r="32" spans="1:7" ht="28.8" x14ac:dyDescent="0.55000000000000004">
      <c r="A32" s="12"/>
      <c r="B32" s="13"/>
      <c r="C32" s="10"/>
      <c r="D32" s="10"/>
      <c r="E32" s="7">
        <f>+$I$2+(KABALANE[[#This Row],[QUANTITE]]*KABALANE[[#This Row],[PRIX UNITAIRE]])</f>
        <v>0</v>
      </c>
      <c r="F32" s="23"/>
      <c r="G32" s="6">
        <f>+SUM(E$9:$E32)-SUM(F$9:$F32)</f>
        <v>2689649</v>
      </c>
    </row>
    <row r="33" spans="1:7" ht="28.8" x14ac:dyDescent="0.55000000000000004">
      <c r="A33" s="12"/>
      <c r="B33" s="13"/>
      <c r="C33" s="10"/>
      <c r="D33" s="10"/>
      <c r="E33" s="7">
        <f>+$I$2+(KABALANE[[#This Row],[QUANTITE]]*KABALANE[[#This Row],[PRIX UNITAIRE]])</f>
        <v>0</v>
      </c>
      <c r="F33" s="23"/>
      <c r="G33" s="6">
        <f>+SUM(E$9:$E33)-SUM(F$9:$F33)</f>
        <v>2689649</v>
      </c>
    </row>
    <row r="34" spans="1:7" ht="28.8" x14ac:dyDescent="0.55000000000000004">
      <c r="A34" s="12"/>
      <c r="B34" s="13"/>
      <c r="C34" s="10"/>
      <c r="D34" s="10"/>
      <c r="E34" s="7">
        <f>+$I$2+(KABALANE[[#This Row],[QUANTITE]]*KABALANE[[#This Row],[PRIX UNITAIRE]])</f>
        <v>0</v>
      </c>
      <c r="F34" s="23"/>
      <c r="G34" s="6">
        <f>+SUM(E$9:$E34)-SUM(F$9:$F34)</f>
        <v>2689649</v>
      </c>
    </row>
    <row r="35" spans="1:7" ht="28.8" x14ac:dyDescent="0.55000000000000004">
      <c r="A35" s="12"/>
      <c r="B35" s="13"/>
      <c r="C35" s="10"/>
      <c r="D35" s="10"/>
      <c r="E35" s="7">
        <f>+$I$2+(KABALANE[[#This Row],[QUANTITE]]*KABALANE[[#This Row],[PRIX UNITAIRE]])</f>
        <v>0</v>
      </c>
      <c r="F35" s="23"/>
      <c r="G35" s="6">
        <f>+SUM(E$9:$E35)-SUM(F$9:$F35)</f>
        <v>2689649</v>
      </c>
    </row>
    <row r="36" spans="1:7" ht="28.8" x14ac:dyDescent="0.55000000000000004">
      <c r="A36" s="12"/>
      <c r="B36" s="13"/>
      <c r="C36" s="10"/>
      <c r="D36" s="10"/>
      <c r="E36" s="7">
        <f>+$I$2+(KABALANE[[#This Row],[QUANTITE]]*KABALANE[[#This Row],[PRIX UNITAIRE]])</f>
        <v>0</v>
      </c>
      <c r="F36" s="23"/>
      <c r="G36" s="6">
        <f>+SUM(E$9:$E36)-SUM(F$9:$F36)</f>
        <v>2689649</v>
      </c>
    </row>
    <row r="37" spans="1:7" ht="28.8" x14ac:dyDescent="0.55000000000000004">
      <c r="A37" s="12"/>
      <c r="B37" s="13"/>
      <c r="C37" s="10"/>
      <c r="D37" s="10"/>
      <c r="E37" s="7">
        <f>+$I$2+(KABALANE[[#This Row],[QUANTITE]]*KABALANE[[#This Row],[PRIX UNITAIRE]])</f>
        <v>0</v>
      </c>
      <c r="F37" s="23"/>
      <c r="G37" s="6">
        <f>+SUM(E$9:$E37)-SUM(F$9:$F37)</f>
        <v>2689649</v>
      </c>
    </row>
    <row r="38" spans="1:7" ht="28.8" x14ac:dyDescent="0.55000000000000004">
      <c r="A38" s="12"/>
      <c r="B38" s="13"/>
      <c r="C38" s="10"/>
      <c r="D38" s="10"/>
      <c r="E38" s="7">
        <f>+$I$2+(KABALANE[[#This Row],[QUANTITE]]*KABALANE[[#This Row],[PRIX UNITAIRE]])</f>
        <v>0</v>
      </c>
      <c r="F38" s="23"/>
      <c r="G38" s="6">
        <f>+SUM(E$9:$E38)-SUM(F$9:$F38)</f>
        <v>2689649</v>
      </c>
    </row>
    <row r="39" spans="1:7" ht="28.8" x14ac:dyDescent="0.55000000000000004">
      <c r="A39" s="12"/>
      <c r="B39" s="13"/>
      <c r="C39" s="10"/>
      <c r="D39" s="10"/>
      <c r="E39" s="7">
        <f>+$I$2+(KABALANE[[#This Row],[QUANTITE]]*KABALANE[[#This Row],[PRIX UNITAIRE]])</f>
        <v>0</v>
      </c>
      <c r="F39" s="23"/>
      <c r="G39" s="6">
        <f>+SUM(E$9:$E39)-SUM(F$9:$F39)</f>
        <v>2689649</v>
      </c>
    </row>
    <row r="40" spans="1:7" ht="28.8" x14ac:dyDescent="0.55000000000000004">
      <c r="A40" s="12"/>
      <c r="B40" s="13"/>
      <c r="C40" s="10"/>
      <c r="D40" s="10"/>
      <c r="E40" s="7">
        <f>+$I$2+(KABALANE[[#This Row],[QUANTITE]]*KABALANE[[#This Row],[PRIX UNITAIRE]])</f>
        <v>0</v>
      </c>
      <c r="F40" s="23"/>
      <c r="G40" s="6">
        <f>+SUM(E$9:$E40)-SUM(F$9:$F40)</f>
        <v>2689649</v>
      </c>
    </row>
    <row r="41" spans="1:7" ht="28.8" x14ac:dyDescent="0.55000000000000004">
      <c r="A41" s="12"/>
      <c r="B41" s="13"/>
      <c r="C41" s="10"/>
      <c r="D41" s="10"/>
      <c r="E41" s="7">
        <f>+$I$2+(KABALANE[[#This Row],[QUANTITE]]*KABALANE[[#This Row],[PRIX UNITAIRE]])</f>
        <v>0</v>
      </c>
      <c r="F41" s="23"/>
      <c r="G41" s="6">
        <f>+SUM(E$9:$E41)-SUM(F$9:$F41)</f>
        <v>2689649</v>
      </c>
    </row>
    <row r="42" spans="1:7" ht="28.8" x14ac:dyDescent="0.55000000000000004">
      <c r="A42" s="12"/>
      <c r="B42" s="13"/>
      <c r="C42" s="10"/>
      <c r="D42" s="10"/>
      <c r="E42" s="7">
        <f>+$I$2+(KABALANE[[#This Row],[QUANTITE]]*KABALANE[[#This Row],[PRIX UNITAIRE]])</f>
        <v>0</v>
      </c>
      <c r="F42" s="23"/>
      <c r="G42" s="6">
        <f>+SUM(E$9:$E42)-SUM(F$9:$F42)</f>
        <v>2689649</v>
      </c>
    </row>
    <row r="43" spans="1:7" ht="28.8" x14ac:dyDescent="0.55000000000000004">
      <c r="A43" s="12"/>
      <c r="B43" s="13"/>
      <c r="C43" s="10"/>
      <c r="D43" s="10"/>
      <c r="E43" s="7">
        <f>+$I$2+(KABALANE[[#This Row],[QUANTITE]]*KABALANE[[#This Row],[PRIX UNITAIRE]])</f>
        <v>0</v>
      </c>
      <c r="F43" s="23"/>
      <c r="G43" s="6">
        <f>+SUM(E$9:$E43)-SUM(F$9:$F43)</f>
        <v>2689649</v>
      </c>
    </row>
    <row r="44" spans="1:7" ht="28.8" x14ac:dyDescent="0.55000000000000004">
      <c r="A44" s="12"/>
      <c r="B44" s="13"/>
      <c r="C44" s="10"/>
      <c r="D44" s="10"/>
      <c r="E44" s="7">
        <f>+$I$2+(KABALANE[[#This Row],[QUANTITE]]*KABALANE[[#This Row],[PRIX UNITAIRE]])</f>
        <v>0</v>
      </c>
      <c r="F44" s="23"/>
      <c r="G44" s="6">
        <f>+SUM(E$9:$E44)-SUM(F$9:$F44)</f>
        <v>2689649</v>
      </c>
    </row>
    <row r="45" spans="1:7" ht="28.8" x14ac:dyDescent="0.55000000000000004">
      <c r="A45" s="12"/>
      <c r="B45" s="13"/>
      <c r="C45" s="10"/>
      <c r="D45" s="10"/>
      <c r="E45" s="7">
        <f>+$I$2+(KABALANE[[#This Row],[QUANTITE]]*KABALANE[[#This Row],[PRIX UNITAIRE]])</f>
        <v>0</v>
      </c>
      <c r="F45" s="23"/>
      <c r="G45" s="6">
        <f>+SUM(E$9:$E45)-SUM(F$9:$F45)</f>
        <v>2689649</v>
      </c>
    </row>
    <row r="46" spans="1:7" ht="28.8" x14ac:dyDescent="0.55000000000000004">
      <c r="A46" s="12"/>
      <c r="B46" s="13"/>
      <c r="C46" s="10"/>
      <c r="D46" s="10"/>
      <c r="E46" s="7">
        <f>+$I$2+(KABALANE[[#This Row],[QUANTITE]]*KABALANE[[#This Row],[PRIX UNITAIRE]])</f>
        <v>0</v>
      </c>
      <c r="F46" s="23"/>
      <c r="G46" s="6">
        <f>+SUM(E$9:$E46)-SUM(F$9:$F46)</f>
        <v>2689649</v>
      </c>
    </row>
    <row r="47" spans="1:7" ht="28.8" x14ac:dyDescent="0.55000000000000004">
      <c r="A47" s="12"/>
      <c r="B47" s="13"/>
      <c r="C47" s="10"/>
      <c r="D47" s="10"/>
      <c r="E47" s="7">
        <f>+$I$2+(KABALANE[[#This Row],[QUANTITE]]*KABALANE[[#This Row],[PRIX UNITAIRE]])</f>
        <v>0</v>
      </c>
      <c r="F47" s="23"/>
      <c r="G47" s="6">
        <f>+SUM(E$9:$E47)-SUM(F$9:$F47)</f>
        <v>2689649</v>
      </c>
    </row>
    <row r="48" spans="1:7" ht="28.8" x14ac:dyDescent="0.55000000000000004">
      <c r="A48" s="12"/>
      <c r="B48" s="13"/>
      <c r="C48" s="10"/>
      <c r="D48" s="10"/>
      <c r="E48" s="7">
        <f>+$I$2+(KABALANE[[#This Row],[QUANTITE]]*KABALANE[[#This Row],[PRIX UNITAIRE]])</f>
        <v>0</v>
      </c>
      <c r="F48" s="23"/>
      <c r="G48" s="6">
        <f>+SUM(E$9:$E48)-SUM(F$9:$F48)</f>
        <v>2689649</v>
      </c>
    </row>
    <row r="49" spans="1:7" ht="28.8" x14ac:dyDescent="0.55000000000000004">
      <c r="A49" s="12"/>
      <c r="B49" s="13"/>
      <c r="C49" s="10"/>
      <c r="D49" s="10"/>
      <c r="E49" s="7">
        <f>+$I$2+(KABALANE[[#This Row],[QUANTITE]]*KABALANE[[#This Row],[PRIX UNITAIRE]])</f>
        <v>0</v>
      </c>
      <c r="F49" s="23"/>
      <c r="G49" s="6">
        <f>+SUM(E$9:$E49)-SUM(F$9:$F49)</f>
        <v>2689649</v>
      </c>
    </row>
    <row r="50" spans="1:7" ht="28.8" x14ac:dyDescent="0.55000000000000004">
      <c r="A50" s="12"/>
      <c r="B50" s="13"/>
      <c r="C50" s="10"/>
      <c r="D50" s="10"/>
      <c r="E50" s="7">
        <f>+$I$2+(KABALANE[[#This Row],[QUANTITE]]*KABALANE[[#This Row],[PRIX UNITAIRE]])</f>
        <v>0</v>
      </c>
      <c r="F50" s="23"/>
      <c r="G50" s="6">
        <f>+SUM(E$9:$E50)-SUM(F$9:$F50)</f>
        <v>2689649</v>
      </c>
    </row>
    <row r="51" spans="1:7" ht="28.8" x14ac:dyDescent="0.55000000000000004">
      <c r="A51" s="12"/>
      <c r="B51" s="13"/>
      <c r="C51" s="10"/>
      <c r="D51" s="10"/>
      <c r="E51" s="7">
        <f>+$I$2+(KABALANE[[#This Row],[QUANTITE]]*KABALANE[[#This Row],[PRIX UNITAIRE]])</f>
        <v>0</v>
      </c>
      <c r="F51" s="23"/>
      <c r="G51" s="6">
        <f>+SUM(E$9:$E51)-SUM(F$9:$F51)</f>
        <v>2689649</v>
      </c>
    </row>
    <row r="52" spans="1:7" ht="28.8" x14ac:dyDescent="0.55000000000000004">
      <c r="A52" s="12"/>
      <c r="B52" s="13"/>
      <c r="C52" s="10"/>
      <c r="D52" s="10"/>
      <c r="E52" s="7">
        <f>+$I$2+(KABALANE[[#This Row],[QUANTITE]]*KABALANE[[#This Row],[PRIX UNITAIRE]])</f>
        <v>0</v>
      </c>
      <c r="F52" s="23"/>
      <c r="G52" s="6">
        <f>+SUM(E$9:$E52)-SUM(F$9:$F52)</f>
        <v>2689649</v>
      </c>
    </row>
    <row r="53" spans="1:7" ht="28.8" x14ac:dyDescent="0.55000000000000004">
      <c r="A53" s="12"/>
      <c r="B53" s="13"/>
      <c r="C53" s="10"/>
      <c r="D53" s="10"/>
      <c r="E53" s="7">
        <f>+$I$2+(KABALANE[[#This Row],[QUANTITE]]*KABALANE[[#This Row],[PRIX UNITAIRE]])</f>
        <v>0</v>
      </c>
      <c r="F53" s="23"/>
      <c r="G53" s="6">
        <f>+SUM(E$9:$E53)-SUM(F$9:$F53)</f>
        <v>2689649</v>
      </c>
    </row>
    <row r="54" spans="1:7" ht="28.8" x14ac:dyDescent="0.55000000000000004">
      <c r="A54" s="12"/>
      <c r="B54" s="13"/>
      <c r="C54" s="10"/>
      <c r="D54" s="10"/>
      <c r="E54" s="7">
        <f>+$I$2+(KABALANE[[#This Row],[QUANTITE]]*KABALANE[[#This Row],[PRIX UNITAIRE]])</f>
        <v>0</v>
      </c>
      <c r="F54" s="23"/>
      <c r="G54" s="6">
        <f>+SUM(E$9:$E54)-SUM(F$9:$F54)</f>
        <v>2689649</v>
      </c>
    </row>
    <row r="55" spans="1:7" ht="28.8" x14ac:dyDescent="0.55000000000000004">
      <c r="A55" s="12"/>
      <c r="B55" s="13"/>
      <c r="C55" s="10"/>
      <c r="D55" s="10"/>
      <c r="E55" s="7">
        <f>+$I$2+(KABALANE[[#This Row],[QUANTITE]]*KABALANE[[#This Row],[PRIX UNITAIRE]])</f>
        <v>0</v>
      </c>
      <c r="F55" s="23"/>
      <c r="G55" s="6">
        <f>+SUM(E$9:$E55)-SUM(F$9:$F55)</f>
        <v>2689649</v>
      </c>
    </row>
    <row r="56" spans="1:7" ht="28.8" x14ac:dyDescent="0.55000000000000004">
      <c r="A56" s="12"/>
      <c r="B56" s="13"/>
      <c r="C56" s="10"/>
      <c r="D56" s="10"/>
      <c r="E56" s="7">
        <f>+$I$2+(KABALANE[[#This Row],[QUANTITE]]*KABALANE[[#This Row],[PRIX UNITAIRE]])</f>
        <v>0</v>
      </c>
      <c r="F56" s="23"/>
      <c r="G56" s="6">
        <f>+SUM(E$9:$E56)-SUM(F$9:$F56)</f>
        <v>2689649</v>
      </c>
    </row>
    <row r="57" spans="1:7" ht="28.8" x14ac:dyDescent="0.55000000000000004">
      <c r="A57" s="12"/>
      <c r="B57" s="13"/>
      <c r="C57" s="10"/>
      <c r="D57" s="10"/>
      <c r="E57" s="7">
        <f>+$I$2+(KABALANE[[#This Row],[QUANTITE]]*KABALANE[[#This Row],[PRIX UNITAIRE]])</f>
        <v>0</v>
      </c>
      <c r="F57" s="23"/>
      <c r="G57" s="6">
        <f>+SUM(E$9:$E57)-SUM(F$9:$F57)</f>
        <v>2689649</v>
      </c>
    </row>
    <row r="58" spans="1:7" ht="28.8" x14ac:dyDescent="0.55000000000000004">
      <c r="A58" s="12"/>
      <c r="B58" s="13"/>
      <c r="C58" s="10"/>
      <c r="D58" s="10"/>
      <c r="E58" s="7">
        <f>+$I$2+(KABALANE[[#This Row],[QUANTITE]]*KABALANE[[#This Row],[PRIX UNITAIRE]])</f>
        <v>0</v>
      </c>
      <c r="F58" s="23"/>
      <c r="G58" s="6">
        <f>+SUM(E$9:$E58)-SUM(F$9:$F58)</f>
        <v>2689649</v>
      </c>
    </row>
    <row r="59" spans="1:7" ht="28.8" x14ac:dyDescent="0.55000000000000004">
      <c r="A59" s="12"/>
      <c r="B59" s="13"/>
      <c r="C59" s="10"/>
      <c r="D59" s="10"/>
      <c r="E59" s="7">
        <f>+$I$2+(KABALANE[[#This Row],[QUANTITE]]*KABALANE[[#This Row],[PRIX UNITAIRE]])</f>
        <v>0</v>
      </c>
      <c r="F59" s="23"/>
      <c r="G59" s="6">
        <f>+SUM(E$9:$E59)-SUM(F$9:$F59)</f>
        <v>2689649</v>
      </c>
    </row>
    <row r="60" spans="1:7" ht="28.8" x14ac:dyDescent="0.55000000000000004">
      <c r="A60" s="12"/>
      <c r="B60" s="13"/>
      <c r="C60" s="10"/>
      <c r="D60" s="10"/>
      <c r="E60" s="7">
        <f>+$I$2+(KABALANE[[#This Row],[QUANTITE]]*KABALANE[[#This Row],[PRIX UNITAIRE]])</f>
        <v>0</v>
      </c>
      <c r="F60" s="14"/>
      <c r="G60" s="6">
        <f>+SUM(E$9:$E60)-SUM(F$9:$F60)</f>
        <v>2689649</v>
      </c>
    </row>
    <row r="61" spans="1:7" ht="28.8" x14ac:dyDescent="0.55000000000000004">
      <c r="A61" s="12"/>
      <c r="B61" s="13"/>
      <c r="C61" s="10"/>
      <c r="D61" s="10"/>
      <c r="E61" s="7">
        <f>+$I$2+(KABALANE[[#This Row],[QUANTITE]]*KABALANE[[#This Row],[PRIX UNITAIRE]])</f>
        <v>0</v>
      </c>
      <c r="F61" s="14"/>
      <c r="G61" s="6">
        <f>+SUM(E$9:$E61)-SUM(F$9:$F61)</f>
        <v>2689649</v>
      </c>
    </row>
    <row r="62" spans="1:7" ht="28.8" x14ac:dyDescent="0.55000000000000004">
      <c r="A62" s="12"/>
      <c r="B62" s="13"/>
      <c r="C62" s="10"/>
      <c r="D62" s="10"/>
      <c r="E62" s="7">
        <f>+$I$2+(KABALANE[[#This Row],[QUANTITE]]*KABALANE[[#This Row],[PRIX UNITAIRE]])</f>
        <v>0</v>
      </c>
      <c r="F62" s="14"/>
      <c r="G62" s="6">
        <f>+SUM(E$9:$E62)-SUM(F$9:$F62)</f>
        <v>2689649</v>
      </c>
    </row>
    <row r="63" spans="1:7" ht="28.8" x14ac:dyDescent="0.55000000000000004">
      <c r="A63" s="12"/>
      <c r="B63" s="13"/>
      <c r="C63" s="10"/>
      <c r="D63" s="10"/>
      <c r="E63" s="7">
        <f>+$I$2+(KABALANE[[#This Row],[QUANTITE]]*KABALANE[[#This Row],[PRIX UNITAIRE]])</f>
        <v>0</v>
      </c>
      <c r="F63" s="14"/>
      <c r="G63" s="6">
        <f>+SUM(E$9:$E63)-SUM(F$9:$F63)</f>
        <v>2689649</v>
      </c>
    </row>
    <row r="64" spans="1:7" ht="28.8" x14ac:dyDescent="0.55000000000000004">
      <c r="A64" s="12"/>
      <c r="B64" s="13"/>
      <c r="C64" s="10"/>
      <c r="D64" s="10"/>
      <c r="E64" s="7">
        <f>+$I$2+(KABALANE[[#This Row],[QUANTITE]]*KABALANE[[#This Row],[PRIX UNITAIRE]])</f>
        <v>0</v>
      </c>
      <c r="F64" s="14"/>
      <c r="G64" s="6">
        <f>+SUM(E$9:$E64)-SUM(F$9:$F64)</f>
        <v>2689649</v>
      </c>
    </row>
    <row r="65" spans="1:7" ht="28.8" x14ac:dyDescent="0.55000000000000004">
      <c r="A65" s="12"/>
      <c r="B65" s="13"/>
      <c r="C65" s="10"/>
      <c r="D65" s="10"/>
      <c r="E65" s="7">
        <f>+$I$2+(KABALANE[[#This Row],[QUANTITE]]*KABALANE[[#This Row],[PRIX UNITAIRE]])</f>
        <v>0</v>
      </c>
      <c r="F65" s="14"/>
      <c r="G65" s="6">
        <f>+SUM(E$9:$E65)-SUM(F$9:$F65)</f>
        <v>2689649</v>
      </c>
    </row>
    <row r="66" spans="1:7" ht="28.8" x14ac:dyDescent="0.55000000000000004">
      <c r="A66" s="12"/>
      <c r="B66" s="13"/>
      <c r="C66" s="10"/>
      <c r="D66" s="10"/>
      <c r="E66" s="7">
        <f>+$I$2+(KABALANE[[#This Row],[QUANTITE]]*KABALANE[[#This Row],[PRIX UNITAIRE]])</f>
        <v>0</v>
      </c>
      <c r="F66" s="14"/>
      <c r="G66" s="6">
        <f>+SUM(E$9:$E66)-SUM(F$9:$F66)</f>
        <v>2689649</v>
      </c>
    </row>
    <row r="67" spans="1:7" ht="28.8" x14ac:dyDescent="0.55000000000000004">
      <c r="A67" s="12"/>
      <c r="B67" s="13"/>
      <c r="C67" s="10"/>
      <c r="D67" s="10"/>
      <c r="E67" s="7">
        <f>+$I$2+(KABALANE[[#This Row],[QUANTITE]]*KABALANE[[#This Row],[PRIX UNITAIRE]])</f>
        <v>0</v>
      </c>
      <c r="F67" s="14"/>
      <c r="G67" s="6">
        <f>+SUM(E$9:$E67)-SUM(F$9:$F67)</f>
        <v>2689649</v>
      </c>
    </row>
    <row r="68" spans="1:7" ht="28.8" x14ac:dyDescent="0.55000000000000004">
      <c r="A68" s="12"/>
      <c r="B68" s="13"/>
      <c r="C68" s="10"/>
      <c r="D68" s="10"/>
      <c r="E68" s="7">
        <f>+$I$2+(KABALANE[[#This Row],[QUANTITE]]*KABALANE[[#This Row],[PRIX UNITAIRE]])</f>
        <v>0</v>
      </c>
      <c r="F68" s="14"/>
      <c r="G68" s="6">
        <f>+SUM(E$9:$E68)-SUM(F$9:$F68)</f>
        <v>2689649</v>
      </c>
    </row>
    <row r="69" spans="1:7" ht="28.8" x14ac:dyDescent="0.55000000000000004">
      <c r="A69" s="12"/>
      <c r="B69" s="13"/>
      <c r="C69" s="10"/>
      <c r="D69" s="10"/>
      <c r="E69" s="7">
        <f>+$I$2+(KABALANE[[#This Row],[QUANTITE]]*KABALANE[[#This Row],[PRIX UNITAIRE]])</f>
        <v>0</v>
      </c>
      <c r="F69" s="14"/>
      <c r="G69" s="6">
        <f>+SUM(E$9:$E69)-SUM(F$9:$F69)</f>
        <v>2689649</v>
      </c>
    </row>
    <row r="70" spans="1:7" ht="28.8" x14ac:dyDescent="0.55000000000000004">
      <c r="A70" s="12"/>
      <c r="B70" s="13"/>
      <c r="C70" s="10"/>
      <c r="D70" s="10"/>
      <c r="E70" s="7">
        <f>+$I$2+(KABALANE[[#This Row],[QUANTITE]]*KABALANE[[#This Row],[PRIX UNITAIRE]])</f>
        <v>0</v>
      </c>
      <c r="F70" s="14"/>
      <c r="G70" s="6">
        <f>+SUM(E$9:$E70)-SUM(F$9:$F70)</f>
        <v>2689649</v>
      </c>
    </row>
    <row r="71" spans="1:7" ht="28.8" x14ac:dyDescent="0.55000000000000004">
      <c r="A71" s="12"/>
      <c r="B71" s="13"/>
      <c r="C71" s="10"/>
      <c r="D71" s="10"/>
      <c r="E71" s="7">
        <f>+$I$2+(KABALANE[[#This Row],[QUANTITE]]*KABALANE[[#This Row],[PRIX UNITAIRE]])</f>
        <v>0</v>
      </c>
      <c r="F71" s="14"/>
      <c r="G71" s="6">
        <f>+SUM(E$9:$E71)-SUM(F$9:$F71)</f>
        <v>2689649</v>
      </c>
    </row>
    <row r="72" spans="1:7" ht="28.8" x14ac:dyDescent="0.55000000000000004">
      <c r="A72" s="12"/>
      <c r="B72" s="13"/>
      <c r="C72" s="10"/>
      <c r="D72" s="10"/>
      <c r="E72" s="7">
        <f>+$I$2+(KABALANE[[#This Row],[QUANTITE]]*KABALANE[[#This Row],[PRIX UNITAIRE]])</f>
        <v>0</v>
      </c>
      <c r="F72" s="14"/>
      <c r="G72" s="6">
        <f>+SUM(E$9:$E72)-SUM(F$9:$F72)</f>
        <v>2689649</v>
      </c>
    </row>
    <row r="73" spans="1:7" ht="28.8" x14ac:dyDescent="0.55000000000000004">
      <c r="A73" s="12"/>
      <c r="B73" s="13"/>
      <c r="C73" s="10"/>
      <c r="D73" s="10"/>
      <c r="E73" s="7">
        <f>+$I$2+(KABALANE[[#This Row],[QUANTITE]]*KABALANE[[#This Row],[PRIX UNITAIRE]])</f>
        <v>0</v>
      </c>
      <c r="F73" s="14"/>
      <c r="G73" s="6">
        <f>+SUM(E$9:$E73)-SUM(F$9:$F73)</f>
        <v>2689649</v>
      </c>
    </row>
    <row r="74" spans="1:7" ht="28.8" x14ac:dyDescent="0.55000000000000004">
      <c r="A74" s="12"/>
      <c r="B74" s="13"/>
      <c r="C74" s="10"/>
      <c r="D74" s="10"/>
      <c r="E74" s="7">
        <f>+$I$2+(KABALANE[[#This Row],[QUANTITE]]*KABALANE[[#This Row],[PRIX UNITAIRE]])</f>
        <v>0</v>
      </c>
      <c r="F74" s="14"/>
      <c r="G74" s="6">
        <f>+SUM(E$9:$E74)-SUM(F$9:$F74)</f>
        <v>2689649</v>
      </c>
    </row>
    <row r="75" spans="1:7" ht="28.8" x14ac:dyDescent="0.55000000000000004">
      <c r="A75" s="12"/>
      <c r="B75" s="13"/>
      <c r="C75" s="10"/>
      <c r="D75" s="10"/>
      <c r="E75" s="7">
        <f>+$I$2+(KABALANE[[#This Row],[QUANTITE]]*KABALANE[[#This Row],[PRIX UNITAIRE]])</f>
        <v>0</v>
      </c>
      <c r="F75" s="14"/>
      <c r="G75" s="6">
        <f>+SUM(E$9:$E75)-SUM(F$9:$F75)</f>
        <v>2689649</v>
      </c>
    </row>
    <row r="76" spans="1:7" ht="28.8" x14ac:dyDescent="0.55000000000000004">
      <c r="A76" s="12"/>
      <c r="B76" s="13"/>
      <c r="C76" s="10"/>
      <c r="D76" s="10"/>
      <c r="E76" s="7">
        <f>+$I$2+(KABALANE[[#This Row],[QUANTITE]]*KABALANE[[#This Row],[PRIX UNITAIRE]])</f>
        <v>0</v>
      </c>
      <c r="F76" s="14"/>
      <c r="G76" s="6">
        <f>+SUM(E$9:$E76)-SUM(F$9:$F76)</f>
        <v>2689649</v>
      </c>
    </row>
    <row r="77" spans="1:7" ht="28.8" x14ac:dyDescent="0.55000000000000004">
      <c r="A77" s="12"/>
      <c r="B77" s="13"/>
      <c r="C77" s="10"/>
      <c r="D77" s="10"/>
      <c r="E77" s="7">
        <f>+$I$2+(KABALANE[[#This Row],[QUANTITE]]*KABALANE[[#This Row],[PRIX UNITAIRE]])</f>
        <v>0</v>
      </c>
      <c r="F77" s="14"/>
      <c r="G77" s="6">
        <f>+SUM(E$9:$E77)-SUM(F$9:$F77)</f>
        <v>2689649</v>
      </c>
    </row>
    <row r="78" spans="1:7" ht="28.8" x14ac:dyDescent="0.55000000000000004">
      <c r="A78" s="12"/>
      <c r="B78" s="13"/>
      <c r="C78" s="10"/>
      <c r="D78" s="10"/>
      <c r="E78" s="7">
        <f>+$I$2+(KABALANE[[#This Row],[QUANTITE]]*KABALANE[[#This Row],[PRIX UNITAIRE]])</f>
        <v>0</v>
      </c>
      <c r="F78" s="14"/>
      <c r="G78" s="6">
        <f>+SUM(E$9:$E78)-SUM(F$9:$F78)</f>
        <v>2689649</v>
      </c>
    </row>
    <row r="79" spans="1:7" ht="28.8" x14ac:dyDescent="0.55000000000000004">
      <c r="A79" s="12"/>
      <c r="B79" s="13"/>
      <c r="C79" s="10"/>
      <c r="D79" s="10"/>
      <c r="E79" s="7">
        <f>+$I$2+(KABALANE[[#This Row],[QUANTITE]]*KABALANE[[#This Row],[PRIX UNITAIRE]])</f>
        <v>0</v>
      </c>
      <c r="F79" s="14"/>
      <c r="G79" s="6">
        <f>+SUM(E$9:$E79)-SUM(F$9:$F79)</f>
        <v>2689649</v>
      </c>
    </row>
    <row r="80" spans="1:7" ht="28.8" x14ac:dyDescent="0.55000000000000004">
      <c r="A80" s="12"/>
      <c r="B80" s="13"/>
      <c r="C80" s="10"/>
      <c r="D80" s="10"/>
      <c r="E80" s="7">
        <f>+$I$2+(KABALANE[[#This Row],[QUANTITE]]*KABALANE[[#This Row],[PRIX UNITAIRE]])</f>
        <v>0</v>
      </c>
      <c r="F80" s="14"/>
      <c r="G80" s="6">
        <f>+SUM(E$9:$E80)-SUM(F$9:$F80)</f>
        <v>2689649</v>
      </c>
    </row>
    <row r="81" spans="1:7" ht="28.8" x14ac:dyDescent="0.55000000000000004">
      <c r="A81" s="12"/>
      <c r="B81" s="13"/>
      <c r="C81" s="10"/>
      <c r="D81" s="10"/>
      <c r="E81" s="7">
        <f>+$I$2+(KABALANE[[#This Row],[QUANTITE]]*KABALANE[[#This Row],[PRIX UNITAIRE]])</f>
        <v>0</v>
      </c>
      <c r="F81" s="14"/>
      <c r="G81" s="6">
        <f>+SUM(E$9:$E81)-SUM(F$9:$F81)</f>
        <v>2689649</v>
      </c>
    </row>
    <row r="82" spans="1:7" ht="28.8" x14ac:dyDescent="0.55000000000000004">
      <c r="A82" s="12"/>
      <c r="B82" s="13"/>
      <c r="C82" s="10"/>
      <c r="D82" s="10"/>
      <c r="E82" s="7">
        <f>+$I$2+(KABALANE[[#This Row],[QUANTITE]]*KABALANE[[#This Row],[PRIX UNITAIRE]])</f>
        <v>0</v>
      </c>
      <c r="F82" s="14"/>
      <c r="G82" s="6">
        <f>+SUM(E$9:$E82)-SUM(F$9:$F82)</f>
        <v>2689649</v>
      </c>
    </row>
    <row r="83" spans="1:7" ht="28.8" x14ac:dyDescent="0.55000000000000004">
      <c r="A83" s="12"/>
      <c r="B83" s="13"/>
      <c r="C83" s="10"/>
      <c r="D83" s="10"/>
      <c r="E83" s="7">
        <f>+$I$2+(KABALANE[[#This Row],[QUANTITE]]*KABALANE[[#This Row],[PRIX UNITAIRE]])</f>
        <v>0</v>
      </c>
      <c r="F83" s="14"/>
      <c r="G83" s="6">
        <f>+SUM(E$9:$E83)-SUM(F$9:$F83)</f>
        <v>2689649</v>
      </c>
    </row>
    <row r="84" spans="1:7" ht="28.8" x14ac:dyDescent="0.55000000000000004">
      <c r="A84" s="12"/>
      <c r="B84" s="13"/>
      <c r="C84" s="10"/>
      <c r="D84" s="10"/>
      <c r="E84" s="7">
        <f>+$I$2+(KABALANE[[#This Row],[QUANTITE]]*KABALANE[[#This Row],[PRIX UNITAIRE]])</f>
        <v>0</v>
      </c>
      <c r="F84" s="14"/>
      <c r="G84" s="6">
        <f>+SUM(E$9:$E84)-SUM(F$9:$F84)</f>
        <v>2689649</v>
      </c>
    </row>
    <row r="85" spans="1:7" ht="28.8" x14ac:dyDescent="0.55000000000000004">
      <c r="A85" s="12"/>
      <c r="B85" s="13"/>
      <c r="C85" s="10"/>
      <c r="D85" s="10"/>
      <c r="E85" s="7">
        <f>+$I$2+(KABALANE[[#This Row],[QUANTITE]]*KABALANE[[#This Row],[PRIX UNITAIRE]])</f>
        <v>0</v>
      </c>
      <c r="F85" s="14"/>
      <c r="G85" s="6">
        <f>+SUM(E$9:$E85)-SUM(F$9:$F85)</f>
        <v>2689649</v>
      </c>
    </row>
    <row r="86" spans="1:7" ht="28.8" x14ac:dyDescent="0.55000000000000004">
      <c r="A86" s="12"/>
      <c r="B86" s="13"/>
      <c r="C86" s="10"/>
      <c r="D86" s="10"/>
      <c r="E86" s="7">
        <f>+$I$2+(KABALANE[[#This Row],[QUANTITE]]*KABALANE[[#This Row],[PRIX UNITAIRE]])</f>
        <v>0</v>
      </c>
      <c r="F86" s="14"/>
      <c r="G86" s="6">
        <f>+SUM(E$9:$E86)-SUM(F$9:$F86)</f>
        <v>2689649</v>
      </c>
    </row>
    <row r="87" spans="1:7" ht="28.8" x14ac:dyDescent="0.55000000000000004">
      <c r="A87" s="12"/>
      <c r="B87" s="13"/>
      <c r="C87" s="10"/>
      <c r="D87" s="10"/>
      <c r="E87" s="7">
        <f>+$I$2+(KABALANE[[#This Row],[QUANTITE]]*KABALANE[[#This Row],[PRIX UNITAIRE]])</f>
        <v>0</v>
      </c>
      <c r="F87" s="14"/>
      <c r="G87" s="6">
        <f>+SUM(E$9:$E87)-SUM(F$9:$F87)</f>
        <v>2689649</v>
      </c>
    </row>
    <row r="88" spans="1:7" ht="28.8" x14ac:dyDescent="0.55000000000000004">
      <c r="A88" s="12"/>
      <c r="B88" s="13"/>
      <c r="C88" s="10"/>
      <c r="D88" s="10"/>
      <c r="E88" s="7">
        <f>+$I$2+(KABALANE[[#This Row],[QUANTITE]]*KABALANE[[#This Row],[PRIX UNITAIRE]])</f>
        <v>0</v>
      </c>
      <c r="F88" s="14"/>
      <c r="G88" s="6">
        <f>+SUM(E$9:$E88)-SUM(F$9:$F88)</f>
        <v>2689649</v>
      </c>
    </row>
    <row r="89" spans="1:7" ht="28.8" x14ac:dyDescent="0.55000000000000004">
      <c r="A89" s="12"/>
      <c r="B89" s="13"/>
      <c r="C89" s="10"/>
      <c r="D89" s="10"/>
      <c r="E89" s="7">
        <f>+$I$2+(KABALANE[[#This Row],[QUANTITE]]*KABALANE[[#This Row],[PRIX UNITAIRE]])</f>
        <v>0</v>
      </c>
      <c r="F89" s="14"/>
      <c r="G89" s="6">
        <f>+SUM(E$9:$E89)-SUM(F$9:$F89)</f>
        <v>2689649</v>
      </c>
    </row>
    <row r="90" spans="1:7" ht="28.8" x14ac:dyDescent="0.55000000000000004">
      <c r="A90" s="12"/>
      <c r="B90" s="13"/>
      <c r="C90" s="10"/>
      <c r="D90" s="10"/>
      <c r="E90" s="7">
        <f>+$I$2+(KABALANE[[#This Row],[QUANTITE]]*KABALANE[[#This Row],[PRIX UNITAIRE]])</f>
        <v>0</v>
      </c>
      <c r="F90" s="14"/>
      <c r="G90" s="6">
        <f>+SUM(E$9:$E90)-SUM(F$9:$F90)</f>
        <v>2689649</v>
      </c>
    </row>
    <row r="91" spans="1:7" ht="28.8" x14ac:dyDescent="0.55000000000000004">
      <c r="A91" s="12"/>
      <c r="B91" s="13"/>
      <c r="C91" s="10"/>
      <c r="D91" s="10"/>
      <c r="E91" s="7">
        <f>+$I$2+(KABALANE[[#This Row],[QUANTITE]]*KABALANE[[#This Row],[PRIX UNITAIRE]])</f>
        <v>0</v>
      </c>
      <c r="F91" s="14"/>
      <c r="G91" s="6">
        <f>+SUM(E$9:$E91)-SUM(F$9:$F91)</f>
        <v>2689649</v>
      </c>
    </row>
    <row r="92" spans="1:7" ht="28.8" x14ac:dyDescent="0.55000000000000004">
      <c r="A92" s="12"/>
      <c r="B92" s="13"/>
      <c r="C92" s="10"/>
      <c r="D92" s="10"/>
      <c r="E92" s="7">
        <f>+$I$2+(KABALANE[[#This Row],[QUANTITE]]*KABALANE[[#This Row],[PRIX UNITAIRE]])</f>
        <v>0</v>
      </c>
      <c r="F92" s="14"/>
      <c r="G92" s="6">
        <f>+SUM(E$9:$E92)-SUM(F$9:$F92)</f>
        <v>2689649</v>
      </c>
    </row>
    <row r="93" spans="1:7" ht="28.8" x14ac:dyDescent="0.55000000000000004">
      <c r="A93" s="12"/>
      <c r="B93" s="13"/>
      <c r="C93" s="10"/>
      <c r="D93" s="10"/>
      <c r="E93" s="7">
        <f>+$I$2+(KABALANE[[#This Row],[QUANTITE]]*KABALANE[[#This Row],[PRIX UNITAIRE]])</f>
        <v>0</v>
      </c>
      <c r="F93" s="14"/>
      <c r="G93" s="6">
        <f>+SUM(E$9:$E93)-SUM(F$9:$F93)</f>
        <v>2689649</v>
      </c>
    </row>
    <row r="94" spans="1:7" ht="28.8" x14ac:dyDescent="0.55000000000000004">
      <c r="A94" s="12"/>
      <c r="B94" s="13"/>
      <c r="C94" s="10"/>
      <c r="D94" s="10"/>
      <c r="E94" s="7">
        <f>+$I$2+(KABALANE[[#This Row],[QUANTITE]]*KABALANE[[#This Row],[PRIX UNITAIRE]])</f>
        <v>0</v>
      </c>
      <c r="F94" s="14"/>
      <c r="G94" s="6">
        <f>+SUM(E$9:$E94)-SUM(F$9:$F94)</f>
        <v>2689649</v>
      </c>
    </row>
    <row r="95" spans="1:7" ht="28.8" x14ac:dyDescent="0.55000000000000004">
      <c r="A95" s="12"/>
      <c r="B95" s="13"/>
      <c r="C95" s="10"/>
      <c r="D95" s="10"/>
      <c r="E95" s="7">
        <f>+$I$2+(KABALANE[[#This Row],[QUANTITE]]*KABALANE[[#This Row],[PRIX UNITAIRE]])</f>
        <v>0</v>
      </c>
      <c r="F95" s="14"/>
      <c r="G95" s="6">
        <f>+SUM(E$9:$E95)-SUM(F$9:$F95)</f>
        <v>2689649</v>
      </c>
    </row>
    <row r="96" spans="1:7" ht="28.8" x14ac:dyDescent="0.55000000000000004">
      <c r="A96" s="12"/>
      <c r="B96" s="13"/>
      <c r="C96" s="10"/>
      <c r="D96" s="10"/>
      <c r="E96" s="7">
        <f>+$I$2+(KABALANE[[#This Row],[QUANTITE]]*KABALANE[[#This Row],[PRIX UNITAIRE]])</f>
        <v>0</v>
      </c>
      <c r="F96" s="14"/>
      <c r="G96" s="6">
        <f>+SUM(E$9:$E96)-SUM(F$9:$F96)</f>
        <v>2689649</v>
      </c>
    </row>
    <row r="97" spans="1:7" ht="28.8" x14ac:dyDescent="0.55000000000000004">
      <c r="A97" s="12"/>
      <c r="B97" s="13"/>
      <c r="C97" s="10"/>
      <c r="D97" s="10"/>
      <c r="E97" s="7">
        <f>+$I$2+(KABALANE[[#This Row],[QUANTITE]]*KABALANE[[#This Row],[PRIX UNITAIRE]])</f>
        <v>0</v>
      </c>
      <c r="F97" s="14"/>
      <c r="G97" s="6">
        <f>+SUM(E$9:$E97)-SUM(F$9:$F97)</f>
        <v>2689649</v>
      </c>
    </row>
    <row r="98" spans="1:7" ht="28.8" x14ac:dyDescent="0.55000000000000004">
      <c r="A98" s="12"/>
      <c r="B98" s="13"/>
      <c r="C98" s="10"/>
      <c r="D98" s="10"/>
      <c r="E98" s="7">
        <f>+$I$2+(KABALANE[[#This Row],[QUANTITE]]*KABALANE[[#This Row],[PRIX UNITAIRE]])</f>
        <v>0</v>
      </c>
      <c r="F98" s="14"/>
      <c r="G98" s="6">
        <f>+SUM(E$9:$E98)-SUM(F$9:$F98)</f>
        <v>2689649</v>
      </c>
    </row>
    <row r="99" spans="1:7" ht="28.8" x14ac:dyDescent="0.55000000000000004">
      <c r="A99" s="12"/>
      <c r="B99" s="13"/>
      <c r="C99" s="10"/>
      <c r="D99" s="10"/>
      <c r="E99" s="7">
        <f>+$I$2+(KABALANE[[#This Row],[QUANTITE]]*KABALANE[[#This Row],[PRIX UNITAIRE]])</f>
        <v>0</v>
      </c>
      <c r="F99" s="14"/>
      <c r="G99" s="6">
        <f>+SUM(E$9:$E99)-SUM(F$9:$F99)</f>
        <v>2689649</v>
      </c>
    </row>
    <row r="100" spans="1:7" ht="28.8" x14ac:dyDescent="0.55000000000000004">
      <c r="A100" s="12"/>
      <c r="B100" s="13"/>
      <c r="C100" s="10"/>
      <c r="D100" s="10"/>
      <c r="E100" s="7">
        <f>+$I$2+(KABALANE[[#This Row],[QUANTITE]]*KABALANE[[#This Row],[PRIX UNITAIRE]])</f>
        <v>0</v>
      </c>
      <c r="F100" s="14"/>
      <c r="G100" s="6">
        <f>+SUM(E$9:$E100)-SUM(F$9:$F100)</f>
        <v>2689649</v>
      </c>
    </row>
    <row r="101" spans="1:7" ht="28.8" x14ac:dyDescent="0.55000000000000004">
      <c r="A101" s="12"/>
      <c r="B101" s="13"/>
      <c r="C101" s="10"/>
      <c r="D101" s="10"/>
      <c r="E101" s="7">
        <f>+$I$2+(KABALANE[[#This Row],[QUANTITE]]*KABALANE[[#This Row],[PRIX UNITAIRE]])</f>
        <v>0</v>
      </c>
      <c r="F101" s="14"/>
      <c r="G101" s="6">
        <f>+SUM(E$9:$E101)-SUM(F$9:$F101)</f>
        <v>2689649</v>
      </c>
    </row>
    <row r="102" spans="1:7" ht="28.8" x14ac:dyDescent="0.55000000000000004">
      <c r="A102" s="12"/>
      <c r="B102" s="13"/>
      <c r="C102" s="10"/>
      <c r="D102" s="10"/>
      <c r="E102" s="7">
        <f>+$I$2+(KABALANE[[#This Row],[QUANTITE]]*KABALANE[[#This Row],[PRIX UNITAIRE]])</f>
        <v>0</v>
      </c>
      <c r="F102" s="14"/>
      <c r="G102" s="6">
        <f>+SUM(E$9:$E102)-SUM(F$9:$F102)</f>
        <v>2689649</v>
      </c>
    </row>
    <row r="103" spans="1:7" ht="28.8" x14ac:dyDescent="0.55000000000000004">
      <c r="A103" s="12"/>
      <c r="B103" s="13"/>
      <c r="C103" s="10"/>
      <c r="D103" s="10"/>
      <c r="E103" s="7">
        <f>+$I$2+(KABALANE[[#This Row],[QUANTITE]]*KABALANE[[#This Row],[PRIX UNITAIRE]])</f>
        <v>0</v>
      </c>
      <c r="F103" s="14"/>
      <c r="G103" s="6">
        <f>+SUM(E$9:$E103)-SUM(F$9:$F103)</f>
        <v>2689649</v>
      </c>
    </row>
    <row r="104" spans="1:7" ht="28.8" x14ac:dyDescent="0.55000000000000004">
      <c r="A104" s="12"/>
      <c r="B104" s="13"/>
      <c r="C104" s="10"/>
      <c r="D104" s="10"/>
      <c r="E104" s="7">
        <f>+$I$2+(KABALANE[[#This Row],[QUANTITE]]*KABALANE[[#This Row],[PRIX UNITAIRE]])</f>
        <v>0</v>
      </c>
      <c r="F104" s="14"/>
      <c r="G104" s="6">
        <f>+SUM(E$9:$E104)-SUM(F$9:$F104)</f>
        <v>2689649</v>
      </c>
    </row>
    <row r="105" spans="1:7" ht="28.8" x14ac:dyDescent="0.55000000000000004">
      <c r="A105" s="12"/>
      <c r="B105" s="13"/>
      <c r="C105" s="10"/>
      <c r="D105" s="10"/>
      <c r="E105" s="7">
        <f>+$I$2+(KABALANE[[#This Row],[QUANTITE]]*KABALANE[[#This Row],[PRIX UNITAIRE]])</f>
        <v>0</v>
      </c>
      <c r="F105" s="14"/>
      <c r="G105" s="6">
        <f>+SUM(E$9:$E105)-SUM(F$9:$F105)</f>
        <v>2689649</v>
      </c>
    </row>
    <row r="106" spans="1:7" ht="28.8" x14ac:dyDescent="0.55000000000000004">
      <c r="A106" s="12"/>
      <c r="B106" s="13"/>
      <c r="C106" s="10"/>
      <c r="D106" s="10"/>
      <c r="E106" s="7">
        <f>+$I$2+(KABALANE[[#This Row],[QUANTITE]]*KABALANE[[#This Row],[PRIX UNITAIRE]])</f>
        <v>0</v>
      </c>
      <c r="F106" s="14"/>
      <c r="G106" s="6">
        <f>+SUM(E$9:$E106)-SUM(F$9:$F106)</f>
        <v>2689649</v>
      </c>
    </row>
    <row r="107" spans="1:7" ht="28.8" x14ac:dyDescent="0.55000000000000004">
      <c r="A107" s="12"/>
      <c r="B107" s="13"/>
      <c r="C107" s="10"/>
      <c r="D107" s="10"/>
      <c r="E107" s="7">
        <f>+$I$2+(KABALANE[[#This Row],[QUANTITE]]*KABALANE[[#This Row],[PRIX UNITAIRE]])</f>
        <v>0</v>
      </c>
      <c r="F107" s="14"/>
      <c r="G107" s="6">
        <f>+SUM(E$9:$E107)-SUM(F$9:$F107)</f>
        <v>2689649</v>
      </c>
    </row>
    <row r="108" spans="1:7" ht="28.8" x14ac:dyDescent="0.55000000000000004">
      <c r="A108" s="12"/>
      <c r="B108" s="13"/>
      <c r="C108" s="10"/>
      <c r="D108" s="10"/>
      <c r="E108" s="7">
        <f>+$I$2+(KABALANE[[#This Row],[QUANTITE]]*KABALANE[[#This Row],[PRIX UNITAIRE]])</f>
        <v>0</v>
      </c>
      <c r="F108" s="14"/>
      <c r="G108" s="6">
        <f>+SUM(E$9:$E108)-SUM(F$9:$F108)</f>
        <v>2689649</v>
      </c>
    </row>
    <row r="109" spans="1:7" ht="28.8" x14ac:dyDescent="0.55000000000000004">
      <c r="A109" s="12"/>
      <c r="B109" s="13"/>
      <c r="C109" s="10"/>
      <c r="D109" s="10"/>
      <c r="E109" s="7">
        <f>+$I$2+(KABALANE[[#This Row],[QUANTITE]]*KABALANE[[#This Row],[PRIX UNITAIRE]])</f>
        <v>0</v>
      </c>
      <c r="F109" s="14"/>
      <c r="G109" s="6">
        <f>+SUM(E$9:$E109)-SUM(F$9:$F109)</f>
        <v>2689649</v>
      </c>
    </row>
    <row r="110" spans="1:7" ht="28.8" x14ac:dyDescent="0.55000000000000004">
      <c r="A110" s="12"/>
      <c r="B110" s="13"/>
      <c r="C110" s="10"/>
      <c r="D110" s="10"/>
      <c r="E110" s="7">
        <f>+$I$2+(KABALANE[[#This Row],[QUANTITE]]*KABALANE[[#This Row],[PRIX UNITAIRE]])</f>
        <v>0</v>
      </c>
      <c r="F110" s="14"/>
      <c r="G110" s="6">
        <f>+SUM(E$9:$E110)-SUM(F$9:$F110)</f>
        <v>2689649</v>
      </c>
    </row>
    <row r="111" spans="1:7" ht="28.8" x14ac:dyDescent="0.55000000000000004">
      <c r="A111" s="12"/>
      <c r="B111" s="13"/>
      <c r="C111" s="10"/>
      <c r="D111" s="10"/>
      <c r="E111" s="7">
        <f>+$I$2+(KABALANE[[#This Row],[QUANTITE]]*KABALANE[[#This Row],[PRIX UNITAIRE]])</f>
        <v>0</v>
      </c>
      <c r="F111" s="14"/>
      <c r="G111" s="6">
        <f>+SUM(E$9:$E111)-SUM(F$9:$F111)</f>
        <v>2689649</v>
      </c>
    </row>
    <row r="112" spans="1:7" ht="28.8" x14ac:dyDescent="0.55000000000000004">
      <c r="A112" s="12"/>
      <c r="B112" s="13"/>
      <c r="C112" s="10"/>
      <c r="D112" s="10"/>
      <c r="E112" s="7">
        <f>+$I$2+(KABALANE[[#This Row],[QUANTITE]]*KABALANE[[#This Row],[PRIX UNITAIRE]])</f>
        <v>0</v>
      </c>
      <c r="F112" s="14"/>
      <c r="G112" s="6">
        <f>+SUM(E$9:$E112)-SUM(F$9:$F112)</f>
        <v>2689649</v>
      </c>
    </row>
    <row r="113" spans="1:7" ht="28.8" x14ac:dyDescent="0.55000000000000004">
      <c r="A113" s="12"/>
      <c r="B113" s="13"/>
      <c r="C113" s="10"/>
      <c r="D113" s="10"/>
      <c r="E113" s="7">
        <f>+$I$2+(KABALANE[[#This Row],[QUANTITE]]*KABALANE[[#This Row],[PRIX UNITAIRE]])</f>
        <v>0</v>
      </c>
      <c r="F113" s="14"/>
      <c r="G113" s="6">
        <f>+SUM(E$9:$E113)-SUM(F$9:$F113)</f>
        <v>2689649</v>
      </c>
    </row>
    <row r="114" spans="1:7" ht="28.8" x14ac:dyDescent="0.55000000000000004">
      <c r="A114" s="12"/>
      <c r="B114" s="13"/>
      <c r="C114" s="10"/>
      <c r="D114" s="10"/>
      <c r="E114" s="7">
        <f>+$I$2+(KABALANE[[#This Row],[QUANTITE]]*KABALANE[[#This Row],[PRIX UNITAIRE]])</f>
        <v>0</v>
      </c>
      <c r="F114" s="14"/>
      <c r="G114" s="6">
        <f>+SUM(E$9:$E114)-SUM(F$9:$F114)</f>
        <v>2689649</v>
      </c>
    </row>
    <row r="115" spans="1:7" ht="28.8" x14ac:dyDescent="0.55000000000000004">
      <c r="A115" s="12"/>
      <c r="B115" s="13"/>
      <c r="C115" s="10"/>
      <c r="D115" s="10"/>
      <c r="E115" s="7">
        <f>+$I$2+(KABALANE[[#This Row],[QUANTITE]]*KABALANE[[#This Row],[PRIX UNITAIRE]])</f>
        <v>0</v>
      </c>
      <c r="F115" s="14"/>
      <c r="G115" s="6">
        <f>+SUM(E$9:$E115)-SUM(F$9:$F115)</f>
        <v>2689649</v>
      </c>
    </row>
    <row r="116" spans="1:7" ht="28.8" x14ac:dyDescent="0.55000000000000004">
      <c r="A116" s="12"/>
      <c r="B116" s="13"/>
      <c r="C116" s="10"/>
      <c r="D116" s="10"/>
      <c r="E116" s="7">
        <f>+$I$2+(KABALANE[[#This Row],[QUANTITE]]*KABALANE[[#This Row],[PRIX UNITAIRE]])</f>
        <v>0</v>
      </c>
      <c r="F116" s="14"/>
      <c r="G116" s="6">
        <f>+SUM(E$9:$E116)-SUM(F$9:$F116)</f>
        <v>2689649</v>
      </c>
    </row>
    <row r="117" spans="1:7" ht="28.8" x14ac:dyDescent="0.55000000000000004">
      <c r="A117" s="12"/>
      <c r="B117" s="13"/>
      <c r="C117" s="10"/>
      <c r="D117" s="10"/>
      <c r="E117" s="7">
        <f>+$I$2+(KABALANE[[#This Row],[QUANTITE]]*KABALANE[[#This Row],[PRIX UNITAIRE]])</f>
        <v>0</v>
      </c>
      <c r="F117" s="14"/>
      <c r="G117" s="6">
        <f>+SUM(E$9:$E117)-SUM(F$9:$F117)</f>
        <v>2689649</v>
      </c>
    </row>
    <row r="118" spans="1:7" ht="28.8" x14ac:dyDescent="0.55000000000000004">
      <c r="A118" s="12"/>
      <c r="B118" s="13"/>
      <c r="C118" s="10"/>
      <c r="D118" s="10"/>
      <c r="E118" s="7">
        <f>+$I$2+(KABALANE[[#This Row],[QUANTITE]]*KABALANE[[#This Row],[PRIX UNITAIRE]])</f>
        <v>0</v>
      </c>
      <c r="F118" s="14"/>
      <c r="G118" s="6">
        <f>+SUM(E$9:$E118)-SUM(F$9:$F118)</f>
        <v>2689649</v>
      </c>
    </row>
    <row r="119" spans="1:7" ht="28.8" x14ac:dyDescent="0.55000000000000004">
      <c r="A119" s="12"/>
      <c r="B119" s="13"/>
      <c r="C119" s="10"/>
      <c r="D119" s="10"/>
      <c r="E119" s="7">
        <f>+$I$2+(KABALANE[[#This Row],[QUANTITE]]*KABALANE[[#This Row],[PRIX UNITAIRE]])</f>
        <v>0</v>
      </c>
      <c r="F119" s="14"/>
      <c r="G119" s="6">
        <f>+SUM(E$9:$E119)-SUM(F$9:$F119)</f>
        <v>2689649</v>
      </c>
    </row>
    <row r="120" spans="1:7" ht="28.8" x14ac:dyDescent="0.55000000000000004">
      <c r="A120" s="12"/>
      <c r="B120" s="13"/>
      <c r="C120" s="10"/>
      <c r="D120" s="10"/>
      <c r="E120" s="7">
        <f>+$I$2+(KABALANE[[#This Row],[QUANTITE]]*KABALANE[[#This Row],[PRIX UNITAIRE]])</f>
        <v>0</v>
      </c>
      <c r="F120" s="14"/>
      <c r="G120" s="6">
        <f>+SUM(E$9:$E120)-SUM(F$9:$F120)</f>
        <v>2689649</v>
      </c>
    </row>
    <row r="121" spans="1:7" ht="28.8" x14ac:dyDescent="0.55000000000000004">
      <c r="A121" s="12"/>
      <c r="B121" s="13"/>
      <c r="C121" s="10"/>
      <c r="D121" s="10"/>
      <c r="E121" s="7">
        <f>+$I$2+(KABALANE[[#This Row],[QUANTITE]]*KABALANE[[#This Row],[PRIX UNITAIRE]])</f>
        <v>0</v>
      </c>
      <c r="F121" s="14"/>
      <c r="G121" s="6">
        <f>+SUM(E$9:$E121)-SUM(F$9:$F121)</f>
        <v>2689649</v>
      </c>
    </row>
    <row r="122" spans="1:7" ht="28.8" x14ac:dyDescent="0.55000000000000004">
      <c r="A122" s="12"/>
      <c r="B122" s="13"/>
      <c r="C122" s="10"/>
      <c r="D122" s="10"/>
      <c r="E122" s="7">
        <f>+$I$2+(KABALANE[[#This Row],[QUANTITE]]*KABALANE[[#This Row],[PRIX UNITAIRE]])</f>
        <v>0</v>
      </c>
      <c r="F122" s="14"/>
      <c r="G122" s="6">
        <f>+SUM(E$9:$E122)-SUM(F$9:$F122)</f>
        <v>2689649</v>
      </c>
    </row>
    <row r="123" spans="1:7" ht="28.8" x14ac:dyDescent="0.55000000000000004">
      <c r="A123" s="12"/>
      <c r="B123" s="13"/>
      <c r="C123" s="10"/>
      <c r="D123" s="10"/>
      <c r="E123" s="7">
        <f>+$I$2+(KABALANE[[#This Row],[QUANTITE]]*KABALANE[[#This Row],[PRIX UNITAIRE]])</f>
        <v>0</v>
      </c>
      <c r="F123" s="14"/>
      <c r="G123" s="6">
        <f>+SUM(E$9:$E123)-SUM(F$9:$F123)</f>
        <v>2689649</v>
      </c>
    </row>
    <row r="124" spans="1:7" ht="28.8" x14ac:dyDescent="0.55000000000000004">
      <c r="A124" s="12"/>
      <c r="B124" s="13"/>
      <c r="C124" s="10"/>
      <c r="D124" s="10"/>
      <c r="E124" s="7">
        <f>+$I$2+(KABALANE[[#This Row],[QUANTITE]]*KABALANE[[#This Row],[PRIX UNITAIRE]])</f>
        <v>0</v>
      </c>
      <c r="F124" s="14"/>
      <c r="G124" s="6">
        <f>+SUM(E$9:$E124)-SUM(F$9:$F124)</f>
        <v>2689649</v>
      </c>
    </row>
    <row r="125" spans="1:7" ht="28.8" x14ac:dyDescent="0.55000000000000004">
      <c r="A125" s="12"/>
      <c r="B125" s="13"/>
      <c r="C125" s="10"/>
      <c r="D125" s="10"/>
      <c r="E125" s="7">
        <f>+$I$2+(KABALANE[[#This Row],[QUANTITE]]*KABALANE[[#This Row],[PRIX UNITAIRE]])</f>
        <v>0</v>
      </c>
      <c r="F125" s="14"/>
      <c r="G125" s="6">
        <f>+SUM(E$9:$E125)-SUM(F$9:$F125)</f>
        <v>2689649</v>
      </c>
    </row>
    <row r="126" spans="1:7" ht="28.8" x14ac:dyDescent="0.55000000000000004">
      <c r="A126" s="12"/>
      <c r="B126" s="13"/>
      <c r="C126" s="10"/>
      <c r="D126" s="10"/>
      <c r="E126" s="7">
        <f>+$I$2+(KABALANE[[#This Row],[QUANTITE]]*KABALANE[[#This Row],[PRIX UNITAIRE]])</f>
        <v>0</v>
      </c>
      <c r="F126" s="14"/>
      <c r="G126" s="6">
        <f>+SUM(E$9:$E126)-SUM(F$9:$F126)</f>
        <v>2689649</v>
      </c>
    </row>
    <row r="127" spans="1:7" ht="28.8" x14ac:dyDescent="0.55000000000000004">
      <c r="A127" s="12"/>
      <c r="B127" s="13"/>
      <c r="C127" s="10"/>
      <c r="D127" s="10"/>
      <c r="E127" s="7">
        <f>+$I$2+(KABALANE[[#This Row],[QUANTITE]]*KABALANE[[#This Row],[PRIX UNITAIRE]])</f>
        <v>0</v>
      </c>
      <c r="F127" s="14"/>
      <c r="G127" s="6">
        <f>+SUM(E$9:$E127)-SUM(F$9:$F127)</f>
        <v>2689649</v>
      </c>
    </row>
    <row r="128" spans="1:7" ht="28.8" x14ac:dyDescent="0.55000000000000004">
      <c r="A128" s="12"/>
      <c r="B128" s="13"/>
      <c r="C128" s="10"/>
      <c r="D128" s="10"/>
      <c r="E128" s="7">
        <f>+$I$2+(KABALANE[[#This Row],[QUANTITE]]*KABALANE[[#This Row],[PRIX UNITAIRE]])</f>
        <v>0</v>
      </c>
      <c r="F128" s="14"/>
      <c r="G128" s="6">
        <f>+SUM(E$9:$E128)-SUM(F$9:$F128)</f>
        <v>2689649</v>
      </c>
    </row>
    <row r="129" spans="1:7" ht="28.8" x14ac:dyDescent="0.55000000000000004">
      <c r="A129" s="12"/>
      <c r="B129" s="13"/>
      <c r="C129" s="10"/>
      <c r="D129" s="10"/>
      <c r="E129" s="7">
        <f>+$I$2+(KABALANE[[#This Row],[QUANTITE]]*KABALANE[[#This Row],[PRIX UNITAIRE]])</f>
        <v>0</v>
      </c>
      <c r="F129" s="14"/>
      <c r="G129" s="6">
        <f>+SUM(E$9:$E129)-SUM(F$9:$F129)</f>
        <v>2689649</v>
      </c>
    </row>
    <row r="130" spans="1:7" ht="28.8" x14ac:dyDescent="0.55000000000000004">
      <c r="A130" s="12"/>
      <c r="B130" s="13"/>
      <c r="C130" s="10"/>
      <c r="D130" s="10"/>
      <c r="E130" s="7">
        <f>+$I$2+(KABALANE[[#This Row],[QUANTITE]]*KABALANE[[#This Row],[PRIX UNITAIRE]])</f>
        <v>0</v>
      </c>
      <c r="F130" s="14"/>
      <c r="G130" s="6">
        <f>+SUM(E$9:$E130)-SUM(F$9:$F130)</f>
        <v>2689649</v>
      </c>
    </row>
    <row r="131" spans="1:7" ht="28.8" x14ac:dyDescent="0.55000000000000004">
      <c r="A131" s="12"/>
      <c r="B131" s="13"/>
      <c r="C131" s="10"/>
      <c r="D131" s="10"/>
      <c r="E131" s="7">
        <f>+$I$2+(KABALANE[[#This Row],[QUANTITE]]*KABALANE[[#This Row],[PRIX UNITAIRE]])</f>
        <v>0</v>
      </c>
      <c r="F131" s="14"/>
      <c r="G131" s="6">
        <f>+SUM(E$9:$E131)-SUM(F$9:$F131)</f>
        <v>2689649</v>
      </c>
    </row>
    <row r="132" spans="1:7" ht="28.8" x14ac:dyDescent="0.55000000000000004">
      <c r="A132" s="12"/>
      <c r="B132" s="13"/>
      <c r="C132" s="10"/>
      <c r="D132" s="10"/>
      <c r="E132" s="7">
        <f>+$I$2+(KABALANE[[#This Row],[QUANTITE]]*KABALANE[[#This Row],[PRIX UNITAIRE]])</f>
        <v>0</v>
      </c>
      <c r="F132" s="14"/>
      <c r="G132" s="6">
        <f>+SUM(E$9:$E132)-SUM(F$9:$F132)</f>
        <v>2689649</v>
      </c>
    </row>
    <row r="133" spans="1:7" ht="28.8" x14ac:dyDescent="0.55000000000000004">
      <c r="A133" s="12"/>
      <c r="B133" s="13"/>
      <c r="C133" s="10"/>
      <c r="D133" s="10"/>
      <c r="E133" s="7">
        <f>+$I$2+(KABALANE[[#This Row],[QUANTITE]]*KABALANE[[#This Row],[PRIX UNITAIRE]])</f>
        <v>0</v>
      </c>
      <c r="F133" s="14"/>
      <c r="G133" s="6">
        <f>+SUM(E$9:$E133)-SUM(F$9:$F133)</f>
        <v>2689649</v>
      </c>
    </row>
    <row r="134" spans="1:7" ht="28.8" x14ac:dyDescent="0.55000000000000004">
      <c r="A134" s="12"/>
      <c r="B134" s="13"/>
      <c r="C134" s="10"/>
      <c r="D134" s="10"/>
      <c r="E134" s="7">
        <f>+$I$2+(KABALANE[[#This Row],[QUANTITE]]*KABALANE[[#This Row],[PRIX UNITAIRE]])</f>
        <v>0</v>
      </c>
      <c r="F134" s="14"/>
      <c r="G134" s="6">
        <f>+SUM(E$9:$E134)-SUM(F$9:$F134)</f>
        <v>2689649</v>
      </c>
    </row>
    <row r="135" spans="1:7" ht="28.8" x14ac:dyDescent="0.55000000000000004">
      <c r="A135" s="12"/>
      <c r="B135" s="13"/>
      <c r="C135" s="10"/>
      <c r="D135" s="10"/>
      <c r="E135" s="7">
        <f>+$I$2+(KABALANE[[#This Row],[QUANTITE]]*KABALANE[[#This Row],[PRIX UNITAIRE]])</f>
        <v>0</v>
      </c>
      <c r="F135" s="14"/>
      <c r="G135" s="6">
        <f>+SUM(E$9:$E135)-SUM(F$9:$F135)</f>
        <v>2689649</v>
      </c>
    </row>
    <row r="136" spans="1:7" ht="28.8" x14ac:dyDescent="0.55000000000000004">
      <c r="A136" s="12"/>
      <c r="B136" s="13"/>
      <c r="C136" s="10"/>
      <c r="D136" s="10"/>
      <c r="E136" s="7">
        <f>+$I$2+(KABALANE[[#This Row],[QUANTITE]]*KABALANE[[#This Row],[PRIX UNITAIRE]])</f>
        <v>0</v>
      </c>
      <c r="F136" s="14"/>
      <c r="G136" s="6">
        <f>+SUM(E$9:$E136)-SUM(F$9:$F136)</f>
        <v>2689649</v>
      </c>
    </row>
    <row r="137" spans="1:7" ht="28.8" x14ac:dyDescent="0.55000000000000004">
      <c r="A137" s="12"/>
      <c r="B137" s="13"/>
      <c r="C137" s="10"/>
      <c r="D137" s="10"/>
      <c r="E137" s="7">
        <f>+$I$2+(KABALANE[[#This Row],[QUANTITE]]*KABALANE[[#This Row],[PRIX UNITAIRE]])</f>
        <v>0</v>
      </c>
      <c r="F137" s="14"/>
      <c r="G137" s="6">
        <f>+SUM(E$9:$E137)-SUM(F$9:$F137)</f>
        <v>2689649</v>
      </c>
    </row>
    <row r="138" spans="1:7" ht="28.8" x14ac:dyDescent="0.55000000000000004">
      <c r="A138" s="12"/>
      <c r="B138" s="13"/>
      <c r="C138" s="10"/>
      <c r="D138" s="10"/>
      <c r="E138" s="7">
        <f>+$I$2+(KABALANE[[#This Row],[QUANTITE]]*KABALANE[[#This Row],[PRIX UNITAIRE]])</f>
        <v>0</v>
      </c>
      <c r="F138" s="14"/>
      <c r="G138" s="6">
        <f>+SUM(E$9:$E138)-SUM(F$9:$F138)</f>
        <v>2689649</v>
      </c>
    </row>
    <row r="139" spans="1:7" ht="28.8" x14ac:dyDescent="0.55000000000000004">
      <c r="A139" s="12"/>
      <c r="B139" s="13"/>
      <c r="C139" s="10"/>
      <c r="D139" s="10"/>
      <c r="E139" s="7">
        <f>+$I$2+(KABALANE[[#This Row],[QUANTITE]]*KABALANE[[#This Row],[PRIX UNITAIRE]])</f>
        <v>0</v>
      </c>
      <c r="F139" s="14"/>
      <c r="G139" s="6">
        <f>+SUM(E$9:$E139)-SUM(F$9:$F139)</f>
        <v>2689649</v>
      </c>
    </row>
    <row r="140" spans="1:7" ht="28.8" x14ac:dyDescent="0.55000000000000004">
      <c r="A140" s="12"/>
      <c r="B140" s="13"/>
      <c r="C140" s="10"/>
      <c r="D140" s="10"/>
      <c r="E140" s="7">
        <f>+$I$2+(KABALANE[[#This Row],[QUANTITE]]*KABALANE[[#This Row],[PRIX UNITAIRE]])</f>
        <v>0</v>
      </c>
      <c r="F140" s="14"/>
      <c r="G140" s="6">
        <f>+SUM(E$9:$E140)-SUM(F$9:$F140)</f>
        <v>2689649</v>
      </c>
    </row>
    <row r="141" spans="1:7" ht="28.8" x14ac:dyDescent="0.55000000000000004">
      <c r="A141" s="12"/>
      <c r="B141" s="13"/>
      <c r="C141" s="10"/>
      <c r="D141" s="10"/>
      <c r="E141" s="7">
        <f>+$I$2+(KABALANE[[#This Row],[QUANTITE]]*KABALANE[[#This Row],[PRIX UNITAIRE]])</f>
        <v>0</v>
      </c>
      <c r="F141" s="14"/>
      <c r="G141" s="6">
        <f>+SUM(E$9:$E141)-SUM(F$9:$F141)</f>
        <v>2689649</v>
      </c>
    </row>
    <row r="142" spans="1:7" ht="28.8" x14ac:dyDescent="0.55000000000000004">
      <c r="A142" s="12"/>
      <c r="B142" s="13"/>
      <c r="C142" s="10"/>
      <c r="D142" s="10"/>
      <c r="E142" s="7">
        <f>+$I$2+(KABALANE[[#This Row],[QUANTITE]]*KABALANE[[#This Row],[PRIX UNITAIRE]])</f>
        <v>0</v>
      </c>
      <c r="F142" s="14"/>
      <c r="G142" s="6">
        <f>+SUM(E$9:$E142)-SUM(F$9:$F142)</f>
        <v>2689649</v>
      </c>
    </row>
    <row r="143" spans="1:7" ht="28.8" x14ac:dyDescent="0.55000000000000004">
      <c r="A143" s="12"/>
      <c r="B143" s="13"/>
      <c r="C143" s="10"/>
      <c r="D143" s="10"/>
      <c r="E143" s="7">
        <f>+$I$2+(KABALANE[[#This Row],[QUANTITE]]*KABALANE[[#This Row],[PRIX UNITAIRE]])</f>
        <v>0</v>
      </c>
      <c r="F143" s="14"/>
      <c r="G143" s="6">
        <f>+SUM(E$9:$E143)-SUM(F$9:$F143)</f>
        <v>2689649</v>
      </c>
    </row>
    <row r="144" spans="1:7" ht="28.8" x14ac:dyDescent="0.55000000000000004">
      <c r="A144" s="12"/>
      <c r="B144" s="13"/>
      <c r="C144" s="10"/>
      <c r="D144" s="10"/>
      <c r="E144" s="7">
        <f>+$I$2+(KABALANE[[#This Row],[QUANTITE]]*KABALANE[[#This Row],[PRIX UNITAIRE]])</f>
        <v>0</v>
      </c>
      <c r="F144" s="14"/>
      <c r="G144" s="6">
        <f>+SUM(E$9:$E144)-SUM(F$9:$F144)</f>
        <v>2689649</v>
      </c>
    </row>
    <row r="145" spans="1:7" ht="28.8" x14ac:dyDescent="0.55000000000000004">
      <c r="A145" s="12"/>
      <c r="B145" s="13"/>
      <c r="C145" s="10"/>
      <c r="D145" s="10"/>
      <c r="E145" s="7">
        <f>+$I$2+(KABALANE[[#This Row],[QUANTITE]]*KABALANE[[#This Row],[PRIX UNITAIRE]])</f>
        <v>0</v>
      </c>
      <c r="F145" s="14"/>
      <c r="G145" s="6">
        <f>+SUM(E$9:$E145)-SUM(F$9:$F145)</f>
        <v>2689649</v>
      </c>
    </row>
    <row r="146" spans="1:7" ht="28.8" x14ac:dyDescent="0.55000000000000004">
      <c r="A146" s="12"/>
      <c r="B146" s="13"/>
      <c r="C146" s="10"/>
      <c r="D146" s="10"/>
      <c r="E146" s="7">
        <f>+$I$2+(KABALANE[[#This Row],[QUANTITE]]*KABALANE[[#This Row],[PRIX UNITAIRE]])</f>
        <v>0</v>
      </c>
      <c r="F146" s="14"/>
      <c r="G146" s="6">
        <f>+SUM(E$9:$E146)-SUM(F$9:$F146)</f>
        <v>2689649</v>
      </c>
    </row>
    <row r="147" spans="1:7" ht="28.8" x14ac:dyDescent="0.55000000000000004">
      <c r="A147" s="12"/>
      <c r="B147" s="13"/>
      <c r="C147" s="10"/>
      <c r="D147" s="10"/>
      <c r="E147" s="7">
        <f>+$I$2+(KABALANE[[#This Row],[QUANTITE]]*KABALANE[[#This Row],[PRIX UNITAIRE]])</f>
        <v>0</v>
      </c>
      <c r="F147" s="14"/>
      <c r="G147" s="6">
        <f>+SUM(E$9:$E147)-SUM(F$9:$F147)</f>
        <v>2689649</v>
      </c>
    </row>
    <row r="148" spans="1:7" ht="28.8" x14ac:dyDescent="0.55000000000000004">
      <c r="A148" s="12"/>
      <c r="B148" s="13"/>
      <c r="C148" s="10"/>
      <c r="D148" s="10"/>
      <c r="E148" s="7">
        <f>+$I$2+(KABALANE[[#This Row],[QUANTITE]]*KABALANE[[#This Row],[PRIX UNITAIRE]])</f>
        <v>0</v>
      </c>
      <c r="F148" s="14"/>
      <c r="G148" s="6">
        <f>+SUM(E$9:$E148)-SUM(F$9:$F148)</f>
        <v>2689649</v>
      </c>
    </row>
    <row r="149" spans="1:7" ht="28.8" x14ac:dyDescent="0.55000000000000004">
      <c r="A149" s="12"/>
      <c r="B149" s="13"/>
      <c r="C149" s="10"/>
      <c r="D149" s="10"/>
      <c r="E149" s="7">
        <f>+$I$2+(KABALANE[[#This Row],[QUANTITE]]*KABALANE[[#This Row],[PRIX UNITAIRE]])</f>
        <v>0</v>
      </c>
      <c r="F149" s="14"/>
      <c r="G149" s="6">
        <f>+SUM(E$9:$E149)-SUM(F$9:$F149)</f>
        <v>2689649</v>
      </c>
    </row>
    <row r="150" spans="1:7" ht="28.8" x14ac:dyDescent="0.55000000000000004">
      <c r="A150" s="12"/>
      <c r="B150" s="13"/>
      <c r="C150" s="10"/>
      <c r="D150" s="10"/>
      <c r="E150" s="7">
        <f>+$I$2+(KABALANE[[#This Row],[QUANTITE]]*KABALANE[[#This Row],[PRIX UNITAIRE]])</f>
        <v>0</v>
      </c>
      <c r="F150" s="14"/>
      <c r="G150" s="6">
        <f>+SUM(E$9:$E150)-SUM(F$9:$F150)</f>
        <v>2689649</v>
      </c>
    </row>
    <row r="151" spans="1:7" ht="28.8" x14ac:dyDescent="0.55000000000000004">
      <c r="A151" s="12"/>
      <c r="B151" s="13"/>
      <c r="C151" s="10"/>
      <c r="D151" s="10"/>
      <c r="E151" s="7">
        <f>+$I$2+(KABALANE[[#This Row],[QUANTITE]]*KABALANE[[#This Row],[PRIX UNITAIRE]])</f>
        <v>0</v>
      </c>
      <c r="F151" s="14"/>
      <c r="G151" s="6">
        <f>+SUM(E$9:$E151)-SUM(F$9:$F151)</f>
        <v>2689649</v>
      </c>
    </row>
    <row r="152" spans="1:7" ht="28.8" x14ac:dyDescent="0.55000000000000004">
      <c r="A152" s="12"/>
      <c r="B152" s="13"/>
      <c r="C152" s="10"/>
      <c r="D152" s="10"/>
      <c r="E152" s="7">
        <f>+$I$2+(KABALANE[[#This Row],[QUANTITE]]*KABALANE[[#This Row],[PRIX UNITAIRE]])</f>
        <v>0</v>
      </c>
      <c r="F152" s="14"/>
      <c r="G152" s="6">
        <f>+SUM(E$9:$E152)-SUM(F$9:$F152)</f>
        <v>2689649</v>
      </c>
    </row>
    <row r="153" spans="1:7" ht="28.8" x14ac:dyDescent="0.55000000000000004">
      <c r="A153" s="12"/>
      <c r="B153" s="13"/>
      <c r="C153" s="10"/>
      <c r="D153" s="10"/>
      <c r="E153" s="7">
        <f>+$I$2+(KABALANE[[#This Row],[QUANTITE]]*KABALANE[[#This Row],[PRIX UNITAIRE]])</f>
        <v>0</v>
      </c>
      <c r="F153" s="14"/>
      <c r="G153" s="6">
        <f>+SUM(E$9:$E153)-SUM(F$9:$F153)</f>
        <v>2689649</v>
      </c>
    </row>
    <row r="154" spans="1:7" ht="28.8" x14ac:dyDescent="0.55000000000000004">
      <c r="A154" s="12"/>
      <c r="B154" s="13"/>
      <c r="C154" s="10"/>
      <c r="D154" s="10"/>
      <c r="E154" s="7">
        <f>+$I$2+(KABALANE[[#This Row],[QUANTITE]]*KABALANE[[#This Row],[PRIX UNITAIRE]])</f>
        <v>0</v>
      </c>
      <c r="F154" s="14"/>
      <c r="G154" s="6">
        <f>+SUM(E$9:$E154)-SUM(F$9:$F154)</f>
        <v>2689649</v>
      </c>
    </row>
    <row r="155" spans="1:7" ht="28.8" x14ac:dyDescent="0.55000000000000004">
      <c r="A155" s="12"/>
      <c r="B155" s="13"/>
      <c r="C155" s="10"/>
      <c r="D155" s="10"/>
      <c r="E155" s="7">
        <f>+$I$2+(KABALANE[[#This Row],[QUANTITE]]*KABALANE[[#This Row],[PRIX UNITAIRE]])</f>
        <v>0</v>
      </c>
      <c r="F155" s="14"/>
      <c r="G155" s="6">
        <f>+SUM(E$9:$E155)-SUM(F$9:$F155)</f>
        <v>2689649</v>
      </c>
    </row>
    <row r="156" spans="1:7" ht="28.8" x14ac:dyDescent="0.55000000000000004">
      <c r="A156" s="12"/>
      <c r="B156" s="13"/>
      <c r="C156" s="10"/>
      <c r="D156" s="10"/>
      <c r="E156" s="7">
        <f>+$I$2+(KABALANE[[#This Row],[QUANTITE]]*KABALANE[[#This Row],[PRIX UNITAIRE]])</f>
        <v>0</v>
      </c>
      <c r="F156" s="14"/>
      <c r="G156" s="6">
        <f>+SUM(E$9:$E156)-SUM(F$9:$F156)</f>
        <v>2689649</v>
      </c>
    </row>
    <row r="157" spans="1:7" ht="28.8" x14ac:dyDescent="0.55000000000000004">
      <c r="A157" s="12"/>
      <c r="B157" s="13"/>
      <c r="C157" s="10"/>
      <c r="D157" s="10"/>
      <c r="E157" s="7">
        <f>+$I$2+(KABALANE[[#This Row],[QUANTITE]]*KABALANE[[#This Row],[PRIX UNITAIRE]])</f>
        <v>0</v>
      </c>
      <c r="F157" s="14"/>
      <c r="G157" s="6">
        <f>+SUM(E$9:$E157)-SUM(F$9:$F157)</f>
        <v>2689649</v>
      </c>
    </row>
    <row r="158" spans="1:7" ht="28.8" x14ac:dyDescent="0.55000000000000004">
      <c r="A158" s="12"/>
      <c r="B158" s="13"/>
      <c r="C158" s="10"/>
      <c r="D158" s="10"/>
      <c r="E158" s="7">
        <f>+$I$2+(KABALANE[[#This Row],[QUANTITE]]*KABALANE[[#This Row],[PRIX UNITAIRE]])</f>
        <v>0</v>
      </c>
      <c r="F158" s="14"/>
      <c r="G158" s="6">
        <f>+SUM(E$9:$E158)-SUM(F$9:$F158)</f>
        <v>2689649</v>
      </c>
    </row>
    <row r="159" spans="1:7" ht="28.8" x14ac:dyDescent="0.55000000000000004">
      <c r="A159" s="12"/>
      <c r="B159" s="13"/>
      <c r="C159" s="10"/>
      <c r="D159" s="10"/>
      <c r="E159" s="7">
        <f>+$I$2+(KABALANE[[#This Row],[QUANTITE]]*KABALANE[[#This Row],[PRIX UNITAIRE]])</f>
        <v>0</v>
      </c>
      <c r="F159" s="14"/>
      <c r="G159" s="6">
        <f>+SUM(E$9:$E159)-SUM(F$9:$F159)</f>
        <v>2689649</v>
      </c>
    </row>
    <row r="160" spans="1:7" ht="28.8" x14ac:dyDescent="0.55000000000000004">
      <c r="A160" s="12"/>
      <c r="B160" s="13"/>
      <c r="C160" s="10"/>
      <c r="D160" s="10"/>
      <c r="E160" s="7">
        <f>+$I$2+(KABALANE[[#This Row],[QUANTITE]]*KABALANE[[#This Row],[PRIX UNITAIRE]])</f>
        <v>0</v>
      </c>
      <c r="F160" s="14"/>
      <c r="G160" s="6">
        <f>+SUM(E$9:$E160)-SUM(F$9:$F160)</f>
        <v>2689649</v>
      </c>
    </row>
    <row r="161" spans="1:7" ht="28.8" x14ac:dyDescent="0.55000000000000004">
      <c r="A161" s="12"/>
      <c r="B161" s="13"/>
      <c r="C161" s="10"/>
      <c r="D161" s="10"/>
      <c r="E161" s="7">
        <f>+$I$2+(KABALANE[[#This Row],[QUANTITE]]*KABALANE[[#This Row],[PRIX UNITAIRE]])</f>
        <v>0</v>
      </c>
      <c r="F161" s="14"/>
      <c r="G161" s="6">
        <f>+SUM(E$9:$E161)-SUM(F$9:$F161)</f>
        <v>2689649</v>
      </c>
    </row>
    <row r="162" spans="1:7" ht="28.8" x14ac:dyDescent="0.55000000000000004">
      <c r="A162" s="12"/>
      <c r="B162" s="13"/>
      <c r="C162" s="10"/>
      <c r="D162" s="10"/>
      <c r="E162" s="7">
        <f>+$I$2+(KABALANE[[#This Row],[QUANTITE]]*KABALANE[[#This Row],[PRIX UNITAIRE]])</f>
        <v>0</v>
      </c>
      <c r="F162" s="14"/>
      <c r="G162" s="6">
        <f>+SUM(E$9:$E162)-SUM(F$9:$F162)</f>
        <v>2689649</v>
      </c>
    </row>
    <row r="163" spans="1:7" ht="28.8" x14ac:dyDescent="0.55000000000000004">
      <c r="A163" s="12"/>
      <c r="B163" s="13"/>
      <c r="C163" s="10"/>
      <c r="D163" s="10"/>
      <c r="E163" s="7">
        <f>+$I$2+(KABALANE[[#This Row],[QUANTITE]]*KABALANE[[#This Row],[PRIX UNITAIRE]])</f>
        <v>0</v>
      </c>
      <c r="F163" s="14"/>
      <c r="G163" s="6">
        <f>+SUM(E$9:$E163)-SUM(F$9:$F163)</f>
        <v>2689649</v>
      </c>
    </row>
    <row r="164" spans="1:7" ht="28.8" x14ac:dyDescent="0.55000000000000004">
      <c r="A164" s="12"/>
      <c r="B164" s="13"/>
      <c r="C164" s="10"/>
      <c r="D164" s="10"/>
      <c r="E164" s="7">
        <f>+$I$2+(KABALANE[[#This Row],[QUANTITE]]*KABALANE[[#This Row],[PRIX UNITAIRE]])</f>
        <v>0</v>
      </c>
      <c r="F164" s="14"/>
      <c r="G164" s="6">
        <f>+SUM(E$9:$E164)-SUM(F$9:$F164)</f>
        <v>2689649</v>
      </c>
    </row>
    <row r="165" spans="1:7" ht="28.8" x14ac:dyDescent="0.55000000000000004">
      <c r="A165" s="12"/>
      <c r="B165" s="13"/>
      <c r="C165" s="10"/>
      <c r="D165" s="10"/>
      <c r="E165" s="7">
        <f>+$I$2+(KABALANE[[#This Row],[QUANTITE]]*KABALANE[[#This Row],[PRIX UNITAIRE]])</f>
        <v>0</v>
      </c>
      <c r="F165" s="14"/>
      <c r="G165" s="6">
        <f>+SUM(E$9:$E165)-SUM(F$9:$F165)</f>
        <v>2689649</v>
      </c>
    </row>
    <row r="166" spans="1:7" ht="28.8" x14ac:dyDescent="0.55000000000000004">
      <c r="A166" s="12"/>
      <c r="B166" s="13"/>
      <c r="C166" s="10"/>
      <c r="D166" s="10"/>
      <c r="E166" s="7">
        <f>+$I$2+(KABALANE[[#This Row],[QUANTITE]]*KABALANE[[#This Row],[PRIX UNITAIRE]])</f>
        <v>0</v>
      </c>
      <c r="F166" s="14"/>
      <c r="G166" s="6">
        <f>+SUM(E$9:$E166)-SUM(F$9:$F166)</f>
        <v>2689649</v>
      </c>
    </row>
    <row r="167" spans="1:7" ht="28.8" x14ac:dyDescent="0.55000000000000004">
      <c r="A167" s="12"/>
      <c r="B167" s="13"/>
      <c r="C167" s="10"/>
      <c r="D167" s="10"/>
      <c r="E167" s="7">
        <f>+$I$2+(KABALANE[[#This Row],[QUANTITE]]*KABALANE[[#This Row],[PRIX UNITAIRE]])</f>
        <v>0</v>
      </c>
      <c r="F167" s="14"/>
      <c r="G167" s="6">
        <f>+SUM(E$9:$E167)-SUM(F$9:$F167)</f>
        <v>2689649</v>
      </c>
    </row>
    <row r="168" spans="1:7" ht="28.8" x14ac:dyDescent="0.55000000000000004">
      <c r="A168" s="12"/>
      <c r="B168" s="13"/>
      <c r="C168" s="10"/>
      <c r="D168" s="10"/>
      <c r="E168" s="7">
        <f>+$I$2+(KABALANE[[#This Row],[QUANTITE]]*KABALANE[[#This Row],[PRIX UNITAIRE]])</f>
        <v>0</v>
      </c>
      <c r="F168" s="14"/>
      <c r="G168" s="6">
        <f>+SUM(E$9:$E168)-SUM(F$9:$F168)</f>
        <v>2689649</v>
      </c>
    </row>
    <row r="169" spans="1:7" ht="28.8" x14ac:dyDescent="0.55000000000000004">
      <c r="A169" s="12"/>
      <c r="B169" s="13"/>
      <c r="C169" s="10"/>
      <c r="D169" s="10"/>
      <c r="E169" s="7">
        <f>+$I$2+(KABALANE[[#This Row],[QUANTITE]]*KABALANE[[#This Row],[PRIX UNITAIRE]])</f>
        <v>0</v>
      </c>
      <c r="F169" s="14"/>
      <c r="G169" s="6">
        <f>+SUM(E$9:$E169)-SUM(F$9:$F169)</f>
        <v>2689649</v>
      </c>
    </row>
    <row r="170" spans="1:7" ht="28.8" x14ac:dyDescent="0.55000000000000004">
      <c r="A170" s="12"/>
      <c r="B170" s="13"/>
      <c r="C170" s="10"/>
      <c r="D170" s="10"/>
      <c r="E170" s="7">
        <f>+$I$2+(KABALANE[[#This Row],[QUANTITE]]*KABALANE[[#This Row],[PRIX UNITAIRE]])</f>
        <v>0</v>
      </c>
      <c r="F170" s="14"/>
      <c r="G170" s="6">
        <f>+SUM(E$9:$E170)-SUM(F$9:$F170)</f>
        <v>2689649</v>
      </c>
    </row>
    <row r="171" spans="1:7" ht="28.8" x14ac:dyDescent="0.55000000000000004">
      <c r="A171" s="12"/>
      <c r="B171" s="13"/>
      <c r="C171" s="10"/>
      <c r="D171" s="10"/>
      <c r="E171" s="7">
        <f>+$I$2+(KABALANE[[#This Row],[QUANTITE]]*KABALANE[[#This Row],[PRIX UNITAIRE]])</f>
        <v>0</v>
      </c>
      <c r="F171" s="14"/>
      <c r="G171" s="6">
        <f>+SUM(E$9:$E171)-SUM(F$9:$F171)</f>
        <v>2689649</v>
      </c>
    </row>
    <row r="172" spans="1:7" ht="28.8" x14ac:dyDescent="0.55000000000000004">
      <c r="A172" s="12"/>
      <c r="B172" s="13"/>
      <c r="C172" s="10"/>
      <c r="D172" s="10"/>
      <c r="E172" s="7">
        <f>+$I$2+(KABALANE[[#This Row],[QUANTITE]]*KABALANE[[#This Row],[PRIX UNITAIRE]])</f>
        <v>0</v>
      </c>
      <c r="F172" s="14"/>
      <c r="G172" s="6">
        <f>+SUM(E$9:$E172)-SUM(F$9:$F172)</f>
        <v>2689649</v>
      </c>
    </row>
    <row r="173" spans="1:7" ht="28.8" x14ac:dyDescent="0.55000000000000004">
      <c r="A173" s="12"/>
      <c r="B173" s="13"/>
      <c r="C173" s="10"/>
      <c r="D173" s="10"/>
      <c r="E173" s="7">
        <f>+$I$2+(KABALANE[[#This Row],[QUANTITE]]*KABALANE[[#This Row],[PRIX UNITAIRE]])</f>
        <v>0</v>
      </c>
      <c r="F173" s="14"/>
      <c r="G173" s="6">
        <f>+SUM(E$9:$E173)-SUM(F$9:$F173)</f>
        <v>2689649</v>
      </c>
    </row>
    <row r="174" spans="1:7" ht="28.8" x14ac:dyDescent="0.55000000000000004">
      <c r="A174" s="12"/>
      <c r="B174" s="13"/>
      <c r="C174" s="10"/>
      <c r="D174" s="10"/>
      <c r="E174" s="7">
        <f>+$I$2+(KABALANE[[#This Row],[QUANTITE]]*KABALANE[[#This Row],[PRIX UNITAIRE]])</f>
        <v>0</v>
      </c>
      <c r="F174" s="14"/>
      <c r="G174" s="6">
        <f>+SUM(E$9:$E174)-SUM(F$9:$F174)</f>
        <v>2689649</v>
      </c>
    </row>
    <row r="175" spans="1:7" ht="28.8" x14ac:dyDescent="0.55000000000000004">
      <c r="A175" s="12"/>
      <c r="B175" s="13"/>
      <c r="C175" s="10"/>
      <c r="D175" s="10"/>
      <c r="E175" s="7">
        <f>+$I$2+(KABALANE[[#This Row],[QUANTITE]]*KABALANE[[#This Row],[PRIX UNITAIRE]])</f>
        <v>0</v>
      </c>
      <c r="F175" s="14"/>
      <c r="G175" s="6">
        <f>+SUM(E$9:$E175)-SUM(F$9:$F175)</f>
        <v>2689649</v>
      </c>
    </row>
    <row r="176" spans="1:7" ht="28.8" x14ac:dyDescent="0.55000000000000004">
      <c r="A176" s="12"/>
      <c r="B176" s="13"/>
      <c r="C176" s="10"/>
      <c r="D176" s="10"/>
      <c r="E176" s="7">
        <f>+$I$2+(KABALANE[[#This Row],[QUANTITE]]*KABALANE[[#This Row],[PRIX UNITAIRE]])</f>
        <v>0</v>
      </c>
      <c r="F176" s="14"/>
      <c r="G176" s="6">
        <f>+SUM(E$9:$E176)-SUM(F$9:$F176)</f>
        <v>2689649</v>
      </c>
    </row>
    <row r="177" spans="1:7" ht="28.8" x14ac:dyDescent="0.55000000000000004">
      <c r="A177" s="12"/>
      <c r="B177" s="13"/>
      <c r="C177" s="10"/>
      <c r="D177" s="10"/>
      <c r="E177" s="7">
        <f>+$I$2+(KABALANE[[#This Row],[QUANTITE]]*KABALANE[[#This Row],[PRIX UNITAIRE]])</f>
        <v>0</v>
      </c>
      <c r="F177" s="14"/>
      <c r="G177" s="6">
        <f>+SUM(E$9:$E177)-SUM(F$9:$F177)</f>
        <v>2689649</v>
      </c>
    </row>
    <row r="178" spans="1:7" ht="28.8" x14ac:dyDescent="0.55000000000000004">
      <c r="A178" s="12"/>
      <c r="B178" s="13"/>
      <c r="C178" s="10"/>
      <c r="D178" s="10"/>
      <c r="E178" s="7">
        <f>+$I$2+(KABALANE[[#This Row],[QUANTITE]]*KABALANE[[#This Row],[PRIX UNITAIRE]])</f>
        <v>0</v>
      </c>
      <c r="F178" s="14"/>
      <c r="G178" s="6">
        <f>+SUM(E$9:$E178)-SUM(F$9:$F178)</f>
        <v>2689649</v>
      </c>
    </row>
    <row r="179" spans="1:7" ht="28.8" x14ac:dyDescent="0.55000000000000004">
      <c r="A179" s="12"/>
      <c r="B179" s="13"/>
      <c r="C179" s="10"/>
      <c r="D179" s="10"/>
      <c r="E179" s="7">
        <f>+$I$2+(KABALANE[[#This Row],[QUANTITE]]*KABALANE[[#This Row],[PRIX UNITAIRE]])</f>
        <v>0</v>
      </c>
      <c r="F179" s="14"/>
      <c r="G179" s="6">
        <f>+SUM(E$9:$E179)-SUM(F$9:$F179)</f>
        <v>2689649</v>
      </c>
    </row>
    <row r="180" spans="1:7" ht="28.8" x14ac:dyDescent="0.55000000000000004">
      <c r="A180" s="12"/>
      <c r="B180" s="13"/>
      <c r="C180" s="10"/>
      <c r="D180" s="10"/>
      <c r="E180" s="7">
        <f>+$I$2+(KABALANE[[#This Row],[QUANTITE]]*KABALANE[[#This Row],[PRIX UNITAIRE]])</f>
        <v>0</v>
      </c>
      <c r="F180" s="14"/>
      <c r="G180" s="6">
        <f>+SUM(E$9:$E180)-SUM(F$9:$F180)</f>
        <v>2689649</v>
      </c>
    </row>
    <row r="181" spans="1:7" ht="28.8" x14ac:dyDescent="0.55000000000000004">
      <c r="A181" s="12"/>
      <c r="B181" s="13"/>
      <c r="C181" s="10"/>
      <c r="D181" s="10"/>
      <c r="E181" s="7">
        <f>+$I$2+(KABALANE[[#This Row],[QUANTITE]]*KABALANE[[#This Row],[PRIX UNITAIRE]])</f>
        <v>0</v>
      </c>
      <c r="F181" s="14"/>
      <c r="G181" s="6">
        <f>+SUM(E$9:$E181)-SUM(F$9:$F181)</f>
        <v>2689649</v>
      </c>
    </row>
    <row r="182" spans="1:7" ht="28.8" x14ac:dyDescent="0.55000000000000004">
      <c r="A182" s="12"/>
      <c r="B182" s="13"/>
      <c r="C182" s="10"/>
      <c r="D182" s="10"/>
      <c r="E182" s="7">
        <f>+$I$2+(KABALANE[[#This Row],[QUANTITE]]*KABALANE[[#This Row],[PRIX UNITAIRE]])</f>
        <v>0</v>
      </c>
      <c r="F182" s="14"/>
      <c r="G182" s="6">
        <f>+SUM(E$9:$E182)-SUM(F$9:$F182)</f>
        <v>2689649</v>
      </c>
    </row>
    <row r="183" spans="1:7" ht="28.8" x14ac:dyDescent="0.55000000000000004">
      <c r="A183" s="12"/>
      <c r="B183" s="13"/>
      <c r="C183" s="10"/>
      <c r="D183" s="10"/>
      <c r="E183" s="7">
        <f>+$I$2+(KABALANE[[#This Row],[QUANTITE]]*KABALANE[[#This Row],[PRIX UNITAIRE]])</f>
        <v>0</v>
      </c>
      <c r="F183" s="14"/>
      <c r="G183" s="6">
        <f>+SUM(E$9:$E183)-SUM(F$9:$F183)</f>
        <v>2689649</v>
      </c>
    </row>
    <row r="184" spans="1:7" ht="28.8" x14ac:dyDescent="0.55000000000000004">
      <c r="A184" s="12"/>
      <c r="B184" s="13"/>
      <c r="C184" s="10"/>
      <c r="D184" s="10"/>
      <c r="E184" s="7">
        <f>+$I$2+(KABALANE[[#This Row],[QUANTITE]]*KABALANE[[#This Row],[PRIX UNITAIRE]])</f>
        <v>0</v>
      </c>
      <c r="F184" s="14"/>
      <c r="G184" s="6">
        <f>+SUM(E$9:$E184)-SUM(F$9:$F184)</f>
        <v>2689649</v>
      </c>
    </row>
    <row r="185" spans="1:7" ht="28.8" x14ac:dyDescent="0.55000000000000004">
      <c r="A185" s="12"/>
      <c r="B185" s="13"/>
      <c r="C185" s="10"/>
      <c r="D185" s="10"/>
      <c r="E185" s="7">
        <f>+$I$2+(KABALANE[[#This Row],[QUANTITE]]*KABALANE[[#This Row],[PRIX UNITAIRE]])</f>
        <v>0</v>
      </c>
      <c r="F185" s="14"/>
      <c r="G185" s="6">
        <f>+SUM(E$9:$E185)-SUM(F$9:$F185)</f>
        <v>2689649</v>
      </c>
    </row>
    <row r="186" spans="1:7" ht="28.8" x14ac:dyDescent="0.55000000000000004">
      <c r="A186" s="12"/>
      <c r="B186" s="13"/>
      <c r="C186" s="10"/>
      <c r="D186" s="10"/>
      <c r="E186" s="7">
        <f>+$I$2+(KABALANE[[#This Row],[QUANTITE]]*KABALANE[[#This Row],[PRIX UNITAIRE]])</f>
        <v>0</v>
      </c>
      <c r="F186" s="14"/>
      <c r="G186" s="6">
        <f>+SUM(E$9:$E186)-SUM(F$9:$F186)</f>
        <v>2689649</v>
      </c>
    </row>
    <row r="187" spans="1:7" ht="28.8" x14ac:dyDescent="0.55000000000000004">
      <c r="A187" s="12"/>
      <c r="B187" s="13"/>
      <c r="C187" s="10"/>
      <c r="D187" s="10"/>
      <c r="E187" s="7">
        <f>+$I$2+(KABALANE[[#This Row],[QUANTITE]]*KABALANE[[#This Row],[PRIX UNITAIRE]])</f>
        <v>0</v>
      </c>
      <c r="F187" s="14"/>
      <c r="G187" s="6">
        <f>+SUM(E$9:$E187)-SUM(F$9:$F187)</f>
        <v>2689649</v>
      </c>
    </row>
    <row r="188" spans="1:7" ht="28.8" x14ac:dyDescent="0.55000000000000004">
      <c r="A188" s="12"/>
      <c r="B188" s="13"/>
      <c r="C188" s="10"/>
      <c r="D188" s="10"/>
      <c r="E188" s="7">
        <f>+$I$2+(KABALANE[[#This Row],[QUANTITE]]*KABALANE[[#This Row],[PRIX UNITAIRE]])</f>
        <v>0</v>
      </c>
      <c r="F188" s="14"/>
      <c r="G188" s="6">
        <f>+SUM(E$9:$E188)-SUM(F$9:$F188)</f>
        <v>2689649</v>
      </c>
    </row>
    <row r="189" spans="1:7" ht="28.8" x14ac:dyDescent="0.55000000000000004">
      <c r="A189" s="12"/>
      <c r="B189" s="13"/>
      <c r="C189" s="10"/>
      <c r="D189" s="10"/>
      <c r="E189" s="7">
        <f>+$I$2+(KABALANE[[#This Row],[QUANTITE]]*KABALANE[[#This Row],[PRIX UNITAIRE]])</f>
        <v>0</v>
      </c>
      <c r="F189" s="14"/>
      <c r="G189" s="6">
        <f>+SUM(E$9:$E189)-SUM(F$9:$F189)</f>
        <v>2689649</v>
      </c>
    </row>
    <row r="190" spans="1:7" ht="28.8" x14ac:dyDescent="0.55000000000000004">
      <c r="A190" s="12"/>
      <c r="B190" s="13"/>
      <c r="C190" s="10"/>
      <c r="D190" s="10"/>
      <c r="E190" s="7">
        <f>+$I$2+(KABALANE[[#This Row],[QUANTITE]]*KABALANE[[#This Row],[PRIX UNITAIRE]])</f>
        <v>0</v>
      </c>
      <c r="F190" s="14"/>
      <c r="G190" s="6">
        <f>+SUM(E$9:$E190)-SUM(F$9:$F190)</f>
        <v>2689649</v>
      </c>
    </row>
    <row r="191" spans="1:7" ht="28.8" x14ac:dyDescent="0.55000000000000004">
      <c r="A191" s="73"/>
      <c r="B191" s="13"/>
      <c r="C191" s="74"/>
      <c r="D191" s="74"/>
      <c r="E191" s="7">
        <f>+$I$2+(KABALANE[[#This Row],[QUANTITE]]*KABALANE[[#This Row],[PRIX UNITAIRE]])</f>
        <v>0</v>
      </c>
      <c r="F191" s="75"/>
      <c r="G191" s="6">
        <f>+SUM(E$9:$E191)-SUM(F$9:$F191)</f>
        <v>2689649</v>
      </c>
    </row>
    <row r="192" spans="1:7" ht="28.8" x14ac:dyDescent="0.55000000000000004">
      <c r="A192" s="73"/>
      <c r="B192" s="13"/>
      <c r="C192" s="74"/>
      <c r="D192" s="74"/>
      <c r="E192" s="7">
        <f>+$I$2+(KABALANE[[#This Row],[QUANTITE]]*KABALANE[[#This Row],[PRIX UNITAIRE]])</f>
        <v>0</v>
      </c>
      <c r="F192" s="75"/>
      <c r="G192" s="6">
        <f>+SUM(E$9:$E192)-SUM(F$9:$F192)</f>
        <v>2689649</v>
      </c>
    </row>
    <row r="193" spans="1:7" ht="28.8" x14ac:dyDescent="0.55000000000000004">
      <c r="A193" s="73"/>
      <c r="B193" s="13"/>
      <c r="C193" s="74"/>
      <c r="D193" s="74"/>
      <c r="E193" s="7">
        <f>+$I$2+(KABALANE[[#This Row],[QUANTITE]]*KABALANE[[#This Row],[PRIX UNITAIRE]])</f>
        <v>0</v>
      </c>
      <c r="F193" s="75"/>
      <c r="G193" s="6">
        <f>+SUM(E$9:$E193)-SUM(F$9:$F193)</f>
        <v>2689649</v>
      </c>
    </row>
    <row r="194" spans="1:7" ht="28.8" x14ac:dyDescent="0.55000000000000004">
      <c r="A194" s="73"/>
      <c r="B194" s="13"/>
      <c r="C194" s="74"/>
      <c r="D194" s="74"/>
      <c r="E194" s="7">
        <f>+$I$2+(KABALANE[[#This Row],[QUANTITE]]*KABALANE[[#This Row],[PRIX UNITAIRE]])</f>
        <v>0</v>
      </c>
      <c r="F194" s="75"/>
      <c r="G194" s="6">
        <f>+SUM(E$9:$E194)-SUM(F$9:$F194)</f>
        <v>2689649</v>
      </c>
    </row>
    <row r="195" spans="1:7" ht="28.8" x14ac:dyDescent="0.55000000000000004">
      <c r="A195" s="73"/>
      <c r="B195" s="13"/>
      <c r="C195" s="74"/>
      <c r="D195" s="74"/>
      <c r="E195" s="7">
        <f>+$I$2+(KABALANE[[#This Row],[QUANTITE]]*KABALANE[[#This Row],[PRIX UNITAIRE]])</f>
        <v>0</v>
      </c>
      <c r="F195" s="75"/>
      <c r="G195" s="6">
        <f>+SUM(E$9:$E195)-SUM(F$9:$F195)</f>
        <v>2689649</v>
      </c>
    </row>
    <row r="196" spans="1:7" ht="28.8" x14ac:dyDescent="0.55000000000000004">
      <c r="A196" s="73"/>
      <c r="B196" s="13"/>
      <c r="C196" s="74"/>
      <c r="D196" s="74"/>
      <c r="E196" s="7">
        <f>+$I$2+(KABALANE[[#This Row],[QUANTITE]]*KABALANE[[#This Row],[PRIX UNITAIRE]])</f>
        <v>0</v>
      </c>
      <c r="F196" s="75"/>
      <c r="G196" s="6">
        <f>+SUM(E$9:$E196)-SUM(F$9:$F196)</f>
        <v>2689649</v>
      </c>
    </row>
    <row r="197" spans="1:7" ht="28.8" x14ac:dyDescent="0.55000000000000004">
      <c r="A197" s="73"/>
      <c r="B197" s="13"/>
      <c r="C197" s="74"/>
      <c r="D197" s="74"/>
      <c r="E197" s="7">
        <f>+$I$2+(KABALANE[[#This Row],[QUANTITE]]*KABALANE[[#This Row],[PRIX UNITAIRE]])</f>
        <v>0</v>
      </c>
      <c r="F197" s="75"/>
      <c r="G197" s="6">
        <f>+SUM(E$9:$E197)-SUM(F$9:$F197)</f>
        <v>2689649</v>
      </c>
    </row>
    <row r="198" spans="1:7" ht="28.8" x14ac:dyDescent="0.55000000000000004">
      <c r="A198" s="73"/>
      <c r="B198" s="13"/>
      <c r="C198" s="74"/>
      <c r="D198" s="74"/>
      <c r="E198" s="7">
        <f>+$I$2+(KABALANE[[#This Row],[QUANTITE]]*KABALANE[[#This Row],[PRIX UNITAIRE]])</f>
        <v>0</v>
      </c>
      <c r="F198" s="75"/>
      <c r="G198" s="6">
        <f>+SUM(E$9:$E198)-SUM(F$9:$F198)</f>
        <v>2689649</v>
      </c>
    </row>
    <row r="199" spans="1:7" ht="28.8" x14ac:dyDescent="0.55000000000000004">
      <c r="A199" s="73"/>
      <c r="B199" s="13"/>
      <c r="C199" s="74"/>
      <c r="D199" s="74"/>
      <c r="E199" s="7">
        <f>+$I$2+(KABALANE[[#This Row],[QUANTITE]]*KABALANE[[#This Row],[PRIX UNITAIRE]])</f>
        <v>0</v>
      </c>
      <c r="F199" s="75"/>
      <c r="G199" s="6">
        <f>+SUM(E$9:$E199)-SUM(F$9:$F199)</f>
        <v>2689649</v>
      </c>
    </row>
    <row r="200" spans="1:7" ht="28.8" x14ac:dyDescent="0.55000000000000004">
      <c r="A200" s="73"/>
      <c r="B200" s="13"/>
      <c r="C200" s="74"/>
      <c r="D200" s="74"/>
      <c r="E200" s="7">
        <f>+$I$2+(KABALANE[[#This Row],[QUANTITE]]*KABALANE[[#This Row],[PRIX UNITAIRE]])</f>
        <v>0</v>
      </c>
      <c r="F200" s="75"/>
      <c r="G200" s="6">
        <f>+SUM(E$9:$E200)-SUM(F$9:$F200)</f>
        <v>2689649</v>
      </c>
    </row>
    <row r="201" spans="1:7" ht="28.8" x14ac:dyDescent="0.55000000000000004">
      <c r="A201" s="73"/>
      <c r="B201" s="13"/>
      <c r="C201" s="74"/>
      <c r="D201" s="74"/>
      <c r="E201" s="7">
        <f>+$I$2+(KABALANE[[#This Row],[QUANTITE]]*KABALANE[[#This Row],[PRIX UNITAIRE]])</f>
        <v>0</v>
      </c>
      <c r="F201" s="75"/>
      <c r="G201" s="6">
        <f>+SUM(E$9:$E201)-SUM(F$9:$F201)</f>
        <v>2689649</v>
      </c>
    </row>
    <row r="202" spans="1:7" ht="28.8" x14ac:dyDescent="0.55000000000000004">
      <c r="A202" s="73"/>
      <c r="B202" s="13"/>
      <c r="C202" s="74"/>
      <c r="D202" s="74"/>
      <c r="E202" s="7">
        <f>+$I$2+(KABALANE[[#This Row],[QUANTITE]]*KABALANE[[#This Row],[PRIX UNITAIRE]])</f>
        <v>0</v>
      </c>
      <c r="F202" s="75"/>
      <c r="G202" s="6">
        <f>+SUM(E$9:$E202)-SUM(F$9:$F202)</f>
        <v>2689649</v>
      </c>
    </row>
    <row r="203" spans="1:7" ht="28.8" x14ac:dyDescent="0.55000000000000004">
      <c r="A203" s="73"/>
      <c r="B203" s="13"/>
      <c r="C203" s="74"/>
      <c r="D203" s="74"/>
      <c r="E203" s="7">
        <f>+$I$2+(KABALANE[[#This Row],[QUANTITE]]*KABALANE[[#This Row],[PRIX UNITAIRE]])</f>
        <v>0</v>
      </c>
      <c r="F203" s="75"/>
      <c r="G203" s="6">
        <f>+SUM(E$9:$E203)-SUM(F$9:$F203)</f>
        <v>2689649</v>
      </c>
    </row>
    <row r="204" spans="1:7" ht="28.8" x14ac:dyDescent="0.55000000000000004">
      <c r="A204" s="73"/>
      <c r="B204" s="13"/>
      <c r="C204" s="74"/>
      <c r="D204" s="74"/>
      <c r="E204" s="7">
        <f>+$I$2+(KABALANE[[#This Row],[QUANTITE]]*KABALANE[[#This Row],[PRIX UNITAIRE]])</f>
        <v>0</v>
      </c>
      <c r="F204" s="75"/>
      <c r="G204" s="6">
        <f>+SUM(E$9:$E204)-SUM(F$9:$F204)</f>
        <v>2689649</v>
      </c>
    </row>
    <row r="205" spans="1:7" ht="28.8" x14ac:dyDescent="0.55000000000000004">
      <c r="A205" s="73"/>
      <c r="B205" s="13"/>
      <c r="C205" s="74"/>
      <c r="D205" s="74"/>
      <c r="E205" s="7">
        <f>+$I$2+(KABALANE[[#This Row],[QUANTITE]]*KABALANE[[#This Row],[PRIX UNITAIRE]])</f>
        <v>0</v>
      </c>
      <c r="F205" s="75"/>
      <c r="G205" s="6">
        <f>+SUM(E$9:$E205)-SUM(F$9:$F205)</f>
        <v>2689649</v>
      </c>
    </row>
    <row r="206" spans="1:7" ht="28.8" x14ac:dyDescent="0.55000000000000004">
      <c r="A206" s="73"/>
      <c r="B206" s="13"/>
      <c r="C206" s="74"/>
      <c r="D206" s="74"/>
      <c r="E206" s="7">
        <f>+$I$2+(KABALANE[[#This Row],[QUANTITE]]*KABALANE[[#This Row],[PRIX UNITAIRE]])</f>
        <v>0</v>
      </c>
      <c r="F206" s="75"/>
      <c r="G206" s="6">
        <f>+SUM(E$9:$E206)-SUM(F$9:$F206)</f>
        <v>2689649</v>
      </c>
    </row>
    <row r="207" spans="1:7" ht="28.8" x14ac:dyDescent="0.55000000000000004">
      <c r="A207" s="73"/>
      <c r="B207" s="13"/>
      <c r="C207" s="74"/>
      <c r="D207" s="74"/>
      <c r="E207" s="7">
        <f>+$I$2+(KABALANE[[#This Row],[QUANTITE]]*KABALANE[[#This Row],[PRIX UNITAIRE]])</f>
        <v>0</v>
      </c>
      <c r="F207" s="75"/>
      <c r="G207" s="6">
        <f>+SUM(E$9:$E207)-SUM(F$9:$F207)</f>
        <v>2689649</v>
      </c>
    </row>
    <row r="208" spans="1:7" ht="28.8" x14ac:dyDescent="0.55000000000000004">
      <c r="A208" s="73"/>
      <c r="B208" s="13"/>
      <c r="C208" s="74"/>
      <c r="D208" s="74"/>
      <c r="E208" s="7">
        <f>+$I$2+(KABALANE[[#This Row],[QUANTITE]]*KABALANE[[#This Row],[PRIX UNITAIRE]])</f>
        <v>0</v>
      </c>
      <c r="F208" s="75"/>
      <c r="G208" s="6">
        <f>+SUM(E$9:$E208)-SUM(F$9:$F208)</f>
        <v>2689649</v>
      </c>
    </row>
    <row r="209" spans="1:7" ht="28.8" x14ac:dyDescent="0.55000000000000004">
      <c r="A209" s="73"/>
      <c r="B209" s="13"/>
      <c r="C209" s="74"/>
      <c r="D209" s="74"/>
      <c r="E209" s="7">
        <f>+$I$2+(KABALANE[[#This Row],[QUANTITE]]*KABALANE[[#This Row],[PRIX UNITAIRE]])</f>
        <v>0</v>
      </c>
      <c r="F209" s="75"/>
      <c r="G209" s="6">
        <f>+SUM(E$9:$E209)-SUM(F$9:$F209)</f>
        <v>2689649</v>
      </c>
    </row>
    <row r="210" spans="1:7" ht="28.8" x14ac:dyDescent="0.55000000000000004">
      <c r="A210" s="73"/>
      <c r="B210" s="13"/>
      <c r="C210" s="74"/>
      <c r="D210" s="74"/>
      <c r="E210" s="7">
        <f>+$I$2+(KABALANE[[#This Row],[QUANTITE]]*KABALANE[[#This Row],[PRIX UNITAIRE]])</f>
        <v>0</v>
      </c>
      <c r="F210" s="75"/>
      <c r="G210" s="6">
        <f>+SUM(E$9:$E210)-SUM(F$9:$F210)</f>
        <v>2689649</v>
      </c>
    </row>
    <row r="211" spans="1:7" ht="28.8" x14ac:dyDescent="0.55000000000000004">
      <c r="A211" s="73"/>
      <c r="B211" s="13"/>
      <c r="C211" s="10"/>
      <c r="D211" s="74"/>
      <c r="E211" s="7">
        <f>+$I$2+(KABALANE[[#This Row],[QUANTITE]]*KABALANE[[#This Row],[PRIX UNITAIRE]])</f>
        <v>0</v>
      </c>
      <c r="F211" s="75"/>
      <c r="G211" s="6">
        <f>+SUM(E$9:$E211)-SUM(F$9:$F211)</f>
        <v>2689649</v>
      </c>
    </row>
    <row r="212" spans="1:7" ht="28.8" x14ac:dyDescent="0.55000000000000004">
      <c r="A212" s="73"/>
      <c r="B212" s="13"/>
      <c r="C212" s="74"/>
      <c r="D212" s="74"/>
      <c r="E212" s="7">
        <f>+$I$2+(KABALANE[[#This Row],[QUANTITE]]*KABALANE[[#This Row],[PRIX UNITAIRE]])</f>
        <v>0</v>
      </c>
      <c r="F212" s="75"/>
      <c r="G212" s="6">
        <f>+SUM(E$9:$E212)-SUM(F$9:$F212)</f>
        <v>2689649</v>
      </c>
    </row>
    <row r="213" spans="1:7" ht="28.8" x14ac:dyDescent="0.55000000000000004">
      <c r="A213" s="73"/>
      <c r="B213" s="13"/>
      <c r="C213" s="74"/>
      <c r="D213" s="74"/>
      <c r="E213" s="7">
        <f>+$I$2+(KABALANE[[#This Row],[QUANTITE]]*KABALANE[[#This Row],[PRIX UNITAIRE]])</f>
        <v>0</v>
      </c>
      <c r="F213" s="75"/>
      <c r="G213" s="6">
        <f>+SUM(E$9:$E213)-SUM(F$9:$F213)</f>
        <v>2689649</v>
      </c>
    </row>
    <row r="214" spans="1:7" ht="28.8" x14ac:dyDescent="0.55000000000000004">
      <c r="A214" s="73"/>
      <c r="B214" s="13"/>
      <c r="C214" s="74"/>
      <c r="D214" s="74"/>
      <c r="E214" s="7">
        <f>+$I$2+(KABALANE[[#This Row],[QUANTITE]]*KABALANE[[#This Row],[PRIX UNITAIRE]])</f>
        <v>0</v>
      </c>
      <c r="F214" s="75"/>
      <c r="G214" s="6">
        <f>+SUM(E$9:$E214)-SUM(F$9:$F214)</f>
        <v>2689649</v>
      </c>
    </row>
    <row r="215" spans="1:7" ht="28.8" x14ac:dyDescent="0.55000000000000004">
      <c r="A215" s="73"/>
      <c r="B215" s="13"/>
      <c r="C215" s="74"/>
      <c r="D215" s="10"/>
      <c r="E215" s="7">
        <f>+$I$2+(KABALANE[[#This Row],[QUANTITE]]*KABALANE[[#This Row],[PRIX UNITAIRE]])</f>
        <v>0</v>
      </c>
      <c r="F215" s="75"/>
      <c r="G215" s="6">
        <f>+SUM(E$9:$E215)-SUM(F$9:$F215)</f>
        <v>2689649</v>
      </c>
    </row>
    <row r="216" spans="1:7" ht="28.8" x14ac:dyDescent="0.55000000000000004">
      <c r="A216" s="73"/>
      <c r="B216" s="13"/>
      <c r="C216" s="74"/>
      <c r="D216" s="74"/>
      <c r="E216" s="7">
        <f>+$I$2+(KABALANE[[#This Row],[QUANTITE]]*KABALANE[[#This Row],[PRIX UNITAIRE]])</f>
        <v>0</v>
      </c>
      <c r="F216" s="75"/>
      <c r="G216" s="6">
        <f>+SUM(E$9:$E216)-SUM(F$9:$F216)</f>
        <v>2689649</v>
      </c>
    </row>
    <row r="217" spans="1:7" ht="28.8" x14ac:dyDescent="0.55000000000000004">
      <c r="A217" s="73"/>
      <c r="B217" s="13"/>
      <c r="C217" s="74"/>
      <c r="D217" s="74"/>
      <c r="E217" s="7">
        <f>+$I$2+(KABALANE[[#This Row],[QUANTITE]]*KABALANE[[#This Row],[PRIX UNITAIRE]])</f>
        <v>0</v>
      </c>
      <c r="F217" s="75"/>
      <c r="G217" s="6">
        <f>+SUM(E$9:$E217)-SUM(F$9:$F217)</f>
        <v>2689649</v>
      </c>
    </row>
    <row r="218" spans="1:7" ht="28.8" x14ac:dyDescent="0.55000000000000004">
      <c r="A218" s="73"/>
      <c r="B218" s="13"/>
      <c r="C218" s="74"/>
      <c r="D218" s="74"/>
      <c r="E218" s="7">
        <f>+$I$2+(KABALANE[[#This Row],[QUANTITE]]*KABALANE[[#This Row],[PRIX UNITAIRE]])</f>
        <v>0</v>
      </c>
      <c r="F218" s="75"/>
      <c r="G218" s="6">
        <f>+SUM(E$9:$E218)-SUM(F$9:$F218)</f>
        <v>2689649</v>
      </c>
    </row>
    <row r="219" spans="1:7" ht="28.8" x14ac:dyDescent="0.55000000000000004">
      <c r="A219" s="73"/>
      <c r="B219" s="13"/>
      <c r="C219" s="74"/>
      <c r="D219" s="74"/>
      <c r="E219" s="7">
        <f>+$I$2+(KABALANE[[#This Row],[QUANTITE]]*KABALANE[[#This Row],[PRIX UNITAIRE]])</f>
        <v>0</v>
      </c>
      <c r="F219" s="75"/>
      <c r="G219" s="6">
        <f>+SUM(E$9:$E219)-SUM(F$9:$F219)</f>
        <v>2689649</v>
      </c>
    </row>
    <row r="220" spans="1:7" ht="28.8" x14ac:dyDescent="0.55000000000000004">
      <c r="A220" s="73"/>
      <c r="B220" s="13"/>
      <c r="C220" s="74"/>
      <c r="D220" s="74"/>
      <c r="E220" s="7">
        <f>+$I$2+(KABALANE[[#This Row],[QUANTITE]]*KABALANE[[#This Row],[PRIX UNITAIRE]])</f>
        <v>0</v>
      </c>
      <c r="F220" s="75"/>
      <c r="G220" s="6">
        <f>+SUM(E$9:$E220)-SUM(F$9:$F220)</f>
        <v>2689649</v>
      </c>
    </row>
    <row r="221" spans="1:7" ht="28.8" x14ac:dyDescent="0.55000000000000004">
      <c r="A221" s="73"/>
      <c r="B221" s="13"/>
      <c r="C221" s="74"/>
      <c r="D221" s="74"/>
      <c r="E221" s="7">
        <f>+$I$2+(KABALANE[[#This Row],[QUANTITE]]*KABALANE[[#This Row],[PRIX UNITAIRE]])</f>
        <v>0</v>
      </c>
      <c r="F221" s="75"/>
      <c r="G221" s="6">
        <f>+SUM(E$9:$E221)-SUM(F$9:$F221)</f>
        <v>2689649</v>
      </c>
    </row>
    <row r="222" spans="1:7" ht="28.8" x14ac:dyDescent="0.55000000000000004">
      <c r="A222" s="73"/>
      <c r="B222" s="13"/>
      <c r="C222" s="74"/>
      <c r="D222" s="74"/>
      <c r="E222" s="7">
        <f>+$I$2+(KABALANE[[#This Row],[QUANTITE]]*KABALANE[[#This Row],[PRIX UNITAIRE]])</f>
        <v>0</v>
      </c>
      <c r="F222" s="75"/>
      <c r="G222" s="6">
        <f>+SUM(E$9:$E222)-SUM(F$9:$F222)</f>
        <v>2689649</v>
      </c>
    </row>
    <row r="223" spans="1:7" ht="28.8" x14ac:dyDescent="0.55000000000000004">
      <c r="A223" s="73"/>
      <c r="B223" s="13"/>
      <c r="C223" s="74"/>
      <c r="D223" s="74"/>
      <c r="E223" s="7">
        <f>+$I$2+(KABALANE[[#This Row],[QUANTITE]]*KABALANE[[#This Row],[PRIX UNITAIRE]])</f>
        <v>0</v>
      </c>
      <c r="F223" s="75"/>
      <c r="G223" s="6">
        <f>+SUM(E$9:$E223)-SUM(F$9:$F223)</f>
        <v>2689649</v>
      </c>
    </row>
    <row r="224" spans="1:7" ht="28.8" x14ac:dyDescent="0.55000000000000004">
      <c r="A224" s="73"/>
      <c r="B224" s="13"/>
      <c r="C224" s="74"/>
      <c r="D224" s="74"/>
      <c r="E224" s="7">
        <f>+$I$2+(KABALANE[[#This Row],[QUANTITE]]*KABALANE[[#This Row],[PRIX UNITAIRE]])</f>
        <v>0</v>
      </c>
      <c r="F224" s="75"/>
      <c r="G224" s="6">
        <f>+SUM(E$9:$E224)-SUM(F$9:$F224)</f>
        <v>2689649</v>
      </c>
    </row>
    <row r="225" spans="1:7" ht="28.8" x14ac:dyDescent="0.55000000000000004">
      <c r="A225" s="73"/>
      <c r="B225" s="13"/>
      <c r="C225" s="74"/>
      <c r="D225" s="74"/>
      <c r="E225" s="7">
        <f>+$I$2+(KABALANE[[#This Row],[QUANTITE]]*KABALANE[[#This Row],[PRIX UNITAIRE]])</f>
        <v>0</v>
      </c>
      <c r="F225" s="75"/>
      <c r="G225" s="6">
        <f>+SUM(E$9:$E225)-SUM(F$9:$F225)</f>
        <v>2689649</v>
      </c>
    </row>
    <row r="226" spans="1:7" ht="28.8" x14ac:dyDescent="0.55000000000000004">
      <c r="A226" s="73"/>
      <c r="B226" s="13"/>
      <c r="C226" s="74"/>
      <c r="D226" s="74"/>
      <c r="E226" s="7">
        <f>+$I$2+(KABALANE[[#This Row],[QUANTITE]]*KABALANE[[#This Row],[PRIX UNITAIRE]])</f>
        <v>0</v>
      </c>
      <c r="F226" s="75"/>
      <c r="G226" s="6">
        <f>+SUM(E$9:$E226)-SUM(F$9:$F226)</f>
        <v>2689649</v>
      </c>
    </row>
    <row r="227" spans="1:7" ht="28.8" x14ac:dyDescent="0.55000000000000004">
      <c r="A227" s="73"/>
      <c r="B227" s="13"/>
      <c r="C227" s="74"/>
      <c r="D227" s="74"/>
      <c r="E227" s="7">
        <f>+$I$2+(KABALANE[[#This Row],[QUANTITE]]*KABALANE[[#This Row],[PRIX UNITAIRE]])</f>
        <v>0</v>
      </c>
      <c r="F227" s="75"/>
      <c r="G227" s="6">
        <f>+SUM(E$9:$E227)-SUM(F$9:$F227)</f>
        <v>2689649</v>
      </c>
    </row>
    <row r="228" spans="1:7" ht="28.8" x14ac:dyDescent="0.55000000000000004">
      <c r="A228" s="73"/>
      <c r="B228" s="13"/>
      <c r="C228" s="74"/>
      <c r="D228" s="74"/>
      <c r="E228" s="7">
        <f>+$I$2+(KABALANE[[#This Row],[QUANTITE]]*KABALANE[[#This Row],[PRIX UNITAIRE]])</f>
        <v>0</v>
      </c>
      <c r="F228" s="75"/>
      <c r="G228" s="6">
        <f>+SUM(E$9:$E228)-SUM(F$9:$F228)</f>
        <v>2689649</v>
      </c>
    </row>
    <row r="229" spans="1:7" ht="28.8" x14ac:dyDescent="0.55000000000000004">
      <c r="A229" s="73"/>
      <c r="B229" s="13"/>
      <c r="C229" s="74"/>
      <c r="D229" s="74"/>
      <c r="E229" s="7">
        <f>+$I$2+(KABALANE[[#This Row],[QUANTITE]]*KABALANE[[#This Row],[PRIX UNITAIRE]])</f>
        <v>0</v>
      </c>
      <c r="F229" s="75"/>
      <c r="G229" s="6">
        <f>+SUM(E$9:$E229)-SUM(F$9:$F229)</f>
        <v>2689649</v>
      </c>
    </row>
    <row r="230" spans="1:7" ht="28.8" x14ac:dyDescent="0.55000000000000004">
      <c r="A230" s="73"/>
      <c r="B230" s="13"/>
      <c r="C230" s="74"/>
      <c r="D230" s="74"/>
      <c r="E230" s="7">
        <f>+$I$2+(KABALANE[[#This Row],[QUANTITE]]*KABALANE[[#This Row],[PRIX UNITAIRE]])</f>
        <v>0</v>
      </c>
      <c r="F230" s="75"/>
      <c r="G230" s="6">
        <f>+SUM(E$9:$E230)-SUM(F$9:$F230)</f>
        <v>2689649</v>
      </c>
    </row>
    <row r="231" spans="1:7" ht="28.8" x14ac:dyDescent="0.55000000000000004">
      <c r="A231" s="73"/>
      <c r="B231" s="13"/>
      <c r="C231" s="74"/>
      <c r="D231" s="74"/>
      <c r="E231" s="7">
        <f>+$I$2+(KABALANE[[#This Row],[QUANTITE]]*KABALANE[[#This Row],[PRIX UNITAIRE]])</f>
        <v>0</v>
      </c>
      <c r="F231" s="75"/>
      <c r="G231" s="6">
        <f>+SUM(E$9:$E231)-SUM(F$9:$F231)</f>
        <v>2689649</v>
      </c>
    </row>
    <row r="232" spans="1:7" ht="28.8" x14ac:dyDescent="0.55000000000000004">
      <c r="A232" s="73"/>
      <c r="B232" s="13"/>
      <c r="C232" s="74"/>
      <c r="D232" s="74"/>
      <c r="E232" s="7">
        <f>+$I$2+(KABALANE[[#This Row],[QUANTITE]]*KABALANE[[#This Row],[PRIX UNITAIRE]])</f>
        <v>0</v>
      </c>
      <c r="F232" s="75"/>
      <c r="G232" s="6">
        <f>+SUM(E$9:$E232)-SUM(F$9:$F232)</f>
        <v>2689649</v>
      </c>
    </row>
    <row r="233" spans="1:7" ht="28.8" x14ac:dyDescent="0.55000000000000004">
      <c r="A233" s="73"/>
      <c r="B233" s="13"/>
      <c r="C233" s="74"/>
      <c r="D233" s="74"/>
      <c r="E233" s="7">
        <f>+$I$2+(KABALANE[[#This Row],[QUANTITE]]*KABALANE[[#This Row],[PRIX UNITAIRE]])</f>
        <v>0</v>
      </c>
      <c r="F233" s="75"/>
      <c r="G233" s="6">
        <f>+SUM(E$9:$E233)-SUM(F$9:$F233)</f>
        <v>2689649</v>
      </c>
    </row>
    <row r="234" spans="1:7" ht="28.8" x14ac:dyDescent="0.55000000000000004">
      <c r="A234" s="73"/>
      <c r="B234" s="13"/>
      <c r="C234" s="74"/>
      <c r="D234" s="74"/>
      <c r="E234" s="7">
        <f>+$I$2+(KABALANE[[#This Row],[QUANTITE]]*KABALANE[[#This Row],[PRIX UNITAIRE]])</f>
        <v>0</v>
      </c>
      <c r="F234" s="75"/>
      <c r="G234" s="6">
        <f>+SUM(E$9:$E234)-SUM(F$9:$F234)</f>
        <v>2689649</v>
      </c>
    </row>
    <row r="235" spans="1:7" ht="28.8" x14ac:dyDescent="0.55000000000000004">
      <c r="A235" s="73"/>
      <c r="B235" s="13"/>
      <c r="C235" s="74"/>
      <c r="D235" s="74"/>
      <c r="E235" s="7">
        <f>+$I$2+(KABALANE[[#This Row],[QUANTITE]]*KABALANE[[#This Row],[PRIX UNITAIRE]])</f>
        <v>0</v>
      </c>
      <c r="F235" s="75"/>
      <c r="G235" s="6">
        <f>+SUM(E$9:$E235)-SUM(F$9:$F235)</f>
        <v>2689649</v>
      </c>
    </row>
    <row r="236" spans="1:7" ht="28.8" x14ac:dyDescent="0.55000000000000004">
      <c r="A236" s="73"/>
      <c r="B236" s="13"/>
      <c r="C236" s="74"/>
      <c r="D236" s="74"/>
      <c r="E236" s="7">
        <f>+$I$2+(KABALANE[[#This Row],[QUANTITE]]*KABALANE[[#This Row],[PRIX UNITAIRE]])</f>
        <v>0</v>
      </c>
      <c r="F236" s="75"/>
      <c r="G236" s="6">
        <f>+SUM(E$9:$E236)-SUM(F$9:$F236)</f>
        <v>2689649</v>
      </c>
    </row>
    <row r="237" spans="1:7" ht="28.8" x14ac:dyDescent="0.55000000000000004">
      <c r="A237" s="73"/>
      <c r="B237" s="13"/>
      <c r="C237" s="74"/>
      <c r="D237" s="74"/>
      <c r="E237" s="7">
        <f>+$I$2+(KABALANE[[#This Row],[QUANTITE]]*KABALANE[[#This Row],[PRIX UNITAIRE]])</f>
        <v>0</v>
      </c>
      <c r="F237" s="75"/>
      <c r="G237" s="6">
        <f>+SUM(E$9:$E237)-SUM(F$9:$F237)</f>
        <v>2689649</v>
      </c>
    </row>
    <row r="238" spans="1:7" ht="28.8" x14ac:dyDescent="0.55000000000000004">
      <c r="A238" s="73"/>
      <c r="B238" s="13"/>
      <c r="C238" s="74"/>
      <c r="D238" s="74"/>
      <c r="E238" s="7">
        <f>+$I$2+(KABALANE[[#This Row],[QUANTITE]]*KABALANE[[#This Row],[PRIX UNITAIRE]])</f>
        <v>0</v>
      </c>
      <c r="F238" s="75"/>
      <c r="G238" s="6">
        <f>+SUM(E$9:$E238)-SUM(F$9:$F238)</f>
        <v>2689649</v>
      </c>
    </row>
    <row r="239" spans="1:7" ht="28.8" x14ac:dyDescent="0.55000000000000004">
      <c r="A239" s="73"/>
      <c r="B239" s="13"/>
      <c r="C239" s="74"/>
      <c r="D239" s="74"/>
      <c r="E239" s="7">
        <f>+$I$2+(KABALANE[[#This Row],[QUANTITE]]*KABALANE[[#This Row],[PRIX UNITAIRE]])</f>
        <v>0</v>
      </c>
      <c r="F239" s="75"/>
      <c r="G239" s="6">
        <f>+SUM(E$9:$E239)-SUM(F$9:$F239)</f>
        <v>2689649</v>
      </c>
    </row>
    <row r="240" spans="1:7" ht="28.8" x14ac:dyDescent="0.55000000000000004">
      <c r="A240" s="73"/>
      <c r="B240" s="13"/>
      <c r="C240" s="74"/>
      <c r="D240" s="74"/>
      <c r="E240" s="7">
        <f>+$I$2+(KABALANE[[#This Row],[QUANTITE]]*KABALANE[[#This Row],[PRIX UNITAIRE]])</f>
        <v>0</v>
      </c>
      <c r="F240" s="75"/>
      <c r="G240" s="6">
        <f>+SUM(E$9:$E240)-SUM(F$9:$F240)</f>
        <v>2689649</v>
      </c>
    </row>
    <row r="241" spans="1:7" ht="28.8" x14ac:dyDescent="0.55000000000000004">
      <c r="A241" s="12"/>
      <c r="B241" s="13"/>
      <c r="C241" s="10"/>
      <c r="D241" s="10"/>
      <c r="E241" s="7">
        <f>+$I$2+(KABALANE[[#This Row],[QUANTITE]]*KABALANE[[#This Row],[PRIX UNITAIRE]])</f>
        <v>0</v>
      </c>
      <c r="F241" s="14"/>
      <c r="G241" s="6">
        <f>+SUM(E$9:$E241)-SUM(F$9:$F241)</f>
        <v>2689649</v>
      </c>
    </row>
    <row r="242" spans="1:7" ht="28.8" x14ac:dyDescent="0.55000000000000004">
      <c r="A242" s="12"/>
      <c r="B242" s="13"/>
      <c r="C242" s="10"/>
      <c r="D242" s="10"/>
      <c r="E242" s="7">
        <f>+$I$2+(KABALANE[[#This Row],[QUANTITE]]*KABALANE[[#This Row],[PRIX UNITAIRE]])</f>
        <v>0</v>
      </c>
      <c r="F242" s="14"/>
      <c r="G242" s="6">
        <f>+SUM(E$9:$E242)-SUM(F$9:$F242)</f>
        <v>2689649</v>
      </c>
    </row>
    <row r="243" spans="1:7" ht="28.8" x14ac:dyDescent="0.55000000000000004">
      <c r="A243" s="12"/>
      <c r="B243" s="13"/>
      <c r="C243" s="10"/>
      <c r="D243" s="10"/>
      <c r="E243" s="7">
        <f>+$I$2+(KABALANE[[#This Row],[QUANTITE]]*KABALANE[[#This Row],[PRIX UNITAIRE]])</f>
        <v>0</v>
      </c>
      <c r="F243" s="14"/>
      <c r="G243" s="6">
        <f>+SUM(E$9:$E243)-SUM(F$9:$F243)</f>
        <v>2689649</v>
      </c>
    </row>
    <row r="244" spans="1:7" ht="28.8" x14ac:dyDescent="0.55000000000000004">
      <c r="A244" s="12"/>
      <c r="B244" s="13"/>
      <c r="C244" s="10"/>
      <c r="D244" s="10"/>
      <c r="E244" s="7">
        <f>+$I$2+(KABALANE[[#This Row],[QUANTITE]]*KABALANE[[#This Row],[PRIX UNITAIRE]])</f>
        <v>0</v>
      </c>
      <c r="F244" s="14"/>
      <c r="G244" s="6">
        <f>+SUM(E$9:$E244)-SUM(F$9:$F244)</f>
        <v>2689649</v>
      </c>
    </row>
    <row r="245" spans="1:7" ht="28.8" x14ac:dyDescent="0.55000000000000004">
      <c r="A245" s="12"/>
      <c r="B245" s="13"/>
      <c r="C245" s="10"/>
      <c r="D245" s="10"/>
      <c r="E245" s="7">
        <f>+$I$2+(KABALANE[[#This Row],[QUANTITE]]*KABALANE[[#This Row],[PRIX UNITAIRE]])</f>
        <v>0</v>
      </c>
      <c r="F245" s="14"/>
      <c r="G245" s="6">
        <f>+SUM(E$9:$E245)-SUM(F$9:$F245)</f>
        <v>2689649</v>
      </c>
    </row>
    <row r="246" spans="1:7" ht="28.8" x14ac:dyDescent="0.55000000000000004">
      <c r="A246" s="12"/>
      <c r="B246" s="13"/>
      <c r="C246" s="10"/>
      <c r="D246" s="10"/>
      <c r="E246" s="7">
        <f>+$I$2+(KABALANE[[#This Row],[QUANTITE]]*KABALANE[[#This Row],[PRIX UNITAIRE]])</f>
        <v>0</v>
      </c>
      <c r="F246" s="14"/>
      <c r="G246" s="6">
        <f>+SUM(E$9:$E246)-SUM(F$9:$F246)</f>
        <v>2689649</v>
      </c>
    </row>
    <row r="247" spans="1:7" ht="28.8" x14ac:dyDescent="0.55000000000000004">
      <c r="A247" s="12"/>
      <c r="B247" s="13"/>
      <c r="C247" s="10"/>
      <c r="D247" s="10"/>
      <c r="E247" s="7">
        <f>+$I$2+(KABALANE[[#This Row],[QUANTITE]]*KABALANE[[#This Row],[PRIX UNITAIRE]])</f>
        <v>0</v>
      </c>
      <c r="F247" s="14"/>
      <c r="G247" s="6">
        <f>+SUM(E$9:$E247)-SUM(F$9:$F247)</f>
        <v>2689649</v>
      </c>
    </row>
    <row r="248" spans="1:7" ht="28.8" x14ac:dyDescent="0.55000000000000004">
      <c r="A248" s="12"/>
      <c r="B248" s="13"/>
      <c r="C248" s="10"/>
      <c r="D248" s="10"/>
      <c r="E248" s="7">
        <f>+$I$2+(KABALANE[[#This Row],[QUANTITE]]*KABALANE[[#This Row],[PRIX UNITAIRE]])</f>
        <v>0</v>
      </c>
      <c r="F248" s="14"/>
      <c r="G248" s="6">
        <f>+SUM(E$9:$E248)-SUM(F$9:$F248)</f>
        <v>2689649</v>
      </c>
    </row>
    <row r="249" spans="1:7" ht="28.8" x14ac:dyDescent="0.55000000000000004">
      <c r="A249" s="12"/>
      <c r="B249" s="13"/>
      <c r="C249" s="10"/>
      <c r="D249" s="10"/>
      <c r="E249" s="7">
        <f>+$I$2+(KABALANE[[#This Row],[QUANTITE]]*KABALANE[[#This Row],[PRIX UNITAIRE]])</f>
        <v>0</v>
      </c>
      <c r="F249" s="14"/>
      <c r="G249" s="6">
        <f>+SUM(E$9:$E249)-SUM(F$9:$F249)</f>
        <v>2689649</v>
      </c>
    </row>
    <row r="250" spans="1:7" ht="28.8" x14ac:dyDescent="0.55000000000000004">
      <c r="A250" s="12"/>
      <c r="B250" s="13"/>
      <c r="C250" s="10"/>
      <c r="D250" s="10"/>
      <c r="E250" s="7">
        <f>+$I$2+(KABALANE[[#This Row],[QUANTITE]]*KABALANE[[#This Row],[PRIX UNITAIRE]])</f>
        <v>0</v>
      </c>
      <c r="F250" s="14"/>
      <c r="G250" s="6">
        <f>+SUM(E$9:$E250)-SUM(F$9:$F250)</f>
        <v>2689649</v>
      </c>
    </row>
    <row r="251" spans="1:7" ht="28.8" x14ac:dyDescent="0.55000000000000004">
      <c r="A251" s="12"/>
      <c r="B251" s="13"/>
      <c r="C251" s="10"/>
      <c r="D251" s="10"/>
      <c r="E251" s="7">
        <f>+$I$2+(KABALANE[[#This Row],[QUANTITE]]*KABALANE[[#This Row],[PRIX UNITAIRE]])</f>
        <v>0</v>
      </c>
      <c r="F251" s="14"/>
      <c r="G251" s="6">
        <f>+SUM(E$9:$E251)-SUM(F$9:$F251)</f>
        <v>2689649</v>
      </c>
    </row>
    <row r="252" spans="1:7" ht="28.8" x14ac:dyDescent="0.55000000000000004">
      <c r="A252" s="12"/>
      <c r="B252" s="13"/>
      <c r="C252" s="10"/>
      <c r="D252" s="10"/>
      <c r="E252" s="7">
        <f>+$I$2+(KABALANE[[#This Row],[QUANTITE]]*KABALANE[[#This Row],[PRIX UNITAIRE]])</f>
        <v>0</v>
      </c>
      <c r="F252" s="14"/>
      <c r="G252" s="6">
        <f>+SUM(E$9:$E252)-SUM(F$9:$F252)</f>
        <v>2689649</v>
      </c>
    </row>
    <row r="253" spans="1:7" ht="28.8" x14ac:dyDescent="0.55000000000000004">
      <c r="A253" s="12"/>
      <c r="B253" s="13"/>
      <c r="C253" s="10"/>
      <c r="D253" s="10"/>
      <c r="E253" s="7">
        <f>+$I$2+(KABALANE[[#This Row],[QUANTITE]]*KABALANE[[#This Row],[PRIX UNITAIRE]])</f>
        <v>0</v>
      </c>
      <c r="F253" s="14"/>
      <c r="G253" s="6">
        <f>+SUM(E$9:$E253)-SUM(F$9:$F253)</f>
        <v>2689649</v>
      </c>
    </row>
    <row r="254" spans="1:7" ht="28.8" x14ac:dyDescent="0.55000000000000004">
      <c r="A254" s="12"/>
      <c r="B254" s="13"/>
      <c r="C254" s="10"/>
      <c r="D254" s="10"/>
      <c r="E254" s="7">
        <f>+$I$2+(KABALANE[[#This Row],[QUANTITE]]*KABALANE[[#This Row],[PRIX UNITAIRE]])</f>
        <v>0</v>
      </c>
      <c r="F254" s="14"/>
      <c r="G254" s="6">
        <f>+SUM(E$9:$E254)-SUM(F$9:$F254)</f>
        <v>2689649</v>
      </c>
    </row>
    <row r="255" spans="1:7" ht="28.8" x14ac:dyDescent="0.55000000000000004">
      <c r="A255" s="12"/>
      <c r="B255" s="13"/>
      <c r="C255" s="10"/>
      <c r="D255" s="10"/>
      <c r="E255" s="7">
        <f>+$I$2+(KABALANE[[#This Row],[QUANTITE]]*KABALANE[[#This Row],[PRIX UNITAIRE]])</f>
        <v>0</v>
      </c>
      <c r="F255" s="14"/>
      <c r="G255" s="6">
        <f>+SUM(E$9:$E255)-SUM(F$9:$F255)</f>
        <v>2689649</v>
      </c>
    </row>
    <row r="256" spans="1:7" ht="28.8" x14ac:dyDescent="0.55000000000000004">
      <c r="A256" s="12"/>
      <c r="B256" s="13"/>
      <c r="C256" s="10"/>
      <c r="D256" s="10"/>
      <c r="E256" s="7">
        <f>+$I$2+(KABALANE[[#This Row],[QUANTITE]]*KABALANE[[#This Row],[PRIX UNITAIRE]])</f>
        <v>0</v>
      </c>
      <c r="F256" s="14"/>
      <c r="G256" s="6">
        <f>+SUM(E$9:$E256)-SUM(F$9:$F256)</f>
        <v>2689649</v>
      </c>
    </row>
    <row r="257" spans="1:7" ht="28.8" x14ac:dyDescent="0.55000000000000004">
      <c r="A257" s="12"/>
      <c r="B257" s="13"/>
      <c r="C257" s="10"/>
      <c r="D257" s="10"/>
      <c r="E257" s="7">
        <f>+$I$2+(KABALANE[[#This Row],[QUANTITE]]*KABALANE[[#This Row],[PRIX UNITAIRE]])</f>
        <v>0</v>
      </c>
      <c r="F257" s="14"/>
      <c r="G257" s="6">
        <f>+SUM(E$9:$E257)-SUM(F$9:$F257)</f>
        <v>2689649</v>
      </c>
    </row>
    <row r="258" spans="1:7" ht="28.8" x14ac:dyDescent="0.55000000000000004">
      <c r="A258" s="12"/>
      <c r="B258" s="13"/>
      <c r="C258" s="10"/>
      <c r="D258" s="10"/>
      <c r="E258" s="7">
        <f>+$I$2+(KABALANE[[#This Row],[QUANTITE]]*KABALANE[[#This Row],[PRIX UNITAIRE]])</f>
        <v>0</v>
      </c>
      <c r="F258" s="14"/>
      <c r="G258" s="6">
        <f>+SUM(E$9:$E258)-SUM(F$9:$F258)</f>
        <v>2689649</v>
      </c>
    </row>
    <row r="259" spans="1:7" ht="28.8" x14ac:dyDescent="0.55000000000000004">
      <c r="A259" s="12"/>
      <c r="B259" s="13"/>
      <c r="C259" s="10"/>
      <c r="D259" s="10"/>
      <c r="E259" s="7">
        <f>+$I$2+(KABALANE[[#This Row],[QUANTITE]]*KABALANE[[#This Row],[PRIX UNITAIRE]])</f>
        <v>0</v>
      </c>
      <c r="F259" s="14"/>
      <c r="G259" s="6">
        <f>+SUM(E$9:$E259)-SUM(F$9:$F259)</f>
        <v>2689649</v>
      </c>
    </row>
    <row r="260" spans="1:7" ht="28.8" x14ac:dyDescent="0.55000000000000004">
      <c r="A260" s="12"/>
      <c r="B260" s="13"/>
      <c r="C260" s="10"/>
      <c r="D260" s="10"/>
      <c r="E260" s="7">
        <f>+$I$2+(KABALANE[[#This Row],[QUANTITE]]*KABALANE[[#This Row],[PRIX UNITAIRE]])</f>
        <v>0</v>
      </c>
      <c r="F260" s="14"/>
      <c r="G260" s="6">
        <f>+SUM(E$9:$E260)-SUM(F$9:$F260)</f>
        <v>2689649</v>
      </c>
    </row>
    <row r="261" spans="1:7" ht="28.8" x14ac:dyDescent="0.55000000000000004">
      <c r="A261" s="12"/>
      <c r="B261" s="13"/>
      <c r="C261" s="10"/>
      <c r="D261" s="10"/>
      <c r="E261" s="7">
        <f>+$I$2+(KABALANE[[#This Row],[QUANTITE]]*KABALANE[[#This Row],[PRIX UNITAIRE]])</f>
        <v>0</v>
      </c>
      <c r="F261" s="14"/>
      <c r="G261" s="6">
        <f>+SUM(E$9:$E261)-SUM(F$9:$F261)</f>
        <v>2689649</v>
      </c>
    </row>
    <row r="262" spans="1:7" ht="28.8" x14ac:dyDescent="0.55000000000000004">
      <c r="A262" s="12"/>
      <c r="B262" s="13"/>
      <c r="C262" s="10"/>
      <c r="D262" s="10"/>
      <c r="E262" s="7">
        <f>+$I$2+(KABALANE[[#This Row],[QUANTITE]]*KABALANE[[#This Row],[PRIX UNITAIRE]])</f>
        <v>0</v>
      </c>
      <c r="F262" s="14"/>
      <c r="G262" s="6">
        <f>+SUM(E$9:$E262)-SUM(F$9:$F262)</f>
        <v>2689649</v>
      </c>
    </row>
    <row r="263" spans="1:7" ht="28.8" x14ac:dyDescent="0.55000000000000004">
      <c r="A263" s="12"/>
      <c r="B263" s="13"/>
      <c r="C263" s="10"/>
      <c r="D263" s="10"/>
      <c r="E263" s="7">
        <f>+$I$2+(KABALANE[[#This Row],[QUANTITE]]*KABALANE[[#This Row],[PRIX UNITAIRE]])</f>
        <v>0</v>
      </c>
      <c r="F263" s="14"/>
      <c r="G263" s="6">
        <f>+SUM(E$9:$E263)-SUM(F$9:$F263)</f>
        <v>2689649</v>
      </c>
    </row>
    <row r="264" spans="1:7" ht="28.8" x14ac:dyDescent="0.55000000000000004">
      <c r="A264" s="12"/>
      <c r="B264" s="13"/>
      <c r="C264" s="10"/>
      <c r="D264" s="10"/>
      <c r="E264" s="7">
        <f>+$I$2+(KABALANE[[#This Row],[QUANTITE]]*KABALANE[[#This Row],[PRIX UNITAIRE]])</f>
        <v>0</v>
      </c>
      <c r="F264" s="14"/>
      <c r="G264" s="6">
        <f>+SUM(E$9:$E264)-SUM(F$9:$F264)</f>
        <v>2689649</v>
      </c>
    </row>
    <row r="265" spans="1:7" ht="28.8" x14ac:dyDescent="0.55000000000000004">
      <c r="A265" s="12"/>
      <c r="B265" s="13"/>
      <c r="C265" s="10"/>
      <c r="D265" s="10"/>
      <c r="E265" s="7">
        <f>+$I$2+(KABALANE[[#This Row],[QUANTITE]]*KABALANE[[#This Row],[PRIX UNITAIRE]])</f>
        <v>0</v>
      </c>
      <c r="F265" s="14"/>
      <c r="G265" s="6">
        <f>+SUM(E$9:$E265)-SUM(F$9:$F265)</f>
        <v>2689649</v>
      </c>
    </row>
    <row r="266" spans="1:7" ht="28.8" x14ac:dyDescent="0.55000000000000004">
      <c r="A266" s="12"/>
      <c r="B266" s="13"/>
      <c r="C266" s="10"/>
      <c r="D266" s="10"/>
      <c r="E266" s="7">
        <f>+$I$2+(KABALANE[[#This Row],[QUANTITE]]*KABALANE[[#This Row],[PRIX UNITAIRE]])</f>
        <v>0</v>
      </c>
      <c r="F266" s="14"/>
      <c r="G266" s="6">
        <f>+SUM(E$9:$E266)-SUM(F$9:$F266)</f>
        <v>2689649</v>
      </c>
    </row>
    <row r="267" spans="1:7" ht="28.8" x14ac:dyDescent="0.55000000000000004">
      <c r="A267" s="12"/>
      <c r="B267" s="13"/>
      <c r="C267" s="10"/>
      <c r="D267" s="10"/>
      <c r="E267" s="7">
        <f>+$I$2+(KABALANE[[#This Row],[QUANTITE]]*KABALANE[[#This Row],[PRIX UNITAIRE]])</f>
        <v>0</v>
      </c>
      <c r="F267" s="14"/>
      <c r="G267" s="6">
        <f>+SUM(E$9:$E267)-SUM(F$9:$F267)</f>
        <v>2689649</v>
      </c>
    </row>
    <row r="268" spans="1:7" ht="28.8" x14ac:dyDescent="0.55000000000000004">
      <c r="A268" s="12"/>
      <c r="B268" s="13"/>
      <c r="C268" s="10"/>
      <c r="D268" s="10"/>
      <c r="E268" s="7">
        <f>+$I$2+(KABALANE[[#This Row],[QUANTITE]]*KABALANE[[#This Row],[PRIX UNITAIRE]])</f>
        <v>0</v>
      </c>
      <c r="F268" s="14"/>
      <c r="G268" s="6">
        <f>+SUM(E$9:$E268)-SUM(F$9:$F268)</f>
        <v>2689649</v>
      </c>
    </row>
    <row r="269" spans="1:7" ht="28.8" x14ac:dyDescent="0.55000000000000004">
      <c r="A269" s="12"/>
      <c r="B269" s="13"/>
      <c r="C269" s="10"/>
      <c r="D269" s="10"/>
      <c r="E269" s="7">
        <f>+$I$2+(KABALANE[[#This Row],[QUANTITE]]*KABALANE[[#This Row],[PRIX UNITAIRE]])</f>
        <v>0</v>
      </c>
      <c r="F269" s="14"/>
      <c r="G269" s="6">
        <f>+SUM(E$9:$E269)-SUM(F$9:$F269)</f>
        <v>2689649</v>
      </c>
    </row>
    <row r="270" spans="1:7" ht="28.8" x14ac:dyDescent="0.55000000000000004">
      <c r="A270" s="12"/>
      <c r="B270" s="13"/>
      <c r="C270" s="10"/>
      <c r="D270" s="10"/>
      <c r="E270" s="7">
        <f>+$I$2+(KABALANE[[#This Row],[QUANTITE]]*KABALANE[[#This Row],[PRIX UNITAIRE]])</f>
        <v>0</v>
      </c>
      <c r="F270" s="14"/>
      <c r="G270" s="6">
        <f>+SUM(E$9:$E270)-SUM(F$9:$F270)</f>
        <v>2689649</v>
      </c>
    </row>
    <row r="271" spans="1:7" ht="28.8" x14ac:dyDescent="0.55000000000000004">
      <c r="A271" s="12"/>
      <c r="B271" s="13"/>
      <c r="C271" s="10"/>
      <c r="D271" s="10"/>
      <c r="E271" s="7">
        <f>+$I$2+(KABALANE[[#This Row],[QUANTITE]]*KABALANE[[#This Row],[PRIX UNITAIRE]])</f>
        <v>0</v>
      </c>
      <c r="F271" s="14"/>
      <c r="G271" s="6">
        <f>+SUM(E$9:$E271)-SUM(F$9:$F271)</f>
        <v>2689649</v>
      </c>
    </row>
    <row r="272" spans="1:7" ht="28.8" x14ac:dyDescent="0.55000000000000004">
      <c r="A272" s="12"/>
      <c r="B272" s="13"/>
      <c r="C272" s="10"/>
      <c r="D272" s="10"/>
      <c r="E272" s="7">
        <f>+$I$2+(KABALANE[[#This Row],[QUANTITE]]*KABALANE[[#This Row],[PRIX UNITAIRE]])</f>
        <v>0</v>
      </c>
      <c r="F272" s="14"/>
      <c r="G272" s="6">
        <f>+SUM(E$9:$E272)-SUM(F$9:$F272)</f>
        <v>2689649</v>
      </c>
    </row>
    <row r="273" spans="1:7" ht="28.8" x14ac:dyDescent="0.55000000000000004">
      <c r="A273" s="12"/>
      <c r="B273" s="13"/>
      <c r="C273" s="10"/>
      <c r="D273" s="10"/>
      <c r="E273" s="7">
        <f>+$I$2+(KABALANE[[#This Row],[QUANTITE]]*KABALANE[[#This Row],[PRIX UNITAIRE]])</f>
        <v>0</v>
      </c>
      <c r="F273" s="14"/>
      <c r="G273" s="6">
        <f>+SUM(E$9:$E273)-SUM(F$9:$F273)</f>
        <v>2689649</v>
      </c>
    </row>
    <row r="274" spans="1:7" ht="28.8" x14ac:dyDescent="0.55000000000000004">
      <c r="A274" s="12"/>
      <c r="B274" s="13"/>
      <c r="C274" s="10"/>
      <c r="D274" s="10"/>
      <c r="E274" s="7">
        <f>+$I$2+(KABALANE[[#This Row],[QUANTITE]]*KABALANE[[#This Row],[PRIX UNITAIRE]])</f>
        <v>0</v>
      </c>
      <c r="F274" s="14"/>
      <c r="G274" s="6">
        <f>+SUM(E$9:$E274)-SUM(F$9:$F274)</f>
        <v>2689649</v>
      </c>
    </row>
    <row r="275" spans="1:7" ht="28.8" x14ac:dyDescent="0.55000000000000004">
      <c r="A275" s="12"/>
      <c r="B275" s="13"/>
      <c r="C275" s="10"/>
      <c r="D275" s="10"/>
      <c r="E275" s="7">
        <f>+$I$2+(KABALANE[[#This Row],[QUANTITE]]*KABALANE[[#This Row],[PRIX UNITAIRE]])</f>
        <v>0</v>
      </c>
      <c r="F275" s="14"/>
      <c r="G275" s="6">
        <f>+SUM(E$9:$E275)-SUM(F$9:$F275)</f>
        <v>2689649</v>
      </c>
    </row>
    <row r="276" spans="1:7" ht="28.8" x14ac:dyDescent="0.55000000000000004">
      <c r="A276" s="12"/>
      <c r="B276" s="13"/>
      <c r="C276" s="10"/>
      <c r="D276" s="10"/>
      <c r="E276" s="7">
        <f>+$I$2+(KABALANE[[#This Row],[QUANTITE]]*KABALANE[[#This Row],[PRIX UNITAIRE]])</f>
        <v>0</v>
      </c>
      <c r="F276" s="14"/>
      <c r="G276" s="6">
        <f>+SUM(E$9:$E276)-SUM(F$9:$F276)</f>
        <v>2689649</v>
      </c>
    </row>
    <row r="277" spans="1:7" ht="28.8" x14ac:dyDescent="0.55000000000000004">
      <c r="A277" s="12"/>
      <c r="B277" s="13"/>
      <c r="C277" s="10"/>
      <c r="D277" s="10"/>
      <c r="E277" s="7">
        <f>+$I$2+(KABALANE[[#This Row],[QUANTITE]]*KABALANE[[#This Row],[PRIX UNITAIRE]])</f>
        <v>0</v>
      </c>
      <c r="F277" s="14"/>
      <c r="G277" s="6">
        <f>+SUM(E$9:$E277)-SUM(F$9:$F277)</f>
        <v>2689649</v>
      </c>
    </row>
    <row r="278" spans="1:7" ht="28.8" x14ac:dyDescent="0.55000000000000004">
      <c r="A278" s="12"/>
      <c r="B278" s="13"/>
      <c r="C278" s="10"/>
      <c r="D278" s="10"/>
      <c r="E278" s="7">
        <f>+$I$2+(KABALANE[[#This Row],[QUANTITE]]*KABALANE[[#This Row],[PRIX UNITAIRE]])</f>
        <v>0</v>
      </c>
      <c r="F278" s="14"/>
      <c r="G278" s="6">
        <f>+SUM(E$9:$E278)-SUM(F$9:$F278)</f>
        <v>2689649</v>
      </c>
    </row>
    <row r="279" spans="1:7" ht="28.8" x14ac:dyDescent="0.55000000000000004">
      <c r="A279" s="12"/>
      <c r="B279" s="13"/>
      <c r="C279" s="10"/>
      <c r="D279" s="10"/>
      <c r="E279" s="7">
        <f>+$I$2+(KABALANE[[#This Row],[QUANTITE]]*KABALANE[[#This Row],[PRIX UNITAIRE]])</f>
        <v>0</v>
      </c>
      <c r="F279" s="14"/>
      <c r="G279" s="6">
        <f>+SUM(E$9:$E279)-SUM(F$9:$F279)</f>
        <v>2689649</v>
      </c>
    </row>
    <row r="280" spans="1:7" ht="28.8" x14ac:dyDescent="0.55000000000000004">
      <c r="A280" s="12"/>
      <c r="B280" s="13"/>
      <c r="C280" s="10"/>
      <c r="D280" s="10"/>
      <c r="E280" s="7">
        <f>+$I$2+(KABALANE[[#This Row],[QUANTITE]]*KABALANE[[#This Row],[PRIX UNITAIRE]])</f>
        <v>0</v>
      </c>
      <c r="F280" s="14"/>
      <c r="G280" s="6">
        <f>+SUM(E$9:$E280)-SUM(F$9:$F280)</f>
        <v>2689649</v>
      </c>
    </row>
    <row r="281" spans="1:7" ht="28.8" x14ac:dyDescent="0.55000000000000004">
      <c r="A281" s="12"/>
      <c r="B281" s="13"/>
      <c r="C281" s="10"/>
      <c r="D281" s="10"/>
      <c r="E281" s="7">
        <f>+$I$2+(KABALANE[[#This Row],[QUANTITE]]*KABALANE[[#This Row],[PRIX UNITAIRE]])</f>
        <v>0</v>
      </c>
      <c r="F281" s="14"/>
      <c r="G281" s="6">
        <f>+SUM(E$9:$E281)-SUM(F$9:$F281)</f>
        <v>2689649</v>
      </c>
    </row>
    <row r="282" spans="1:7" ht="28.8" x14ac:dyDescent="0.55000000000000004">
      <c r="A282" s="12"/>
      <c r="B282" s="13"/>
      <c r="C282" s="10"/>
      <c r="D282" s="10"/>
      <c r="E282" s="7">
        <f>+$I$2+(KABALANE[[#This Row],[QUANTITE]]*KABALANE[[#This Row],[PRIX UNITAIRE]])</f>
        <v>0</v>
      </c>
      <c r="F282" s="14"/>
      <c r="G282" s="6">
        <f>+SUM(E$9:$E282)-SUM(F$9:$F282)</f>
        <v>2689649</v>
      </c>
    </row>
    <row r="283" spans="1:7" ht="28.8" x14ac:dyDescent="0.55000000000000004">
      <c r="A283" s="12"/>
      <c r="B283" s="13"/>
      <c r="C283" s="10"/>
      <c r="D283" s="10"/>
      <c r="E283" s="7">
        <f>+$I$2+(KABALANE[[#This Row],[QUANTITE]]*KABALANE[[#This Row],[PRIX UNITAIRE]])</f>
        <v>0</v>
      </c>
      <c r="F283" s="14"/>
      <c r="G283" s="6">
        <f>+SUM(E$9:$E283)-SUM(F$9:$F283)</f>
        <v>2689649</v>
      </c>
    </row>
    <row r="284" spans="1:7" ht="28.8" x14ac:dyDescent="0.55000000000000004">
      <c r="A284" s="12"/>
      <c r="B284" s="13"/>
      <c r="C284" s="10"/>
      <c r="D284" s="10"/>
      <c r="E284" s="7">
        <f>+$I$2+(KABALANE[[#This Row],[QUANTITE]]*KABALANE[[#This Row],[PRIX UNITAIRE]])</f>
        <v>0</v>
      </c>
      <c r="F284" s="14"/>
      <c r="G284" s="6">
        <f>+SUM(E$9:$E284)-SUM(F$9:$F284)</f>
        <v>2689649</v>
      </c>
    </row>
    <row r="285" spans="1:7" ht="28.8" x14ac:dyDescent="0.55000000000000004">
      <c r="A285" s="12"/>
      <c r="B285" s="13"/>
      <c r="C285" s="10"/>
      <c r="D285" s="10"/>
      <c r="E285" s="7">
        <f>+$I$2+(KABALANE[[#This Row],[QUANTITE]]*KABALANE[[#This Row],[PRIX UNITAIRE]])</f>
        <v>0</v>
      </c>
      <c r="F285" s="14"/>
      <c r="G285" s="6">
        <f>+SUM(E$9:$E285)-SUM(F$9:$F285)</f>
        <v>2689649</v>
      </c>
    </row>
    <row r="286" spans="1:7" ht="28.8" x14ac:dyDescent="0.55000000000000004">
      <c r="A286" s="12"/>
      <c r="B286" s="13"/>
      <c r="C286" s="10"/>
      <c r="D286" s="10"/>
      <c r="E286" s="7">
        <f>+$I$2+(KABALANE[[#This Row],[QUANTITE]]*KABALANE[[#This Row],[PRIX UNITAIRE]])</f>
        <v>0</v>
      </c>
      <c r="F286" s="14"/>
      <c r="G286" s="6">
        <f>+SUM(E$9:$E286)-SUM(F$9:$F286)</f>
        <v>2689649</v>
      </c>
    </row>
    <row r="287" spans="1:7" ht="28.8" x14ac:dyDescent="0.55000000000000004">
      <c r="A287" s="12"/>
      <c r="B287" s="13"/>
      <c r="C287" s="10"/>
      <c r="D287" s="10"/>
      <c r="E287" s="7">
        <f>+$I$2+(KABALANE[[#This Row],[QUANTITE]]*KABALANE[[#This Row],[PRIX UNITAIRE]])</f>
        <v>0</v>
      </c>
      <c r="F287" s="14"/>
      <c r="G287" s="6">
        <f>+SUM(E$9:$E287)-SUM(F$9:$F287)</f>
        <v>2689649</v>
      </c>
    </row>
    <row r="288" spans="1:7" ht="28.8" x14ac:dyDescent="0.55000000000000004">
      <c r="A288" s="12"/>
      <c r="B288" s="13"/>
      <c r="C288" s="10"/>
      <c r="D288" s="10"/>
      <c r="E288" s="7">
        <f>+$I$2+(KABALANE[[#This Row],[QUANTITE]]*KABALANE[[#This Row],[PRIX UNITAIRE]])</f>
        <v>0</v>
      </c>
      <c r="F288" s="14"/>
      <c r="G288" s="6">
        <f>+SUM(E$9:$E288)-SUM(F$9:$F288)</f>
        <v>2689649</v>
      </c>
    </row>
    <row r="289" spans="1:7" ht="28.8" x14ac:dyDescent="0.55000000000000004">
      <c r="A289" s="12"/>
      <c r="B289" s="13"/>
      <c r="C289" s="10"/>
      <c r="D289" s="10"/>
      <c r="E289" s="7">
        <f>+$I$2+(KABALANE[[#This Row],[QUANTITE]]*KABALANE[[#This Row],[PRIX UNITAIRE]])</f>
        <v>0</v>
      </c>
      <c r="F289" s="14"/>
      <c r="G289" s="6">
        <f>+SUM(E$9:$E289)-SUM(F$9:$F289)</f>
        <v>2689649</v>
      </c>
    </row>
    <row r="290" spans="1:7" ht="28.8" x14ac:dyDescent="0.55000000000000004">
      <c r="A290" s="12"/>
      <c r="B290" s="13"/>
      <c r="C290" s="10"/>
      <c r="D290" s="10"/>
      <c r="E290" s="7">
        <f>+$I$2+(KABALANE[[#This Row],[QUANTITE]]*KABALANE[[#This Row],[PRIX UNITAIRE]])</f>
        <v>0</v>
      </c>
      <c r="F290" s="14"/>
      <c r="G290" s="6">
        <f>+SUM(E$9:$E290)-SUM(F$9:$F290)</f>
        <v>2689649</v>
      </c>
    </row>
    <row r="291" spans="1:7" ht="28.8" x14ac:dyDescent="0.55000000000000004">
      <c r="A291" s="12"/>
      <c r="B291" s="13"/>
      <c r="C291" s="10">
        <v>0</v>
      </c>
      <c r="D291" s="10">
        <v>0</v>
      </c>
      <c r="E291" s="7">
        <v>0</v>
      </c>
      <c r="F291" s="14"/>
      <c r="G291" s="6">
        <f>+SUM(E$9:$E291)-SUM(F$9:$F291)</f>
        <v>2689649</v>
      </c>
    </row>
  </sheetData>
  <sheetProtection selectLockedCells="1" autoFilter="0"/>
  <mergeCells count="1">
    <mergeCell ref="B6:C6"/>
  </mergeCells>
  <conditionalFormatting sqref="B9:B291">
    <cfRule type="expression" dxfId="577" priority="5">
      <formula>$F9</formula>
    </cfRule>
  </conditionalFormatting>
  <conditionalFormatting sqref="G4">
    <cfRule type="cellIs" dxfId="576" priority="2" operator="lessThan">
      <formula>0</formula>
    </cfRule>
    <cfRule type="cellIs" dxfId="575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9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I71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+SUM(ABASSBOUGI[TOTAL MONTANT])</f>
        <v>275000</v>
      </c>
      <c r="F4" s="39">
        <f>+SUM(ABASSBOUGI[VERSEMENT])</f>
        <v>200000</v>
      </c>
      <c r="G4" s="97">
        <f>+E4-F4</f>
        <v>75000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114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46069</v>
      </c>
      <c r="B9" s="13" t="s">
        <v>58</v>
      </c>
      <c r="C9" s="10">
        <v>1</v>
      </c>
      <c r="D9" s="10">
        <v>275000</v>
      </c>
      <c r="E9" s="7">
        <f>+$I$2+(ABASSBOUGI[[#This Row],[QUANTITE]]*ABASSBOUGI[[#This Row],[PRIX UNITAIRE]])</f>
        <v>275000</v>
      </c>
      <c r="F9" s="20">
        <v>0</v>
      </c>
      <c r="G9" s="8">
        <f>+SUM(E$9:$E9)-SUM(F$9:$F9)</f>
        <v>275000</v>
      </c>
    </row>
    <row r="10" spans="1:9" ht="28.8" x14ac:dyDescent="0.55000000000000004">
      <c r="A10" s="12">
        <v>46095</v>
      </c>
      <c r="B10" s="13" t="s">
        <v>115</v>
      </c>
      <c r="C10" s="11">
        <v>1</v>
      </c>
      <c r="D10" s="11">
        <v>0</v>
      </c>
      <c r="E10" s="7">
        <f>+$I$2+(ABASSBOUGI[[#This Row],[QUANTITE]]*ABASSBOUGI[[#This Row],[PRIX UNITAIRE]])</f>
        <v>0</v>
      </c>
      <c r="F10" s="14">
        <v>200000</v>
      </c>
      <c r="G10" s="8">
        <f>+SUM(E$9:$E10)-SUM(F$9:$F10)</f>
        <v>75000</v>
      </c>
    </row>
    <row r="11" spans="1:9" ht="28.8" x14ac:dyDescent="0.55000000000000004">
      <c r="A11" s="12"/>
      <c r="B11" s="13"/>
      <c r="C11" s="11"/>
      <c r="D11" s="11"/>
      <c r="E11" s="7">
        <f>+$I$2+(ABASSBOUGI[[#This Row],[QUANTITE]]*ABASSBOUGI[[#This Row],[PRIX UNITAIRE]])</f>
        <v>0</v>
      </c>
      <c r="F11" s="14"/>
      <c r="G11" s="8">
        <f>+SUM(E$9:$E11)-SUM(F$9:$F11)</f>
        <v>75000</v>
      </c>
    </row>
    <row r="12" spans="1:9" ht="28.8" x14ac:dyDescent="0.55000000000000004">
      <c r="A12" s="12"/>
      <c r="B12" s="13"/>
      <c r="C12" s="10"/>
      <c r="D12" s="10"/>
      <c r="E12" s="7">
        <f>+$I$2+(ABASSBOUGI[[#This Row],[QUANTITE]]*ABASSBOUGI[[#This Row],[PRIX UNITAIRE]])</f>
        <v>0</v>
      </c>
      <c r="F12" s="14"/>
      <c r="G12" s="6">
        <f>+SUM(E$9:$E12)-SUM(F$9:$F12)</f>
        <v>75000</v>
      </c>
    </row>
    <row r="13" spans="1:9" ht="28.8" x14ac:dyDescent="0.55000000000000004">
      <c r="A13" s="12"/>
      <c r="B13" s="13"/>
      <c r="C13" s="10"/>
      <c r="D13" s="10"/>
      <c r="E13" s="7">
        <f>+$I$2+(ABASSBOUGI[[#This Row],[QUANTITE]]*ABASSBOUGI[[#This Row],[PRIX UNITAIRE]])</f>
        <v>0</v>
      </c>
      <c r="F13" s="14"/>
      <c r="G13" s="6">
        <f>+SUM(E$9:$E13)-SUM(F$9:$F13)</f>
        <v>75000</v>
      </c>
    </row>
    <row r="14" spans="1:9" ht="28.8" x14ac:dyDescent="0.55000000000000004">
      <c r="A14" s="12"/>
      <c r="B14" s="13"/>
      <c r="C14" s="10"/>
      <c r="D14" s="10"/>
      <c r="E14" s="7">
        <f>+$I$2+(ABASSBOUGI[[#This Row],[QUANTITE]]*ABASSBOUGI[[#This Row],[PRIX UNITAIRE]])</f>
        <v>0</v>
      </c>
      <c r="F14" s="14"/>
      <c r="G14" s="6">
        <f>+SUM(E$9:$E14)-SUM(F$9:$F14)</f>
        <v>75000</v>
      </c>
    </row>
    <row r="15" spans="1:9" ht="28.8" x14ac:dyDescent="0.55000000000000004">
      <c r="A15" s="12"/>
      <c r="B15" s="13"/>
      <c r="C15" s="10"/>
      <c r="D15" s="10"/>
      <c r="E15" s="7">
        <f>+$I$2+(ABASSBOUGI[[#This Row],[QUANTITE]]*ABASSBOUGI[[#This Row],[PRIX UNITAIRE]])</f>
        <v>0</v>
      </c>
      <c r="F15" s="14"/>
      <c r="G15" s="6">
        <f>+SUM(E$9:$E15)-SUM(F$9:$F15)</f>
        <v>75000</v>
      </c>
    </row>
    <row r="16" spans="1:9" ht="28.8" x14ac:dyDescent="0.55000000000000004">
      <c r="A16" s="12"/>
      <c r="B16" s="13"/>
      <c r="C16" s="10"/>
      <c r="D16" s="10"/>
      <c r="E16" s="7">
        <f>+$I$2+(ABASSBOUGI[[#This Row],[QUANTITE]]*ABASSBOUGI[[#This Row],[PRIX UNITAIRE]])</f>
        <v>0</v>
      </c>
      <c r="F16" s="14"/>
      <c r="G16" s="6">
        <f>+SUM(E$9:$E16)-SUM(F$9:$F16)</f>
        <v>75000</v>
      </c>
    </row>
    <row r="17" spans="1:7" ht="28.8" x14ac:dyDescent="0.55000000000000004">
      <c r="A17" s="12"/>
      <c r="B17" s="13"/>
      <c r="C17" s="10"/>
      <c r="D17" s="10"/>
      <c r="E17" s="7">
        <f>+$I$2+(ABASSBOUGI[[#This Row],[QUANTITE]]*ABASSBOUGI[[#This Row],[PRIX UNITAIRE]])</f>
        <v>0</v>
      </c>
      <c r="F17" s="14"/>
      <c r="G17" s="6">
        <f>+SUM(E$9:$E17)-SUM(F$9:$F17)</f>
        <v>75000</v>
      </c>
    </row>
    <row r="18" spans="1:7" ht="28.8" x14ac:dyDescent="0.55000000000000004">
      <c r="A18" s="12"/>
      <c r="B18" s="13"/>
      <c r="C18" s="10"/>
      <c r="D18" s="10"/>
      <c r="E18" s="7">
        <f>+$I$2+(ABASSBOUGI[[#This Row],[QUANTITE]]*ABASSBOUGI[[#This Row],[PRIX UNITAIRE]])</f>
        <v>0</v>
      </c>
      <c r="F18" s="14"/>
      <c r="G18" s="6">
        <f>+SUM(E$9:$E18)-SUM(F$9:$F18)</f>
        <v>75000</v>
      </c>
    </row>
    <row r="19" spans="1:7" ht="28.8" x14ac:dyDescent="0.55000000000000004">
      <c r="A19" s="12"/>
      <c r="B19" s="13"/>
      <c r="C19" s="10"/>
      <c r="D19" s="10"/>
      <c r="E19" s="7">
        <f>+$I$2+(ABASSBOUGI[[#This Row],[QUANTITE]]*ABASSBOUGI[[#This Row],[PRIX UNITAIRE]])</f>
        <v>0</v>
      </c>
      <c r="F19" s="14"/>
      <c r="G19" s="6">
        <f>+SUM(E$9:$E19)-SUM(F$9:$F19)</f>
        <v>75000</v>
      </c>
    </row>
    <row r="20" spans="1:7" ht="28.8" x14ac:dyDescent="0.55000000000000004">
      <c r="A20" s="12"/>
      <c r="B20" s="13"/>
      <c r="C20" s="10"/>
      <c r="D20" s="10"/>
      <c r="E20" s="7">
        <f>+$I$2+(ABASSBOUGI[[#This Row],[QUANTITE]]*ABASSBOUGI[[#This Row],[PRIX UNITAIRE]])</f>
        <v>0</v>
      </c>
      <c r="F20" s="14"/>
      <c r="G20" s="6">
        <f>+SUM(E$9:$E20)-SUM(F$9:$F20)</f>
        <v>75000</v>
      </c>
    </row>
    <row r="21" spans="1:7" ht="28.8" x14ac:dyDescent="0.55000000000000004">
      <c r="A21" s="12"/>
      <c r="B21" s="13"/>
      <c r="C21" s="10"/>
      <c r="D21" s="10"/>
      <c r="E21" s="7">
        <f>+$I$2+(ABASSBOUGI[[#This Row],[QUANTITE]]*ABASSBOUGI[[#This Row],[PRIX UNITAIRE]])</f>
        <v>0</v>
      </c>
      <c r="F21" s="14"/>
      <c r="G21" s="6">
        <f>+SUM(E$9:$E21)-SUM(F$9:$F21)</f>
        <v>75000</v>
      </c>
    </row>
    <row r="22" spans="1:7" ht="28.8" x14ac:dyDescent="0.55000000000000004">
      <c r="A22" s="12"/>
      <c r="B22" s="13"/>
      <c r="C22" s="10"/>
      <c r="D22" s="10"/>
      <c r="E22" s="7">
        <f>+$I$2+(ABASSBOUGI[[#This Row],[QUANTITE]]*ABASSBOUGI[[#This Row],[PRIX UNITAIRE]])</f>
        <v>0</v>
      </c>
      <c r="F22" s="14"/>
      <c r="G22" s="6">
        <f>+SUM(E$9:$E22)-SUM(F$9:$F22)</f>
        <v>75000</v>
      </c>
    </row>
    <row r="23" spans="1:7" ht="28.8" x14ac:dyDescent="0.55000000000000004">
      <c r="A23" s="12"/>
      <c r="B23" s="13"/>
      <c r="C23" s="10"/>
      <c r="D23" s="10"/>
      <c r="E23" s="7">
        <f>+$I$2+(ABASSBOUGI[[#This Row],[QUANTITE]]*ABASSBOUGI[[#This Row],[PRIX UNITAIRE]])</f>
        <v>0</v>
      </c>
      <c r="F23" s="14"/>
      <c r="G23" s="6">
        <f>+SUM(E$9:$E23)-SUM(F$9:$F23)</f>
        <v>75000</v>
      </c>
    </row>
    <row r="24" spans="1:7" ht="28.8" x14ac:dyDescent="0.55000000000000004">
      <c r="A24" s="12"/>
      <c r="B24" s="13"/>
      <c r="C24" s="10"/>
      <c r="D24" s="10"/>
      <c r="E24" s="7">
        <f>+$I$2+(ABASSBOUGI[[#This Row],[QUANTITE]]*ABASSBOUGI[[#This Row],[PRIX UNITAIRE]])</f>
        <v>0</v>
      </c>
      <c r="F24" s="14"/>
      <c r="G24" s="6">
        <f>+SUM(E$9:$E24)-SUM(F$9:$F24)</f>
        <v>75000</v>
      </c>
    </row>
    <row r="25" spans="1:7" ht="28.8" x14ac:dyDescent="0.55000000000000004">
      <c r="A25" s="12"/>
      <c r="B25" s="13"/>
      <c r="C25" s="10"/>
      <c r="D25" s="10"/>
      <c r="E25" s="7">
        <f>+$I$2+(ABASSBOUGI[[#This Row],[QUANTITE]]*ABASSBOUGI[[#This Row],[PRIX UNITAIRE]])</f>
        <v>0</v>
      </c>
      <c r="F25" s="14"/>
      <c r="G25" s="6">
        <f>+SUM(E$9:$E25)-SUM(F$9:$F25)</f>
        <v>75000</v>
      </c>
    </row>
    <row r="26" spans="1:7" ht="28.8" x14ac:dyDescent="0.55000000000000004">
      <c r="A26" s="12"/>
      <c r="B26" s="13"/>
      <c r="C26" s="10"/>
      <c r="D26" s="10"/>
      <c r="E26" s="7">
        <f>+$I$2+(ABASSBOUGI[[#This Row],[QUANTITE]]*ABASSBOUGI[[#This Row],[PRIX UNITAIRE]])</f>
        <v>0</v>
      </c>
      <c r="F26" s="14"/>
      <c r="G26" s="6">
        <f>+SUM(E$9:$E26)-SUM(F$9:$F26)</f>
        <v>75000</v>
      </c>
    </row>
    <row r="27" spans="1:7" ht="28.8" x14ac:dyDescent="0.55000000000000004">
      <c r="A27" s="12"/>
      <c r="B27" s="13"/>
      <c r="C27" s="10"/>
      <c r="D27" s="10"/>
      <c r="E27" s="7">
        <f>+$I$2+(ABASSBOUGI[[#This Row],[QUANTITE]]*ABASSBOUGI[[#This Row],[PRIX UNITAIRE]])</f>
        <v>0</v>
      </c>
      <c r="F27" s="14"/>
      <c r="G27" s="6">
        <f>+SUM(E$9:$E27)-SUM(F$9:$F27)</f>
        <v>75000</v>
      </c>
    </row>
    <row r="28" spans="1:7" ht="28.8" x14ac:dyDescent="0.55000000000000004">
      <c r="A28" s="12"/>
      <c r="B28" s="13"/>
      <c r="C28" s="10"/>
      <c r="D28" s="10"/>
      <c r="E28" s="7">
        <f>+$I$2+(ABASSBOUGI[[#This Row],[QUANTITE]]*ABASSBOUGI[[#This Row],[PRIX UNITAIRE]])</f>
        <v>0</v>
      </c>
      <c r="F28" s="14"/>
      <c r="G28" s="6">
        <f>+SUM(E$9:$E28)-SUM(F$9:$F28)</f>
        <v>75000</v>
      </c>
    </row>
    <row r="29" spans="1:7" ht="28.8" x14ac:dyDescent="0.55000000000000004">
      <c r="A29" s="12"/>
      <c r="B29" s="13"/>
      <c r="C29" s="10"/>
      <c r="D29" s="10"/>
      <c r="E29" s="7">
        <f>+$I$2+(ABASSBOUGI[[#This Row],[QUANTITE]]*ABASSBOUGI[[#This Row],[PRIX UNITAIRE]])</f>
        <v>0</v>
      </c>
      <c r="F29" s="14"/>
      <c r="G29" s="6">
        <f>+SUM(E$9:$E29)-SUM(F$9:$F29)</f>
        <v>75000</v>
      </c>
    </row>
    <row r="30" spans="1:7" ht="28.8" x14ac:dyDescent="0.55000000000000004">
      <c r="A30" s="12"/>
      <c r="B30" s="13"/>
      <c r="C30" s="10"/>
      <c r="D30" s="10"/>
      <c r="E30" s="7">
        <f>+$I$2+(ABASSBOUGI[[#This Row],[QUANTITE]]*ABASSBOUGI[[#This Row],[PRIX UNITAIRE]])</f>
        <v>0</v>
      </c>
      <c r="F30" s="14"/>
      <c r="G30" s="6">
        <f>+SUM(E$9:$E30)-SUM(F$9:$F30)</f>
        <v>75000</v>
      </c>
    </row>
    <row r="31" spans="1:7" ht="28.8" x14ac:dyDescent="0.55000000000000004">
      <c r="A31" s="12"/>
      <c r="B31" s="13"/>
      <c r="C31" s="10"/>
      <c r="D31" s="10"/>
      <c r="E31" s="7">
        <f>+$I$2+(ABASSBOUGI[[#This Row],[QUANTITE]]*ABASSBOUGI[[#This Row],[PRIX UNITAIRE]])</f>
        <v>0</v>
      </c>
      <c r="F31" s="14"/>
      <c r="G31" s="6">
        <f>+SUM(E$9:$E31)-SUM(F$9:$F31)</f>
        <v>75000</v>
      </c>
    </row>
    <row r="32" spans="1:7" ht="28.8" x14ac:dyDescent="0.55000000000000004">
      <c r="A32" s="12"/>
      <c r="B32" s="13"/>
      <c r="C32" s="10"/>
      <c r="D32" s="10"/>
      <c r="E32" s="7">
        <f>+$I$2+(ABASSBOUGI[[#This Row],[QUANTITE]]*ABASSBOUGI[[#This Row],[PRIX UNITAIRE]])</f>
        <v>0</v>
      </c>
      <c r="F32" s="14"/>
      <c r="G32" s="6">
        <f>+SUM(E$9:$E32)-SUM(F$9:$F32)</f>
        <v>75000</v>
      </c>
    </row>
    <row r="33" spans="1:7" ht="28.8" x14ac:dyDescent="0.55000000000000004">
      <c r="A33" s="12"/>
      <c r="B33" s="13"/>
      <c r="C33" s="10"/>
      <c r="D33" s="10"/>
      <c r="E33" s="7">
        <f>+$I$2+(ABASSBOUGI[[#This Row],[QUANTITE]]*ABASSBOUGI[[#This Row],[PRIX UNITAIRE]])</f>
        <v>0</v>
      </c>
      <c r="F33" s="14"/>
      <c r="G33" s="6">
        <f>+SUM(E$9:$E33)-SUM(F$9:$F33)</f>
        <v>75000</v>
      </c>
    </row>
    <row r="34" spans="1:7" ht="28.8" x14ac:dyDescent="0.55000000000000004">
      <c r="A34" s="12"/>
      <c r="B34" s="13"/>
      <c r="C34" s="10"/>
      <c r="D34" s="10"/>
      <c r="E34" s="7">
        <f>+$I$2+(ABASSBOUGI[[#This Row],[QUANTITE]]*ABASSBOUGI[[#This Row],[PRIX UNITAIRE]])</f>
        <v>0</v>
      </c>
      <c r="F34" s="14"/>
      <c r="G34" s="6">
        <f>+SUM(E$9:$E34)-SUM(F$9:$F34)</f>
        <v>75000</v>
      </c>
    </row>
    <row r="35" spans="1:7" ht="28.8" x14ac:dyDescent="0.55000000000000004">
      <c r="A35" s="12"/>
      <c r="B35" s="13"/>
      <c r="C35" s="10"/>
      <c r="D35" s="10"/>
      <c r="E35" s="7">
        <f>+$I$2+(ABASSBOUGI[[#This Row],[QUANTITE]]*ABASSBOUGI[[#This Row],[PRIX UNITAIRE]])</f>
        <v>0</v>
      </c>
      <c r="F35" s="14"/>
      <c r="G35" s="6">
        <f>+SUM(E$9:$E35)-SUM(F$9:$F35)</f>
        <v>75000</v>
      </c>
    </row>
    <row r="36" spans="1:7" ht="28.8" x14ac:dyDescent="0.55000000000000004">
      <c r="A36" s="12"/>
      <c r="B36" s="13"/>
      <c r="C36" s="10"/>
      <c r="D36" s="10"/>
      <c r="E36" s="7">
        <f>+$I$2+(ABASSBOUGI[[#This Row],[QUANTITE]]*ABASSBOUGI[[#This Row],[PRIX UNITAIRE]])</f>
        <v>0</v>
      </c>
      <c r="F36" s="14"/>
      <c r="G36" s="6">
        <f>+SUM(E$9:$E36)-SUM(F$9:$F36)</f>
        <v>75000</v>
      </c>
    </row>
    <row r="37" spans="1:7" ht="28.8" x14ac:dyDescent="0.55000000000000004">
      <c r="A37" s="12"/>
      <c r="B37" s="13"/>
      <c r="C37" s="10"/>
      <c r="D37" s="10"/>
      <c r="E37" s="7">
        <f>+$I$2+(ABASSBOUGI[[#This Row],[QUANTITE]]*ABASSBOUGI[[#This Row],[PRIX UNITAIRE]])</f>
        <v>0</v>
      </c>
      <c r="F37" s="14"/>
      <c r="G37" s="6">
        <f>+SUM(E$9:$E37)-SUM(F$9:$F37)</f>
        <v>75000</v>
      </c>
    </row>
    <row r="38" spans="1:7" ht="28.8" x14ac:dyDescent="0.55000000000000004">
      <c r="A38" s="12"/>
      <c r="B38" s="13"/>
      <c r="C38" s="10"/>
      <c r="D38" s="10"/>
      <c r="E38" s="7">
        <f>+$I$2+(ABASSBOUGI[[#This Row],[QUANTITE]]*ABASSBOUGI[[#This Row],[PRIX UNITAIRE]])</f>
        <v>0</v>
      </c>
      <c r="F38" s="14"/>
      <c r="G38" s="6">
        <f>+SUM(E$9:$E38)-SUM(F$9:$F38)</f>
        <v>75000</v>
      </c>
    </row>
    <row r="39" spans="1:7" ht="28.8" x14ac:dyDescent="0.55000000000000004">
      <c r="A39" s="12"/>
      <c r="B39" s="13"/>
      <c r="C39" s="10"/>
      <c r="D39" s="10"/>
      <c r="E39" s="7">
        <f>+$I$2+(ABASSBOUGI[[#This Row],[QUANTITE]]*ABASSBOUGI[[#This Row],[PRIX UNITAIRE]])</f>
        <v>0</v>
      </c>
      <c r="F39" s="14"/>
      <c r="G39" s="6">
        <f>+SUM(E$9:$E39)-SUM(F$9:$F39)</f>
        <v>75000</v>
      </c>
    </row>
    <row r="40" spans="1:7" ht="28.8" x14ac:dyDescent="0.55000000000000004">
      <c r="A40" s="12"/>
      <c r="B40" s="13"/>
      <c r="C40" s="10"/>
      <c r="D40" s="10"/>
      <c r="E40" s="7">
        <f>+$I$2+(ABASSBOUGI[[#This Row],[QUANTITE]]*ABASSBOUGI[[#This Row],[PRIX UNITAIRE]])</f>
        <v>0</v>
      </c>
      <c r="F40" s="14"/>
      <c r="G40" s="6">
        <f>+SUM(E$9:$E40)-SUM(F$9:$F40)</f>
        <v>75000</v>
      </c>
    </row>
    <row r="41" spans="1:7" ht="28.8" x14ac:dyDescent="0.55000000000000004">
      <c r="A41" s="12"/>
      <c r="B41" s="13"/>
      <c r="C41" s="10"/>
      <c r="D41" s="10"/>
      <c r="E41" s="7">
        <f>+$I$2+(ABASSBOUGI[[#This Row],[QUANTITE]]*ABASSBOUGI[[#This Row],[PRIX UNITAIRE]])</f>
        <v>0</v>
      </c>
      <c r="F41" s="14"/>
      <c r="G41" s="6">
        <f>+SUM(E$9:$E41)-SUM(F$9:$F41)</f>
        <v>75000</v>
      </c>
    </row>
    <row r="42" spans="1:7" ht="28.8" x14ac:dyDescent="0.55000000000000004">
      <c r="A42" s="12"/>
      <c r="B42" s="13"/>
      <c r="C42" s="10"/>
      <c r="D42" s="10"/>
      <c r="E42" s="7">
        <f>+$I$2+(ABASSBOUGI[[#This Row],[QUANTITE]]*ABASSBOUGI[[#This Row],[PRIX UNITAIRE]])</f>
        <v>0</v>
      </c>
      <c r="F42" s="14"/>
      <c r="G42" s="6">
        <f>+SUM(E$9:$E42)-SUM(F$9:$F42)</f>
        <v>75000</v>
      </c>
    </row>
    <row r="43" spans="1:7" ht="28.8" x14ac:dyDescent="0.55000000000000004">
      <c r="A43" s="12"/>
      <c r="B43" s="13"/>
      <c r="C43" s="10"/>
      <c r="D43" s="10"/>
      <c r="E43" s="7">
        <f>+$I$2+(ABASSBOUGI[[#This Row],[QUANTITE]]*ABASSBOUGI[[#This Row],[PRIX UNITAIRE]])</f>
        <v>0</v>
      </c>
      <c r="F43" s="14"/>
      <c r="G43" s="6">
        <f>+SUM(E$9:$E43)-SUM(F$9:$F43)</f>
        <v>75000</v>
      </c>
    </row>
    <row r="44" spans="1:7" ht="28.8" x14ac:dyDescent="0.55000000000000004">
      <c r="A44" s="12"/>
      <c r="B44" s="13"/>
      <c r="C44" s="10"/>
      <c r="D44" s="10"/>
      <c r="E44" s="7">
        <f>+$I$2+(ABASSBOUGI[[#This Row],[QUANTITE]]*ABASSBOUGI[[#This Row],[PRIX UNITAIRE]])</f>
        <v>0</v>
      </c>
      <c r="F44" s="14"/>
      <c r="G44" s="6">
        <f>+SUM(E$9:$E44)-SUM(F$9:$F44)</f>
        <v>75000</v>
      </c>
    </row>
    <row r="45" spans="1:7" ht="28.8" x14ac:dyDescent="0.55000000000000004">
      <c r="A45" s="12"/>
      <c r="B45" s="13"/>
      <c r="C45" s="10"/>
      <c r="D45" s="10"/>
      <c r="E45" s="7">
        <f>+$I$2+(ABASSBOUGI[[#This Row],[QUANTITE]]*ABASSBOUGI[[#This Row],[PRIX UNITAIRE]])</f>
        <v>0</v>
      </c>
      <c r="F45" s="14"/>
      <c r="G45" s="6">
        <f>+SUM(E$9:$E45)-SUM(F$9:$F45)</f>
        <v>75000</v>
      </c>
    </row>
    <row r="46" spans="1:7" ht="28.8" x14ac:dyDescent="0.55000000000000004">
      <c r="A46" s="12"/>
      <c r="B46" s="13"/>
      <c r="C46" s="10"/>
      <c r="D46" s="10"/>
      <c r="E46" s="7">
        <f>+$I$2+(ABASSBOUGI[[#This Row],[QUANTITE]]*ABASSBOUGI[[#This Row],[PRIX UNITAIRE]])</f>
        <v>0</v>
      </c>
      <c r="F46" s="14"/>
      <c r="G46" s="6">
        <f>+SUM(E$9:$E46)-SUM(F$9:$F46)</f>
        <v>75000</v>
      </c>
    </row>
    <row r="47" spans="1:7" ht="28.8" x14ac:dyDescent="0.55000000000000004">
      <c r="A47" s="12"/>
      <c r="B47" s="13"/>
      <c r="C47" s="10"/>
      <c r="D47" s="10"/>
      <c r="E47" s="7">
        <f>+$I$2+(ABASSBOUGI[[#This Row],[QUANTITE]]*ABASSBOUGI[[#This Row],[PRIX UNITAIRE]])</f>
        <v>0</v>
      </c>
      <c r="F47" s="14"/>
      <c r="G47" s="6">
        <f>+SUM(E$9:$E47)-SUM(F$9:$F47)</f>
        <v>75000</v>
      </c>
    </row>
    <row r="48" spans="1:7" ht="28.8" x14ac:dyDescent="0.55000000000000004">
      <c r="A48" s="12"/>
      <c r="B48" s="13"/>
      <c r="C48" s="10"/>
      <c r="D48" s="10"/>
      <c r="E48" s="7">
        <f>+$I$2+(ABASSBOUGI[[#This Row],[QUANTITE]]*ABASSBOUGI[[#This Row],[PRIX UNITAIRE]])</f>
        <v>0</v>
      </c>
      <c r="F48" s="14"/>
      <c r="G48" s="6">
        <f>+SUM(E$9:$E48)-SUM(F$9:$F48)</f>
        <v>75000</v>
      </c>
    </row>
    <row r="49" spans="1:7" ht="28.8" x14ac:dyDescent="0.55000000000000004">
      <c r="A49" s="12"/>
      <c r="B49" s="13"/>
      <c r="C49" s="10"/>
      <c r="D49" s="10"/>
      <c r="E49" s="7">
        <f>+$I$2+(ABASSBOUGI[[#This Row],[QUANTITE]]*ABASSBOUGI[[#This Row],[PRIX UNITAIRE]])</f>
        <v>0</v>
      </c>
      <c r="F49" s="14"/>
      <c r="G49" s="6">
        <f>+SUM(E$9:$E49)-SUM(F$9:$F49)</f>
        <v>75000</v>
      </c>
    </row>
    <row r="50" spans="1:7" ht="28.8" x14ac:dyDescent="0.55000000000000004">
      <c r="A50" s="12"/>
      <c r="B50" s="13"/>
      <c r="C50" s="10"/>
      <c r="D50" s="10"/>
      <c r="E50" s="7">
        <f>+$I$2+(ABASSBOUGI[[#This Row],[QUANTITE]]*ABASSBOUGI[[#This Row],[PRIX UNITAIRE]])</f>
        <v>0</v>
      </c>
      <c r="F50" s="14"/>
      <c r="G50" s="6">
        <f>+SUM(E$9:$E50)-SUM(F$9:$F50)</f>
        <v>75000</v>
      </c>
    </row>
    <row r="51" spans="1:7" ht="28.8" x14ac:dyDescent="0.55000000000000004">
      <c r="A51" s="12"/>
      <c r="B51" s="13"/>
      <c r="C51" s="10"/>
      <c r="D51" s="10"/>
      <c r="E51" s="7">
        <f>+$I$2+(ABASSBOUGI[[#This Row],[QUANTITE]]*ABASSBOUGI[[#This Row],[PRIX UNITAIRE]])</f>
        <v>0</v>
      </c>
      <c r="F51" s="14"/>
      <c r="G51" s="6">
        <f>+SUM(E$9:$E51)-SUM(F$9:$F51)</f>
        <v>75000</v>
      </c>
    </row>
    <row r="52" spans="1:7" ht="28.8" x14ac:dyDescent="0.55000000000000004">
      <c r="A52" s="12"/>
      <c r="B52" s="13"/>
      <c r="C52" s="10"/>
      <c r="D52" s="10"/>
      <c r="E52" s="7">
        <f>+$I$2+(ABASSBOUGI[[#This Row],[QUANTITE]]*ABASSBOUGI[[#This Row],[PRIX UNITAIRE]])</f>
        <v>0</v>
      </c>
      <c r="F52" s="14"/>
      <c r="G52" s="6">
        <f>+SUM(E$9:$E52)-SUM(F$9:$F52)</f>
        <v>75000</v>
      </c>
    </row>
    <row r="53" spans="1:7" ht="28.8" x14ac:dyDescent="0.55000000000000004">
      <c r="A53" s="12"/>
      <c r="B53" s="13"/>
      <c r="C53" s="10"/>
      <c r="D53" s="10"/>
      <c r="E53" s="7">
        <f>+$I$2+(ABASSBOUGI[[#This Row],[QUANTITE]]*ABASSBOUGI[[#This Row],[PRIX UNITAIRE]])</f>
        <v>0</v>
      </c>
      <c r="F53" s="14"/>
      <c r="G53" s="6">
        <f>+SUM(E$9:$E53)-SUM(F$9:$F53)</f>
        <v>75000</v>
      </c>
    </row>
    <row r="54" spans="1:7" ht="28.8" x14ac:dyDescent="0.55000000000000004">
      <c r="A54" s="12"/>
      <c r="B54" s="13"/>
      <c r="C54" s="10"/>
      <c r="D54" s="10"/>
      <c r="E54" s="7">
        <f>+$I$2+(ABASSBOUGI[[#This Row],[QUANTITE]]*ABASSBOUGI[[#This Row],[PRIX UNITAIRE]])</f>
        <v>0</v>
      </c>
      <c r="F54" s="14"/>
      <c r="G54" s="6">
        <f>+SUM(E$9:$E54)-SUM(F$9:$F54)</f>
        <v>75000</v>
      </c>
    </row>
    <row r="55" spans="1:7" ht="28.8" x14ac:dyDescent="0.55000000000000004">
      <c r="A55" s="12"/>
      <c r="B55" s="13"/>
      <c r="C55" s="10"/>
      <c r="D55" s="10"/>
      <c r="E55" s="7">
        <f>+$I$2+(ABASSBOUGI[[#This Row],[QUANTITE]]*ABASSBOUGI[[#This Row],[PRIX UNITAIRE]])</f>
        <v>0</v>
      </c>
      <c r="F55" s="14"/>
      <c r="G55" s="6">
        <f>+SUM(E$9:$E55)-SUM(F$9:$F55)</f>
        <v>75000</v>
      </c>
    </row>
    <row r="56" spans="1:7" ht="28.8" x14ac:dyDescent="0.55000000000000004">
      <c r="A56" s="12"/>
      <c r="B56" s="13"/>
      <c r="C56" s="10"/>
      <c r="D56" s="10"/>
      <c r="E56" s="7">
        <f>+$I$2+(ABASSBOUGI[[#This Row],[QUANTITE]]*ABASSBOUGI[[#This Row],[PRIX UNITAIRE]])</f>
        <v>0</v>
      </c>
      <c r="F56" s="14"/>
      <c r="G56" s="6">
        <f>+SUM(E$9:$E56)-SUM(F$9:$F56)</f>
        <v>75000</v>
      </c>
    </row>
    <row r="57" spans="1:7" ht="28.8" x14ac:dyDescent="0.55000000000000004">
      <c r="A57" s="12"/>
      <c r="B57" s="13"/>
      <c r="C57" s="10"/>
      <c r="D57" s="10"/>
      <c r="E57" s="7">
        <f>+$I$2+(ABASSBOUGI[[#This Row],[QUANTITE]]*ABASSBOUGI[[#This Row],[PRIX UNITAIRE]])</f>
        <v>0</v>
      </c>
      <c r="F57" s="14"/>
      <c r="G57" s="6">
        <f>+SUM(E$9:$E57)-SUM(F$9:$F57)</f>
        <v>75000</v>
      </c>
    </row>
    <row r="58" spans="1:7" ht="28.8" x14ac:dyDescent="0.55000000000000004">
      <c r="A58" s="12"/>
      <c r="B58" s="13"/>
      <c r="C58" s="10"/>
      <c r="D58" s="10"/>
      <c r="E58" s="7">
        <f>+$I$2+(ABASSBOUGI[[#This Row],[QUANTITE]]*ABASSBOUGI[[#This Row],[PRIX UNITAIRE]])</f>
        <v>0</v>
      </c>
      <c r="F58" s="14"/>
      <c r="G58" s="6">
        <f>+SUM(E$9:$E58)-SUM(F$9:$F58)</f>
        <v>75000</v>
      </c>
    </row>
    <row r="59" spans="1:7" ht="28.8" x14ac:dyDescent="0.55000000000000004">
      <c r="A59" s="12"/>
      <c r="B59" s="13"/>
      <c r="C59" s="10"/>
      <c r="D59" s="10"/>
      <c r="E59" s="7">
        <f>+$I$2+(ABASSBOUGI[[#This Row],[QUANTITE]]*ABASSBOUGI[[#This Row],[PRIX UNITAIRE]])</f>
        <v>0</v>
      </c>
      <c r="F59" s="14"/>
      <c r="G59" s="6">
        <f>+SUM(E$9:$E59)-SUM(F$9:$F59)</f>
        <v>75000</v>
      </c>
    </row>
    <row r="60" spans="1:7" ht="28.8" x14ac:dyDescent="0.55000000000000004">
      <c r="A60" s="12"/>
      <c r="B60" s="13"/>
      <c r="C60" s="10"/>
      <c r="D60" s="10"/>
      <c r="E60" s="7">
        <f>+$I$2+(ABASSBOUGI[[#This Row],[QUANTITE]]*ABASSBOUGI[[#This Row],[PRIX UNITAIRE]])</f>
        <v>0</v>
      </c>
      <c r="F60" s="14"/>
      <c r="G60" s="6">
        <f>+SUM(E$9:$E60)-SUM(F$9:$F60)</f>
        <v>75000</v>
      </c>
    </row>
    <row r="61" spans="1:7" ht="28.8" x14ac:dyDescent="0.55000000000000004">
      <c r="A61" s="12"/>
      <c r="B61" s="13"/>
      <c r="C61" s="10"/>
      <c r="D61" s="10"/>
      <c r="E61" s="7">
        <f>+$I$2+(ABASSBOUGI[[#This Row],[QUANTITE]]*ABASSBOUGI[[#This Row],[PRIX UNITAIRE]])</f>
        <v>0</v>
      </c>
      <c r="F61" s="14"/>
      <c r="G61" s="6">
        <f>+SUM(E$9:$E61)-SUM(F$9:$F61)</f>
        <v>75000</v>
      </c>
    </row>
    <row r="62" spans="1:7" ht="28.8" x14ac:dyDescent="0.55000000000000004">
      <c r="A62" s="12"/>
      <c r="B62" s="13"/>
      <c r="C62" s="10"/>
      <c r="D62" s="10"/>
      <c r="E62" s="7">
        <f>+$I$2+(ABASSBOUGI[[#This Row],[QUANTITE]]*ABASSBOUGI[[#This Row],[PRIX UNITAIRE]])</f>
        <v>0</v>
      </c>
      <c r="F62" s="14"/>
      <c r="G62" s="6">
        <f>+SUM(E$9:$E62)-SUM(F$9:$F62)</f>
        <v>75000</v>
      </c>
    </row>
    <row r="63" spans="1:7" ht="28.8" x14ac:dyDescent="0.55000000000000004">
      <c r="A63" s="12"/>
      <c r="B63" s="13"/>
      <c r="C63" s="10"/>
      <c r="D63" s="10"/>
      <c r="E63" s="7">
        <f>+$I$2+(ABASSBOUGI[[#This Row],[QUANTITE]]*ABASSBOUGI[[#This Row],[PRIX UNITAIRE]])</f>
        <v>0</v>
      </c>
      <c r="F63" s="14"/>
      <c r="G63" s="6">
        <f>+SUM(E$9:$E63)-SUM(F$9:$F63)</f>
        <v>75000</v>
      </c>
    </row>
    <row r="64" spans="1:7" ht="28.8" x14ac:dyDescent="0.55000000000000004">
      <c r="A64" s="12"/>
      <c r="B64" s="13"/>
      <c r="C64" s="10"/>
      <c r="D64" s="10"/>
      <c r="E64" s="7">
        <f>+$I$2+(ABASSBOUGI[[#This Row],[QUANTITE]]*ABASSBOUGI[[#This Row],[PRIX UNITAIRE]])</f>
        <v>0</v>
      </c>
      <c r="F64" s="14"/>
      <c r="G64" s="6">
        <f>+SUM(E$9:$E64)-SUM(F$9:$F64)</f>
        <v>75000</v>
      </c>
    </row>
    <row r="65" spans="1:7" ht="28.8" x14ac:dyDescent="0.55000000000000004">
      <c r="A65" s="12"/>
      <c r="B65" s="13"/>
      <c r="C65" s="10"/>
      <c r="D65" s="10"/>
      <c r="E65" s="7">
        <f>+$I$2+(ABASSBOUGI[[#This Row],[QUANTITE]]*ABASSBOUGI[[#This Row],[PRIX UNITAIRE]])</f>
        <v>0</v>
      </c>
      <c r="F65" s="14"/>
      <c r="G65" s="6">
        <f>+SUM(E$9:$E65)-SUM(F$9:$F65)</f>
        <v>75000</v>
      </c>
    </row>
    <row r="66" spans="1:7" ht="28.8" x14ac:dyDescent="0.55000000000000004">
      <c r="A66" s="12"/>
      <c r="B66" s="13"/>
      <c r="C66" s="10"/>
      <c r="D66" s="10"/>
      <c r="E66" s="7">
        <f>+$I$2+(ABASSBOUGI[[#This Row],[QUANTITE]]*ABASSBOUGI[[#This Row],[PRIX UNITAIRE]])</f>
        <v>0</v>
      </c>
      <c r="F66" s="14"/>
      <c r="G66" s="6">
        <f>+SUM(E$9:$E66)-SUM(F$9:$F66)</f>
        <v>75000</v>
      </c>
    </row>
    <row r="67" spans="1:7" ht="28.8" x14ac:dyDescent="0.55000000000000004">
      <c r="A67" s="12"/>
      <c r="B67" s="13"/>
      <c r="C67" s="10"/>
      <c r="D67" s="10"/>
      <c r="E67" s="7">
        <f>+$I$2+(ABASSBOUGI[[#This Row],[QUANTITE]]*ABASSBOUGI[[#This Row],[PRIX UNITAIRE]])</f>
        <v>0</v>
      </c>
      <c r="F67" s="14"/>
      <c r="G67" s="6">
        <f>+SUM(E$9:$E67)-SUM(F$9:$F67)</f>
        <v>75000</v>
      </c>
    </row>
    <row r="68" spans="1:7" ht="28.8" x14ac:dyDescent="0.55000000000000004">
      <c r="A68" s="12"/>
      <c r="B68" s="13"/>
      <c r="C68" s="10"/>
      <c r="D68" s="10"/>
      <c r="E68" s="7">
        <f>+$I$2+(ABASSBOUGI[[#This Row],[QUANTITE]]*ABASSBOUGI[[#This Row],[PRIX UNITAIRE]])</f>
        <v>0</v>
      </c>
      <c r="F68" s="14"/>
      <c r="G68" s="6">
        <f>+SUM(E$9:$E68)-SUM(F$9:$F68)</f>
        <v>75000</v>
      </c>
    </row>
    <row r="69" spans="1:7" ht="28.8" x14ac:dyDescent="0.55000000000000004">
      <c r="A69" s="12"/>
      <c r="B69" s="13"/>
      <c r="C69" s="10"/>
      <c r="D69" s="10"/>
      <c r="E69" s="7">
        <f>+$I$2+(ABASSBOUGI[[#This Row],[QUANTITE]]*ABASSBOUGI[[#This Row],[PRIX UNITAIRE]])</f>
        <v>0</v>
      </c>
      <c r="F69" s="14"/>
      <c r="G69" s="6">
        <f>+SUM(E$9:$E69)-SUM(F$9:$F69)</f>
        <v>75000</v>
      </c>
    </row>
    <row r="70" spans="1:7" ht="28.8" x14ac:dyDescent="0.55000000000000004">
      <c r="A70" s="12"/>
      <c r="B70" s="13"/>
      <c r="C70" s="10"/>
      <c r="D70" s="10"/>
      <c r="E70" s="7">
        <f>+$I$2+(ABASSBOUGI[[#This Row],[QUANTITE]]*ABASSBOUGI[[#This Row],[PRIX UNITAIRE]])</f>
        <v>0</v>
      </c>
      <c r="F70" s="14"/>
      <c r="G70" s="6">
        <f>+SUM(E$9:$E70)-SUM(F$9:$F70)</f>
        <v>75000</v>
      </c>
    </row>
    <row r="71" spans="1:7" ht="28.8" x14ac:dyDescent="0.55000000000000004">
      <c r="A71" s="12"/>
      <c r="B71" s="13"/>
      <c r="C71" s="10"/>
      <c r="D71" s="10"/>
      <c r="E71" s="7">
        <f>+$I$2+(ABASSBOUGI[[#This Row],[QUANTITE]]*ABASSBOUGI[[#This Row],[PRIX UNITAIRE]])</f>
        <v>0</v>
      </c>
      <c r="F71" s="14"/>
      <c r="G71" s="6">
        <f>+SUM(E$9:$E71)-SUM(F$9:$F71)</f>
        <v>75000</v>
      </c>
    </row>
  </sheetData>
  <sheetProtection selectLockedCells="1" autoFilter="0"/>
  <mergeCells count="1">
    <mergeCell ref="B6:C6"/>
  </mergeCells>
  <conditionalFormatting sqref="B9:B71">
    <cfRule type="expression" dxfId="558" priority="5">
      <formula>$F9</formula>
    </cfRule>
  </conditionalFormatting>
  <conditionalFormatting sqref="G4">
    <cfRule type="cellIs" dxfId="557" priority="2" operator="lessThan">
      <formula>0</formula>
    </cfRule>
    <cfRule type="cellIs" dxfId="556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I69"/>
  <sheetViews>
    <sheetView showGridLines="0" topLeftCell="E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33203125" style="1" bestFit="1" customWidth="1"/>
    <col min="2" max="2" width="33.5546875" style="1" customWidth="1"/>
    <col min="3" max="3" width="62.554687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25.33203125" style="1" bestFit="1" customWidth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+SUM(DIVERSFOURNISSEUR[TOTAL MONTANT])</f>
        <v>0</v>
      </c>
      <c r="F4" s="39">
        <f>+SUM(DIVERSFOURNISSEUR[VERSEMENT])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194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195</v>
      </c>
      <c r="C8" s="2" t="s">
        <v>1</v>
      </c>
      <c r="D8" s="2" t="s">
        <v>2</v>
      </c>
      <c r="E8" s="2" t="s">
        <v>3</v>
      </c>
      <c r="F8" s="5" t="s">
        <v>4</v>
      </c>
      <c r="G8" s="2" t="s">
        <v>5</v>
      </c>
      <c r="H8" s="4" t="s">
        <v>6</v>
      </c>
    </row>
    <row r="9" spans="1:9" ht="28.8" x14ac:dyDescent="0.55000000000000004">
      <c r="A9" s="12"/>
      <c r="B9" s="111"/>
      <c r="C9" s="13"/>
      <c r="D9" s="10"/>
      <c r="E9" s="10"/>
      <c r="F9" s="7">
        <f>+$I$2+(DIVERSFOURNISSEUR[[#This Row],[QUANTITE]]*DIVERSFOURNISSEUR[[#This Row],[PRIX UNITAIRE]])</f>
        <v>0</v>
      </c>
      <c r="G9" s="20"/>
      <c r="H9" s="6">
        <f>+SUM($F$9:F9)-SUM($G$9:G9)</f>
        <v>0</v>
      </c>
    </row>
    <row r="10" spans="1:9" ht="28.8" x14ac:dyDescent="0.55000000000000004">
      <c r="A10" s="12"/>
      <c r="B10" s="111"/>
      <c r="C10" s="13"/>
      <c r="D10" s="10"/>
      <c r="E10" s="10"/>
      <c r="F10" s="7">
        <f>+$I$2+(DIVERSFOURNISSEUR[[#This Row],[QUANTITE]]*DIVERSFOURNISSEUR[[#This Row],[PRIX UNITAIRE]])</f>
        <v>0</v>
      </c>
      <c r="G10" s="54"/>
      <c r="H10" s="6">
        <f>+SUM($F$9:F10)-SUM($G$9:G10)</f>
        <v>0</v>
      </c>
    </row>
    <row r="11" spans="1:9" ht="28.8" x14ac:dyDescent="0.55000000000000004">
      <c r="A11" s="12"/>
      <c r="B11" s="111"/>
      <c r="C11" s="13"/>
      <c r="D11" s="10"/>
      <c r="E11" s="10"/>
      <c r="F11" s="7">
        <f>+$I$2+(DIVERSFOURNISSEUR[[#This Row],[QUANTITE]]*DIVERSFOURNISSEUR[[#This Row],[PRIX UNITAIRE]])</f>
        <v>0</v>
      </c>
      <c r="G11" s="14"/>
      <c r="H11" s="6">
        <f>+SUM($F$9:F11)-SUM($G$9:G11)</f>
        <v>0</v>
      </c>
    </row>
    <row r="12" spans="1:9" ht="28.8" x14ac:dyDescent="0.55000000000000004">
      <c r="A12" s="12"/>
      <c r="B12" s="111"/>
      <c r="C12" s="13"/>
      <c r="D12" s="10"/>
      <c r="E12" s="10"/>
      <c r="F12" s="7">
        <f>+$I$2+(DIVERSFOURNISSEUR[[#This Row],[QUANTITE]]*DIVERSFOURNISSEUR[[#This Row],[PRIX UNITAIRE]])</f>
        <v>0</v>
      </c>
      <c r="G12" s="14"/>
      <c r="H12" s="6">
        <f>+SUM($F$9:F12)-SUM($G$9:G12)</f>
        <v>0</v>
      </c>
    </row>
    <row r="13" spans="1:9" ht="28.8" x14ac:dyDescent="0.55000000000000004">
      <c r="A13" s="12"/>
      <c r="B13" s="111"/>
      <c r="C13" s="13"/>
      <c r="D13" s="10"/>
      <c r="E13" s="10"/>
      <c r="F13" s="7">
        <f>+$I$2+(DIVERSFOURNISSEUR[[#This Row],[QUANTITE]]*DIVERSFOURNISSEUR[[#This Row],[PRIX UNITAIRE]])</f>
        <v>0</v>
      </c>
      <c r="G13" s="14"/>
      <c r="H13" s="6">
        <f>+SUM($F$9:F13)-SUM($G$9:G13)</f>
        <v>0</v>
      </c>
    </row>
    <row r="14" spans="1:9" ht="28.8" x14ac:dyDescent="0.55000000000000004">
      <c r="A14" s="12"/>
      <c r="B14" s="111"/>
      <c r="C14" s="13"/>
      <c r="D14" s="10"/>
      <c r="E14" s="10"/>
      <c r="F14" s="7">
        <f>+$I$2+(DIVERSFOURNISSEUR[[#This Row],[QUANTITE]]*DIVERSFOURNISSEUR[[#This Row],[PRIX UNITAIRE]])</f>
        <v>0</v>
      </c>
      <c r="G14" s="14"/>
      <c r="H14" s="6">
        <f>+SUM($F$9:F14)-SUM($G$9:G14)</f>
        <v>0</v>
      </c>
    </row>
    <row r="15" spans="1:9" ht="28.8" x14ac:dyDescent="0.55000000000000004">
      <c r="A15" s="12"/>
      <c r="B15" s="111"/>
      <c r="C15" s="13"/>
      <c r="D15" s="10"/>
      <c r="E15" s="10"/>
      <c r="F15" s="7">
        <f>+$I$2+(DIVERSFOURNISSEUR[[#This Row],[QUANTITE]]*DIVERSFOURNISSEUR[[#This Row],[PRIX UNITAIRE]])</f>
        <v>0</v>
      </c>
      <c r="G15" s="14"/>
      <c r="H15" s="6">
        <f>+SUM($F$9:F15)-SUM($G$9:G15)</f>
        <v>0</v>
      </c>
    </row>
    <row r="16" spans="1:9" ht="28.8" x14ac:dyDescent="0.55000000000000004">
      <c r="A16" s="12"/>
      <c r="B16" s="111"/>
      <c r="C16" s="13"/>
      <c r="D16" s="10"/>
      <c r="E16" s="10"/>
      <c r="F16" s="7">
        <f>+$I$2+(DIVERSFOURNISSEUR[[#This Row],[QUANTITE]]*DIVERSFOURNISSEUR[[#This Row],[PRIX UNITAIRE]])</f>
        <v>0</v>
      </c>
      <c r="G16" s="14"/>
      <c r="H16" s="6">
        <f>+SUM($F$9:F16)-SUM($G$9:G16)</f>
        <v>0</v>
      </c>
    </row>
    <row r="17" spans="1:8" ht="28.8" x14ac:dyDescent="0.55000000000000004">
      <c r="A17" s="12"/>
      <c r="B17" s="111"/>
      <c r="C17" s="13"/>
      <c r="D17" s="10"/>
      <c r="E17" s="10"/>
      <c r="F17" s="7">
        <f>+$I$2+(DIVERSFOURNISSEUR[[#This Row],[QUANTITE]]*DIVERSFOURNISSEUR[[#This Row],[PRIX UNITAIRE]])</f>
        <v>0</v>
      </c>
      <c r="G17" s="14"/>
      <c r="H17" s="6">
        <f>+SUM($F$9:F17)-SUM($G$9:G17)</f>
        <v>0</v>
      </c>
    </row>
    <row r="18" spans="1:8" ht="28.8" x14ac:dyDescent="0.55000000000000004">
      <c r="A18" s="12"/>
      <c r="B18" s="111"/>
      <c r="C18" s="13"/>
      <c r="D18" s="10"/>
      <c r="E18" s="10"/>
      <c r="F18" s="7">
        <f>+$I$2+(DIVERSFOURNISSEUR[[#This Row],[QUANTITE]]*DIVERSFOURNISSEUR[[#This Row],[PRIX UNITAIRE]])</f>
        <v>0</v>
      </c>
      <c r="G18" s="14"/>
      <c r="H18" s="6">
        <f>+SUM($F$9:F18)-SUM($G$9:G18)</f>
        <v>0</v>
      </c>
    </row>
    <row r="19" spans="1:8" ht="28.8" x14ac:dyDescent="0.55000000000000004">
      <c r="A19" s="12"/>
      <c r="B19" s="111"/>
      <c r="C19" s="13"/>
      <c r="D19" s="10"/>
      <c r="E19" s="10"/>
      <c r="F19" s="7">
        <f>+$I$2+(DIVERSFOURNISSEUR[[#This Row],[QUANTITE]]*DIVERSFOURNISSEUR[[#This Row],[PRIX UNITAIRE]])</f>
        <v>0</v>
      </c>
      <c r="G19" s="14"/>
      <c r="H19" s="6">
        <f>+SUM($F$9:F19)-SUM($G$9:G19)</f>
        <v>0</v>
      </c>
    </row>
    <row r="20" spans="1:8" ht="28.8" x14ac:dyDescent="0.55000000000000004">
      <c r="A20" s="12"/>
      <c r="B20" s="111"/>
      <c r="C20" s="13"/>
      <c r="D20" s="10"/>
      <c r="E20" s="10"/>
      <c r="F20" s="7">
        <f>+$I$2+(DIVERSFOURNISSEUR[[#This Row],[QUANTITE]]*DIVERSFOURNISSEUR[[#This Row],[PRIX UNITAIRE]])</f>
        <v>0</v>
      </c>
      <c r="G20" s="14"/>
      <c r="H20" s="6">
        <f>+SUM($F$9:F20)-SUM($G$9:G20)</f>
        <v>0</v>
      </c>
    </row>
    <row r="21" spans="1:8" ht="28.8" x14ac:dyDescent="0.55000000000000004">
      <c r="A21" s="12"/>
      <c r="B21" s="111"/>
      <c r="C21" s="13"/>
      <c r="D21" s="10"/>
      <c r="E21" s="10"/>
      <c r="F21" s="7">
        <f>+$I$2+(DIVERSFOURNISSEUR[[#This Row],[QUANTITE]]*DIVERSFOURNISSEUR[[#This Row],[PRIX UNITAIRE]])</f>
        <v>0</v>
      </c>
      <c r="G21" s="14"/>
      <c r="H21" s="6">
        <f>+SUM($F$9:F21)-SUM($G$9:G21)</f>
        <v>0</v>
      </c>
    </row>
    <row r="22" spans="1:8" ht="28.8" x14ac:dyDescent="0.55000000000000004">
      <c r="A22" s="12"/>
      <c r="B22" s="111"/>
      <c r="C22" s="13"/>
      <c r="D22" s="10"/>
      <c r="E22" s="10"/>
      <c r="F22" s="7">
        <f>+$I$2+(DIVERSFOURNISSEUR[[#This Row],[QUANTITE]]*DIVERSFOURNISSEUR[[#This Row],[PRIX UNITAIRE]])</f>
        <v>0</v>
      </c>
      <c r="G22" s="14"/>
      <c r="H22" s="6">
        <f>+SUM($F$9:F22)-SUM($G$9:G22)</f>
        <v>0</v>
      </c>
    </row>
    <row r="23" spans="1:8" ht="28.8" x14ac:dyDescent="0.55000000000000004">
      <c r="A23" s="12"/>
      <c r="B23" s="111"/>
      <c r="C23" s="13"/>
      <c r="D23" s="10"/>
      <c r="E23" s="10"/>
      <c r="F23" s="7">
        <f>+$I$2+(DIVERSFOURNISSEUR[[#This Row],[QUANTITE]]*DIVERSFOURNISSEUR[[#This Row],[PRIX UNITAIRE]])</f>
        <v>0</v>
      </c>
      <c r="G23" s="14"/>
      <c r="H23" s="6">
        <f>+SUM($F$9:F23)-SUM($G$9:G23)</f>
        <v>0</v>
      </c>
    </row>
    <row r="24" spans="1:8" ht="28.8" x14ac:dyDescent="0.55000000000000004">
      <c r="A24" s="12"/>
      <c r="B24" s="111"/>
      <c r="C24" s="13"/>
      <c r="D24" s="10"/>
      <c r="E24" s="10"/>
      <c r="F24" s="7">
        <f>+$I$2+(DIVERSFOURNISSEUR[[#This Row],[QUANTITE]]*DIVERSFOURNISSEUR[[#This Row],[PRIX UNITAIRE]])</f>
        <v>0</v>
      </c>
      <c r="G24" s="14"/>
      <c r="H24" s="6">
        <f>+SUM($F$9:F24)-SUM($G$9:G24)</f>
        <v>0</v>
      </c>
    </row>
    <row r="25" spans="1:8" ht="28.8" x14ac:dyDescent="0.55000000000000004">
      <c r="A25" s="12"/>
      <c r="B25" s="111"/>
      <c r="C25" s="13"/>
      <c r="D25" s="10"/>
      <c r="E25" s="10"/>
      <c r="F25" s="7">
        <f>+$I$2+(DIVERSFOURNISSEUR[[#This Row],[QUANTITE]]*DIVERSFOURNISSEUR[[#This Row],[PRIX UNITAIRE]])</f>
        <v>0</v>
      </c>
      <c r="G25" s="14"/>
      <c r="H25" s="6">
        <f>+SUM($F$9:F25)-SUM($G$9:G25)</f>
        <v>0</v>
      </c>
    </row>
    <row r="26" spans="1:8" ht="28.8" x14ac:dyDescent="0.55000000000000004">
      <c r="A26" s="12"/>
      <c r="B26" s="111"/>
      <c r="C26" s="13"/>
      <c r="D26" s="10"/>
      <c r="E26" s="10"/>
      <c r="F26" s="7">
        <f>+$I$2+(DIVERSFOURNISSEUR[[#This Row],[QUANTITE]]*DIVERSFOURNISSEUR[[#This Row],[PRIX UNITAIRE]])</f>
        <v>0</v>
      </c>
      <c r="G26" s="14"/>
      <c r="H26" s="6">
        <f>+SUM($F$9:F26)-SUM($G$9:G26)</f>
        <v>0</v>
      </c>
    </row>
    <row r="27" spans="1:8" ht="28.8" x14ac:dyDescent="0.55000000000000004">
      <c r="A27" s="12"/>
      <c r="B27" s="111"/>
      <c r="C27" s="13"/>
      <c r="D27" s="10"/>
      <c r="E27" s="10"/>
      <c r="F27" s="7">
        <f>+$I$2+(DIVERSFOURNISSEUR[[#This Row],[QUANTITE]]*DIVERSFOURNISSEUR[[#This Row],[PRIX UNITAIRE]])</f>
        <v>0</v>
      </c>
      <c r="G27" s="14"/>
      <c r="H27" s="6">
        <f>+SUM($F$9:F27)-SUM($G$9:G27)</f>
        <v>0</v>
      </c>
    </row>
    <row r="28" spans="1:8" ht="28.8" x14ac:dyDescent="0.55000000000000004">
      <c r="A28" s="12"/>
      <c r="B28" s="111"/>
      <c r="C28" s="13"/>
      <c r="D28" s="10"/>
      <c r="E28" s="10"/>
      <c r="F28" s="7">
        <f>+$I$2+(DIVERSFOURNISSEUR[[#This Row],[QUANTITE]]*DIVERSFOURNISSEUR[[#This Row],[PRIX UNITAIRE]])</f>
        <v>0</v>
      </c>
      <c r="G28" s="14"/>
      <c r="H28" s="6">
        <f>+SUM($F$9:F28)-SUM($G$9:G28)</f>
        <v>0</v>
      </c>
    </row>
    <row r="29" spans="1:8" ht="28.8" x14ac:dyDescent="0.55000000000000004">
      <c r="A29" s="12"/>
      <c r="B29" s="111"/>
      <c r="C29" s="13"/>
      <c r="D29" s="10"/>
      <c r="E29" s="10"/>
      <c r="F29" s="7">
        <f>+$I$2+(DIVERSFOURNISSEUR[[#This Row],[QUANTITE]]*DIVERSFOURNISSEUR[[#This Row],[PRIX UNITAIRE]])</f>
        <v>0</v>
      </c>
      <c r="G29" s="14"/>
      <c r="H29" s="6">
        <f>+SUM($F$9:F29)-SUM($G$9:G29)</f>
        <v>0</v>
      </c>
    </row>
    <row r="30" spans="1:8" ht="28.8" x14ac:dyDescent="0.55000000000000004">
      <c r="A30" s="12"/>
      <c r="B30" s="111"/>
      <c r="C30" s="13"/>
      <c r="D30" s="10"/>
      <c r="E30" s="10"/>
      <c r="F30" s="7">
        <f>+$I$2+(DIVERSFOURNISSEUR[[#This Row],[QUANTITE]]*DIVERSFOURNISSEUR[[#This Row],[PRIX UNITAIRE]])</f>
        <v>0</v>
      </c>
      <c r="G30" s="14"/>
      <c r="H30" s="6">
        <f>+SUM($F$9:F30)-SUM($G$9:G30)</f>
        <v>0</v>
      </c>
    </row>
    <row r="31" spans="1:8" ht="28.8" x14ac:dyDescent="0.55000000000000004">
      <c r="A31" s="12"/>
      <c r="B31" s="111"/>
      <c r="C31" s="13"/>
      <c r="D31" s="10"/>
      <c r="E31" s="10"/>
      <c r="F31" s="7">
        <f>+$I$2+(DIVERSFOURNISSEUR[[#This Row],[QUANTITE]]*DIVERSFOURNISSEUR[[#This Row],[PRIX UNITAIRE]])</f>
        <v>0</v>
      </c>
      <c r="G31" s="14"/>
      <c r="H31" s="6">
        <f>+SUM($F$9:F31)-SUM($G$9:G31)</f>
        <v>0</v>
      </c>
    </row>
    <row r="32" spans="1:8" ht="28.8" x14ac:dyDescent="0.55000000000000004">
      <c r="A32" s="12"/>
      <c r="B32" s="111"/>
      <c r="C32" s="13"/>
      <c r="D32" s="10"/>
      <c r="E32" s="10"/>
      <c r="F32" s="7">
        <f>+$I$2+(DIVERSFOURNISSEUR[[#This Row],[QUANTITE]]*DIVERSFOURNISSEUR[[#This Row],[PRIX UNITAIRE]])</f>
        <v>0</v>
      </c>
      <c r="G32" s="14"/>
      <c r="H32" s="6">
        <f>+SUM($F$9:F32)-SUM($G$9:G32)</f>
        <v>0</v>
      </c>
    </row>
    <row r="33" spans="1:8" ht="28.8" x14ac:dyDescent="0.55000000000000004">
      <c r="A33" s="12"/>
      <c r="B33" s="111"/>
      <c r="C33" s="13"/>
      <c r="D33" s="10"/>
      <c r="E33" s="10"/>
      <c r="F33" s="7">
        <f>+$I$2+(DIVERSFOURNISSEUR[[#This Row],[QUANTITE]]*DIVERSFOURNISSEUR[[#This Row],[PRIX UNITAIRE]])</f>
        <v>0</v>
      </c>
      <c r="G33" s="14"/>
      <c r="H33" s="6">
        <f>+SUM($F$9:F33)-SUM($G$9:G33)</f>
        <v>0</v>
      </c>
    </row>
    <row r="34" spans="1:8" ht="28.8" x14ac:dyDescent="0.55000000000000004">
      <c r="A34" s="12"/>
      <c r="B34" s="111"/>
      <c r="C34" s="13"/>
      <c r="D34" s="10"/>
      <c r="E34" s="10"/>
      <c r="F34" s="7">
        <f>+$I$2+(DIVERSFOURNISSEUR[[#This Row],[QUANTITE]]*DIVERSFOURNISSEUR[[#This Row],[PRIX UNITAIRE]])</f>
        <v>0</v>
      </c>
      <c r="G34" s="14"/>
      <c r="H34" s="6">
        <f>+SUM($F$9:F34)-SUM($G$9:G34)</f>
        <v>0</v>
      </c>
    </row>
    <row r="35" spans="1:8" ht="28.8" x14ac:dyDescent="0.55000000000000004">
      <c r="A35" s="12"/>
      <c r="B35" s="111"/>
      <c r="C35" s="13"/>
      <c r="D35" s="10"/>
      <c r="E35" s="10"/>
      <c r="F35" s="7">
        <f>+$I$2+(DIVERSFOURNISSEUR[[#This Row],[QUANTITE]]*DIVERSFOURNISSEUR[[#This Row],[PRIX UNITAIRE]])</f>
        <v>0</v>
      </c>
      <c r="G35" s="14"/>
      <c r="H35" s="6">
        <f>+SUM($F$9:F35)-SUM($G$9:G35)</f>
        <v>0</v>
      </c>
    </row>
    <row r="36" spans="1:8" ht="28.8" x14ac:dyDescent="0.55000000000000004">
      <c r="A36" s="12"/>
      <c r="B36" s="111"/>
      <c r="C36" s="13"/>
      <c r="D36" s="10"/>
      <c r="E36" s="10"/>
      <c r="F36" s="7">
        <f>+$I$2+(DIVERSFOURNISSEUR[[#This Row],[QUANTITE]]*DIVERSFOURNISSEUR[[#This Row],[PRIX UNITAIRE]])</f>
        <v>0</v>
      </c>
      <c r="G36" s="14"/>
      <c r="H36" s="6">
        <f>+SUM($F$9:F36)-SUM($G$9:G36)</f>
        <v>0</v>
      </c>
    </row>
    <row r="37" spans="1:8" ht="28.8" x14ac:dyDescent="0.55000000000000004">
      <c r="A37" s="12"/>
      <c r="B37" s="111"/>
      <c r="C37" s="13"/>
      <c r="D37" s="10"/>
      <c r="E37" s="10"/>
      <c r="F37" s="7">
        <f>+$I$2+(DIVERSFOURNISSEUR[[#This Row],[QUANTITE]]*DIVERSFOURNISSEUR[[#This Row],[PRIX UNITAIRE]])</f>
        <v>0</v>
      </c>
      <c r="G37" s="14"/>
      <c r="H37" s="6">
        <f>+SUM($F$9:F37)-SUM($G$9:G37)</f>
        <v>0</v>
      </c>
    </row>
    <row r="38" spans="1:8" ht="28.8" x14ac:dyDescent="0.55000000000000004">
      <c r="A38" s="12"/>
      <c r="B38" s="111"/>
      <c r="C38" s="13"/>
      <c r="D38" s="10"/>
      <c r="E38" s="10"/>
      <c r="F38" s="7">
        <f>+$I$2+(DIVERSFOURNISSEUR[[#This Row],[QUANTITE]]*DIVERSFOURNISSEUR[[#This Row],[PRIX UNITAIRE]])</f>
        <v>0</v>
      </c>
      <c r="G38" s="14"/>
      <c r="H38" s="6">
        <f>+SUM($F$9:F38)-SUM($G$9:G38)</f>
        <v>0</v>
      </c>
    </row>
    <row r="39" spans="1:8" ht="28.8" x14ac:dyDescent="0.55000000000000004">
      <c r="A39" s="12"/>
      <c r="B39" s="111"/>
      <c r="C39" s="13"/>
      <c r="D39" s="10"/>
      <c r="E39" s="10"/>
      <c r="F39" s="7">
        <f>+$I$2+(DIVERSFOURNISSEUR[[#This Row],[QUANTITE]]*DIVERSFOURNISSEUR[[#This Row],[PRIX UNITAIRE]])</f>
        <v>0</v>
      </c>
      <c r="G39" s="14"/>
      <c r="H39" s="6">
        <f>+SUM($F$9:F39)-SUM($G$9:G39)</f>
        <v>0</v>
      </c>
    </row>
    <row r="40" spans="1:8" ht="28.8" x14ac:dyDescent="0.55000000000000004">
      <c r="A40" s="12"/>
      <c r="B40" s="111"/>
      <c r="C40" s="13"/>
      <c r="D40" s="10"/>
      <c r="E40" s="10"/>
      <c r="F40" s="7">
        <f>+$I$2+(DIVERSFOURNISSEUR[[#This Row],[QUANTITE]]*DIVERSFOURNISSEUR[[#This Row],[PRIX UNITAIRE]])</f>
        <v>0</v>
      </c>
      <c r="G40" s="14"/>
      <c r="H40" s="6">
        <f>+SUM($F$9:F40)-SUM($G$9:G40)</f>
        <v>0</v>
      </c>
    </row>
    <row r="41" spans="1:8" ht="28.8" x14ac:dyDescent="0.55000000000000004">
      <c r="A41" s="12"/>
      <c r="B41" s="111"/>
      <c r="C41" s="13"/>
      <c r="D41" s="10"/>
      <c r="E41" s="10"/>
      <c r="F41" s="7">
        <f>+$I$2+(DIVERSFOURNISSEUR[[#This Row],[QUANTITE]]*DIVERSFOURNISSEUR[[#This Row],[PRIX UNITAIRE]])</f>
        <v>0</v>
      </c>
      <c r="G41" s="14"/>
      <c r="H41" s="6">
        <f>+SUM($F$9:F41)-SUM($G$9:G41)</f>
        <v>0</v>
      </c>
    </row>
    <row r="42" spans="1:8" ht="28.8" x14ac:dyDescent="0.55000000000000004">
      <c r="A42" s="12"/>
      <c r="B42" s="111"/>
      <c r="C42" s="13"/>
      <c r="D42" s="10"/>
      <c r="E42" s="10"/>
      <c r="F42" s="7">
        <f>+$I$2+(DIVERSFOURNISSEUR[[#This Row],[QUANTITE]]*DIVERSFOURNISSEUR[[#This Row],[PRIX UNITAIRE]])</f>
        <v>0</v>
      </c>
      <c r="G42" s="14"/>
      <c r="H42" s="6">
        <f>+SUM($F$9:F42)-SUM($G$9:G42)</f>
        <v>0</v>
      </c>
    </row>
    <row r="43" spans="1:8" ht="28.8" x14ac:dyDescent="0.55000000000000004">
      <c r="A43" s="12"/>
      <c r="B43" s="111"/>
      <c r="C43" s="13"/>
      <c r="D43" s="10"/>
      <c r="E43" s="10"/>
      <c r="F43" s="7">
        <f>+$I$2+(DIVERSFOURNISSEUR[[#This Row],[QUANTITE]]*DIVERSFOURNISSEUR[[#This Row],[PRIX UNITAIRE]])</f>
        <v>0</v>
      </c>
      <c r="G43" s="14"/>
      <c r="H43" s="6">
        <f>+SUM($F$9:F43)-SUM($G$9:G43)</f>
        <v>0</v>
      </c>
    </row>
    <row r="44" spans="1:8" ht="28.8" x14ac:dyDescent="0.55000000000000004">
      <c r="A44" s="12"/>
      <c r="B44" s="111"/>
      <c r="C44" s="13"/>
      <c r="D44" s="10"/>
      <c r="E44" s="10"/>
      <c r="F44" s="7">
        <f>+$I$2+(DIVERSFOURNISSEUR[[#This Row],[QUANTITE]]*DIVERSFOURNISSEUR[[#This Row],[PRIX UNITAIRE]])</f>
        <v>0</v>
      </c>
      <c r="G44" s="14"/>
      <c r="H44" s="6">
        <f>+SUM($F$9:F44)-SUM($G$9:G44)</f>
        <v>0</v>
      </c>
    </row>
    <row r="45" spans="1:8" ht="28.8" x14ac:dyDescent="0.55000000000000004">
      <c r="A45" s="12"/>
      <c r="B45" s="111"/>
      <c r="C45" s="13"/>
      <c r="D45" s="10"/>
      <c r="E45" s="10"/>
      <c r="F45" s="7">
        <f>+$I$2+(DIVERSFOURNISSEUR[[#This Row],[QUANTITE]]*DIVERSFOURNISSEUR[[#This Row],[PRIX UNITAIRE]])</f>
        <v>0</v>
      </c>
      <c r="G45" s="14"/>
      <c r="H45" s="6">
        <f>+SUM($F$9:F45)-SUM($G$9:G45)</f>
        <v>0</v>
      </c>
    </row>
    <row r="46" spans="1:8" ht="28.8" x14ac:dyDescent="0.55000000000000004">
      <c r="A46" s="12"/>
      <c r="B46" s="111"/>
      <c r="C46" s="13"/>
      <c r="D46" s="10"/>
      <c r="E46" s="10"/>
      <c r="F46" s="7">
        <f>+$I$2+(DIVERSFOURNISSEUR[[#This Row],[QUANTITE]]*DIVERSFOURNISSEUR[[#This Row],[PRIX UNITAIRE]])</f>
        <v>0</v>
      </c>
      <c r="G46" s="14"/>
      <c r="H46" s="6">
        <f>+SUM($F$9:F46)-SUM($G$9:G46)</f>
        <v>0</v>
      </c>
    </row>
    <row r="47" spans="1:8" ht="28.8" x14ac:dyDescent="0.55000000000000004">
      <c r="A47" s="12"/>
      <c r="B47" s="111"/>
      <c r="C47" s="13"/>
      <c r="D47" s="10"/>
      <c r="E47" s="10"/>
      <c r="F47" s="7">
        <f>+$I$2+(DIVERSFOURNISSEUR[[#This Row],[QUANTITE]]*DIVERSFOURNISSEUR[[#This Row],[PRIX UNITAIRE]])</f>
        <v>0</v>
      </c>
      <c r="G47" s="14"/>
      <c r="H47" s="6">
        <f>+SUM($F$9:F47)-SUM($G$9:G47)</f>
        <v>0</v>
      </c>
    </row>
    <row r="48" spans="1:8" ht="28.8" x14ac:dyDescent="0.55000000000000004">
      <c r="A48" s="12"/>
      <c r="B48" s="111"/>
      <c r="C48" s="13"/>
      <c r="D48" s="10"/>
      <c r="E48" s="10"/>
      <c r="F48" s="7">
        <f>+$I$2+(DIVERSFOURNISSEUR[[#This Row],[QUANTITE]]*DIVERSFOURNISSEUR[[#This Row],[PRIX UNITAIRE]])</f>
        <v>0</v>
      </c>
      <c r="G48" s="14"/>
      <c r="H48" s="6">
        <f>+SUM($F$9:F48)-SUM($G$9:G48)</f>
        <v>0</v>
      </c>
    </row>
    <row r="49" spans="1:8" ht="28.8" x14ac:dyDescent="0.55000000000000004">
      <c r="A49" s="12"/>
      <c r="B49" s="111"/>
      <c r="C49" s="13"/>
      <c r="D49" s="10"/>
      <c r="E49" s="10"/>
      <c r="F49" s="7">
        <f>+$I$2+(DIVERSFOURNISSEUR[[#This Row],[QUANTITE]]*DIVERSFOURNISSEUR[[#This Row],[PRIX UNITAIRE]])</f>
        <v>0</v>
      </c>
      <c r="G49" s="14"/>
      <c r="H49" s="6">
        <f>+SUM($F$9:F49)-SUM($G$9:G49)</f>
        <v>0</v>
      </c>
    </row>
    <row r="50" spans="1:8" ht="28.8" x14ac:dyDescent="0.55000000000000004">
      <c r="A50" s="12"/>
      <c r="B50" s="111"/>
      <c r="C50" s="13"/>
      <c r="D50" s="10"/>
      <c r="E50" s="10"/>
      <c r="F50" s="7">
        <f>+$I$2+(DIVERSFOURNISSEUR[[#This Row],[QUANTITE]]*DIVERSFOURNISSEUR[[#This Row],[PRIX UNITAIRE]])</f>
        <v>0</v>
      </c>
      <c r="G50" s="14"/>
      <c r="H50" s="6">
        <f>+SUM($F$9:F50)-SUM($G$9:G50)</f>
        <v>0</v>
      </c>
    </row>
    <row r="51" spans="1:8" ht="28.8" x14ac:dyDescent="0.55000000000000004">
      <c r="A51" s="12"/>
      <c r="B51" s="111"/>
      <c r="C51" s="13"/>
      <c r="D51" s="10"/>
      <c r="E51" s="10"/>
      <c r="F51" s="7">
        <f>+$I$2+(DIVERSFOURNISSEUR[[#This Row],[QUANTITE]]*DIVERSFOURNISSEUR[[#This Row],[PRIX UNITAIRE]])</f>
        <v>0</v>
      </c>
      <c r="G51" s="14"/>
      <c r="H51" s="6">
        <f>+SUM($F$9:F51)-SUM($G$9:G51)</f>
        <v>0</v>
      </c>
    </row>
    <row r="52" spans="1:8" ht="28.8" x14ac:dyDescent="0.55000000000000004">
      <c r="A52" s="12"/>
      <c r="B52" s="111"/>
      <c r="C52" s="13"/>
      <c r="D52" s="10"/>
      <c r="E52" s="10"/>
      <c r="F52" s="7">
        <f>+$I$2+(DIVERSFOURNISSEUR[[#This Row],[QUANTITE]]*DIVERSFOURNISSEUR[[#This Row],[PRIX UNITAIRE]])</f>
        <v>0</v>
      </c>
      <c r="G52" s="14"/>
      <c r="H52" s="6">
        <f>+SUM($F$9:F52)-SUM($G$9:G52)</f>
        <v>0</v>
      </c>
    </row>
    <row r="53" spans="1:8" ht="28.8" x14ac:dyDescent="0.55000000000000004">
      <c r="A53" s="12"/>
      <c r="B53" s="111"/>
      <c r="C53" s="13"/>
      <c r="D53" s="10"/>
      <c r="E53" s="10"/>
      <c r="F53" s="7">
        <f>+$I$2+(DIVERSFOURNISSEUR[[#This Row],[QUANTITE]]*DIVERSFOURNISSEUR[[#This Row],[PRIX UNITAIRE]])</f>
        <v>0</v>
      </c>
      <c r="G53" s="14"/>
      <c r="H53" s="6">
        <f>+SUM($F$9:F53)-SUM($G$9:G53)</f>
        <v>0</v>
      </c>
    </row>
    <row r="54" spans="1:8" ht="28.8" x14ac:dyDescent="0.55000000000000004">
      <c r="A54" s="12"/>
      <c r="B54" s="111"/>
      <c r="C54" s="13"/>
      <c r="D54" s="10"/>
      <c r="E54" s="10"/>
      <c r="F54" s="7">
        <f>+$I$2+(DIVERSFOURNISSEUR[[#This Row],[QUANTITE]]*DIVERSFOURNISSEUR[[#This Row],[PRIX UNITAIRE]])</f>
        <v>0</v>
      </c>
      <c r="G54" s="14"/>
      <c r="H54" s="6">
        <f>+SUM($F$9:F54)-SUM($G$9:G54)</f>
        <v>0</v>
      </c>
    </row>
    <row r="55" spans="1:8" ht="28.8" x14ac:dyDescent="0.55000000000000004">
      <c r="A55" s="12"/>
      <c r="B55" s="111"/>
      <c r="C55" s="13"/>
      <c r="D55" s="10"/>
      <c r="E55" s="10"/>
      <c r="F55" s="7">
        <f>+$I$2+(DIVERSFOURNISSEUR[[#This Row],[QUANTITE]]*DIVERSFOURNISSEUR[[#This Row],[PRIX UNITAIRE]])</f>
        <v>0</v>
      </c>
      <c r="G55" s="14"/>
      <c r="H55" s="6">
        <f>+SUM($F$9:F55)-SUM($G$9:G55)</f>
        <v>0</v>
      </c>
    </row>
    <row r="56" spans="1:8" ht="28.8" x14ac:dyDescent="0.55000000000000004">
      <c r="A56" s="12"/>
      <c r="B56" s="111"/>
      <c r="C56" s="13"/>
      <c r="D56" s="10"/>
      <c r="E56" s="10"/>
      <c r="F56" s="7">
        <f>+$I$2+(DIVERSFOURNISSEUR[[#This Row],[QUANTITE]]*DIVERSFOURNISSEUR[[#This Row],[PRIX UNITAIRE]])</f>
        <v>0</v>
      </c>
      <c r="G56" s="14"/>
      <c r="H56" s="6">
        <f>+SUM($F$9:F56)-SUM($G$9:G56)</f>
        <v>0</v>
      </c>
    </row>
    <row r="57" spans="1:8" ht="28.8" x14ac:dyDescent="0.55000000000000004">
      <c r="A57" s="12"/>
      <c r="B57" s="111"/>
      <c r="C57" s="13"/>
      <c r="D57" s="10"/>
      <c r="E57" s="10"/>
      <c r="F57" s="7">
        <f>+$I$2+(DIVERSFOURNISSEUR[[#This Row],[QUANTITE]]*DIVERSFOURNISSEUR[[#This Row],[PRIX UNITAIRE]])</f>
        <v>0</v>
      </c>
      <c r="G57" s="14"/>
      <c r="H57" s="6">
        <f>+SUM($F$9:F57)-SUM($G$9:G57)</f>
        <v>0</v>
      </c>
    </row>
    <row r="58" spans="1:8" ht="28.8" x14ac:dyDescent="0.55000000000000004">
      <c r="A58" s="12"/>
      <c r="B58" s="111"/>
      <c r="C58" s="13"/>
      <c r="D58" s="10"/>
      <c r="E58" s="10"/>
      <c r="F58" s="7">
        <f>+$I$2+(DIVERSFOURNISSEUR[[#This Row],[QUANTITE]]*DIVERSFOURNISSEUR[[#This Row],[PRIX UNITAIRE]])</f>
        <v>0</v>
      </c>
      <c r="G58" s="14"/>
      <c r="H58" s="6">
        <f>+SUM($F$9:F58)-SUM($G$9:G58)</f>
        <v>0</v>
      </c>
    </row>
    <row r="59" spans="1:8" ht="28.8" x14ac:dyDescent="0.55000000000000004">
      <c r="A59" s="12"/>
      <c r="B59" s="111"/>
      <c r="C59" s="13"/>
      <c r="D59" s="10"/>
      <c r="E59" s="10"/>
      <c r="F59" s="7">
        <f>+$I$2+(DIVERSFOURNISSEUR[[#This Row],[QUANTITE]]*DIVERSFOURNISSEUR[[#This Row],[PRIX UNITAIRE]])</f>
        <v>0</v>
      </c>
      <c r="G59" s="14"/>
      <c r="H59" s="6">
        <f>+SUM($F$9:F59)-SUM($G$9:G59)</f>
        <v>0</v>
      </c>
    </row>
    <row r="60" spans="1:8" ht="28.8" x14ac:dyDescent="0.55000000000000004">
      <c r="A60" s="12"/>
      <c r="B60" s="111"/>
      <c r="C60" s="13"/>
      <c r="D60" s="10"/>
      <c r="E60" s="10"/>
      <c r="F60" s="7">
        <f>+$I$2+(DIVERSFOURNISSEUR[[#This Row],[QUANTITE]]*DIVERSFOURNISSEUR[[#This Row],[PRIX UNITAIRE]])</f>
        <v>0</v>
      </c>
      <c r="G60" s="14"/>
      <c r="H60" s="6">
        <f>+SUM($F$9:F60)-SUM($G$9:G60)</f>
        <v>0</v>
      </c>
    </row>
    <row r="61" spans="1:8" ht="28.8" x14ac:dyDescent="0.55000000000000004">
      <c r="A61" s="12"/>
      <c r="B61" s="111"/>
      <c r="C61" s="13"/>
      <c r="D61" s="10"/>
      <c r="E61" s="10"/>
      <c r="F61" s="7">
        <f>+$I$2+(DIVERSFOURNISSEUR[[#This Row],[QUANTITE]]*DIVERSFOURNISSEUR[[#This Row],[PRIX UNITAIRE]])</f>
        <v>0</v>
      </c>
      <c r="G61" s="14"/>
      <c r="H61" s="6">
        <f>+SUM($F$9:F61)-SUM($G$9:G61)</f>
        <v>0</v>
      </c>
    </row>
    <row r="62" spans="1:8" ht="28.8" x14ac:dyDescent="0.55000000000000004">
      <c r="A62" s="12"/>
      <c r="B62" s="111"/>
      <c r="C62" s="13"/>
      <c r="D62" s="10"/>
      <c r="E62" s="10"/>
      <c r="F62" s="7">
        <f>+$I$2+(DIVERSFOURNISSEUR[[#This Row],[QUANTITE]]*DIVERSFOURNISSEUR[[#This Row],[PRIX UNITAIRE]])</f>
        <v>0</v>
      </c>
      <c r="G62" s="14"/>
      <c r="H62" s="6">
        <f>+SUM($F$9:F62)-SUM($G$9:G62)</f>
        <v>0</v>
      </c>
    </row>
    <row r="63" spans="1:8" ht="28.8" x14ac:dyDescent="0.55000000000000004">
      <c r="A63" s="12"/>
      <c r="B63" s="111"/>
      <c r="C63" s="13"/>
      <c r="D63" s="10"/>
      <c r="E63" s="10"/>
      <c r="F63" s="7">
        <f>+$I$2+(DIVERSFOURNISSEUR[[#This Row],[QUANTITE]]*DIVERSFOURNISSEUR[[#This Row],[PRIX UNITAIRE]])</f>
        <v>0</v>
      </c>
      <c r="G63" s="14"/>
      <c r="H63" s="6">
        <f>+SUM($F$9:F63)-SUM($G$9:G63)</f>
        <v>0</v>
      </c>
    </row>
    <row r="64" spans="1:8" ht="28.8" x14ac:dyDescent="0.55000000000000004">
      <c r="A64" s="12"/>
      <c r="B64" s="111"/>
      <c r="C64" s="13"/>
      <c r="D64" s="10"/>
      <c r="E64" s="10"/>
      <c r="F64" s="7">
        <f>+$I$2+(DIVERSFOURNISSEUR[[#This Row],[QUANTITE]]*DIVERSFOURNISSEUR[[#This Row],[PRIX UNITAIRE]])</f>
        <v>0</v>
      </c>
      <c r="G64" s="14"/>
      <c r="H64" s="6">
        <f>+SUM($F$9:F64)-SUM($G$9:G64)</f>
        <v>0</v>
      </c>
    </row>
    <row r="65" spans="1:8" ht="28.8" x14ac:dyDescent="0.55000000000000004">
      <c r="A65" s="12"/>
      <c r="B65" s="111"/>
      <c r="C65" s="13"/>
      <c r="D65" s="10"/>
      <c r="E65" s="10"/>
      <c r="F65" s="7">
        <f>+$I$2+(DIVERSFOURNISSEUR[[#This Row],[QUANTITE]]*DIVERSFOURNISSEUR[[#This Row],[PRIX UNITAIRE]])</f>
        <v>0</v>
      </c>
      <c r="G65" s="14"/>
      <c r="H65" s="6">
        <f>+SUM($F$9:F65)-SUM($G$9:G65)</f>
        <v>0</v>
      </c>
    </row>
    <row r="66" spans="1:8" ht="28.8" x14ac:dyDescent="0.55000000000000004">
      <c r="A66" s="12"/>
      <c r="B66" s="111"/>
      <c r="C66" s="13"/>
      <c r="D66" s="10"/>
      <c r="E66" s="10"/>
      <c r="F66" s="7">
        <f>+$I$2+(DIVERSFOURNISSEUR[[#This Row],[QUANTITE]]*DIVERSFOURNISSEUR[[#This Row],[PRIX UNITAIRE]])</f>
        <v>0</v>
      </c>
      <c r="G66" s="14"/>
      <c r="H66" s="6">
        <f>+SUM($F$9:F66)-SUM($G$9:G66)</f>
        <v>0</v>
      </c>
    </row>
    <row r="67" spans="1:8" ht="28.8" x14ac:dyDescent="0.55000000000000004">
      <c r="A67" s="12"/>
      <c r="B67" s="111"/>
      <c r="C67" s="13"/>
      <c r="D67" s="10"/>
      <c r="E67" s="10"/>
      <c r="F67" s="7">
        <f>+$I$2+(DIVERSFOURNISSEUR[[#This Row],[QUANTITE]]*DIVERSFOURNISSEUR[[#This Row],[PRIX UNITAIRE]])</f>
        <v>0</v>
      </c>
      <c r="G67" s="14"/>
      <c r="H67" s="6">
        <f>+SUM($F$9:F67)-SUM($G$9:G67)</f>
        <v>0</v>
      </c>
    </row>
    <row r="68" spans="1:8" ht="28.8" x14ac:dyDescent="0.55000000000000004">
      <c r="A68" s="12"/>
      <c r="B68" s="111"/>
      <c r="C68" s="13"/>
      <c r="D68" s="10"/>
      <c r="E68" s="10"/>
      <c r="F68" s="7">
        <f>+$I$2+(DIVERSFOURNISSEUR[[#This Row],[QUANTITE]]*DIVERSFOURNISSEUR[[#This Row],[PRIX UNITAIRE]])</f>
        <v>0</v>
      </c>
      <c r="G68" s="14"/>
      <c r="H68" s="6">
        <f>+SUM($F$9:F68)-SUM($G$9:G68)</f>
        <v>0</v>
      </c>
    </row>
    <row r="69" spans="1:8" ht="28.8" x14ac:dyDescent="0.55000000000000004">
      <c r="A69" s="12"/>
      <c r="B69" s="111"/>
      <c r="C69" s="13"/>
      <c r="D69" s="10"/>
      <c r="E69" s="10"/>
      <c r="F69" s="7">
        <f>+$I$2+(DIVERSFOURNISSEUR[[#This Row],[QUANTITE]]*DIVERSFOURNISSEUR[[#This Row],[PRIX UNITAIRE]])</f>
        <v>0</v>
      </c>
      <c r="G69" s="14"/>
      <c r="H69" s="6">
        <f>+SUM($F$9:F69)-SUM($G$9:G69)</f>
        <v>0</v>
      </c>
    </row>
  </sheetData>
  <sheetProtection selectLockedCells="1" autoFilter="0"/>
  <mergeCells count="1">
    <mergeCell ref="B6:C6"/>
  </mergeCells>
  <conditionalFormatting sqref="C9:C69">
    <cfRule type="expression" dxfId="540" priority="5">
      <formula>$G9</formula>
    </cfRule>
  </conditionalFormatting>
  <conditionalFormatting sqref="G4">
    <cfRule type="cellIs" dxfId="539" priority="2" operator="lessThan">
      <formula>0</formula>
    </cfRule>
    <cfRule type="cellIs" dxfId="538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B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I69"/>
  <sheetViews>
    <sheetView showGridLines="0" topLeftCell="D1" zoomScale="60" zoomScaleNormal="60" zoomScaleSheetLayoutView="70" workbookViewId="0">
      <pane ySplit="8" topLeftCell="A9" activePane="bottomLeft" state="frozen"/>
      <selection activeCell="L10" sqref="L10"/>
      <selection pane="bottomLeft" activeCell="B18" sqref="B18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+SUM(ROULEMENTMONDIAL[TOTAL MONTANT])</f>
        <v>291285.56</v>
      </c>
      <c r="F4" s="39">
        <f>+SUM(ROULEMENTMONDIAL[VERSEMENT])</f>
        <v>285000</v>
      </c>
      <c r="G4" s="97">
        <f>+E4-F4</f>
        <v>6285.5599999999977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123</v>
      </c>
      <c r="C6" s="114"/>
      <c r="E6" s="42" t="b">
        <v>0</v>
      </c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46062</v>
      </c>
      <c r="B9" s="13" t="s">
        <v>116</v>
      </c>
      <c r="C9" s="10">
        <v>5</v>
      </c>
      <c r="D9" s="10">
        <v>10884</v>
      </c>
      <c r="E9" s="7">
        <v>54420</v>
      </c>
      <c r="F9" s="14">
        <v>0</v>
      </c>
      <c r="G9" s="6">
        <f>+SUM(E$9:$E9)-SUM(F$9:$F9)</f>
        <v>54420</v>
      </c>
    </row>
    <row r="10" spans="1:9" ht="28.8" x14ac:dyDescent="0.55000000000000004">
      <c r="A10" s="12">
        <v>45414</v>
      </c>
      <c r="B10" s="13" t="s">
        <v>117</v>
      </c>
      <c r="C10" s="10">
        <v>4</v>
      </c>
      <c r="D10" s="10">
        <v>9310</v>
      </c>
      <c r="E10" s="7">
        <v>37240</v>
      </c>
      <c r="F10" s="14">
        <v>0</v>
      </c>
      <c r="G10" s="6">
        <f>+SUM(E$9:$E10)-SUM(F$9:$F10)</f>
        <v>91660</v>
      </c>
    </row>
    <row r="11" spans="1:9" ht="28.8" x14ac:dyDescent="0.55000000000000004">
      <c r="A11" s="12">
        <v>45450</v>
      </c>
      <c r="B11" s="13" t="s">
        <v>118</v>
      </c>
      <c r="C11" s="10">
        <v>4</v>
      </c>
      <c r="D11" s="10">
        <v>9581</v>
      </c>
      <c r="E11" s="7">
        <v>38324</v>
      </c>
      <c r="F11" s="14">
        <v>0</v>
      </c>
      <c r="G11" s="6">
        <f>+SUM(E$9:$E11)-SUM(F$9:$F11)</f>
        <v>129984</v>
      </c>
    </row>
    <row r="12" spans="1:9" ht="28.8" x14ac:dyDescent="0.55000000000000004">
      <c r="A12" s="12">
        <v>45516</v>
      </c>
      <c r="B12" s="13" t="s">
        <v>119</v>
      </c>
      <c r="C12" s="10">
        <v>1</v>
      </c>
      <c r="D12" s="10">
        <v>7766</v>
      </c>
      <c r="E12" s="7">
        <v>7766</v>
      </c>
      <c r="F12" s="14">
        <v>0</v>
      </c>
      <c r="G12" s="6">
        <f>+SUM(E$9:$E12)-SUM(F$9:$F12)</f>
        <v>137750</v>
      </c>
    </row>
    <row r="13" spans="1:9" ht="28.8" x14ac:dyDescent="0.55000000000000004">
      <c r="A13" s="12">
        <v>45550</v>
      </c>
      <c r="B13" s="13" t="s">
        <v>120</v>
      </c>
      <c r="C13" s="10">
        <v>4</v>
      </c>
      <c r="D13" s="10">
        <v>18736</v>
      </c>
      <c r="E13" s="7">
        <v>74944</v>
      </c>
      <c r="F13" s="14">
        <v>0</v>
      </c>
      <c r="G13" s="6">
        <f>+SUM(E$9:$E13)-SUM(F$9:$F13)</f>
        <v>212694</v>
      </c>
    </row>
    <row r="14" spans="1:9" ht="28.8" x14ac:dyDescent="0.55000000000000004">
      <c r="A14" s="12">
        <v>46094</v>
      </c>
      <c r="B14" s="13" t="s">
        <v>121</v>
      </c>
      <c r="C14" s="10">
        <v>2</v>
      </c>
      <c r="D14" s="10">
        <v>17146.53</v>
      </c>
      <c r="E14" s="7">
        <v>34293.06</v>
      </c>
      <c r="F14" s="14">
        <v>0</v>
      </c>
      <c r="G14" s="6">
        <f>+SUM(E$9:$E14)-SUM(F$9:$F14)</f>
        <v>246987.06</v>
      </c>
    </row>
    <row r="15" spans="1:9" ht="28.8" x14ac:dyDescent="0.55000000000000004">
      <c r="A15" s="12">
        <v>46094</v>
      </c>
      <c r="B15" s="13" t="s">
        <v>122</v>
      </c>
      <c r="C15" s="10">
        <v>3</v>
      </c>
      <c r="D15" s="10">
        <v>12599.5</v>
      </c>
      <c r="E15" s="7">
        <v>37798.5</v>
      </c>
      <c r="F15" s="14">
        <v>0</v>
      </c>
      <c r="G15" s="6">
        <f>+SUM(E$9:$E15)-SUM(F$9:$F15)</f>
        <v>284785.56</v>
      </c>
    </row>
    <row r="16" spans="1:9" ht="28.8" x14ac:dyDescent="0.55000000000000004">
      <c r="A16" s="12">
        <v>46095</v>
      </c>
      <c r="B16" s="13" t="s">
        <v>11</v>
      </c>
      <c r="C16" s="10">
        <v>1</v>
      </c>
      <c r="D16" s="10">
        <v>0</v>
      </c>
      <c r="E16" s="7">
        <v>0</v>
      </c>
      <c r="F16" s="14">
        <v>285000</v>
      </c>
      <c r="G16" s="6">
        <f>+SUM(E$9:$E16)-SUM(F$9:$F16)</f>
        <v>-214.44000000000233</v>
      </c>
    </row>
    <row r="17" spans="1:7" ht="28.8" x14ac:dyDescent="0.55000000000000004">
      <c r="A17" s="12">
        <v>46100</v>
      </c>
      <c r="B17" s="13" t="s">
        <v>201</v>
      </c>
      <c r="C17" s="10">
        <v>1</v>
      </c>
      <c r="D17" s="10">
        <v>6500</v>
      </c>
      <c r="E17" s="7">
        <f>+$I$2+(ROULEMENTMONDIAL[[#This Row],[QUANTITE]]*ROULEMENTMONDIAL[[#This Row],[PRIX UNITAIRE]])</f>
        <v>6500</v>
      </c>
      <c r="F17" s="14"/>
      <c r="G17" s="6">
        <f>+SUM(E$9:$E17)-SUM(F$9:$F17)</f>
        <v>6285.5599999999977</v>
      </c>
    </row>
    <row r="18" spans="1:7" ht="28.8" x14ac:dyDescent="0.55000000000000004">
      <c r="A18" s="12"/>
      <c r="B18" s="13"/>
      <c r="C18" s="10"/>
      <c r="D18" s="10"/>
      <c r="E18" s="7">
        <f>+$I$2+(ROULEMENTMONDIAL[[#This Row],[QUANTITE]]*ROULEMENTMONDIAL[[#This Row],[PRIX UNITAIRE]])</f>
        <v>0</v>
      </c>
      <c r="F18" s="14"/>
      <c r="G18" s="6">
        <f>+SUM(E$9:$E18)-SUM(F$9:$F18)</f>
        <v>6285.5599999999977</v>
      </c>
    </row>
    <row r="19" spans="1:7" ht="28.8" x14ac:dyDescent="0.55000000000000004">
      <c r="A19" s="12"/>
      <c r="B19" s="13"/>
      <c r="C19" s="10"/>
      <c r="D19" s="10"/>
      <c r="E19" s="7">
        <f>+$I$2+(ROULEMENTMONDIAL[[#This Row],[QUANTITE]]*ROULEMENTMONDIAL[[#This Row],[PRIX UNITAIRE]])</f>
        <v>0</v>
      </c>
      <c r="F19" s="14"/>
      <c r="G19" s="6">
        <f>+SUM(E$9:$E19)-SUM(F$9:$F19)</f>
        <v>6285.5599999999977</v>
      </c>
    </row>
    <row r="20" spans="1:7" ht="28.8" x14ac:dyDescent="0.55000000000000004">
      <c r="A20" s="12"/>
      <c r="B20" s="13"/>
      <c r="C20" s="10"/>
      <c r="D20" s="10"/>
      <c r="E20" s="7">
        <f>+$I$2+(ROULEMENTMONDIAL[[#This Row],[QUANTITE]]*ROULEMENTMONDIAL[[#This Row],[PRIX UNITAIRE]])</f>
        <v>0</v>
      </c>
      <c r="F20" s="14"/>
      <c r="G20" s="6">
        <f>+SUM(E$9:$E20)-SUM(F$9:$F20)</f>
        <v>6285.5599999999977</v>
      </c>
    </row>
    <row r="21" spans="1:7" ht="28.8" x14ac:dyDescent="0.55000000000000004">
      <c r="A21" s="12"/>
      <c r="B21" s="13"/>
      <c r="C21" s="10"/>
      <c r="D21" s="10"/>
      <c r="E21" s="7">
        <f>+$I$2+(ROULEMENTMONDIAL[[#This Row],[QUANTITE]]*ROULEMENTMONDIAL[[#This Row],[PRIX UNITAIRE]])</f>
        <v>0</v>
      </c>
      <c r="F21" s="14"/>
      <c r="G21" s="6">
        <f>+SUM(E$9:$E21)-SUM(F$9:$F21)</f>
        <v>6285.5599999999977</v>
      </c>
    </row>
    <row r="22" spans="1:7" ht="28.8" x14ac:dyDescent="0.55000000000000004">
      <c r="A22" s="12"/>
      <c r="B22" s="13"/>
      <c r="C22" s="10"/>
      <c r="D22" s="10"/>
      <c r="E22" s="7">
        <f>+$I$2+(ROULEMENTMONDIAL[[#This Row],[QUANTITE]]*ROULEMENTMONDIAL[[#This Row],[PRIX UNITAIRE]])</f>
        <v>0</v>
      </c>
      <c r="F22" s="14"/>
      <c r="G22" s="6">
        <f>+SUM(E$9:$E22)-SUM(F$9:$F22)</f>
        <v>6285.5599999999977</v>
      </c>
    </row>
    <row r="23" spans="1:7" ht="28.8" x14ac:dyDescent="0.55000000000000004">
      <c r="A23" s="12"/>
      <c r="B23" s="13"/>
      <c r="C23" s="10"/>
      <c r="D23" s="10"/>
      <c r="E23" s="7">
        <f>+$I$2+(ROULEMENTMONDIAL[[#This Row],[QUANTITE]]*ROULEMENTMONDIAL[[#This Row],[PRIX UNITAIRE]])</f>
        <v>0</v>
      </c>
      <c r="F23" s="14"/>
      <c r="G23" s="6">
        <f>+SUM(E$9:$E23)-SUM(F$9:$F23)</f>
        <v>6285.5599999999977</v>
      </c>
    </row>
    <row r="24" spans="1:7" ht="28.8" x14ac:dyDescent="0.55000000000000004">
      <c r="A24" s="12"/>
      <c r="B24" s="13"/>
      <c r="C24" s="10"/>
      <c r="D24" s="10"/>
      <c r="E24" s="7">
        <f>+$I$2+(ROULEMENTMONDIAL[[#This Row],[QUANTITE]]*ROULEMENTMONDIAL[[#This Row],[PRIX UNITAIRE]])</f>
        <v>0</v>
      </c>
      <c r="F24" s="14"/>
      <c r="G24" s="6">
        <f>+SUM(E$9:$E24)-SUM(F$9:$F24)</f>
        <v>6285.5599999999977</v>
      </c>
    </row>
    <row r="25" spans="1:7" ht="28.8" x14ac:dyDescent="0.55000000000000004">
      <c r="A25" s="12"/>
      <c r="B25" s="13"/>
      <c r="C25" s="10"/>
      <c r="D25" s="10"/>
      <c r="E25" s="7">
        <f>+$I$2+(ROULEMENTMONDIAL[[#This Row],[QUANTITE]]*ROULEMENTMONDIAL[[#This Row],[PRIX UNITAIRE]])</f>
        <v>0</v>
      </c>
      <c r="F25" s="14"/>
      <c r="G25" s="6">
        <f>+SUM(E$9:$E25)-SUM(F$9:$F25)</f>
        <v>6285.5599999999977</v>
      </c>
    </row>
    <row r="26" spans="1:7" ht="28.8" x14ac:dyDescent="0.55000000000000004">
      <c r="A26" s="12"/>
      <c r="B26" s="13"/>
      <c r="C26" s="10"/>
      <c r="D26" s="10"/>
      <c r="E26" s="7">
        <f>+$I$2+(ROULEMENTMONDIAL[[#This Row],[QUANTITE]]*ROULEMENTMONDIAL[[#This Row],[PRIX UNITAIRE]])</f>
        <v>0</v>
      </c>
      <c r="F26" s="14"/>
      <c r="G26" s="6">
        <f>+SUM(E$9:$E26)-SUM(F$9:$F26)</f>
        <v>6285.5599999999977</v>
      </c>
    </row>
    <row r="27" spans="1:7" ht="28.8" x14ac:dyDescent="0.55000000000000004">
      <c r="A27" s="12"/>
      <c r="B27" s="13"/>
      <c r="C27" s="10"/>
      <c r="D27" s="10"/>
      <c r="E27" s="7">
        <f>+$I$2+(ROULEMENTMONDIAL[[#This Row],[QUANTITE]]*ROULEMENTMONDIAL[[#This Row],[PRIX UNITAIRE]])</f>
        <v>0</v>
      </c>
      <c r="F27" s="14"/>
      <c r="G27" s="6">
        <f>+SUM(E$9:$E27)-SUM(F$9:$F27)</f>
        <v>6285.5599999999977</v>
      </c>
    </row>
    <row r="28" spans="1:7" ht="28.8" x14ac:dyDescent="0.55000000000000004">
      <c r="A28" s="12"/>
      <c r="B28" s="13"/>
      <c r="C28" s="10"/>
      <c r="D28" s="10"/>
      <c r="E28" s="7">
        <f>+$I$2+(ROULEMENTMONDIAL[[#This Row],[QUANTITE]]*ROULEMENTMONDIAL[[#This Row],[PRIX UNITAIRE]])</f>
        <v>0</v>
      </c>
      <c r="F28" s="14"/>
      <c r="G28" s="6">
        <f>+SUM(E$9:$E28)-SUM(F$9:$F28)</f>
        <v>6285.5599999999977</v>
      </c>
    </row>
    <row r="29" spans="1:7" ht="28.8" x14ac:dyDescent="0.55000000000000004">
      <c r="A29" s="12"/>
      <c r="B29" s="13"/>
      <c r="C29" s="10"/>
      <c r="D29" s="10"/>
      <c r="E29" s="7">
        <f>+$I$2+(ROULEMENTMONDIAL[[#This Row],[QUANTITE]]*ROULEMENTMONDIAL[[#This Row],[PRIX UNITAIRE]])</f>
        <v>0</v>
      </c>
      <c r="F29" s="14"/>
      <c r="G29" s="6">
        <f>+SUM(E$9:$E29)-SUM(F$9:$F29)</f>
        <v>6285.5599999999977</v>
      </c>
    </row>
    <row r="30" spans="1:7" ht="28.8" x14ac:dyDescent="0.55000000000000004">
      <c r="A30" s="12"/>
      <c r="B30" s="13"/>
      <c r="C30" s="10"/>
      <c r="D30" s="10"/>
      <c r="E30" s="7">
        <f>+$I$2+(ROULEMENTMONDIAL[[#This Row],[QUANTITE]]*ROULEMENTMONDIAL[[#This Row],[PRIX UNITAIRE]])</f>
        <v>0</v>
      </c>
      <c r="F30" s="14"/>
      <c r="G30" s="6">
        <f>+SUM(E$9:$E30)-SUM(F$9:$F30)</f>
        <v>6285.5599999999977</v>
      </c>
    </row>
    <row r="31" spans="1:7" ht="28.8" x14ac:dyDescent="0.55000000000000004">
      <c r="A31" s="12"/>
      <c r="B31" s="13"/>
      <c r="C31" s="10"/>
      <c r="D31" s="10"/>
      <c r="E31" s="7">
        <f>+$I$2+(ROULEMENTMONDIAL[[#This Row],[QUANTITE]]*ROULEMENTMONDIAL[[#This Row],[PRIX UNITAIRE]])</f>
        <v>0</v>
      </c>
      <c r="F31" s="14"/>
      <c r="G31" s="6">
        <f>+SUM(E$9:$E31)-SUM(F$9:$F31)</f>
        <v>6285.5599999999977</v>
      </c>
    </row>
    <row r="32" spans="1:7" ht="28.8" x14ac:dyDescent="0.55000000000000004">
      <c r="A32" s="12"/>
      <c r="B32" s="13"/>
      <c r="C32" s="10"/>
      <c r="D32" s="10"/>
      <c r="E32" s="7">
        <f>+$I$2+(ROULEMENTMONDIAL[[#This Row],[QUANTITE]]*ROULEMENTMONDIAL[[#This Row],[PRIX UNITAIRE]])</f>
        <v>0</v>
      </c>
      <c r="F32" s="14"/>
      <c r="G32" s="6">
        <f>+SUM(E$9:$E32)-SUM(F$9:$F32)</f>
        <v>6285.5599999999977</v>
      </c>
    </row>
    <row r="33" spans="1:7" ht="28.8" x14ac:dyDescent="0.55000000000000004">
      <c r="A33" s="12"/>
      <c r="B33" s="13"/>
      <c r="C33" s="10"/>
      <c r="D33" s="10"/>
      <c r="E33" s="7">
        <f>+$I$2+(ROULEMENTMONDIAL[[#This Row],[QUANTITE]]*ROULEMENTMONDIAL[[#This Row],[PRIX UNITAIRE]])</f>
        <v>0</v>
      </c>
      <c r="F33" s="14"/>
      <c r="G33" s="6">
        <f>+SUM(E$9:$E33)-SUM(F$9:$F33)</f>
        <v>6285.5599999999977</v>
      </c>
    </row>
    <row r="34" spans="1:7" ht="28.8" x14ac:dyDescent="0.55000000000000004">
      <c r="A34" s="12"/>
      <c r="B34" s="13"/>
      <c r="C34" s="10"/>
      <c r="D34" s="10"/>
      <c r="E34" s="7">
        <f>+$I$2+(ROULEMENTMONDIAL[[#This Row],[QUANTITE]]*ROULEMENTMONDIAL[[#This Row],[PRIX UNITAIRE]])</f>
        <v>0</v>
      </c>
      <c r="F34" s="14"/>
      <c r="G34" s="6">
        <f>+SUM(E$9:$E34)-SUM(F$9:$F34)</f>
        <v>6285.5599999999977</v>
      </c>
    </row>
    <row r="35" spans="1:7" ht="28.8" x14ac:dyDescent="0.55000000000000004">
      <c r="A35" s="12"/>
      <c r="B35" s="13"/>
      <c r="C35" s="10"/>
      <c r="D35" s="10"/>
      <c r="E35" s="7">
        <f>+$I$2+(ROULEMENTMONDIAL[[#This Row],[QUANTITE]]*ROULEMENTMONDIAL[[#This Row],[PRIX UNITAIRE]])</f>
        <v>0</v>
      </c>
      <c r="F35" s="14"/>
      <c r="G35" s="6">
        <f>+SUM(E$9:$E35)-SUM(F$9:$F35)</f>
        <v>6285.5599999999977</v>
      </c>
    </row>
    <row r="36" spans="1:7" ht="28.8" x14ac:dyDescent="0.55000000000000004">
      <c r="A36" s="12"/>
      <c r="B36" s="13"/>
      <c r="C36" s="10"/>
      <c r="D36" s="10"/>
      <c r="E36" s="7">
        <f>+$I$2+(ROULEMENTMONDIAL[[#This Row],[QUANTITE]]*ROULEMENTMONDIAL[[#This Row],[PRIX UNITAIRE]])</f>
        <v>0</v>
      </c>
      <c r="F36" s="14"/>
      <c r="G36" s="6">
        <f>+SUM(E$9:$E36)-SUM(F$9:$F36)</f>
        <v>6285.5599999999977</v>
      </c>
    </row>
    <row r="37" spans="1:7" ht="28.8" x14ac:dyDescent="0.55000000000000004">
      <c r="A37" s="12"/>
      <c r="B37" s="13"/>
      <c r="C37" s="10"/>
      <c r="D37" s="10"/>
      <c r="E37" s="7">
        <f>+$I$2+(ROULEMENTMONDIAL[[#This Row],[QUANTITE]]*ROULEMENTMONDIAL[[#This Row],[PRIX UNITAIRE]])</f>
        <v>0</v>
      </c>
      <c r="F37" s="14"/>
      <c r="G37" s="6">
        <f>+SUM(E$9:$E37)-SUM(F$9:$F37)</f>
        <v>6285.5599999999977</v>
      </c>
    </row>
    <row r="38" spans="1:7" ht="28.8" x14ac:dyDescent="0.55000000000000004">
      <c r="A38" s="12"/>
      <c r="B38" s="13"/>
      <c r="C38" s="10"/>
      <c r="D38" s="10"/>
      <c r="E38" s="7">
        <f>+$I$2+(ROULEMENTMONDIAL[[#This Row],[QUANTITE]]*ROULEMENTMONDIAL[[#This Row],[PRIX UNITAIRE]])</f>
        <v>0</v>
      </c>
      <c r="F38" s="14"/>
      <c r="G38" s="6">
        <f>+SUM(E$9:$E38)-SUM(F$9:$F38)</f>
        <v>6285.5599999999977</v>
      </c>
    </row>
    <row r="39" spans="1:7" ht="28.8" x14ac:dyDescent="0.55000000000000004">
      <c r="A39" s="12"/>
      <c r="B39" s="13"/>
      <c r="C39" s="10"/>
      <c r="D39" s="10"/>
      <c r="E39" s="7">
        <f>+$I$2+(ROULEMENTMONDIAL[[#This Row],[QUANTITE]]*ROULEMENTMONDIAL[[#This Row],[PRIX UNITAIRE]])</f>
        <v>0</v>
      </c>
      <c r="F39" s="14"/>
      <c r="G39" s="6">
        <f>+SUM(E$9:$E39)-SUM(F$9:$F39)</f>
        <v>6285.5599999999977</v>
      </c>
    </row>
    <row r="40" spans="1:7" ht="28.8" x14ac:dyDescent="0.55000000000000004">
      <c r="A40" s="12"/>
      <c r="B40" s="13"/>
      <c r="C40" s="10"/>
      <c r="D40" s="10"/>
      <c r="E40" s="7">
        <f>+$I$2+(ROULEMENTMONDIAL[[#This Row],[QUANTITE]]*ROULEMENTMONDIAL[[#This Row],[PRIX UNITAIRE]])</f>
        <v>0</v>
      </c>
      <c r="F40" s="14"/>
      <c r="G40" s="6">
        <f>+SUM(E$9:$E40)-SUM(F$9:$F40)</f>
        <v>6285.5599999999977</v>
      </c>
    </row>
    <row r="41" spans="1:7" ht="28.8" x14ac:dyDescent="0.55000000000000004">
      <c r="A41" s="12"/>
      <c r="B41" s="13"/>
      <c r="C41" s="10"/>
      <c r="D41" s="10"/>
      <c r="E41" s="7">
        <f>+$I$2+(ROULEMENTMONDIAL[[#This Row],[QUANTITE]]*ROULEMENTMONDIAL[[#This Row],[PRIX UNITAIRE]])</f>
        <v>0</v>
      </c>
      <c r="F41" s="14"/>
      <c r="G41" s="6">
        <f>+SUM(E$9:$E41)-SUM(F$9:$F41)</f>
        <v>6285.5599999999977</v>
      </c>
    </row>
    <row r="42" spans="1:7" ht="28.8" x14ac:dyDescent="0.55000000000000004">
      <c r="A42" s="12"/>
      <c r="B42" s="13"/>
      <c r="C42" s="10"/>
      <c r="D42" s="10"/>
      <c r="E42" s="7">
        <f>+$I$2+(ROULEMENTMONDIAL[[#This Row],[QUANTITE]]*ROULEMENTMONDIAL[[#This Row],[PRIX UNITAIRE]])</f>
        <v>0</v>
      </c>
      <c r="F42" s="14"/>
      <c r="G42" s="6">
        <f>+SUM(E$9:$E42)-SUM(F$9:$F42)</f>
        <v>6285.5599999999977</v>
      </c>
    </row>
    <row r="43" spans="1:7" ht="28.8" x14ac:dyDescent="0.55000000000000004">
      <c r="A43" s="12"/>
      <c r="B43" s="13"/>
      <c r="C43" s="10"/>
      <c r="D43" s="10"/>
      <c r="E43" s="7">
        <f>+$I$2+(ROULEMENTMONDIAL[[#This Row],[QUANTITE]]*ROULEMENTMONDIAL[[#This Row],[PRIX UNITAIRE]])</f>
        <v>0</v>
      </c>
      <c r="F43" s="14"/>
      <c r="G43" s="6">
        <f>+SUM(E$9:$E43)-SUM(F$9:$F43)</f>
        <v>6285.5599999999977</v>
      </c>
    </row>
    <row r="44" spans="1:7" ht="28.8" x14ac:dyDescent="0.55000000000000004">
      <c r="A44" s="12"/>
      <c r="B44" s="13"/>
      <c r="C44" s="10"/>
      <c r="D44" s="10"/>
      <c r="E44" s="7">
        <f>+$I$2+(ROULEMENTMONDIAL[[#This Row],[QUANTITE]]*ROULEMENTMONDIAL[[#This Row],[PRIX UNITAIRE]])</f>
        <v>0</v>
      </c>
      <c r="F44" s="14"/>
      <c r="G44" s="6">
        <f>+SUM(E$9:$E44)-SUM(F$9:$F44)</f>
        <v>6285.5599999999977</v>
      </c>
    </row>
    <row r="45" spans="1:7" ht="28.8" x14ac:dyDescent="0.55000000000000004">
      <c r="A45" s="12"/>
      <c r="B45" s="13"/>
      <c r="C45" s="10"/>
      <c r="D45" s="10"/>
      <c r="E45" s="7">
        <f>+$I$2+(ROULEMENTMONDIAL[[#This Row],[QUANTITE]]*ROULEMENTMONDIAL[[#This Row],[PRIX UNITAIRE]])</f>
        <v>0</v>
      </c>
      <c r="F45" s="14"/>
      <c r="G45" s="6">
        <f>+SUM(E$9:$E45)-SUM(F$9:$F45)</f>
        <v>6285.5599999999977</v>
      </c>
    </row>
    <row r="46" spans="1:7" ht="28.8" x14ac:dyDescent="0.55000000000000004">
      <c r="A46" s="12"/>
      <c r="B46" s="13"/>
      <c r="C46" s="10"/>
      <c r="D46" s="10"/>
      <c r="E46" s="7">
        <f>+$I$2+(ROULEMENTMONDIAL[[#This Row],[QUANTITE]]*ROULEMENTMONDIAL[[#This Row],[PRIX UNITAIRE]])</f>
        <v>0</v>
      </c>
      <c r="F46" s="14"/>
      <c r="G46" s="6">
        <f>+SUM(E$9:$E46)-SUM(F$9:$F46)</f>
        <v>6285.5599999999977</v>
      </c>
    </row>
    <row r="47" spans="1:7" ht="28.8" x14ac:dyDescent="0.55000000000000004">
      <c r="A47" s="12"/>
      <c r="B47" s="13"/>
      <c r="C47" s="10"/>
      <c r="D47" s="10"/>
      <c r="E47" s="7">
        <f>+$I$2+(ROULEMENTMONDIAL[[#This Row],[QUANTITE]]*ROULEMENTMONDIAL[[#This Row],[PRIX UNITAIRE]])</f>
        <v>0</v>
      </c>
      <c r="F47" s="14"/>
      <c r="G47" s="6">
        <f>+SUM(E$9:$E47)-SUM(F$9:$F47)</f>
        <v>6285.5599999999977</v>
      </c>
    </row>
    <row r="48" spans="1:7" ht="28.8" x14ac:dyDescent="0.55000000000000004">
      <c r="A48" s="12"/>
      <c r="B48" s="13"/>
      <c r="C48" s="10"/>
      <c r="D48" s="10"/>
      <c r="E48" s="7">
        <f>+$I$2+(ROULEMENTMONDIAL[[#This Row],[QUANTITE]]*ROULEMENTMONDIAL[[#This Row],[PRIX UNITAIRE]])</f>
        <v>0</v>
      </c>
      <c r="F48" s="14"/>
      <c r="G48" s="6">
        <f>+SUM(E$9:$E48)-SUM(F$9:$F48)</f>
        <v>6285.5599999999977</v>
      </c>
    </row>
    <row r="49" spans="1:7" ht="28.8" x14ac:dyDescent="0.55000000000000004">
      <c r="A49" s="12"/>
      <c r="B49" s="13"/>
      <c r="C49" s="10"/>
      <c r="D49" s="10"/>
      <c r="E49" s="7">
        <f>+$I$2+(ROULEMENTMONDIAL[[#This Row],[QUANTITE]]*ROULEMENTMONDIAL[[#This Row],[PRIX UNITAIRE]])</f>
        <v>0</v>
      </c>
      <c r="F49" s="14"/>
      <c r="G49" s="6">
        <f>+SUM(E$9:$E49)-SUM(F$9:$F49)</f>
        <v>6285.5599999999977</v>
      </c>
    </row>
    <row r="50" spans="1:7" ht="28.8" x14ac:dyDescent="0.55000000000000004">
      <c r="A50" s="12"/>
      <c r="B50" s="13"/>
      <c r="C50" s="10"/>
      <c r="D50" s="10"/>
      <c r="E50" s="7">
        <f>+$I$2+(ROULEMENTMONDIAL[[#This Row],[QUANTITE]]*ROULEMENTMONDIAL[[#This Row],[PRIX UNITAIRE]])</f>
        <v>0</v>
      </c>
      <c r="F50" s="14"/>
      <c r="G50" s="6">
        <f>+SUM(E$9:$E50)-SUM(F$9:$F50)</f>
        <v>6285.5599999999977</v>
      </c>
    </row>
    <row r="51" spans="1:7" ht="28.8" x14ac:dyDescent="0.55000000000000004">
      <c r="A51" s="12"/>
      <c r="B51" s="13"/>
      <c r="C51" s="10"/>
      <c r="D51" s="10"/>
      <c r="E51" s="7">
        <f>+$I$2+(ROULEMENTMONDIAL[[#This Row],[QUANTITE]]*ROULEMENTMONDIAL[[#This Row],[PRIX UNITAIRE]])</f>
        <v>0</v>
      </c>
      <c r="F51" s="14"/>
      <c r="G51" s="6">
        <f>+SUM(E$9:$E51)-SUM(F$9:$F51)</f>
        <v>6285.5599999999977</v>
      </c>
    </row>
    <row r="52" spans="1:7" ht="28.8" x14ac:dyDescent="0.55000000000000004">
      <c r="A52" s="12"/>
      <c r="B52" s="13"/>
      <c r="C52" s="10"/>
      <c r="D52" s="10"/>
      <c r="E52" s="7">
        <f>+$I$2+(ROULEMENTMONDIAL[[#This Row],[QUANTITE]]*ROULEMENTMONDIAL[[#This Row],[PRIX UNITAIRE]])</f>
        <v>0</v>
      </c>
      <c r="F52" s="14"/>
      <c r="G52" s="6">
        <f>+SUM(E$9:$E52)-SUM(F$9:$F52)</f>
        <v>6285.5599999999977</v>
      </c>
    </row>
    <row r="53" spans="1:7" ht="28.8" x14ac:dyDescent="0.55000000000000004">
      <c r="A53" s="12"/>
      <c r="B53" s="13"/>
      <c r="C53" s="10"/>
      <c r="D53" s="10"/>
      <c r="E53" s="7">
        <f>+$I$2+(ROULEMENTMONDIAL[[#This Row],[QUANTITE]]*ROULEMENTMONDIAL[[#This Row],[PRIX UNITAIRE]])</f>
        <v>0</v>
      </c>
      <c r="F53" s="14"/>
      <c r="G53" s="6">
        <f>+SUM(E$9:$E53)-SUM(F$9:$F53)</f>
        <v>6285.5599999999977</v>
      </c>
    </row>
    <row r="54" spans="1:7" ht="28.8" x14ac:dyDescent="0.55000000000000004">
      <c r="A54" s="12"/>
      <c r="B54" s="13"/>
      <c r="C54" s="10"/>
      <c r="D54" s="10"/>
      <c r="E54" s="7">
        <f>+$I$2+(ROULEMENTMONDIAL[[#This Row],[QUANTITE]]*ROULEMENTMONDIAL[[#This Row],[PRIX UNITAIRE]])</f>
        <v>0</v>
      </c>
      <c r="F54" s="14"/>
      <c r="G54" s="6">
        <f>+SUM(E$9:$E54)-SUM(F$9:$F54)</f>
        <v>6285.5599999999977</v>
      </c>
    </row>
    <row r="55" spans="1:7" ht="28.8" x14ac:dyDescent="0.55000000000000004">
      <c r="A55" s="12"/>
      <c r="B55" s="13"/>
      <c r="C55" s="10"/>
      <c r="D55" s="10"/>
      <c r="E55" s="7">
        <f>+$I$2+(ROULEMENTMONDIAL[[#This Row],[QUANTITE]]*ROULEMENTMONDIAL[[#This Row],[PRIX UNITAIRE]])</f>
        <v>0</v>
      </c>
      <c r="F55" s="14"/>
      <c r="G55" s="6">
        <f>+SUM(E$9:$E55)-SUM(F$9:$F55)</f>
        <v>6285.5599999999977</v>
      </c>
    </row>
    <row r="56" spans="1:7" ht="28.8" x14ac:dyDescent="0.55000000000000004">
      <c r="A56" s="12"/>
      <c r="B56" s="13"/>
      <c r="C56" s="10"/>
      <c r="D56" s="10"/>
      <c r="E56" s="7">
        <f>+$I$2+(ROULEMENTMONDIAL[[#This Row],[QUANTITE]]*ROULEMENTMONDIAL[[#This Row],[PRIX UNITAIRE]])</f>
        <v>0</v>
      </c>
      <c r="F56" s="14"/>
      <c r="G56" s="6">
        <f>+SUM(E$9:$E56)-SUM(F$9:$F56)</f>
        <v>6285.5599999999977</v>
      </c>
    </row>
    <row r="57" spans="1:7" ht="28.8" x14ac:dyDescent="0.55000000000000004">
      <c r="A57" s="12"/>
      <c r="B57" s="13"/>
      <c r="C57" s="10"/>
      <c r="D57" s="10"/>
      <c r="E57" s="7">
        <f>+$I$2+(ROULEMENTMONDIAL[[#This Row],[QUANTITE]]*ROULEMENTMONDIAL[[#This Row],[PRIX UNITAIRE]])</f>
        <v>0</v>
      </c>
      <c r="F57" s="14"/>
      <c r="G57" s="6">
        <f>+SUM(E$9:$E57)-SUM(F$9:$F57)</f>
        <v>6285.5599999999977</v>
      </c>
    </row>
    <row r="58" spans="1:7" ht="28.8" x14ac:dyDescent="0.55000000000000004">
      <c r="A58" s="12"/>
      <c r="B58" s="13"/>
      <c r="C58" s="10"/>
      <c r="D58" s="10"/>
      <c r="E58" s="7">
        <f>+$I$2+(ROULEMENTMONDIAL[[#This Row],[QUANTITE]]*ROULEMENTMONDIAL[[#This Row],[PRIX UNITAIRE]])</f>
        <v>0</v>
      </c>
      <c r="F58" s="14"/>
      <c r="G58" s="6">
        <f>+SUM(E$9:$E58)-SUM(F$9:$F58)</f>
        <v>6285.5599999999977</v>
      </c>
    </row>
    <row r="59" spans="1:7" ht="28.8" x14ac:dyDescent="0.55000000000000004">
      <c r="A59" s="12"/>
      <c r="B59" s="13"/>
      <c r="C59" s="10"/>
      <c r="D59" s="10"/>
      <c r="E59" s="7">
        <f>+$I$2+(ROULEMENTMONDIAL[[#This Row],[QUANTITE]]*ROULEMENTMONDIAL[[#This Row],[PRIX UNITAIRE]])</f>
        <v>0</v>
      </c>
      <c r="F59" s="14"/>
      <c r="G59" s="6">
        <f>+SUM(E$9:$E59)-SUM(F$9:$F59)</f>
        <v>6285.5599999999977</v>
      </c>
    </row>
    <row r="60" spans="1:7" ht="28.8" x14ac:dyDescent="0.55000000000000004">
      <c r="A60" s="12"/>
      <c r="B60" s="13"/>
      <c r="C60" s="10"/>
      <c r="D60" s="10"/>
      <c r="E60" s="7">
        <f>+$I$2+(ROULEMENTMONDIAL[[#This Row],[QUANTITE]]*ROULEMENTMONDIAL[[#This Row],[PRIX UNITAIRE]])</f>
        <v>0</v>
      </c>
      <c r="F60" s="14"/>
      <c r="G60" s="6">
        <f>+SUM(E$9:$E60)-SUM(F$9:$F60)</f>
        <v>6285.5599999999977</v>
      </c>
    </row>
    <row r="61" spans="1:7" ht="28.8" x14ac:dyDescent="0.55000000000000004">
      <c r="A61" s="12"/>
      <c r="B61" s="13"/>
      <c r="C61" s="10"/>
      <c r="D61" s="10"/>
      <c r="E61" s="7">
        <f>+$I$2+(ROULEMENTMONDIAL[[#This Row],[QUANTITE]]*ROULEMENTMONDIAL[[#This Row],[PRIX UNITAIRE]])</f>
        <v>0</v>
      </c>
      <c r="F61" s="14"/>
      <c r="G61" s="6">
        <f>+SUM(E$9:$E61)-SUM(F$9:$F61)</f>
        <v>6285.5599999999977</v>
      </c>
    </row>
    <row r="62" spans="1:7" ht="28.8" x14ac:dyDescent="0.55000000000000004">
      <c r="A62" s="12"/>
      <c r="B62" s="13"/>
      <c r="C62" s="10"/>
      <c r="D62" s="10"/>
      <c r="E62" s="7">
        <f>+$I$2+(ROULEMENTMONDIAL[[#This Row],[QUANTITE]]*ROULEMENTMONDIAL[[#This Row],[PRIX UNITAIRE]])</f>
        <v>0</v>
      </c>
      <c r="F62" s="14"/>
      <c r="G62" s="6">
        <f>+SUM(E$9:$E62)-SUM(F$9:$F62)</f>
        <v>6285.5599999999977</v>
      </c>
    </row>
    <row r="63" spans="1:7" ht="28.8" x14ac:dyDescent="0.55000000000000004">
      <c r="A63" s="12"/>
      <c r="B63" s="13"/>
      <c r="C63" s="10"/>
      <c r="D63" s="10"/>
      <c r="E63" s="7">
        <f>+$I$2+(ROULEMENTMONDIAL[[#This Row],[QUANTITE]]*ROULEMENTMONDIAL[[#This Row],[PRIX UNITAIRE]])</f>
        <v>0</v>
      </c>
      <c r="F63" s="14"/>
      <c r="G63" s="6">
        <f>+SUM(E$9:$E63)-SUM(F$9:$F63)</f>
        <v>6285.5599999999977</v>
      </c>
    </row>
    <row r="64" spans="1:7" ht="28.8" x14ac:dyDescent="0.55000000000000004">
      <c r="A64" s="12"/>
      <c r="B64" s="13"/>
      <c r="C64" s="10"/>
      <c r="D64" s="10"/>
      <c r="E64" s="7">
        <f>+$I$2+(ROULEMENTMONDIAL[[#This Row],[QUANTITE]]*ROULEMENTMONDIAL[[#This Row],[PRIX UNITAIRE]])</f>
        <v>0</v>
      </c>
      <c r="F64" s="14"/>
      <c r="G64" s="6">
        <f>+SUM(E$9:$E64)-SUM(F$9:$F64)</f>
        <v>6285.5599999999977</v>
      </c>
    </row>
    <row r="65" spans="1:7" ht="28.8" x14ac:dyDescent="0.55000000000000004">
      <c r="A65" s="12"/>
      <c r="B65" s="13"/>
      <c r="C65" s="10"/>
      <c r="D65" s="10"/>
      <c r="E65" s="7">
        <f>+$I$2+(ROULEMENTMONDIAL[[#This Row],[QUANTITE]]*ROULEMENTMONDIAL[[#This Row],[PRIX UNITAIRE]])</f>
        <v>0</v>
      </c>
      <c r="F65" s="14"/>
      <c r="G65" s="6">
        <f>+SUM(E$9:$E65)-SUM(F$9:$F65)</f>
        <v>6285.5599999999977</v>
      </c>
    </row>
    <row r="66" spans="1:7" ht="28.8" x14ac:dyDescent="0.55000000000000004">
      <c r="A66" s="12"/>
      <c r="B66" s="13"/>
      <c r="C66" s="10"/>
      <c r="D66" s="10"/>
      <c r="E66" s="7">
        <f>+$I$2+(ROULEMENTMONDIAL[[#This Row],[QUANTITE]]*ROULEMENTMONDIAL[[#This Row],[PRIX UNITAIRE]])</f>
        <v>0</v>
      </c>
      <c r="F66" s="14"/>
      <c r="G66" s="6">
        <f>+SUM(E$9:$E66)-SUM(F$9:$F66)</f>
        <v>6285.5599999999977</v>
      </c>
    </row>
    <row r="67" spans="1:7" ht="28.8" x14ac:dyDescent="0.55000000000000004">
      <c r="A67" s="12"/>
      <c r="B67" s="13"/>
      <c r="C67" s="10"/>
      <c r="D67" s="10"/>
      <c r="E67" s="7">
        <f>+$I$2+(ROULEMENTMONDIAL[[#This Row],[QUANTITE]]*ROULEMENTMONDIAL[[#This Row],[PRIX UNITAIRE]])</f>
        <v>0</v>
      </c>
      <c r="F67" s="14"/>
      <c r="G67" s="6">
        <f>+SUM(E$9:$E67)-SUM(F$9:$F67)</f>
        <v>6285.5599999999977</v>
      </c>
    </row>
    <row r="68" spans="1:7" ht="28.8" x14ac:dyDescent="0.55000000000000004">
      <c r="A68" s="12"/>
      <c r="B68" s="13"/>
      <c r="C68" s="10"/>
      <c r="D68" s="10"/>
      <c r="E68" s="7">
        <f>+$I$2+(ROULEMENTMONDIAL[[#This Row],[QUANTITE]]*ROULEMENTMONDIAL[[#This Row],[PRIX UNITAIRE]])</f>
        <v>0</v>
      </c>
      <c r="F68" s="14"/>
      <c r="G68" s="6">
        <f>+SUM(E$9:$E68)-SUM(F$9:$F68)</f>
        <v>6285.5599999999977</v>
      </c>
    </row>
    <row r="69" spans="1:7" ht="28.8" x14ac:dyDescent="0.55000000000000004">
      <c r="A69" s="12"/>
      <c r="B69" s="13"/>
      <c r="C69" s="10"/>
      <c r="D69" s="10"/>
      <c r="E69" s="7">
        <f>+$I$2+(ROULEMENTMONDIAL[[#This Row],[QUANTITE]]*ROULEMENTMONDIAL[[#This Row],[PRIX UNITAIRE]])</f>
        <v>0</v>
      </c>
      <c r="F69" s="14"/>
      <c r="G69" s="6">
        <f>+SUM(E$9:$E69)-SUM(F$9:$F69)</f>
        <v>6285.5599999999977</v>
      </c>
    </row>
  </sheetData>
  <sheetProtection selectLockedCells="1" autoFilter="0"/>
  <mergeCells count="1">
    <mergeCell ref="B6:C6"/>
  </mergeCells>
  <conditionalFormatting sqref="B9:B69">
    <cfRule type="expression" dxfId="519" priority="5">
      <formula>$F9</formula>
    </cfRule>
  </conditionalFormatting>
  <conditionalFormatting sqref="G4">
    <cfRule type="cellIs" dxfId="518" priority="2" operator="lessThan">
      <formula>0</formula>
    </cfRule>
    <cfRule type="cellIs" dxfId="51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ignoredErrors>
    <ignoredError sqref="E9:E16" calculatedColumn="1"/>
    <ignoredError sqref="G10:G15" formulaRange="1"/>
  </ignoredErrors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I69"/>
  <sheetViews>
    <sheetView showGridLines="0" topLeftCell="E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+SUM(CACOMIAF[TOTAL MONTANT])</f>
        <v>0</v>
      </c>
      <c r="F4" s="39">
        <f>+SUM(CACOMIAF[VERSEMENT])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124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+$I$2+(CACOMIAF[[#This Row],[QUANTITE]]*CACOMIAF[[#This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+$I$2+(CACOMIAF[[#This Row],[QUANTITE]]*CACOMIAF[[#This Row],[PRIX UNITAIRE]])</f>
        <v>0</v>
      </c>
      <c r="F10" s="14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+$I$2+(CACOMIAF[[#This Row],[QUANTITE]]*CACOMIAF[[#This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+$I$2+(CACOMIAF[[#This Row],[QUANTITE]]*CACOMIAF[[#This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+$I$2+(CACOMIAF[[#This Row],[QUANTITE]]*CACOMIAF[[#This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+$I$2+(CACOMIAF[[#This Row],[QUANTITE]]*CACOMIAF[[#This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+$I$2+(CACOMIAF[[#This Row],[QUANTITE]]*CACOMIAF[[#This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+$I$2+(CACOMIAF[[#This Row],[QUANTITE]]*CACOMIAF[[#This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+$I$2+(CACOMIAF[[#This Row],[QUANTITE]]*CACOMIAF[[#This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+$I$2+(CACOMIAF[[#This Row],[QUANTITE]]*CACOMIAF[[#This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+$I$2+(CACOMIAF[[#This Row],[QUANTITE]]*CACOMIAF[[#This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+$I$2+(CACOMIAF[[#This Row],[QUANTITE]]*CACOMIAF[[#This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+$I$2+(CACOMIAF[[#This Row],[QUANTITE]]*CACOMIAF[[#This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+$I$2+(CACOMIAF[[#This Row],[QUANTITE]]*CACOMIAF[[#This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+$I$2+(CACOMIAF[[#This Row],[QUANTITE]]*CACOMIAF[[#This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+$I$2+(CACOMIAF[[#This Row],[QUANTITE]]*CACOMIAF[[#This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+$I$2+(CACOMIAF[[#This Row],[QUANTITE]]*CACOMIAF[[#This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+$I$2+(CACOMIAF[[#This Row],[QUANTITE]]*CACOMIAF[[#This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+$I$2+(CACOMIAF[[#This Row],[QUANTITE]]*CACOMIAF[[#This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+$I$2+(CACOMIAF[[#This Row],[QUANTITE]]*CACOMIAF[[#This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+$I$2+(CACOMIAF[[#This Row],[QUANTITE]]*CACOMIAF[[#This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+$I$2+(CACOMIAF[[#This Row],[QUANTITE]]*CACOMIAF[[#This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+$I$2+(CACOMIAF[[#This Row],[QUANTITE]]*CACOMIAF[[#This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+$I$2+(CACOMIAF[[#This Row],[QUANTITE]]*CACOMIAF[[#This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+$I$2+(CACOMIAF[[#This Row],[QUANTITE]]*CACOMIAF[[#This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+$I$2+(CACOMIAF[[#This Row],[QUANTITE]]*CACOMIAF[[#This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+$I$2+(CACOMIAF[[#This Row],[QUANTITE]]*CACOMIAF[[#This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+$I$2+(CACOMIAF[[#This Row],[QUANTITE]]*CACOMIAF[[#This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+$I$2+(CACOMIAF[[#This Row],[QUANTITE]]*CACOMIAF[[#This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+$I$2+(CACOMIAF[[#This Row],[QUANTITE]]*CACOMIAF[[#This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+$I$2+(CACOMIAF[[#This Row],[QUANTITE]]*CACOMIAF[[#This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+$I$2+(CACOMIAF[[#This Row],[QUANTITE]]*CACOMIAF[[#This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+$I$2+(CACOMIAF[[#This Row],[QUANTITE]]*CACOMIAF[[#This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+$I$2+(CACOMIAF[[#This Row],[QUANTITE]]*CACOMIAF[[#This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+$I$2+(CACOMIAF[[#This Row],[QUANTITE]]*CACOMIAF[[#This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+$I$2+(CACOMIAF[[#This Row],[QUANTITE]]*CACOMIAF[[#This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+$I$2+(CACOMIAF[[#This Row],[QUANTITE]]*CACOMIAF[[#This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+$I$2+(CACOMIAF[[#This Row],[QUANTITE]]*CACOMIAF[[#This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+$I$2+(CACOMIAF[[#This Row],[QUANTITE]]*CACOMIAF[[#This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+$I$2+(CACOMIAF[[#This Row],[QUANTITE]]*CACOMIAF[[#This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+$I$2+(CACOMIAF[[#This Row],[QUANTITE]]*CACOMIAF[[#This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+$I$2+(CACOMIAF[[#This Row],[QUANTITE]]*CACOMIAF[[#This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+$I$2+(CACOMIAF[[#This Row],[QUANTITE]]*CACOMIAF[[#This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+$I$2+(CACOMIAF[[#This Row],[QUANTITE]]*CACOMIAF[[#This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+$I$2+(CACOMIAF[[#This Row],[QUANTITE]]*CACOMIAF[[#This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+$I$2+(CACOMIAF[[#This Row],[QUANTITE]]*CACOMIAF[[#This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+$I$2+(CACOMIAF[[#This Row],[QUANTITE]]*CACOMIAF[[#This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+$I$2+(CACOMIAF[[#This Row],[QUANTITE]]*CACOMIAF[[#This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+$I$2+(CACOMIAF[[#This Row],[QUANTITE]]*CACOMIAF[[#This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+$I$2+(CACOMIAF[[#This Row],[QUANTITE]]*CACOMIAF[[#This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+$I$2+(CACOMIAF[[#This Row],[QUANTITE]]*CACOMIAF[[#This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+$I$2+(CACOMIAF[[#This Row],[QUANTITE]]*CACOMIAF[[#This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+$I$2+(CACOMIAF[[#This Row],[QUANTITE]]*CACOMIAF[[#This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+$I$2+(CACOMIAF[[#This Row],[QUANTITE]]*CACOMIAF[[#This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+$I$2+(CACOMIAF[[#This Row],[QUANTITE]]*CACOMIAF[[#This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+$I$2+(CACOMIAF[[#This Row],[QUANTITE]]*CACOMIAF[[#This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+$I$2+(CACOMIAF[[#This Row],[QUANTITE]]*CACOMIAF[[#This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+$I$2+(CACOMIAF[[#This Row],[QUANTITE]]*CACOMIAF[[#This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+$I$2+(CACOMIAF[[#This Row],[QUANTITE]]*CACOMIAF[[#This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+$I$2+(CACOMIAF[[#This Row],[QUANTITE]]*CACOMIAF[[#This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+$I$2+(CACOMIAF[[#This Row],[QUANTITE]]*CACOMIAF[[#This Row],[PRIX UNITAIRE]])</f>
        <v>0</v>
      </c>
      <c r="F69" s="14"/>
      <c r="G69" s="6">
        <f>+SUM(E$9:$E69)-SUM(F$9:$F69)</f>
        <v>0</v>
      </c>
    </row>
  </sheetData>
  <sheetProtection selectLockedCells="1" autoFilter="0"/>
  <mergeCells count="1">
    <mergeCell ref="B6:C6"/>
  </mergeCells>
  <conditionalFormatting sqref="B9:B69">
    <cfRule type="expression" dxfId="500" priority="5">
      <formula>$F9</formula>
    </cfRule>
  </conditionalFormatting>
  <conditionalFormatting sqref="G4">
    <cfRule type="cellIs" dxfId="499" priority="2" operator="lessThan">
      <formula>0</formula>
    </cfRule>
    <cfRule type="cellIs" dxfId="498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69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+SUM(HASSANKAFARANI[TOTAL MONTANT])</f>
        <v>5177500</v>
      </c>
      <c r="F4" s="39">
        <f>+SUM(HASSANKAFARANI[VERSEMENT])</f>
        <v>4977500</v>
      </c>
      <c r="G4" s="97">
        <f>+E4-F4</f>
        <v>200000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125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46073</v>
      </c>
      <c r="B9" s="13" t="s">
        <v>126</v>
      </c>
      <c r="C9" s="10">
        <v>1</v>
      </c>
      <c r="D9" s="10">
        <v>4687500</v>
      </c>
      <c r="E9" s="7">
        <v>4687500</v>
      </c>
      <c r="F9" s="18">
        <v>0</v>
      </c>
      <c r="G9" s="6">
        <f>+SUM(E$9:$E9)-SUM(F$9:$F9)</f>
        <v>4687500</v>
      </c>
    </row>
    <row r="10" spans="1:9" ht="28.8" x14ac:dyDescent="0.55000000000000004">
      <c r="A10" s="12">
        <v>46074</v>
      </c>
      <c r="B10" s="13"/>
      <c r="C10" s="10"/>
      <c r="D10" s="10"/>
      <c r="E10" s="7">
        <v>0</v>
      </c>
      <c r="F10" s="14">
        <v>1500000</v>
      </c>
      <c r="G10" s="6">
        <f>+SUM(E$9:$E10)-SUM(F$9:$F10)</f>
        <v>3187500</v>
      </c>
    </row>
    <row r="11" spans="1:9" ht="28.8" x14ac:dyDescent="0.55000000000000004">
      <c r="A11" s="12">
        <v>46079</v>
      </c>
      <c r="B11" s="13" t="s">
        <v>127</v>
      </c>
      <c r="C11" s="10">
        <v>5</v>
      </c>
      <c r="D11" s="10">
        <v>58000</v>
      </c>
      <c r="E11" s="7">
        <v>290000</v>
      </c>
      <c r="F11" s="14">
        <v>0</v>
      </c>
      <c r="G11" s="6">
        <f>+SUM(E$9:$E11)-SUM(F$9:$F11)</f>
        <v>3477500</v>
      </c>
    </row>
    <row r="12" spans="1:9" ht="28.8" x14ac:dyDescent="0.55000000000000004">
      <c r="A12" s="12">
        <v>46084</v>
      </c>
      <c r="B12" s="13" t="s">
        <v>11</v>
      </c>
      <c r="C12" s="10">
        <v>1</v>
      </c>
      <c r="D12" s="10"/>
      <c r="E12" s="7">
        <v>0</v>
      </c>
      <c r="F12" s="14">
        <v>1477500</v>
      </c>
      <c r="G12" s="6">
        <f>+SUM(E$9:$E12)-SUM(F$9:$F12)</f>
        <v>2000000</v>
      </c>
    </row>
    <row r="13" spans="1:9" ht="28.8" x14ac:dyDescent="0.55000000000000004">
      <c r="A13" s="12">
        <v>46085</v>
      </c>
      <c r="B13" s="13" t="s">
        <v>128</v>
      </c>
      <c r="C13" s="10">
        <v>20</v>
      </c>
      <c r="D13" s="10">
        <v>10000</v>
      </c>
      <c r="E13" s="7">
        <v>200000</v>
      </c>
      <c r="F13" s="14">
        <v>0</v>
      </c>
      <c r="G13" s="6">
        <f>+SUM(E$9:$E13)-SUM(F$9:$F13)</f>
        <v>2200000</v>
      </c>
    </row>
    <row r="14" spans="1:9" ht="28.8" x14ac:dyDescent="0.55000000000000004">
      <c r="A14" s="12">
        <v>46099</v>
      </c>
      <c r="B14" s="13" t="s">
        <v>11</v>
      </c>
      <c r="C14" s="10">
        <v>1</v>
      </c>
      <c r="D14" s="10"/>
      <c r="E14" s="7">
        <v>0</v>
      </c>
      <c r="F14" s="14">
        <v>2000000</v>
      </c>
      <c r="G14" s="6">
        <f>+SUM(E$9:$E14)-SUM(F$9:$F14)</f>
        <v>200000</v>
      </c>
    </row>
    <row r="15" spans="1:9" ht="28.8" x14ac:dyDescent="0.55000000000000004">
      <c r="A15" s="12"/>
      <c r="B15" s="13"/>
      <c r="C15" s="10"/>
      <c r="D15" s="10"/>
      <c r="E15" s="7">
        <f>+$I$2+(HASSANKAFARANI[[#This Row],[QUANTITE]]*HASSANKAFARANI[[#This Row],[PRIX UNITAIRE]])</f>
        <v>0</v>
      </c>
      <c r="F15" s="14"/>
      <c r="G15" s="6">
        <f>+SUM(E$9:$E15)-SUM(F$9:$F15)</f>
        <v>200000</v>
      </c>
    </row>
    <row r="16" spans="1:9" ht="28.8" x14ac:dyDescent="0.55000000000000004">
      <c r="A16" s="12"/>
      <c r="B16" s="13"/>
      <c r="C16" s="10"/>
      <c r="D16" s="10"/>
      <c r="E16" s="7">
        <f>+$I$2+(HASSANKAFARANI[[#This Row],[QUANTITE]]*HASSANKAFARANI[[#This Row],[PRIX UNITAIRE]])</f>
        <v>0</v>
      </c>
      <c r="F16" s="14"/>
      <c r="G16" s="6">
        <f>+SUM(E$9:$E16)-SUM(F$9:$F16)</f>
        <v>200000</v>
      </c>
    </row>
    <row r="17" spans="1:7" ht="28.8" x14ac:dyDescent="0.55000000000000004">
      <c r="A17" s="12"/>
      <c r="B17" s="13"/>
      <c r="C17" s="10"/>
      <c r="D17" s="10"/>
      <c r="E17" s="7">
        <f>+$I$2+(HASSANKAFARANI[[#This Row],[QUANTITE]]*HASSANKAFARANI[[#This Row],[PRIX UNITAIRE]])</f>
        <v>0</v>
      </c>
      <c r="F17" s="14"/>
      <c r="G17" s="6">
        <f>+SUM(E$9:$E17)-SUM(F$9:$F17)</f>
        <v>200000</v>
      </c>
    </row>
    <row r="18" spans="1:7" ht="28.8" x14ac:dyDescent="0.55000000000000004">
      <c r="A18" s="12"/>
      <c r="B18" s="13"/>
      <c r="C18" s="10"/>
      <c r="D18" s="10"/>
      <c r="E18" s="7">
        <f>+$I$2+(HASSANKAFARANI[[#This Row],[QUANTITE]]*HASSANKAFARANI[[#This Row],[PRIX UNITAIRE]])</f>
        <v>0</v>
      </c>
      <c r="F18" s="14"/>
      <c r="G18" s="6">
        <f>+SUM(E$9:$E18)-SUM(F$9:$F18)</f>
        <v>200000</v>
      </c>
    </row>
    <row r="19" spans="1:7" ht="28.8" x14ac:dyDescent="0.55000000000000004">
      <c r="A19" s="12"/>
      <c r="B19" s="13"/>
      <c r="C19" s="10"/>
      <c r="D19" s="10"/>
      <c r="E19" s="7">
        <f>+$I$2+(HASSANKAFARANI[[#This Row],[QUANTITE]]*HASSANKAFARANI[[#This Row],[PRIX UNITAIRE]])</f>
        <v>0</v>
      </c>
      <c r="F19" s="14"/>
      <c r="G19" s="6">
        <f>+SUM(E$9:$E19)-SUM(F$9:$F19)</f>
        <v>200000</v>
      </c>
    </row>
    <row r="20" spans="1:7" ht="28.8" x14ac:dyDescent="0.55000000000000004">
      <c r="A20" s="12"/>
      <c r="B20" s="13"/>
      <c r="C20" s="10"/>
      <c r="D20" s="10"/>
      <c r="E20" s="7">
        <f>+$I$2+(HASSANKAFARANI[[#This Row],[QUANTITE]]*HASSANKAFARANI[[#This Row],[PRIX UNITAIRE]])</f>
        <v>0</v>
      </c>
      <c r="F20" s="14"/>
      <c r="G20" s="6">
        <f>+SUM(E$9:$E20)-SUM(F$9:$F20)</f>
        <v>200000</v>
      </c>
    </row>
    <row r="21" spans="1:7" ht="28.8" x14ac:dyDescent="0.55000000000000004">
      <c r="A21" s="12"/>
      <c r="B21" s="13"/>
      <c r="C21" s="10"/>
      <c r="D21" s="10"/>
      <c r="E21" s="7">
        <f>+$I$2+(HASSANKAFARANI[[#This Row],[QUANTITE]]*HASSANKAFARANI[[#This Row],[PRIX UNITAIRE]])</f>
        <v>0</v>
      </c>
      <c r="F21" s="14"/>
      <c r="G21" s="6">
        <f>+SUM(E$9:$E21)-SUM(F$9:$F21)</f>
        <v>200000</v>
      </c>
    </row>
    <row r="22" spans="1:7" ht="28.8" x14ac:dyDescent="0.55000000000000004">
      <c r="A22" s="12"/>
      <c r="B22" s="13"/>
      <c r="C22" s="10"/>
      <c r="D22" s="10"/>
      <c r="E22" s="7">
        <f>+$I$2+(HASSANKAFARANI[[#This Row],[QUANTITE]]*HASSANKAFARANI[[#This Row],[PRIX UNITAIRE]])</f>
        <v>0</v>
      </c>
      <c r="F22" s="14"/>
      <c r="G22" s="6">
        <f>+SUM(E$9:$E22)-SUM(F$9:$F22)</f>
        <v>200000</v>
      </c>
    </row>
    <row r="23" spans="1:7" ht="28.8" x14ac:dyDescent="0.55000000000000004">
      <c r="A23" s="12"/>
      <c r="B23" s="13"/>
      <c r="C23" s="10"/>
      <c r="D23" s="10"/>
      <c r="E23" s="7">
        <f>+$I$2+(HASSANKAFARANI[[#This Row],[QUANTITE]]*HASSANKAFARANI[[#This Row],[PRIX UNITAIRE]])</f>
        <v>0</v>
      </c>
      <c r="F23" s="14"/>
      <c r="G23" s="6">
        <f>+SUM(E$9:$E23)-SUM(F$9:$F23)</f>
        <v>200000</v>
      </c>
    </row>
    <row r="24" spans="1:7" ht="28.8" x14ac:dyDescent="0.55000000000000004">
      <c r="A24" s="12"/>
      <c r="B24" s="13"/>
      <c r="C24" s="10"/>
      <c r="D24" s="10"/>
      <c r="E24" s="7">
        <f>+$I$2+(HASSANKAFARANI[[#This Row],[QUANTITE]]*HASSANKAFARANI[[#This Row],[PRIX UNITAIRE]])</f>
        <v>0</v>
      </c>
      <c r="F24" s="14"/>
      <c r="G24" s="6">
        <f>+SUM(E$9:$E24)-SUM(F$9:$F24)</f>
        <v>200000</v>
      </c>
    </row>
    <row r="25" spans="1:7" ht="28.8" x14ac:dyDescent="0.55000000000000004">
      <c r="A25" s="12"/>
      <c r="B25" s="13"/>
      <c r="C25" s="10"/>
      <c r="D25" s="10"/>
      <c r="E25" s="7">
        <f>+$I$2+(HASSANKAFARANI[[#This Row],[QUANTITE]]*HASSANKAFARANI[[#This Row],[PRIX UNITAIRE]])</f>
        <v>0</v>
      </c>
      <c r="F25" s="14"/>
      <c r="G25" s="6">
        <f>+SUM(E$9:$E25)-SUM(F$9:$F25)</f>
        <v>200000</v>
      </c>
    </row>
    <row r="26" spans="1:7" ht="28.8" x14ac:dyDescent="0.55000000000000004">
      <c r="A26" s="12"/>
      <c r="B26" s="13"/>
      <c r="C26" s="10"/>
      <c r="D26" s="10"/>
      <c r="E26" s="7">
        <f>+$I$2+(HASSANKAFARANI[[#This Row],[QUANTITE]]*HASSANKAFARANI[[#This Row],[PRIX UNITAIRE]])</f>
        <v>0</v>
      </c>
      <c r="F26" s="14"/>
      <c r="G26" s="6">
        <f>+SUM(E$9:$E26)-SUM(F$9:$F26)</f>
        <v>200000</v>
      </c>
    </row>
    <row r="27" spans="1:7" ht="28.8" x14ac:dyDescent="0.55000000000000004">
      <c r="A27" s="12"/>
      <c r="B27" s="13"/>
      <c r="C27" s="10"/>
      <c r="D27" s="10"/>
      <c r="E27" s="7">
        <f>+$I$2+(HASSANKAFARANI[[#This Row],[QUANTITE]]*HASSANKAFARANI[[#This Row],[PRIX UNITAIRE]])</f>
        <v>0</v>
      </c>
      <c r="F27" s="14"/>
      <c r="G27" s="6">
        <f>+SUM(E$9:$E27)-SUM(F$9:$F27)</f>
        <v>200000</v>
      </c>
    </row>
    <row r="28" spans="1:7" ht="28.8" x14ac:dyDescent="0.55000000000000004">
      <c r="A28" s="12"/>
      <c r="B28" s="13"/>
      <c r="C28" s="10"/>
      <c r="D28" s="10"/>
      <c r="E28" s="7">
        <f>+$I$2+(HASSANKAFARANI[[#This Row],[QUANTITE]]*HASSANKAFARANI[[#This Row],[PRIX UNITAIRE]])</f>
        <v>0</v>
      </c>
      <c r="F28" s="14"/>
      <c r="G28" s="6">
        <f>+SUM(E$9:$E28)-SUM(F$9:$F28)</f>
        <v>200000</v>
      </c>
    </row>
    <row r="29" spans="1:7" ht="28.8" x14ac:dyDescent="0.55000000000000004">
      <c r="A29" s="12"/>
      <c r="B29" s="13"/>
      <c r="C29" s="10"/>
      <c r="D29" s="10"/>
      <c r="E29" s="7">
        <f>+$I$2+(HASSANKAFARANI[[#This Row],[QUANTITE]]*HASSANKAFARANI[[#This Row],[PRIX UNITAIRE]])</f>
        <v>0</v>
      </c>
      <c r="F29" s="14"/>
      <c r="G29" s="6">
        <f>+SUM(E$9:$E29)-SUM(F$9:$F29)</f>
        <v>200000</v>
      </c>
    </row>
    <row r="30" spans="1:7" ht="28.8" x14ac:dyDescent="0.55000000000000004">
      <c r="A30" s="12"/>
      <c r="B30" s="13"/>
      <c r="C30" s="10"/>
      <c r="D30" s="10"/>
      <c r="E30" s="7">
        <f>+$I$2+(HASSANKAFARANI[[#This Row],[QUANTITE]]*HASSANKAFARANI[[#This Row],[PRIX UNITAIRE]])</f>
        <v>0</v>
      </c>
      <c r="F30" s="14"/>
      <c r="G30" s="6">
        <f>+SUM(E$9:$E30)-SUM(F$9:$F30)</f>
        <v>200000</v>
      </c>
    </row>
    <row r="31" spans="1:7" ht="28.8" x14ac:dyDescent="0.55000000000000004">
      <c r="A31" s="12"/>
      <c r="B31" s="13"/>
      <c r="C31" s="10"/>
      <c r="D31" s="10"/>
      <c r="E31" s="7">
        <f>+$I$2+(HASSANKAFARANI[[#This Row],[QUANTITE]]*HASSANKAFARANI[[#This Row],[PRIX UNITAIRE]])</f>
        <v>0</v>
      </c>
      <c r="F31" s="14"/>
      <c r="G31" s="6">
        <f>+SUM(E$9:$E31)-SUM(F$9:$F31)</f>
        <v>200000</v>
      </c>
    </row>
    <row r="32" spans="1:7" ht="28.8" x14ac:dyDescent="0.55000000000000004">
      <c r="A32" s="12"/>
      <c r="B32" s="13"/>
      <c r="C32" s="10"/>
      <c r="D32" s="10"/>
      <c r="E32" s="7">
        <f>+$I$2+(HASSANKAFARANI[[#This Row],[QUANTITE]]*HASSANKAFARANI[[#This Row],[PRIX UNITAIRE]])</f>
        <v>0</v>
      </c>
      <c r="F32" s="14"/>
      <c r="G32" s="6">
        <f>+SUM(E$9:$E32)-SUM(F$9:$F32)</f>
        <v>200000</v>
      </c>
    </row>
    <row r="33" spans="1:7" ht="28.8" x14ac:dyDescent="0.55000000000000004">
      <c r="A33" s="12"/>
      <c r="B33" s="13"/>
      <c r="C33" s="10"/>
      <c r="D33" s="10"/>
      <c r="E33" s="7">
        <f>+$I$2+(HASSANKAFARANI[[#This Row],[QUANTITE]]*HASSANKAFARANI[[#This Row],[PRIX UNITAIRE]])</f>
        <v>0</v>
      </c>
      <c r="F33" s="14"/>
      <c r="G33" s="6">
        <f>+SUM(E$9:$E33)-SUM(F$9:$F33)</f>
        <v>200000</v>
      </c>
    </row>
    <row r="34" spans="1:7" ht="28.8" x14ac:dyDescent="0.55000000000000004">
      <c r="A34" s="12"/>
      <c r="B34" s="13"/>
      <c r="C34" s="10"/>
      <c r="D34" s="10"/>
      <c r="E34" s="7">
        <f>+$I$2+(HASSANKAFARANI[[#This Row],[QUANTITE]]*HASSANKAFARANI[[#This Row],[PRIX UNITAIRE]])</f>
        <v>0</v>
      </c>
      <c r="F34" s="14"/>
      <c r="G34" s="6">
        <f>+SUM(E$9:$E34)-SUM(F$9:$F34)</f>
        <v>200000</v>
      </c>
    </row>
    <row r="35" spans="1:7" ht="28.8" x14ac:dyDescent="0.55000000000000004">
      <c r="A35" s="12"/>
      <c r="B35" s="13"/>
      <c r="C35" s="10"/>
      <c r="D35" s="10"/>
      <c r="E35" s="7">
        <f>+$I$2+(HASSANKAFARANI[[#This Row],[QUANTITE]]*HASSANKAFARANI[[#This Row],[PRIX UNITAIRE]])</f>
        <v>0</v>
      </c>
      <c r="F35" s="14"/>
      <c r="G35" s="6">
        <f>+SUM(E$9:$E35)-SUM(F$9:$F35)</f>
        <v>200000</v>
      </c>
    </row>
    <row r="36" spans="1:7" ht="28.8" x14ac:dyDescent="0.55000000000000004">
      <c r="A36" s="12"/>
      <c r="B36" s="13"/>
      <c r="C36" s="10"/>
      <c r="D36" s="10"/>
      <c r="E36" s="7">
        <f>+$I$2+(HASSANKAFARANI[[#This Row],[QUANTITE]]*HASSANKAFARANI[[#This Row],[PRIX UNITAIRE]])</f>
        <v>0</v>
      </c>
      <c r="F36" s="14"/>
      <c r="G36" s="6">
        <f>+SUM(E$9:$E36)-SUM(F$9:$F36)</f>
        <v>200000</v>
      </c>
    </row>
    <row r="37" spans="1:7" ht="28.8" x14ac:dyDescent="0.55000000000000004">
      <c r="A37" s="12"/>
      <c r="B37" s="13"/>
      <c r="C37" s="10"/>
      <c r="D37" s="10"/>
      <c r="E37" s="7">
        <f>+$I$2+(HASSANKAFARANI[[#This Row],[QUANTITE]]*HASSANKAFARANI[[#This Row],[PRIX UNITAIRE]])</f>
        <v>0</v>
      </c>
      <c r="F37" s="14"/>
      <c r="G37" s="6">
        <f>+SUM(E$9:$E37)-SUM(F$9:$F37)</f>
        <v>200000</v>
      </c>
    </row>
    <row r="38" spans="1:7" ht="28.8" x14ac:dyDescent="0.55000000000000004">
      <c r="A38" s="12"/>
      <c r="B38" s="13"/>
      <c r="C38" s="10"/>
      <c r="D38" s="10"/>
      <c r="E38" s="7">
        <f>+$I$2+(HASSANKAFARANI[[#This Row],[QUANTITE]]*HASSANKAFARANI[[#This Row],[PRIX UNITAIRE]])</f>
        <v>0</v>
      </c>
      <c r="F38" s="14"/>
      <c r="G38" s="6">
        <f>+SUM(E$9:$E38)-SUM(F$9:$F38)</f>
        <v>200000</v>
      </c>
    </row>
    <row r="39" spans="1:7" ht="28.8" x14ac:dyDescent="0.55000000000000004">
      <c r="A39" s="12"/>
      <c r="B39" s="13"/>
      <c r="C39" s="10"/>
      <c r="D39" s="10"/>
      <c r="E39" s="7">
        <f>+$I$2+(HASSANKAFARANI[[#This Row],[QUANTITE]]*HASSANKAFARANI[[#This Row],[PRIX UNITAIRE]])</f>
        <v>0</v>
      </c>
      <c r="F39" s="14"/>
      <c r="G39" s="6">
        <f>+SUM(E$9:$E39)-SUM(F$9:$F39)</f>
        <v>200000</v>
      </c>
    </row>
    <row r="40" spans="1:7" ht="28.8" x14ac:dyDescent="0.55000000000000004">
      <c r="A40" s="12"/>
      <c r="B40" s="13"/>
      <c r="C40" s="10"/>
      <c r="D40" s="10"/>
      <c r="E40" s="7">
        <f>+$I$2+(HASSANKAFARANI[[#This Row],[QUANTITE]]*HASSANKAFARANI[[#This Row],[PRIX UNITAIRE]])</f>
        <v>0</v>
      </c>
      <c r="F40" s="14"/>
      <c r="G40" s="6">
        <f>+SUM(E$9:$E40)-SUM(F$9:$F40)</f>
        <v>200000</v>
      </c>
    </row>
    <row r="41" spans="1:7" ht="28.8" x14ac:dyDescent="0.55000000000000004">
      <c r="A41" s="12"/>
      <c r="B41" s="13"/>
      <c r="C41" s="10"/>
      <c r="D41" s="10"/>
      <c r="E41" s="7">
        <f>+$I$2+(HASSANKAFARANI[[#This Row],[QUANTITE]]*HASSANKAFARANI[[#This Row],[PRIX UNITAIRE]])</f>
        <v>0</v>
      </c>
      <c r="F41" s="14"/>
      <c r="G41" s="6">
        <f>+SUM(E$9:$E41)-SUM(F$9:$F41)</f>
        <v>200000</v>
      </c>
    </row>
    <row r="42" spans="1:7" ht="28.8" x14ac:dyDescent="0.55000000000000004">
      <c r="A42" s="12"/>
      <c r="B42" s="13"/>
      <c r="C42" s="10"/>
      <c r="D42" s="10"/>
      <c r="E42" s="7">
        <f>+$I$2+(HASSANKAFARANI[[#This Row],[QUANTITE]]*HASSANKAFARANI[[#This Row],[PRIX UNITAIRE]])</f>
        <v>0</v>
      </c>
      <c r="F42" s="14"/>
      <c r="G42" s="6">
        <f>+SUM(E$9:$E42)-SUM(F$9:$F42)</f>
        <v>200000</v>
      </c>
    </row>
    <row r="43" spans="1:7" ht="28.8" x14ac:dyDescent="0.55000000000000004">
      <c r="A43" s="12"/>
      <c r="B43" s="13"/>
      <c r="C43" s="10"/>
      <c r="D43" s="10"/>
      <c r="E43" s="7">
        <f>+$I$2+(HASSANKAFARANI[[#This Row],[QUANTITE]]*HASSANKAFARANI[[#This Row],[PRIX UNITAIRE]])</f>
        <v>0</v>
      </c>
      <c r="F43" s="14"/>
      <c r="G43" s="6">
        <f>+SUM(E$9:$E43)-SUM(F$9:$F43)</f>
        <v>200000</v>
      </c>
    </row>
    <row r="44" spans="1:7" ht="28.8" x14ac:dyDescent="0.55000000000000004">
      <c r="A44" s="12"/>
      <c r="B44" s="13"/>
      <c r="C44" s="10"/>
      <c r="D44" s="10"/>
      <c r="E44" s="7">
        <f>+$I$2+(HASSANKAFARANI[[#This Row],[QUANTITE]]*HASSANKAFARANI[[#This Row],[PRIX UNITAIRE]])</f>
        <v>0</v>
      </c>
      <c r="F44" s="14"/>
      <c r="G44" s="6">
        <f>+SUM(E$9:$E44)-SUM(F$9:$F44)</f>
        <v>200000</v>
      </c>
    </row>
    <row r="45" spans="1:7" ht="28.8" x14ac:dyDescent="0.55000000000000004">
      <c r="A45" s="12"/>
      <c r="B45" s="13"/>
      <c r="C45" s="10"/>
      <c r="D45" s="10"/>
      <c r="E45" s="7">
        <f>+$I$2+(HASSANKAFARANI[[#This Row],[QUANTITE]]*HASSANKAFARANI[[#This Row],[PRIX UNITAIRE]])</f>
        <v>0</v>
      </c>
      <c r="F45" s="14"/>
      <c r="G45" s="6">
        <f>+SUM(E$9:$E45)-SUM(F$9:$F45)</f>
        <v>200000</v>
      </c>
    </row>
    <row r="46" spans="1:7" ht="28.8" x14ac:dyDescent="0.55000000000000004">
      <c r="A46" s="12"/>
      <c r="B46" s="13"/>
      <c r="C46" s="10"/>
      <c r="D46" s="10"/>
      <c r="E46" s="7">
        <f>+$I$2+(HASSANKAFARANI[[#This Row],[QUANTITE]]*HASSANKAFARANI[[#This Row],[PRIX UNITAIRE]])</f>
        <v>0</v>
      </c>
      <c r="F46" s="14"/>
      <c r="G46" s="6">
        <f>+SUM(E$9:$E46)-SUM(F$9:$F46)</f>
        <v>200000</v>
      </c>
    </row>
    <row r="47" spans="1:7" ht="28.8" x14ac:dyDescent="0.55000000000000004">
      <c r="A47" s="12"/>
      <c r="B47" s="13"/>
      <c r="C47" s="10"/>
      <c r="D47" s="10"/>
      <c r="E47" s="7">
        <f>+$I$2+(HASSANKAFARANI[[#This Row],[QUANTITE]]*HASSANKAFARANI[[#This Row],[PRIX UNITAIRE]])</f>
        <v>0</v>
      </c>
      <c r="F47" s="14"/>
      <c r="G47" s="6">
        <f>+SUM(E$9:$E47)-SUM(F$9:$F47)</f>
        <v>200000</v>
      </c>
    </row>
    <row r="48" spans="1:7" ht="28.8" x14ac:dyDescent="0.55000000000000004">
      <c r="A48" s="12"/>
      <c r="B48" s="13"/>
      <c r="C48" s="10"/>
      <c r="D48" s="10"/>
      <c r="E48" s="7">
        <f>+$I$2+(HASSANKAFARANI[[#This Row],[QUANTITE]]*HASSANKAFARANI[[#This Row],[PRIX UNITAIRE]])</f>
        <v>0</v>
      </c>
      <c r="F48" s="14"/>
      <c r="G48" s="6">
        <f>+SUM(E$9:$E48)-SUM(F$9:$F48)</f>
        <v>200000</v>
      </c>
    </row>
    <row r="49" spans="1:7" ht="28.8" x14ac:dyDescent="0.55000000000000004">
      <c r="A49" s="12"/>
      <c r="B49" s="13"/>
      <c r="C49" s="10"/>
      <c r="D49" s="10"/>
      <c r="E49" s="7">
        <f>+$I$2+(HASSANKAFARANI[[#This Row],[QUANTITE]]*HASSANKAFARANI[[#This Row],[PRIX UNITAIRE]])</f>
        <v>0</v>
      </c>
      <c r="F49" s="14"/>
      <c r="G49" s="6">
        <f>+SUM(E$9:$E49)-SUM(F$9:$F49)</f>
        <v>200000</v>
      </c>
    </row>
    <row r="50" spans="1:7" ht="28.8" x14ac:dyDescent="0.55000000000000004">
      <c r="A50" s="12"/>
      <c r="B50" s="13"/>
      <c r="C50" s="10"/>
      <c r="D50" s="10"/>
      <c r="E50" s="7">
        <f>+$I$2+(HASSANKAFARANI[[#This Row],[QUANTITE]]*HASSANKAFARANI[[#This Row],[PRIX UNITAIRE]])</f>
        <v>0</v>
      </c>
      <c r="F50" s="14"/>
      <c r="G50" s="6">
        <f>+SUM(E$9:$E50)-SUM(F$9:$F50)</f>
        <v>200000</v>
      </c>
    </row>
    <row r="51" spans="1:7" ht="28.8" x14ac:dyDescent="0.55000000000000004">
      <c r="A51" s="12"/>
      <c r="B51" s="13"/>
      <c r="C51" s="10"/>
      <c r="D51" s="10"/>
      <c r="E51" s="7">
        <f>+$I$2+(HASSANKAFARANI[[#This Row],[QUANTITE]]*HASSANKAFARANI[[#This Row],[PRIX UNITAIRE]])</f>
        <v>0</v>
      </c>
      <c r="F51" s="14"/>
      <c r="G51" s="6">
        <f>+SUM(E$9:$E51)-SUM(F$9:$F51)</f>
        <v>200000</v>
      </c>
    </row>
    <row r="52" spans="1:7" ht="28.8" x14ac:dyDescent="0.55000000000000004">
      <c r="A52" s="12"/>
      <c r="B52" s="13"/>
      <c r="C52" s="10"/>
      <c r="D52" s="10"/>
      <c r="E52" s="7">
        <f>+$I$2+(HASSANKAFARANI[[#This Row],[QUANTITE]]*HASSANKAFARANI[[#This Row],[PRIX UNITAIRE]])</f>
        <v>0</v>
      </c>
      <c r="F52" s="14"/>
      <c r="G52" s="6">
        <f>+SUM(E$9:$E52)-SUM(F$9:$F52)</f>
        <v>200000</v>
      </c>
    </row>
    <row r="53" spans="1:7" ht="28.8" x14ac:dyDescent="0.55000000000000004">
      <c r="A53" s="12"/>
      <c r="B53" s="13"/>
      <c r="C53" s="10"/>
      <c r="D53" s="10"/>
      <c r="E53" s="7">
        <f>+$I$2+(HASSANKAFARANI[[#This Row],[QUANTITE]]*HASSANKAFARANI[[#This Row],[PRIX UNITAIRE]])</f>
        <v>0</v>
      </c>
      <c r="F53" s="14"/>
      <c r="G53" s="6">
        <f>+SUM(E$9:$E53)-SUM(F$9:$F53)</f>
        <v>200000</v>
      </c>
    </row>
    <row r="54" spans="1:7" ht="28.8" x14ac:dyDescent="0.55000000000000004">
      <c r="A54" s="12"/>
      <c r="B54" s="13"/>
      <c r="C54" s="10"/>
      <c r="D54" s="10"/>
      <c r="E54" s="7">
        <f>+$I$2+(HASSANKAFARANI[[#This Row],[QUANTITE]]*HASSANKAFARANI[[#This Row],[PRIX UNITAIRE]])</f>
        <v>0</v>
      </c>
      <c r="F54" s="14"/>
      <c r="G54" s="6">
        <f>+SUM(E$9:$E54)-SUM(F$9:$F54)</f>
        <v>200000</v>
      </c>
    </row>
    <row r="55" spans="1:7" ht="28.8" x14ac:dyDescent="0.55000000000000004">
      <c r="A55" s="12"/>
      <c r="B55" s="13"/>
      <c r="C55" s="10"/>
      <c r="D55" s="10"/>
      <c r="E55" s="7">
        <f>+$I$2+(HASSANKAFARANI[[#This Row],[QUANTITE]]*HASSANKAFARANI[[#This Row],[PRIX UNITAIRE]])</f>
        <v>0</v>
      </c>
      <c r="F55" s="14"/>
      <c r="G55" s="6">
        <f>+SUM(E$9:$E55)-SUM(F$9:$F55)</f>
        <v>200000</v>
      </c>
    </row>
    <row r="56" spans="1:7" ht="28.8" x14ac:dyDescent="0.55000000000000004">
      <c r="A56" s="12"/>
      <c r="B56" s="13"/>
      <c r="C56" s="10"/>
      <c r="D56" s="10"/>
      <c r="E56" s="7">
        <f>+$I$2+(HASSANKAFARANI[[#This Row],[QUANTITE]]*HASSANKAFARANI[[#This Row],[PRIX UNITAIRE]])</f>
        <v>0</v>
      </c>
      <c r="F56" s="14"/>
      <c r="G56" s="6">
        <f>+SUM(E$9:$E56)-SUM(F$9:$F56)</f>
        <v>200000</v>
      </c>
    </row>
    <row r="57" spans="1:7" ht="28.8" x14ac:dyDescent="0.55000000000000004">
      <c r="A57" s="12"/>
      <c r="B57" s="13"/>
      <c r="C57" s="10"/>
      <c r="D57" s="10"/>
      <c r="E57" s="7">
        <f>+$I$2+(HASSANKAFARANI[[#This Row],[QUANTITE]]*HASSANKAFARANI[[#This Row],[PRIX UNITAIRE]])</f>
        <v>0</v>
      </c>
      <c r="F57" s="14"/>
      <c r="G57" s="6">
        <f>+SUM(E$9:$E57)-SUM(F$9:$F57)</f>
        <v>200000</v>
      </c>
    </row>
    <row r="58" spans="1:7" ht="28.8" x14ac:dyDescent="0.55000000000000004">
      <c r="A58" s="12"/>
      <c r="B58" s="13"/>
      <c r="C58" s="10"/>
      <c r="D58" s="10"/>
      <c r="E58" s="7">
        <f>+$I$2+(HASSANKAFARANI[[#This Row],[QUANTITE]]*HASSANKAFARANI[[#This Row],[PRIX UNITAIRE]])</f>
        <v>0</v>
      </c>
      <c r="F58" s="14"/>
      <c r="G58" s="6">
        <f>+SUM(E$9:$E58)-SUM(F$9:$F58)</f>
        <v>200000</v>
      </c>
    </row>
    <row r="59" spans="1:7" ht="28.8" x14ac:dyDescent="0.55000000000000004">
      <c r="A59" s="12"/>
      <c r="B59" s="13"/>
      <c r="C59" s="10"/>
      <c r="D59" s="10"/>
      <c r="E59" s="7">
        <f>+$I$2+(HASSANKAFARANI[[#This Row],[QUANTITE]]*HASSANKAFARANI[[#This Row],[PRIX UNITAIRE]])</f>
        <v>0</v>
      </c>
      <c r="F59" s="14"/>
      <c r="G59" s="6">
        <f>+SUM(E$9:$E59)-SUM(F$9:$F59)</f>
        <v>200000</v>
      </c>
    </row>
    <row r="60" spans="1:7" ht="28.8" x14ac:dyDescent="0.55000000000000004">
      <c r="A60" s="12"/>
      <c r="B60" s="13"/>
      <c r="C60" s="10"/>
      <c r="D60" s="10"/>
      <c r="E60" s="7">
        <f>+$I$2+(HASSANKAFARANI[[#This Row],[QUANTITE]]*HASSANKAFARANI[[#This Row],[PRIX UNITAIRE]])</f>
        <v>0</v>
      </c>
      <c r="F60" s="14"/>
      <c r="G60" s="6">
        <f>+SUM(E$9:$E60)-SUM(F$9:$F60)</f>
        <v>200000</v>
      </c>
    </row>
    <row r="61" spans="1:7" ht="28.8" x14ac:dyDescent="0.55000000000000004">
      <c r="A61" s="12"/>
      <c r="B61" s="13"/>
      <c r="C61" s="10"/>
      <c r="D61" s="10"/>
      <c r="E61" s="7">
        <f>+$I$2+(HASSANKAFARANI[[#This Row],[QUANTITE]]*HASSANKAFARANI[[#This Row],[PRIX UNITAIRE]])</f>
        <v>0</v>
      </c>
      <c r="F61" s="14"/>
      <c r="G61" s="6">
        <f>+SUM(E$9:$E61)-SUM(F$9:$F61)</f>
        <v>200000</v>
      </c>
    </row>
    <row r="62" spans="1:7" ht="28.8" x14ac:dyDescent="0.55000000000000004">
      <c r="A62" s="12"/>
      <c r="B62" s="13"/>
      <c r="C62" s="10"/>
      <c r="D62" s="10"/>
      <c r="E62" s="7">
        <f>+$I$2+(HASSANKAFARANI[[#This Row],[QUANTITE]]*HASSANKAFARANI[[#This Row],[PRIX UNITAIRE]])</f>
        <v>0</v>
      </c>
      <c r="F62" s="14"/>
      <c r="G62" s="6">
        <f>+SUM(E$9:$E62)-SUM(F$9:$F62)</f>
        <v>200000</v>
      </c>
    </row>
    <row r="63" spans="1:7" ht="28.8" x14ac:dyDescent="0.55000000000000004">
      <c r="A63" s="12"/>
      <c r="B63" s="13"/>
      <c r="C63" s="10"/>
      <c r="D63" s="10"/>
      <c r="E63" s="7">
        <f>+$I$2+(HASSANKAFARANI[[#This Row],[QUANTITE]]*HASSANKAFARANI[[#This Row],[PRIX UNITAIRE]])</f>
        <v>0</v>
      </c>
      <c r="F63" s="14"/>
      <c r="G63" s="6">
        <f>+SUM(E$9:$E63)-SUM(F$9:$F63)</f>
        <v>200000</v>
      </c>
    </row>
    <row r="64" spans="1:7" ht="28.8" x14ac:dyDescent="0.55000000000000004">
      <c r="A64" s="12"/>
      <c r="B64" s="13"/>
      <c r="C64" s="10"/>
      <c r="D64" s="10"/>
      <c r="E64" s="7">
        <f>+$I$2+(HASSANKAFARANI[[#This Row],[QUANTITE]]*HASSANKAFARANI[[#This Row],[PRIX UNITAIRE]])</f>
        <v>0</v>
      </c>
      <c r="F64" s="14"/>
      <c r="G64" s="6">
        <f>+SUM(E$9:$E64)-SUM(F$9:$F64)</f>
        <v>200000</v>
      </c>
    </row>
    <row r="65" spans="1:7" ht="28.8" x14ac:dyDescent="0.55000000000000004">
      <c r="A65" s="12"/>
      <c r="B65" s="13"/>
      <c r="C65" s="10"/>
      <c r="D65" s="10"/>
      <c r="E65" s="7">
        <f>+$I$2+(HASSANKAFARANI[[#This Row],[QUANTITE]]*HASSANKAFARANI[[#This Row],[PRIX UNITAIRE]])</f>
        <v>0</v>
      </c>
      <c r="F65" s="14"/>
      <c r="G65" s="6">
        <f>+SUM(E$9:$E65)-SUM(F$9:$F65)</f>
        <v>200000</v>
      </c>
    </row>
    <row r="66" spans="1:7" ht="28.8" x14ac:dyDescent="0.55000000000000004">
      <c r="A66" s="12"/>
      <c r="B66" s="13"/>
      <c r="C66" s="10"/>
      <c r="D66" s="10"/>
      <c r="E66" s="7">
        <f>+$I$2+(HASSANKAFARANI[[#This Row],[QUANTITE]]*HASSANKAFARANI[[#This Row],[PRIX UNITAIRE]])</f>
        <v>0</v>
      </c>
      <c r="F66" s="14"/>
      <c r="G66" s="6">
        <f>+SUM(E$9:$E66)-SUM(F$9:$F66)</f>
        <v>200000</v>
      </c>
    </row>
    <row r="67" spans="1:7" ht="28.8" x14ac:dyDescent="0.55000000000000004">
      <c r="A67" s="12"/>
      <c r="B67" s="13"/>
      <c r="C67" s="10"/>
      <c r="D67" s="10"/>
      <c r="E67" s="7">
        <f>+$I$2+(HASSANKAFARANI[[#This Row],[QUANTITE]]*HASSANKAFARANI[[#This Row],[PRIX UNITAIRE]])</f>
        <v>0</v>
      </c>
      <c r="F67" s="14"/>
      <c r="G67" s="6">
        <f>+SUM(E$9:$E67)-SUM(F$9:$F67)</f>
        <v>200000</v>
      </c>
    </row>
    <row r="68" spans="1:7" ht="28.8" x14ac:dyDescent="0.55000000000000004">
      <c r="A68" s="12"/>
      <c r="B68" s="13"/>
      <c r="C68" s="10"/>
      <c r="D68" s="10"/>
      <c r="E68" s="7">
        <f>+$I$2+(HASSANKAFARANI[[#This Row],[QUANTITE]]*HASSANKAFARANI[[#This Row],[PRIX UNITAIRE]])</f>
        <v>0</v>
      </c>
      <c r="F68" s="14"/>
      <c r="G68" s="6">
        <f>+SUM(E$9:$E68)-SUM(F$9:$F68)</f>
        <v>200000</v>
      </c>
    </row>
    <row r="69" spans="1:7" ht="28.8" x14ac:dyDescent="0.55000000000000004">
      <c r="A69" s="12"/>
      <c r="B69" s="13"/>
      <c r="C69" s="10"/>
      <c r="D69" s="10"/>
      <c r="E69" s="7">
        <f>+$I$2+(HASSANKAFARANI[[#This Row],[QUANTITE]]*HASSANKAFARANI[[#This Row],[PRIX UNITAIRE]])</f>
        <v>0</v>
      </c>
      <c r="F69" s="14"/>
      <c r="G69" s="6">
        <f>+SUM(E$9:$E69)-SUM(F$9:$F69)</f>
        <v>200000</v>
      </c>
    </row>
  </sheetData>
  <sheetProtection selectLockedCells="1" autoFilter="0"/>
  <mergeCells count="1">
    <mergeCell ref="B6:C6"/>
  </mergeCells>
  <phoneticPr fontId="40" type="noConversion"/>
  <conditionalFormatting sqref="B9:B69">
    <cfRule type="expression" dxfId="481" priority="5">
      <formula>$F9</formula>
    </cfRule>
  </conditionalFormatting>
  <conditionalFormatting sqref="G4">
    <cfRule type="cellIs" dxfId="480" priority="2" operator="lessThan">
      <formula>0</formula>
    </cfRule>
    <cfRule type="cellIs" dxfId="479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I180"/>
  <sheetViews>
    <sheetView showGridLines="0" topLeftCell="D1" zoomScale="60" zoomScaleNormal="60" workbookViewId="0">
      <pane ySplit="8" topLeftCell="A34" activePane="bottomLeft" state="frozen"/>
      <selection activeCell="L10" sqref="L10"/>
      <selection pane="bottomLeft" activeCell="D45" sqref="D45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441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 t="s">
        <v>51</v>
      </c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+SUM(VICTOR[TOTAL MONTANT])</f>
        <v>995000</v>
      </c>
      <c r="F4" s="39">
        <f>+SUM(VICTOR[VERSEMENT])</f>
        <v>715000</v>
      </c>
      <c r="G4" s="97">
        <f>+E4-F4</f>
        <v>280000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159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46071</v>
      </c>
      <c r="B9" s="13" t="s">
        <v>129</v>
      </c>
      <c r="C9" s="10">
        <v>1</v>
      </c>
      <c r="D9" s="10">
        <v>10000</v>
      </c>
      <c r="E9" s="7">
        <v>10000</v>
      </c>
      <c r="F9" s="11">
        <v>0</v>
      </c>
      <c r="G9" s="6">
        <f>+SUM(E$9:$E9)-SUM(F$9:$F9)</f>
        <v>10000</v>
      </c>
    </row>
    <row r="10" spans="1:9" ht="28.8" x14ac:dyDescent="0.55000000000000004">
      <c r="A10" s="12">
        <v>46072</v>
      </c>
      <c r="B10" s="13" t="s">
        <v>130</v>
      </c>
      <c r="C10" s="10">
        <v>0</v>
      </c>
      <c r="D10" s="10">
        <v>80000</v>
      </c>
      <c r="E10" s="7">
        <v>0</v>
      </c>
      <c r="F10" s="11">
        <v>0</v>
      </c>
      <c r="G10" s="6">
        <f>+SUM(E$9:$E10)-SUM(F$9:$F10)</f>
        <v>10000</v>
      </c>
    </row>
    <row r="11" spans="1:9" ht="28.8" x14ac:dyDescent="0.55000000000000004">
      <c r="A11" s="12">
        <v>46072</v>
      </c>
      <c r="B11" s="13" t="s">
        <v>131</v>
      </c>
      <c r="C11" s="10">
        <v>1</v>
      </c>
      <c r="D11" s="10">
        <v>5000</v>
      </c>
      <c r="E11" s="7">
        <v>5000</v>
      </c>
      <c r="F11" s="11">
        <v>0</v>
      </c>
      <c r="G11" s="6">
        <f>+SUM(E$9:$E11)-SUM(F$9:$F11)</f>
        <v>15000</v>
      </c>
    </row>
    <row r="12" spans="1:9" ht="28.8" x14ac:dyDescent="0.55000000000000004">
      <c r="A12" s="12">
        <v>46072</v>
      </c>
      <c r="B12" s="13" t="s">
        <v>132</v>
      </c>
      <c r="C12" s="10">
        <v>1</v>
      </c>
      <c r="D12" s="10">
        <v>15000</v>
      </c>
      <c r="E12" s="7">
        <v>15000</v>
      </c>
      <c r="F12" s="11">
        <v>0</v>
      </c>
      <c r="G12" s="6">
        <f>+SUM(E$9:$E12)-SUM(F$9:$F12)</f>
        <v>30000</v>
      </c>
    </row>
    <row r="13" spans="1:9" ht="28.8" x14ac:dyDescent="0.55000000000000004">
      <c r="A13" s="12">
        <v>46072</v>
      </c>
      <c r="B13" s="13" t="s">
        <v>133</v>
      </c>
      <c r="C13" s="10">
        <v>1</v>
      </c>
      <c r="D13" s="10">
        <v>50000</v>
      </c>
      <c r="E13" s="7">
        <v>50000</v>
      </c>
      <c r="F13" s="11">
        <v>0</v>
      </c>
      <c r="G13" s="6">
        <f>+SUM(E$9:$E13)-SUM(F$9:$F13)</f>
        <v>80000</v>
      </c>
    </row>
    <row r="14" spans="1:9" ht="28.8" x14ac:dyDescent="0.55000000000000004">
      <c r="A14" s="12">
        <v>46072</v>
      </c>
      <c r="B14" s="13" t="s">
        <v>134</v>
      </c>
      <c r="C14" s="10">
        <v>1</v>
      </c>
      <c r="D14" s="10">
        <v>50000</v>
      </c>
      <c r="E14" s="7">
        <v>50000</v>
      </c>
      <c r="F14" s="11">
        <v>0</v>
      </c>
      <c r="G14" s="6">
        <f>+SUM(E$9:$E14)-SUM(F$9:$F14)</f>
        <v>130000</v>
      </c>
    </row>
    <row r="15" spans="1:9" ht="28.8" x14ac:dyDescent="0.55000000000000004">
      <c r="A15" s="12">
        <v>46072</v>
      </c>
      <c r="B15" s="13" t="s">
        <v>135</v>
      </c>
      <c r="C15" s="10">
        <v>1</v>
      </c>
      <c r="D15" s="10">
        <v>10000</v>
      </c>
      <c r="E15" s="7">
        <v>10000</v>
      </c>
      <c r="F15" s="11">
        <v>0</v>
      </c>
      <c r="G15" s="6">
        <f>+SUM(E$9:$E15)-SUM(F$9:$F15)</f>
        <v>140000</v>
      </c>
    </row>
    <row r="16" spans="1:9" ht="28.8" x14ac:dyDescent="0.55000000000000004">
      <c r="A16" s="12">
        <v>46072</v>
      </c>
      <c r="B16" s="13" t="s">
        <v>136</v>
      </c>
      <c r="C16" s="10">
        <v>1</v>
      </c>
      <c r="D16" s="10">
        <v>10000</v>
      </c>
      <c r="E16" s="7">
        <v>10000</v>
      </c>
      <c r="F16" s="11">
        <v>0</v>
      </c>
      <c r="G16" s="6">
        <f>+SUM(E$9:$E16)-SUM(F$9:$F16)</f>
        <v>150000</v>
      </c>
    </row>
    <row r="17" spans="1:7" ht="28.8" x14ac:dyDescent="0.55000000000000004">
      <c r="A17" s="12">
        <v>46073</v>
      </c>
      <c r="B17" s="13" t="s">
        <v>137</v>
      </c>
      <c r="C17" s="10">
        <v>1</v>
      </c>
      <c r="D17" s="10"/>
      <c r="E17" s="7">
        <v>0</v>
      </c>
      <c r="F17" s="11">
        <v>40000</v>
      </c>
      <c r="G17" s="6">
        <f>+SUM(E$9:$E17)-SUM(F$9:$F17)</f>
        <v>110000</v>
      </c>
    </row>
    <row r="18" spans="1:7" ht="28.8" x14ac:dyDescent="0.55000000000000004">
      <c r="A18" s="12">
        <v>46079</v>
      </c>
      <c r="B18" s="13" t="s">
        <v>138</v>
      </c>
      <c r="C18" s="10">
        <v>1</v>
      </c>
      <c r="D18" s="10">
        <v>50000</v>
      </c>
      <c r="E18" s="7">
        <v>50000</v>
      </c>
      <c r="F18" s="11">
        <v>0</v>
      </c>
      <c r="G18" s="6">
        <f>+SUM(E$9:$E18)-SUM(F$9:$F18)</f>
        <v>160000</v>
      </c>
    </row>
    <row r="19" spans="1:7" ht="28.8" x14ac:dyDescent="0.55000000000000004">
      <c r="A19" s="12">
        <v>46079</v>
      </c>
      <c r="B19" s="13" t="s">
        <v>139</v>
      </c>
      <c r="C19" s="10">
        <v>2</v>
      </c>
      <c r="D19" s="10">
        <v>10000</v>
      </c>
      <c r="E19" s="7">
        <v>20000</v>
      </c>
      <c r="F19" s="11">
        <v>0</v>
      </c>
      <c r="G19" s="6">
        <f>+SUM(E$9:$E19)-SUM(F$9:$F19)</f>
        <v>180000</v>
      </c>
    </row>
    <row r="20" spans="1:7" ht="28.8" x14ac:dyDescent="0.55000000000000004">
      <c r="A20" s="12">
        <v>46079</v>
      </c>
      <c r="B20" s="13" t="s">
        <v>140</v>
      </c>
      <c r="C20" s="10">
        <v>2</v>
      </c>
      <c r="D20" s="10">
        <v>40000</v>
      </c>
      <c r="E20" s="7">
        <v>80000</v>
      </c>
      <c r="F20" s="11">
        <v>0</v>
      </c>
      <c r="G20" s="6">
        <f>+SUM(E$9:$E20)-SUM(F$9:$F20)</f>
        <v>260000</v>
      </c>
    </row>
    <row r="21" spans="1:7" ht="28.8" x14ac:dyDescent="0.55000000000000004">
      <c r="A21" s="12">
        <v>46079</v>
      </c>
      <c r="B21" s="13" t="s">
        <v>141</v>
      </c>
      <c r="C21" s="10">
        <v>2</v>
      </c>
      <c r="D21" s="10">
        <v>45000</v>
      </c>
      <c r="E21" s="7">
        <v>90000</v>
      </c>
      <c r="F21" s="11">
        <v>0</v>
      </c>
      <c r="G21" s="6">
        <f>+SUM(E$9:$E21)-SUM(F$9:$F21)</f>
        <v>350000</v>
      </c>
    </row>
    <row r="22" spans="1:7" ht="28.8" x14ac:dyDescent="0.55000000000000004">
      <c r="A22" s="12">
        <v>46079</v>
      </c>
      <c r="B22" s="13" t="s">
        <v>142</v>
      </c>
      <c r="C22" s="10">
        <v>1</v>
      </c>
      <c r="D22" s="10">
        <v>10000</v>
      </c>
      <c r="E22" s="7">
        <v>10000</v>
      </c>
      <c r="F22" s="11">
        <v>0</v>
      </c>
      <c r="G22" s="6">
        <f>+SUM(E$9:$E22)-SUM(F$9:$F22)</f>
        <v>360000</v>
      </c>
    </row>
    <row r="23" spans="1:7" ht="28.8" x14ac:dyDescent="0.55000000000000004">
      <c r="A23" s="12">
        <v>46079</v>
      </c>
      <c r="B23" s="13" t="s">
        <v>143</v>
      </c>
      <c r="C23" s="10">
        <v>1</v>
      </c>
      <c r="D23" s="10">
        <v>5000</v>
      </c>
      <c r="E23" s="7">
        <v>5000</v>
      </c>
      <c r="F23" s="11">
        <v>0</v>
      </c>
      <c r="G23" s="6">
        <f>+SUM(E$9:$E23)-SUM(F$9:$F23)</f>
        <v>365000</v>
      </c>
    </row>
    <row r="24" spans="1:7" ht="28.8" x14ac:dyDescent="0.55000000000000004">
      <c r="A24" s="12">
        <v>46074</v>
      </c>
      <c r="B24" s="13" t="s">
        <v>144</v>
      </c>
      <c r="C24" s="10">
        <v>1</v>
      </c>
      <c r="D24" s="10">
        <v>180000</v>
      </c>
      <c r="E24" s="7">
        <v>180000</v>
      </c>
      <c r="F24" s="11">
        <v>0</v>
      </c>
      <c r="G24" s="6">
        <f>+SUM(E$9:$E24)-SUM(F$9:$F24)</f>
        <v>545000</v>
      </c>
    </row>
    <row r="25" spans="1:7" ht="28.8" x14ac:dyDescent="0.55000000000000004">
      <c r="A25" s="12">
        <v>46074</v>
      </c>
      <c r="B25" s="13" t="s">
        <v>145</v>
      </c>
      <c r="C25" s="10">
        <v>2</v>
      </c>
      <c r="D25" s="10">
        <v>7500</v>
      </c>
      <c r="E25" s="7">
        <v>15000</v>
      </c>
      <c r="F25" s="11">
        <v>0</v>
      </c>
      <c r="G25" s="6">
        <f>+SUM(E$9:$E25)-SUM(F$9:$F25)</f>
        <v>560000</v>
      </c>
    </row>
    <row r="26" spans="1:7" ht="28.8" x14ac:dyDescent="0.55000000000000004">
      <c r="A26" s="12">
        <v>46081</v>
      </c>
      <c r="B26" s="13" t="s">
        <v>146</v>
      </c>
      <c r="C26" s="10">
        <v>2</v>
      </c>
      <c r="D26" s="10">
        <v>25000</v>
      </c>
      <c r="E26" s="7">
        <v>50000</v>
      </c>
      <c r="F26" s="11">
        <v>0</v>
      </c>
      <c r="G26" s="6">
        <f>+SUM(E$9:$E26)-SUM(F$9:$F26)</f>
        <v>610000</v>
      </c>
    </row>
    <row r="27" spans="1:7" ht="28.8" x14ac:dyDescent="0.55000000000000004">
      <c r="A27" s="12">
        <v>46081</v>
      </c>
      <c r="B27" s="13" t="s">
        <v>147</v>
      </c>
      <c r="C27" s="10">
        <v>2</v>
      </c>
      <c r="D27" s="10">
        <v>7500</v>
      </c>
      <c r="E27" s="7">
        <v>15000</v>
      </c>
      <c r="F27" s="11">
        <v>0</v>
      </c>
      <c r="G27" s="6">
        <f>+SUM(E$9:$E27)-SUM(F$9:$F27)</f>
        <v>625000</v>
      </c>
    </row>
    <row r="28" spans="1:7" ht="28.8" x14ac:dyDescent="0.55000000000000004">
      <c r="A28" s="12">
        <v>46085</v>
      </c>
      <c r="B28" s="13" t="s">
        <v>148</v>
      </c>
      <c r="C28" s="10">
        <v>2</v>
      </c>
      <c r="D28" s="10">
        <v>15000</v>
      </c>
      <c r="E28" s="7">
        <v>30000</v>
      </c>
      <c r="F28" s="11">
        <v>0</v>
      </c>
      <c r="G28" s="6">
        <f>+SUM(E$9:$E28)-SUM(F$9:$F28)</f>
        <v>655000</v>
      </c>
    </row>
    <row r="29" spans="1:7" ht="28.8" x14ac:dyDescent="0.55000000000000004">
      <c r="A29" s="12">
        <v>46085</v>
      </c>
      <c r="B29" s="13" t="s">
        <v>149</v>
      </c>
      <c r="C29" s="10">
        <v>1</v>
      </c>
      <c r="D29" s="10">
        <v>20000</v>
      </c>
      <c r="E29" s="7">
        <v>20000</v>
      </c>
      <c r="F29" s="11">
        <v>0</v>
      </c>
      <c r="G29" s="6">
        <f>+SUM(E$9:$E29)-SUM(F$9:$F29)</f>
        <v>675000</v>
      </c>
    </row>
    <row r="30" spans="1:7" ht="28.8" x14ac:dyDescent="0.55000000000000004">
      <c r="A30" s="12">
        <v>46088</v>
      </c>
      <c r="B30" s="13" t="s">
        <v>11</v>
      </c>
      <c r="C30" s="10">
        <v>1</v>
      </c>
      <c r="D30" s="10"/>
      <c r="E30" s="7">
        <v>0</v>
      </c>
      <c r="F30" s="11">
        <v>675000</v>
      </c>
      <c r="G30" s="6">
        <f>+SUM(E$9:$E30)-SUM(F$9:$F30)</f>
        <v>0</v>
      </c>
    </row>
    <row r="31" spans="1:7" ht="28.8" x14ac:dyDescent="0.55000000000000004">
      <c r="A31" s="12">
        <v>46090</v>
      </c>
      <c r="B31" s="13" t="s">
        <v>150</v>
      </c>
      <c r="C31" s="10">
        <v>2</v>
      </c>
      <c r="D31" s="10">
        <v>25000</v>
      </c>
      <c r="E31" s="7">
        <v>50000</v>
      </c>
      <c r="F31" s="11">
        <v>0</v>
      </c>
      <c r="G31" s="6">
        <f>+SUM(E$9:$E31)-SUM(F$9:$F31)</f>
        <v>50000</v>
      </c>
    </row>
    <row r="32" spans="1:7" ht="28.8" x14ac:dyDescent="0.55000000000000004">
      <c r="A32" s="12">
        <v>46090</v>
      </c>
      <c r="B32" s="13" t="s">
        <v>151</v>
      </c>
      <c r="C32" s="10">
        <v>2</v>
      </c>
      <c r="D32" s="10">
        <v>25000</v>
      </c>
      <c r="E32" s="7">
        <v>50000</v>
      </c>
      <c r="F32" s="11">
        <v>0</v>
      </c>
      <c r="G32" s="6">
        <f>+SUM(E$9:$E32)-SUM(F$9:$F32)</f>
        <v>100000</v>
      </c>
    </row>
    <row r="33" spans="1:7" ht="28.8" x14ac:dyDescent="0.55000000000000004">
      <c r="A33" s="12">
        <v>46090</v>
      </c>
      <c r="B33" s="13" t="s">
        <v>152</v>
      </c>
      <c r="C33" s="10">
        <v>2</v>
      </c>
      <c r="D33" s="10">
        <v>5000</v>
      </c>
      <c r="E33" s="7">
        <v>10000</v>
      </c>
      <c r="F33" s="11">
        <v>0</v>
      </c>
      <c r="G33" s="6">
        <f>+SUM(E$9:$E33)-SUM(F$9:$F33)</f>
        <v>110000</v>
      </c>
    </row>
    <row r="34" spans="1:7" ht="28.8" x14ac:dyDescent="0.55000000000000004">
      <c r="A34" s="12">
        <v>46090</v>
      </c>
      <c r="B34" s="13" t="s">
        <v>153</v>
      </c>
      <c r="C34" s="10">
        <v>2</v>
      </c>
      <c r="D34" s="10">
        <v>7500</v>
      </c>
      <c r="E34" s="7">
        <v>15000</v>
      </c>
      <c r="F34" s="11">
        <v>0</v>
      </c>
      <c r="G34" s="6">
        <f>+SUM(E$9:$E34)-SUM(F$9:$F34)</f>
        <v>125000</v>
      </c>
    </row>
    <row r="35" spans="1:7" ht="28.8" x14ac:dyDescent="0.55000000000000004">
      <c r="A35" s="12">
        <v>46094</v>
      </c>
      <c r="B35" s="13" t="s">
        <v>154</v>
      </c>
      <c r="C35" s="10">
        <v>4</v>
      </c>
      <c r="D35" s="10">
        <v>5000</v>
      </c>
      <c r="E35" s="7">
        <v>20000</v>
      </c>
      <c r="F35" s="11"/>
      <c r="G35" s="6">
        <f>+SUM(E$9:$E35)-SUM(F$9:$F35)</f>
        <v>145000</v>
      </c>
    </row>
    <row r="36" spans="1:7" ht="28.8" x14ac:dyDescent="0.55000000000000004">
      <c r="A36" s="12">
        <v>46094</v>
      </c>
      <c r="B36" s="13" t="s">
        <v>155</v>
      </c>
      <c r="C36" s="10">
        <v>2</v>
      </c>
      <c r="D36" s="10">
        <v>7500</v>
      </c>
      <c r="E36" s="7">
        <v>15000</v>
      </c>
      <c r="F36" s="11"/>
      <c r="G36" s="6">
        <f>+SUM(E$9:$E36)-SUM(F$9:$F36)</f>
        <v>160000</v>
      </c>
    </row>
    <row r="37" spans="1:7" ht="28.8" x14ac:dyDescent="0.55000000000000004">
      <c r="A37" s="12">
        <v>46094</v>
      </c>
      <c r="B37" s="13" t="s">
        <v>156</v>
      </c>
      <c r="C37" s="10">
        <v>2</v>
      </c>
      <c r="D37" s="10">
        <v>7500</v>
      </c>
      <c r="E37" s="7">
        <v>15000</v>
      </c>
      <c r="F37" s="11"/>
      <c r="G37" s="6">
        <f>+SUM(E$9:$E37)-SUM(F$9:$F37)</f>
        <v>175000</v>
      </c>
    </row>
    <row r="38" spans="1:7" ht="28.8" x14ac:dyDescent="0.55000000000000004">
      <c r="A38" s="12">
        <v>46094</v>
      </c>
      <c r="B38" s="13" t="s">
        <v>157</v>
      </c>
      <c r="C38" s="10">
        <v>2</v>
      </c>
      <c r="D38" s="10">
        <v>7500</v>
      </c>
      <c r="E38" s="7">
        <v>15000</v>
      </c>
      <c r="F38" s="11"/>
      <c r="G38" s="6">
        <f>+SUM(E$9:$E38)-SUM(F$9:$F38)</f>
        <v>190000</v>
      </c>
    </row>
    <row r="39" spans="1:7" ht="28.8" x14ac:dyDescent="0.55000000000000004">
      <c r="A39" s="12">
        <v>46094</v>
      </c>
      <c r="B39" s="13" t="s">
        <v>158</v>
      </c>
      <c r="C39" s="10">
        <v>2</v>
      </c>
      <c r="D39" s="10">
        <v>10000</v>
      </c>
      <c r="E39" s="7">
        <f>VICTOR[[#This Row],[QUANTITE]]*VICTOR[[#This Row],[PRIX UNITAIRE]]</f>
        <v>20000</v>
      </c>
      <c r="F39" s="11"/>
      <c r="G39" s="6">
        <f>+SUM(E$9:$E39)-SUM(F$9:$F39)</f>
        <v>210000</v>
      </c>
    </row>
    <row r="40" spans="1:7" ht="28.8" x14ac:dyDescent="0.55000000000000004">
      <c r="A40" s="12">
        <v>46253</v>
      </c>
      <c r="B40" s="13" t="s">
        <v>202</v>
      </c>
      <c r="C40" s="10">
        <v>2</v>
      </c>
      <c r="D40" s="10">
        <v>25000</v>
      </c>
      <c r="E40" s="7">
        <f>VICTOR[[#This Row],[QUANTITE]]*VICTOR[[#This Row],[PRIX UNITAIRE]]</f>
        <v>50000</v>
      </c>
      <c r="F40" s="11"/>
      <c r="G40" s="6">
        <f>+SUM(E$9:$E40)-SUM(F$9:$F40)</f>
        <v>260000</v>
      </c>
    </row>
    <row r="41" spans="1:7" ht="28.8" x14ac:dyDescent="0.55000000000000004">
      <c r="A41" s="12">
        <v>46253</v>
      </c>
      <c r="B41" s="13" t="s">
        <v>203</v>
      </c>
      <c r="C41" s="10">
        <v>1</v>
      </c>
      <c r="D41" s="10">
        <v>10000</v>
      </c>
      <c r="E41" s="7">
        <f>VICTOR[[#This Row],[QUANTITE]]*VICTOR[[#This Row],[PRIX UNITAIRE]]</f>
        <v>10000</v>
      </c>
      <c r="F41" s="11"/>
      <c r="G41" s="6">
        <f>+SUM(E$9:$E41)-SUM(F$9:$F41)</f>
        <v>270000</v>
      </c>
    </row>
    <row r="42" spans="1:7" ht="28.8" x14ac:dyDescent="0.55000000000000004">
      <c r="A42" s="12">
        <v>46253</v>
      </c>
      <c r="B42" s="13" t="s">
        <v>204</v>
      </c>
      <c r="C42" s="10">
        <v>1</v>
      </c>
      <c r="D42" s="10">
        <v>10000</v>
      </c>
      <c r="E42" s="7">
        <f>VICTOR[[#This Row],[QUANTITE]]*VICTOR[[#This Row],[PRIX UNITAIRE]]</f>
        <v>10000</v>
      </c>
      <c r="F42" s="11"/>
      <c r="G42" s="6">
        <f>+SUM(E$9:$E42)-SUM(F$9:$F42)</f>
        <v>280000</v>
      </c>
    </row>
    <row r="43" spans="1:7" ht="28.8" x14ac:dyDescent="0.55000000000000004">
      <c r="A43" s="12"/>
      <c r="B43" s="13"/>
      <c r="C43" s="10"/>
      <c r="D43" s="10"/>
      <c r="E43" s="7"/>
      <c r="F43" s="11"/>
      <c r="G43" s="6">
        <f>+SUM(E$9:$E43)-SUM(F$9:$F43)</f>
        <v>280000</v>
      </c>
    </row>
    <row r="44" spans="1:7" ht="28.8" x14ac:dyDescent="0.55000000000000004">
      <c r="A44" s="12"/>
      <c r="B44" s="13"/>
      <c r="C44" s="10"/>
      <c r="D44" s="10"/>
      <c r="E44" s="7"/>
      <c r="F44" s="11"/>
      <c r="G44" s="6">
        <f>+SUM(E$9:$E44)-SUM(F$9:$F44)</f>
        <v>280000</v>
      </c>
    </row>
    <row r="45" spans="1:7" ht="28.8" x14ac:dyDescent="0.55000000000000004">
      <c r="A45" s="12"/>
      <c r="B45" s="13"/>
      <c r="C45" s="10"/>
      <c r="D45" s="10"/>
      <c r="E45" s="7"/>
      <c r="F45" s="11"/>
      <c r="G45" s="6">
        <f>+SUM(E$9:$E45)-SUM(F$9:$F45)</f>
        <v>280000</v>
      </c>
    </row>
    <row r="46" spans="1:7" ht="28.8" x14ac:dyDescent="0.55000000000000004">
      <c r="A46" s="12"/>
      <c r="B46" s="13"/>
      <c r="C46" s="10"/>
      <c r="D46" s="10"/>
      <c r="E46" s="7"/>
      <c r="F46" s="11"/>
      <c r="G46" s="6">
        <f>+SUM(E$9:$E46)-SUM(F$9:$F46)</f>
        <v>280000</v>
      </c>
    </row>
    <row r="47" spans="1:7" ht="28.8" x14ac:dyDescent="0.55000000000000004">
      <c r="A47" s="12"/>
      <c r="B47" s="13"/>
      <c r="C47" s="10"/>
      <c r="D47" s="10"/>
      <c r="E47" s="7"/>
      <c r="F47" s="11"/>
      <c r="G47" s="6">
        <f>+SUM(E$9:$E47)-SUM(F$9:$F47)</f>
        <v>280000</v>
      </c>
    </row>
    <row r="48" spans="1:7" ht="28.8" x14ac:dyDescent="0.55000000000000004">
      <c r="A48" s="12"/>
      <c r="B48" s="13"/>
      <c r="C48" s="10"/>
      <c r="D48" s="10"/>
      <c r="E48" s="7">
        <f>+$I$2+(VICTOR[[#This Row],[QUANTITE]]*VICTOR[[#This Row],[PRIX UNITAIRE]])</f>
        <v>0</v>
      </c>
      <c r="F48" s="11"/>
      <c r="G48" s="6">
        <f>+SUM(E$9:$E48)-SUM(F$9:$F48)</f>
        <v>280000</v>
      </c>
    </row>
    <row r="49" spans="1:7" ht="28.8" x14ac:dyDescent="0.55000000000000004">
      <c r="A49" s="12"/>
      <c r="B49" s="13"/>
      <c r="C49" s="10"/>
      <c r="D49" s="10"/>
      <c r="E49" s="7">
        <f>+$I$2+(VICTOR[[#This Row],[QUANTITE]]*VICTOR[[#This Row],[PRIX UNITAIRE]])</f>
        <v>0</v>
      </c>
      <c r="F49" s="11"/>
      <c r="G49" s="6">
        <f>+SUM(E$9:$E49)-SUM(F$9:$F49)</f>
        <v>280000</v>
      </c>
    </row>
    <row r="50" spans="1:7" ht="28.8" x14ac:dyDescent="0.55000000000000004">
      <c r="A50" s="12"/>
      <c r="B50" s="13"/>
      <c r="C50" s="10"/>
      <c r="D50" s="10"/>
      <c r="E50" s="7">
        <f>+$I$2+(VICTOR[[#This Row],[QUANTITE]]*VICTOR[[#This Row],[PRIX UNITAIRE]])</f>
        <v>0</v>
      </c>
      <c r="F50" s="11"/>
      <c r="G50" s="6">
        <f>+SUM(E$9:$E50)-SUM(F$9:$F50)</f>
        <v>280000</v>
      </c>
    </row>
    <row r="51" spans="1:7" ht="28.8" x14ac:dyDescent="0.55000000000000004">
      <c r="A51" s="12"/>
      <c r="B51" s="13"/>
      <c r="C51" s="10"/>
      <c r="D51" s="10"/>
      <c r="E51" s="7">
        <f>+$I$2+(VICTOR[[#This Row],[QUANTITE]]*VICTOR[[#This Row],[PRIX UNITAIRE]])</f>
        <v>0</v>
      </c>
      <c r="F51" s="11"/>
      <c r="G51" s="6">
        <f>+SUM(E$9:$E51)-SUM(F$9:$F51)</f>
        <v>280000</v>
      </c>
    </row>
    <row r="52" spans="1:7" ht="28.8" x14ac:dyDescent="0.55000000000000004">
      <c r="A52" s="12"/>
      <c r="B52" s="13"/>
      <c r="C52" s="10"/>
      <c r="D52" s="10"/>
      <c r="E52" s="7">
        <f>+$I$2+(VICTOR[[#This Row],[QUANTITE]]*VICTOR[[#This Row],[PRIX UNITAIRE]])</f>
        <v>0</v>
      </c>
      <c r="F52" s="11"/>
      <c r="G52" s="6">
        <f>+SUM(E$9:$E52)-SUM(F$9:$F52)</f>
        <v>280000</v>
      </c>
    </row>
    <row r="53" spans="1:7" ht="28.8" x14ac:dyDescent="0.55000000000000004">
      <c r="A53" s="12"/>
      <c r="B53" s="13"/>
      <c r="C53" s="10"/>
      <c r="D53" s="10"/>
      <c r="E53" s="7">
        <f>+$I$2+(VICTOR[[#This Row],[QUANTITE]]*VICTOR[[#This Row],[PRIX UNITAIRE]])</f>
        <v>0</v>
      </c>
      <c r="F53" s="11"/>
      <c r="G53" s="6">
        <f>+SUM(E$9:$E53)-SUM(F$9:$F53)</f>
        <v>280000</v>
      </c>
    </row>
    <row r="54" spans="1:7" ht="28.8" x14ac:dyDescent="0.55000000000000004">
      <c r="A54" s="12"/>
      <c r="B54" s="13"/>
      <c r="C54" s="10"/>
      <c r="D54" s="10"/>
      <c r="E54" s="7">
        <f>+$I$2+(VICTOR[[#This Row],[QUANTITE]]*VICTOR[[#This Row],[PRIX UNITAIRE]])</f>
        <v>0</v>
      </c>
      <c r="F54" s="11"/>
      <c r="G54" s="6">
        <f>+SUM(E$9:$E54)-SUM(F$9:$F54)</f>
        <v>280000</v>
      </c>
    </row>
    <row r="55" spans="1:7" ht="28.8" x14ac:dyDescent="0.55000000000000004">
      <c r="A55" s="12"/>
      <c r="B55" s="13"/>
      <c r="C55" s="10"/>
      <c r="D55" s="10"/>
      <c r="E55" s="7">
        <f>+$I$2+(VICTOR[[#This Row],[QUANTITE]]*VICTOR[[#This Row],[PRIX UNITAIRE]])</f>
        <v>0</v>
      </c>
      <c r="F55" s="11"/>
      <c r="G55" s="6">
        <f>+SUM(E$9:$E55)-SUM(F$9:$F55)</f>
        <v>280000</v>
      </c>
    </row>
    <row r="56" spans="1:7" ht="28.8" x14ac:dyDescent="0.55000000000000004">
      <c r="A56" s="12"/>
      <c r="B56" s="13"/>
      <c r="C56" s="10"/>
      <c r="D56" s="10"/>
      <c r="E56" s="7">
        <f>+$I$2+(VICTOR[[#This Row],[QUANTITE]]*VICTOR[[#This Row],[PRIX UNITAIRE]])</f>
        <v>0</v>
      </c>
      <c r="F56" s="11"/>
      <c r="G56" s="6">
        <f>+SUM(E$9:$E56)-SUM(F$9:$F56)</f>
        <v>280000</v>
      </c>
    </row>
    <row r="57" spans="1:7" ht="28.8" x14ac:dyDescent="0.55000000000000004">
      <c r="A57" s="12"/>
      <c r="B57" s="13"/>
      <c r="C57" s="10"/>
      <c r="D57" s="10"/>
      <c r="E57" s="7">
        <f>+$I$2+(VICTOR[[#This Row],[QUANTITE]]*VICTOR[[#This Row],[PRIX UNITAIRE]])</f>
        <v>0</v>
      </c>
      <c r="F57" s="11"/>
      <c r="G57" s="6">
        <f>+SUM(E$9:$E57)-SUM(F$9:$F57)</f>
        <v>280000</v>
      </c>
    </row>
    <row r="58" spans="1:7" ht="28.8" x14ac:dyDescent="0.55000000000000004">
      <c r="A58" s="12"/>
      <c r="B58" s="13"/>
      <c r="C58" s="10"/>
      <c r="D58" s="10"/>
      <c r="E58" s="7">
        <f>+$I$2+(VICTOR[[#This Row],[QUANTITE]]*VICTOR[[#This Row],[PRIX UNITAIRE]])</f>
        <v>0</v>
      </c>
      <c r="F58" s="11"/>
      <c r="G58" s="6">
        <f>+SUM(E$9:$E58)-SUM(F$9:$F58)</f>
        <v>280000</v>
      </c>
    </row>
    <row r="59" spans="1:7" ht="28.8" x14ac:dyDescent="0.55000000000000004">
      <c r="A59" s="12"/>
      <c r="B59" s="13"/>
      <c r="C59" s="10"/>
      <c r="D59" s="10"/>
      <c r="E59" s="7">
        <f>+$I$2+(VICTOR[[#This Row],[QUANTITE]]*VICTOR[[#This Row],[PRIX UNITAIRE]])</f>
        <v>0</v>
      </c>
      <c r="F59" s="11"/>
      <c r="G59" s="6">
        <f>+SUM(E$9:$E59)-SUM(F$9:$F59)</f>
        <v>280000</v>
      </c>
    </row>
    <row r="60" spans="1:7" ht="28.8" x14ac:dyDescent="0.55000000000000004">
      <c r="A60" s="12"/>
      <c r="B60" s="13"/>
      <c r="C60" s="10"/>
      <c r="D60" s="10"/>
      <c r="E60" s="7">
        <f>+$I$2+(VICTOR[[#This Row],[QUANTITE]]*VICTOR[[#This Row],[PRIX UNITAIRE]])</f>
        <v>0</v>
      </c>
      <c r="F60" s="11"/>
      <c r="G60" s="6">
        <f>+SUM(E$9:$E60)-SUM(F$9:$F60)</f>
        <v>280000</v>
      </c>
    </row>
    <row r="61" spans="1:7" ht="28.8" x14ac:dyDescent="0.55000000000000004">
      <c r="A61" s="12"/>
      <c r="B61" s="13"/>
      <c r="C61" s="10"/>
      <c r="D61" s="10"/>
      <c r="E61" s="7">
        <f>+$I$2+(VICTOR[[#This Row],[QUANTITE]]*VICTOR[[#This Row],[PRIX UNITAIRE]])</f>
        <v>0</v>
      </c>
      <c r="F61" s="11"/>
      <c r="G61" s="6">
        <f>+SUM(E$9:$E61)-SUM(F$9:$F61)</f>
        <v>280000</v>
      </c>
    </row>
    <row r="62" spans="1:7" ht="28.8" x14ac:dyDescent="0.55000000000000004">
      <c r="A62" s="12"/>
      <c r="B62" s="13"/>
      <c r="C62" s="10"/>
      <c r="D62" s="10"/>
      <c r="E62" s="7">
        <f>+$I$2+(VICTOR[[#This Row],[QUANTITE]]*VICTOR[[#This Row],[PRIX UNITAIRE]])</f>
        <v>0</v>
      </c>
      <c r="F62" s="11"/>
      <c r="G62" s="6">
        <f>+SUM(E$9:$E62)-SUM(F$9:$F62)</f>
        <v>280000</v>
      </c>
    </row>
    <row r="63" spans="1:7" ht="28.8" x14ac:dyDescent="0.55000000000000004">
      <c r="A63" s="12"/>
      <c r="B63" s="13"/>
      <c r="C63" s="10"/>
      <c r="D63" s="10"/>
      <c r="E63" s="7">
        <f>+$I$2+(VICTOR[[#This Row],[QUANTITE]]*VICTOR[[#This Row],[PRIX UNITAIRE]])</f>
        <v>0</v>
      </c>
      <c r="F63" s="11"/>
      <c r="G63" s="6">
        <f>+SUM(E$9:$E63)-SUM(F$9:$F63)</f>
        <v>280000</v>
      </c>
    </row>
    <row r="64" spans="1:7" ht="28.8" x14ac:dyDescent="0.55000000000000004">
      <c r="A64" s="12"/>
      <c r="B64" s="13"/>
      <c r="C64" s="10"/>
      <c r="D64" s="10"/>
      <c r="E64" s="7">
        <f>+$I$2+(VICTOR[[#This Row],[QUANTITE]]*VICTOR[[#This Row],[PRIX UNITAIRE]])</f>
        <v>0</v>
      </c>
      <c r="F64" s="11"/>
      <c r="G64" s="6">
        <f>+SUM(E$9:$E64)-SUM(F$9:$F64)</f>
        <v>280000</v>
      </c>
    </row>
    <row r="65" spans="1:7" ht="28.8" x14ac:dyDescent="0.55000000000000004">
      <c r="A65" s="12"/>
      <c r="B65" s="13"/>
      <c r="C65" s="10"/>
      <c r="D65" s="10"/>
      <c r="E65" s="7">
        <f>+$I$2+(VICTOR[[#This Row],[QUANTITE]]*VICTOR[[#This Row],[PRIX UNITAIRE]])</f>
        <v>0</v>
      </c>
      <c r="F65" s="11"/>
      <c r="G65" s="6">
        <f>+SUM(E$9:$E65)-SUM(F$9:$F65)</f>
        <v>280000</v>
      </c>
    </row>
    <row r="66" spans="1:7" ht="28.8" x14ac:dyDescent="0.55000000000000004">
      <c r="A66" s="12"/>
      <c r="B66" s="13"/>
      <c r="C66" s="10"/>
      <c r="D66" s="10"/>
      <c r="E66" s="7">
        <f>+$I$2+(VICTOR[[#This Row],[QUANTITE]]*VICTOR[[#This Row],[PRIX UNITAIRE]])</f>
        <v>0</v>
      </c>
      <c r="F66" s="11"/>
      <c r="G66" s="6">
        <f>+SUM(E$9:$E66)-SUM(F$9:$F66)</f>
        <v>280000</v>
      </c>
    </row>
    <row r="67" spans="1:7" ht="28.8" x14ac:dyDescent="0.55000000000000004">
      <c r="A67" s="12"/>
      <c r="B67" s="13"/>
      <c r="C67" s="10"/>
      <c r="D67" s="10"/>
      <c r="E67" s="7">
        <f>+$I$2+(VICTOR[[#This Row],[QUANTITE]]*VICTOR[[#This Row],[PRIX UNITAIRE]])</f>
        <v>0</v>
      </c>
      <c r="F67" s="11"/>
      <c r="G67" s="6">
        <f>+SUM(E$9:$E67)-SUM(F$9:$F67)</f>
        <v>280000</v>
      </c>
    </row>
    <row r="68" spans="1:7" ht="28.8" x14ac:dyDescent="0.55000000000000004">
      <c r="A68" s="12"/>
      <c r="B68" s="13"/>
      <c r="C68" s="10"/>
      <c r="D68" s="10"/>
      <c r="E68" s="7">
        <f>+$I$2+(VICTOR[[#This Row],[QUANTITE]]*VICTOR[[#This Row],[PRIX UNITAIRE]])</f>
        <v>0</v>
      </c>
      <c r="F68" s="11"/>
      <c r="G68" s="6">
        <f>+SUM(E$9:$E68)-SUM(F$9:$F68)</f>
        <v>280000</v>
      </c>
    </row>
    <row r="69" spans="1:7" ht="28.8" x14ac:dyDescent="0.55000000000000004">
      <c r="A69" s="12"/>
      <c r="B69" s="13"/>
      <c r="C69" s="10"/>
      <c r="D69" s="10"/>
      <c r="E69" s="7">
        <f>+$I$2+(VICTOR[[#This Row],[QUANTITE]]*VICTOR[[#This Row],[PRIX UNITAIRE]])</f>
        <v>0</v>
      </c>
      <c r="F69" s="11"/>
      <c r="G69" s="6">
        <f>+SUM(E$9:$E69)-SUM(F$9:$F69)</f>
        <v>280000</v>
      </c>
    </row>
    <row r="70" spans="1:7" ht="28.8" x14ac:dyDescent="0.55000000000000004">
      <c r="A70" s="12"/>
      <c r="B70" s="13"/>
      <c r="C70" s="10"/>
      <c r="D70" s="10"/>
      <c r="E70" s="7">
        <f>+$I$2+(VICTOR[[#This Row],[QUANTITE]]*VICTOR[[#This Row],[PRIX UNITAIRE]])</f>
        <v>0</v>
      </c>
      <c r="F70" s="11"/>
      <c r="G70" s="6">
        <f>+SUM(E$9:$E70)-SUM(F$9:$F70)</f>
        <v>280000</v>
      </c>
    </row>
    <row r="71" spans="1:7" ht="28.8" x14ac:dyDescent="0.55000000000000004">
      <c r="A71" s="12"/>
      <c r="B71" s="13"/>
      <c r="C71" s="10"/>
      <c r="D71" s="10"/>
      <c r="E71" s="7">
        <f>+$I$2+(VICTOR[[#This Row],[QUANTITE]]*VICTOR[[#This Row],[PRIX UNITAIRE]])</f>
        <v>0</v>
      </c>
      <c r="F71" s="11"/>
      <c r="G71" s="6">
        <f>+SUM(E$9:$E71)-SUM(F$9:$F71)</f>
        <v>280000</v>
      </c>
    </row>
    <row r="72" spans="1:7" ht="28.8" x14ac:dyDescent="0.55000000000000004">
      <c r="A72" s="12"/>
      <c r="B72" s="13"/>
      <c r="C72" s="10"/>
      <c r="D72" s="10"/>
      <c r="E72" s="7">
        <f>+$I$2+(VICTOR[[#This Row],[QUANTITE]]*VICTOR[[#This Row],[PRIX UNITAIRE]])</f>
        <v>0</v>
      </c>
      <c r="F72" s="11"/>
      <c r="G72" s="6">
        <f>+SUM(E$9:$E72)-SUM(F$9:$F72)</f>
        <v>280000</v>
      </c>
    </row>
    <row r="73" spans="1:7" ht="28.8" x14ac:dyDescent="0.55000000000000004">
      <c r="A73" s="12"/>
      <c r="B73" s="13"/>
      <c r="C73" s="10"/>
      <c r="D73" s="10"/>
      <c r="E73" s="7">
        <f>+$I$2+(VICTOR[[#This Row],[QUANTITE]]*VICTOR[[#This Row],[PRIX UNITAIRE]])</f>
        <v>0</v>
      </c>
      <c r="F73" s="11"/>
      <c r="G73" s="6">
        <f>+SUM(E$9:$E73)-SUM(F$9:$F73)</f>
        <v>280000</v>
      </c>
    </row>
    <row r="74" spans="1:7" ht="28.8" x14ac:dyDescent="0.55000000000000004">
      <c r="A74" s="12"/>
      <c r="B74" s="13"/>
      <c r="C74" s="10"/>
      <c r="D74" s="10"/>
      <c r="E74" s="7">
        <f>+$I$2+(VICTOR[[#This Row],[QUANTITE]]*VICTOR[[#This Row],[PRIX UNITAIRE]])</f>
        <v>0</v>
      </c>
      <c r="F74" s="11"/>
      <c r="G74" s="6">
        <f>+SUM(E$9:$E74)-SUM(F$9:$F74)</f>
        <v>280000</v>
      </c>
    </row>
    <row r="75" spans="1:7" ht="28.8" x14ac:dyDescent="0.55000000000000004">
      <c r="A75" s="12"/>
      <c r="B75" s="13"/>
      <c r="C75" s="10"/>
      <c r="D75" s="10"/>
      <c r="E75" s="7">
        <f>+$I$2+(VICTOR[[#This Row],[QUANTITE]]*VICTOR[[#This Row],[PRIX UNITAIRE]])</f>
        <v>0</v>
      </c>
      <c r="F75" s="11"/>
      <c r="G75" s="6">
        <f>+SUM(E$9:$E75)-SUM(F$9:$F75)</f>
        <v>280000</v>
      </c>
    </row>
    <row r="76" spans="1:7" ht="28.8" x14ac:dyDescent="0.55000000000000004">
      <c r="A76" s="12"/>
      <c r="B76" s="13"/>
      <c r="C76" s="10"/>
      <c r="D76" s="10"/>
      <c r="E76" s="7">
        <f>+$I$2+(VICTOR[[#This Row],[QUANTITE]]*VICTOR[[#This Row],[PRIX UNITAIRE]])</f>
        <v>0</v>
      </c>
      <c r="F76" s="11"/>
      <c r="G76" s="6">
        <f>+SUM(E$9:$E76)-SUM(F$9:$F76)</f>
        <v>280000</v>
      </c>
    </row>
    <row r="77" spans="1:7" ht="28.8" x14ac:dyDescent="0.55000000000000004">
      <c r="A77" s="12"/>
      <c r="B77" s="13"/>
      <c r="C77" s="10"/>
      <c r="D77" s="10"/>
      <c r="E77" s="7">
        <f>+$I$2+(VICTOR[[#This Row],[QUANTITE]]*VICTOR[[#This Row],[PRIX UNITAIRE]])</f>
        <v>0</v>
      </c>
      <c r="F77" s="11"/>
      <c r="G77" s="6">
        <f>+SUM(E$9:$E77)-SUM(F$9:$F77)</f>
        <v>280000</v>
      </c>
    </row>
    <row r="78" spans="1:7" ht="28.8" x14ac:dyDescent="0.55000000000000004">
      <c r="A78" s="12"/>
      <c r="B78" s="13"/>
      <c r="C78" s="10"/>
      <c r="D78" s="10"/>
      <c r="E78" s="7">
        <f>+$I$2+(VICTOR[[#This Row],[QUANTITE]]*VICTOR[[#This Row],[PRIX UNITAIRE]])</f>
        <v>0</v>
      </c>
      <c r="F78" s="11"/>
      <c r="G78" s="6">
        <f>+SUM(E$9:$E78)-SUM(F$9:$F78)</f>
        <v>280000</v>
      </c>
    </row>
    <row r="79" spans="1:7" ht="28.8" x14ac:dyDescent="0.55000000000000004">
      <c r="A79" s="12"/>
      <c r="B79" s="13"/>
      <c r="C79" s="10"/>
      <c r="D79" s="10"/>
      <c r="E79" s="7">
        <f>+$I$2+(VICTOR[[#This Row],[QUANTITE]]*VICTOR[[#This Row],[PRIX UNITAIRE]])</f>
        <v>0</v>
      </c>
      <c r="F79" s="11"/>
      <c r="G79" s="6">
        <f>+SUM(E$9:$E79)-SUM(F$9:$F79)</f>
        <v>280000</v>
      </c>
    </row>
    <row r="80" spans="1:7" ht="28.8" x14ac:dyDescent="0.55000000000000004">
      <c r="A80" s="12"/>
      <c r="B80" s="13"/>
      <c r="C80" s="10"/>
      <c r="D80" s="10"/>
      <c r="E80" s="7">
        <f>+$I$2+(VICTOR[[#This Row],[QUANTITE]]*VICTOR[[#This Row],[PRIX UNITAIRE]])</f>
        <v>0</v>
      </c>
      <c r="F80" s="11"/>
      <c r="G80" s="6">
        <f>+SUM(E$9:$E80)-SUM(F$9:$F80)</f>
        <v>280000</v>
      </c>
    </row>
    <row r="81" spans="1:7" ht="28.8" x14ac:dyDescent="0.55000000000000004">
      <c r="A81" s="12"/>
      <c r="B81" s="13"/>
      <c r="C81" s="10"/>
      <c r="D81" s="10"/>
      <c r="E81" s="7">
        <f>+$I$2+(VICTOR[[#This Row],[QUANTITE]]*VICTOR[[#This Row],[PRIX UNITAIRE]])</f>
        <v>0</v>
      </c>
      <c r="F81" s="11"/>
      <c r="G81" s="6">
        <f>+SUM(E$9:$E81)-SUM(F$9:$F81)</f>
        <v>280000</v>
      </c>
    </row>
    <row r="82" spans="1:7" ht="28.8" x14ac:dyDescent="0.55000000000000004">
      <c r="A82" s="12"/>
      <c r="B82" s="13"/>
      <c r="C82" s="10"/>
      <c r="D82" s="10"/>
      <c r="E82" s="7">
        <f>+$I$2+(VICTOR[[#This Row],[QUANTITE]]*VICTOR[[#This Row],[PRIX UNITAIRE]])</f>
        <v>0</v>
      </c>
      <c r="F82" s="11"/>
      <c r="G82" s="6">
        <f>+SUM(E$9:$E82)-SUM(F$9:$F82)</f>
        <v>280000</v>
      </c>
    </row>
    <row r="83" spans="1:7" ht="28.8" x14ac:dyDescent="0.55000000000000004">
      <c r="A83" s="12"/>
      <c r="B83" s="13"/>
      <c r="C83" s="10"/>
      <c r="D83" s="10"/>
      <c r="E83" s="7">
        <f>+$I$2+(VICTOR[[#This Row],[QUANTITE]]*VICTOR[[#This Row],[PRIX UNITAIRE]])</f>
        <v>0</v>
      </c>
      <c r="F83" s="11"/>
      <c r="G83" s="6">
        <f>+SUM(E$9:$E83)-SUM(F$9:$F83)</f>
        <v>280000</v>
      </c>
    </row>
    <row r="84" spans="1:7" ht="28.8" x14ac:dyDescent="0.55000000000000004">
      <c r="A84" s="12"/>
      <c r="B84" s="13"/>
      <c r="C84" s="10"/>
      <c r="D84" s="10"/>
      <c r="E84" s="7">
        <f>+$I$2+(VICTOR[[#This Row],[QUANTITE]]*VICTOR[[#This Row],[PRIX UNITAIRE]])</f>
        <v>0</v>
      </c>
      <c r="F84" s="11"/>
      <c r="G84" s="6">
        <f>+SUM(E$9:$E84)-SUM(F$9:$F84)</f>
        <v>280000</v>
      </c>
    </row>
    <row r="85" spans="1:7" ht="28.8" x14ac:dyDescent="0.55000000000000004">
      <c r="A85" s="12"/>
      <c r="B85" s="13"/>
      <c r="C85" s="10"/>
      <c r="D85" s="10"/>
      <c r="E85" s="7">
        <f>+$I$2+(VICTOR[[#This Row],[QUANTITE]]*VICTOR[[#This Row],[PRIX UNITAIRE]])</f>
        <v>0</v>
      </c>
      <c r="F85" s="11"/>
      <c r="G85" s="6">
        <f>+SUM(E$9:$E85)-SUM(F$9:$F85)</f>
        <v>280000</v>
      </c>
    </row>
    <row r="86" spans="1:7" ht="28.8" x14ac:dyDescent="0.55000000000000004">
      <c r="A86" s="12"/>
      <c r="B86" s="13"/>
      <c r="C86" s="10"/>
      <c r="D86" s="10"/>
      <c r="E86" s="7">
        <f>+$I$2+(VICTOR[[#This Row],[QUANTITE]]*VICTOR[[#This Row],[PRIX UNITAIRE]])</f>
        <v>0</v>
      </c>
      <c r="F86" s="11"/>
      <c r="G86" s="6">
        <f>+SUM(E$9:$E86)-SUM(F$9:$F86)</f>
        <v>280000</v>
      </c>
    </row>
    <row r="87" spans="1:7" ht="28.8" x14ac:dyDescent="0.55000000000000004">
      <c r="A87" s="12"/>
      <c r="B87" s="13"/>
      <c r="C87" s="10"/>
      <c r="D87" s="10"/>
      <c r="E87" s="7">
        <f>+$I$2+(VICTOR[[#This Row],[QUANTITE]]*VICTOR[[#This Row],[PRIX UNITAIRE]])</f>
        <v>0</v>
      </c>
      <c r="F87" s="11"/>
      <c r="G87" s="6">
        <f>+SUM(E$9:$E87)-SUM(F$9:$F87)</f>
        <v>280000</v>
      </c>
    </row>
    <row r="88" spans="1:7" ht="28.8" x14ac:dyDescent="0.55000000000000004">
      <c r="A88" s="12"/>
      <c r="B88" s="13"/>
      <c r="C88" s="10"/>
      <c r="D88" s="10"/>
      <c r="E88" s="7">
        <f>+$I$2+(VICTOR[[#This Row],[QUANTITE]]*VICTOR[[#This Row],[PRIX UNITAIRE]])</f>
        <v>0</v>
      </c>
      <c r="F88" s="11"/>
      <c r="G88" s="6">
        <f>+SUM(E$9:$E88)-SUM(F$9:$F88)</f>
        <v>280000</v>
      </c>
    </row>
    <row r="89" spans="1:7" ht="28.8" x14ac:dyDescent="0.55000000000000004">
      <c r="A89" s="12"/>
      <c r="B89" s="13"/>
      <c r="C89" s="10"/>
      <c r="D89" s="10"/>
      <c r="E89" s="7">
        <f>+$I$2+(VICTOR[[#This Row],[QUANTITE]]*VICTOR[[#This Row],[PRIX UNITAIRE]])</f>
        <v>0</v>
      </c>
      <c r="F89" s="11"/>
      <c r="G89" s="6">
        <f>+SUM(E$9:$E89)-SUM(F$9:$F89)</f>
        <v>280000</v>
      </c>
    </row>
    <row r="90" spans="1:7" ht="28.8" x14ac:dyDescent="0.55000000000000004">
      <c r="A90" s="12"/>
      <c r="B90" s="13"/>
      <c r="C90" s="10"/>
      <c r="D90" s="10"/>
      <c r="E90" s="7">
        <f>+$I$2+(VICTOR[[#This Row],[QUANTITE]]*VICTOR[[#This Row],[PRIX UNITAIRE]])</f>
        <v>0</v>
      </c>
      <c r="F90" s="11"/>
      <c r="G90" s="6">
        <f>+SUM(E$9:$E90)-SUM(F$9:$F90)</f>
        <v>280000</v>
      </c>
    </row>
    <row r="91" spans="1:7" ht="28.8" x14ac:dyDescent="0.55000000000000004">
      <c r="A91" s="12"/>
      <c r="B91" s="13"/>
      <c r="C91" s="10"/>
      <c r="D91" s="10"/>
      <c r="E91" s="7">
        <f>+$I$2+(VICTOR[[#This Row],[QUANTITE]]*VICTOR[[#This Row],[PRIX UNITAIRE]])</f>
        <v>0</v>
      </c>
      <c r="F91" s="11"/>
      <c r="G91" s="6">
        <f>+SUM(E$9:$E91)-SUM(F$9:$F91)</f>
        <v>280000</v>
      </c>
    </row>
    <row r="92" spans="1:7" ht="28.8" x14ac:dyDescent="0.55000000000000004">
      <c r="A92" s="12"/>
      <c r="B92" s="13"/>
      <c r="C92" s="10"/>
      <c r="D92" s="10"/>
      <c r="E92" s="7">
        <f>+$I$2+(VICTOR[[#This Row],[QUANTITE]]*VICTOR[[#This Row],[PRIX UNITAIRE]])</f>
        <v>0</v>
      </c>
      <c r="F92" s="11"/>
      <c r="G92" s="6">
        <f>+SUM(E$9:$E92)-SUM(F$9:$F92)</f>
        <v>280000</v>
      </c>
    </row>
    <row r="93" spans="1:7" ht="28.8" x14ac:dyDescent="0.55000000000000004">
      <c r="A93" s="12"/>
      <c r="B93" s="13"/>
      <c r="C93" s="10"/>
      <c r="D93" s="10"/>
      <c r="E93" s="7">
        <f>+$I$2+(VICTOR[[#This Row],[QUANTITE]]*VICTOR[[#This Row],[PRIX UNITAIRE]])</f>
        <v>0</v>
      </c>
      <c r="F93" s="11"/>
      <c r="G93" s="6">
        <f>+SUM(E$9:$E93)-SUM(F$9:$F93)</f>
        <v>280000</v>
      </c>
    </row>
    <row r="94" spans="1:7" ht="28.8" x14ac:dyDescent="0.55000000000000004">
      <c r="A94" s="12"/>
      <c r="B94" s="13"/>
      <c r="C94" s="10"/>
      <c r="D94" s="10"/>
      <c r="E94" s="7">
        <f>+$I$2+(VICTOR[[#This Row],[QUANTITE]]*VICTOR[[#This Row],[PRIX UNITAIRE]])</f>
        <v>0</v>
      </c>
      <c r="F94" s="11"/>
      <c r="G94" s="6">
        <f>+SUM(E$9:$E94)-SUM(F$9:$F94)</f>
        <v>280000</v>
      </c>
    </row>
    <row r="95" spans="1:7" ht="28.8" x14ac:dyDescent="0.55000000000000004">
      <c r="A95" s="12"/>
      <c r="B95" s="13"/>
      <c r="C95" s="10"/>
      <c r="D95" s="10"/>
      <c r="E95" s="7">
        <f>+$I$2+(VICTOR[[#This Row],[QUANTITE]]*VICTOR[[#This Row],[PRIX UNITAIRE]])</f>
        <v>0</v>
      </c>
      <c r="F95" s="11"/>
      <c r="G95" s="6">
        <f>+SUM(E$9:$E95)-SUM(F$9:$F95)</f>
        <v>280000</v>
      </c>
    </row>
    <row r="96" spans="1:7" ht="28.8" x14ac:dyDescent="0.55000000000000004">
      <c r="A96" s="12"/>
      <c r="B96" s="13"/>
      <c r="C96" s="10"/>
      <c r="D96" s="10"/>
      <c r="E96" s="7">
        <f>+$I$2+(VICTOR[[#This Row],[QUANTITE]]*VICTOR[[#This Row],[PRIX UNITAIRE]])</f>
        <v>0</v>
      </c>
      <c r="F96" s="11"/>
      <c r="G96" s="6">
        <f>+SUM(E$9:$E96)-SUM(F$9:$F96)</f>
        <v>280000</v>
      </c>
    </row>
    <row r="97" spans="1:7" ht="28.8" x14ac:dyDescent="0.55000000000000004">
      <c r="A97" s="12"/>
      <c r="B97" s="13"/>
      <c r="C97" s="10"/>
      <c r="D97" s="10"/>
      <c r="E97" s="7">
        <f>+$I$2+(VICTOR[[#This Row],[QUANTITE]]*VICTOR[[#This Row],[PRIX UNITAIRE]])</f>
        <v>0</v>
      </c>
      <c r="F97" s="11"/>
      <c r="G97" s="6">
        <f>+SUM(E$9:$E97)-SUM(F$9:$F97)</f>
        <v>280000</v>
      </c>
    </row>
    <row r="98" spans="1:7" ht="28.8" x14ac:dyDescent="0.55000000000000004">
      <c r="A98" s="12"/>
      <c r="B98" s="13"/>
      <c r="C98" s="10"/>
      <c r="D98" s="10"/>
      <c r="E98" s="7">
        <f>+$I$2+(VICTOR[[#This Row],[QUANTITE]]*VICTOR[[#This Row],[PRIX UNITAIRE]])</f>
        <v>0</v>
      </c>
      <c r="F98" s="11"/>
      <c r="G98" s="6">
        <f>+SUM(E$9:$E98)-SUM(F$9:$F98)</f>
        <v>280000</v>
      </c>
    </row>
    <row r="99" spans="1:7" ht="28.8" x14ac:dyDescent="0.55000000000000004">
      <c r="A99" s="12"/>
      <c r="B99" s="13"/>
      <c r="C99" s="10"/>
      <c r="D99" s="10"/>
      <c r="E99" s="7">
        <f>+$I$2+(VICTOR[[#This Row],[QUANTITE]]*VICTOR[[#This Row],[PRIX UNITAIRE]])</f>
        <v>0</v>
      </c>
      <c r="F99" s="11"/>
      <c r="G99" s="6">
        <f>+SUM(E$9:$E99)-SUM(F$9:$F99)</f>
        <v>280000</v>
      </c>
    </row>
    <row r="100" spans="1:7" ht="28.8" x14ac:dyDescent="0.55000000000000004">
      <c r="A100" s="12"/>
      <c r="B100" s="13"/>
      <c r="C100" s="10"/>
      <c r="D100" s="10"/>
      <c r="E100" s="7">
        <f>+$I$2+(VICTOR[[#This Row],[QUANTITE]]*VICTOR[[#This Row],[PRIX UNITAIRE]])</f>
        <v>0</v>
      </c>
      <c r="F100" s="11"/>
      <c r="G100" s="6">
        <f>+SUM(E$9:$E100)-SUM(F$9:$F100)</f>
        <v>280000</v>
      </c>
    </row>
    <row r="101" spans="1:7" ht="28.8" x14ac:dyDescent="0.55000000000000004">
      <c r="A101" s="12"/>
      <c r="B101" s="13"/>
      <c r="C101" s="10"/>
      <c r="D101" s="10"/>
      <c r="E101" s="7">
        <f>+$I$2+(VICTOR[[#This Row],[QUANTITE]]*VICTOR[[#This Row],[PRIX UNITAIRE]])</f>
        <v>0</v>
      </c>
      <c r="F101" s="11"/>
      <c r="G101" s="6">
        <f>+SUM(E$9:$E101)-SUM(F$9:$F101)</f>
        <v>280000</v>
      </c>
    </row>
    <row r="102" spans="1:7" ht="28.8" x14ac:dyDescent="0.55000000000000004">
      <c r="A102" s="12"/>
      <c r="B102" s="13"/>
      <c r="C102" s="10"/>
      <c r="D102" s="10"/>
      <c r="E102" s="7">
        <f>+$I$2+(VICTOR[[#This Row],[QUANTITE]]*VICTOR[[#This Row],[PRIX UNITAIRE]])</f>
        <v>0</v>
      </c>
      <c r="F102" s="11"/>
      <c r="G102" s="6">
        <f>+SUM(E$9:$E102)-SUM(F$9:$F102)</f>
        <v>280000</v>
      </c>
    </row>
    <row r="103" spans="1:7" ht="28.8" x14ac:dyDescent="0.55000000000000004">
      <c r="A103" s="12"/>
      <c r="B103" s="13"/>
      <c r="C103" s="10"/>
      <c r="D103" s="10"/>
      <c r="E103" s="7">
        <f>+$I$2+(VICTOR[[#This Row],[QUANTITE]]*VICTOR[[#This Row],[PRIX UNITAIRE]])</f>
        <v>0</v>
      </c>
      <c r="F103" s="11"/>
      <c r="G103" s="6">
        <f>+SUM(E$9:$E103)-SUM(F$9:$F103)</f>
        <v>280000</v>
      </c>
    </row>
    <row r="104" spans="1:7" ht="28.8" x14ac:dyDescent="0.55000000000000004">
      <c r="A104" s="12"/>
      <c r="B104" s="13"/>
      <c r="C104" s="10"/>
      <c r="D104" s="10"/>
      <c r="E104" s="7">
        <f>+$I$2+(VICTOR[[#This Row],[QUANTITE]]*VICTOR[[#This Row],[PRIX UNITAIRE]])</f>
        <v>0</v>
      </c>
      <c r="F104" s="11"/>
      <c r="G104" s="6">
        <f>+SUM(E$9:$E104)-SUM(F$9:$F104)</f>
        <v>280000</v>
      </c>
    </row>
    <row r="105" spans="1:7" ht="28.8" x14ac:dyDescent="0.55000000000000004">
      <c r="A105" s="12"/>
      <c r="B105" s="13"/>
      <c r="C105" s="10"/>
      <c r="D105" s="10"/>
      <c r="E105" s="7">
        <f>+$I$2+(VICTOR[[#This Row],[QUANTITE]]*VICTOR[[#This Row],[PRIX UNITAIRE]])</f>
        <v>0</v>
      </c>
      <c r="F105" s="11"/>
      <c r="G105" s="6">
        <f>+SUM(E$9:$E105)-SUM(F$9:$F105)</f>
        <v>280000</v>
      </c>
    </row>
    <row r="106" spans="1:7" ht="28.8" x14ac:dyDescent="0.55000000000000004">
      <c r="A106" s="12"/>
      <c r="B106" s="13"/>
      <c r="C106" s="10"/>
      <c r="D106" s="10"/>
      <c r="E106" s="7">
        <f>+$I$2+(VICTOR[[#This Row],[QUANTITE]]*VICTOR[[#This Row],[PRIX UNITAIRE]])</f>
        <v>0</v>
      </c>
      <c r="F106" s="11"/>
      <c r="G106" s="6">
        <f>+SUM(E$9:$E106)-SUM(F$9:$F106)</f>
        <v>280000</v>
      </c>
    </row>
    <row r="107" spans="1:7" ht="28.8" x14ac:dyDescent="0.55000000000000004">
      <c r="A107" s="12"/>
      <c r="B107" s="13"/>
      <c r="C107" s="10"/>
      <c r="D107" s="10"/>
      <c r="E107" s="7">
        <f>+$I$2+(VICTOR[[#This Row],[QUANTITE]]*VICTOR[[#This Row],[PRIX UNITAIRE]])</f>
        <v>0</v>
      </c>
      <c r="F107" s="11"/>
      <c r="G107" s="6">
        <f>+SUM(E$9:$E107)-SUM(F$9:$F107)</f>
        <v>280000</v>
      </c>
    </row>
    <row r="108" spans="1:7" ht="28.8" x14ac:dyDescent="0.55000000000000004">
      <c r="A108" s="12"/>
      <c r="B108" s="13"/>
      <c r="C108" s="10"/>
      <c r="D108" s="10"/>
      <c r="E108" s="7">
        <f>+$I$2+(VICTOR[[#This Row],[QUANTITE]]*VICTOR[[#This Row],[PRIX UNITAIRE]])</f>
        <v>0</v>
      </c>
      <c r="F108" s="11"/>
      <c r="G108" s="6">
        <f>+SUM(E$9:$E108)-SUM(F$9:$F108)</f>
        <v>280000</v>
      </c>
    </row>
    <row r="109" spans="1:7" ht="28.8" x14ac:dyDescent="0.55000000000000004">
      <c r="A109" s="12"/>
      <c r="B109" s="13"/>
      <c r="C109" s="10"/>
      <c r="D109" s="10"/>
      <c r="E109" s="7">
        <f>+$I$2+(VICTOR[[#This Row],[QUANTITE]]*VICTOR[[#This Row],[PRIX UNITAIRE]])</f>
        <v>0</v>
      </c>
      <c r="F109" s="11"/>
      <c r="G109" s="6">
        <f>+SUM(E$9:$E109)-SUM(F$9:$F109)</f>
        <v>280000</v>
      </c>
    </row>
    <row r="110" spans="1:7" ht="28.8" x14ac:dyDescent="0.55000000000000004">
      <c r="A110" s="12"/>
      <c r="B110" s="13"/>
      <c r="C110" s="10"/>
      <c r="D110" s="10"/>
      <c r="E110" s="7">
        <f>+$I$2+(VICTOR[[#This Row],[QUANTITE]]*VICTOR[[#This Row],[PRIX UNITAIRE]])</f>
        <v>0</v>
      </c>
      <c r="F110" s="11"/>
      <c r="G110" s="6">
        <f>+SUM(E$9:$E110)-SUM(F$9:$F110)</f>
        <v>280000</v>
      </c>
    </row>
    <row r="111" spans="1:7" ht="28.8" x14ac:dyDescent="0.55000000000000004">
      <c r="A111" s="12"/>
      <c r="B111" s="13"/>
      <c r="C111" s="10"/>
      <c r="D111" s="10"/>
      <c r="E111" s="7">
        <f>+$I$2+(VICTOR[[#This Row],[QUANTITE]]*VICTOR[[#This Row],[PRIX UNITAIRE]])</f>
        <v>0</v>
      </c>
      <c r="F111" s="11"/>
      <c r="G111" s="6">
        <f>+SUM(E$9:$E111)-SUM(F$9:$F111)</f>
        <v>280000</v>
      </c>
    </row>
    <row r="112" spans="1:7" ht="28.8" x14ac:dyDescent="0.55000000000000004">
      <c r="A112" s="12"/>
      <c r="B112" s="13"/>
      <c r="C112" s="10"/>
      <c r="D112" s="10"/>
      <c r="E112" s="7">
        <f>+$I$2+(VICTOR[[#This Row],[QUANTITE]]*VICTOR[[#This Row],[PRIX UNITAIRE]])</f>
        <v>0</v>
      </c>
      <c r="F112" s="11"/>
      <c r="G112" s="6">
        <f>+SUM(E$9:$E112)-SUM(F$9:$F112)</f>
        <v>280000</v>
      </c>
    </row>
    <row r="113" spans="1:7" ht="28.8" x14ac:dyDescent="0.55000000000000004">
      <c r="A113" s="12"/>
      <c r="B113" s="13"/>
      <c r="C113" s="10"/>
      <c r="D113" s="10"/>
      <c r="E113" s="7">
        <f>+$I$2+(VICTOR[[#This Row],[QUANTITE]]*VICTOR[[#This Row],[PRIX UNITAIRE]])</f>
        <v>0</v>
      </c>
      <c r="F113" s="11"/>
      <c r="G113" s="6">
        <f>+SUM(E$9:$E113)-SUM(F$9:$F113)</f>
        <v>280000</v>
      </c>
    </row>
    <row r="114" spans="1:7" ht="28.8" x14ac:dyDescent="0.55000000000000004">
      <c r="A114" s="12"/>
      <c r="B114" s="13"/>
      <c r="C114" s="10"/>
      <c r="D114" s="10"/>
      <c r="E114" s="7">
        <f>+$I$2+(VICTOR[[#This Row],[QUANTITE]]*VICTOR[[#This Row],[PRIX UNITAIRE]])</f>
        <v>0</v>
      </c>
      <c r="F114" s="11"/>
      <c r="G114" s="6">
        <f>+SUM(E$9:$E114)-SUM(F$9:$F114)</f>
        <v>280000</v>
      </c>
    </row>
    <row r="115" spans="1:7" ht="28.8" x14ac:dyDescent="0.55000000000000004">
      <c r="A115" s="12"/>
      <c r="B115" s="13"/>
      <c r="C115" s="10"/>
      <c r="D115" s="10"/>
      <c r="E115" s="7">
        <f>+$I$2+(VICTOR[[#This Row],[QUANTITE]]*VICTOR[[#This Row],[PRIX UNITAIRE]])</f>
        <v>0</v>
      </c>
      <c r="F115" s="11"/>
      <c r="G115" s="6">
        <f>+SUM(E$9:$E115)-SUM(F$9:$F115)</f>
        <v>280000</v>
      </c>
    </row>
    <row r="116" spans="1:7" ht="28.8" x14ac:dyDescent="0.55000000000000004">
      <c r="A116" s="12"/>
      <c r="B116" s="13"/>
      <c r="C116" s="10"/>
      <c r="D116" s="10"/>
      <c r="E116" s="7">
        <f>+$I$2+(VICTOR[[#This Row],[QUANTITE]]*VICTOR[[#This Row],[PRIX UNITAIRE]])</f>
        <v>0</v>
      </c>
      <c r="F116" s="11"/>
      <c r="G116" s="6">
        <f>+SUM(E$9:$E116)-SUM(F$9:$F116)</f>
        <v>280000</v>
      </c>
    </row>
    <row r="117" spans="1:7" ht="28.8" x14ac:dyDescent="0.55000000000000004">
      <c r="A117" s="12"/>
      <c r="B117" s="13"/>
      <c r="C117" s="10"/>
      <c r="D117" s="10"/>
      <c r="E117" s="7">
        <f>+$I$2+(VICTOR[[#This Row],[QUANTITE]]*VICTOR[[#This Row],[PRIX UNITAIRE]])</f>
        <v>0</v>
      </c>
      <c r="F117" s="11"/>
      <c r="G117" s="6">
        <f>+SUM(E$9:$E117)-SUM(F$9:$F117)</f>
        <v>280000</v>
      </c>
    </row>
    <row r="118" spans="1:7" ht="28.8" x14ac:dyDescent="0.55000000000000004">
      <c r="A118" s="12"/>
      <c r="B118" s="13"/>
      <c r="C118" s="10"/>
      <c r="D118" s="10"/>
      <c r="E118" s="7">
        <f>+$I$2+(VICTOR[[#This Row],[QUANTITE]]*VICTOR[[#This Row],[PRIX UNITAIRE]])</f>
        <v>0</v>
      </c>
      <c r="F118" s="11"/>
      <c r="G118" s="6">
        <f>+SUM(E$9:$E118)-SUM(F$9:$F118)</f>
        <v>280000</v>
      </c>
    </row>
    <row r="119" spans="1:7" ht="28.8" x14ac:dyDescent="0.55000000000000004">
      <c r="A119" s="12"/>
      <c r="B119" s="13"/>
      <c r="C119" s="10"/>
      <c r="D119" s="10"/>
      <c r="E119" s="7">
        <f>+$I$2+(VICTOR[[#This Row],[QUANTITE]]*VICTOR[[#This Row],[PRIX UNITAIRE]])</f>
        <v>0</v>
      </c>
      <c r="F119" s="11"/>
      <c r="G119" s="6">
        <f>+SUM(E$9:$E119)-SUM(F$9:$F119)</f>
        <v>280000</v>
      </c>
    </row>
    <row r="120" spans="1:7" ht="28.8" x14ac:dyDescent="0.55000000000000004">
      <c r="A120" s="12"/>
      <c r="B120" s="13"/>
      <c r="C120" s="10"/>
      <c r="D120" s="10"/>
      <c r="E120" s="7">
        <f>+$I$2+(VICTOR[[#This Row],[QUANTITE]]*VICTOR[[#This Row],[PRIX UNITAIRE]])</f>
        <v>0</v>
      </c>
      <c r="F120" s="11"/>
      <c r="G120" s="6">
        <f>+SUM(E$9:$E120)-SUM(F$9:$F120)</f>
        <v>280000</v>
      </c>
    </row>
    <row r="121" spans="1:7" ht="28.8" x14ac:dyDescent="0.55000000000000004">
      <c r="A121" s="12"/>
      <c r="B121" s="13"/>
      <c r="C121" s="10"/>
      <c r="D121" s="10"/>
      <c r="E121" s="7">
        <f>+$I$2+(VICTOR[[#This Row],[QUANTITE]]*VICTOR[[#This Row],[PRIX UNITAIRE]])</f>
        <v>0</v>
      </c>
      <c r="F121" s="11"/>
      <c r="G121" s="6">
        <f>+SUM(E$9:$E121)-SUM(F$9:$F121)</f>
        <v>280000</v>
      </c>
    </row>
    <row r="122" spans="1:7" ht="28.8" x14ac:dyDescent="0.55000000000000004">
      <c r="A122" s="12"/>
      <c r="B122" s="13"/>
      <c r="C122" s="10"/>
      <c r="D122" s="10"/>
      <c r="E122" s="7">
        <f>+$I$2+(VICTOR[[#This Row],[QUANTITE]]*VICTOR[[#This Row],[PRIX UNITAIRE]])</f>
        <v>0</v>
      </c>
      <c r="F122" s="11"/>
      <c r="G122" s="6">
        <f>+SUM(E$9:$E122)-SUM(F$9:$F122)</f>
        <v>280000</v>
      </c>
    </row>
    <row r="123" spans="1:7" ht="28.8" x14ac:dyDescent="0.55000000000000004">
      <c r="A123" s="12"/>
      <c r="B123" s="13"/>
      <c r="C123" s="10"/>
      <c r="D123" s="10"/>
      <c r="E123" s="7">
        <f>+$I$2+(VICTOR[[#This Row],[QUANTITE]]*VICTOR[[#This Row],[PRIX UNITAIRE]])</f>
        <v>0</v>
      </c>
      <c r="F123" s="11"/>
      <c r="G123" s="6">
        <f>+SUM(E$9:$E123)-SUM(F$9:$F123)</f>
        <v>280000</v>
      </c>
    </row>
    <row r="124" spans="1:7" ht="28.8" x14ac:dyDescent="0.55000000000000004">
      <c r="A124" s="12"/>
      <c r="B124" s="13"/>
      <c r="C124" s="10"/>
      <c r="D124" s="10"/>
      <c r="E124" s="7">
        <f>+$I$2+(VICTOR[[#This Row],[QUANTITE]]*VICTOR[[#This Row],[PRIX UNITAIRE]])</f>
        <v>0</v>
      </c>
      <c r="F124" s="11"/>
      <c r="G124" s="6">
        <f>+SUM(E$9:$E124)-SUM(F$9:$F124)</f>
        <v>280000</v>
      </c>
    </row>
    <row r="125" spans="1:7" ht="28.8" x14ac:dyDescent="0.55000000000000004">
      <c r="A125" s="12"/>
      <c r="B125" s="13"/>
      <c r="C125" s="10"/>
      <c r="D125" s="10"/>
      <c r="E125" s="7">
        <f>+$I$2+(VICTOR[[#This Row],[QUANTITE]]*VICTOR[[#This Row],[PRIX UNITAIRE]])</f>
        <v>0</v>
      </c>
      <c r="F125" s="11"/>
      <c r="G125" s="6">
        <f>+SUM(E$9:$E125)-SUM(F$9:$F125)</f>
        <v>280000</v>
      </c>
    </row>
    <row r="126" spans="1:7" ht="28.8" x14ac:dyDescent="0.55000000000000004">
      <c r="A126" s="12"/>
      <c r="B126" s="13"/>
      <c r="C126" s="10"/>
      <c r="D126" s="10"/>
      <c r="E126" s="7">
        <f>+$I$2+(VICTOR[[#This Row],[QUANTITE]]*VICTOR[[#This Row],[PRIX UNITAIRE]])</f>
        <v>0</v>
      </c>
      <c r="F126" s="11"/>
      <c r="G126" s="6">
        <f>+SUM(E$9:$E126)-SUM(F$9:$F126)</f>
        <v>280000</v>
      </c>
    </row>
    <row r="127" spans="1:7" ht="28.8" x14ac:dyDescent="0.55000000000000004">
      <c r="A127" s="12"/>
      <c r="B127" s="13"/>
      <c r="C127" s="10"/>
      <c r="D127" s="10"/>
      <c r="E127" s="7">
        <f>+$I$2+(VICTOR[[#This Row],[QUANTITE]]*VICTOR[[#This Row],[PRIX UNITAIRE]])</f>
        <v>0</v>
      </c>
      <c r="F127" s="11"/>
      <c r="G127" s="6">
        <f>+SUM(E$9:$E127)-SUM(F$9:$F127)</f>
        <v>280000</v>
      </c>
    </row>
    <row r="128" spans="1:7" ht="28.8" x14ac:dyDescent="0.55000000000000004">
      <c r="A128" s="12"/>
      <c r="B128" s="13"/>
      <c r="C128" s="10"/>
      <c r="D128" s="10"/>
      <c r="E128" s="7">
        <f>+$I$2+(VICTOR[[#This Row],[QUANTITE]]*VICTOR[[#This Row],[PRIX UNITAIRE]])</f>
        <v>0</v>
      </c>
      <c r="F128" s="11"/>
      <c r="G128" s="6">
        <f>+SUM(E$9:$E128)-SUM(F$9:$F128)</f>
        <v>280000</v>
      </c>
    </row>
    <row r="129" spans="1:7" ht="28.8" x14ac:dyDescent="0.55000000000000004">
      <c r="A129" s="12"/>
      <c r="B129" s="13"/>
      <c r="C129" s="10"/>
      <c r="D129" s="10"/>
      <c r="E129" s="7">
        <f>+$I$2+(VICTOR[[#This Row],[QUANTITE]]*VICTOR[[#This Row],[PRIX UNITAIRE]])</f>
        <v>0</v>
      </c>
      <c r="F129" s="11"/>
      <c r="G129" s="6">
        <f>+SUM(E$9:$E129)-SUM(F$9:$F129)</f>
        <v>280000</v>
      </c>
    </row>
    <row r="130" spans="1:7" ht="28.8" x14ac:dyDescent="0.55000000000000004">
      <c r="A130" s="12"/>
      <c r="B130" s="13"/>
      <c r="C130" s="10"/>
      <c r="D130" s="10"/>
      <c r="E130" s="7">
        <f>+$I$2+(VICTOR[[#This Row],[QUANTITE]]*VICTOR[[#This Row],[PRIX UNITAIRE]])</f>
        <v>0</v>
      </c>
      <c r="F130" s="11"/>
      <c r="G130" s="6">
        <f>+SUM(E$9:$E130)-SUM(F$9:$F130)</f>
        <v>280000</v>
      </c>
    </row>
    <row r="131" spans="1:7" ht="28.8" x14ac:dyDescent="0.55000000000000004">
      <c r="A131" s="12"/>
      <c r="B131" s="13"/>
      <c r="C131" s="10"/>
      <c r="D131" s="10"/>
      <c r="E131" s="7">
        <f>+$I$2+(VICTOR[[#This Row],[QUANTITE]]*VICTOR[[#This Row],[PRIX UNITAIRE]])</f>
        <v>0</v>
      </c>
      <c r="F131" s="14"/>
      <c r="G131" s="6">
        <f>+SUM(E$9:$E131)-SUM(F$9:$F131)</f>
        <v>280000</v>
      </c>
    </row>
    <row r="132" spans="1:7" ht="28.8" x14ac:dyDescent="0.55000000000000004">
      <c r="A132" s="12"/>
      <c r="B132" s="13"/>
      <c r="C132" s="10"/>
      <c r="D132" s="10"/>
      <c r="E132" s="7">
        <f>+$I$2+(VICTOR[[#This Row],[QUANTITE]]*VICTOR[[#This Row],[PRIX UNITAIRE]])</f>
        <v>0</v>
      </c>
      <c r="F132" s="14"/>
      <c r="G132" s="6">
        <f>+SUM(E$9:$E132)-SUM(F$9:$F132)</f>
        <v>280000</v>
      </c>
    </row>
    <row r="133" spans="1:7" ht="28.8" x14ac:dyDescent="0.55000000000000004">
      <c r="A133" s="12"/>
      <c r="B133" s="13"/>
      <c r="C133" s="10"/>
      <c r="D133" s="10"/>
      <c r="E133" s="7">
        <f>+$I$2+(VICTOR[[#This Row],[QUANTITE]]*VICTOR[[#This Row],[PRIX UNITAIRE]])</f>
        <v>0</v>
      </c>
      <c r="F133" s="14"/>
      <c r="G133" s="6">
        <f>+SUM(E$9:$E133)-SUM(F$9:$F133)</f>
        <v>280000</v>
      </c>
    </row>
    <row r="134" spans="1:7" ht="28.8" x14ac:dyDescent="0.55000000000000004">
      <c r="A134" s="12"/>
      <c r="B134" s="13"/>
      <c r="C134" s="10"/>
      <c r="D134" s="10"/>
      <c r="E134" s="7">
        <f>+$I$2+(VICTOR[[#This Row],[QUANTITE]]*VICTOR[[#This Row],[PRIX UNITAIRE]])</f>
        <v>0</v>
      </c>
      <c r="F134" s="14"/>
      <c r="G134" s="6">
        <f>+SUM(E$9:$E134)-SUM(F$9:$F134)</f>
        <v>280000</v>
      </c>
    </row>
    <row r="135" spans="1:7" ht="28.8" x14ac:dyDescent="0.55000000000000004">
      <c r="A135" s="12"/>
      <c r="B135" s="13"/>
      <c r="C135" s="10"/>
      <c r="D135" s="10"/>
      <c r="E135" s="7">
        <f>+$I$2+(VICTOR[[#This Row],[QUANTITE]]*VICTOR[[#This Row],[PRIX UNITAIRE]])</f>
        <v>0</v>
      </c>
      <c r="F135" s="14"/>
      <c r="G135" s="6">
        <f>+SUM(E$9:$E135)-SUM(F$9:$F135)</f>
        <v>280000</v>
      </c>
    </row>
    <row r="136" spans="1:7" ht="28.8" x14ac:dyDescent="0.55000000000000004">
      <c r="A136" s="12"/>
      <c r="B136" s="13"/>
      <c r="C136" s="10"/>
      <c r="D136" s="10"/>
      <c r="E136" s="7">
        <f>+$I$2+(VICTOR[[#This Row],[QUANTITE]]*VICTOR[[#This Row],[PRIX UNITAIRE]])</f>
        <v>0</v>
      </c>
      <c r="F136" s="14"/>
      <c r="G136" s="6">
        <f>+SUM(E$9:$E136)-SUM(F$9:$F136)</f>
        <v>280000</v>
      </c>
    </row>
    <row r="137" spans="1:7" ht="28.8" x14ac:dyDescent="0.55000000000000004">
      <c r="A137" s="12"/>
      <c r="B137" s="13"/>
      <c r="C137" s="10"/>
      <c r="D137" s="10"/>
      <c r="E137" s="7">
        <f>+$I$2+(VICTOR[[#This Row],[QUANTITE]]*VICTOR[[#This Row],[PRIX UNITAIRE]])</f>
        <v>0</v>
      </c>
      <c r="F137" s="14"/>
      <c r="G137" s="6">
        <f>+SUM(E$9:$E137)-SUM(F$9:$F137)</f>
        <v>280000</v>
      </c>
    </row>
    <row r="138" spans="1:7" ht="28.8" x14ac:dyDescent="0.55000000000000004">
      <c r="A138" s="12"/>
      <c r="B138" s="13"/>
      <c r="C138" s="10"/>
      <c r="D138" s="10"/>
      <c r="E138" s="7">
        <f>+$I$2+(VICTOR[[#This Row],[QUANTITE]]*VICTOR[[#This Row],[PRIX UNITAIRE]])</f>
        <v>0</v>
      </c>
      <c r="F138" s="14"/>
      <c r="G138" s="6">
        <f>+SUM(E$9:$E138)-SUM(F$9:$F138)</f>
        <v>280000</v>
      </c>
    </row>
    <row r="139" spans="1:7" ht="28.8" x14ac:dyDescent="0.55000000000000004">
      <c r="A139" s="12"/>
      <c r="B139" s="13"/>
      <c r="C139" s="10"/>
      <c r="D139" s="10"/>
      <c r="E139" s="7">
        <f>+$I$2+(VICTOR[[#This Row],[QUANTITE]]*VICTOR[[#This Row],[PRIX UNITAIRE]])</f>
        <v>0</v>
      </c>
      <c r="F139" s="14"/>
      <c r="G139" s="6">
        <f>+SUM(E$9:$E139)-SUM(F$9:$F139)</f>
        <v>280000</v>
      </c>
    </row>
    <row r="140" spans="1:7" ht="28.8" x14ac:dyDescent="0.55000000000000004">
      <c r="A140" s="12"/>
      <c r="B140" s="13"/>
      <c r="C140" s="10"/>
      <c r="D140" s="10"/>
      <c r="E140" s="7">
        <f>+$I$2+(VICTOR[[#This Row],[QUANTITE]]*VICTOR[[#This Row],[PRIX UNITAIRE]])</f>
        <v>0</v>
      </c>
      <c r="F140" s="14"/>
      <c r="G140" s="6">
        <f>+SUM(E$9:$E140)-SUM(F$9:$F140)</f>
        <v>280000</v>
      </c>
    </row>
    <row r="141" spans="1:7" ht="28.8" x14ac:dyDescent="0.55000000000000004">
      <c r="A141" s="12"/>
      <c r="B141" s="13"/>
      <c r="C141" s="10"/>
      <c r="D141" s="10"/>
      <c r="E141" s="7">
        <f>+$I$2+(VICTOR[[#This Row],[QUANTITE]]*VICTOR[[#This Row],[PRIX UNITAIRE]])</f>
        <v>0</v>
      </c>
      <c r="F141" s="14"/>
      <c r="G141" s="6">
        <f>+SUM(E$9:$E141)-SUM(F$9:$F141)</f>
        <v>280000</v>
      </c>
    </row>
    <row r="142" spans="1:7" ht="28.8" x14ac:dyDescent="0.55000000000000004">
      <c r="A142" s="12"/>
      <c r="B142" s="13"/>
      <c r="C142" s="10"/>
      <c r="D142" s="10"/>
      <c r="E142" s="7">
        <f>+$I$2+(VICTOR[[#This Row],[QUANTITE]]*VICTOR[[#This Row],[PRIX UNITAIRE]])</f>
        <v>0</v>
      </c>
      <c r="F142" s="14"/>
      <c r="G142" s="6">
        <f>+SUM(E$9:$E142)-SUM(F$9:$F142)</f>
        <v>280000</v>
      </c>
    </row>
    <row r="143" spans="1:7" ht="28.8" x14ac:dyDescent="0.55000000000000004">
      <c r="A143" s="12"/>
      <c r="B143" s="13"/>
      <c r="C143" s="10"/>
      <c r="D143" s="10"/>
      <c r="E143" s="7">
        <f>+$I$2+(VICTOR[[#This Row],[QUANTITE]]*VICTOR[[#This Row],[PRIX UNITAIRE]])</f>
        <v>0</v>
      </c>
      <c r="F143" s="14"/>
      <c r="G143" s="6">
        <f>+SUM(E$9:$E143)-SUM(F$9:$F143)</f>
        <v>280000</v>
      </c>
    </row>
    <row r="144" spans="1:7" ht="28.8" x14ac:dyDescent="0.55000000000000004">
      <c r="A144" s="12"/>
      <c r="B144" s="13"/>
      <c r="C144" s="10"/>
      <c r="D144" s="10"/>
      <c r="E144" s="7">
        <f>+$I$2+(VICTOR[[#This Row],[QUANTITE]]*VICTOR[[#This Row],[PRIX UNITAIRE]])</f>
        <v>0</v>
      </c>
      <c r="F144" s="14"/>
      <c r="G144" s="6">
        <f>+SUM(E$9:$E144)-SUM(F$9:$F144)</f>
        <v>280000</v>
      </c>
    </row>
    <row r="145" spans="1:7" ht="28.8" x14ac:dyDescent="0.55000000000000004">
      <c r="A145" s="12"/>
      <c r="B145" s="13"/>
      <c r="C145" s="10"/>
      <c r="D145" s="10"/>
      <c r="E145" s="7">
        <f>+$I$2+(VICTOR[[#This Row],[QUANTITE]]*VICTOR[[#This Row],[PRIX UNITAIRE]])</f>
        <v>0</v>
      </c>
      <c r="F145" s="14"/>
      <c r="G145" s="6">
        <f>+SUM(E$9:$E145)-SUM(F$9:$F145)</f>
        <v>280000</v>
      </c>
    </row>
    <row r="146" spans="1:7" ht="28.8" x14ac:dyDescent="0.55000000000000004">
      <c r="A146" s="12"/>
      <c r="B146" s="13"/>
      <c r="C146" s="10"/>
      <c r="D146" s="10"/>
      <c r="E146" s="7">
        <f>+$I$2+(VICTOR[[#This Row],[QUANTITE]]*VICTOR[[#This Row],[PRIX UNITAIRE]])</f>
        <v>0</v>
      </c>
      <c r="F146" s="14"/>
      <c r="G146" s="6">
        <f>+SUM(E$9:$E146)-SUM(F$9:$F146)</f>
        <v>280000</v>
      </c>
    </row>
    <row r="147" spans="1:7" ht="28.8" x14ac:dyDescent="0.55000000000000004">
      <c r="A147" s="12"/>
      <c r="B147" s="13"/>
      <c r="C147" s="10"/>
      <c r="D147" s="10"/>
      <c r="E147" s="7">
        <f>+$I$2+(VICTOR[[#This Row],[QUANTITE]]*VICTOR[[#This Row],[PRIX UNITAIRE]])</f>
        <v>0</v>
      </c>
      <c r="F147" s="14"/>
      <c r="G147" s="6">
        <f>+SUM(E$9:$E147)-SUM(F$9:$F147)</f>
        <v>280000</v>
      </c>
    </row>
    <row r="148" spans="1:7" ht="28.8" x14ac:dyDescent="0.55000000000000004">
      <c r="A148" s="12"/>
      <c r="B148" s="13"/>
      <c r="C148" s="10"/>
      <c r="D148" s="10"/>
      <c r="E148" s="7">
        <f>+$I$2+(VICTOR[[#This Row],[QUANTITE]]*VICTOR[[#This Row],[PRIX UNITAIRE]])</f>
        <v>0</v>
      </c>
      <c r="F148" s="14"/>
      <c r="G148" s="6">
        <f>+SUM(E$9:$E148)-SUM(F$9:$F148)</f>
        <v>280000</v>
      </c>
    </row>
    <row r="149" spans="1:7" ht="28.8" x14ac:dyDescent="0.55000000000000004">
      <c r="A149" s="12"/>
      <c r="B149" s="13"/>
      <c r="C149" s="10"/>
      <c r="D149" s="10"/>
      <c r="E149" s="7">
        <f>+$I$2+(VICTOR[[#This Row],[QUANTITE]]*VICTOR[[#This Row],[PRIX UNITAIRE]])</f>
        <v>0</v>
      </c>
      <c r="F149" s="14"/>
      <c r="G149" s="6">
        <f>+SUM(E$9:$E149)-SUM(F$9:$F149)</f>
        <v>280000</v>
      </c>
    </row>
    <row r="150" spans="1:7" ht="28.8" x14ac:dyDescent="0.55000000000000004">
      <c r="A150" s="12"/>
      <c r="B150" s="13"/>
      <c r="C150" s="10"/>
      <c r="D150" s="10"/>
      <c r="E150" s="7">
        <f>+$I$2+(VICTOR[[#This Row],[QUANTITE]]*VICTOR[[#This Row],[PRIX UNITAIRE]])</f>
        <v>0</v>
      </c>
      <c r="F150" s="14"/>
      <c r="G150" s="6">
        <f>+SUM(E$9:$E150)-SUM(F$9:$F150)</f>
        <v>280000</v>
      </c>
    </row>
    <row r="151" spans="1:7" ht="28.8" x14ac:dyDescent="0.55000000000000004">
      <c r="A151" s="12"/>
      <c r="B151" s="13"/>
      <c r="C151" s="10"/>
      <c r="D151" s="10"/>
      <c r="E151" s="7">
        <f>+$I$2+(VICTOR[[#This Row],[QUANTITE]]*VICTOR[[#This Row],[PRIX UNITAIRE]])</f>
        <v>0</v>
      </c>
      <c r="F151" s="14"/>
      <c r="G151" s="6">
        <f>+SUM(E$9:$E151)-SUM(F$9:$F151)</f>
        <v>280000</v>
      </c>
    </row>
    <row r="152" spans="1:7" ht="28.8" x14ac:dyDescent="0.55000000000000004">
      <c r="A152" s="12"/>
      <c r="B152" s="13"/>
      <c r="C152" s="10"/>
      <c r="D152" s="10"/>
      <c r="E152" s="7">
        <f>+$I$2+(VICTOR[[#This Row],[QUANTITE]]*VICTOR[[#This Row],[PRIX UNITAIRE]])</f>
        <v>0</v>
      </c>
      <c r="F152" s="14"/>
      <c r="G152" s="6">
        <f>+SUM(E$9:$E152)-SUM(F$9:$F152)</f>
        <v>280000</v>
      </c>
    </row>
    <row r="153" spans="1:7" ht="28.8" x14ac:dyDescent="0.55000000000000004">
      <c r="A153" s="12"/>
      <c r="B153" s="13"/>
      <c r="C153" s="10"/>
      <c r="D153" s="10"/>
      <c r="E153" s="7">
        <f>+$I$2+(VICTOR[[#This Row],[QUANTITE]]*VICTOR[[#This Row],[PRIX UNITAIRE]])</f>
        <v>0</v>
      </c>
      <c r="F153" s="14"/>
      <c r="G153" s="6">
        <f>+SUM(E$9:$E153)-SUM(F$9:$F153)</f>
        <v>280000</v>
      </c>
    </row>
    <row r="154" spans="1:7" ht="28.8" x14ac:dyDescent="0.55000000000000004">
      <c r="A154" s="12"/>
      <c r="B154" s="13"/>
      <c r="C154" s="10"/>
      <c r="D154" s="10"/>
      <c r="E154" s="7">
        <f>+$I$2+(VICTOR[[#This Row],[QUANTITE]]*VICTOR[[#This Row],[PRIX UNITAIRE]])</f>
        <v>0</v>
      </c>
      <c r="F154" s="14"/>
      <c r="G154" s="6">
        <f>+SUM(E$9:$E154)-SUM(F$9:$F154)</f>
        <v>280000</v>
      </c>
    </row>
    <row r="155" spans="1:7" ht="28.8" x14ac:dyDescent="0.55000000000000004">
      <c r="A155" s="12"/>
      <c r="B155" s="13"/>
      <c r="C155" s="10"/>
      <c r="D155" s="10"/>
      <c r="E155" s="7">
        <f>+$I$2+(VICTOR[[#This Row],[QUANTITE]]*VICTOR[[#This Row],[PRIX UNITAIRE]])</f>
        <v>0</v>
      </c>
      <c r="F155" s="14"/>
      <c r="G155" s="6">
        <f>+SUM(E$9:$E155)-SUM(F$9:$F155)</f>
        <v>280000</v>
      </c>
    </row>
    <row r="156" spans="1:7" ht="28.8" x14ac:dyDescent="0.55000000000000004">
      <c r="A156" s="12"/>
      <c r="B156" s="13"/>
      <c r="C156" s="10"/>
      <c r="D156" s="10"/>
      <c r="E156" s="7">
        <f>+$I$2+(VICTOR[[#This Row],[QUANTITE]]*VICTOR[[#This Row],[PRIX UNITAIRE]])</f>
        <v>0</v>
      </c>
      <c r="F156" s="14"/>
      <c r="G156" s="6">
        <f>+SUM(E$9:$E156)-SUM(F$9:$F156)</f>
        <v>280000</v>
      </c>
    </row>
    <row r="157" spans="1:7" ht="28.8" x14ac:dyDescent="0.55000000000000004">
      <c r="A157" s="12"/>
      <c r="B157" s="13"/>
      <c r="C157" s="10"/>
      <c r="D157" s="10"/>
      <c r="E157" s="7">
        <f>+$I$2+(VICTOR[[#This Row],[QUANTITE]]*VICTOR[[#This Row],[PRIX UNITAIRE]])</f>
        <v>0</v>
      </c>
      <c r="F157" s="14"/>
      <c r="G157" s="6">
        <f>+SUM(E$9:$E157)-SUM(F$9:$F157)</f>
        <v>280000</v>
      </c>
    </row>
    <row r="158" spans="1:7" ht="28.8" x14ac:dyDescent="0.55000000000000004">
      <c r="A158" s="12"/>
      <c r="B158" s="13"/>
      <c r="C158" s="10"/>
      <c r="D158" s="10"/>
      <c r="E158" s="7">
        <f>+$I$2+(VICTOR[[#This Row],[QUANTITE]]*VICTOR[[#This Row],[PRIX UNITAIRE]])</f>
        <v>0</v>
      </c>
      <c r="F158" s="14"/>
      <c r="G158" s="6">
        <f>+SUM(E$9:$E158)-SUM(F$9:$F158)</f>
        <v>280000</v>
      </c>
    </row>
    <row r="159" spans="1:7" ht="28.8" x14ac:dyDescent="0.55000000000000004">
      <c r="A159" s="12"/>
      <c r="B159" s="13"/>
      <c r="C159" s="10"/>
      <c r="D159" s="10"/>
      <c r="E159" s="7">
        <f>+$I$2+(VICTOR[[#This Row],[QUANTITE]]*VICTOR[[#This Row],[PRIX UNITAIRE]])</f>
        <v>0</v>
      </c>
      <c r="F159" s="14"/>
      <c r="G159" s="6">
        <f>+SUM(E$9:$E159)-SUM(F$9:$F159)</f>
        <v>280000</v>
      </c>
    </row>
    <row r="160" spans="1:7" ht="28.8" x14ac:dyDescent="0.55000000000000004">
      <c r="A160" s="12"/>
      <c r="B160" s="13"/>
      <c r="C160" s="10"/>
      <c r="D160" s="10"/>
      <c r="E160" s="7">
        <f>+$I$2+(VICTOR[[#This Row],[QUANTITE]]*VICTOR[[#This Row],[PRIX UNITAIRE]])</f>
        <v>0</v>
      </c>
      <c r="F160" s="14"/>
      <c r="G160" s="6">
        <f>+SUM(E$9:$E160)-SUM(F$9:$F160)</f>
        <v>280000</v>
      </c>
    </row>
    <row r="161" spans="1:7" ht="28.8" x14ac:dyDescent="0.55000000000000004">
      <c r="A161" s="12"/>
      <c r="B161" s="13"/>
      <c r="C161" s="10"/>
      <c r="D161" s="10"/>
      <c r="E161" s="7">
        <f>+$I$2+(VICTOR[[#This Row],[QUANTITE]]*VICTOR[[#This Row],[PRIX UNITAIRE]])</f>
        <v>0</v>
      </c>
      <c r="F161" s="14"/>
      <c r="G161" s="6">
        <f>+SUM(E$9:$E161)-SUM(F$9:$F161)</f>
        <v>280000</v>
      </c>
    </row>
    <row r="162" spans="1:7" ht="28.8" x14ac:dyDescent="0.55000000000000004">
      <c r="A162" s="12"/>
      <c r="B162" s="13"/>
      <c r="C162" s="10"/>
      <c r="D162" s="10"/>
      <c r="E162" s="7">
        <f>+$I$2+(VICTOR[[#This Row],[QUANTITE]]*VICTOR[[#This Row],[PRIX UNITAIRE]])</f>
        <v>0</v>
      </c>
      <c r="F162" s="14"/>
      <c r="G162" s="6">
        <f>+SUM(E$9:$E162)-SUM(F$9:$F162)</f>
        <v>280000</v>
      </c>
    </row>
    <row r="163" spans="1:7" ht="28.8" x14ac:dyDescent="0.55000000000000004">
      <c r="A163" s="12"/>
      <c r="B163" s="13"/>
      <c r="C163" s="10"/>
      <c r="D163" s="10"/>
      <c r="E163" s="7">
        <f>+$I$2+(VICTOR[[#This Row],[QUANTITE]]*VICTOR[[#This Row],[PRIX UNITAIRE]])</f>
        <v>0</v>
      </c>
      <c r="F163" s="14"/>
      <c r="G163" s="6">
        <f>+SUM(E$9:$E163)-SUM(F$9:$F163)</f>
        <v>280000</v>
      </c>
    </row>
    <row r="164" spans="1:7" ht="28.8" x14ac:dyDescent="0.55000000000000004">
      <c r="A164" s="12"/>
      <c r="B164" s="13"/>
      <c r="C164" s="10"/>
      <c r="D164" s="10"/>
      <c r="E164" s="7">
        <f>+$I$2+(VICTOR[[#This Row],[QUANTITE]]*VICTOR[[#This Row],[PRIX UNITAIRE]])</f>
        <v>0</v>
      </c>
      <c r="F164" s="14"/>
      <c r="G164" s="6">
        <f>+SUM(E$9:$E164)-SUM(F$9:$F164)</f>
        <v>280000</v>
      </c>
    </row>
    <row r="165" spans="1:7" ht="28.8" x14ac:dyDescent="0.55000000000000004">
      <c r="A165" s="12"/>
      <c r="B165" s="13"/>
      <c r="C165" s="10"/>
      <c r="D165" s="10"/>
      <c r="E165" s="7">
        <f>+$I$2+(VICTOR[[#This Row],[QUANTITE]]*VICTOR[[#This Row],[PRIX UNITAIRE]])</f>
        <v>0</v>
      </c>
      <c r="F165" s="14"/>
      <c r="G165" s="6">
        <f>+SUM(E$9:$E165)-SUM(F$9:$F165)</f>
        <v>280000</v>
      </c>
    </row>
    <row r="166" spans="1:7" ht="28.8" x14ac:dyDescent="0.55000000000000004">
      <c r="A166" s="12"/>
      <c r="B166" s="13"/>
      <c r="C166" s="10"/>
      <c r="D166" s="10"/>
      <c r="E166" s="7">
        <f>+$I$2+(VICTOR[[#This Row],[QUANTITE]]*VICTOR[[#This Row],[PRIX UNITAIRE]])</f>
        <v>0</v>
      </c>
      <c r="F166" s="14"/>
      <c r="G166" s="6">
        <f>+SUM(E$9:$E166)-SUM(F$9:$F166)</f>
        <v>280000</v>
      </c>
    </row>
    <row r="167" spans="1:7" ht="28.8" x14ac:dyDescent="0.55000000000000004">
      <c r="A167" s="12"/>
      <c r="B167" s="13"/>
      <c r="C167" s="10"/>
      <c r="D167" s="10"/>
      <c r="E167" s="7">
        <f>+$I$2+(VICTOR[[#This Row],[QUANTITE]]*VICTOR[[#This Row],[PRIX UNITAIRE]])</f>
        <v>0</v>
      </c>
      <c r="F167" s="14"/>
      <c r="G167" s="6">
        <f>+SUM(E$9:$E167)-SUM(F$9:$F167)</f>
        <v>280000</v>
      </c>
    </row>
    <row r="168" spans="1:7" ht="28.8" x14ac:dyDescent="0.55000000000000004">
      <c r="A168" s="12"/>
      <c r="B168" s="13"/>
      <c r="C168" s="10"/>
      <c r="D168" s="10"/>
      <c r="E168" s="7">
        <f>+$I$2+(VICTOR[[#This Row],[QUANTITE]]*VICTOR[[#This Row],[PRIX UNITAIRE]])</f>
        <v>0</v>
      </c>
      <c r="F168" s="14"/>
      <c r="G168" s="6">
        <f>+SUM(E$9:$E168)-SUM(F$9:$F168)</f>
        <v>280000</v>
      </c>
    </row>
    <row r="169" spans="1:7" ht="28.8" x14ac:dyDescent="0.55000000000000004">
      <c r="A169" s="12"/>
      <c r="B169" s="13"/>
      <c r="C169" s="10"/>
      <c r="D169" s="10"/>
      <c r="E169" s="7">
        <f>+$I$2+(VICTOR[[#This Row],[QUANTITE]]*VICTOR[[#This Row],[PRIX UNITAIRE]])</f>
        <v>0</v>
      </c>
      <c r="F169" s="14"/>
      <c r="G169" s="6">
        <f>+SUM(E$9:$E169)-SUM(F$9:$F169)</f>
        <v>280000</v>
      </c>
    </row>
    <row r="170" spans="1:7" ht="28.8" x14ac:dyDescent="0.55000000000000004">
      <c r="A170" s="12"/>
      <c r="B170" s="13"/>
      <c r="C170" s="10"/>
      <c r="D170" s="10"/>
      <c r="E170" s="7">
        <f>+$I$2+(VICTOR[[#This Row],[QUANTITE]]*VICTOR[[#This Row],[PRIX UNITAIRE]])</f>
        <v>0</v>
      </c>
      <c r="F170" s="14"/>
      <c r="G170" s="6">
        <f>+SUM(E$9:$E170)-SUM(F$9:$F170)</f>
        <v>280000</v>
      </c>
    </row>
    <row r="171" spans="1:7" ht="28.8" x14ac:dyDescent="0.55000000000000004">
      <c r="A171" s="12"/>
      <c r="B171" s="13"/>
      <c r="C171" s="10"/>
      <c r="D171" s="10"/>
      <c r="E171" s="7">
        <f>+$I$2+(VICTOR[[#This Row],[QUANTITE]]*VICTOR[[#This Row],[PRIX UNITAIRE]])</f>
        <v>0</v>
      </c>
      <c r="F171" s="14"/>
      <c r="G171" s="6">
        <f>+SUM(E$9:$E171)-SUM(F$9:$F171)</f>
        <v>280000</v>
      </c>
    </row>
    <row r="172" spans="1:7" ht="28.8" x14ac:dyDescent="0.55000000000000004">
      <c r="A172" s="12"/>
      <c r="B172" s="13"/>
      <c r="C172" s="10"/>
      <c r="D172" s="10"/>
      <c r="E172" s="7">
        <f>+$I$2+(VICTOR[[#This Row],[QUANTITE]]*VICTOR[[#This Row],[PRIX UNITAIRE]])</f>
        <v>0</v>
      </c>
      <c r="F172" s="14"/>
      <c r="G172" s="6">
        <f>+SUM(E$9:$E172)-SUM(F$9:$F172)</f>
        <v>280000</v>
      </c>
    </row>
    <row r="173" spans="1:7" ht="28.8" x14ac:dyDescent="0.55000000000000004">
      <c r="A173" s="12"/>
      <c r="B173" s="13"/>
      <c r="C173" s="10"/>
      <c r="D173" s="10"/>
      <c r="E173" s="7">
        <f>+$I$2+(VICTOR[[#This Row],[QUANTITE]]*VICTOR[[#This Row],[PRIX UNITAIRE]])</f>
        <v>0</v>
      </c>
      <c r="F173" s="14"/>
      <c r="G173" s="6">
        <f>+SUM(E$9:$E173)-SUM(F$9:$F173)</f>
        <v>280000</v>
      </c>
    </row>
    <row r="174" spans="1:7" ht="28.8" x14ac:dyDescent="0.55000000000000004">
      <c r="A174" s="12"/>
      <c r="B174" s="13"/>
      <c r="C174" s="10"/>
      <c r="D174" s="10"/>
      <c r="E174" s="7">
        <f>+$I$2+(VICTOR[[#This Row],[QUANTITE]]*VICTOR[[#This Row],[PRIX UNITAIRE]])</f>
        <v>0</v>
      </c>
      <c r="F174" s="14"/>
      <c r="G174" s="6">
        <f>+SUM(E$9:$E174)-SUM(F$9:$F174)</f>
        <v>280000</v>
      </c>
    </row>
    <row r="175" spans="1:7" ht="28.8" x14ac:dyDescent="0.55000000000000004">
      <c r="A175" s="12"/>
      <c r="B175" s="13"/>
      <c r="C175" s="10"/>
      <c r="D175" s="10"/>
      <c r="E175" s="7">
        <f>+$I$2+(VICTOR[[#This Row],[QUANTITE]]*VICTOR[[#This Row],[PRIX UNITAIRE]])</f>
        <v>0</v>
      </c>
      <c r="F175" s="14"/>
      <c r="G175" s="6">
        <f>+SUM(E$9:$E175)-SUM(F$9:$F175)</f>
        <v>280000</v>
      </c>
    </row>
    <row r="176" spans="1:7" ht="28.8" x14ac:dyDescent="0.55000000000000004">
      <c r="A176" s="12"/>
      <c r="B176" s="13"/>
      <c r="C176" s="10"/>
      <c r="D176" s="10"/>
      <c r="E176" s="7">
        <f>+$I$2+(VICTOR[[#This Row],[QUANTITE]]*VICTOR[[#This Row],[PRIX UNITAIRE]])</f>
        <v>0</v>
      </c>
      <c r="F176" s="14"/>
      <c r="G176" s="6">
        <f>+SUM(E$9:$E176)-SUM(F$9:$F176)</f>
        <v>280000</v>
      </c>
    </row>
    <row r="177" spans="1:7" ht="28.8" x14ac:dyDescent="0.55000000000000004">
      <c r="A177" s="12"/>
      <c r="B177" s="13"/>
      <c r="C177" s="10"/>
      <c r="D177" s="10"/>
      <c r="E177" s="7">
        <f>+$I$2+(VICTOR[[#This Row],[QUANTITE]]*VICTOR[[#This Row],[PRIX UNITAIRE]])</f>
        <v>0</v>
      </c>
      <c r="F177" s="14"/>
      <c r="G177" s="6">
        <f>+SUM(E$9:$E177)-SUM(F$9:$F177)</f>
        <v>280000</v>
      </c>
    </row>
    <row r="178" spans="1:7" ht="28.8" x14ac:dyDescent="0.55000000000000004">
      <c r="A178" s="12"/>
      <c r="B178" s="13"/>
      <c r="C178" s="10"/>
      <c r="D178" s="10"/>
      <c r="E178" s="7">
        <f>+$I$2+(VICTOR[[#This Row],[QUANTITE]]*VICTOR[[#This Row],[PRIX UNITAIRE]])</f>
        <v>0</v>
      </c>
      <c r="F178" s="14"/>
      <c r="G178" s="6">
        <f>+SUM(E$9:$E178)-SUM(F$9:$F178)</f>
        <v>280000</v>
      </c>
    </row>
    <row r="179" spans="1:7" ht="28.8" x14ac:dyDescent="0.55000000000000004">
      <c r="A179" s="12"/>
      <c r="B179" s="13"/>
      <c r="C179" s="10"/>
      <c r="D179" s="10"/>
      <c r="E179" s="7">
        <f>+$I$2+(VICTOR[[#This Row],[QUANTITE]]*VICTOR[[#This Row],[PRIX UNITAIRE]])</f>
        <v>0</v>
      </c>
      <c r="F179" s="14"/>
      <c r="G179" s="6">
        <f>+SUM(E$9:$E179)-SUM(F$9:$F179)</f>
        <v>280000</v>
      </c>
    </row>
    <row r="180" spans="1:7" ht="28.8" x14ac:dyDescent="0.55000000000000004">
      <c r="A180" s="12"/>
      <c r="B180" s="13"/>
      <c r="C180" s="10"/>
      <c r="D180" s="10"/>
      <c r="E180" s="7">
        <f>+$I$2+(VICTOR[[#This Row],[QUANTITE]]*VICTOR[[#This Row],[PRIX UNITAIRE]])</f>
        <v>0</v>
      </c>
      <c r="F180" s="14"/>
      <c r="G180" s="6">
        <f>+SUM(E$9:$E180)-SUM(F$9:$F180)</f>
        <v>280000</v>
      </c>
    </row>
  </sheetData>
  <sheetProtection selectLockedCells="1" autoFilter="0"/>
  <mergeCells count="1">
    <mergeCell ref="B6:C6"/>
  </mergeCells>
  <conditionalFormatting sqref="B9:B180">
    <cfRule type="expression" dxfId="462" priority="5">
      <formula>$F9</formula>
    </cfRule>
  </conditionalFormatting>
  <conditionalFormatting sqref="G4">
    <cfRule type="cellIs" dxfId="461" priority="2" operator="lessThan">
      <formula>0</formula>
    </cfRule>
    <cfRule type="cellIs" dxfId="460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80">
      <formula1>45261</formula1>
    </dataValidation>
  </dataValidations>
  <pageMargins left="0.7" right="0.7" top="0.75" bottom="0.75" header="0.3" footer="0.3"/>
  <pageSetup paperSize="9" scale="13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/>
  <dimension ref="A1:I45"/>
  <sheetViews>
    <sheetView showGridLines="0" zoomScale="60" zoomScaleNormal="60" workbookViewId="0">
      <pane ySplit="8" topLeftCell="A9" activePane="bottomLeft" state="frozen"/>
      <selection sqref="A1:G4"/>
      <selection pane="bottomLeft" activeCell="A10" sqref="A10"/>
    </sheetView>
  </sheetViews>
  <sheetFormatPr baseColWidth="10" defaultColWidth="11.5546875" defaultRowHeight="14.4" x14ac:dyDescent="0.3"/>
  <cols>
    <col min="1" max="1" width="22.6640625" style="1" bestFit="1" customWidth="1"/>
    <col min="2" max="2" width="51.33203125" style="1" customWidth="1"/>
    <col min="3" max="3" width="19.6640625" style="1" bestFit="1" customWidth="1"/>
    <col min="4" max="4" width="45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1"/>
      <c r="B1" s="31"/>
      <c r="C1" s="31"/>
    </row>
    <row r="2" spans="1:9" ht="36" customHeight="1" thickBot="1" x14ac:dyDescent="0.65">
      <c r="A2" s="31"/>
      <c r="B2" s="31"/>
      <c r="C2" s="31"/>
      <c r="D2" s="37"/>
      <c r="E2" s="38"/>
      <c r="F2" s="38"/>
      <c r="G2" s="38"/>
      <c r="I2" s="1">
        <v>0</v>
      </c>
    </row>
    <row r="3" spans="1:9" ht="31.8" thickBot="1" x14ac:dyDescent="0.35">
      <c r="A3" s="31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31"/>
      <c r="B4" s="31"/>
      <c r="C4" s="31"/>
      <c r="D4" s="36" t="s">
        <v>19</v>
      </c>
      <c r="E4" s="39">
        <f>+SUM(SOLO[TOTAL MONTANT])</f>
        <v>70000</v>
      </c>
      <c r="F4" s="39">
        <f>+SUM(SOLO[VERSEMENT])</f>
        <v>0</v>
      </c>
      <c r="G4" s="39">
        <f>+E4-F4</f>
        <v>70000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13" t="s">
        <v>16</v>
      </c>
      <c r="C6" s="114"/>
      <c r="E6" s="42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79">
        <v>46102</v>
      </c>
      <c r="B9" s="13" t="s">
        <v>205</v>
      </c>
      <c r="C9" s="81">
        <v>2</v>
      </c>
      <c r="D9" s="81">
        <v>35000</v>
      </c>
      <c r="E9" s="82">
        <f>SOLO[[#This Row],[QUANTITE]]*SOLO[[#This Row],[PRIX UNITAIRE]]</f>
        <v>70000</v>
      </c>
      <c r="F9" s="83"/>
      <c r="G9" s="84">
        <f>SUM(E$9:$E9)-SUM(F$9:$F9)</f>
        <v>70000</v>
      </c>
    </row>
    <row r="10" spans="1:9" ht="28.8" x14ac:dyDescent="0.55000000000000004">
      <c r="A10" s="79"/>
      <c r="B10" s="80"/>
      <c r="C10" s="81"/>
      <c r="D10" s="81"/>
      <c r="E10" s="82"/>
      <c r="F10" s="83"/>
      <c r="G10" s="84">
        <f>SUM(E$9:$E10)-SUM(F$9:$F10)</f>
        <v>70000</v>
      </c>
    </row>
    <row r="11" spans="1:9" ht="28.8" x14ac:dyDescent="0.55000000000000004">
      <c r="A11" s="79"/>
      <c r="B11" s="80"/>
      <c r="C11" s="81"/>
      <c r="D11" s="81"/>
      <c r="E11" s="82"/>
      <c r="F11" s="83"/>
      <c r="G11" s="84">
        <f>SUM(E$9:$E11)-SUM(F$9:$F11)</f>
        <v>70000</v>
      </c>
    </row>
    <row r="12" spans="1:9" ht="28.8" x14ac:dyDescent="0.55000000000000004">
      <c r="A12" s="12"/>
      <c r="B12" s="13"/>
      <c r="C12" s="10"/>
      <c r="D12" s="10"/>
      <c r="E12" s="7"/>
      <c r="F12" s="22"/>
      <c r="G12" s="6">
        <f>SUM(E$9:$E12)-SUM(F$9:$F12)</f>
        <v>70000</v>
      </c>
    </row>
    <row r="13" spans="1:9" ht="28.8" x14ac:dyDescent="0.55000000000000004">
      <c r="A13" s="79"/>
      <c r="B13" s="13"/>
      <c r="C13" s="81"/>
      <c r="D13" s="81"/>
      <c r="E13" s="82"/>
      <c r="F13" s="83"/>
      <c r="G13" s="84">
        <f>SUM(E$9:$E13)-SUM(F$9:$F13)</f>
        <v>70000</v>
      </c>
    </row>
    <row r="14" spans="1:9" ht="28.8" x14ac:dyDescent="0.55000000000000004">
      <c r="A14" s="79"/>
      <c r="B14" s="13"/>
      <c r="C14" s="81"/>
      <c r="D14" s="81"/>
      <c r="E14" s="82"/>
      <c r="F14" s="83"/>
      <c r="G14" s="84">
        <f>SUM(E$9:$E14)-SUM(F$9:$F14)</f>
        <v>70000</v>
      </c>
    </row>
    <row r="15" spans="1:9" ht="28.8" x14ac:dyDescent="0.55000000000000004">
      <c r="A15" s="79"/>
      <c r="B15" s="13"/>
      <c r="C15" s="81"/>
      <c r="D15" s="81"/>
      <c r="E15" s="82"/>
      <c r="F15" s="83"/>
      <c r="G15" s="84">
        <f>SUM(E$9:$E15)-SUM(F$9:$F15)</f>
        <v>70000</v>
      </c>
    </row>
    <row r="16" spans="1:9" ht="28.8" x14ac:dyDescent="0.55000000000000004">
      <c r="A16" s="79"/>
      <c r="B16" s="13"/>
      <c r="C16" s="81"/>
      <c r="D16" s="81"/>
      <c r="E16" s="82"/>
      <c r="F16" s="83"/>
      <c r="G16" s="84">
        <f>SUM(E$9:$E16)-SUM(F$9:$F16)</f>
        <v>70000</v>
      </c>
    </row>
    <row r="17" spans="1:7" ht="28.8" x14ac:dyDescent="0.55000000000000004">
      <c r="A17" s="79"/>
      <c r="B17" s="13"/>
      <c r="C17" s="81"/>
      <c r="D17" s="81"/>
      <c r="E17" s="82"/>
      <c r="F17" s="83"/>
      <c r="G17" s="84">
        <f>SUM(E$9:$E17)-SUM(F$9:$F17)</f>
        <v>70000</v>
      </c>
    </row>
    <row r="18" spans="1:7" ht="28.8" x14ac:dyDescent="0.55000000000000004">
      <c r="A18" s="79"/>
      <c r="B18" s="80"/>
      <c r="C18" s="81"/>
      <c r="D18" s="81"/>
      <c r="E18" s="82"/>
      <c r="F18" s="83"/>
      <c r="G18" s="84">
        <f>SUM(E$9:$E18)-SUM(F$9:$F18)</f>
        <v>70000</v>
      </c>
    </row>
    <row r="19" spans="1:7" ht="28.8" x14ac:dyDescent="0.55000000000000004">
      <c r="A19" s="79"/>
      <c r="B19" s="80"/>
      <c r="C19" s="81"/>
      <c r="D19" s="81"/>
      <c r="E19" s="82"/>
      <c r="F19" s="83"/>
      <c r="G19" s="84">
        <f>SUM(E$9:$E19)-SUM(F$9:$F19)</f>
        <v>70000</v>
      </c>
    </row>
    <row r="20" spans="1:7" ht="28.8" x14ac:dyDescent="0.55000000000000004">
      <c r="A20" s="79"/>
      <c r="B20" s="80"/>
      <c r="C20" s="81"/>
      <c r="D20" s="81"/>
      <c r="E20" s="82"/>
      <c r="F20" s="83"/>
      <c r="G20" s="84">
        <f>SUM(E$9:$E20)-SUM(F$9:$F20)</f>
        <v>70000</v>
      </c>
    </row>
    <row r="21" spans="1:7" ht="28.8" x14ac:dyDescent="0.55000000000000004">
      <c r="A21" s="79"/>
      <c r="B21" s="80"/>
      <c r="C21" s="81"/>
      <c r="D21" s="81"/>
      <c r="E21" s="82"/>
      <c r="F21" s="83"/>
      <c r="G21" s="84">
        <f>SUM(E$9:$E21)-SUM(F$9:$F21)</f>
        <v>70000</v>
      </c>
    </row>
    <row r="22" spans="1:7" ht="28.8" x14ac:dyDescent="0.55000000000000004">
      <c r="A22" s="79"/>
      <c r="B22" s="80"/>
      <c r="C22" s="81"/>
      <c r="D22" s="81"/>
      <c r="E22" s="82"/>
      <c r="F22" s="83"/>
      <c r="G22" s="84">
        <f>SUM(E$9:$E22)-SUM(F$9:$F22)</f>
        <v>70000</v>
      </c>
    </row>
    <row r="23" spans="1:7" ht="28.8" x14ac:dyDescent="0.55000000000000004">
      <c r="A23" s="79"/>
      <c r="B23" s="80"/>
      <c r="C23" s="81"/>
      <c r="D23" s="81"/>
      <c r="E23" s="82"/>
      <c r="F23" s="83"/>
      <c r="G23" s="84">
        <f>SUM(E$9:$E23)-SUM(F$9:$F23)</f>
        <v>70000</v>
      </c>
    </row>
    <row r="24" spans="1:7" ht="28.8" x14ac:dyDescent="0.55000000000000004">
      <c r="A24" s="79"/>
      <c r="B24" s="80"/>
      <c r="C24" s="81"/>
      <c r="D24" s="81"/>
      <c r="E24" s="82"/>
      <c r="F24" s="83"/>
      <c r="G24" s="84">
        <f>SUM(E$9:$E24)-SUM(F$9:$F24)</f>
        <v>70000</v>
      </c>
    </row>
    <row r="25" spans="1:7" ht="28.8" x14ac:dyDescent="0.55000000000000004">
      <c r="A25" s="79"/>
      <c r="B25" s="80"/>
      <c r="C25" s="81"/>
      <c r="D25" s="81"/>
      <c r="E25" s="82"/>
      <c r="F25" s="83"/>
      <c r="G25" s="84">
        <f>SUM(E$9:$E25)-SUM(F$9:$F25)</f>
        <v>70000</v>
      </c>
    </row>
    <row r="26" spans="1:7" ht="28.8" x14ac:dyDescent="0.55000000000000004">
      <c r="A26" s="79"/>
      <c r="B26" s="80"/>
      <c r="C26" s="81"/>
      <c r="D26" s="81"/>
      <c r="E26" s="82"/>
      <c r="F26" s="83"/>
      <c r="G26" s="84">
        <f>SUM(E$9:$E26)-SUM(F$9:$F26)</f>
        <v>70000</v>
      </c>
    </row>
    <row r="27" spans="1:7" ht="28.8" x14ac:dyDescent="0.55000000000000004">
      <c r="A27" s="79"/>
      <c r="B27" s="80"/>
      <c r="C27" s="81"/>
      <c r="D27" s="81"/>
      <c r="E27" s="82"/>
      <c r="F27" s="83"/>
      <c r="G27" s="84">
        <f>SUM(E$9:$E27)-SUM(F$9:$F27)</f>
        <v>70000</v>
      </c>
    </row>
    <row r="28" spans="1:7" ht="28.8" x14ac:dyDescent="0.55000000000000004">
      <c r="A28" s="79"/>
      <c r="B28" s="80"/>
      <c r="C28" s="81"/>
      <c r="D28" s="81"/>
      <c r="E28" s="82"/>
      <c r="F28" s="83"/>
      <c r="G28" s="84">
        <f>SUM(E$9:$E28)-SUM(F$9:$F28)</f>
        <v>70000</v>
      </c>
    </row>
    <row r="29" spans="1:7" ht="28.8" x14ac:dyDescent="0.55000000000000004">
      <c r="A29" s="79"/>
      <c r="B29" s="80"/>
      <c r="C29" s="81"/>
      <c r="D29" s="81"/>
      <c r="E29" s="82"/>
      <c r="F29" s="83"/>
      <c r="G29" s="84">
        <f>SUM(E$9:$E29)-SUM(F$9:$F29)</f>
        <v>70000</v>
      </c>
    </row>
    <row r="30" spans="1:7" ht="28.8" x14ac:dyDescent="0.55000000000000004">
      <c r="A30" s="79"/>
      <c r="B30" s="80"/>
      <c r="C30" s="81"/>
      <c r="D30" s="81"/>
      <c r="E30" s="82"/>
      <c r="F30" s="83"/>
      <c r="G30" s="84">
        <f>SUM(E$9:$E30)-SUM(F$9:$F30)</f>
        <v>70000</v>
      </c>
    </row>
    <row r="31" spans="1:7" ht="28.8" x14ac:dyDescent="0.55000000000000004">
      <c r="A31" s="79"/>
      <c r="B31" s="80"/>
      <c r="C31" s="81"/>
      <c r="D31" s="81"/>
      <c r="E31" s="82"/>
      <c r="F31" s="83"/>
      <c r="G31" s="84">
        <f>SUM(E$9:$E31)-SUM(F$9:$F31)</f>
        <v>70000</v>
      </c>
    </row>
    <row r="32" spans="1:7" ht="28.8" x14ac:dyDescent="0.55000000000000004">
      <c r="A32" s="79"/>
      <c r="B32" s="80"/>
      <c r="C32" s="81"/>
      <c r="D32" s="81"/>
      <c r="E32" s="82"/>
      <c r="F32" s="83"/>
      <c r="G32" s="84">
        <f>SUM(E$9:$E32)-SUM(F$9:$F32)</f>
        <v>70000</v>
      </c>
    </row>
    <row r="33" spans="1:7" ht="28.8" x14ac:dyDescent="0.55000000000000004">
      <c r="A33" s="79"/>
      <c r="B33" s="80"/>
      <c r="C33" s="81"/>
      <c r="D33" s="81"/>
      <c r="E33" s="82"/>
      <c r="F33" s="83"/>
      <c r="G33" s="84">
        <f>SUM(E$9:$E33)-SUM(F$9:$F33)</f>
        <v>70000</v>
      </c>
    </row>
    <row r="34" spans="1:7" ht="28.8" x14ac:dyDescent="0.55000000000000004">
      <c r="A34" s="79"/>
      <c r="B34" s="80"/>
      <c r="C34" s="81"/>
      <c r="D34" s="81"/>
      <c r="E34" s="82"/>
      <c r="F34" s="83"/>
      <c r="G34" s="84">
        <f>SUM(E$9:$E34)-SUM(F$9:$F34)</f>
        <v>70000</v>
      </c>
    </row>
    <row r="35" spans="1:7" ht="28.8" x14ac:dyDescent="0.55000000000000004">
      <c r="A35" s="79"/>
      <c r="B35" s="80"/>
      <c r="C35" s="81"/>
      <c r="D35" s="81"/>
      <c r="E35" s="82"/>
      <c r="F35" s="83"/>
      <c r="G35" s="84">
        <f>SUM(E$9:$E35)-SUM(F$9:$F35)</f>
        <v>70000</v>
      </c>
    </row>
    <row r="36" spans="1:7" ht="28.8" x14ac:dyDescent="0.55000000000000004">
      <c r="A36" s="79"/>
      <c r="B36" s="80"/>
      <c r="C36" s="81"/>
      <c r="D36" s="81"/>
      <c r="E36" s="82"/>
      <c r="F36" s="83"/>
      <c r="G36" s="84">
        <f>SUM(E$9:$E36)-SUM(F$9:$F36)</f>
        <v>70000</v>
      </c>
    </row>
    <row r="37" spans="1:7" ht="28.8" x14ac:dyDescent="0.55000000000000004">
      <c r="A37" s="79"/>
      <c r="B37" s="80"/>
      <c r="C37" s="81"/>
      <c r="D37" s="81"/>
      <c r="E37" s="82"/>
      <c r="F37" s="83"/>
      <c r="G37" s="84">
        <f>SUM(E$9:$E37)-SUM(F$9:$F37)</f>
        <v>70000</v>
      </c>
    </row>
    <row r="38" spans="1:7" ht="28.8" x14ac:dyDescent="0.55000000000000004">
      <c r="A38" s="79"/>
      <c r="B38" s="80"/>
      <c r="C38" s="81"/>
      <c r="D38" s="81"/>
      <c r="E38" s="82"/>
      <c r="F38" s="83"/>
      <c r="G38" s="84">
        <f>SUM(E$9:$E38)-SUM(F$9:$F38)</f>
        <v>70000</v>
      </c>
    </row>
    <row r="39" spans="1:7" ht="28.8" x14ac:dyDescent="0.55000000000000004">
      <c r="A39" s="79"/>
      <c r="B39" s="80"/>
      <c r="C39" s="81"/>
      <c r="D39" s="81"/>
      <c r="E39" s="82"/>
      <c r="F39" s="83"/>
      <c r="G39" s="84">
        <f>SUM(E$9:$E39)-SUM(F$9:$F39)</f>
        <v>70000</v>
      </c>
    </row>
    <row r="40" spans="1:7" ht="28.8" x14ac:dyDescent="0.55000000000000004">
      <c r="A40" s="79"/>
      <c r="B40" s="80"/>
      <c r="C40" s="81"/>
      <c r="D40" s="81"/>
      <c r="E40" s="82"/>
      <c r="F40" s="83"/>
      <c r="G40" s="84">
        <f>SUM(E$9:$E40)-SUM(F$9:$F40)</f>
        <v>70000</v>
      </c>
    </row>
    <row r="41" spans="1:7" ht="28.8" x14ac:dyDescent="0.55000000000000004">
      <c r="A41" s="79"/>
      <c r="B41" s="80"/>
      <c r="C41" s="81"/>
      <c r="D41" s="81"/>
      <c r="E41" s="82">
        <f>+$I$2+(SOLO[[#This Row],[QUANTITE]]*SOLO[[#This Row],[PRIX UNITAIRE]])</f>
        <v>0</v>
      </c>
      <c r="F41" s="83"/>
      <c r="G41" s="84">
        <f>SUM(E$9:$E41)-SUM(F$9:$F41)</f>
        <v>70000</v>
      </c>
    </row>
    <row r="42" spans="1:7" ht="28.8" x14ac:dyDescent="0.55000000000000004">
      <c r="A42" s="79"/>
      <c r="B42" s="80"/>
      <c r="C42" s="81"/>
      <c r="D42" s="81"/>
      <c r="E42" s="82">
        <f>+$I$2+(SOLO[[#This Row],[QUANTITE]]*SOLO[[#This Row],[PRIX UNITAIRE]])</f>
        <v>0</v>
      </c>
      <c r="F42" s="83"/>
      <c r="G42" s="84">
        <f>SUM(E$9:$E42)-SUM(F$9:$F42)</f>
        <v>70000</v>
      </c>
    </row>
    <row r="43" spans="1:7" ht="28.8" x14ac:dyDescent="0.55000000000000004">
      <c r="A43" s="79"/>
      <c r="B43" s="80"/>
      <c r="C43" s="81"/>
      <c r="D43" s="81"/>
      <c r="E43" s="82">
        <f>+$I$2+(SOLO[[#This Row],[QUANTITE]]*SOLO[[#This Row],[PRIX UNITAIRE]])</f>
        <v>0</v>
      </c>
      <c r="F43" s="83"/>
      <c r="G43" s="84">
        <f>SUM(E$9:$E43)-SUM(F$9:$F43)</f>
        <v>70000</v>
      </c>
    </row>
    <row r="44" spans="1:7" ht="28.8" x14ac:dyDescent="0.55000000000000004">
      <c r="A44" s="79"/>
      <c r="B44" s="80"/>
      <c r="C44" s="81"/>
      <c r="D44" s="81"/>
      <c r="E44" s="82">
        <f>+$I$2+(SOLO[[#This Row],[QUANTITE]]*SOLO[[#This Row],[PRIX UNITAIRE]])</f>
        <v>0</v>
      </c>
      <c r="F44" s="83"/>
      <c r="G44" s="84">
        <f>SUM(E$9:$E44)-SUM(F$9:$F44)</f>
        <v>70000</v>
      </c>
    </row>
    <row r="45" spans="1:7" ht="28.8" x14ac:dyDescent="0.55000000000000004">
      <c r="A45" s="79"/>
      <c r="B45" s="80"/>
      <c r="C45" s="81"/>
      <c r="D45" s="81"/>
      <c r="E45" s="82">
        <f>+$I$2+(SOLO[[#This Row],[QUANTITE]]*SOLO[[#This Row],[PRIX UNITAIRE]])</f>
        <v>0</v>
      </c>
      <c r="F45" s="83"/>
      <c r="G45" s="84">
        <f>SUM(E$9:$E45)-SUM(F$9:$F45)</f>
        <v>70000</v>
      </c>
    </row>
  </sheetData>
  <sheetProtection selectLockedCells="1" autoFilter="0"/>
  <mergeCells count="1">
    <mergeCell ref="B6:C6"/>
  </mergeCells>
  <conditionalFormatting sqref="B9:B45">
    <cfRule type="expression" dxfId="443" priority="5">
      <formula>$F9</formula>
    </cfRule>
  </conditionalFormatting>
  <conditionalFormatting sqref="G4">
    <cfRule type="cellIs" dxfId="442" priority="2" operator="lessThan">
      <formula>0</formula>
    </cfRule>
    <cfRule type="cellIs" dxfId="441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45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I69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+SUM(ABASSKANSSA[TOTAL MONTANT])</f>
        <v>0</v>
      </c>
      <c r="F4" s="39">
        <f>+SUM(ABASSKANSSA[VERSEMENT])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160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+$I$2+(ABASSKANSSA[[#This Row],[QUANTITE]]*ABASSKANSSA[[#This Row],[PRIX UNITAIRE]])</f>
        <v>0</v>
      </c>
      <c r="F9" s="14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+$I$2+(ABASSKANSSA[[#This Row],[QUANTITE]]*ABASSKANSSA[[#This Row],[PRIX UNITAIRE]])</f>
        <v>0</v>
      </c>
      <c r="F10" s="14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+$I$2+(ABASSKANSSA[[#This Row],[QUANTITE]]*ABASSKANSSA[[#This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+$I$2+(ABASSKANSSA[[#This Row],[QUANTITE]]*ABASSKANSSA[[#This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+$I$2+(ABASSKANSSA[[#This Row],[QUANTITE]]*ABASSKANSSA[[#This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+$I$2+(ABASSKANSSA[[#This Row],[QUANTITE]]*ABASSKANSSA[[#This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+$I$2+(ABASSKANSSA[[#This Row],[QUANTITE]]*ABASSKANSSA[[#This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+$I$2+(ABASSKANSSA[[#This Row],[QUANTITE]]*ABASSKANSSA[[#This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+$I$2+(ABASSKANSSA[[#This Row],[QUANTITE]]*ABASSKANSSA[[#This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+$I$2+(ABASSKANSSA[[#This Row],[QUANTITE]]*ABASSKANSSA[[#This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+$I$2+(ABASSKANSSA[[#This Row],[QUANTITE]]*ABASSKANSSA[[#This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+$I$2+(ABASSKANSSA[[#This Row],[QUANTITE]]*ABASSKANSSA[[#This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+$I$2+(ABASSKANSSA[[#This Row],[QUANTITE]]*ABASSKANSSA[[#This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+$I$2+(ABASSKANSSA[[#This Row],[QUANTITE]]*ABASSKANSSA[[#This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+$I$2+(ABASSKANSSA[[#This Row],[QUANTITE]]*ABASSKANSSA[[#This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+$I$2+(ABASSKANSSA[[#This Row],[QUANTITE]]*ABASSKANSSA[[#This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+$I$2+(ABASSKANSSA[[#This Row],[QUANTITE]]*ABASSKANSSA[[#This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+$I$2+(ABASSKANSSA[[#This Row],[QUANTITE]]*ABASSKANSSA[[#This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+$I$2+(ABASSKANSSA[[#This Row],[QUANTITE]]*ABASSKANSSA[[#This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+$I$2+(ABASSKANSSA[[#This Row],[QUANTITE]]*ABASSKANSSA[[#This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+$I$2+(ABASSKANSSA[[#This Row],[QUANTITE]]*ABASSKANSSA[[#This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+$I$2+(ABASSKANSSA[[#This Row],[QUANTITE]]*ABASSKANSSA[[#This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+$I$2+(ABASSKANSSA[[#This Row],[QUANTITE]]*ABASSKANSSA[[#This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+$I$2+(ABASSKANSSA[[#This Row],[QUANTITE]]*ABASSKANSSA[[#This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+$I$2+(ABASSKANSSA[[#This Row],[QUANTITE]]*ABASSKANSSA[[#This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+$I$2+(ABASSKANSSA[[#This Row],[QUANTITE]]*ABASSKANSSA[[#This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+$I$2+(ABASSKANSSA[[#This Row],[QUANTITE]]*ABASSKANSSA[[#This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+$I$2+(ABASSKANSSA[[#This Row],[QUANTITE]]*ABASSKANSSA[[#This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+$I$2+(ABASSKANSSA[[#This Row],[QUANTITE]]*ABASSKANSSA[[#This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+$I$2+(ABASSKANSSA[[#This Row],[QUANTITE]]*ABASSKANSSA[[#This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+$I$2+(ABASSKANSSA[[#This Row],[QUANTITE]]*ABASSKANSSA[[#This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+$I$2+(ABASSKANSSA[[#This Row],[QUANTITE]]*ABASSKANSSA[[#This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+$I$2+(ABASSKANSSA[[#This Row],[QUANTITE]]*ABASSKANSSA[[#This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+$I$2+(ABASSKANSSA[[#This Row],[QUANTITE]]*ABASSKANSSA[[#This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+$I$2+(ABASSKANSSA[[#This Row],[QUANTITE]]*ABASSKANSSA[[#This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+$I$2+(ABASSKANSSA[[#This Row],[QUANTITE]]*ABASSKANSSA[[#This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+$I$2+(ABASSKANSSA[[#This Row],[QUANTITE]]*ABASSKANSSA[[#This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+$I$2+(ABASSKANSSA[[#This Row],[QUANTITE]]*ABASSKANSSA[[#This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+$I$2+(ABASSKANSSA[[#This Row],[QUANTITE]]*ABASSKANSSA[[#This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+$I$2+(ABASSKANSSA[[#This Row],[QUANTITE]]*ABASSKANSSA[[#This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+$I$2+(ABASSKANSSA[[#This Row],[QUANTITE]]*ABASSKANSSA[[#This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+$I$2+(ABASSKANSSA[[#This Row],[QUANTITE]]*ABASSKANSSA[[#This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+$I$2+(ABASSKANSSA[[#This Row],[QUANTITE]]*ABASSKANSSA[[#This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+$I$2+(ABASSKANSSA[[#This Row],[QUANTITE]]*ABASSKANSSA[[#This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+$I$2+(ABASSKANSSA[[#This Row],[QUANTITE]]*ABASSKANSSA[[#This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+$I$2+(ABASSKANSSA[[#This Row],[QUANTITE]]*ABASSKANSSA[[#This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+$I$2+(ABASSKANSSA[[#This Row],[QUANTITE]]*ABASSKANSSA[[#This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+$I$2+(ABASSKANSSA[[#This Row],[QUANTITE]]*ABASSKANSSA[[#This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+$I$2+(ABASSKANSSA[[#This Row],[QUANTITE]]*ABASSKANSSA[[#This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+$I$2+(ABASSKANSSA[[#This Row],[QUANTITE]]*ABASSKANSSA[[#This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+$I$2+(ABASSKANSSA[[#This Row],[QUANTITE]]*ABASSKANSSA[[#This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+$I$2+(ABASSKANSSA[[#This Row],[QUANTITE]]*ABASSKANSSA[[#This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+$I$2+(ABASSKANSSA[[#This Row],[QUANTITE]]*ABASSKANSSA[[#This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+$I$2+(ABASSKANSSA[[#This Row],[QUANTITE]]*ABASSKANSSA[[#This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+$I$2+(ABASSKANSSA[[#This Row],[QUANTITE]]*ABASSKANSSA[[#This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+$I$2+(ABASSKANSSA[[#This Row],[QUANTITE]]*ABASSKANSSA[[#This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+$I$2+(ABASSKANSSA[[#This Row],[QUANTITE]]*ABASSKANSSA[[#This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+$I$2+(ABASSKANSSA[[#This Row],[QUANTITE]]*ABASSKANSSA[[#This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+$I$2+(ABASSKANSSA[[#This Row],[QUANTITE]]*ABASSKANSSA[[#This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+$I$2+(ABASSKANSSA[[#This Row],[QUANTITE]]*ABASSKANSSA[[#This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+$I$2+(ABASSKANSSA[[#This Row],[QUANTITE]]*ABASSKANSSA[[#This Row],[PRIX UNITAIRE]])</f>
        <v>0</v>
      </c>
      <c r="F69" s="14"/>
      <c r="G69" s="6">
        <f>+SUM(E$9:$E69)-SUM(F$9:$F69)</f>
        <v>0</v>
      </c>
    </row>
  </sheetData>
  <sheetProtection selectLockedCells="1" autoFilter="0"/>
  <mergeCells count="1">
    <mergeCell ref="B6:C6"/>
  </mergeCells>
  <conditionalFormatting sqref="B9:B69">
    <cfRule type="expression" dxfId="424" priority="5">
      <formula>$F9</formula>
    </cfRule>
  </conditionalFormatting>
  <conditionalFormatting sqref="G4">
    <cfRule type="cellIs" dxfId="423" priority="2" operator="lessThan">
      <formula>0</formula>
    </cfRule>
    <cfRule type="cellIs" dxfId="422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I69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+SUM(SAKO[TOTAL MONTANT])</f>
        <v>0</v>
      </c>
      <c r="F4" s="39">
        <f>+SUM(SAKO[VERSEMENT])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161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+$I$2+(SAKO[[#This Row],[QUANTITE]]*SAKO[[#This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+$I$2+(SAKO[[#This Row],[QUANTITE]]*SAKO[[#This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+$I$2+(SAKO[[#This Row],[QUANTITE]]*SAKO[[#This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+$I$2+(SAKO[[#This Row],[QUANTITE]]*SAKO[[#This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+$I$2+(SAKO[[#This Row],[QUANTITE]]*SAKO[[#This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+$I$2+(SAKO[[#This Row],[QUANTITE]]*SAKO[[#This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+$I$2+(SAKO[[#This Row],[QUANTITE]]*SAKO[[#This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+$I$2+(SAKO[[#This Row],[QUANTITE]]*SAKO[[#This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+$I$2+(SAKO[[#This Row],[QUANTITE]]*SAKO[[#This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+$I$2+(SAKO[[#This Row],[QUANTITE]]*SAKO[[#This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+$I$2+(SAKO[[#This Row],[QUANTITE]]*SAKO[[#This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+$I$2+(SAKO[[#This Row],[QUANTITE]]*SAKO[[#This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+$I$2+(SAKO[[#This Row],[QUANTITE]]*SAKO[[#This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+$I$2+(SAKO[[#This Row],[QUANTITE]]*SAKO[[#This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+$I$2+(SAKO[[#This Row],[QUANTITE]]*SAKO[[#This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+$I$2+(SAKO[[#This Row],[QUANTITE]]*SAKO[[#This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+$I$2+(SAKO[[#This Row],[QUANTITE]]*SAKO[[#This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+$I$2+(SAKO[[#This Row],[QUANTITE]]*SAKO[[#This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+$I$2+(SAKO[[#This Row],[QUANTITE]]*SAKO[[#This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+$I$2+(SAKO[[#This Row],[QUANTITE]]*SAKO[[#This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+$I$2+(SAKO[[#This Row],[QUANTITE]]*SAKO[[#This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+$I$2+(SAKO[[#This Row],[QUANTITE]]*SAKO[[#This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+$I$2+(SAKO[[#This Row],[QUANTITE]]*SAKO[[#This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+$I$2+(SAKO[[#This Row],[QUANTITE]]*SAKO[[#This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+$I$2+(SAKO[[#This Row],[QUANTITE]]*SAKO[[#This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+$I$2+(SAKO[[#This Row],[QUANTITE]]*SAKO[[#This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+$I$2+(SAKO[[#This Row],[QUANTITE]]*SAKO[[#This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+$I$2+(SAKO[[#This Row],[QUANTITE]]*SAKO[[#This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+$I$2+(SAKO[[#This Row],[QUANTITE]]*SAKO[[#This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+$I$2+(SAKO[[#This Row],[QUANTITE]]*SAKO[[#This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+$I$2+(SAKO[[#This Row],[QUANTITE]]*SAKO[[#This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+$I$2+(SAKO[[#This Row],[QUANTITE]]*SAKO[[#This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+$I$2+(SAKO[[#This Row],[QUANTITE]]*SAKO[[#This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+$I$2+(SAKO[[#This Row],[QUANTITE]]*SAKO[[#This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+$I$2+(SAKO[[#This Row],[QUANTITE]]*SAKO[[#This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+$I$2+(SAKO[[#This Row],[QUANTITE]]*SAKO[[#This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+$I$2+(SAKO[[#This Row],[QUANTITE]]*SAKO[[#This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+$I$2+(SAKO[[#This Row],[QUANTITE]]*SAKO[[#This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+$I$2+(SAKO[[#This Row],[QUANTITE]]*SAKO[[#This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+$I$2+(SAKO[[#This Row],[QUANTITE]]*SAKO[[#This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+$I$2+(SAKO[[#This Row],[QUANTITE]]*SAKO[[#This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+$I$2+(SAKO[[#This Row],[QUANTITE]]*SAKO[[#This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+$I$2+(SAKO[[#This Row],[QUANTITE]]*SAKO[[#This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+$I$2+(SAKO[[#This Row],[QUANTITE]]*SAKO[[#This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+$I$2+(SAKO[[#This Row],[QUANTITE]]*SAKO[[#This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+$I$2+(SAKO[[#This Row],[QUANTITE]]*SAKO[[#This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+$I$2+(SAKO[[#This Row],[QUANTITE]]*SAKO[[#This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+$I$2+(SAKO[[#This Row],[QUANTITE]]*SAKO[[#This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+$I$2+(SAKO[[#This Row],[QUANTITE]]*SAKO[[#This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+$I$2+(SAKO[[#This Row],[QUANTITE]]*SAKO[[#This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+$I$2+(SAKO[[#This Row],[QUANTITE]]*SAKO[[#This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+$I$2+(SAKO[[#This Row],[QUANTITE]]*SAKO[[#This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+$I$2+(SAKO[[#This Row],[QUANTITE]]*SAKO[[#This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+$I$2+(SAKO[[#This Row],[QUANTITE]]*SAKO[[#This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+$I$2+(SAKO[[#This Row],[QUANTITE]]*SAKO[[#This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+$I$2+(SAKO[[#This Row],[QUANTITE]]*SAKO[[#This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+$I$2+(SAKO[[#This Row],[QUANTITE]]*SAKO[[#This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+$I$2+(SAKO[[#This Row],[QUANTITE]]*SAKO[[#This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+$I$2+(SAKO[[#This Row],[QUANTITE]]*SAKO[[#This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+$I$2+(SAKO[[#This Row],[QUANTITE]]*SAKO[[#This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+$I$2+(SAKO[[#This Row],[QUANTITE]]*SAKO[[#This Row],[PRIX UNITAIRE]])</f>
        <v>0</v>
      </c>
      <c r="F69" s="14"/>
      <c r="G69" s="6">
        <f>+SUM(E$9:$E69)-SUM(F$9:$F69)</f>
        <v>0</v>
      </c>
    </row>
  </sheetData>
  <sheetProtection selectLockedCells="1" autoFilter="0"/>
  <mergeCells count="1">
    <mergeCell ref="B6:C6"/>
  </mergeCells>
  <conditionalFormatting sqref="B9:B69">
    <cfRule type="expression" dxfId="405" priority="5">
      <formula>$F9</formula>
    </cfRule>
  </conditionalFormatting>
  <conditionalFormatting sqref="G4">
    <cfRule type="cellIs" dxfId="404" priority="2" operator="lessThan">
      <formula>0</formula>
    </cfRule>
    <cfRule type="cellIs" dxfId="403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I77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6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+SUM(AHMADWESLAKE[TOTAL MONTANT])</f>
        <v>525000</v>
      </c>
      <c r="F4" s="39">
        <f>+SUM(AHMADWESLAKE[VERSEMENT])</f>
        <v>0</v>
      </c>
      <c r="G4" s="97">
        <f>+E4-F4</f>
        <v>525000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162</v>
      </c>
      <c r="C6" s="114"/>
      <c r="D6" s="53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46099</v>
      </c>
      <c r="B9" s="13" t="s">
        <v>163</v>
      </c>
      <c r="C9" s="10">
        <v>3</v>
      </c>
      <c r="D9" s="10">
        <v>175000</v>
      </c>
      <c r="E9" s="7">
        <v>525000</v>
      </c>
      <c r="F9" s="20">
        <v>0</v>
      </c>
      <c r="G9" s="6">
        <f>+SUM(E$9:$E9)-SUM(F$9:$F9)</f>
        <v>525000</v>
      </c>
    </row>
    <row r="10" spans="1:9" ht="28.8" x14ac:dyDescent="0.55000000000000004">
      <c r="A10" s="12"/>
      <c r="B10" s="13"/>
      <c r="C10" s="10"/>
      <c r="D10" s="10"/>
      <c r="E10" s="7">
        <f>$I$2+(AHMADWESLAKE[[#This Row],[QUANTITE]]*AHMADWESLAKE[[#This Row],[PRIX UNITAIRE]])</f>
        <v>0</v>
      </c>
      <c r="F10" s="21"/>
      <c r="G10" s="6">
        <f>+SUM(E$9:$E10)-SUM(F$9:$F10)</f>
        <v>525000</v>
      </c>
    </row>
    <row r="11" spans="1:9" ht="28.8" x14ac:dyDescent="0.55000000000000004">
      <c r="A11" s="12"/>
      <c r="B11" s="13"/>
      <c r="C11" s="10"/>
      <c r="D11" s="10"/>
      <c r="E11" s="7">
        <f>$I$2+(AHMADWESLAKE[[#This Row],[QUANTITE]]*AHMADWESLAKE[[#This Row],[PRIX UNITAIRE]])</f>
        <v>0</v>
      </c>
      <c r="F11" s="14"/>
      <c r="G11" s="6">
        <f>+SUM(E$9:$E11)-SUM(F$9:$F11)</f>
        <v>525000</v>
      </c>
    </row>
    <row r="12" spans="1:9" ht="28.8" x14ac:dyDescent="0.55000000000000004">
      <c r="A12" s="12"/>
      <c r="B12" s="13"/>
      <c r="C12" s="10"/>
      <c r="D12" s="10"/>
      <c r="E12" s="7">
        <f>$I$2+(AHMADWESLAKE[[#This Row],[QUANTITE]]*AHMADWESLAKE[[#This Row],[PRIX UNITAIRE]])</f>
        <v>0</v>
      </c>
      <c r="F12" s="14"/>
      <c r="G12" s="6">
        <f>+SUM(E$9:$E12)-SUM(F$9:$F12)</f>
        <v>525000</v>
      </c>
    </row>
    <row r="13" spans="1:9" ht="28.8" x14ac:dyDescent="0.55000000000000004">
      <c r="A13" s="12"/>
      <c r="B13" s="13"/>
      <c r="C13" s="10"/>
      <c r="D13" s="10"/>
      <c r="E13" s="7">
        <f>$I$2+(AHMADWESLAKE[[#This Row],[QUANTITE]]*AHMADWESLAKE[[#This Row],[PRIX UNITAIRE]])</f>
        <v>0</v>
      </c>
      <c r="F13" s="14"/>
      <c r="G13" s="6">
        <f>+SUM(E$9:$E13)-SUM(F$9:$F13)</f>
        <v>525000</v>
      </c>
    </row>
    <row r="14" spans="1:9" ht="28.8" x14ac:dyDescent="0.55000000000000004">
      <c r="A14" s="12"/>
      <c r="B14" s="13"/>
      <c r="C14" s="10"/>
      <c r="D14" s="10"/>
      <c r="E14" s="7">
        <f>$I$2+(AHMADWESLAKE[[#This Row],[QUANTITE]]*AHMADWESLAKE[[#This Row],[PRIX UNITAIRE]])</f>
        <v>0</v>
      </c>
      <c r="F14" s="14"/>
      <c r="G14" s="6">
        <f>+SUM(E$9:$E14)-SUM(F$9:$F14)</f>
        <v>525000</v>
      </c>
    </row>
    <row r="15" spans="1:9" ht="28.8" x14ac:dyDescent="0.55000000000000004">
      <c r="A15" s="12"/>
      <c r="B15" s="13"/>
      <c r="C15" s="10"/>
      <c r="D15" s="10"/>
      <c r="E15" s="7">
        <f>$I$2+(AHMADWESLAKE[[#This Row],[QUANTITE]]*AHMADWESLAKE[[#This Row],[PRIX UNITAIRE]])</f>
        <v>0</v>
      </c>
      <c r="F15" s="14"/>
      <c r="G15" s="6">
        <f>+SUM(E$9:$E15)-SUM(F$9:$F15)</f>
        <v>525000</v>
      </c>
    </row>
    <row r="16" spans="1:9" ht="28.8" x14ac:dyDescent="0.55000000000000004">
      <c r="A16" s="12"/>
      <c r="B16" s="13"/>
      <c r="C16" s="10"/>
      <c r="D16" s="10"/>
      <c r="E16" s="7">
        <f>$I$2+(AHMADWESLAKE[[#This Row],[QUANTITE]]*AHMADWESLAKE[[#This Row],[PRIX UNITAIRE]])</f>
        <v>0</v>
      </c>
      <c r="F16" s="14"/>
      <c r="G16" s="6">
        <f>+SUM(E$9:$E16)-SUM(F$9:$F16)</f>
        <v>525000</v>
      </c>
    </row>
    <row r="17" spans="1:7" ht="28.8" x14ac:dyDescent="0.55000000000000004">
      <c r="A17" s="12"/>
      <c r="B17" s="13"/>
      <c r="C17" s="10"/>
      <c r="D17" s="10"/>
      <c r="E17" s="7">
        <f>$I$2+(AHMADWESLAKE[[#This Row],[QUANTITE]]*AHMADWESLAKE[[#This Row],[PRIX UNITAIRE]])</f>
        <v>0</v>
      </c>
      <c r="F17" s="14"/>
      <c r="G17" s="6">
        <f>+SUM(E$9:$E17)-SUM(F$9:$F17)</f>
        <v>525000</v>
      </c>
    </row>
    <row r="18" spans="1:7" ht="28.8" x14ac:dyDescent="0.55000000000000004">
      <c r="A18" s="12"/>
      <c r="B18" s="13"/>
      <c r="C18" s="10"/>
      <c r="D18" s="10"/>
      <c r="E18" s="7">
        <f>$I$2+(AHMADWESLAKE[[#This Row],[QUANTITE]]*AHMADWESLAKE[[#This Row],[PRIX UNITAIRE]])</f>
        <v>0</v>
      </c>
      <c r="F18" s="14"/>
      <c r="G18" s="6">
        <f>+SUM(E$9:$E18)-SUM(F$9:$F18)</f>
        <v>525000</v>
      </c>
    </row>
    <row r="19" spans="1:7" ht="28.8" x14ac:dyDescent="0.55000000000000004">
      <c r="A19" s="12"/>
      <c r="B19" s="13"/>
      <c r="C19" s="10"/>
      <c r="D19" s="10"/>
      <c r="E19" s="7">
        <f>$I$2+(AHMADWESLAKE[[#This Row],[QUANTITE]]*AHMADWESLAKE[[#This Row],[PRIX UNITAIRE]])</f>
        <v>0</v>
      </c>
      <c r="F19" s="14"/>
      <c r="G19" s="6">
        <f>+SUM(E$9:$E19)-SUM(F$9:$F19)</f>
        <v>525000</v>
      </c>
    </row>
    <row r="20" spans="1:7" ht="28.8" x14ac:dyDescent="0.55000000000000004">
      <c r="A20" s="12"/>
      <c r="B20" s="13"/>
      <c r="C20" s="10"/>
      <c r="D20" s="10"/>
      <c r="E20" s="7">
        <f>$I$2+(AHMADWESLAKE[[#This Row],[QUANTITE]]*AHMADWESLAKE[[#This Row],[PRIX UNITAIRE]])</f>
        <v>0</v>
      </c>
      <c r="F20" s="14"/>
      <c r="G20" s="6">
        <f>+SUM(E$9:$E20)-SUM(F$9:$F20)</f>
        <v>525000</v>
      </c>
    </row>
    <row r="21" spans="1:7" ht="28.8" x14ac:dyDescent="0.55000000000000004">
      <c r="A21" s="12"/>
      <c r="B21" s="13"/>
      <c r="C21" s="10"/>
      <c r="D21" s="10"/>
      <c r="E21" s="7">
        <f>$I$2+(AHMADWESLAKE[[#This Row],[QUANTITE]]*AHMADWESLAKE[[#This Row],[PRIX UNITAIRE]])</f>
        <v>0</v>
      </c>
      <c r="F21" s="14"/>
      <c r="G21" s="6">
        <f>+SUM(E$9:$E21)-SUM(F$9:$F21)</f>
        <v>525000</v>
      </c>
    </row>
    <row r="22" spans="1:7" ht="28.8" x14ac:dyDescent="0.55000000000000004">
      <c r="A22" s="12"/>
      <c r="B22" s="13"/>
      <c r="C22" s="10"/>
      <c r="D22" s="10"/>
      <c r="E22" s="7">
        <f>$I$2+(AHMADWESLAKE[[#This Row],[QUANTITE]]*AHMADWESLAKE[[#This Row],[PRIX UNITAIRE]])</f>
        <v>0</v>
      </c>
      <c r="F22" s="14"/>
      <c r="G22" s="6">
        <f>+SUM(E$9:$E22)-SUM(F$9:$F22)</f>
        <v>525000</v>
      </c>
    </row>
    <row r="23" spans="1:7" ht="28.8" x14ac:dyDescent="0.55000000000000004">
      <c r="A23" s="12"/>
      <c r="B23" s="13"/>
      <c r="C23" s="10"/>
      <c r="D23" s="10"/>
      <c r="E23" s="7">
        <f>$I$2+(AHMADWESLAKE[[#This Row],[QUANTITE]]*AHMADWESLAKE[[#This Row],[PRIX UNITAIRE]])</f>
        <v>0</v>
      </c>
      <c r="F23" s="14"/>
      <c r="G23" s="6">
        <f>+SUM(E$9:$E23)-SUM(F$9:$F23)</f>
        <v>525000</v>
      </c>
    </row>
    <row r="24" spans="1:7" ht="28.8" x14ac:dyDescent="0.55000000000000004">
      <c r="A24" s="12"/>
      <c r="B24" s="13"/>
      <c r="C24" s="10"/>
      <c r="D24" s="10"/>
      <c r="E24" s="7">
        <f>$I$2+(AHMADWESLAKE[[#This Row],[QUANTITE]]*AHMADWESLAKE[[#This Row],[PRIX UNITAIRE]])</f>
        <v>0</v>
      </c>
      <c r="F24" s="14"/>
      <c r="G24" s="6">
        <f>+SUM(E$9:$E24)-SUM(F$9:$F24)</f>
        <v>525000</v>
      </c>
    </row>
    <row r="25" spans="1:7" ht="28.8" x14ac:dyDescent="0.55000000000000004">
      <c r="A25" s="12"/>
      <c r="B25" s="13"/>
      <c r="C25" s="10"/>
      <c r="D25" s="10"/>
      <c r="E25" s="7">
        <f>$I$2+(AHMADWESLAKE[[#This Row],[QUANTITE]]*AHMADWESLAKE[[#This Row],[PRIX UNITAIRE]])</f>
        <v>0</v>
      </c>
      <c r="F25" s="14"/>
      <c r="G25" s="6">
        <f>+SUM(E$9:$E25)-SUM(F$9:$F25)</f>
        <v>525000</v>
      </c>
    </row>
    <row r="26" spans="1:7" ht="28.8" x14ac:dyDescent="0.55000000000000004">
      <c r="A26" s="12"/>
      <c r="B26" s="13"/>
      <c r="C26" s="10"/>
      <c r="D26" s="10"/>
      <c r="E26" s="7">
        <f>$I$2+(AHMADWESLAKE[[#This Row],[QUANTITE]]*AHMADWESLAKE[[#This Row],[PRIX UNITAIRE]])</f>
        <v>0</v>
      </c>
      <c r="F26" s="14"/>
      <c r="G26" s="6">
        <f>+SUM(E$9:$E26)-SUM(F$9:$F26)</f>
        <v>525000</v>
      </c>
    </row>
    <row r="27" spans="1:7" ht="28.8" x14ac:dyDescent="0.55000000000000004">
      <c r="A27" s="12"/>
      <c r="B27" s="13"/>
      <c r="C27" s="10"/>
      <c r="D27" s="10"/>
      <c r="E27" s="7">
        <f>$I$2+(AHMADWESLAKE[[#This Row],[QUANTITE]]*AHMADWESLAKE[[#This Row],[PRIX UNITAIRE]])</f>
        <v>0</v>
      </c>
      <c r="F27" s="14"/>
      <c r="G27" s="6">
        <f>+SUM(E$9:$E27)-SUM(F$9:$F27)</f>
        <v>525000</v>
      </c>
    </row>
    <row r="28" spans="1:7" ht="28.8" x14ac:dyDescent="0.55000000000000004">
      <c r="A28" s="12"/>
      <c r="B28" s="13"/>
      <c r="C28" s="10"/>
      <c r="D28" s="10"/>
      <c r="E28" s="7">
        <f>$I$2+(AHMADWESLAKE[[#This Row],[QUANTITE]]*AHMADWESLAKE[[#This Row],[PRIX UNITAIRE]])</f>
        <v>0</v>
      </c>
      <c r="F28" s="14"/>
      <c r="G28" s="6">
        <f>+SUM(E$9:$E28)-SUM(F$9:$F28)</f>
        <v>525000</v>
      </c>
    </row>
    <row r="29" spans="1:7" ht="28.8" x14ac:dyDescent="0.55000000000000004">
      <c r="A29" s="12"/>
      <c r="B29" s="13"/>
      <c r="C29" s="10"/>
      <c r="D29" s="10"/>
      <c r="E29" s="7">
        <f>$I$2+(AHMADWESLAKE[[#This Row],[QUANTITE]]*AHMADWESLAKE[[#This Row],[PRIX UNITAIRE]])</f>
        <v>0</v>
      </c>
      <c r="F29" s="14"/>
      <c r="G29" s="6">
        <f>+SUM(E$9:$E29)-SUM(F$9:$F29)</f>
        <v>525000</v>
      </c>
    </row>
    <row r="30" spans="1:7" ht="28.8" x14ac:dyDescent="0.55000000000000004">
      <c r="A30" s="12"/>
      <c r="B30" s="13"/>
      <c r="C30" s="10"/>
      <c r="D30" s="10"/>
      <c r="E30" s="7">
        <f>$I$2+(AHMADWESLAKE[[#This Row],[QUANTITE]]*AHMADWESLAKE[[#This Row],[PRIX UNITAIRE]])</f>
        <v>0</v>
      </c>
      <c r="F30" s="14"/>
      <c r="G30" s="6">
        <f>+SUM(E$9:$E30)-SUM(F$9:$F30)</f>
        <v>525000</v>
      </c>
    </row>
    <row r="31" spans="1:7" ht="28.8" x14ac:dyDescent="0.55000000000000004">
      <c r="A31" s="12"/>
      <c r="B31" s="13"/>
      <c r="C31" s="10"/>
      <c r="D31" s="10"/>
      <c r="E31" s="7">
        <f>$I$2+(AHMADWESLAKE[[#This Row],[QUANTITE]]*AHMADWESLAKE[[#This Row],[PRIX UNITAIRE]])</f>
        <v>0</v>
      </c>
      <c r="F31" s="14"/>
      <c r="G31" s="6">
        <f>+SUM(E$9:$E31)-SUM(F$9:$F31)</f>
        <v>525000</v>
      </c>
    </row>
    <row r="32" spans="1:7" ht="28.8" x14ac:dyDescent="0.55000000000000004">
      <c r="A32" s="12"/>
      <c r="B32" s="13"/>
      <c r="C32" s="10"/>
      <c r="D32" s="10"/>
      <c r="E32" s="7">
        <f>$I$2+(AHMADWESLAKE[[#This Row],[QUANTITE]]*AHMADWESLAKE[[#This Row],[PRIX UNITAIRE]])</f>
        <v>0</v>
      </c>
      <c r="F32" s="14"/>
      <c r="G32" s="6">
        <f>+SUM(E$9:$E32)-SUM(F$9:$F32)</f>
        <v>525000</v>
      </c>
    </row>
    <row r="33" spans="1:7" ht="28.8" x14ac:dyDescent="0.55000000000000004">
      <c r="A33" s="12"/>
      <c r="B33" s="13"/>
      <c r="C33" s="10"/>
      <c r="D33" s="10"/>
      <c r="E33" s="7">
        <f>$I$2+(AHMADWESLAKE[[#This Row],[QUANTITE]]*AHMADWESLAKE[[#This Row],[PRIX UNITAIRE]])</f>
        <v>0</v>
      </c>
      <c r="F33" s="14"/>
      <c r="G33" s="6">
        <f>+SUM(E$9:$E33)-SUM(F$9:$F33)</f>
        <v>525000</v>
      </c>
    </row>
    <row r="34" spans="1:7" ht="28.8" x14ac:dyDescent="0.55000000000000004">
      <c r="A34" s="12"/>
      <c r="B34" s="13"/>
      <c r="C34" s="10"/>
      <c r="D34" s="10"/>
      <c r="E34" s="7">
        <f>$I$2+(AHMADWESLAKE[[#This Row],[QUANTITE]]*AHMADWESLAKE[[#This Row],[PRIX UNITAIRE]])</f>
        <v>0</v>
      </c>
      <c r="F34" s="14"/>
      <c r="G34" s="6">
        <f>+SUM(E$9:$E34)-SUM(F$9:$F34)</f>
        <v>525000</v>
      </c>
    </row>
    <row r="35" spans="1:7" ht="28.8" x14ac:dyDescent="0.55000000000000004">
      <c r="A35" s="12"/>
      <c r="B35" s="13"/>
      <c r="C35" s="10"/>
      <c r="D35" s="10"/>
      <c r="E35" s="7">
        <f>$I$2+(AHMADWESLAKE[[#This Row],[QUANTITE]]*AHMADWESLAKE[[#This Row],[PRIX UNITAIRE]])</f>
        <v>0</v>
      </c>
      <c r="F35" s="14"/>
      <c r="G35" s="6">
        <f>+SUM(E$9:$E35)-SUM(F$9:$F35)</f>
        <v>525000</v>
      </c>
    </row>
    <row r="36" spans="1:7" ht="28.8" x14ac:dyDescent="0.55000000000000004">
      <c r="A36" s="12"/>
      <c r="B36" s="13"/>
      <c r="C36" s="10"/>
      <c r="D36" s="10"/>
      <c r="E36" s="7">
        <f>$I$2+(AHMADWESLAKE[[#This Row],[QUANTITE]]*AHMADWESLAKE[[#This Row],[PRIX UNITAIRE]])</f>
        <v>0</v>
      </c>
      <c r="F36" s="14"/>
      <c r="G36" s="6">
        <f>+SUM(E$9:$E36)-SUM(F$9:$F36)</f>
        <v>525000</v>
      </c>
    </row>
    <row r="37" spans="1:7" ht="28.8" x14ac:dyDescent="0.55000000000000004">
      <c r="A37" s="12"/>
      <c r="B37" s="13"/>
      <c r="C37" s="10"/>
      <c r="D37" s="10"/>
      <c r="E37" s="7">
        <f>$I$2+(AHMADWESLAKE[[#This Row],[QUANTITE]]*AHMADWESLAKE[[#This Row],[PRIX UNITAIRE]])</f>
        <v>0</v>
      </c>
      <c r="F37" s="14"/>
      <c r="G37" s="6">
        <f>+SUM(E$9:$E37)-SUM(F$9:$F37)</f>
        <v>525000</v>
      </c>
    </row>
    <row r="38" spans="1:7" ht="28.8" x14ac:dyDescent="0.55000000000000004">
      <c r="A38" s="12"/>
      <c r="B38" s="13"/>
      <c r="C38" s="10"/>
      <c r="D38" s="10"/>
      <c r="E38" s="7">
        <f>$I$2+(AHMADWESLAKE[[#This Row],[QUANTITE]]*AHMADWESLAKE[[#This Row],[PRIX UNITAIRE]])</f>
        <v>0</v>
      </c>
      <c r="F38" s="14"/>
      <c r="G38" s="6">
        <f>+SUM(E$9:$E38)-SUM(F$9:$F38)</f>
        <v>525000</v>
      </c>
    </row>
    <row r="39" spans="1:7" ht="28.8" x14ac:dyDescent="0.55000000000000004">
      <c r="A39" s="12"/>
      <c r="B39" s="13"/>
      <c r="C39" s="10"/>
      <c r="D39" s="10"/>
      <c r="E39" s="7">
        <f>$I$2+(AHMADWESLAKE[[#This Row],[QUANTITE]]*AHMADWESLAKE[[#This Row],[PRIX UNITAIRE]])</f>
        <v>0</v>
      </c>
      <c r="F39" s="14"/>
      <c r="G39" s="6">
        <f>+SUM(E$9:$E39)-SUM(F$9:$F39)</f>
        <v>525000</v>
      </c>
    </row>
    <row r="40" spans="1:7" ht="28.8" x14ac:dyDescent="0.55000000000000004">
      <c r="A40" s="12"/>
      <c r="B40" s="13"/>
      <c r="C40" s="10"/>
      <c r="D40" s="10"/>
      <c r="E40" s="7">
        <f>$I$2+(AHMADWESLAKE[[#This Row],[QUANTITE]]*AHMADWESLAKE[[#This Row],[PRIX UNITAIRE]])</f>
        <v>0</v>
      </c>
      <c r="F40" s="14"/>
      <c r="G40" s="6">
        <f>+SUM(E$9:$E40)-SUM(F$9:$F40)</f>
        <v>525000</v>
      </c>
    </row>
    <row r="41" spans="1:7" ht="28.8" x14ac:dyDescent="0.55000000000000004">
      <c r="A41" s="12"/>
      <c r="B41" s="13"/>
      <c r="C41" s="10"/>
      <c r="D41" s="10"/>
      <c r="E41" s="7">
        <f>$I$2+(AHMADWESLAKE[[#This Row],[QUANTITE]]*AHMADWESLAKE[[#This Row],[PRIX UNITAIRE]])</f>
        <v>0</v>
      </c>
      <c r="F41" s="14"/>
      <c r="G41" s="6">
        <f>+SUM(E$9:$E41)-SUM(F$9:$F41)</f>
        <v>525000</v>
      </c>
    </row>
    <row r="42" spans="1:7" ht="28.8" x14ac:dyDescent="0.55000000000000004">
      <c r="A42" s="12"/>
      <c r="B42" s="13"/>
      <c r="C42" s="10"/>
      <c r="D42" s="10"/>
      <c r="E42" s="7">
        <f>$I$2+(AHMADWESLAKE[[#This Row],[QUANTITE]]*AHMADWESLAKE[[#This Row],[PRIX UNITAIRE]])</f>
        <v>0</v>
      </c>
      <c r="F42" s="14"/>
      <c r="G42" s="6">
        <f>+SUM(E$9:$E42)-SUM(F$9:$F42)</f>
        <v>525000</v>
      </c>
    </row>
    <row r="43" spans="1:7" ht="28.8" x14ac:dyDescent="0.55000000000000004">
      <c r="A43" s="12"/>
      <c r="B43" s="13"/>
      <c r="C43" s="10"/>
      <c r="D43" s="10"/>
      <c r="E43" s="7">
        <f>$I$2+(AHMADWESLAKE[[#This Row],[QUANTITE]]*AHMADWESLAKE[[#This Row],[PRIX UNITAIRE]])</f>
        <v>0</v>
      </c>
      <c r="F43" s="14"/>
      <c r="G43" s="6">
        <f>+SUM(E$9:$E43)-SUM(F$9:$F43)</f>
        <v>525000</v>
      </c>
    </row>
    <row r="44" spans="1:7" ht="28.8" x14ac:dyDescent="0.55000000000000004">
      <c r="A44" s="12"/>
      <c r="B44" s="13"/>
      <c r="C44" s="10"/>
      <c r="D44" s="10"/>
      <c r="E44" s="7">
        <f>$I$2+(AHMADWESLAKE[[#This Row],[QUANTITE]]*AHMADWESLAKE[[#This Row],[PRIX UNITAIRE]])</f>
        <v>0</v>
      </c>
      <c r="F44" s="14"/>
      <c r="G44" s="6">
        <f>+SUM(E$9:$E44)-SUM(F$9:$F44)</f>
        <v>525000</v>
      </c>
    </row>
    <row r="45" spans="1:7" ht="28.8" x14ac:dyDescent="0.55000000000000004">
      <c r="A45" s="12"/>
      <c r="B45" s="13"/>
      <c r="C45" s="10"/>
      <c r="D45" s="10"/>
      <c r="E45" s="7">
        <f>$I$2+(AHMADWESLAKE[[#This Row],[QUANTITE]]*AHMADWESLAKE[[#This Row],[PRIX UNITAIRE]])</f>
        <v>0</v>
      </c>
      <c r="F45" s="14"/>
      <c r="G45" s="6">
        <f>+SUM(E$9:$E45)-SUM(F$9:$F45)</f>
        <v>525000</v>
      </c>
    </row>
    <row r="46" spans="1:7" ht="28.8" x14ac:dyDescent="0.55000000000000004">
      <c r="A46" s="12"/>
      <c r="B46" s="13"/>
      <c r="C46" s="10"/>
      <c r="D46" s="10"/>
      <c r="E46" s="7">
        <f>$I$2+(AHMADWESLAKE[[#This Row],[QUANTITE]]*AHMADWESLAKE[[#This Row],[PRIX UNITAIRE]])</f>
        <v>0</v>
      </c>
      <c r="F46" s="14"/>
      <c r="G46" s="6">
        <f>+SUM(E$9:$E46)-SUM(F$9:$F46)</f>
        <v>525000</v>
      </c>
    </row>
    <row r="47" spans="1:7" ht="28.8" x14ac:dyDescent="0.55000000000000004">
      <c r="A47" s="12"/>
      <c r="B47" s="13"/>
      <c r="C47" s="10"/>
      <c r="D47" s="10"/>
      <c r="E47" s="7">
        <f>$I$2+(AHMADWESLAKE[[#This Row],[QUANTITE]]*AHMADWESLAKE[[#This Row],[PRIX UNITAIRE]])</f>
        <v>0</v>
      </c>
      <c r="F47" s="14"/>
      <c r="G47" s="6">
        <f>+SUM(E$9:$E47)-SUM(F$9:$F47)</f>
        <v>525000</v>
      </c>
    </row>
    <row r="48" spans="1:7" ht="28.8" x14ac:dyDescent="0.55000000000000004">
      <c r="A48" s="12"/>
      <c r="B48" s="13"/>
      <c r="C48" s="10"/>
      <c r="D48" s="10"/>
      <c r="E48" s="7">
        <f>$I$2+(AHMADWESLAKE[[#This Row],[QUANTITE]]*AHMADWESLAKE[[#This Row],[PRIX UNITAIRE]])</f>
        <v>0</v>
      </c>
      <c r="F48" s="14"/>
      <c r="G48" s="6">
        <f>+SUM(E$9:$E48)-SUM(F$9:$F48)</f>
        <v>525000</v>
      </c>
    </row>
    <row r="49" spans="1:7" ht="28.8" x14ac:dyDescent="0.55000000000000004">
      <c r="A49" s="12"/>
      <c r="B49" s="13"/>
      <c r="C49" s="10"/>
      <c r="D49" s="10"/>
      <c r="E49" s="7">
        <f>$I$2+(AHMADWESLAKE[[#This Row],[QUANTITE]]*AHMADWESLAKE[[#This Row],[PRIX UNITAIRE]])</f>
        <v>0</v>
      </c>
      <c r="F49" s="14"/>
      <c r="G49" s="6">
        <f>+SUM(E$9:$E49)-SUM(F$9:$F49)</f>
        <v>525000</v>
      </c>
    </row>
    <row r="50" spans="1:7" ht="28.8" x14ac:dyDescent="0.55000000000000004">
      <c r="A50" s="12"/>
      <c r="B50" s="13"/>
      <c r="C50" s="10"/>
      <c r="D50" s="10"/>
      <c r="E50" s="7">
        <f>$I$2+(AHMADWESLAKE[[#This Row],[QUANTITE]]*AHMADWESLAKE[[#This Row],[PRIX UNITAIRE]])</f>
        <v>0</v>
      </c>
      <c r="F50" s="14"/>
      <c r="G50" s="6">
        <f>+SUM(E$9:$E50)-SUM(F$9:$F50)</f>
        <v>525000</v>
      </c>
    </row>
    <row r="51" spans="1:7" ht="28.8" x14ac:dyDescent="0.55000000000000004">
      <c r="A51" s="12"/>
      <c r="B51" s="13"/>
      <c r="C51" s="10"/>
      <c r="D51" s="10"/>
      <c r="E51" s="7">
        <f>$I$2+(AHMADWESLAKE[[#This Row],[QUANTITE]]*AHMADWESLAKE[[#This Row],[PRIX UNITAIRE]])</f>
        <v>0</v>
      </c>
      <c r="F51" s="14"/>
      <c r="G51" s="6">
        <f>+SUM(E$9:$E51)-SUM(F$9:$F51)</f>
        <v>525000</v>
      </c>
    </row>
    <row r="52" spans="1:7" ht="28.8" x14ac:dyDescent="0.55000000000000004">
      <c r="A52" s="12"/>
      <c r="B52" s="13"/>
      <c r="C52" s="10"/>
      <c r="D52" s="10"/>
      <c r="E52" s="7">
        <f>$I$2+(AHMADWESLAKE[[#This Row],[QUANTITE]]*AHMADWESLAKE[[#This Row],[PRIX UNITAIRE]])</f>
        <v>0</v>
      </c>
      <c r="F52" s="14"/>
      <c r="G52" s="6">
        <f>+SUM(E$9:$E52)-SUM(F$9:$F52)</f>
        <v>525000</v>
      </c>
    </row>
    <row r="53" spans="1:7" ht="28.8" x14ac:dyDescent="0.55000000000000004">
      <c r="A53" s="12"/>
      <c r="B53" s="13"/>
      <c r="C53" s="10"/>
      <c r="D53" s="10"/>
      <c r="E53" s="7">
        <f>$I$2+(AHMADWESLAKE[[#This Row],[QUANTITE]]*AHMADWESLAKE[[#This Row],[PRIX UNITAIRE]])</f>
        <v>0</v>
      </c>
      <c r="F53" s="14"/>
      <c r="G53" s="6">
        <f>+SUM(E$9:$E53)-SUM(F$9:$F53)</f>
        <v>525000</v>
      </c>
    </row>
    <row r="54" spans="1:7" ht="28.8" x14ac:dyDescent="0.55000000000000004">
      <c r="A54" s="12"/>
      <c r="B54" s="13"/>
      <c r="C54" s="10"/>
      <c r="D54" s="10"/>
      <c r="E54" s="7">
        <f>$I$2+(AHMADWESLAKE[[#This Row],[QUANTITE]]*AHMADWESLAKE[[#This Row],[PRIX UNITAIRE]])</f>
        <v>0</v>
      </c>
      <c r="F54" s="14"/>
      <c r="G54" s="6">
        <f>+SUM(E$9:$E54)-SUM(F$9:$F54)</f>
        <v>525000</v>
      </c>
    </row>
    <row r="55" spans="1:7" ht="28.8" x14ac:dyDescent="0.55000000000000004">
      <c r="A55" s="12"/>
      <c r="B55" s="13"/>
      <c r="C55" s="10"/>
      <c r="D55" s="10"/>
      <c r="E55" s="7">
        <f>$I$2+(AHMADWESLAKE[[#This Row],[QUANTITE]]*AHMADWESLAKE[[#This Row],[PRIX UNITAIRE]])</f>
        <v>0</v>
      </c>
      <c r="F55" s="14"/>
      <c r="G55" s="6">
        <f>+SUM(E$9:$E55)-SUM(F$9:$F55)</f>
        <v>525000</v>
      </c>
    </row>
    <row r="56" spans="1:7" ht="28.8" x14ac:dyDescent="0.55000000000000004">
      <c r="A56" s="12"/>
      <c r="B56" s="13"/>
      <c r="C56" s="10"/>
      <c r="D56" s="10"/>
      <c r="E56" s="7">
        <f>$I$2+(AHMADWESLAKE[[#This Row],[QUANTITE]]*AHMADWESLAKE[[#This Row],[PRIX UNITAIRE]])</f>
        <v>0</v>
      </c>
      <c r="F56" s="14"/>
      <c r="G56" s="6">
        <f>+SUM(E$9:$E56)-SUM(F$9:$F56)</f>
        <v>525000</v>
      </c>
    </row>
    <row r="57" spans="1:7" ht="28.8" x14ac:dyDescent="0.55000000000000004">
      <c r="A57" s="12"/>
      <c r="B57" s="13"/>
      <c r="C57" s="10"/>
      <c r="D57" s="10"/>
      <c r="E57" s="7">
        <f>$I$2+(AHMADWESLAKE[[#This Row],[QUANTITE]]*AHMADWESLAKE[[#This Row],[PRIX UNITAIRE]])</f>
        <v>0</v>
      </c>
      <c r="F57" s="14"/>
      <c r="G57" s="6">
        <f>+SUM(E$9:$E57)-SUM(F$9:$F57)</f>
        <v>525000</v>
      </c>
    </row>
    <row r="58" spans="1:7" ht="28.8" x14ac:dyDescent="0.55000000000000004">
      <c r="A58" s="12"/>
      <c r="B58" s="13"/>
      <c r="C58" s="10"/>
      <c r="D58" s="10"/>
      <c r="E58" s="7">
        <f>$I$2+(AHMADWESLAKE[[#This Row],[QUANTITE]]*AHMADWESLAKE[[#This Row],[PRIX UNITAIRE]])</f>
        <v>0</v>
      </c>
      <c r="F58" s="14"/>
      <c r="G58" s="6">
        <f>+SUM(E$9:$E58)-SUM(F$9:$F58)</f>
        <v>525000</v>
      </c>
    </row>
    <row r="59" spans="1:7" ht="28.8" x14ac:dyDescent="0.55000000000000004">
      <c r="A59" s="12"/>
      <c r="B59" s="13"/>
      <c r="C59" s="10"/>
      <c r="D59" s="10"/>
      <c r="E59" s="7">
        <f>$I$2+(AHMADWESLAKE[[#This Row],[QUANTITE]]*AHMADWESLAKE[[#This Row],[PRIX UNITAIRE]])</f>
        <v>0</v>
      </c>
      <c r="F59" s="14"/>
      <c r="G59" s="6">
        <f>+SUM(E$9:$E59)-SUM(F$9:$F59)</f>
        <v>525000</v>
      </c>
    </row>
    <row r="60" spans="1:7" ht="28.8" x14ac:dyDescent="0.55000000000000004">
      <c r="A60" s="12"/>
      <c r="B60" s="13"/>
      <c r="C60" s="10"/>
      <c r="D60" s="10"/>
      <c r="E60" s="7">
        <f>$I$2+(AHMADWESLAKE[[#This Row],[QUANTITE]]*AHMADWESLAKE[[#This Row],[PRIX UNITAIRE]])</f>
        <v>0</v>
      </c>
      <c r="F60" s="14"/>
      <c r="G60" s="6">
        <f>+SUM(E$9:$E60)-SUM(F$9:$F60)</f>
        <v>525000</v>
      </c>
    </row>
    <row r="61" spans="1:7" ht="28.8" x14ac:dyDescent="0.55000000000000004">
      <c r="A61" s="12"/>
      <c r="B61" s="13"/>
      <c r="C61" s="10"/>
      <c r="D61" s="10"/>
      <c r="E61" s="7">
        <f>$I$2+(AHMADWESLAKE[[#This Row],[QUANTITE]]*AHMADWESLAKE[[#This Row],[PRIX UNITAIRE]])</f>
        <v>0</v>
      </c>
      <c r="F61" s="14"/>
      <c r="G61" s="6">
        <f>+SUM(E$9:$E61)-SUM(F$9:$F61)</f>
        <v>525000</v>
      </c>
    </row>
    <row r="62" spans="1:7" ht="28.8" x14ac:dyDescent="0.55000000000000004">
      <c r="A62" s="12"/>
      <c r="B62" s="13"/>
      <c r="C62" s="10"/>
      <c r="D62" s="10"/>
      <c r="E62" s="7">
        <f>$I$2+(AHMADWESLAKE[[#This Row],[QUANTITE]]*AHMADWESLAKE[[#This Row],[PRIX UNITAIRE]])</f>
        <v>0</v>
      </c>
      <c r="F62" s="14"/>
      <c r="G62" s="6">
        <f>+SUM(E$9:$E62)-SUM(F$9:$F62)</f>
        <v>525000</v>
      </c>
    </row>
    <row r="63" spans="1:7" ht="28.8" x14ac:dyDescent="0.55000000000000004">
      <c r="A63" s="12"/>
      <c r="B63" s="13"/>
      <c r="C63" s="10"/>
      <c r="D63" s="10"/>
      <c r="E63" s="7">
        <f>$I$2+(AHMADWESLAKE[[#This Row],[QUANTITE]]*AHMADWESLAKE[[#This Row],[PRIX UNITAIRE]])</f>
        <v>0</v>
      </c>
      <c r="F63" s="14"/>
      <c r="G63" s="6">
        <f>+SUM(E$9:$E63)-SUM(F$9:$F63)</f>
        <v>525000</v>
      </c>
    </row>
    <row r="64" spans="1:7" ht="28.8" x14ac:dyDescent="0.55000000000000004">
      <c r="A64" s="12"/>
      <c r="B64" s="13"/>
      <c r="C64" s="10"/>
      <c r="D64" s="10"/>
      <c r="E64" s="7">
        <f>$I$2+(AHMADWESLAKE[[#This Row],[QUANTITE]]*AHMADWESLAKE[[#This Row],[PRIX UNITAIRE]])</f>
        <v>0</v>
      </c>
      <c r="F64" s="14"/>
      <c r="G64" s="6">
        <f>+SUM(E$9:$E64)-SUM(F$9:$F64)</f>
        <v>525000</v>
      </c>
    </row>
    <row r="65" spans="1:7" ht="28.8" x14ac:dyDescent="0.55000000000000004">
      <c r="A65" s="12"/>
      <c r="B65" s="13"/>
      <c r="C65" s="10"/>
      <c r="D65" s="10"/>
      <c r="E65" s="7">
        <f>$I$2+(AHMADWESLAKE[[#This Row],[QUANTITE]]*AHMADWESLAKE[[#This Row],[PRIX UNITAIRE]])</f>
        <v>0</v>
      </c>
      <c r="F65" s="14"/>
      <c r="G65" s="6">
        <f>+SUM(E$9:$E65)-SUM(F$9:$F65)</f>
        <v>525000</v>
      </c>
    </row>
    <row r="66" spans="1:7" ht="28.8" x14ac:dyDescent="0.55000000000000004">
      <c r="A66" s="12"/>
      <c r="B66" s="13"/>
      <c r="C66" s="10"/>
      <c r="D66" s="10"/>
      <c r="E66" s="7">
        <f>$I$2+(AHMADWESLAKE[[#This Row],[QUANTITE]]*AHMADWESLAKE[[#This Row],[PRIX UNITAIRE]])</f>
        <v>0</v>
      </c>
      <c r="F66" s="14"/>
      <c r="G66" s="6">
        <f>+SUM(E$9:$E66)-SUM(F$9:$F66)</f>
        <v>525000</v>
      </c>
    </row>
    <row r="67" spans="1:7" ht="28.8" x14ac:dyDescent="0.55000000000000004">
      <c r="A67" s="12"/>
      <c r="B67" s="13"/>
      <c r="C67" s="10"/>
      <c r="D67" s="10"/>
      <c r="E67" s="7">
        <f>$I$2+(AHMADWESLAKE[[#This Row],[QUANTITE]]*AHMADWESLAKE[[#This Row],[PRIX UNITAIRE]])</f>
        <v>0</v>
      </c>
      <c r="F67" s="14"/>
      <c r="G67" s="6">
        <f>+SUM(E$9:$E67)-SUM(F$9:$F67)</f>
        <v>525000</v>
      </c>
    </row>
    <row r="68" spans="1:7" ht="28.8" x14ac:dyDescent="0.55000000000000004">
      <c r="A68" s="12"/>
      <c r="B68" s="13"/>
      <c r="C68" s="10"/>
      <c r="D68" s="10"/>
      <c r="E68" s="7">
        <f>$I$2+(AHMADWESLAKE[[#This Row],[QUANTITE]]*AHMADWESLAKE[[#This Row],[PRIX UNITAIRE]])</f>
        <v>0</v>
      </c>
      <c r="F68" s="14"/>
      <c r="G68" s="6">
        <f>+SUM(E$9:$E68)-SUM(F$9:$F68)</f>
        <v>525000</v>
      </c>
    </row>
    <row r="69" spans="1:7" ht="28.8" x14ac:dyDescent="0.55000000000000004">
      <c r="A69" s="12"/>
      <c r="B69" s="13"/>
      <c r="C69" s="10"/>
      <c r="D69" s="10"/>
      <c r="E69" s="7">
        <f>$I$2+(AHMADWESLAKE[[#This Row],[QUANTITE]]*AHMADWESLAKE[[#This Row],[PRIX UNITAIRE]])</f>
        <v>0</v>
      </c>
      <c r="F69" s="14"/>
      <c r="G69" s="6">
        <f>+SUM(E$9:$E69)-SUM(F$9:$F69)</f>
        <v>525000</v>
      </c>
    </row>
    <row r="70" spans="1:7" ht="28.8" x14ac:dyDescent="0.55000000000000004">
      <c r="A70" s="12"/>
      <c r="B70" s="13"/>
      <c r="C70" s="10"/>
      <c r="D70" s="10"/>
      <c r="E70" s="7">
        <f>$I$2+(AHMADWESLAKE[[#This Row],[QUANTITE]]*AHMADWESLAKE[[#This Row],[PRIX UNITAIRE]])</f>
        <v>0</v>
      </c>
      <c r="F70" s="14"/>
      <c r="G70" s="6">
        <f>+SUM(E$9:$E70)-SUM(F$9:$F70)</f>
        <v>525000</v>
      </c>
    </row>
    <row r="71" spans="1:7" ht="28.8" x14ac:dyDescent="0.55000000000000004">
      <c r="A71" s="12"/>
      <c r="B71" s="13"/>
      <c r="C71" s="10"/>
      <c r="D71" s="10"/>
      <c r="E71" s="7">
        <f>$I$2+(AHMADWESLAKE[[#This Row],[QUANTITE]]*AHMADWESLAKE[[#This Row],[PRIX UNITAIRE]])</f>
        <v>0</v>
      </c>
      <c r="F71" s="14"/>
      <c r="G71" s="6">
        <f>+SUM(E$9:$E71)-SUM(F$9:$F71)</f>
        <v>525000</v>
      </c>
    </row>
    <row r="72" spans="1:7" ht="28.8" x14ac:dyDescent="0.55000000000000004">
      <c r="A72" s="12"/>
      <c r="B72" s="13"/>
      <c r="C72" s="10"/>
      <c r="D72" s="10"/>
      <c r="E72" s="7">
        <f>$I$2+(AHMADWESLAKE[[#This Row],[QUANTITE]]*AHMADWESLAKE[[#This Row],[PRIX UNITAIRE]])</f>
        <v>0</v>
      </c>
      <c r="F72" s="14"/>
      <c r="G72" s="6">
        <f>+SUM(E$9:$E72)-SUM(F$9:$F72)</f>
        <v>525000</v>
      </c>
    </row>
    <row r="73" spans="1:7" ht="28.8" x14ac:dyDescent="0.55000000000000004">
      <c r="A73" s="12"/>
      <c r="B73" s="13"/>
      <c r="C73" s="10"/>
      <c r="D73" s="10"/>
      <c r="E73" s="7">
        <f>$I$2+(AHMADWESLAKE[[#This Row],[QUANTITE]]*AHMADWESLAKE[[#This Row],[PRIX UNITAIRE]])</f>
        <v>0</v>
      </c>
      <c r="F73" s="14"/>
      <c r="G73" s="6">
        <f>+SUM(E$9:$E73)-SUM(F$9:$F73)</f>
        <v>525000</v>
      </c>
    </row>
    <row r="74" spans="1:7" ht="28.8" x14ac:dyDescent="0.55000000000000004">
      <c r="A74" s="12"/>
      <c r="B74" s="13"/>
      <c r="C74" s="10"/>
      <c r="D74" s="10"/>
      <c r="E74" s="7">
        <f>$I$2+(AHMADWESLAKE[[#This Row],[QUANTITE]]*AHMADWESLAKE[[#This Row],[PRIX UNITAIRE]])</f>
        <v>0</v>
      </c>
      <c r="F74" s="14"/>
      <c r="G74" s="6">
        <f>+SUM(E$9:$E74)-SUM(F$9:$F74)</f>
        <v>525000</v>
      </c>
    </row>
    <row r="75" spans="1:7" ht="28.8" x14ac:dyDescent="0.55000000000000004">
      <c r="A75" s="12"/>
      <c r="B75" s="13"/>
      <c r="C75" s="10"/>
      <c r="D75" s="10"/>
      <c r="E75" s="7">
        <f>$I$2+(AHMADWESLAKE[[#This Row],[QUANTITE]]*AHMADWESLAKE[[#This Row],[PRIX UNITAIRE]])</f>
        <v>0</v>
      </c>
      <c r="F75" s="14"/>
      <c r="G75" s="6">
        <f>+SUM(E$9:$E75)-SUM(F$9:$F75)</f>
        <v>525000</v>
      </c>
    </row>
    <row r="76" spans="1:7" ht="28.8" x14ac:dyDescent="0.55000000000000004">
      <c r="A76" s="12"/>
      <c r="B76" s="13"/>
      <c r="C76" s="10"/>
      <c r="D76" s="10"/>
      <c r="E76" s="7">
        <f>$I$2+(AHMADWESLAKE[[#This Row],[QUANTITE]]*AHMADWESLAKE[[#This Row],[PRIX UNITAIRE]])</f>
        <v>0</v>
      </c>
      <c r="F76" s="14"/>
      <c r="G76" s="6">
        <f>+SUM(E$9:$E76)-SUM(F$9:$F76)</f>
        <v>525000</v>
      </c>
    </row>
    <row r="77" spans="1:7" ht="28.8" x14ac:dyDescent="0.55000000000000004">
      <c r="A77" s="12"/>
      <c r="B77" s="13"/>
      <c r="C77" s="10"/>
      <c r="D77" s="10"/>
      <c r="E77" s="7">
        <f>$I$2+(AHMADWESLAKE[[#This Row],[QUANTITE]]*AHMADWESLAKE[[#This Row],[PRIX UNITAIRE]])</f>
        <v>0</v>
      </c>
      <c r="F77" s="14"/>
      <c r="G77" s="6">
        <f>+SUM(E$9:$E77)-SUM(F$9:$F77)</f>
        <v>525000</v>
      </c>
    </row>
  </sheetData>
  <sheetProtection selectLockedCells="1" autoFilter="0"/>
  <mergeCells count="1">
    <mergeCell ref="B6:C6"/>
  </mergeCells>
  <conditionalFormatting sqref="B9:B77">
    <cfRule type="expression" dxfId="386" priority="6">
      <formula>$F9</formula>
    </cfRule>
  </conditionalFormatting>
  <conditionalFormatting sqref="D6">
    <cfRule type="expression" dxfId="385" priority="1">
      <formula>$F6</formula>
    </cfRule>
  </conditionalFormatting>
  <conditionalFormatting sqref="G4">
    <cfRule type="cellIs" dxfId="384" priority="3" operator="lessThan">
      <formula>0</formula>
    </cfRule>
    <cfRule type="cellIs" dxfId="383" priority="4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I70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 activeCell="D24" sqref="D24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+SUM(IRA[TOTAL MONTANT])</f>
        <v>1770000</v>
      </c>
      <c r="F4" s="39">
        <f>+SUM(IRA[VERSEMENT])</f>
        <v>1550000</v>
      </c>
      <c r="G4" s="97">
        <f>+E4-F4</f>
        <v>220000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173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46079</v>
      </c>
      <c r="B9" s="13" t="s">
        <v>164</v>
      </c>
      <c r="C9" s="10">
        <v>2</v>
      </c>
      <c r="D9" s="10">
        <v>125000</v>
      </c>
      <c r="E9" s="7">
        <v>250000</v>
      </c>
      <c r="F9" s="14">
        <v>0</v>
      </c>
      <c r="G9" s="6">
        <f>+SUM(E$9:$E9)-SUM(F$9:$F9)</f>
        <v>250000</v>
      </c>
    </row>
    <row r="10" spans="1:9" ht="28.8" x14ac:dyDescent="0.55000000000000004">
      <c r="A10" s="12">
        <v>46079</v>
      </c>
      <c r="B10" s="13" t="s">
        <v>165</v>
      </c>
      <c r="C10" s="10">
        <v>2</v>
      </c>
      <c r="D10" s="10">
        <v>85000</v>
      </c>
      <c r="E10" s="7">
        <v>170000</v>
      </c>
      <c r="F10" s="14">
        <v>0</v>
      </c>
      <c r="G10" s="6">
        <f>+SUM(E$9:$E10)-SUM(F$9:$F10)</f>
        <v>420000</v>
      </c>
    </row>
    <row r="11" spans="1:9" ht="28.8" x14ac:dyDescent="0.55000000000000004">
      <c r="A11" s="12">
        <v>46080</v>
      </c>
      <c r="B11" s="13" t="s">
        <v>166</v>
      </c>
      <c r="C11" s="10">
        <v>2</v>
      </c>
      <c r="D11" s="10">
        <v>0</v>
      </c>
      <c r="E11" s="7">
        <v>0</v>
      </c>
      <c r="F11" s="14">
        <v>250000</v>
      </c>
      <c r="G11" s="6">
        <f>+SUM(E$9:$E11)-SUM(F$9:$F11)</f>
        <v>170000</v>
      </c>
    </row>
    <row r="12" spans="1:9" ht="28.8" x14ac:dyDescent="0.55000000000000004">
      <c r="A12" s="12">
        <v>46083</v>
      </c>
      <c r="B12" s="13" t="s">
        <v>167</v>
      </c>
      <c r="C12" s="10">
        <v>1</v>
      </c>
      <c r="D12" s="10">
        <v>130000</v>
      </c>
      <c r="E12" s="7">
        <v>130000</v>
      </c>
      <c r="F12" s="14">
        <v>0</v>
      </c>
      <c r="G12" s="6">
        <f>+SUM(E$9:$E12)-SUM(F$9:$F12)</f>
        <v>300000</v>
      </c>
    </row>
    <row r="13" spans="1:9" ht="28.8" x14ac:dyDescent="0.55000000000000004">
      <c r="A13" s="12">
        <v>46084</v>
      </c>
      <c r="B13" s="13" t="s">
        <v>168</v>
      </c>
      <c r="C13" s="10">
        <v>2</v>
      </c>
      <c r="D13" s="10">
        <v>0</v>
      </c>
      <c r="E13" s="7">
        <v>0</v>
      </c>
      <c r="F13" s="14">
        <v>170000</v>
      </c>
      <c r="G13" s="6">
        <f>+SUM(E$9:$E13)-SUM(F$9:$F13)</f>
        <v>130000</v>
      </c>
    </row>
    <row r="14" spans="1:9" ht="28.8" x14ac:dyDescent="0.55000000000000004">
      <c r="A14" s="12" t="s">
        <v>169</v>
      </c>
      <c r="B14" s="13" t="s">
        <v>11</v>
      </c>
      <c r="C14" s="10">
        <v>1</v>
      </c>
      <c r="D14" s="10">
        <v>0</v>
      </c>
      <c r="E14" s="7">
        <v>0</v>
      </c>
      <c r="F14" s="14">
        <v>130000</v>
      </c>
      <c r="G14" s="6">
        <f>+SUM(E$9:$E14)-SUM(F$9:$F14)</f>
        <v>0</v>
      </c>
    </row>
    <row r="15" spans="1:9" ht="28.8" x14ac:dyDescent="0.55000000000000004">
      <c r="A15" s="12">
        <v>46092</v>
      </c>
      <c r="B15" s="13" t="s">
        <v>170</v>
      </c>
      <c r="C15" s="10">
        <v>2</v>
      </c>
      <c r="D15" s="10">
        <v>150000</v>
      </c>
      <c r="E15" s="7">
        <v>300000</v>
      </c>
      <c r="F15" s="14">
        <v>0</v>
      </c>
      <c r="G15" s="6">
        <f>+SUM(E$9:$E15)-SUM(F$9:$F15)</f>
        <v>300000</v>
      </c>
    </row>
    <row r="16" spans="1:9" ht="28.8" x14ac:dyDescent="0.55000000000000004">
      <c r="A16" s="12">
        <v>46098</v>
      </c>
      <c r="B16" s="13" t="s">
        <v>171</v>
      </c>
      <c r="C16" s="10">
        <v>2</v>
      </c>
      <c r="D16" s="10">
        <v>200000</v>
      </c>
      <c r="E16" s="7">
        <v>400000</v>
      </c>
      <c r="F16" s="14">
        <v>0</v>
      </c>
      <c r="G16" s="6">
        <f>+SUM(E$9:$E16)-SUM(F$9:$F16)</f>
        <v>700000</v>
      </c>
    </row>
    <row r="17" spans="1:7" ht="28.8" x14ac:dyDescent="0.55000000000000004">
      <c r="A17" s="12">
        <v>46098</v>
      </c>
      <c r="B17" s="13" t="s">
        <v>172</v>
      </c>
      <c r="C17" s="10">
        <v>1</v>
      </c>
      <c r="D17" s="10">
        <v>340000</v>
      </c>
      <c r="E17" s="7">
        <v>340000</v>
      </c>
      <c r="F17" s="14">
        <v>0</v>
      </c>
      <c r="G17" s="6">
        <f>+SUM(E$9:$E17)-SUM(F$9:$F17)</f>
        <v>1040000</v>
      </c>
    </row>
    <row r="18" spans="1:7" ht="28.8" x14ac:dyDescent="0.55000000000000004">
      <c r="A18" s="12">
        <v>46099</v>
      </c>
      <c r="B18" s="13" t="s">
        <v>206</v>
      </c>
      <c r="C18" s="10">
        <v>2</v>
      </c>
      <c r="D18" s="10">
        <v>90000</v>
      </c>
      <c r="E18" s="7">
        <v>180000</v>
      </c>
      <c r="F18" s="14">
        <v>0</v>
      </c>
      <c r="G18" s="6">
        <f>+SUM(E$9:$E18)-SUM(F$9:$F18)</f>
        <v>1220000</v>
      </c>
    </row>
    <row r="19" spans="1:7" ht="28.8" x14ac:dyDescent="0.55000000000000004">
      <c r="A19" s="12">
        <v>46099</v>
      </c>
      <c r="B19" s="13" t="s">
        <v>11</v>
      </c>
      <c r="C19" s="10">
        <v>1</v>
      </c>
      <c r="D19" s="10">
        <v>0</v>
      </c>
      <c r="E19" s="7">
        <v>0</v>
      </c>
      <c r="F19" s="14">
        <v>1000000</v>
      </c>
      <c r="G19" s="6">
        <f>+SUM(E$9:$E19)-SUM(F$9:$F19)</f>
        <v>220000</v>
      </c>
    </row>
    <row r="20" spans="1:7" ht="28.8" x14ac:dyDescent="0.55000000000000004">
      <c r="A20" s="12"/>
      <c r="B20" s="13"/>
      <c r="C20" s="10"/>
      <c r="D20" s="10"/>
      <c r="E20" s="7">
        <f>+$I$2+(IRA[[#This Row],[QUANTITE]]*IRA[[#This Row],[PRIX UNITAIRE]])</f>
        <v>0</v>
      </c>
      <c r="F20" s="14"/>
      <c r="G20" s="6">
        <f>+SUM(E$9:$E20)-SUM(F$9:$F20)</f>
        <v>220000</v>
      </c>
    </row>
    <row r="21" spans="1:7" ht="28.8" x14ac:dyDescent="0.55000000000000004">
      <c r="A21" s="12"/>
      <c r="B21" s="13"/>
      <c r="C21" s="10"/>
      <c r="D21" s="10"/>
      <c r="E21" s="7">
        <f>+$I$2+(IRA[[#This Row],[QUANTITE]]*IRA[[#This Row],[PRIX UNITAIRE]])</f>
        <v>0</v>
      </c>
      <c r="F21" s="14"/>
      <c r="G21" s="6">
        <f>+SUM(E$9:$E21)-SUM(F$9:$F21)</f>
        <v>220000</v>
      </c>
    </row>
    <row r="22" spans="1:7" ht="28.8" x14ac:dyDescent="0.55000000000000004">
      <c r="A22" s="12"/>
      <c r="B22" s="13"/>
      <c r="C22" s="10"/>
      <c r="D22" s="10"/>
      <c r="E22" s="7">
        <f>+$I$2+(IRA[[#This Row],[QUANTITE]]*IRA[[#This Row],[PRIX UNITAIRE]])</f>
        <v>0</v>
      </c>
      <c r="F22" s="14"/>
      <c r="G22" s="6">
        <f>+SUM(E$9:$E22)-SUM(F$9:$F22)</f>
        <v>220000</v>
      </c>
    </row>
    <row r="23" spans="1:7" ht="28.8" x14ac:dyDescent="0.55000000000000004">
      <c r="A23" s="12"/>
      <c r="B23" s="13"/>
      <c r="C23" s="10"/>
      <c r="D23" s="10"/>
      <c r="E23" s="7">
        <f>+$I$2+(IRA[[#This Row],[QUANTITE]]*IRA[[#This Row],[PRIX UNITAIRE]])</f>
        <v>0</v>
      </c>
      <c r="F23" s="14"/>
      <c r="G23" s="6">
        <f>+SUM(E$9:$E23)-SUM(F$9:$F23)</f>
        <v>220000</v>
      </c>
    </row>
    <row r="24" spans="1:7" ht="28.8" x14ac:dyDescent="0.55000000000000004">
      <c r="A24" s="12"/>
      <c r="B24" s="13"/>
      <c r="C24" s="10"/>
      <c r="D24" s="10"/>
      <c r="E24" s="7">
        <f>+$I$2+(IRA[[#This Row],[QUANTITE]]*IRA[[#This Row],[PRIX UNITAIRE]])</f>
        <v>0</v>
      </c>
      <c r="F24" s="14"/>
      <c r="G24" s="6">
        <f>+SUM(E$9:$E24)-SUM(F$9:$F24)</f>
        <v>220000</v>
      </c>
    </row>
    <row r="25" spans="1:7" ht="28.8" x14ac:dyDescent="0.55000000000000004">
      <c r="A25" s="12"/>
      <c r="B25" s="13"/>
      <c r="C25" s="10"/>
      <c r="D25" s="10"/>
      <c r="E25" s="7">
        <f>+$I$2+(IRA[[#This Row],[QUANTITE]]*IRA[[#This Row],[PRIX UNITAIRE]])</f>
        <v>0</v>
      </c>
      <c r="F25" s="14"/>
      <c r="G25" s="6">
        <f>+SUM(E$9:$E25)-SUM(F$9:$F25)</f>
        <v>220000</v>
      </c>
    </row>
    <row r="26" spans="1:7" ht="28.8" x14ac:dyDescent="0.55000000000000004">
      <c r="A26" s="12"/>
      <c r="B26" s="13"/>
      <c r="C26" s="10"/>
      <c r="D26" s="10"/>
      <c r="E26" s="7">
        <f>+$I$2+(IRA[[#This Row],[QUANTITE]]*IRA[[#This Row],[PRIX UNITAIRE]])</f>
        <v>0</v>
      </c>
      <c r="F26" s="14"/>
      <c r="G26" s="6">
        <f>+SUM(E$9:$E26)-SUM(F$9:$F26)</f>
        <v>220000</v>
      </c>
    </row>
    <row r="27" spans="1:7" ht="28.8" x14ac:dyDescent="0.55000000000000004">
      <c r="A27" s="12"/>
      <c r="B27" s="13"/>
      <c r="C27" s="10"/>
      <c r="D27" s="10"/>
      <c r="E27" s="7">
        <f>+$I$2+(IRA[[#This Row],[QUANTITE]]*IRA[[#This Row],[PRIX UNITAIRE]])</f>
        <v>0</v>
      </c>
      <c r="F27" s="14"/>
      <c r="G27" s="6">
        <f>+SUM(E$9:$E27)-SUM(F$9:$F27)</f>
        <v>220000</v>
      </c>
    </row>
    <row r="28" spans="1:7" ht="28.8" x14ac:dyDescent="0.55000000000000004">
      <c r="A28" s="12"/>
      <c r="B28" s="13"/>
      <c r="C28" s="10"/>
      <c r="D28" s="10"/>
      <c r="E28" s="7">
        <f>+$I$2+(IRA[[#This Row],[QUANTITE]]*IRA[[#This Row],[PRIX UNITAIRE]])</f>
        <v>0</v>
      </c>
      <c r="F28" s="14"/>
      <c r="G28" s="6">
        <f>+SUM(E$9:$E28)-SUM(F$9:$F28)</f>
        <v>220000</v>
      </c>
    </row>
    <row r="29" spans="1:7" ht="28.8" x14ac:dyDescent="0.55000000000000004">
      <c r="A29" s="12"/>
      <c r="B29" s="13"/>
      <c r="C29" s="10"/>
      <c r="D29" s="10"/>
      <c r="E29" s="7">
        <f>+$I$2+(IRA[[#This Row],[QUANTITE]]*IRA[[#This Row],[PRIX UNITAIRE]])</f>
        <v>0</v>
      </c>
      <c r="F29" s="14"/>
      <c r="G29" s="6">
        <f>+SUM(E$9:$E29)-SUM(F$9:$F29)</f>
        <v>220000</v>
      </c>
    </row>
    <row r="30" spans="1:7" ht="28.8" x14ac:dyDescent="0.55000000000000004">
      <c r="A30" s="12"/>
      <c r="B30" s="13"/>
      <c r="C30" s="10"/>
      <c r="D30" s="10"/>
      <c r="E30" s="7">
        <f>+$I$2+(IRA[[#This Row],[QUANTITE]]*IRA[[#This Row],[PRIX UNITAIRE]])</f>
        <v>0</v>
      </c>
      <c r="F30" s="14"/>
      <c r="G30" s="6">
        <f>+SUM(E$9:$E30)-SUM(F$9:$F30)</f>
        <v>220000</v>
      </c>
    </row>
    <row r="31" spans="1:7" ht="28.8" x14ac:dyDescent="0.55000000000000004">
      <c r="A31" s="12"/>
      <c r="B31" s="13"/>
      <c r="C31" s="10"/>
      <c r="D31" s="10"/>
      <c r="E31" s="7">
        <f>+$I$2+(IRA[[#This Row],[QUANTITE]]*IRA[[#This Row],[PRIX UNITAIRE]])</f>
        <v>0</v>
      </c>
      <c r="F31" s="14"/>
      <c r="G31" s="6">
        <f>+SUM(E$9:$E31)-SUM(F$9:$F31)</f>
        <v>220000</v>
      </c>
    </row>
    <row r="32" spans="1:7" ht="28.8" x14ac:dyDescent="0.55000000000000004">
      <c r="A32" s="12"/>
      <c r="B32" s="13"/>
      <c r="C32" s="10"/>
      <c r="D32" s="10"/>
      <c r="E32" s="7">
        <f>+$I$2+(IRA[[#This Row],[QUANTITE]]*IRA[[#This Row],[PRIX UNITAIRE]])</f>
        <v>0</v>
      </c>
      <c r="F32" s="14"/>
      <c r="G32" s="6">
        <f>+SUM(E$9:$E32)-SUM(F$9:$F32)</f>
        <v>220000</v>
      </c>
    </row>
    <row r="33" spans="1:7" ht="28.8" x14ac:dyDescent="0.55000000000000004">
      <c r="A33" s="12"/>
      <c r="B33" s="13"/>
      <c r="C33" s="10"/>
      <c r="D33" s="10"/>
      <c r="E33" s="7">
        <f>+$I$2+(IRA[[#This Row],[QUANTITE]]*IRA[[#This Row],[PRIX UNITAIRE]])</f>
        <v>0</v>
      </c>
      <c r="F33" s="14"/>
      <c r="G33" s="6">
        <f>+SUM(E$9:$E33)-SUM(F$9:$F33)</f>
        <v>220000</v>
      </c>
    </row>
    <row r="34" spans="1:7" ht="28.8" x14ac:dyDescent="0.55000000000000004">
      <c r="A34" s="12"/>
      <c r="B34" s="13"/>
      <c r="C34" s="10"/>
      <c r="D34" s="10"/>
      <c r="E34" s="7">
        <f>+$I$2+(IRA[[#This Row],[QUANTITE]]*IRA[[#This Row],[PRIX UNITAIRE]])</f>
        <v>0</v>
      </c>
      <c r="F34" s="14"/>
      <c r="G34" s="6">
        <f>+SUM(E$9:$E34)-SUM(F$9:$F34)</f>
        <v>220000</v>
      </c>
    </row>
    <row r="35" spans="1:7" ht="28.8" x14ac:dyDescent="0.55000000000000004">
      <c r="A35" s="12"/>
      <c r="B35" s="13"/>
      <c r="C35" s="10"/>
      <c r="D35" s="10"/>
      <c r="E35" s="7">
        <f>+$I$2+(IRA[[#This Row],[QUANTITE]]*IRA[[#This Row],[PRIX UNITAIRE]])</f>
        <v>0</v>
      </c>
      <c r="F35" s="14"/>
      <c r="G35" s="6">
        <f>+SUM(E$9:$E35)-SUM(F$9:$F35)</f>
        <v>220000</v>
      </c>
    </row>
    <row r="36" spans="1:7" ht="28.8" x14ac:dyDescent="0.55000000000000004">
      <c r="A36" s="12"/>
      <c r="B36" s="13"/>
      <c r="C36" s="10"/>
      <c r="D36" s="10"/>
      <c r="E36" s="7">
        <f>+$I$2+(IRA[[#This Row],[QUANTITE]]*IRA[[#This Row],[PRIX UNITAIRE]])</f>
        <v>0</v>
      </c>
      <c r="F36" s="14"/>
      <c r="G36" s="6">
        <f>+SUM(E$9:$E36)-SUM(F$9:$F36)</f>
        <v>220000</v>
      </c>
    </row>
    <row r="37" spans="1:7" ht="28.8" x14ac:dyDescent="0.55000000000000004">
      <c r="A37" s="12"/>
      <c r="B37" s="13"/>
      <c r="C37" s="10"/>
      <c r="D37" s="10"/>
      <c r="E37" s="7">
        <f>+$I$2+(IRA[[#This Row],[QUANTITE]]*IRA[[#This Row],[PRIX UNITAIRE]])</f>
        <v>0</v>
      </c>
      <c r="F37" s="14"/>
      <c r="G37" s="6">
        <f>+SUM(E$9:$E37)-SUM(F$9:$F37)</f>
        <v>220000</v>
      </c>
    </row>
    <row r="38" spans="1:7" ht="28.8" x14ac:dyDescent="0.55000000000000004">
      <c r="A38" s="12"/>
      <c r="B38" s="13"/>
      <c r="C38" s="10"/>
      <c r="D38" s="10"/>
      <c r="E38" s="7">
        <f>+$I$2+(IRA[[#This Row],[QUANTITE]]*IRA[[#This Row],[PRIX UNITAIRE]])</f>
        <v>0</v>
      </c>
      <c r="F38" s="14"/>
      <c r="G38" s="6">
        <f>+SUM(E$9:$E38)-SUM(F$9:$F38)</f>
        <v>220000</v>
      </c>
    </row>
    <row r="39" spans="1:7" ht="28.8" x14ac:dyDescent="0.55000000000000004">
      <c r="A39" s="12"/>
      <c r="B39" s="13"/>
      <c r="C39" s="10"/>
      <c r="D39" s="10"/>
      <c r="E39" s="7">
        <f>+$I$2+(IRA[[#This Row],[QUANTITE]]*IRA[[#This Row],[PRIX UNITAIRE]])</f>
        <v>0</v>
      </c>
      <c r="F39" s="14"/>
      <c r="G39" s="6">
        <f>+SUM(E$9:$E39)-SUM(F$9:$F39)</f>
        <v>220000</v>
      </c>
    </row>
    <row r="40" spans="1:7" ht="28.8" x14ac:dyDescent="0.55000000000000004">
      <c r="A40" s="12"/>
      <c r="B40" s="13"/>
      <c r="C40" s="10"/>
      <c r="D40" s="10"/>
      <c r="E40" s="7">
        <f>+$I$2+(IRA[[#This Row],[QUANTITE]]*IRA[[#This Row],[PRIX UNITAIRE]])</f>
        <v>0</v>
      </c>
      <c r="F40" s="14"/>
      <c r="G40" s="6">
        <f>+SUM(E$9:$E40)-SUM(F$9:$F40)</f>
        <v>220000</v>
      </c>
    </row>
    <row r="41" spans="1:7" ht="28.8" x14ac:dyDescent="0.55000000000000004">
      <c r="A41" s="12"/>
      <c r="B41" s="13"/>
      <c r="C41" s="10"/>
      <c r="D41" s="10"/>
      <c r="E41" s="7">
        <f>+$I$2+(IRA[[#This Row],[QUANTITE]]*IRA[[#This Row],[PRIX UNITAIRE]])</f>
        <v>0</v>
      </c>
      <c r="F41" s="14"/>
      <c r="G41" s="6">
        <f>+SUM(E$9:$E41)-SUM(F$9:$F41)</f>
        <v>220000</v>
      </c>
    </row>
    <row r="42" spans="1:7" ht="28.8" x14ac:dyDescent="0.55000000000000004">
      <c r="A42" s="12"/>
      <c r="B42" s="13"/>
      <c r="C42" s="10"/>
      <c r="D42" s="10"/>
      <c r="E42" s="7">
        <f>+$I$2+(IRA[[#This Row],[QUANTITE]]*IRA[[#This Row],[PRIX UNITAIRE]])</f>
        <v>0</v>
      </c>
      <c r="F42" s="14"/>
      <c r="G42" s="6">
        <f>+SUM(E$9:$E42)-SUM(F$9:$F42)</f>
        <v>220000</v>
      </c>
    </row>
    <row r="43" spans="1:7" ht="28.8" x14ac:dyDescent="0.55000000000000004">
      <c r="A43" s="12"/>
      <c r="B43" s="13"/>
      <c r="C43" s="10"/>
      <c r="D43" s="10"/>
      <c r="E43" s="7">
        <f>+$I$2+(IRA[[#This Row],[QUANTITE]]*IRA[[#This Row],[PRIX UNITAIRE]])</f>
        <v>0</v>
      </c>
      <c r="F43" s="14"/>
      <c r="G43" s="6">
        <f>+SUM(E$9:$E43)-SUM(F$9:$F43)</f>
        <v>220000</v>
      </c>
    </row>
    <row r="44" spans="1:7" ht="28.8" x14ac:dyDescent="0.55000000000000004">
      <c r="A44" s="12"/>
      <c r="B44" s="13"/>
      <c r="C44" s="10"/>
      <c r="D44" s="10"/>
      <c r="E44" s="7">
        <f>+$I$2+(IRA[[#This Row],[QUANTITE]]*IRA[[#This Row],[PRIX UNITAIRE]])</f>
        <v>0</v>
      </c>
      <c r="F44" s="14"/>
      <c r="G44" s="6">
        <f>+SUM(E$9:$E44)-SUM(F$9:$F44)</f>
        <v>220000</v>
      </c>
    </row>
    <row r="45" spans="1:7" ht="28.8" x14ac:dyDescent="0.55000000000000004">
      <c r="A45" s="12"/>
      <c r="B45" s="13"/>
      <c r="C45" s="10"/>
      <c r="D45" s="10"/>
      <c r="E45" s="7">
        <f>+$I$2+(IRA[[#This Row],[QUANTITE]]*IRA[[#This Row],[PRIX UNITAIRE]])</f>
        <v>0</v>
      </c>
      <c r="F45" s="14"/>
      <c r="G45" s="6">
        <f>+SUM(E$9:$E45)-SUM(F$9:$F45)</f>
        <v>220000</v>
      </c>
    </row>
    <row r="46" spans="1:7" ht="28.8" x14ac:dyDescent="0.55000000000000004">
      <c r="A46" s="12"/>
      <c r="B46" s="13"/>
      <c r="C46" s="10"/>
      <c r="D46" s="10"/>
      <c r="E46" s="7">
        <f>+$I$2+(IRA[[#This Row],[QUANTITE]]*IRA[[#This Row],[PRIX UNITAIRE]])</f>
        <v>0</v>
      </c>
      <c r="F46" s="14"/>
      <c r="G46" s="6">
        <f>+SUM(E$9:$E46)-SUM(F$9:$F46)</f>
        <v>220000</v>
      </c>
    </row>
    <row r="47" spans="1:7" ht="28.8" x14ac:dyDescent="0.55000000000000004">
      <c r="A47" s="12"/>
      <c r="B47" s="13"/>
      <c r="C47" s="10"/>
      <c r="D47" s="10"/>
      <c r="E47" s="7">
        <f>+$I$2+(IRA[[#This Row],[QUANTITE]]*IRA[[#This Row],[PRIX UNITAIRE]])</f>
        <v>0</v>
      </c>
      <c r="F47" s="14"/>
      <c r="G47" s="6">
        <f>+SUM(E$9:$E47)-SUM(F$9:$F47)</f>
        <v>220000</v>
      </c>
    </row>
    <row r="48" spans="1:7" ht="28.8" x14ac:dyDescent="0.55000000000000004">
      <c r="A48" s="12"/>
      <c r="B48" s="13"/>
      <c r="C48" s="10"/>
      <c r="D48" s="10"/>
      <c r="E48" s="7">
        <f>+$I$2+(IRA[[#This Row],[QUANTITE]]*IRA[[#This Row],[PRIX UNITAIRE]])</f>
        <v>0</v>
      </c>
      <c r="F48" s="14"/>
      <c r="G48" s="6">
        <f>+SUM(E$9:$E48)-SUM(F$9:$F48)</f>
        <v>220000</v>
      </c>
    </row>
    <row r="49" spans="1:7" ht="28.8" x14ac:dyDescent="0.55000000000000004">
      <c r="A49" s="12"/>
      <c r="B49" s="13"/>
      <c r="C49" s="10"/>
      <c r="D49" s="10"/>
      <c r="E49" s="7">
        <f>+$I$2+(IRA[[#This Row],[QUANTITE]]*IRA[[#This Row],[PRIX UNITAIRE]])</f>
        <v>0</v>
      </c>
      <c r="F49" s="14"/>
      <c r="G49" s="6">
        <f>+SUM(E$9:$E49)-SUM(F$9:$F49)</f>
        <v>220000</v>
      </c>
    </row>
    <row r="50" spans="1:7" ht="28.8" x14ac:dyDescent="0.55000000000000004">
      <c r="A50" s="12"/>
      <c r="B50" s="13"/>
      <c r="C50" s="10"/>
      <c r="D50" s="10"/>
      <c r="E50" s="7">
        <f>+$I$2+(IRA[[#This Row],[QUANTITE]]*IRA[[#This Row],[PRIX UNITAIRE]])</f>
        <v>0</v>
      </c>
      <c r="F50" s="14"/>
      <c r="G50" s="6">
        <f>+SUM(E$9:$E50)-SUM(F$9:$F50)</f>
        <v>220000</v>
      </c>
    </row>
    <row r="51" spans="1:7" ht="28.8" x14ac:dyDescent="0.55000000000000004">
      <c r="A51" s="12"/>
      <c r="B51" s="13"/>
      <c r="C51" s="10"/>
      <c r="D51" s="10"/>
      <c r="E51" s="7">
        <f>+$I$2+(IRA[[#This Row],[QUANTITE]]*IRA[[#This Row],[PRIX UNITAIRE]])</f>
        <v>0</v>
      </c>
      <c r="F51" s="14"/>
      <c r="G51" s="6">
        <f>+SUM(E$9:$E51)-SUM(F$9:$F51)</f>
        <v>220000</v>
      </c>
    </row>
    <row r="52" spans="1:7" ht="28.8" x14ac:dyDescent="0.55000000000000004">
      <c r="A52" s="12"/>
      <c r="B52" s="13"/>
      <c r="C52" s="10"/>
      <c r="D52" s="10"/>
      <c r="E52" s="7">
        <f>+$I$2+(IRA[[#This Row],[QUANTITE]]*IRA[[#This Row],[PRIX UNITAIRE]])</f>
        <v>0</v>
      </c>
      <c r="F52" s="14"/>
      <c r="G52" s="6">
        <f>+SUM(E$9:$E52)-SUM(F$9:$F52)</f>
        <v>220000</v>
      </c>
    </row>
    <row r="53" spans="1:7" ht="28.8" x14ac:dyDescent="0.55000000000000004">
      <c r="A53" s="12"/>
      <c r="B53" s="13"/>
      <c r="C53" s="10"/>
      <c r="D53" s="10"/>
      <c r="E53" s="7">
        <f>+$I$2+(IRA[[#This Row],[QUANTITE]]*IRA[[#This Row],[PRIX UNITAIRE]])</f>
        <v>0</v>
      </c>
      <c r="F53" s="14"/>
      <c r="G53" s="6">
        <f>+SUM(E$9:$E53)-SUM(F$9:$F53)</f>
        <v>220000</v>
      </c>
    </row>
    <row r="54" spans="1:7" ht="28.8" x14ac:dyDescent="0.55000000000000004">
      <c r="A54" s="12"/>
      <c r="B54" s="13"/>
      <c r="C54" s="10"/>
      <c r="D54" s="10"/>
      <c r="E54" s="7">
        <f>+$I$2+(IRA[[#This Row],[QUANTITE]]*IRA[[#This Row],[PRIX UNITAIRE]])</f>
        <v>0</v>
      </c>
      <c r="F54" s="14"/>
      <c r="G54" s="6">
        <f>+SUM(E$9:$E54)-SUM(F$9:$F54)</f>
        <v>220000</v>
      </c>
    </row>
    <row r="55" spans="1:7" ht="28.8" x14ac:dyDescent="0.55000000000000004">
      <c r="A55" s="12"/>
      <c r="B55" s="13"/>
      <c r="C55" s="10"/>
      <c r="D55" s="10"/>
      <c r="E55" s="7">
        <f>+$I$2+(IRA[[#This Row],[QUANTITE]]*IRA[[#This Row],[PRIX UNITAIRE]])</f>
        <v>0</v>
      </c>
      <c r="F55" s="14"/>
      <c r="G55" s="6">
        <f>+SUM(E$9:$E55)-SUM(F$9:$F55)</f>
        <v>220000</v>
      </c>
    </row>
    <row r="56" spans="1:7" ht="28.8" x14ac:dyDescent="0.55000000000000004">
      <c r="A56" s="12"/>
      <c r="B56" s="13"/>
      <c r="C56" s="10"/>
      <c r="D56" s="10"/>
      <c r="E56" s="7">
        <f>+$I$2+(IRA[[#This Row],[QUANTITE]]*IRA[[#This Row],[PRIX UNITAIRE]])</f>
        <v>0</v>
      </c>
      <c r="F56" s="14"/>
      <c r="G56" s="6">
        <f>+SUM(E$9:$E56)-SUM(F$9:$F56)</f>
        <v>220000</v>
      </c>
    </row>
    <row r="57" spans="1:7" ht="28.8" x14ac:dyDescent="0.55000000000000004">
      <c r="A57" s="12"/>
      <c r="B57" s="13"/>
      <c r="C57" s="10"/>
      <c r="D57" s="10"/>
      <c r="E57" s="7">
        <f>+$I$2+(IRA[[#This Row],[QUANTITE]]*IRA[[#This Row],[PRIX UNITAIRE]])</f>
        <v>0</v>
      </c>
      <c r="F57" s="14"/>
      <c r="G57" s="6">
        <f>+SUM(E$9:$E57)-SUM(F$9:$F57)</f>
        <v>220000</v>
      </c>
    </row>
    <row r="58" spans="1:7" ht="28.8" x14ac:dyDescent="0.55000000000000004">
      <c r="A58" s="12"/>
      <c r="B58" s="13"/>
      <c r="C58" s="10"/>
      <c r="D58" s="10"/>
      <c r="E58" s="7">
        <f>+$I$2+(IRA[[#This Row],[QUANTITE]]*IRA[[#This Row],[PRIX UNITAIRE]])</f>
        <v>0</v>
      </c>
      <c r="F58" s="14"/>
      <c r="G58" s="6">
        <f>+SUM(E$9:$E58)-SUM(F$9:$F58)</f>
        <v>220000</v>
      </c>
    </row>
    <row r="59" spans="1:7" ht="28.8" x14ac:dyDescent="0.55000000000000004">
      <c r="A59" s="12"/>
      <c r="B59" s="13"/>
      <c r="C59" s="10"/>
      <c r="D59" s="10"/>
      <c r="E59" s="7">
        <f>+$I$2+(IRA[[#This Row],[QUANTITE]]*IRA[[#This Row],[PRIX UNITAIRE]])</f>
        <v>0</v>
      </c>
      <c r="F59" s="14"/>
      <c r="G59" s="6">
        <f>+SUM(E$9:$E59)-SUM(F$9:$F59)</f>
        <v>220000</v>
      </c>
    </row>
    <row r="60" spans="1:7" ht="28.8" x14ac:dyDescent="0.55000000000000004">
      <c r="A60" s="12"/>
      <c r="B60" s="13"/>
      <c r="C60" s="10"/>
      <c r="D60" s="10"/>
      <c r="E60" s="7">
        <f>+$I$2+(IRA[[#This Row],[QUANTITE]]*IRA[[#This Row],[PRIX UNITAIRE]])</f>
        <v>0</v>
      </c>
      <c r="F60" s="14"/>
      <c r="G60" s="6">
        <f>+SUM(E$9:$E60)-SUM(F$9:$F60)</f>
        <v>220000</v>
      </c>
    </row>
    <row r="61" spans="1:7" ht="28.8" x14ac:dyDescent="0.55000000000000004">
      <c r="A61" s="12"/>
      <c r="B61" s="13"/>
      <c r="C61" s="10"/>
      <c r="D61" s="10"/>
      <c r="E61" s="7">
        <f>+$I$2+(IRA[[#This Row],[QUANTITE]]*IRA[[#This Row],[PRIX UNITAIRE]])</f>
        <v>0</v>
      </c>
      <c r="F61" s="14"/>
      <c r="G61" s="6">
        <f>+SUM(E$9:$E61)-SUM(F$9:$F61)</f>
        <v>220000</v>
      </c>
    </row>
    <row r="62" spans="1:7" ht="28.8" x14ac:dyDescent="0.55000000000000004">
      <c r="A62" s="12"/>
      <c r="B62" s="13"/>
      <c r="C62" s="10"/>
      <c r="D62" s="10"/>
      <c r="E62" s="7">
        <f>+$I$2+(IRA[[#This Row],[QUANTITE]]*IRA[[#This Row],[PRIX UNITAIRE]])</f>
        <v>0</v>
      </c>
      <c r="F62" s="14"/>
      <c r="G62" s="6">
        <f>+SUM(E$9:$E62)-SUM(F$9:$F62)</f>
        <v>220000</v>
      </c>
    </row>
    <row r="63" spans="1:7" ht="28.8" x14ac:dyDescent="0.55000000000000004">
      <c r="A63" s="12"/>
      <c r="B63" s="13"/>
      <c r="C63" s="10"/>
      <c r="D63" s="10"/>
      <c r="E63" s="7">
        <f>+$I$2+(IRA[[#This Row],[QUANTITE]]*IRA[[#This Row],[PRIX UNITAIRE]])</f>
        <v>0</v>
      </c>
      <c r="F63" s="14"/>
      <c r="G63" s="6">
        <f>+SUM(E$9:$E63)-SUM(F$9:$F63)</f>
        <v>220000</v>
      </c>
    </row>
    <row r="64" spans="1:7" ht="28.8" x14ac:dyDescent="0.55000000000000004">
      <c r="A64" s="12"/>
      <c r="B64" s="13"/>
      <c r="C64" s="10"/>
      <c r="D64" s="10"/>
      <c r="E64" s="7">
        <f>+$I$2+(IRA[[#This Row],[QUANTITE]]*IRA[[#This Row],[PRIX UNITAIRE]])</f>
        <v>0</v>
      </c>
      <c r="F64" s="14"/>
      <c r="G64" s="6">
        <f>+SUM(E$9:$E64)-SUM(F$9:$F64)</f>
        <v>220000</v>
      </c>
    </row>
    <row r="65" spans="1:7" ht="28.8" x14ac:dyDescent="0.55000000000000004">
      <c r="A65" s="12"/>
      <c r="B65" s="13"/>
      <c r="C65" s="10"/>
      <c r="D65" s="10"/>
      <c r="E65" s="7">
        <f>+$I$2+(IRA[[#This Row],[QUANTITE]]*IRA[[#This Row],[PRIX UNITAIRE]])</f>
        <v>0</v>
      </c>
      <c r="F65" s="14"/>
      <c r="G65" s="6">
        <f>+SUM(E$9:$E65)-SUM(F$9:$F65)</f>
        <v>220000</v>
      </c>
    </row>
    <row r="66" spans="1:7" ht="28.8" x14ac:dyDescent="0.55000000000000004">
      <c r="A66" s="12"/>
      <c r="B66" s="13"/>
      <c r="C66" s="10"/>
      <c r="D66" s="10"/>
      <c r="E66" s="7">
        <f>+$I$2+(IRA[[#This Row],[QUANTITE]]*IRA[[#This Row],[PRIX UNITAIRE]])</f>
        <v>0</v>
      </c>
      <c r="F66" s="14"/>
      <c r="G66" s="6">
        <f>+SUM(E$9:$E66)-SUM(F$9:$F66)</f>
        <v>220000</v>
      </c>
    </row>
    <row r="67" spans="1:7" ht="28.8" x14ac:dyDescent="0.55000000000000004">
      <c r="A67" s="12"/>
      <c r="B67" s="13"/>
      <c r="C67" s="10"/>
      <c r="D67" s="10"/>
      <c r="E67" s="7">
        <f>+$I$2+(IRA[[#This Row],[QUANTITE]]*IRA[[#This Row],[PRIX UNITAIRE]])</f>
        <v>0</v>
      </c>
      <c r="F67" s="14"/>
      <c r="G67" s="6">
        <f>+SUM(E$9:$E67)-SUM(F$9:$F67)</f>
        <v>220000</v>
      </c>
    </row>
    <row r="68" spans="1:7" ht="28.8" x14ac:dyDescent="0.55000000000000004">
      <c r="A68" s="12"/>
      <c r="B68" s="13"/>
      <c r="C68" s="10"/>
      <c r="D68" s="10"/>
      <c r="E68" s="7">
        <f>+$I$2+(IRA[[#This Row],[QUANTITE]]*IRA[[#This Row],[PRIX UNITAIRE]])</f>
        <v>0</v>
      </c>
      <c r="F68" s="14"/>
      <c r="G68" s="6">
        <f>+SUM(E$9:$E68)-SUM(F$9:$F68)</f>
        <v>220000</v>
      </c>
    </row>
    <row r="69" spans="1:7" ht="28.8" x14ac:dyDescent="0.55000000000000004">
      <c r="A69" s="12"/>
      <c r="B69" s="13"/>
      <c r="C69" s="10"/>
      <c r="D69" s="10"/>
      <c r="E69" s="7">
        <f>+$I$2+(IRA[[#This Row],[QUANTITE]]*IRA[[#This Row],[PRIX UNITAIRE]])</f>
        <v>0</v>
      </c>
      <c r="F69" s="14"/>
      <c r="G69" s="6">
        <f>+SUM(E$9:$E69)-SUM(F$9:$F69)</f>
        <v>220000</v>
      </c>
    </row>
    <row r="70" spans="1:7" ht="28.8" x14ac:dyDescent="0.55000000000000004">
      <c r="A70" s="12"/>
      <c r="B70" s="13"/>
      <c r="C70" s="10"/>
      <c r="D70" s="10"/>
      <c r="E70" s="7">
        <f>+$I$2+(IRA[[#This Row],[QUANTITE]]*IRA[[#This Row],[PRIX UNITAIRE]])</f>
        <v>0</v>
      </c>
      <c r="F70" s="14"/>
      <c r="G70" s="6">
        <f>+SUM(E$9:$E70)-SUM(F$9:$F70)</f>
        <v>220000</v>
      </c>
    </row>
  </sheetData>
  <sheetProtection selectLockedCells="1" autoFilter="0"/>
  <mergeCells count="1">
    <mergeCell ref="B6:C6"/>
  </mergeCells>
  <conditionalFormatting sqref="B9:B70">
    <cfRule type="expression" dxfId="366" priority="5">
      <formula>$F9</formula>
    </cfRule>
  </conditionalFormatting>
  <conditionalFormatting sqref="G4">
    <cfRule type="cellIs" dxfId="365" priority="2" operator="lessThan">
      <formula>0</formula>
    </cfRule>
    <cfRule type="cellIs" dxfId="364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0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I69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33203125" style="1" bestFit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+SUM(GGNPLAQUETTE[TOTAL MONTANT])</f>
        <v>0</v>
      </c>
      <c r="F4" s="39">
        <f>+SUM(GGNPLAQUETTE[VERSEMENT])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174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+$I$2+(GGNPLAQUETTE[[#This Row],[QUANTITE]]*GGNPLAQUETTE[[#This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+$I$2+(GGNPLAQUETTE[[#This Row],[QUANTITE]]*GGNPLAQUETTE[[#This Row],[PRIX UNITAIRE]])</f>
        <v>0</v>
      </c>
      <c r="F10" s="20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+$I$2+(GGNPLAQUETTE[[#This Row],[QUANTITE]]*GGNPLAQUETTE[[#This Row],[PRIX UNITAIRE]])</f>
        <v>0</v>
      </c>
      <c r="F11" s="20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+$I$2+(GGNPLAQUETTE[[#This Row],[QUANTITE]]*GGNPLAQUETTE[[#This Row],[PRIX UNITAIRE]])</f>
        <v>0</v>
      </c>
      <c r="F12" s="20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+$I$2+(GGNPLAQUETTE[[#This Row],[QUANTITE]]*GGNPLAQUETTE[[#This Row],[PRIX UNITAIRE]])</f>
        <v>0</v>
      </c>
      <c r="F13" s="20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+$I$2+(GGNPLAQUETTE[[#This Row],[QUANTITE]]*GGNPLAQUETTE[[#This Row],[PRIX UNITAIRE]])</f>
        <v>0</v>
      </c>
      <c r="F14" s="20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+$I$2+(GGNPLAQUETTE[[#This Row],[QUANTITE]]*GGNPLAQUETTE[[#This Row],[PRIX UNITAIRE]])</f>
        <v>0</v>
      </c>
      <c r="F15" s="20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+$I$2+(GGNPLAQUETTE[[#This Row],[QUANTITE]]*GGNPLAQUETTE[[#This Row],[PRIX UNITAIRE]])</f>
        <v>0</v>
      </c>
      <c r="F16" s="20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+$I$2+(GGNPLAQUETTE[[#This Row],[QUANTITE]]*GGNPLAQUETTE[[#This Row],[PRIX UNITAIRE]])</f>
        <v>0</v>
      </c>
      <c r="F17" s="20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+$I$2+(GGNPLAQUETTE[[#This Row],[QUANTITE]]*GGNPLAQUETTE[[#This Row],[PRIX UNITAIRE]])</f>
        <v>0</v>
      </c>
      <c r="F18" s="20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+$I$2+(GGNPLAQUETTE[[#This Row],[QUANTITE]]*GGNPLAQUETTE[[#This Row],[PRIX UNITAIRE]])</f>
        <v>0</v>
      </c>
      <c r="F19" s="20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+$I$2+(GGNPLAQUETTE[[#This Row],[QUANTITE]]*GGNPLAQUETTE[[#This Row],[PRIX UNITAIRE]])</f>
        <v>0</v>
      </c>
      <c r="F20" s="20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+$I$2+(GGNPLAQUETTE[[#This Row],[QUANTITE]]*GGNPLAQUETTE[[#This Row],[PRIX UNITAIRE]])</f>
        <v>0</v>
      </c>
      <c r="F21" s="20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+$I$2+(GGNPLAQUETTE[[#This Row],[QUANTITE]]*GGNPLAQUETTE[[#This Row],[PRIX UNITAIRE]])</f>
        <v>0</v>
      </c>
      <c r="F22" s="20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+$I$2+(GGNPLAQUETTE[[#This Row],[QUANTITE]]*GGNPLAQUETTE[[#This Row],[PRIX UNITAIRE]])</f>
        <v>0</v>
      </c>
      <c r="F23" s="20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+$I$2+(GGNPLAQUETTE[[#This Row],[QUANTITE]]*GGNPLAQUETTE[[#This Row],[PRIX UNITAIRE]])</f>
        <v>0</v>
      </c>
      <c r="F24" s="20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+$I$2+(GGNPLAQUETTE[[#This Row],[QUANTITE]]*GGNPLAQUETTE[[#This Row],[PRIX UNITAIRE]])</f>
        <v>0</v>
      </c>
      <c r="F25" s="20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+$I$2+(GGNPLAQUETTE[[#This Row],[QUANTITE]]*GGNPLAQUETTE[[#This Row],[PRIX UNITAIRE]])</f>
        <v>0</v>
      </c>
      <c r="F26" s="20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+$I$2+(GGNPLAQUETTE[[#This Row],[QUANTITE]]*GGNPLAQUETTE[[#This Row],[PRIX UNITAIRE]])</f>
        <v>0</v>
      </c>
      <c r="F27" s="20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+$I$2+(GGNPLAQUETTE[[#This Row],[QUANTITE]]*GGNPLAQUETTE[[#This Row],[PRIX UNITAIRE]])</f>
        <v>0</v>
      </c>
      <c r="F28" s="20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+$I$2+(GGNPLAQUETTE[[#This Row],[QUANTITE]]*GGNPLAQUETTE[[#This Row],[PRIX UNITAIRE]])</f>
        <v>0</v>
      </c>
      <c r="F29" s="20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+$I$2+(GGNPLAQUETTE[[#This Row],[QUANTITE]]*GGNPLAQUETTE[[#This Row],[PRIX UNITAIRE]])</f>
        <v>0</v>
      </c>
      <c r="F30" s="20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+$I$2+(GGNPLAQUETTE[[#This Row],[QUANTITE]]*GGNPLAQUETTE[[#This Row],[PRIX UNITAIRE]])</f>
        <v>0</v>
      </c>
      <c r="F31" s="20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+$I$2+(GGNPLAQUETTE[[#This Row],[QUANTITE]]*GGNPLAQUETTE[[#This Row],[PRIX UNITAIRE]])</f>
        <v>0</v>
      </c>
      <c r="F32" s="20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+$I$2+(GGNPLAQUETTE[[#This Row],[QUANTITE]]*GGNPLAQUETTE[[#This Row],[PRIX UNITAIRE]])</f>
        <v>0</v>
      </c>
      <c r="F33" s="20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+$I$2+(GGNPLAQUETTE[[#This Row],[QUANTITE]]*GGNPLAQUETTE[[#This Row],[PRIX UNITAIRE]])</f>
        <v>0</v>
      </c>
      <c r="F34" s="20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+$I$2+(GGNPLAQUETTE[[#This Row],[QUANTITE]]*GGNPLAQUETTE[[#This Row],[PRIX UNITAIRE]])</f>
        <v>0</v>
      </c>
      <c r="F35" s="20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+$I$2+(GGNPLAQUETTE[[#This Row],[QUANTITE]]*GGNPLAQUETTE[[#This Row],[PRIX UNITAIRE]])</f>
        <v>0</v>
      </c>
      <c r="F36" s="20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+$I$2+(GGNPLAQUETTE[[#This Row],[QUANTITE]]*GGNPLAQUETTE[[#This Row],[PRIX UNITAIRE]])</f>
        <v>0</v>
      </c>
      <c r="F37" s="20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+$I$2+(GGNPLAQUETTE[[#This Row],[QUANTITE]]*GGNPLAQUETTE[[#This Row],[PRIX UNITAIRE]])</f>
        <v>0</v>
      </c>
      <c r="F38" s="20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+$I$2+(GGNPLAQUETTE[[#This Row],[QUANTITE]]*GGNPLAQUETTE[[#This Row],[PRIX UNITAIRE]])</f>
        <v>0</v>
      </c>
      <c r="F39" s="20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+$I$2+(GGNPLAQUETTE[[#This Row],[QUANTITE]]*GGNPLAQUETTE[[#This Row],[PRIX UNITAIRE]])</f>
        <v>0</v>
      </c>
      <c r="F40" s="20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+$I$2+(GGNPLAQUETTE[[#This Row],[QUANTITE]]*GGNPLAQUETTE[[#This Row],[PRIX UNITAIRE]])</f>
        <v>0</v>
      </c>
      <c r="F41" s="20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+$I$2+(GGNPLAQUETTE[[#This Row],[QUANTITE]]*GGNPLAQUETTE[[#This Row],[PRIX UNITAIRE]])</f>
        <v>0</v>
      </c>
      <c r="F42" s="20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+$I$2+(GGNPLAQUETTE[[#This Row],[QUANTITE]]*GGNPLAQUETTE[[#This Row],[PRIX UNITAIRE]])</f>
        <v>0</v>
      </c>
      <c r="F43" s="20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+$I$2+(GGNPLAQUETTE[[#This Row],[QUANTITE]]*GGNPLAQUETTE[[#This Row],[PRIX UNITAIRE]])</f>
        <v>0</v>
      </c>
      <c r="F44" s="20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+$I$2+(GGNPLAQUETTE[[#This Row],[QUANTITE]]*GGNPLAQUETTE[[#This Row],[PRIX UNITAIRE]])</f>
        <v>0</v>
      </c>
      <c r="F45" s="20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+$I$2+(GGNPLAQUETTE[[#This Row],[QUANTITE]]*GGNPLAQUETTE[[#This Row],[PRIX UNITAIRE]])</f>
        <v>0</v>
      </c>
      <c r="F46" s="20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+$I$2+(GGNPLAQUETTE[[#This Row],[QUANTITE]]*GGNPLAQUETTE[[#This Row],[PRIX UNITAIRE]])</f>
        <v>0</v>
      </c>
      <c r="F47" s="20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+$I$2+(GGNPLAQUETTE[[#This Row],[QUANTITE]]*GGNPLAQUETTE[[#This Row],[PRIX UNITAIRE]])</f>
        <v>0</v>
      </c>
      <c r="F48" s="20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+$I$2+(GGNPLAQUETTE[[#This Row],[QUANTITE]]*GGNPLAQUETTE[[#This Row],[PRIX UNITAIRE]])</f>
        <v>0</v>
      </c>
      <c r="F49" s="20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+$I$2+(GGNPLAQUETTE[[#This Row],[QUANTITE]]*GGNPLAQUETTE[[#This Row],[PRIX UNITAIRE]])</f>
        <v>0</v>
      </c>
      <c r="F50" s="20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+$I$2+(GGNPLAQUETTE[[#This Row],[QUANTITE]]*GGNPLAQUETTE[[#This Row],[PRIX UNITAIRE]])</f>
        <v>0</v>
      </c>
      <c r="F51" s="20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+$I$2+(GGNPLAQUETTE[[#This Row],[QUANTITE]]*GGNPLAQUETTE[[#This Row],[PRIX UNITAIRE]])</f>
        <v>0</v>
      </c>
      <c r="F52" s="20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+$I$2+(GGNPLAQUETTE[[#This Row],[QUANTITE]]*GGNPLAQUETTE[[#This Row],[PRIX UNITAIRE]])</f>
        <v>0</v>
      </c>
      <c r="F53" s="20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+$I$2+(GGNPLAQUETTE[[#This Row],[QUANTITE]]*GGNPLAQUETTE[[#This Row],[PRIX UNITAIRE]])</f>
        <v>0</v>
      </c>
      <c r="F54" s="20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+$I$2+(GGNPLAQUETTE[[#This Row],[QUANTITE]]*GGNPLAQUETTE[[#This Row],[PRIX UNITAIRE]])</f>
        <v>0</v>
      </c>
      <c r="F55" s="20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+$I$2+(GGNPLAQUETTE[[#This Row],[QUANTITE]]*GGNPLAQUETTE[[#This Row],[PRIX UNITAIRE]])</f>
        <v>0</v>
      </c>
      <c r="F56" s="20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+$I$2+(GGNPLAQUETTE[[#This Row],[QUANTITE]]*GGNPLAQUETTE[[#This Row],[PRIX UNITAIRE]])</f>
        <v>0</v>
      </c>
      <c r="F57" s="20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+$I$2+(GGNPLAQUETTE[[#This Row],[QUANTITE]]*GGNPLAQUETTE[[#This Row],[PRIX UNITAIRE]])</f>
        <v>0</v>
      </c>
      <c r="F58" s="20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+$I$2+(GGNPLAQUETTE[[#This Row],[QUANTITE]]*GGNPLAQUETTE[[#This Row],[PRIX UNITAIRE]])</f>
        <v>0</v>
      </c>
      <c r="F59" s="20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+$I$2+(GGNPLAQUETTE[[#This Row],[QUANTITE]]*GGNPLAQUETTE[[#This Row],[PRIX UNITAIRE]])</f>
        <v>0</v>
      </c>
      <c r="F60" s="20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+$I$2+(GGNPLAQUETTE[[#This Row],[QUANTITE]]*GGNPLAQUETTE[[#This Row],[PRIX UNITAIRE]])</f>
        <v>0</v>
      </c>
      <c r="F61" s="20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+$I$2+(GGNPLAQUETTE[[#This Row],[QUANTITE]]*GGNPLAQUETTE[[#This Row],[PRIX UNITAIRE]])</f>
        <v>0</v>
      </c>
      <c r="F62" s="20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+$I$2+(GGNPLAQUETTE[[#This Row],[QUANTITE]]*GGNPLAQUETTE[[#This Row],[PRIX UNITAIRE]])</f>
        <v>0</v>
      </c>
      <c r="F63" s="20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+$I$2+(GGNPLAQUETTE[[#This Row],[QUANTITE]]*GGNPLAQUETTE[[#This Row],[PRIX UNITAIRE]])</f>
        <v>0</v>
      </c>
      <c r="F64" s="20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+$I$2+(GGNPLAQUETTE[[#This Row],[QUANTITE]]*GGNPLAQUETTE[[#This Row],[PRIX UNITAIRE]])</f>
        <v>0</v>
      </c>
      <c r="F65" s="20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+$I$2+(GGNPLAQUETTE[[#This Row],[QUANTITE]]*GGNPLAQUETTE[[#This Row],[PRIX UNITAIRE]])</f>
        <v>0</v>
      </c>
      <c r="F66" s="20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+$I$2+(GGNPLAQUETTE[[#This Row],[QUANTITE]]*GGNPLAQUETTE[[#This Row],[PRIX UNITAIRE]])</f>
        <v>0</v>
      </c>
      <c r="F67" s="20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+$I$2+(GGNPLAQUETTE[[#This Row],[QUANTITE]]*GGNPLAQUETTE[[#This Row],[PRIX UNITAIRE]])</f>
        <v>0</v>
      </c>
      <c r="F68" s="20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+$I$2+(GGNPLAQUETTE[[#This Row],[QUANTITE]]*GGNPLAQUETTE[[#This Row],[PRIX UNITAIRE]])</f>
        <v>0</v>
      </c>
      <c r="F69" s="20"/>
      <c r="G69" s="6">
        <f>+SUM(E$9:$E69)-SUM(F$9:$F69)</f>
        <v>0</v>
      </c>
    </row>
  </sheetData>
  <sheetProtection selectLockedCells="1" autoFilter="0"/>
  <mergeCells count="1">
    <mergeCell ref="B6:C6"/>
  </mergeCells>
  <conditionalFormatting sqref="B9:B69">
    <cfRule type="expression" dxfId="347" priority="5">
      <formula>$F9</formula>
    </cfRule>
  </conditionalFormatting>
  <conditionalFormatting sqref="G4">
    <cfRule type="cellIs" dxfId="346" priority="2" operator="lessThan">
      <formula>0</formula>
    </cfRule>
    <cfRule type="cellIs" dxfId="345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122"/>
  <sheetViews>
    <sheetView showGridLines="0" topLeftCell="D1" zoomScale="60" zoomScaleNormal="60" workbookViewId="0">
      <pane ySplit="8" topLeftCell="A42" activePane="bottomLeft" state="frozen"/>
      <selection activeCell="L10" sqref="L10"/>
      <selection pane="bottomLeft" activeCell="H42" sqref="H42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+SUM(LIQUIMOLY[TOTAL MONTANT])</f>
        <v>0</v>
      </c>
      <c r="F4" s="39">
        <f>+SUM(LIQUIMOLY[VERSEMENT])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175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+$I$2+(LIQUIMOLY[[#This Row],[QUANTITE]]*LIQUIMOLY[[#This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+$I$2+(LIQUIMOLY[[#This Row],[QUANTITE]]*LIQUIMOLY[[#This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+$I$2+(LIQUIMOLY[[#This Row],[QUANTITE]]*LIQUIMOLY[[#This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+$I$2+(LIQUIMOLY[[#This Row],[QUANTITE]]*LIQUIMOLY[[#This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+$I$2+(LIQUIMOLY[[#This Row],[QUANTITE]]*LIQUIMOLY[[#This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+$I$2+(LIQUIMOLY[[#This Row],[QUANTITE]]*LIQUIMOLY[[#This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+$I$2+(LIQUIMOLY[[#This Row],[QUANTITE]]*LIQUIMOLY[[#This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+$I$2+(LIQUIMOLY[[#This Row],[QUANTITE]]*LIQUIMOLY[[#This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+$I$2+(LIQUIMOLY[[#This Row],[QUANTITE]]*LIQUIMOLY[[#This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+$I$2+(LIQUIMOLY[[#This Row],[QUANTITE]]*LIQUIMOLY[[#This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+$I$2+(LIQUIMOLY[[#This Row],[QUANTITE]]*LIQUIMOLY[[#This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+$I$2+(LIQUIMOLY[[#This Row],[QUANTITE]]*LIQUIMOLY[[#This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+$I$2+(LIQUIMOLY[[#This Row],[QUANTITE]]*LIQUIMOLY[[#This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+$I$2+(LIQUIMOLY[[#This Row],[QUANTITE]]*LIQUIMOLY[[#This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+$I$2+(LIQUIMOLY[[#This Row],[QUANTITE]]*LIQUIMOLY[[#This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+$I$2+(LIQUIMOLY[[#This Row],[QUANTITE]]*LIQUIMOLY[[#This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+$I$2+(LIQUIMOLY[[#This Row],[QUANTITE]]*LIQUIMOLY[[#This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+$I$2+(LIQUIMOLY[[#This Row],[QUANTITE]]*LIQUIMOLY[[#This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+$I$2+(LIQUIMOLY[[#This Row],[QUANTITE]]*LIQUIMOLY[[#This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+$I$2+(LIQUIMOLY[[#This Row],[QUANTITE]]*LIQUIMOLY[[#This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+$I$2+(LIQUIMOLY[[#This Row],[QUANTITE]]*LIQUIMOLY[[#This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+$I$2+(LIQUIMOLY[[#This Row],[QUANTITE]]*LIQUIMOLY[[#This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+$I$2+(LIQUIMOLY[[#This Row],[QUANTITE]]*LIQUIMOLY[[#This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+$I$2+(LIQUIMOLY[[#This Row],[QUANTITE]]*LIQUIMOLY[[#This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+$I$2+(LIQUIMOLY[[#This Row],[QUANTITE]]*LIQUIMOLY[[#This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+$I$2+(LIQUIMOLY[[#This Row],[QUANTITE]]*LIQUIMOLY[[#This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+$I$2+(LIQUIMOLY[[#This Row],[QUANTITE]]*LIQUIMOLY[[#This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+$I$2+(LIQUIMOLY[[#This Row],[QUANTITE]]*LIQUIMOLY[[#This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+$I$2+(LIQUIMOLY[[#This Row],[QUANTITE]]*LIQUIMOLY[[#This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+$I$2+(LIQUIMOLY[[#This Row],[QUANTITE]]*LIQUIMOLY[[#This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+$I$2+(LIQUIMOLY[[#This Row],[QUANTITE]]*LIQUIMOLY[[#This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+$I$2+(LIQUIMOLY[[#This Row],[QUANTITE]]*LIQUIMOLY[[#This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+$I$2+(LIQUIMOLY[[#This Row],[QUANTITE]]*LIQUIMOLY[[#This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+$I$2+(LIQUIMOLY[[#This Row],[QUANTITE]]*LIQUIMOLY[[#This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+$I$2+(LIQUIMOLY[[#This Row],[QUANTITE]]*LIQUIMOLY[[#This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+$I$2+(LIQUIMOLY[[#This Row],[QUANTITE]]*LIQUIMOLY[[#This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+$I$2+(LIQUIMOLY[[#This Row],[QUANTITE]]*LIQUIMOLY[[#This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+$I$2+(LIQUIMOLY[[#This Row],[QUANTITE]]*LIQUIMOLY[[#This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+$I$2+(LIQUIMOLY[[#This Row],[QUANTITE]]*LIQUIMOLY[[#This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+$I$2+(LIQUIMOLY[[#This Row],[QUANTITE]]*LIQUIMOLY[[#This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+$I$2+(LIQUIMOLY[[#This Row],[QUANTITE]]*LIQUIMOLY[[#This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+$I$2+(LIQUIMOLY[[#This Row],[QUANTITE]]*LIQUIMOLY[[#This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+$I$2+(LIQUIMOLY[[#This Row],[QUANTITE]]*LIQUIMOLY[[#This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+$I$2+(LIQUIMOLY[[#This Row],[QUANTITE]]*LIQUIMOLY[[#This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+$I$2+(LIQUIMOLY[[#This Row],[QUANTITE]]*LIQUIMOLY[[#This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+$I$2+(LIQUIMOLY[[#This Row],[QUANTITE]]*LIQUIMOLY[[#This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+$I$2+(LIQUIMOLY[[#This Row],[QUANTITE]]*LIQUIMOLY[[#This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+$I$2+(LIQUIMOLY[[#This Row],[QUANTITE]]*LIQUIMOLY[[#This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+$I$2+(LIQUIMOLY[[#This Row],[QUANTITE]]*LIQUIMOLY[[#This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+$I$2+(LIQUIMOLY[[#This Row],[QUANTITE]]*LIQUIMOLY[[#This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+$I$2+(LIQUIMOLY[[#This Row],[QUANTITE]]*LIQUIMOLY[[#This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+$I$2+(LIQUIMOLY[[#This Row],[QUANTITE]]*LIQUIMOLY[[#This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+$I$2+(LIQUIMOLY[[#This Row],[QUANTITE]]*LIQUIMOLY[[#This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+$I$2+(LIQUIMOLY[[#This Row],[QUANTITE]]*LIQUIMOLY[[#This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+$I$2+(LIQUIMOLY[[#This Row],[QUANTITE]]*LIQUIMOLY[[#This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+$I$2+(LIQUIMOLY[[#This Row],[QUANTITE]]*LIQUIMOLY[[#This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+$I$2+(LIQUIMOLY[[#This Row],[QUANTITE]]*LIQUIMOLY[[#This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+$I$2+(LIQUIMOLY[[#This Row],[QUANTITE]]*LIQUIMOLY[[#This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+$I$2+(LIQUIMOLY[[#This Row],[QUANTITE]]*LIQUIMOLY[[#This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+$I$2+(LIQUIMOLY[[#This Row],[QUANTITE]]*LIQUIMOLY[[#This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+$I$2+(LIQUIMOLY[[#This Row],[QUANTITE]]*LIQUIMOLY[[#This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+$I$2+(LIQUIMOLY[[#This Row],[QUANTITE]]*LIQUIMOLY[[#This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+$I$2+(LIQUIMOLY[[#This Row],[QUANTITE]]*LIQUIMOLY[[#This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+$I$2+(LIQUIMOLY[[#This Row],[QUANTITE]]*LIQUIMOLY[[#This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+$I$2+(LIQUIMOLY[[#This Row],[QUANTITE]]*LIQUIMOLY[[#This Row],[PRIX UNITAIRE]])</f>
        <v>0</v>
      </c>
      <c r="F73" s="14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+$I$2+(LIQUIMOLY[[#This Row],[QUANTITE]]*LIQUIMOLY[[#This Row],[PRIX UNITAIRE]])</f>
        <v>0</v>
      </c>
      <c r="F74" s="14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+$I$2+(LIQUIMOLY[[#This Row],[QUANTITE]]*LIQUIMOLY[[#This Row],[PRIX UNITAIRE]])</f>
        <v>0</v>
      </c>
      <c r="F75" s="14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+$I$2+(LIQUIMOLY[[#This Row],[QUANTITE]]*LIQUIMOLY[[#This Row],[PRIX UNITAIRE]])</f>
        <v>0</v>
      </c>
      <c r="F76" s="14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+$I$2+(LIQUIMOLY[[#This Row],[QUANTITE]]*LIQUIMOLY[[#This Row],[PRIX UNITAIRE]])</f>
        <v>0</v>
      </c>
      <c r="F77" s="14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+$I$2+(LIQUIMOLY[[#This Row],[QUANTITE]]*LIQUIMOLY[[#This Row],[PRIX UNITAIRE]])</f>
        <v>0</v>
      </c>
      <c r="F78" s="14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+$I$2+(LIQUIMOLY[[#This Row],[QUANTITE]]*LIQUIMOLY[[#This Row],[PRIX UNITAIRE]])</f>
        <v>0</v>
      </c>
      <c r="F79" s="14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+$I$2+(LIQUIMOLY[[#This Row],[QUANTITE]]*LIQUIMOLY[[#This Row],[PRIX UNITAIRE]])</f>
        <v>0</v>
      </c>
      <c r="F80" s="14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+$I$2+(LIQUIMOLY[[#This Row],[QUANTITE]]*LIQUIMOLY[[#This Row],[PRIX UNITAIRE]])</f>
        <v>0</v>
      </c>
      <c r="F81" s="14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+$I$2+(LIQUIMOLY[[#This Row],[QUANTITE]]*LIQUIMOLY[[#This Row],[PRIX UNITAIRE]])</f>
        <v>0</v>
      </c>
      <c r="F82" s="14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+$I$2+(LIQUIMOLY[[#This Row],[QUANTITE]]*LIQUIMOLY[[#This Row],[PRIX UNITAIRE]])</f>
        <v>0</v>
      </c>
      <c r="F83" s="14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+$I$2+(LIQUIMOLY[[#This Row],[QUANTITE]]*LIQUIMOLY[[#This Row],[PRIX UNITAIRE]])</f>
        <v>0</v>
      </c>
      <c r="F84" s="14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+$I$2+(LIQUIMOLY[[#This Row],[QUANTITE]]*LIQUIMOLY[[#This Row],[PRIX UNITAIRE]])</f>
        <v>0</v>
      </c>
      <c r="F85" s="14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+$I$2+(LIQUIMOLY[[#This Row],[QUANTITE]]*LIQUIMOLY[[#This Row],[PRIX UNITAIRE]])</f>
        <v>0</v>
      </c>
      <c r="F86" s="14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+$I$2+(LIQUIMOLY[[#This Row],[QUANTITE]]*LIQUIMOLY[[#This Row],[PRIX UNITAIRE]])</f>
        <v>0</v>
      </c>
      <c r="F87" s="14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+$I$2+(LIQUIMOLY[[#This Row],[QUANTITE]]*LIQUIMOLY[[#This Row],[PRIX UNITAIRE]])</f>
        <v>0</v>
      </c>
      <c r="F88" s="14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+$I$2+(LIQUIMOLY[[#This Row],[QUANTITE]]*LIQUIMOLY[[#This Row],[PRIX UNITAIRE]])</f>
        <v>0</v>
      </c>
      <c r="F89" s="14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+$I$2+(LIQUIMOLY[[#This Row],[QUANTITE]]*LIQUIMOLY[[#This Row],[PRIX UNITAIRE]])</f>
        <v>0</v>
      </c>
      <c r="F90" s="14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+$I$2+(LIQUIMOLY[[#This Row],[QUANTITE]]*LIQUIMOLY[[#This Row],[PRIX UNITAIRE]])</f>
        <v>0</v>
      </c>
      <c r="F91" s="14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+$I$2+(LIQUIMOLY[[#This Row],[QUANTITE]]*LIQUIMOLY[[#This Row],[PRIX UNITAIRE]])</f>
        <v>0</v>
      </c>
      <c r="F92" s="14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+$I$2+(LIQUIMOLY[[#This Row],[QUANTITE]]*LIQUIMOLY[[#This Row],[PRIX UNITAIRE]])</f>
        <v>0</v>
      </c>
      <c r="F93" s="14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+$I$2+(LIQUIMOLY[[#This Row],[QUANTITE]]*LIQUIMOLY[[#This Row],[PRIX UNITAIRE]])</f>
        <v>0</v>
      </c>
      <c r="F94" s="14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+$I$2+(LIQUIMOLY[[#This Row],[QUANTITE]]*LIQUIMOLY[[#This Row],[PRIX UNITAIRE]])</f>
        <v>0</v>
      </c>
      <c r="F95" s="14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+$I$2+(LIQUIMOLY[[#This Row],[QUANTITE]]*LIQUIMOLY[[#This Row],[PRIX UNITAIRE]])</f>
        <v>0</v>
      </c>
      <c r="F96" s="14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+$I$2+(LIQUIMOLY[[#This Row],[QUANTITE]]*LIQUIMOLY[[#This Row],[PRIX UNITAIRE]])</f>
        <v>0</v>
      </c>
      <c r="F97" s="14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+$I$2+(LIQUIMOLY[[#This Row],[QUANTITE]]*LIQUIMOLY[[#This Row],[PRIX UNITAIRE]])</f>
        <v>0</v>
      </c>
      <c r="F98" s="14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+$I$2+(LIQUIMOLY[[#This Row],[QUANTITE]]*LIQUIMOLY[[#This Row],[PRIX UNITAIRE]])</f>
        <v>0</v>
      </c>
      <c r="F99" s="14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+$I$2+(LIQUIMOLY[[#This Row],[QUANTITE]]*LIQUIMOLY[[#This Row],[PRIX UNITAIRE]])</f>
        <v>0</v>
      </c>
      <c r="F100" s="14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+$I$2+(LIQUIMOLY[[#This Row],[QUANTITE]]*LIQUIMOLY[[#This Row],[PRIX UNITAIRE]])</f>
        <v>0</v>
      </c>
      <c r="F101" s="14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+$I$2+(LIQUIMOLY[[#This Row],[QUANTITE]]*LIQUIMOLY[[#This Row],[PRIX UNITAIRE]])</f>
        <v>0</v>
      </c>
      <c r="F102" s="14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+$I$2+(LIQUIMOLY[[#This Row],[QUANTITE]]*LIQUIMOLY[[#This Row],[PRIX UNITAIRE]])</f>
        <v>0</v>
      </c>
      <c r="F103" s="14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+$I$2+(LIQUIMOLY[[#This Row],[QUANTITE]]*LIQUIMOLY[[#This Row],[PRIX UNITAIRE]])</f>
        <v>0</v>
      </c>
      <c r="F104" s="14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+$I$2+(LIQUIMOLY[[#This Row],[QUANTITE]]*LIQUIMOLY[[#This Row],[PRIX UNITAIRE]])</f>
        <v>0</v>
      </c>
      <c r="F105" s="14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+$I$2+(LIQUIMOLY[[#This Row],[QUANTITE]]*LIQUIMOLY[[#This Row],[PRIX UNITAIRE]])</f>
        <v>0</v>
      </c>
      <c r="F106" s="14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+$I$2+(LIQUIMOLY[[#This Row],[QUANTITE]]*LIQUIMOLY[[#This Row],[PRIX UNITAIRE]])</f>
        <v>0</v>
      </c>
      <c r="F107" s="14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+$I$2+(LIQUIMOLY[[#This Row],[QUANTITE]]*LIQUIMOLY[[#This Row],[PRIX UNITAIRE]])</f>
        <v>0</v>
      </c>
      <c r="F108" s="14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+$I$2+(LIQUIMOLY[[#This Row],[QUANTITE]]*LIQUIMOLY[[#This Row],[PRIX UNITAIRE]])</f>
        <v>0</v>
      </c>
      <c r="F109" s="14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+$I$2+(LIQUIMOLY[[#This Row],[QUANTITE]]*LIQUIMOLY[[#This Row],[PRIX UNITAIRE]])</f>
        <v>0</v>
      </c>
      <c r="F110" s="14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+$I$2+(LIQUIMOLY[[#This Row],[QUANTITE]]*LIQUIMOLY[[#This Row],[PRIX UNITAIRE]])</f>
        <v>0</v>
      </c>
      <c r="F111" s="14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+$I$2+(LIQUIMOLY[[#This Row],[QUANTITE]]*LIQUIMOLY[[#This Row],[PRIX UNITAIRE]])</f>
        <v>0</v>
      </c>
      <c r="F112" s="14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+$I$2+(LIQUIMOLY[[#This Row],[QUANTITE]]*LIQUIMOLY[[#This Row],[PRIX UNITAIRE]])</f>
        <v>0</v>
      </c>
      <c r="F113" s="14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+$I$2+(LIQUIMOLY[[#This Row],[QUANTITE]]*LIQUIMOLY[[#This Row],[PRIX UNITAIRE]])</f>
        <v>0</v>
      </c>
      <c r="F114" s="14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+$I$2+(LIQUIMOLY[[#This Row],[QUANTITE]]*LIQUIMOLY[[#This Row],[PRIX UNITAIRE]])</f>
        <v>0</v>
      </c>
      <c r="F115" s="14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+$I$2+(LIQUIMOLY[[#This Row],[QUANTITE]]*LIQUIMOLY[[#This Row],[PRIX UNITAIRE]])</f>
        <v>0</v>
      </c>
      <c r="F116" s="14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+$I$2+(LIQUIMOLY[[#This Row],[QUANTITE]]*LIQUIMOLY[[#This Row],[PRIX UNITAIRE]])</f>
        <v>0</v>
      </c>
      <c r="F117" s="14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+$I$2+(LIQUIMOLY[[#This Row],[QUANTITE]]*LIQUIMOLY[[#This Row],[PRIX UNITAIRE]])</f>
        <v>0</v>
      </c>
      <c r="F118" s="14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+$I$2+(LIQUIMOLY[[#This Row],[QUANTITE]]*LIQUIMOLY[[#This Row],[PRIX UNITAIRE]])</f>
        <v>0</v>
      </c>
      <c r="F119" s="14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+$I$2+(LIQUIMOLY[[#This Row],[QUANTITE]]*LIQUIMOLY[[#This Row],[PRIX UNITAIRE]])</f>
        <v>0</v>
      </c>
      <c r="F120" s="14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+$I$2+(LIQUIMOLY[[#This Row],[QUANTITE]]*LIQUIMOLY[[#This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+$I$2+(LIQUIMOLY[[#This Row],[QUANTITE]]*LIQUIMOLY[[#This Row],[PRIX UNITAIRE]])</f>
        <v>0</v>
      </c>
      <c r="F122" s="14"/>
      <c r="G122" s="6">
        <f>+SUM(E$9:$E122)-SUM(F$9:$F122)</f>
        <v>0</v>
      </c>
    </row>
  </sheetData>
  <sheetProtection selectLockedCells="1" autoFilter="0"/>
  <mergeCells count="1">
    <mergeCell ref="B6:C6"/>
  </mergeCells>
  <conditionalFormatting sqref="B9:B30 B33:B122">
    <cfRule type="expression" dxfId="328" priority="5">
      <formula>$F9</formula>
    </cfRule>
  </conditionalFormatting>
  <conditionalFormatting sqref="B31">
    <cfRule type="expression" dxfId="327" priority="120">
      <formula>$F32</formula>
    </cfRule>
  </conditionalFormatting>
  <conditionalFormatting sqref="G4">
    <cfRule type="cellIs" dxfId="326" priority="2" operator="lessThan">
      <formula>0</formula>
    </cfRule>
    <cfRule type="cellIs" dxfId="325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I122"/>
  <sheetViews>
    <sheetView showGridLines="0" topLeftCell="D1" zoomScale="60" zoomScaleNormal="60" workbookViewId="0">
      <pane ySplit="8" topLeftCell="A106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+SUM(AKHILDAHER[TOTAL MONTANT])</f>
        <v>0</v>
      </c>
      <c r="F4" s="39">
        <f>+SUM(AKHILDAHER[VERSEMENT])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176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+$I$2+(AKHILDAHER[[#This Row],[QUANTITE]]*AKHILDAHER[[#This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+$I$2+(AKHILDAHER[[#This Row],[QUANTITE]]*AKHILDAHER[[#This Row],[PRIX UNITAIRE]])</f>
        <v>0</v>
      </c>
      <c r="F10" s="109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+$I$2+(AKHILDAHER[[#This Row],[QUANTITE]]*AKHILDAHER[[#This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+$I$2+(AKHILDAHER[[#This Row],[QUANTITE]]*AKHILDAHER[[#This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+$I$2+(AKHILDAHER[[#This Row],[QUANTITE]]*AKHILDAHER[[#This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+$I$2+(AKHILDAHER[[#This Row],[QUANTITE]]*AKHILDAHER[[#This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+$I$2+(AKHILDAHER[[#This Row],[QUANTITE]]*AKHILDAHER[[#This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+$I$2+(AKHILDAHER[[#This Row],[QUANTITE]]*AKHILDAHER[[#This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+$I$2+(AKHILDAHER[[#This Row],[QUANTITE]]*AKHILDAHER[[#This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+$I$2+(AKHILDAHER[[#This Row],[QUANTITE]]*AKHILDAHER[[#This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+$I$2+(AKHILDAHER[[#This Row],[QUANTITE]]*AKHILDAHER[[#This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+$I$2+(AKHILDAHER[[#This Row],[QUANTITE]]*AKHILDAHER[[#This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+$I$2+(AKHILDAHER[[#This Row],[QUANTITE]]*AKHILDAHER[[#This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+$I$2+(AKHILDAHER[[#This Row],[QUANTITE]]*AKHILDAHER[[#This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+$I$2+(AKHILDAHER[[#This Row],[QUANTITE]]*AKHILDAHER[[#This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+$I$2+(AKHILDAHER[[#This Row],[QUANTITE]]*AKHILDAHER[[#This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+$I$2+(AKHILDAHER[[#This Row],[QUANTITE]]*AKHILDAHER[[#This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+$I$2+(AKHILDAHER[[#This Row],[QUANTITE]]*AKHILDAHER[[#This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+$I$2+(AKHILDAHER[[#This Row],[QUANTITE]]*AKHILDAHER[[#This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+$I$2+(AKHILDAHER[[#This Row],[QUANTITE]]*AKHILDAHER[[#This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+$I$2+(AKHILDAHER[[#This Row],[QUANTITE]]*AKHILDAHER[[#This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+$I$2+(AKHILDAHER[[#This Row],[QUANTITE]]*AKHILDAHER[[#This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+$I$2+(AKHILDAHER[[#This Row],[QUANTITE]]*AKHILDAHER[[#This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+$I$2+(AKHILDAHER[[#This Row],[QUANTITE]]*AKHILDAHER[[#This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+$I$2+(AKHILDAHER[[#This Row],[QUANTITE]]*AKHILDAHER[[#This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+$I$2+(AKHILDAHER[[#This Row],[QUANTITE]]*AKHILDAHER[[#This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+$I$2+(AKHILDAHER[[#This Row],[QUANTITE]]*AKHILDAHER[[#This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+$I$2+(AKHILDAHER[[#This Row],[QUANTITE]]*AKHILDAHER[[#This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+$I$2+(AKHILDAHER[[#This Row],[QUANTITE]]*AKHILDAHER[[#This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+$I$2+(AKHILDAHER[[#This Row],[QUANTITE]]*AKHILDAHER[[#This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+$I$2+(AKHILDAHER[[#This Row],[QUANTITE]]*AKHILDAHER[[#This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+$I$2+(AKHILDAHER[[#This Row],[QUANTITE]]*AKHILDAHER[[#This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+$I$2+(AKHILDAHER[[#This Row],[QUANTITE]]*AKHILDAHER[[#This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+$I$2+(AKHILDAHER[[#This Row],[QUANTITE]]*AKHILDAHER[[#This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+$I$2+(AKHILDAHER[[#This Row],[QUANTITE]]*AKHILDAHER[[#This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+$I$2+(AKHILDAHER[[#This Row],[QUANTITE]]*AKHILDAHER[[#This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+$I$2+(AKHILDAHER[[#This Row],[QUANTITE]]*AKHILDAHER[[#This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+$I$2+(AKHILDAHER[[#This Row],[QUANTITE]]*AKHILDAHER[[#This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+$I$2+(AKHILDAHER[[#This Row],[QUANTITE]]*AKHILDAHER[[#This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+$I$2+(AKHILDAHER[[#This Row],[QUANTITE]]*AKHILDAHER[[#This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+$I$2+(AKHILDAHER[[#This Row],[QUANTITE]]*AKHILDAHER[[#This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+$I$2+(AKHILDAHER[[#This Row],[QUANTITE]]*AKHILDAHER[[#This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+$I$2+(AKHILDAHER[[#This Row],[QUANTITE]]*AKHILDAHER[[#This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+$I$2+(AKHILDAHER[[#This Row],[QUANTITE]]*AKHILDAHER[[#This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+$I$2+(AKHILDAHER[[#This Row],[QUANTITE]]*AKHILDAHER[[#This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+$I$2+(AKHILDAHER[[#This Row],[QUANTITE]]*AKHILDAHER[[#This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+$I$2+(AKHILDAHER[[#This Row],[QUANTITE]]*AKHILDAHER[[#This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+$I$2+(AKHILDAHER[[#This Row],[QUANTITE]]*AKHILDAHER[[#This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+$I$2+(AKHILDAHER[[#This Row],[QUANTITE]]*AKHILDAHER[[#This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+$I$2+(AKHILDAHER[[#This Row],[QUANTITE]]*AKHILDAHER[[#This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+$I$2+(AKHILDAHER[[#This Row],[QUANTITE]]*AKHILDAHER[[#This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+$I$2+(AKHILDAHER[[#This Row],[QUANTITE]]*AKHILDAHER[[#This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+$I$2+(AKHILDAHER[[#This Row],[QUANTITE]]*AKHILDAHER[[#This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+$I$2+(AKHILDAHER[[#This Row],[QUANTITE]]*AKHILDAHER[[#This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+$I$2+(AKHILDAHER[[#This Row],[QUANTITE]]*AKHILDAHER[[#This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+$I$2+(AKHILDAHER[[#This Row],[QUANTITE]]*AKHILDAHER[[#This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+$I$2+(AKHILDAHER[[#This Row],[QUANTITE]]*AKHILDAHER[[#This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+$I$2+(AKHILDAHER[[#This Row],[QUANTITE]]*AKHILDAHER[[#This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+$I$2+(AKHILDAHER[[#This Row],[QUANTITE]]*AKHILDAHER[[#This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+$I$2+(AKHILDAHER[[#This Row],[QUANTITE]]*AKHILDAHER[[#This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+$I$2+(AKHILDAHER[[#This Row],[QUANTITE]]*AKHILDAHER[[#This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+$I$2+(AKHILDAHER[[#This Row],[QUANTITE]]*AKHILDAHER[[#This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+$I$2+(AKHILDAHER[[#This Row],[QUANTITE]]*AKHILDAHER[[#This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+$I$2+(AKHILDAHER[[#This Row],[QUANTITE]]*AKHILDAHER[[#This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+$I$2+(AKHILDAHER[[#This Row],[QUANTITE]]*AKHILDAHER[[#This Row],[PRIX UNITAIRE]])</f>
        <v>0</v>
      </c>
      <c r="F73" s="14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+$I$2+(AKHILDAHER[[#This Row],[QUANTITE]]*AKHILDAHER[[#This Row],[PRIX UNITAIRE]])</f>
        <v>0</v>
      </c>
      <c r="F74" s="14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+$I$2+(AKHILDAHER[[#This Row],[QUANTITE]]*AKHILDAHER[[#This Row],[PRIX UNITAIRE]])</f>
        <v>0</v>
      </c>
      <c r="F75" s="14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+$I$2+(AKHILDAHER[[#This Row],[QUANTITE]]*AKHILDAHER[[#This Row],[PRIX UNITAIRE]])</f>
        <v>0</v>
      </c>
      <c r="F76" s="14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+$I$2+(AKHILDAHER[[#This Row],[QUANTITE]]*AKHILDAHER[[#This Row],[PRIX UNITAIRE]])</f>
        <v>0</v>
      </c>
      <c r="F77" s="14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+$I$2+(AKHILDAHER[[#This Row],[QUANTITE]]*AKHILDAHER[[#This Row],[PRIX UNITAIRE]])</f>
        <v>0</v>
      </c>
      <c r="F78" s="14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+$I$2+(AKHILDAHER[[#This Row],[QUANTITE]]*AKHILDAHER[[#This Row],[PRIX UNITAIRE]])</f>
        <v>0</v>
      </c>
      <c r="F79" s="14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+$I$2+(AKHILDAHER[[#This Row],[QUANTITE]]*AKHILDAHER[[#This Row],[PRIX UNITAIRE]])</f>
        <v>0</v>
      </c>
      <c r="F80" s="14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+$I$2+(AKHILDAHER[[#This Row],[QUANTITE]]*AKHILDAHER[[#This Row],[PRIX UNITAIRE]])</f>
        <v>0</v>
      </c>
      <c r="F81" s="14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+$I$2+(AKHILDAHER[[#This Row],[QUANTITE]]*AKHILDAHER[[#This Row],[PRIX UNITAIRE]])</f>
        <v>0</v>
      </c>
      <c r="F82" s="14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+$I$2+(AKHILDAHER[[#This Row],[QUANTITE]]*AKHILDAHER[[#This Row],[PRIX UNITAIRE]])</f>
        <v>0</v>
      </c>
      <c r="F83" s="14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+$I$2+(AKHILDAHER[[#This Row],[QUANTITE]]*AKHILDAHER[[#This Row],[PRIX UNITAIRE]])</f>
        <v>0</v>
      </c>
      <c r="F84" s="14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+$I$2+(AKHILDAHER[[#This Row],[QUANTITE]]*AKHILDAHER[[#This Row],[PRIX UNITAIRE]])</f>
        <v>0</v>
      </c>
      <c r="F85" s="14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+$I$2+(AKHILDAHER[[#This Row],[QUANTITE]]*AKHILDAHER[[#This Row],[PRIX UNITAIRE]])</f>
        <v>0</v>
      </c>
      <c r="F86" s="14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+$I$2+(AKHILDAHER[[#This Row],[QUANTITE]]*AKHILDAHER[[#This Row],[PRIX UNITAIRE]])</f>
        <v>0</v>
      </c>
      <c r="F87" s="14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+$I$2+(AKHILDAHER[[#This Row],[QUANTITE]]*AKHILDAHER[[#This Row],[PRIX UNITAIRE]])</f>
        <v>0</v>
      </c>
      <c r="F88" s="14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+$I$2+(AKHILDAHER[[#This Row],[QUANTITE]]*AKHILDAHER[[#This Row],[PRIX UNITAIRE]])</f>
        <v>0</v>
      </c>
      <c r="F89" s="14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+$I$2+(AKHILDAHER[[#This Row],[QUANTITE]]*AKHILDAHER[[#This Row],[PRIX UNITAIRE]])</f>
        <v>0</v>
      </c>
      <c r="F90" s="14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+$I$2+(AKHILDAHER[[#This Row],[QUANTITE]]*AKHILDAHER[[#This Row],[PRIX UNITAIRE]])</f>
        <v>0</v>
      </c>
      <c r="F91" s="14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+$I$2+(AKHILDAHER[[#This Row],[QUANTITE]]*AKHILDAHER[[#This Row],[PRIX UNITAIRE]])</f>
        <v>0</v>
      </c>
      <c r="F92" s="14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+$I$2+(AKHILDAHER[[#This Row],[QUANTITE]]*AKHILDAHER[[#This Row],[PRIX UNITAIRE]])</f>
        <v>0</v>
      </c>
      <c r="F93" s="14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+$I$2+(AKHILDAHER[[#This Row],[QUANTITE]]*AKHILDAHER[[#This Row],[PRIX UNITAIRE]])</f>
        <v>0</v>
      </c>
      <c r="F94" s="14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+$I$2+(AKHILDAHER[[#This Row],[QUANTITE]]*AKHILDAHER[[#This Row],[PRIX UNITAIRE]])</f>
        <v>0</v>
      </c>
      <c r="F95" s="14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+$I$2+(AKHILDAHER[[#This Row],[QUANTITE]]*AKHILDAHER[[#This Row],[PRIX UNITAIRE]])</f>
        <v>0</v>
      </c>
      <c r="F96" s="14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+$I$2+(AKHILDAHER[[#This Row],[QUANTITE]]*AKHILDAHER[[#This Row],[PRIX UNITAIRE]])</f>
        <v>0</v>
      </c>
      <c r="F97" s="14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+$I$2+(AKHILDAHER[[#This Row],[QUANTITE]]*AKHILDAHER[[#This Row],[PRIX UNITAIRE]])</f>
        <v>0</v>
      </c>
      <c r="F98" s="14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+$I$2+(AKHILDAHER[[#This Row],[QUANTITE]]*AKHILDAHER[[#This Row],[PRIX UNITAIRE]])</f>
        <v>0</v>
      </c>
      <c r="F99" s="14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+$I$2+(AKHILDAHER[[#This Row],[QUANTITE]]*AKHILDAHER[[#This Row],[PRIX UNITAIRE]])</f>
        <v>0</v>
      </c>
      <c r="F100" s="14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+$I$2+(AKHILDAHER[[#This Row],[QUANTITE]]*AKHILDAHER[[#This Row],[PRIX UNITAIRE]])</f>
        <v>0</v>
      </c>
      <c r="F101" s="14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+$I$2+(AKHILDAHER[[#This Row],[QUANTITE]]*AKHILDAHER[[#This Row],[PRIX UNITAIRE]])</f>
        <v>0</v>
      </c>
      <c r="F102" s="14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+$I$2+(AKHILDAHER[[#This Row],[QUANTITE]]*AKHILDAHER[[#This Row],[PRIX UNITAIRE]])</f>
        <v>0</v>
      </c>
      <c r="F103" s="14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+$I$2+(AKHILDAHER[[#This Row],[QUANTITE]]*AKHILDAHER[[#This Row],[PRIX UNITAIRE]])</f>
        <v>0</v>
      </c>
      <c r="F104" s="14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+$I$2+(AKHILDAHER[[#This Row],[QUANTITE]]*AKHILDAHER[[#This Row],[PRIX UNITAIRE]])</f>
        <v>0</v>
      </c>
      <c r="F105" s="14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+$I$2+(AKHILDAHER[[#This Row],[QUANTITE]]*AKHILDAHER[[#This Row],[PRIX UNITAIRE]])</f>
        <v>0</v>
      </c>
      <c r="F106" s="14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+$I$2+(AKHILDAHER[[#This Row],[QUANTITE]]*AKHILDAHER[[#This Row],[PRIX UNITAIRE]])</f>
        <v>0</v>
      </c>
      <c r="F107" s="14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+$I$2+(AKHILDAHER[[#This Row],[QUANTITE]]*AKHILDAHER[[#This Row],[PRIX UNITAIRE]])</f>
        <v>0</v>
      </c>
      <c r="F108" s="14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+$I$2+(AKHILDAHER[[#This Row],[QUANTITE]]*AKHILDAHER[[#This Row],[PRIX UNITAIRE]])</f>
        <v>0</v>
      </c>
      <c r="F109" s="14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+$I$2+(AKHILDAHER[[#This Row],[QUANTITE]]*AKHILDAHER[[#This Row],[PRIX UNITAIRE]])</f>
        <v>0</v>
      </c>
      <c r="F110" s="14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+$I$2+(AKHILDAHER[[#This Row],[QUANTITE]]*AKHILDAHER[[#This Row],[PRIX UNITAIRE]])</f>
        <v>0</v>
      </c>
      <c r="F111" s="14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+$I$2+(AKHILDAHER[[#This Row],[QUANTITE]]*AKHILDAHER[[#This Row],[PRIX UNITAIRE]])</f>
        <v>0</v>
      </c>
      <c r="F112" s="14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+$I$2+(AKHILDAHER[[#This Row],[QUANTITE]]*AKHILDAHER[[#This Row],[PRIX UNITAIRE]])</f>
        <v>0</v>
      </c>
      <c r="F113" s="14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+$I$2+(AKHILDAHER[[#This Row],[QUANTITE]]*AKHILDAHER[[#This Row],[PRIX UNITAIRE]])</f>
        <v>0</v>
      </c>
      <c r="F114" s="14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+$I$2+(AKHILDAHER[[#This Row],[QUANTITE]]*AKHILDAHER[[#This Row],[PRIX UNITAIRE]])</f>
        <v>0</v>
      </c>
      <c r="F115" s="14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+$I$2+(AKHILDAHER[[#This Row],[QUANTITE]]*AKHILDAHER[[#This Row],[PRIX UNITAIRE]])</f>
        <v>0</v>
      </c>
      <c r="F116" s="14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+$I$2+(AKHILDAHER[[#This Row],[QUANTITE]]*AKHILDAHER[[#This Row],[PRIX UNITAIRE]])</f>
        <v>0</v>
      </c>
      <c r="F117" s="14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+$I$2+(AKHILDAHER[[#This Row],[QUANTITE]]*AKHILDAHER[[#This Row],[PRIX UNITAIRE]])</f>
        <v>0</v>
      </c>
      <c r="F118" s="14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+$I$2+(AKHILDAHER[[#This Row],[QUANTITE]]*AKHILDAHER[[#This Row],[PRIX UNITAIRE]])</f>
        <v>0</v>
      </c>
      <c r="F119" s="14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+$I$2+(AKHILDAHER[[#This Row],[QUANTITE]]*AKHILDAHER[[#This Row],[PRIX UNITAIRE]])</f>
        <v>0</v>
      </c>
      <c r="F120" s="14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+$I$2+(AKHILDAHER[[#This Row],[QUANTITE]]*AKHILDAHER[[#This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+$I$2+(AKHILDAHER[[#This Row],[QUANTITE]]*AKHILDAHER[[#This Row],[PRIX UNITAIRE]])</f>
        <v>0</v>
      </c>
      <c r="F122" s="14"/>
      <c r="G122" s="6">
        <f>+SUM(E$9:$E122)-SUM(F$9:$F122)</f>
        <v>0</v>
      </c>
    </row>
  </sheetData>
  <sheetProtection selectLockedCells="1" autoFilter="0"/>
  <mergeCells count="1">
    <mergeCell ref="B6:C6"/>
  </mergeCells>
  <conditionalFormatting sqref="B9:B122">
    <cfRule type="expression" dxfId="308" priority="1">
      <formula>$F9</formula>
    </cfRule>
  </conditionalFormatting>
  <conditionalFormatting sqref="G4">
    <cfRule type="cellIs" dxfId="307" priority="3" operator="lessThan">
      <formula>0</formula>
    </cfRule>
    <cfRule type="cellIs" dxfId="306" priority="4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A1:I17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+SUM(CFAOMOBILITY[TOTAL MONTANT])</f>
        <v>500055</v>
      </c>
      <c r="F4" s="39">
        <f>+SUM(CFAOMOBILITY[VERSEMENT])</f>
        <v>0</v>
      </c>
      <c r="G4" s="97">
        <f>+E4-F4</f>
        <v>500055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177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46094</v>
      </c>
      <c r="B9" s="13" t="s">
        <v>178</v>
      </c>
      <c r="C9" s="10">
        <v>10</v>
      </c>
      <c r="D9" s="10">
        <v>5465</v>
      </c>
      <c r="E9" s="7">
        <f>+$I$2+(CFAOMOBILITY[[#This Row],[QUANTITE]]*CFAOMOBILITY[[#This Row],[PRIX UNITAIRE]])</f>
        <v>54650</v>
      </c>
      <c r="F9" s="20"/>
      <c r="G9" s="6">
        <f>+SUM(E$9:$E9)-SUM(F$9:$F9)</f>
        <v>54650</v>
      </c>
    </row>
    <row r="10" spans="1:9" ht="28.8" x14ac:dyDescent="0.55000000000000004">
      <c r="A10" s="12"/>
      <c r="B10" s="13" t="s">
        <v>179</v>
      </c>
      <c r="C10" s="10">
        <v>5</v>
      </c>
      <c r="D10" s="10">
        <v>6018</v>
      </c>
      <c r="E10" s="7">
        <f>+$I$2+(CFAOMOBILITY[[#This Row],[QUANTITE]]*CFAOMOBILITY[[#This Row],[PRIX UNITAIRE]])</f>
        <v>30090</v>
      </c>
      <c r="F10" s="21"/>
      <c r="G10" s="6">
        <f>+SUM(E$9:$E10)-SUM(F$9:$F10)</f>
        <v>84740</v>
      </c>
    </row>
    <row r="11" spans="1:9" ht="28.8" x14ac:dyDescent="0.55000000000000004">
      <c r="A11" s="12"/>
      <c r="B11" s="13" t="s">
        <v>180</v>
      </c>
      <c r="C11" s="10">
        <v>5</v>
      </c>
      <c r="D11" s="10">
        <v>5495</v>
      </c>
      <c r="E11" s="7">
        <f>+$I$2+(CFAOMOBILITY[[#This Row],[QUANTITE]]*CFAOMOBILITY[[#This Row],[PRIX UNITAIRE]])</f>
        <v>27475</v>
      </c>
      <c r="F11" s="14"/>
      <c r="G11" s="6">
        <f>+SUM(E$9:$E11)-SUM(F$9:$F11)</f>
        <v>112215</v>
      </c>
    </row>
    <row r="12" spans="1:9" ht="28.8" x14ac:dyDescent="0.55000000000000004">
      <c r="A12" s="12"/>
      <c r="B12" s="13" t="s">
        <v>181</v>
      </c>
      <c r="C12" s="10">
        <v>20</v>
      </c>
      <c r="D12" s="10">
        <v>15281</v>
      </c>
      <c r="E12" s="7">
        <f>+$I$2+(CFAOMOBILITY[[#This Row],[QUANTITE]]*CFAOMOBILITY[[#This Row],[PRIX UNITAIRE]])</f>
        <v>305620</v>
      </c>
      <c r="F12" s="14"/>
      <c r="G12" s="6">
        <f>+SUM(E$9:$E12)-SUM(F$9:$F12)</f>
        <v>417835</v>
      </c>
    </row>
    <row r="13" spans="1:9" ht="28.8" x14ac:dyDescent="0.55000000000000004">
      <c r="A13" s="12"/>
      <c r="B13" s="13" t="s">
        <v>182</v>
      </c>
      <c r="C13" s="10">
        <v>20</v>
      </c>
      <c r="D13" s="10">
        <v>4111</v>
      </c>
      <c r="E13" s="7">
        <f>+$I$2+(CFAOMOBILITY[[#This Row],[QUANTITE]]*CFAOMOBILITY[[#This Row],[PRIX UNITAIRE]])</f>
        <v>82220</v>
      </c>
      <c r="F13" s="14"/>
      <c r="G13" s="6">
        <f>+SUM(E$9:$E13)-SUM(F$9:$F13)</f>
        <v>500055</v>
      </c>
    </row>
    <row r="14" spans="1:9" ht="28.8" x14ac:dyDescent="0.55000000000000004">
      <c r="A14" s="12"/>
      <c r="B14" s="13"/>
      <c r="C14" s="10"/>
      <c r="D14" s="10"/>
      <c r="E14" s="7">
        <f>+$I$2+(CFAOMOBILITY[[#This Row],[QUANTITE]]*CFAOMOBILITY[[#This Row],[PRIX UNITAIRE]])</f>
        <v>0</v>
      </c>
      <c r="F14" s="14"/>
      <c r="G14" s="6">
        <f>+SUM(E$9:$E14)-SUM(F$9:$F14)</f>
        <v>500055</v>
      </c>
    </row>
    <row r="15" spans="1:9" ht="28.8" x14ac:dyDescent="0.55000000000000004">
      <c r="A15" s="12"/>
      <c r="B15" s="13"/>
      <c r="C15" s="10"/>
      <c r="D15" s="10"/>
      <c r="E15" s="7">
        <f>+$I$2+(CFAOMOBILITY[[#This Row],[QUANTITE]]*CFAOMOBILITY[[#This Row],[PRIX UNITAIRE]])</f>
        <v>0</v>
      </c>
      <c r="F15" s="14"/>
      <c r="G15" s="6">
        <f>+SUM(E$9:$E15)-SUM(F$9:$F15)</f>
        <v>500055</v>
      </c>
    </row>
    <row r="16" spans="1:9" ht="28.8" x14ac:dyDescent="0.55000000000000004">
      <c r="A16" s="12"/>
      <c r="B16" s="13"/>
      <c r="C16" s="10"/>
      <c r="D16" s="10"/>
      <c r="E16" s="7">
        <f>+$I$2+(CFAOMOBILITY[[#This Row],[QUANTITE]]*CFAOMOBILITY[[#This Row],[PRIX UNITAIRE]])</f>
        <v>0</v>
      </c>
      <c r="F16" s="14"/>
      <c r="G16" s="6">
        <f>+SUM(E$9:$E16)-SUM(F$9:$F16)</f>
        <v>500055</v>
      </c>
    </row>
    <row r="17" spans="1:7" ht="28.8" x14ac:dyDescent="0.55000000000000004">
      <c r="A17" s="12"/>
      <c r="B17" s="13"/>
      <c r="C17" s="10"/>
      <c r="D17" s="10"/>
      <c r="E17" s="7">
        <f>+$I$2+(CFAOMOBILITY[[#This Row],[QUANTITE]]*CFAOMOBILITY[[#This Row],[PRIX UNITAIRE]])</f>
        <v>0</v>
      </c>
      <c r="F17" s="14"/>
      <c r="G17" s="6">
        <f>+SUM(E$9:$E17)-SUM(F$9:$F17)</f>
        <v>500055</v>
      </c>
    </row>
    <row r="18" spans="1:7" ht="28.8" x14ac:dyDescent="0.55000000000000004">
      <c r="A18" s="12"/>
      <c r="B18" s="13"/>
      <c r="C18" s="10"/>
      <c r="D18" s="10"/>
      <c r="E18" s="7">
        <f>+$I$2+(CFAOMOBILITY[[#This Row],[QUANTITE]]*CFAOMOBILITY[[#This Row],[PRIX UNITAIRE]])</f>
        <v>0</v>
      </c>
      <c r="F18" s="14"/>
      <c r="G18" s="6">
        <f>+SUM(E$9:$E18)-SUM(F$9:$F18)</f>
        <v>500055</v>
      </c>
    </row>
    <row r="19" spans="1:7" ht="28.8" x14ac:dyDescent="0.55000000000000004">
      <c r="A19" s="12"/>
      <c r="B19" s="13"/>
      <c r="C19" s="10"/>
      <c r="D19" s="10"/>
      <c r="E19" s="7">
        <f>+$I$2+(CFAOMOBILITY[[#This Row],[QUANTITE]]*CFAOMOBILITY[[#This Row],[PRIX UNITAIRE]])</f>
        <v>0</v>
      </c>
      <c r="F19" s="14"/>
      <c r="G19" s="6">
        <f>+SUM(E$9:$E19)-SUM(F$9:$F19)</f>
        <v>500055</v>
      </c>
    </row>
    <row r="20" spans="1:7" ht="28.8" x14ac:dyDescent="0.55000000000000004">
      <c r="A20" s="12"/>
      <c r="B20" s="13"/>
      <c r="C20" s="10"/>
      <c r="D20" s="10"/>
      <c r="E20" s="7">
        <f>+$I$2+(CFAOMOBILITY[[#This Row],[QUANTITE]]*CFAOMOBILITY[[#This Row],[PRIX UNITAIRE]])</f>
        <v>0</v>
      </c>
      <c r="F20" s="14"/>
      <c r="G20" s="6">
        <f>+SUM(E$9:$E20)-SUM(F$9:$F20)</f>
        <v>500055</v>
      </c>
    </row>
    <row r="21" spans="1:7" ht="28.8" x14ac:dyDescent="0.55000000000000004">
      <c r="A21" s="12"/>
      <c r="B21" s="13"/>
      <c r="C21" s="10"/>
      <c r="D21" s="10"/>
      <c r="E21" s="7">
        <f>+$I$2+(CFAOMOBILITY[[#This Row],[QUANTITE]]*CFAOMOBILITY[[#This Row],[PRIX UNITAIRE]])</f>
        <v>0</v>
      </c>
      <c r="F21" s="14"/>
      <c r="G21" s="6">
        <f>+SUM(E$9:$E21)-SUM(F$9:$F21)</f>
        <v>500055</v>
      </c>
    </row>
    <row r="22" spans="1:7" ht="28.8" x14ac:dyDescent="0.55000000000000004">
      <c r="A22" s="12"/>
      <c r="B22" s="13"/>
      <c r="C22" s="10"/>
      <c r="D22" s="10"/>
      <c r="E22" s="7">
        <f>+$I$2+(CFAOMOBILITY[[#This Row],[QUANTITE]]*CFAOMOBILITY[[#This Row],[PRIX UNITAIRE]])</f>
        <v>0</v>
      </c>
      <c r="F22" s="14"/>
      <c r="G22" s="6">
        <f>+SUM(E$9:$E22)-SUM(F$9:$F22)</f>
        <v>500055</v>
      </c>
    </row>
    <row r="23" spans="1:7" ht="28.8" x14ac:dyDescent="0.55000000000000004">
      <c r="A23" s="12"/>
      <c r="B23" s="13"/>
      <c r="C23" s="10"/>
      <c r="D23" s="10"/>
      <c r="E23" s="7">
        <f>+$I$2+(CFAOMOBILITY[[#This Row],[QUANTITE]]*CFAOMOBILITY[[#This Row],[PRIX UNITAIRE]])</f>
        <v>0</v>
      </c>
      <c r="F23" s="14"/>
      <c r="G23" s="6">
        <f>+SUM(E$9:$E23)-SUM(F$9:$F23)</f>
        <v>500055</v>
      </c>
    </row>
    <row r="24" spans="1:7" ht="28.8" x14ac:dyDescent="0.55000000000000004">
      <c r="A24" s="12"/>
      <c r="B24" s="13"/>
      <c r="C24" s="10"/>
      <c r="D24" s="10"/>
      <c r="E24" s="7">
        <f>+$I$2+(CFAOMOBILITY[[#This Row],[QUANTITE]]*CFAOMOBILITY[[#This Row],[PRIX UNITAIRE]])</f>
        <v>0</v>
      </c>
      <c r="F24" s="14"/>
      <c r="G24" s="6">
        <f>+SUM(E$9:$E24)-SUM(F$9:$F24)</f>
        <v>500055</v>
      </c>
    </row>
    <row r="25" spans="1:7" ht="28.8" x14ac:dyDescent="0.55000000000000004">
      <c r="A25" s="12"/>
      <c r="B25" s="13"/>
      <c r="C25" s="10"/>
      <c r="D25" s="10"/>
      <c r="E25" s="7">
        <f>+$I$2+(CFAOMOBILITY[[#This Row],[QUANTITE]]*CFAOMOBILITY[[#This Row],[PRIX UNITAIRE]])</f>
        <v>0</v>
      </c>
      <c r="F25" s="14"/>
      <c r="G25" s="6">
        <f>+SUM(E$9:$E25)-SUM(F$9:$F25)</f>
        <v>500055</v>
      </c>
    </row>
    <row r="26" spans="1:7" ht="28.8" x14ac:dyDescent="0.55000000000000004">
      <c r="A26" s="12"/>
      <c r="B26" s="13"/>
      <c r="C26" s="10"/>
      <c r="D26" s="10"/>
      <c r="E26" s="7">
        <f>+$I$2+(CFAOMOBILITY[[#This Row],[QUANTITE]]*CFAOMOBILITY[[#This Row],[PRIX UNITAIRE]])</f>
        <v>0</v>
      </c>
      <c r="F26" s="14"/>
      <c r="G26" s="6">
        <f>+SUM(E$9:$E26)-SUM(F$9:$F26)</f>
        <v>500055</v>
      </c>
    </row>
    <row r="27" spans="1:7" ht="28.8" x14ac:dyDescent="0.55000000000000004">
      <c r="A27" s="12"/>
      <c r="B27" s="13"/>
      <c r="C27" s="10"/>
      <c r="D27" s="10"/>
      <c r="E27" s="7">
        <f>+$I$2+(CFAOMOBILITY[[#This Row],[QUANTITE]]*CFAOMOBILITY[[#This Row],[PRIX UNITAIRE]])</f>
        <v>0</v>
      </c>
      <c r="F27" s="14"/>
      <c r="G27" s="6">
        <f>+SUM(E$9:$E27)-SUM(F$9:$F27)</f>
        <v>500055</v>
      </c>
    </row>
    <row r="28" spans="1:7" ht="28.8" x14ac:dyDescent="0.55000000000000004">
      <c r="A28" s="12"/>
      <c r="B28" s="13"/>
      <c r="C28" s="10"/>
      <c r="D28" s="10"/>
      <c r="E28" s="7">
        <f>+$I$2+(CFAOMOBILITY[[#This Row],[QUANTITE]]*CFAOMOBILITY[[#This Row],[PRIX UNITAIRE]])</f>
        <v>0</v>
      </c>
      <c r="F28" s="14"/>
      <c r="G28" s="6">
        <f>+SUM(E$9:$E28)-SUM(F$9:$F28)</f>
        <v>500055</v>
      </c>
    </row>
    <row r="29" spans="1:7" ht="28.8" x14ac:dyDescent="0.55000000000000004">
      <c r="A29" s="12"/>
      <c r="B29" s="13"/>
      <c r="C29" s="10"/>
      <c r="D29" s="10"/>
      <c r="E29" s="7">
        <f>+$I$2+(CFAOMOBILITY[[#This Row],[QUANTITE]]*CFAOMOBILITY[[#This Row],[PRIX UNITAIRE]])</f>
        <v>0</v>
      </c>
      <c r="F29" s="14"/>
      <c r="G29" s="6">
        <f>+SUM(E$9:$E29)-SUM(F$9:$F29)</f>
        <v>500055</v>
      </c>
    </row>
    <row r="30" spans="1:7" ht="28.8" x14ac:dyDescent="0.55000000000000004">
      <c r="A30" s="12"/>
      <c r="B30" s="13"/>
      <c r="C30" s="10"/>
      <c r="D30" s="10"/>
      <c r="E30" s="7">
        <f>+$I$2+(CFAOMOBILITY[[#This Row],[QUANTITE]]*CFAOMOBILITY[[#This Row],[PRIX UNITAIRE]])</f>
        <v>0</v>
      </c>
      <c r="F30" s="14"/>
      <c r="G30" s="6">
        <f>+SUM(E$9:$E30)-SUM(F$9:$F30)</f>
        <v>500055</v>
      </c>
    </row>
    <row r="31" spans="1:7" ht="28.8" x14ac:dyDescent="0.55000000000000004">
      <c r="A31" s="12"/>
      <c r="B31" s="13"/>
      <c r="C31" s="10"/>
      <c r="D31" s="10"/>
      <c r="E31" s="7">
        <f>+$I$2+(CFAOMOBILITY[[#This Row],[QUANTITE]]*CFAOMOBILITY[[#This Row],[PRIX UNITAIRE]])</f>
        <v>0</v>
      </c>
      <c r="F31" s="14"/>
      <c r="G31" s="6">
        <f>+SUM(E$9:$E31)-SUM(F$9:$F31)</f>
        <v>500055</v>
      </c>
    </row>
    <row r="32" spans="1:7" ht="28.8" x14ac:dyDescent="0.55000000000000004">
      <c r="A32" s="12"/>
      <c r="B32" s="13"/>
      <c r="C32" s="10"/>
      <c r="D32" s="10"/>
      <c r="E32" s="7">
        <f>+$I$2+(CFAOMOBILITY[[#This Row],[QUANTITE]]*CFAOMOBILITY[[#This Row],[PRIX UNITAIRE]])</f>
        <v>0</v>
      </c>
      <c r="F32" s="14"/>
      <c r="G32" s="6">
        <f>+SUM(E$9:$E32)-SUM(F$9:$F32)</f>
        <v>500055</v>
      </c>
    </row>
    <row r="33" spans="1:7" ht="28.8" x14ac:dyDescent="0.55000000000000004">
      <c r="A33" s="12"/>
      <c r="B33" s="13"/>
      <c r="C33" s="10"/>
      <c r="D33" s="10"/>
      <c r="E33" s="7">
        <f>+$I$2+(CFAOMOBILITY[[#This Row],[QUANTITE]]*CFAOMOBILITY[[#This Row],[PRIX UNITAIRE]])</f>
        <v>0</v>
      </c>
      <c r="F33" s="14"/>
      <c r="G33" s="6">
        <f>+SUM(E$9:$E33)-SUM(F$9:$F33)</f>
        <v>500055</v>
      </c>
    </row>
    <row r="34" spans="1:7" ht="28.8" x14ac:dyDescent="0.55000000000000004">
      <c r="A34" s="12"/>
      <c r="B34" s="13"/>
      <c r="C34" s="10"/>
      <c r="D34" s="10"/>
      <c r="E34" s="7">
        <f>+$I$2+(CFAOMOBILITY[[#This Row],[QUANTITE]]*CFAOMOBILITY[[#This Row],[PRIX UNITAIRE]])</f>
        <v>0</v>
      </c>
      <c r="F34" s="14"/>
      <c r="G34" s="6">
        <f>+SUM(E$9:$E34)-SUM(F$9:$F34)</f>
        <v>500055</v>
      </c>
    </row>
    <row r="35" spans="1:7" ht="28.8" x14ac:dyDescent="0.55000000000000004">
      <c r="A35" s="12"/>
      <c r="B35" s="13"/>
      <c r="C35" s="10"/>
      <c r="D35" s="10"/>
      <c r="E35" s="7">
        <f>+$I$2+(CFAOMOBILITY[[#This Row],[QUANTITE]]*CFAOMOBILITY[[#This Row],[PRIX UNITAIRE]])</f>
        <v>0</v>
      </c>
      <c r="F35" s="14"/>
      <c r="G35" s="6">
        <f>+SUM(E$9:$E35)-SUM(F$9:$F35)</f>
        <v>500055</v>
      </c>
    </row>
    <row r="36" spans="1:7" ht="28.8" x14ac:dyDescent="0.55000000000000004">
      <c r="A36" s="12"/>
      <c r="B36" s="13"/>
      <c r="C36" s="10"/>
      <c r="D36" s="10"/>
      <c r="E36" s="7">
        <f>+$I$2+(CFAOMOBILITY[[#This Row],[QUANTITE]]*CFAOMOBILITY[[#This Row],[PRIX UNITAIRE]])</f>
        <v>0</v>
      </c>
      <c r="F36" s="14"/>
      <c r="G36" s="6">
        <f>+SUM(E$9:$E36)-SUM(F$9:$F36)</f>
        <v>500055</v>
      </c>
    </row>
    <row r="37" spans="1:7" ht="28.8" x14ac:dyDescent="0.55000000000000004">
      <c r="A37" s="12"/>
      <c r="B37" s="13"/>
      <c r="C37" s="10"/>
      <c r="D37" s="10"/>
      <c r="E37" s="7">
        <f>+$I$2+(CFAOMOBILITY[[#This Row],[QUANTITE]]*CFAOMOBILITY[[#This Row],[PRIX UNITAIRE]])</f>
        <v>0</v>
      </c>
      <c r="F37" s="14"/>
      <c r="G37" s="6">
        <f>+SUM(E$9:$E37)-SUM(F$9:$F37)</f>
        <v>500055</v>
      </c>
    </row>
    <row r="38" spans="1:7" ht="28.8" x14ac:dyDescent="0.55000000000000004">
      <c r="A38" s="12"/>
      <c r="B38" s="13"/>
      <c r="C38" s="10"/>
      <c r="D38" s="10"/>
      <c r="E38" s="7">
        <f>+$I$2+(CFAOMOBILITY[[#This Row],[QUANTITE]]*CFAOMOBILITY[[#This Row],[PRIX UNITAIRE]])</f>
        <v>0</v>
      </c>
      <c r="F38" s="14"/>
      <c r="G38" s="6">
        <f>+SUM(E$9:$E38)-SUM(F$9:$F38)</f>
        <v>500055</v>
      </c>
    </row>
    <row r="39" spans="1:7" ht="28.8" x14ac:dyDescent="0.55000000000000004">
      <c r="A39" s="12"/>
      <c r="B39" s="13"/>
      <c r="C39" s="10"/>
      <c r="D39" s="10"/>
      <c r="E39" s="7">
        <f>+$I$2+(CFAOMOBILITY[[#This Row],[QUANTITE]]*CFAOMOBILITY[[#This Row],[PRIX UNITAIRE]])</f>
        <v>0</v>
      </c>
      <c r="F39" s="14"/>
      <c r="G39" s="6">
        <f>+SUM(E$9:$E39)-SUM(F$9:$F39)</f>
        <v>500055</v>
      </c>
    </row>
    <row r="40" spans="1:7" ht="28.8" x14ac:dyDescent="0.55000000000000004">
      <c r="A40" s="12"/>
      <c r="B40" s="13"/>
      <c r="C40" s="10"/>
      <c r="D40" s="10"/>
      <c r="E40" s="7">
        <f>+$I$2+(CFAOMOBILITY[[#This Row],[QUANTITE]]*CFAOMOBILITY[[#This Row],[PRIX UNITAIRE]])</f>
        <v>0</v>
      </c>
      <c r="F40" s="14"/>
      <c r="G40" s="6">
        <f>+SUM(E$9:$E40)-SUM(F$9:$F40)</f>
        <v>500055</v>
      </c>
    </row>
    <row r="41" spans="1:7" ht="28.8" x14ac:dyDescent="0.55000000000000004">
      <c r="A41" s="12"/>
      <c r="B41" s="13"/>
      <c r="C41" s="10"/>
      <c r="D41" s="10"/>
      <c r="E41" s="7">
        <f>+$I$2+(CFAOMOBILITY[[#This Row],[QUANTITE]]*CFAOMOBILITY[[#This Row],[PRIX UNITAIRE]])</f>
        <v>0</v>
      </c>
      <c r="F41" s="14"/>
      <c r="G41" s="6">
        <f>+SUM(E$9:$E41)-SUM(F$9:$F41)</f>
        <v>500055</v>
      </c>
    </row>
    <row r="42" spans="1:7" ht="28.8" x14ac:dyDescent="0.55000000000000004">
      <c r="A42" s="12"/>
      <c r="B42" s="13"/>
      <c r="C42" s="10"/>
      <c r="D42" s="10"/>
      <c r="E42" s="7">
        <f>+$I$2+(CFAOMOBILITY[[#This Row],[QUANTITE]]*CFAOMOBILITY[[#This Row],[PRIX UNITAIRE]])</f>
        <v>0</v>
      </c>
      <c r="F42" s="14"/>
      <c r="G42" s="6">
        <f>+SUM(E$9:$E42)-SUM(F$9:$F42)</f>
        <v>500055</v>
      </c>
    </row>
    <row r="43" spans="1:7" ht="28.8" x14ac:dyDescent="0.55000000000000004">
      <c r="A43" s="12"/>
      <c r="B43" s="13"/>
      <c r="C43" s="10"/>
      <c r="D43" s="10"/>
      <c r="E43" s="7">
        <f>+$I$2+(CFAOMOBILITY[[#This Row],[QUANTITE]]*CFAOMOBILITY[[#This Row],[PRIX UNITAIRE]])</f>
        <v>0</v>
      </c>
      <c r="F43" s="14"/>
      <c r="G43" s="6">
        <f>+SUM(E$9:$E43)-SUM(F$9:$F43)</f>
        <v>500055</v>
      </c>
    </row>
    <row r="44" spans="1:7" ht="28.8" x14ac:dyDescent="0.55000000000000004">
      <c r="A44" s="12"/>
      <c r="B44" s="13"/>
      <c r="C44" s="10"/>
      <c r="D44" s="10"/>
      <c r="E44" s="7">
        <f>+$I$2+(CFAOMOBILITY[[#This Row],[QUANTITE]]*CFAOMOBILITY[[#This Row],[PRIX UNITAIRE]])</f>
        <v>0</v>
      </c>
      <c r="F44" s="14"/>
      <c r="G44" s="6">
        <f>+SUM(E$9:$E44)-SUM(F$9:$F44)</f>
        <v>500055</v>
      </c>
    </row>
    <row r="45" spans="1:7" ht="28.8" x14ac:dyDescent="0.55000000000000004">
      <c r="A45" s="12"/>
      <c r="B45" s="13"/>
      <c r="C45" s="10"/>
      <c r="D45" s="10"/>
      <c r="E45" s="7">
        <f>+$I$2+(CFAOMOBILITY[[#This Row],[QUANTITE]]*CFAOMOBILITY[[#This Row],[PRIX UNITAIRE]])</f>
        <v>0</v>
      </c>
      <c r="F45" s="14"/>
      <c r="G45" s="6">
        <f>+SUM(E$9:$E45)-SUM(F$9:$F45)</f>
        <v>500055</v>
      </c>
    </row>
    <row r="46" spans="1:7" ht="28.8" x14ac:dyDescent="0.55000000000000004">
      <c r="A46" s="12"/>
      <c r="B46" s="13"/>
      <c r="C46" s="10"/>
      <c r="D46" s="10"/>
      <c r="E46" s="7">
        <f>+$I$2+(CFAOMOBILITY[[#This Row],[QUANTITE]]*CFAOMOBILITY[[#This Row],[PRIX UNITAIRE]])</f>
        <v>0</v>
      </c>
      <c r="F46" s="14"/>
      <c r="G46" s="6">
        <f>+SUM(E$9:$E46)-SUM(F$9:$F46)</f>
        <v>500055</v>
      </c>
    </row>
    <row r="47" spans="1:7" ht="28.8" x14ac:dyDescent="0.55000000000000004">
      <c r="A47" s="12"/>
      <c r="B47" s="13"/>
      <c r="C47" s="10"/>
      <c r="D47" s="10"/>
      <c r="E47" s="7">
        <f>+$I$2+(CFAOMOBILITY[[#This Row],[QUANTITE]]*CFAOMOBILITY[[#This Row],[PRIX UNITAIRE]])</f>
        <v>0</v>
      </c>
      <c r="F47" s="14"/>
      <c r="G47" s="6">
        <f>+SUM(E$9:$E47)-SUM(F$9:$F47)</f>
        <v>500055</v>
      </c>
    </row>
    <row r="48" spans="1:7" ht="28.8" x14ac:dyDescent="0.55000000000000004">
      <c r="A48" s="12"/>
      <c r="B48" s="13"/>
      <c r="C48" s="10"/>
      <c r="D48" s="10"/>
      <c r="E48" s="7">
        <f>+$I$2+(CFAOMOBILITY[[#This Row],[QUANTITE]]*CFAOMOBILITY[[#This Row],[PRIX UNITAIRE]])</f>
        <v>0</v>
      </c>
      <c r="F48" s="14"/>
      <c r="G48" s="6">
        <f>+SUM(E$9:$E48)-SUM(F$9:$F48)</f>
        <v>500055</v>
      </c>
    </row>
    <row r="49" spans="1:7" ht="28.8" x14ac:dyDescent="0.55000000000000004">
      <c r="A49" s="12"/>
      <c r="B49" s="13"/>
      <c r="C49" s="10"/>
      <c r="D49" s="10"/>
      <c r="E49" s="7">
        <f>+$I$2+(CFAOMOBILITY[[#This Row],[QUANTITE]]*CFAOMOBILITY[[#This Row],[PRIX UNITAIRE]])</f>
        <v>0</v>
      </c>
      <c r="F49" s="14"/>
      <c r="G49" s="6">
        <f>+SUM(E$9:$E49)-SUM(F$9:$F49)</f>
        <v>500055</v>
      </c>
    </row>
    <row r="50" spans="1:7" ht="28.8" x14ac:dyDescent="0.55000000000000004">
      <c r="A50" s="12"/>
      <c r="B50" s="13"/>
      <c r="C50" s="10"/>
      <c r="D50" s="10"/>
      <c r="E50" s="7">
        <f>+$I$2+(CFAOMOBILITY[[#This Row],[QUANTITE]]*CFAOMOBILITY[[#This Row],[PRIX UNITAIRE]])</f>
        <v>0</v>
      </c>
      <c r="F50" s="14"/>
      <c r="G50" s="6">
        <f>+SUM(E$9:$E50)-SUM(F$9:$F50)</f>
        <v>500055</v>
      </c>
    </row>
    <row r="51" spans="1:7" ht="28.8" x14ac:dyDescent="0.55000000000000004">
      <c r="A51" s="12"/>
      <c r="B51" s="13"/>
      <c r="C51" s="10"/>
      <c r="D51" s="10"/>
      <c r="E51" s="7">
        <f>+$I$2+(CFAOMOBILITY[[#This Row],[QUANTITE]]*CFAOMOBILITY[[#This Row],[PRIX UNITAIRE]])</f>
        <v>0</v>
      </c>
      <c r="F51" s="14"/>
      <c r="G51" s="6">
        <f>+SUM(E$9:$E51)-SUM(F$9:$F51)</f>
        <v>500055</v>
      </c>
    </row>
    <row r="52" spans="1:7" ht="28.8" x14ac:dyDescent="0.55000000000000004">
      <c r="A52" s="12"/>
      <c r="B52" s="13"/>
      <c r="C52" s="10"/>
      <c r="D52" s="10"/>
      <c r="E52" s="7">
        <f>+$I$2+(CFAOMOBILITY[[#This Row],[QUANTITE]]*CFAOMOBILITY[[#This Row],[PRIX UNITAIRE]])</f>
        <v>0</v>
      </c>
      <c r="F52" s="14"/>
      <c r="G52" s="6">
        <f>+SUM(E$9:$E52)-SUM(F$9:$F52)</f>
        <v>500055</v>
      </c>
    </row>
    <row r="53" spans="1:7" ht="28.8" x14ac:dyDescent="0.55000000000000004">
      <c r="A53" s="12"/>
      <c r="B53" s="13"/>
      <c r="C53" s="10"/>
      <c r="D53" s="10"/>
      <c r="E53" s="7">
        <f>+$I$2+(CFAOMOBILITY[[#This Row],[QUANTITE]]*CFAOMOBILITY[[#This Row],[PRIX UNITAIRE]])</f>
        <v>0</v>
      </c>
      <c r="F53" s="14"/>
      <c r="G53" s="6">
        <f>+SUM(E$9:$E53)-SUM(F$9:$F53)</f>
        <v>500055</v>
      </c>
    </row>
    <row r="54" spans="1:7" ht="28.8" x14ac:dyDescent="0.55000000000000004">
      <c r="A54" s="12"/>
      <c r="B54" s="13"/>
      <c r="C54" s="10"/>
      <c r="D54" s="10"/>
      <c r="E54" s="7">
        <f>+$I$2+(CFAOMOBILITY[[#This Row],[QUANTITE]]*CFAOMOBILITY[[#This Row],[PRIX UNITAIRE]])</f>
        <v>0</v>
      </c>
      <c r="F54" s="14"/>
      <c r="G54" s="6">
        <f>+SUM(E$9:$E54)-SUM(F$9:$F54)</f>
        <v>500055</v>
      </c>
    </row>
    <row r="55" spans="1:7" ht="28.8" x14ac:dyDescent="0.55000000000000004">
      <c r="A55" s="12"/>
      <c r="B55" s="13"/>
      <c r="C55" s="10"/>
      <c r="D55" s="10"/>
      <c r="E55" s="7">
        <f>+$I$2+(CFAOMOBILITY[[#This Row],[QUANTITE]]*CFAOMOBILITY[[#This Row],[PRIX UNITAIRE]])</f>
        <v>0</v>
      </c>
      <c r="F55" s="14"/>
      <c r="G55" s="6">
        <f>+SUM(E$9:$E55)-SUM(F$9:$F55)</f>
        <v>500055</v>
      </c>
    </row>
    <row r="56" spans="1:7" ht="28.8" x14ac:dyDescent="0.55000000000000004">
      <c r="A56" s="12"/>
      <c r="B56" s="13"/>
      <c r="C56" s="10"/>
      <c r="D56" s="10"/>
      <c r="E56" s="7">
        <f>+$I$2+(CFAOMOBILITY[[#This Row],[QUANTITE]]*CFAOMOBILITY[[#This Row],[PRIX UNITAIRE]])</f>
        <v>0</v>
      </c>
      <c r="F56" s="14"/>
      <c r="G56" s="6">
        <f>+SUM(E$9:$E56)-SUM(F$9:$F56)</f>
        <v>500055</v>
      </c>
    </row>
    <row r="57" spans="1:7" ht="28.8" x14ac:dyDescent="0.55000000000000004">
      <c r="A57" s="12"/>
      <c r="B57" s="13"/>
      <c r="C57" s="10"/>
      <c r="D57" s="10"/>
      <c r="E57" s="7">
        <f>+$I$2+(CFAOMOBILITY[[#This Row],[QUANTITE]]*CFAOMOBILITY[[#This Row],[PRIX UNITAIRE]])</f>
        <v>0</v>
      </c>
      <c r="F57" s="14"/>
      <c r="G57" s="6">
        <f>+SUM(E$9:$E57)-SUM(F$9:$F57)</f>
        <v>500055</v>
      </c>
    </row>
    <row r="58" spans="1:7" ht="28.8" x14ac:dyDescent="0.55000000000000004">
      <c r="A58" s="12"/>
      <c r="B58" s="13"/>
      <c r="C58" s="10"/>
      <c r="D58" s="10"/>
      <c r="E58" s="7">
        <f>+$I$2+(CFAOMOBILITY[[#This Row],[QUANTITE]]*CFAOMOBILITY[[#This Row],[PRIX UNITAIRE]])</f>
        <v>0</v>
      </c>
      <c r="F58" s="14"/>
      <c r="G58" s="6">
        <f>+SUM(E$9:$E58)-SUM(F$9:$F58)</f>
        <v>500055</v>
      </c>
    </row>
    <row r="59" spans="1:7" ht="28.8" x14ac:dyDescent="0.55000000000000004">
      <c r="A59" s="12"/>
      <c r="B59" s="13"/>
      <c r="C59" s="10"/>
      <c r="D59" s="10"/>
      <c r="E59" s="7">
        <f>+$I$2+(CFAOMOBILITY[[#This Row],[QUANTITE]]*CFAOMOBILITY[[#This Row],[PRIX UNITAIRE]])</f>
        <v>0</v>
      </c>
      <c r="F59" s="14"/>
      <c r="G59" s="6">
        <f>+SUM(E$9:$E59)-SUM(F$9:$F59)</f>
        <v>500055</v>
      </c>
    </row>
    <row r="60" spans="1:7" ht="28.8" x14ac:dyDescent="0.55000000000000004">
      <c r="A60" s="12"/>
      <c r="B60" s="13"/>
      <c r="C60" s="10"/>
      <c r="D60" s="10"/>
      <c r="E60" s="7">
        <f>+$I$2+(CFAOMOBILITY[[#This Row],[QUANTITE]]*CFAOMOBILITY[[#This Row],[PRIX UNITAIRE]])</f>
        <v>0</v>
      </c>
      <c r="F60" s="14"/>
      <c r="G60" s="6">
        <f>+SUM(E$9:$E60)-SUM(F$9:$F60)</f>
        <v>500055</v>
      </c>
    </row>
    <row r="61" spans="1:7" ht="28.8" x14ac:dyDescent="0.55000000000000004">
      <c r="A61" s="12"/>
      <c r="B61" s="13"/>
      <c r="C61" s="10"/>
      <c r="D61" s="10"/>
      <c r="E61" s="7">
        <f>+$I$2+(CFAOMOBILITY[[#This Row],[QUANTITE]]*CFAOMOBILITY[[#This Row],[PRIX UNITAIRE]])</f>
        <v>0</v>
      </c>
      <c r="F61" s="14"/>
      <c r="G61" s="6">
        <f>+SUM(E$9:$E61)-SUM(F$9:$F61)</f>
        <v>500055</v>
      </c>
    </row>
    <row r="62" spans="1:7" ht="28.8" x14ac:dyDescent="0.55000000000000004">
      <c r="A62" s="12"/>
      <c r="B62" s="13"/>
      <c r="C62" s="10"/>
      <c r="D62" s="10"/>
      <c r="E62" s="7">
        <f>+$I$2+(CFAOMOBILITY[[#This Row],[QUANTITE]]*CFAOMOBILITY[[#This Row],[PRIX UNITAIRE]])</f>
        <v>0</v>
      </c>
      <c r="F62" s="14"/>
      <c r="G62" s="6">
        <f>+SUM(E$9:$E62)-SUM(F$9:$F62)</f>
        <v>500055</v>
      </c>
    </row>
    <row r="63" spans="1:7" ht="28.8" x14ac:dyDescent="0.55000000000000004">
      <c r="A63" s="12"/>
      <c r="B63" s="13"/>
      <c r="C63" s="10"/>
      <c r="D63" s="10"/>
      <c r="E63" s="7">
        <f>+$I$2+(CFAOMOBILITY[[#This Row],[QUANTITE]]*CFAOMOBILITY[[#This Row],[PRIX UNITAIRE]])</f>
        <v>0</v>
      </c>
      <c r="F63" s="14"/>
      <c r="G63" s="6">
        <f>+SUM(E$9:$E63)-SUM(F$9:$F63)</f>
        <v>500055</v>
      </c>
    </row>
    <row r="64" spans="1:7" ht="28.8" x14ac:dyDescent="0.55000000000000004">
      <c r="A64" s="12"/>
      <c r="B64" s="13"/>
      <c r="C64" s="10"/>
      <c r="D64" s="10"/>
      <c r="E64" s="7">
        <f>+$I$2+(CFAOMOBILITY[[#This Row],[QUANTITE]]*CFAOMOBILITY[[#This Row],[PRIX UNITAIRE]])</f>
        <v>0</v>
      </c>
      <c r="F64" s="14"/>
      <c r="G64" s="6">
        <f>+SUM(E$9:$E64)-SUM(F$9:$F64)</f>
        <v>500055</v>
      </c>
    </row>
    <row r="65" spans="1:7" ht="28.8" x14ac:dyDescent="0.55000000000000004">
      <c r="A65" s="12"/>
      <c r="B65" s="13"/>
      <c r="C65" s="10"/>
      <c r="D65" s="10"/>
      <c r="E65" s="7">
        <f>+$I$2+(CFAOMOBILITY[[#This Row],[QUANTITE]]*CFAOMOBILITY[[#This Row],[PRIX UNITAIRE]])</f>
        <v>0</v>
      </c>
      <c r="F65" s="14"/>
      <c r="G65" s="6">
        <f>+SUM(E$9:$E65)-SUM(F$9:$F65)</f>
        <v>500055</v>
      </c>
    </row>
    <row r="66" spans="1:7" ht="28.8" x14ac:dyDescent="0.55000000000000004">
      <c r="A66" s="12"/>
      <c r="B66" s="13"/>
      <c r="C66" s="10"/>
      <c r="D66" s="10"/>
      <c r="E66" s="7">
        <f>+$I$2+(CFAOMOBILITY[[#This Row],[QUANTITE]]*CFAOMOBILITY[[#This Row],[PRIX UNITAIRE]])</f>
        <v>0</v>
      </c>
      <c r="F66" s="14"/>
      <c r="G66" s="6">
        <f>+SUM(E$9:$E66)-SUM(F$9:$F66)</f>
        <v>500055</v>
      </c>
    </row>
    <row r="67" spans="1:7" ht="28.8" x14ac:dyDescent="0.55000000000000004">
      <c r="A67" s="12"/>
      <c r="B67" s="13"/>
      <c r="C67" s="10"/>
      <c r="D67" s="10"/>
      <c r="E67" s="7">
        <f>+$I$2+(CFAOMOBILITY[[#This Row],[QUANTITE]]*CFAOMOBILITY[[#This Row],[PRIX UNITAIRE]])</f>
        <v>0</v>
      </c>
      <c r="F67" s="14"/>
      <c r="G67" s="6">
        <f>+SUM(E$9:$E67)-SUM(F$9:$F67)</f>
        <v>500055</v>
      </c>
    </row>
    <row r="68" spans="1:7" ht="28.8" x14ac:dyDescent="0.55000000000000004">
      <c r="A68" s="12"/>
      <c r="B68" s="13"/>
      <c r="C68" s="10"/>
      <c r="D68" s="10"/>
      <c r="E68" s="7">
        <f>+$I$2+(CFAOMOBILITY[[#This Row],[QUANTITE]]*CFAOMOBILITY[[#This Row],[PRIX UNITAIRE]])</f>
        <v>0</v>
      </c>
      <c r="F68" s="14"/>
      <c r="G68" s="6">
        <f>+SUM(E$9:$E68)-SUM(F$9:$F68)</f>
        <v>500055</v>
      </c>
    </row>
    <row r="69" spans="1:7" ht="28.8" x14ac:dyDescent="0.55000000000000004">
      <c r="A69" s="12"/>
      <c r="B69" s="13"/>
      <c r="C69" s="10"/>
      <c r="D69" s="10"/>
      <c r="E69" s="7">
        <f>+$I$2+(CFAOMOBILITY[[#This Row],[QUANTITE]]*CFAOMOBILITY[[#This Row],[PRIX UNITAIRE]])</f>
        <v>0</v>
      </c>
      <c r="F69" s="14"/>
      <c r="G69" s="6">
        <f>+SUM(E$9:$E69)-SUM(F$9:$F69)</f>
        <v>500055</v>
      </c>
    </row>
    <row r="70" spans="1:7" ht="28.8" x14ac:dyDescent="0.55000000000000004">
      <c r="A70" s="12"/>
      <c r="B70" s="13"/>
      <c r="C70" s="10"/>
      <c r="D70" s="10"/>
      <c r="E70" s="7">
        <f>+$I$2+(CFAOMOBILITY[[#This Row],[QUANTITE]]*CFAOMOBILITY[[#This Row],[PRIX UNITAIRE]])</f>
        <v>0</v>
      </c>
      <c r="F70" s="14"/>
      <c r="G70" s="6">
        <f>+SUM(E$9:$E70)-SUM(F$9:$F70)</f>
        <v>500055</v>
      </c>
    </row>
    <row r="71" spans="1:7" ht="28.8" x14ac:dyDescent="0.55000000000000004">
      <c r="A71" s="12"/>
      <c r="B71" s="13"/>
      <c r="C71" s="10"/>
      <c r="D71" s="10"/>
      <c r="E71" s="7">
        <f>+$I$2+(CFAOMOBILITY[[#This Row],[QUANTITE]]*CFAOMOBILITY[[#This Row],[PRIX UNITAIRE]])</f>
        <v>0</v>
      </c>
      <c r="F71" s="14"/>
      <c r="G71" s="6">
        <f>+SUM(E$9:$E71)-SUM(F$9:$F71)</f>
        <v>500055</v>
      </c>
    </row>
    <row r="72" spans="1:7" ht="28.8" x14ac:dyDescent="0.55000000000000004">
      <c r="A72" s="12"/>
      <c r="B72" s="13"/>
      <c r="C72" s="10"/>
      <c r="D72" s="10"/>
      <c r="E72" s="7">
        <f>+$I$2+(CFAOMOBILITY[[#This Row],[QUANTITE]]*CFAOMOBILITY[[#This Row],[PRIX UNITAIRE]])</f>
        <v>0</v>
      </c>
      <c r="F72" s="14"/>
      <c r="G72" s="6">
        <f>+SUM(E$9:$E72)-SUM(F$9:$F72)</f>
        <v>500055</v>
      </c>
    </row>
    <row r="73" spans="1:7" ht="28.8" x14ac:dyDescent="0.55000000000000004">
      <c r="A73" s="12"/>
      <c r="B73" s="13"/>
      <c r="C73" s="10"/>
      <c r="D73" s="10"/>
      <c r="E73" s="7">
        <f>+$I$2+(CFAOMOBILITY[[#This Row],[QUANTITE]]*CFAOMOBILITY[[#This Row],[PRIX UNITAIRE]])</f>
        <v>0</v>
      </c>
      <c r="F73" s="14"/>
      <c r="G73" s="6">
        <f>+SUM(E$9:$E73)-SUM(F$9:$F73)</f>
        <v>500055</v>
      </c>
    </row>
    <row r="74" spans="1:7" ht="28.8" x14ac:dyDescent="0.55000000000000004">
      <c r="A74" s="12"/>
      <c r="B74" s="13"/>
      <c r="C74" s="10"/>
      <c r="D74" s="10"/>
      <c r="E74" s="7">
        <f>+$I$2+(CFAOMOBILITY[[#This Row],[QUANTITE]]*CFAOMOBILITY[[#This Row],[PRIX UNITAIRE]])</f>
        <v>0</v>
      </c>
      <c r="F74" s="14"/>
      <c r="G74" s="6">
        <f>+SUM(E$9:$E74)-SUM(F$9:$F74)</f>
        <v>500055</v>
      </c>
    </row>
    <row r="75" spans="1:7" ht="28.8" x14ac:dyDescent="0.55000000000000004">
      <c r="A75" s="12"/>
      <c r="B75" s="13"/>
      <c r="C75" s="10"/>
      <c r="D75" s="10"/>
      <c r="E75" s="7">
        <f>+$I$2+(CFAOMOBILITY[[#This Row],[QUANTITE]]*CFAOMOBILITY[[#This Row],[PRIX UNITAIRE]])</f>
        <v>0</v>
      </c>
      <c r="F75" s="14"/>
      <c r="G75" s="6">
        <f>+SUM(E$9:$E75)-SUM(F$9:$F75)</f>
        <v>500055</v>
      </c>
    </row>
    <row r="76" spans="1:7" ht="28.8" x14ac:dyDescent="0.55000000000000004">
      <c r="A76" s="12"/>
      <c r="B76" s="13"/>
      <c r="C76" s="10"/>
      <c r="D76" s="10"/>
      <c r="E76" s="7">
        <f>+$I$2+(CFAOMOBILITY[[#This Row],[QUANTITE]]*CFAOMOBILITY[[#This Row],[PRIX UNITAIRE]])</f>
        <v>0</v>
      </c>
      <c r="F76" s="14"/>
      <c r="G76" s="6">
        <f>+SUM(E$9:$E76)-SUM(F$9:$F76)</f>
        <v>500055</v>
      </c>
    </row>
    <row r="77" spans="1:7" ht="28.8" x14ac:dyDescent="0.55000000000000004">
      <c r="A77" s="12"/>
      <c r="B77" s="13"/>
      <c r="C77" s="10"/>
      <c r="D77" s="10"/>
      <c r="E77" s="7">
        <f>+$I$2+(CFAOMOBILITY[[#This Row],[QUANTITE]]*CFAOMOBILITY[[#This Row],[PRIX UNITAIRE]])</f>
        <v>0</v>
      </c>
      <c r="F77" s="14"/>
      <c r="G77" s="6">
        <f>+SUM(E$9:$E77)-SUM(F$9:$F77)</f>
        <v>500055</v>
      </c>
    </row>
    <row r="78" spans="1:7" ht="28.8" x14ac:dyDescent="0.55000000000000004">
      <c r="A78" s="12"/>
      <c r="B78" s="13"/>
      <c r="C78" s="10"/>
      <c r="D78" s="10"/>
      <c r="E78" s="7">
        <f>+$I$2+(CFAOMOBILITY[[#This Row],[QUANTITE]]*CFAOMOBILITY[[#This Row],[PRIX UNITAIRE]])</f>
        <v>0</v>
      </c>
      <c r="F78" s="14"/>
      <c r="G78" s="6">
        <f>+SUM(E$9:$E78)-SUM(F$9:$F78)</f>
        <v>500055</v>
      </c>
    </row>
    <row r="79" spans="1:7" ht="28.8" x14ac:dyDescent="0.55000000000000004">
      <c r="A79" s="12"/>
      <c r="B79" s="13"/>
      <c r="C79" s="10"/>
      <c r="D79" s="10"/>
      <c r="E79" s="7">
        <f>+$I$2+(CFAOMOBILITY[[#This Row],[QUANTITE]]*CFAOMOBILITY[[#This Row],[PRIX UNITAIRE]])</f>
        <v>0</v>
      </c>
      <c r="F79" s="14"/>
      <c r="G79" s="6">
        <f>+SUM(E$9:$E79)-SUM(F$9:$F79)</f>
        <v>500055</v>
      </c>
    </row>
    <row r="80" spans="1:7" ht="28.8" x14ac:dyDescent="0.55000000000000004">
      <c r="A80" s="12"/>
      <c r="B80" s="13"/>
      <c r="C80" s="10"/>
      <c r="D80" s="10"/>
      <c r="E80" s="7">
        <f>+$I$2+(CFAOMOBILITY[[#This Row],[QUANTITE]]*CFAOMOBILITY[[#This Row],[PRIX UNITAIRE]])</f>
        <v>0</v>
      </c>
      <c r="F80" s="14"/>
      <c r="G80" s="6">
        <f>+SUM(E$9:$E80)-SUM(F$9:$F80)</f>
        <v>500055</v>
      </c>
    </row>
    <row r="81" spans="1:7" ht="28.8" x14ac:dyDescent="0.55000000000000004">
      <c r="A81" s="12"/>
      <c r="B81" s="13"/>
      <c r="C81" s="10"/>
      <c r="D81" s="10"/>
      <c r="E81" s="7">
        <f>+$I$2+(CFAOMOBILITY[[#This Row],[QUANTITE]]*CFAOMOBILITY[[#This Row],[PRIX UNITAIRE]])</f>
        <v>0</v>
      </c>
      <c r="F81" s="14"/>
      <c r="G81" s="6">
        <f>+SUM(E$9:$E81)-SUM(F$9:$F81)</f>
        <v>500055</v>
      </c>
    </row>
    <row r="82" spans="1:7" ht="28.8" x14ac:dyDescent="0.55000000000000004">
      <c r="A82" s="12"/>
      <c r="B82" s="13"/>
      <c r="C82" s="10"/>
      <c r="D82" s="10"/>
      <c r="E82" s="7">
        <f>+$I$2+(CFAOMOBILITY[[#This Row],[QUANTITE]]*CFAOMOBILITY[[#This Row],[PRIX UNITAIRE]])</f>
        <v>0</v>
      </c>
      <c r="F82" s="14"/>
      <c r="G82" s="6">
        <f>+SUM(E$9:$E82)-SUM(F$9:$F82)</f>
        <v>500055</v>
      </c>
    </row>
    <row r="83" spans="1:7" ht="28.8" x14ac:dyDescent="0.55000000000000004">
      <c r="A83" s="12"/>
      <c r="B83" s="13"/>
      <c r="C83" s="10"/>
      <c r="D83" s="10"/>
      <c r="E83" s="7">
        <f>+$I$2+(CFAOMOBILITY[[#This Row],[QUANTITE]]*CFAOMOBILITY[[#This Row],[PRIX UNITAIRE]])</f>
        <v>0</v>
      </c>
      <c r="F83" s="14"/>
      <c r="G83" s="6">
        <f>+SUM(E$9:$E83)-SUM(F$9:$F83)</f>
        <v>500055</v>
      </c>
    </row>
    <row r="84" spans="1:7" ht="28.8" x14ac:dyDescent="0.55000000000000004">
      <c r="A84" s="12"/>
      <c r="B84" s="13"/>
      <c r="C84" s="10"/>
      <c r="D84" s="10"/>
      <c r="E84" s="7">
        <f>+$I$2+(CFAOMOBILITY[[#This Row],[QUANTITE]]*CFAOMOBILITY[[#This Row],[PRIX UNITAIRE]])</f>
        <v>0</v>
      </c>
      <c r="F84" s="14"/>
      <c r="G84" s="6">
        <f>+SUM(E$9:$E84)-SUM(F$9:$F84)</f>
        <v>500055</v>
      </c>
    </row>
    <row r="85" spans="1:7" ht="28.8" x14ac:dyDescent="0.55000000000000004">
      <c r="A85" s="12"/>
      <c r="B85" s="13"/>
      <c r="C85" s="10"/>
      <c r="D85" s="10"/>
      <c r="E85" s="7">
        <f>+$I$2+(CFAOMOBILITY[[#This Row],[QUANTITE]]*CFAOMOBILITY[[#This Row],[PRIX UNITAIRE]])</f>
        <v>0</v>
      </c>
      <c r="F85" s="14"/>
      <c r="G85" s="6">
        <f>+SUM(E$9:$E85)-SUM(F$9:$F85)</f>
        <v>500055</v>
      </c>
    </row>
    <row r="86" spans="1:7" ht="28.8" x14ac:dyDescent="0.55000000000000004">
      <c r="A86" s="12"/>
      <c r="B86" s="13"/>
      <c r="C86" s="10"/>
      <c r="D86" s="10"/>
      <c r="E86" s="7">
        <f>+$I$2+(CFAOMOBILITY[[#This Row],[QUANTITE]]*CFAOMOBILITY[[#This Row],[PRIX UNITAIRE]])</f>
        <v>0</v>
      </c>
      <c r="F86" s="14"/>
      <c r="G86" s="6">
        <f>+SUM(E$9:$E86)-SUM(F$9:$F86)</f>
        <v>500055</v>
      </c>
    </row>
    <row r="87" spans="1:7" ht="28.8" x14ac:dyDescent="0.55000000000000004">
      <c r="A87" s="12"/>
      <c r="B87" s="13"/>
      <c r="C87" s="10"/>
      <c r="D87" s="10"/>
      <c r="E87" s="7">
        <f>+$I$2+(CFAOMOBILITY[[#This Row],[QUANTITE]]*CFAOMOBILITY[[#This Row],[PRIX UNITAIRE]])</f>
        <v>0</v>
      </c>
      <c r="F87" s="14"/>
      <c r="G87" s="6">
        <f>+SUM(E$9:$E87)-SUM(F$9:$F87)</f>
        <v>500055</v>
      </c>
    </row>
    <row r="88" spans="1:7" ht="28.8" x14ac:dyDescent="0.55000000000000004">
      <c r="A88" s="12"/>
      <c r="B88" s="13"/>
      <c r="C88" s="10"/>
      <c r="D88" s="10"/>
      <c r="E88" s="7">
        <f>+$I$2+(CFAOMOBILITY[[#This Row],[QUANTITE]]*CFAOMOBILITY[[#This Row],[PRIX UNITAIRE]])</f>
        <v>0</v>
      </c>
      <c r="F88" s="14"/>
      <c r="G88" s="6">
        <f>+SUM(E$9:$E88)-SUM(F$9:$F88)</f>
        <v>500055</v>
      </c>
    </row>
    <row r="89" spans="1:7" ht="28.8" x14ac:dyDescent="0.55000000000000004">
      <c r="A89" s="12"/>
      <c r="B89" s="13"/>
      <c r="C89" s="10"/>
      <c r="D89" s="10"/>
      <c r="E89" s="7">
        <f>+$I$2+(CFAOMOBILITY[[#This Row],[QUANTITE]]*CFAOMOBILITY[[#This Row],[PRIX UNITAIRE]])</f>
        <v>0</v>
      </c>
      <c r="F89" s="14"/>
      <c r="G89" s="6">
        <f>+SUM(E$9:$E89)-SUM(F$9:$F89)</f>
        <v>500055</v>
      </c>
    </row>
    <row r="90" spans="1:7" ht="28.8" x14ac:dyDescent="0.55000000000000004">
      <c r="A90" s="12"/>
      <c r="B90" s="13"/>
      <c r="C90" s="10"/>
      <c r="D90" s="10"/>
      <c r="E90" s="7">
        <f>+$I$2+(CFAOMOBILITY[[#This Row],[QUANTITE]]*CFAOMOBILITY[[#This Row],[PRIX UNITAIRE]])</f>
        <v>0</v>
      </c>
      <c r="F90" s="14"/>
      <c r="G90" s="6">
        <f>+SUM(E$9:$E90)-SUM(F$9:$F90)</f>
        <v>500055</v>
      </c>
    </row>
    <row r="91" spans="1:7" ht="28.8" x14ac:dyDescent="0.55000000000000004">
      <c r="A91" s="12"/>
      <c r="B91" s="13"/>
      <c r="C91" s="10"/>
      <c r="D91" s="10"/>
      <c r="E91" s="7">
        <f>+$I$2+(CFAOMOBILITY[[#This Row],[QUANTITE]]*CFAOMOBILITY[[#This Row],[PRIX UNITAIRE]])</f>
        <v>0</v>
      </c>
      <c r="F91" s="14"/>
      <c r="G91" s="6">
        <f>+SUM(E$9:$E91)-SUM(F$9:$F91)</f>
        <v>500055</v>
      </c>
    </row>
    <row r="92" spans="1:7" ht="28.8" x14ac:dyDescent="0.55000000000000004">
      <c r="A92" s="12"/>
      <c r="B92" s="13"/>
      <c r="C92" s="10"/>
      <c r="D92" s="10"/>
      <c r="E92" s="7">
        <f>+$I$2+(CFAOMOBILITY[[#This Row],[QUANTITE]]*CFAOMOBILITY[[#This Row],[PRIX UNITAIRE]])</f>
        <v>0</v>
      </c>
      <c r="F92" s="14"/>
      <c r="G92" s="6">
        <f>+SUM(E$9:$E92)-SUM(F$9:$F92)</f>
        <v>500055</v>
      </c>
    </row>
    <row r="93" spans="1:7" ht="28.8" x14ac:dyDescent="0.55000000000000004">
      <c r="A93" s="12"/>
      <c r="B93" s="13"/>
      <c r="C93" s="10"/>
      <c r="D93" s="10"/>
      <c r="E93" s="7">
        <f>+$I$2+(CFAOMOBILITY[[#This Row],[QUANTITE]]*CFAOMOBILITY[[#This Row],[PRIX UNITAIRE]])</f>
        <v>0</v>
      </c>
      <c r="F93" s="14"/>
      <c r="G93" s="6">
        <f>+SUM(E$9:$E93)-SUM(F$9:$F93)</f>
        <v>500055</v>
      </c>
    </row>
    <row r="94" spans="1:7" ht="28.8" x14ac:dyDescent="0.55000000000000004">
      <c r="A94" s="12"/>
      <c r="B94" s="13"/>
      <c r="C94" s="10"/>
      <c r="D94" s="10"/>
      <c r="E94" s="7">
        <f>+$I$2+(CFAOMOBILITY[[#This Row],[QUANTITE]]*CFAOMOBILITY[[#This Row],[PRIX UNITAIRE]])</f>
        <v>0</v>
      </c>
      <c r="F94" s="14"/>
      <c r="G94" s="6">
        <f>+SUM(E$9:$E94)-SUM(F$9:$F94)</f>
        <v>500055</v>
      </c>
    </row>
    <row r="95" spans="1:7" ht="28.8" x14ac:dyDescent="0.55000000000000004">
      <c r="A95" s="12"/>
      <c r="B95" s="13"/>
      <c r="C95" s="10"/>
      <c r="D95" s="10"/>
      <c r="E95" s="7">
        <f>+$I$2+(CFAOMOBILITY[[#This Row],[QUANTITE]]*CFAOMOBILITY[[#This Row],[PRIX UNITAIRE]])</f>
        <v>0</v>
      </c>
      <c r="F95" s="14"/>
      <c r="G95" s="6">
        <f>+SUM(E$9:$E95)-SUM(F$9:$F95)</f>
        <v>500055</v>
      </c>
    </row>
    <row r="96" spans="1:7" ht="28.8" x14ac:dyDescent="0.55000000000000004">
      <c r="A96" s="12"/>
      <c r="B96" s="13"/>
      <c r="C96" s="10"/>
      <c r="D96" s="10"/>
      <c r="E96" s="7">
        <f>+$I$2+(CFAOMOBILITY[[#This Row],[QUANTITE]]*CFAOMOBILITY[[#This Row],[PRIX UNITAIRE]])</f>
        <v>0</v>
      </c>
      <c r="F96" s="14"/>
      <c r="G96" s="6">
        <f>+SUM(E$9:$E96)-SUM(F$9:$F96)</f>
        <v>500055</v>
      </c>
    </row>
    <row r="97" spans="1:7" ht="28.8" x14ac:dyDescent="0.55000000000000004">
      <c r="A97" s="12"/>
      <c r="B97" s="13"/>
      <c r="C97" s="10"/>
      <c r="D97" s="10"/>
      <c r="E97" s="7">
        <f>+$I$2+(CFAOMOBILITY[[#This Row],[QUANTITE]]*CFAOMOBILITY[[#This Row],[PRIX UNITAIRE]])</f>
        <v>0</v>
      </c>
      <c r="F97" s="14"/>
      <c r="G97" s="6">
        <f>+SUM(E$9:$E97)-SUM(F$9:$F97)</f>
        <v>500055</v>
      </c>
    </row>
    <row r="98" spans="1:7" ht="28.8" x14ac:dyDescent="0.55000000000000004">
      <c r="A98" s="12"/>
      <c r="B98" s="13"/>
      <c r="C98" s="10"/>
      <c r="D98" s="10"/>
      <c r="E98" s="7">
        <f>+$I$2+(CFAOMOBILITY[[#This Row],[QUANTITE]]*CFAOMOBILITY[[#This Row],[PRIX UNITAIRE]])</f>
        <v>0</v>
      </c>
      <c r="F98" s="14"/>
      <c r="G98" s="6">
        <f>+SUM(E$9:$E98)-SUM(F$9:$F98)</f>
        <v>500055</v>
      </c>
    </row>
    <row r="99" spans="1:7" ht="28.8" x14ac:dyDescent="0.55000000000000004">
      <c r="A99" s="12"/>
      <c r="B99" s="13"/>
      <c r="C99" s="10"/>
      <c r="D99" s="10"/>
      <c r="E99" s="7">
        <f>+$I$2+(CFAOMOBILITY[[#This Row],[QUANTITE]]*CFAOMOBILITY[[#This Row],[PRIX UNITAIRE]])</f>
        <v>0</v>
      </c>
      <c r="F99" s="14"/>
      <c r="G99" s="6">
        <f>+SUM(E$9:$E99)-SUM(F$9:$F99)</f>
        <v>500055</v>
      </c>
    </row>
    <row r="100" spans="1:7" ht="28.8" x14ac:dyDescent="0.55000000000000004">
      <c r="A100" s="12"/>
      <c r="B100" s="13"/>
      <c r="C100" s="10"/>
      <c r="D100" s="10"/>
      <c r="E100" s="7">
        <f>+$I$2+(CFAOMOBILITY[[#This Row],[QUANTITE]]*CFAOMOBILITY[[#This Row],[PRIX UNITAIRE]])</f>
        <v>0</v>
      </c>
      <c r="F100" s="14"/>
      <c r="G100" s="6">
        <f>+SUM(E$9:$E100)-SUM(F$9:$F100)</f>
        <v>500055</v>
      </c>
    </row>
    <row r="101" spans="1:7" ht="28.8" x14ac:dyDescent="0.55000000000000004">
      <c r="A101" s="12"/>
      <c r="B101" s="13"/>
      <c r="C101" s="10"/>
      <c r="D101" s="10"/>
      <c r="E101" s="7">
        <f>+$I$2+(CFAOMOBILITY[[#This Row],[QUANTITE]]*CFAOMOBILITY[[#This Row],[PRIX UNITAIRE]])</f>
        <v>0</v>
      </c>
      <c r="F101" s="14"/>
      <c r="G101" s="6">
        <f>+SUM(E$9:$E101)-SUM(F$9:$F101)</f>
        <v>500055</v>
      </c>
    </row>
    <row r="102" spans="1:7" ht="28.8" x14ac:dyDescent="0.55000000000000004">
      <c r="A102" s="12"/>
      <c r="B102" s="13"/>
      <c r="C102" s="10"/>
      <c r="D102" s="10"/>
      <c r="E102" s="7">
        <f>+$I$2+(CFAOMOBILITY[[#This Row],[QUANTITE]]*CFAOMOBILITY[[#This Row],[PRIX UNITAIRE]])</f>
        <v>0</v>
      </c>
      <c r="F102" s="14"/>
      <c r="G102" s="6">
        <f>+SUM(E$9:$E102)-SUM(F$9:$F102)</f>
        <v>500055</v>
      </c>
    </row>
    <row r="103" spans="1:7" ht="28.8" x14ac:dyDescent="0.55000000000000004">
      <c r="A103" s="12"/>
      <c r="B103" s="13"/>
      <c r="C103" s="10"/>
      <c r="D103" s="10"/>
      <c r="E103" s="7">
        <f>+$I$2+(CFAOMOBILITY[[#This Row],[QUANTITE]]*CFAOMOBILITY[[#This Row],[PRIX UNITAIRE]])</f>
        <v>0</v>
      </c>
      <c r="F103" s="14"/>
      <c r="G103" s="6">
        <f>+SUM(E$9:$E103)-SUM(F$9:$F103)</f>
        <v>500055</v>
      </c>
    </row>
    <row r="104" spans="1:7" ht="28.8" x14ac:dyDescent="0.55000000000000004">
      <c r="A104" s="12"/>
      <c r="B104" s="13"/>
      <c r="C104" s="10"/>
      <c r="D104" s="10"/>
      <c r="E104" s="7">
        <f>+$I$2+(CFAOMOBILITY[[#This Row],[QUANTITE]]*CFAOMOBILITY[[#This Row],[PRIX UNITAIRE]])</f>
        <v>0</v>
      </c>
      <c r="F104" s="14"/>
      <c r="G104" s="6">
        <f>+SUM(E$9:$E104)-SUM(F$9:$F104)</f>
        <v>500055</v>
      </c>
    </row>
    <row r="105" spans="1:7" ht="28.8" x14ac:dyDescent="0.55000000000000004">
      <c r="A105" s="12"/>
      <c r="B105" s="13"/>
      <c r="C105" s="10"/>
      <c r="D105" s="10"/>
      <c r="E105" s="7">
        <f>+$I$2+(CFAOMOBILITY[[#This Row],[QUANTITE]]*CFAOMOBILITY[[#This Row],[PRIX UNITAIRE]])</f>
        <v>0</v>
      </c>
      <c r="F105" s="14"/>
      <c r="G105" s="6">
        <f>+SUM(E$9:$E105)-SUM(F$9:$F105)</f>
        <v>500055</v>
      </c>
    </row>
    <row r="106" spans="1:7" ht="28.8" x14ac:dyDescent="0.55000000000000004">
      <c r="A106" s="12"/>
      <c r="B106" s="13"/>
      <c r="C106" s="10"/>
      <c r="D106" s="10"/>
      <c r="E106" s="7">
        <f>+$I$2+(CFAOMOBILITY[[#This Row],[QUANTITE]]*CFAOMOBILITY[[#This Row],[PRIX UNITAIRE]])</f>
        <v>0</v>
      </c>
      <c r="F106" s="14"/>
      <c r="G106" s="6">
        <f>+SUM(E$9:$E106)-SUM(F$9:$F106)</f>
        <v>500055</v>
      </c>
    </row>
    <row r="107" spans="1:7" ht="28.8" x14ac:dyDescent="0.55000000000000004">
      <c r="A107" s="12"/>
      <c r="B107" s="13"/>
      <c r="C107" s="10"/>
      <c r="D107" s="10"/>
      <c r="E107" s="7">
        <f>+$I$2+(CFAOMOBILITY[[#This Row],[QUANTITE]]*CFAOMOBILITY[[#This Row],[PRIX UNITAIRE]])</f>
        <v>0</v>
      </c>
      <c r="F107" s="14"/>
      <c r="G107" s="6">
        <f>+SUM(E$9:$E107)-SUM(F$9:$F107)</f>
        <v>500055</v>
      </c>
    </row>
    <row r="108" spans="1:7" ht="28.8" x14ac:dyDescent="0.55000000000000004">
      <c r="A108" s="12"/>
      <c r="B108" s="13"/>
      <c r="C108" s="10"/>
      <c r="D108" s="10"/>
      <c r="E108" s="7">
        <f>+$I$2+(CFAOMOBILITY[[#This Row],[QUANTITE]]*CFAOMOBILITY[[#This Row],[PRIX UNITAIRE]])</f>
        <v>0</v>
      </c>
      <c r="F108" s="14"/>
      <c r="G108" s="6">
        <f>+SUM(E$9:$E108)-SUM(F$9:$F108)</f>
        <v>500055</v>
      </c>
    </row>
    <row r="109" spans="1:7" ht="28.8" x14ac:dyDescent="0.55000000000000004">
      <c r="A109" s="12"/>
      <c r="B109" s="13"/>
      <c r="C109" s="10"/>
      <c r="D109" s="10"/>
      <c r="E109" s="7">
        <f>+$I$2+(CFAOMOBILITY[[#This Row],[QUANTITE]]*CFAOMOBILITY[[#This Row],[PRIX UNITAIRE]])</f>
        <v>0</v>
      </c>
      <c r="F109" s="14"/>
      <c r="G109" s="6">
        <f>+SUM(E$9:$E109)-SUM(F$9:$F109)</f>
        <v>500055</v>
      </c>
    </row>
    <row r="110" spans="1:7" ht="28.8" x14ac:dyDescent="0.55000000000000004">
      <c r="A110" s="12"/>
      <c r="B110" s="13"/>
      <c r="C110" s="10"/>
      <c r="D110" s="10"/>
      <c r="E110" s="7">
        <f>+$I$2+(CFAOMOBILITY[[#This Row],[QUANTITE]]*CFAOMOBILITY[[#This Row],[PRIX UNITAIRE]])</f>
        <v>0</v>
      </c>
      <c r="F110" s="14"/>
      <c r="G110" s="6">
        <f>+SUM(E$9:$E110)-SUM(F$9:$F110)</f>
        <v>500055</v>
      </c>
    </row>
    <row r="111" spans="1:7" ht="28.8" x14ac:dyDescent="0.55000000000000004">
      <c r="A111" s="12"/>
      <c r="B111" s="13"/>
      <c r="C111" s="10"/>
      <c r="D111" s="10"/>
      <c r="E111" s="7">
        <f>+$I$2+(CFAOMOBILITY[[#This Row],[QUANTITE]]*CFAOMOBILITY[[#This Row],[PRIX UNITAIRE]])</f>
        <v>0</v>
      </c>
      <c r="F111" s="14"/>
      <c r="G111" s="6">
        <f>+SUM(E$9:$E111)-SUM(F$9:$F111)</f>
        <v>500055</v>
      </c>
    </row>
    <row r="112" spans="1:7" ht="28.8" x14ac:dyDescent="0.55000000000000004">
      <c r="A112" s="12"/>
      <c r="B112" s="13"/>
      <c r="C112" s="10"/>
      <c r="D112" s="10"/>
      <c r="E112" s="7">
        <f>+$I$2+(CFAOMOBILITY[[#This Row],[QUANTITE]]*CFAOMOBILITY[[#This Row],[PRIX UNITAIRE]])</f>
        <v>0</v>
      </c>
      <c r="F112" s="14"/>
      <c r="G112" s="6">
        <f>+SUM(E$9:$E112)-SUM(F$9:$F112)</f>
        <v>500055</v>
      </c>
    </row>
    <row r="113" spans="1:7" ht="28.8" x14ac:dyDescent="0.55000000000000004">
      <c r="A113" s="12"/>
      <c r="B113" s="13"/>
      <c r="C113" s="10"/>
      <c r="D113" s="10"/>
      <c r="E113" s="7">
        <f>+$I$2+(CFAOMOBILITY[[#This Row],[QUANTITE]]*CFAOMOBILITY[[#This Row],[PRIX UNITAIRE]])</f>
        <v>0</v>
      </c>
      <c r="F113" s="14"/>
      <c r="G113" s="6">
        <f>+SUM(E$9:$E113)-SUM(F$9:$F113)</f>
        <v>500055</v>
      </c>
    </row>
    <row r="114" spans="1:7" ht="28.8" x14ac:dyDescent="0.55000000000000004">
      <c r="A114" s="12"/>
      <c r="B114" s="13"/>
      <c r="C114" s="10"/>
      <c r="D114" s="10"/>
      <c r="E114" s="7">
        <f>+$I$2+(CFAOMOBILITY[[#This Row],[QUANTITE]]*CFAOMOBILITY[[#This Row],[PRIX UNITAIRE]])</f>
        <v>0</v>
      </c>
      <c r="F114" s="14"/>
      <c r="G114" s="6">
        <f>+SUM(E$9:$E114)-SUM(F$9:$F114)</f>
        <v>500055</v>
      </c>
    </row>
    <row r="115" spans="1:7" ht="28.8" x14ac:dyDescent="0.55000000000000004">
      <c r="A115" s="12"/>
      <c r="B115" s="13"/>
      <c r="C115" s="10"/>
      <c r="D115" s="10"/>
      <c r="E115" s="7">
        <f>+$I$2+(CFAOMOBILITY[[#This Row],[QUANTITE]]*CFAOMOBILITY[[#This Row],[PRIX UNITAIRE]])</f>
        <v>0</v>
      </c>
      <c r="F115" s="14"/>
      <c r="G115" s="6">
        <f>+SUM(E$9:$E115)-SUM(F$9:$F115)</f>
        <v>500055</v>
      </c>
    </row>
    <row r="116" spans="1:7" ht="28.8" x14ac:dyDescent="0.55000000000000004">
      <c r="A116" s="12"/>
      <c r="B116" s="13"/>
      <c r="C116" s="10"/>
      <c r="D116" s="10"/>
      <c r="E116" s="7">
        <f>+$I$2+(CFAOMOBILITY[[#This Row],[QUANTITE]]*CFAOMOBILITY[[#This Row],[PRIX UNITAIRE]])</f>
        <v>0</v>
      </c>
      <c r="F116" s="14"/>
      <c r="G116" s="6">
        <f>+SUM(E$9:$E116)-SUM(F$9:$F116)</f>
        <v>500055</v>
      </c>
    </row>
    <row r="117" spans="1:7" ht="28.8" x14ac:dyDescent="0.55000000000000004">
      <c r="A117" s="12"/>
      <c r="B117" s="13"/>
      <c r="C117" s="10"/>
      <c r="D117" s="10"/>
      <c r="E117" s="7">
        <f>+$I$2+(CFAOMOBILITY[[#This Row],[QUANTITE]]*CFAOMOBILITY[[#This Row],[PRIX UNITAIRE]])</f>
        <v>0</v>
      </c>
      <c r="F117" s="14"/>
      <c r="G117" s="6">
        <f>+SUM(E$9:$E117)-SUM(F$9:$F117)</f>
        <v>500055</v>
      </c>
    </row>
    <row r="118" spans="1:7" ht="28.8" x14ac:dyDescent="0.55000000000000004">
      <c r="A118" s="12"/>
      <c r="B118" s="13"/>
      <c r="C118" s="10"/>
      <c r="D118" s="10"/>
      <c r="E118" s="7">
        <f>+$I$2+(CFAOMOBILITY[[#This Row],[QUANTITE]]*CFAOMOBILITY[[#This Row],[PRIX UNITAIRE]])</f>
        <v>0</v>
      </c>
      <c r="F118" s="14"/>
      <c r="G118" s="6">
        <f>+SUM(E$9:$E118)-SUM(F$9:$F118)</f>
        <v>500055</v>
      </c>
    </row>
    <row r="119" spans="1:7" ht="28.8" x14ac:dyDescent="0.55000000000000004">
      <c r="A119" s="12"/>
      <c r="B119" s="13"/>
      <c r="C119" s="10"/>
      <c r="D119" s="10"/>
      <c r="E119" s="7">
        <f>+$I$2+(CFAOMOBILITY[[#This Row],[QUANTITE]]*CFAOMOBILITY[[#This Row],[PRIX UNITAIRE]])</f>
        <v>0</v>
      </c>
      <c r="F119" s="14"/>
      <c r="G119" s="6">
        <f>+SUM(E$9:$E119)-SUM(F$9:$F119)</f>
        <v>500055</v>
      </c>
    </row>
    <row r="120" spans="1:7" ht="28.8" x14ac:dyDescent="0.55000000000000004">
      <c r="A120" s="12"/>
      <c r="B120" s="13"/>
      <c r="C120" s="10"/>
      <c r="D120" s="10"/>
      <c r="E120" s="7">
        <f>+$I$2+(CFAOMOBILITY[[#This Row],[QUANTITE]]*CFAOMOBILITY[[#This Row],[PRIX UNITAIRE]])</f>
        <v>0</v>
      </c>
      <c r="F120" s="14"/>
      <c r="G120" s="6">
        <f>+SUM(E$9:$E120)-SUM(F$9:$F120)</f>
        <v>500055</v>
      </c>
    </row>
    <row r="121" spans="1:7" ht="28.8" x14ac:dyDescent="0.55000000000000004">
      <c r="A121" s="12"/>
      <c r="B121" s="13"/>
      <c r="C121" s="10"/>
      <c r="D121" s="10"/>
      <c r="E121" s="7">
        <f>+$I$2+(CFAOMOBILITY[[#This Row],[QUANTITE]]*CFAOMOBILITY[[#This Row],[PRIX UNITAIRE]])</f>
        <v>0</v>
      </c>
      <c r="F121" s="14"/>
      <c r="G121" s="6">
        <f>+SUM(E$9:$E121)-SUM(F$9:$F121)</f>
        <v>500055</v>
      </c>
    </row>
    <row r="122" spans="1:7" ht="28.8" x14ac:dyDescent="0.55000000000000004">
      <c r="A122" s="12"/>
      <c r="B122" s="13"/>
      <c r="C122" s="10"/>
      <c r="D122" s="10"/>
      <c r="E122" s="7">
        <f>+$I$2+(CFAOMOBILITY[[#This Row],[QUANTITE]]*CFAOMOBILITY[[#This Row],[PRIX UNITAIRE]])</f>
        <v>0</v>
      </c>
      <c r="F122" s="14"/>
      <c r="G122" s="6">
        <f>+SUM(E$9:$E122)-SUM(F$9:$F122)</f>
        <v>500055</v>
      </c>
    </row>
    <row r="123" spans="1:7" ht="28.8" x14ac:dyDescent="0.55000000000000004">
      <c r="A123" s="85"/>
      <c r="B123" s="13"/>
      <c r="C123" s="87"/>
      <c r="D123" s="87"/>
      <c r="E123" s="88">
        <f>+$I$2+(CFAOMOBILITY[[#This Row],[QUANTITE]]*CFAOMOBILITY[[#This Row],[PRIX UNITAIRE]])</f>
        <v>0</v>
      </c>
      <c r="F123" s="89"/>
      <c r="G123" s="90">
        <f>+SUM(E$9:$E123)-SUM(F$9:$F123)</f>
        <v>500055</v>
      </c>
    </row>
    <row r="124" spans="1:7" ht="28.8" x14ac:dyDescent="0.55000000000000004">
      <c r="A124" s="85"/>
      <c r="B124" s="86"/>
      <c r="C124" s="87"/>
      <c r="D124" s="87"/>
      <c r="E124" s="88">
        <f>+$I$2+(CFAOMOBILITY[[#This Row],[QUANTITE]]*CFAOMOBILITY[[#This Row],[PRIX UNITAIRE]])</f>
        <v>0</v>
      </c>
      <c r="F124" s="89"/>
      <c r="G124" s="90">
        <f>+SUM(E$9:$E124)-SUM(F$9:$F124)</f>
        <v>500055</v>
      </c>
    </row>
    <row r="125" spans="1:7" ht="28.8" x14ac:dyDescent="0.55000000000000004">
      <c r="A125" s="85"/>
      <c r="B125" s="86"/>
      <c r="C125" s="87"/>
      <c r="D125" s="87"/>
      <c r="E125" s="88">
        <f>+$I$2+(CFAOMOBILITY[[#This Row],[QUANTITE]]*CFAOMOBILITY[[#This Row],[PRIX UNITAIRE]])</f>
        <v>0</v>
      </c>
      <c r="F125" s="89"/>
      <c r="G125" s="90">
        <f>+SUM(E$9:$E125)-SUM(F$9:$F125)</f>
        <v>500055</v>
      </c>
    </row>
    <row r="126" spans="1:7" ht="28.8" x14ac:dyDescent="0.55000000000000004">
      <c r="A126" s="85"/>
      <c r="B126" s="86"/>
      <c r="C126" s="87"/>
      <c r="D126" s="87"/>
      <c r="E126" s="88">
        <f>+$I$2+(CFAOMOBILITY[[#This Row],[QUANTITE]]*CFAOMOBILITY[[#This Row],[PRIX UNITAIRE]])</f>
        <v>0</v>
      </c>
      <c r="F126" s="89"/>
      <c r="G126" s="90">
        <f>+SUM(E$9:$E126)-SUM(F$9:$F126)</f>
        <v>500055</v>
      </c>
    </row>
    <row r="127" spans="1:7" ht="28.8" x14ac:dyDescent="0.55000000000000004">
      <c r="A127" s="85"/>
      <c r="B127" s="86"/>
      <c r="C127" s="87"/>
      <c r="D127" s="87"/>
      <c r="E127" s="88">
        <f>+$I$2+(CFAOMOBILITY[[#This Row],[QUANTITE]]*CFAOMOBILITY[[#This Row],[PRIX UNITAIRE]])</f>
        <v>0</v>
      </c>
      <c r="F127" s="89"/>
      <c r="G127" s="90">
        <f>+SUM(E$9:$E127)-SUM(F$9:$F127)</f>
        <v>500055</v>
      </c>
    </row>
    <row r="128" spans="1:7" ht="28.8" x14ac:dyDescent="0.55000000000000004">
      <c r="A128" s="85"/>
      <c r="B128" s="86"/>
      <c r="C128" s="87"/>
      <c r="D128" s="87"/>
      <c r="E128" s="88">
        <f>+$I$2+(CFAOMOBILITY[[#This Row],[QUANTITE]]*CFAOMOBILITY[[#This Row],[PRIX UNITAIRE]])</f>
        <v>0</v>
      </c>
      <c r="F128" s="89"/>
      <c r="G128" s="90">
        <f>+SUM(E$9:$E128)-SUM(F$9:$F128)</f>
        <v>500055</v>
      </c>
    </row>
    <row r="129" spans="1:7" ht="28.8" x14ac:dyDescent="0.55000000000000004">
      <c r="A129" s="85"/>
      <c r="B129" s="86"/>
      <c r="C129" s="87"/>
      <c r="D129" s="87"/>
      <c r="E129" s="88">
        <f>+$I$2+(CFAOMOBILITY[[#This Row],[QUANTITE]]*CFAOMOBILITY[[#This Row],[PRIX UNITAIRE]])</f>
        <v>0</v>
      </c>
      <c r="F129" s="89"/>
      <c r="G129" s="90">
        <f>+SUM(E$9:$E129)-SUM(F$9:$F129)</f>
        <v>500055</v>
      </c>
    </row>
    <row r="130" spans="1:7" ht="28.8" x14ac:dyDescent="0.55000000000000004">
      <c r="A130" s="85"/>
      <c r="B130" s="86"/>
      <c r="C130" s="87"/>
      <c r="D130" s="87"/>
      <c r="E130" s="88">
        <f>+$I$2+(CFAOMOBILITY[[#This Row],[QUANTITE]]*CFAOMOBILITY[[#This Row],[PRIX UNITAIRE]])</f>
        <v>0</v>
      </c>
      <c r="F130" s="89"/>
      <c r="G130" s="90">
        <f>+SUM(E$9:$E130)-SUM(F$9:$F130)</f>
        <v>500055</v>
      </c>
    </row>
    <row r="131" spans="1:7" ht="28.8" x14ac:dyDescent="0.55000000000000004">
      <c r="A131" s="85"/>
      <c r="B131" s="86"/>
      <c r="C131" s="87"/>
      <c r="D131" s="87"/>
      <c r="E131" s="88">
        <f>+$I$2+(CFAOMOBILITY[[#This Row],[QUANTITE]]*CFAOMOBILITY[[#This Row],[PRIX UNITAIRE]])</f>
        <v>0</v>
      </c>
      <c r="F131" s="89"/>
      <c r="G131" s="90">
        <f>+SUM(E$9:$E131)-SUM(F$9:$F131)</f>
        <v>500055</v>
      </c>
    </row>
    <row r="132" spans="1:7" ht="28.8" x14ac:dyDescent="0.55000000000000004">
      <c r="A132" s="85"/>
      <c r="B132" s="86"/>
      <c r="C132" s="87"/>
      <c r="D132" s="87"/>
      <c r="E132" s="88">
        <f>+$I$2+(CFAOMOBILITY[[#This Row],[QUANTITE]]*CFAOMOBILITY[[#This Row],[PRIX UNITAIRE]])</f>
        <v>0</v>
      </c>
      <c r="F132" s="89"/>
      <c r="G132" s="90">
        <f>+SUM(E$9:$E132)-SUM(F$9:$F132)</f>
        <v>500055</v>
      </c>
    </row>
    <row r="133" spans="1:7" ht="28.8" x14ac:dyDescent="0.55000000000000004">
      <c r="A133" s="85"/>
      <c r="B133" s="86"/>
      <c r="C133" s="87"/>
      <c r="D133" s="87"/>
      <c r="E133" s="88">
        <f>+$I$2+(CFAOMOBILITY[[#This Row],[QUANTITE]]*CFAOMOBILITY[[#This Row],[PRIX UNITAIRE]])</f>
        <v>0</v>
      </c>
      <c r="F133" s="89"/>
      <c r="G133" s="90">
        <f>+SUM(E$9:$E133)-SUM(F$9:$F133)</f>
        <v>500055</v>
      </c>
    </row>
    <row r="134" spans="1:7" ht="28.8" x14ac:dyDescent="0.55000000000000004">
      <c r="A134" s="85"/>
      <c r="B134" s="86"/>
      <c r="C134" s="87"/>
      <c r="D134" s="87"/>
      <c r="E134" s="88">
        <f>+$I$2+(CFAOMOBILITY[[#This Row],[QUANTITE]]*CFAOMOBILITY[[#This Row],[PRIX UNITAIRE]])</f>
        <v>0</v>
      </c>
      <c r="F134" s="89"/>
      <c r="G134" s="90">
        <f>+SUM(E$9:$E134)-SUM(F$9:$F134)</f>
        <v>500055</v>
      </c>
    </row>
    <row r="135" spans="1:7" ht="28.8" x14ac:dyDescent="0.55000000000000004">
      <c r="A135" s="85"/>
      <c r="B135" s="86"/>
      <c r="C135" s="87"/>
      <c r="D135" s="87"/>
      <c r="E135" s="88">
        <f>+$I$2+(CFAOMOBILITY[[#This Row],[QUANTITE]]*CFAOMOBILITY[[#This Row],[PRIX UNITAIRE]])</f>
        <v>0</v>
      </c>
      <c r="F135" s="89"/>
      <c r="G135" s="90">
        <f>+SUM(E$9:$E135)-SUM(F$9:$F135)</f>
        <v>500055</v>
      </c>
    </row>
    <row r="136" spans="1:7" ht="28.8" x14ac:dyDescent="0.55000000000000004">
      <c r="A136" s="85"/>
      <c r="B136" s="86"/>
      <c r="C136" s="87"/>
      <c r="D136" s="87"/>
      <c r="E136" s="88">
        <f>+$I$2+(CFAOMOBILITY[[#This Row],[QUANTITE]]*CFAOMOBILITY[[#This Row],[PRIX UNITAIRE]])</f>
        <v>0</v>
      </c>
      <c r="F136" s="89"/>
      <c r="G136" s="90">
        <f>+SUM(E$9:$E136)-SUM(F$9:$F136)</f>
        <v>500055</v>
      </c>
    </row>
    <row r="137" spans="1:7" ht="28.8" x14ac:dyDescent="0.55000000000000004">
      <c r="A137" s="85"/>
      <c r="B137" s="86"/>
      <c r="C137" s="87"/>
      <c r="D137" s="87"/>
      <c r="E137" s="88">
        <f>+$I$2+(CFAOMOBILITY[[#This Row],[QUANTITE]]*CFAOMOBILITY[[#This Row],[PRIX UNITAIRE]])</f>
        <v>0</v>
      </c>
      <c r="F137" s="89"/>
      <c r="G137" s="90">
        <f>+SUM(E$9:$E137)-SUM(F$9:$F137)</f>
        <v>500055</v>
      </c>
    </row>
    <row r="138" spans="1:7" ht="28.8" x14ac:dyDescent="0.55000000000000004">
      <c r="A138" s="85"/>
      <c r="B138" s="86"/>
      <c r="C138" s="87"/>
      <c r="D138" s="87"/>
      <c r="E138" s="88">
        <f>+$I$2+(CFAOMOBILITY[[#This Row],[QUANTITE]]*CFAOMOBILITY[[#This Row],[PRIX UNITAIRE]])</f>
        <v>0</v>
      </c>
      <c r="F138" s="89"/>
      <c r="G138" s="90">
        <f>+SUM(E$9:$E138)-SUM(F$9:$F138)</f>
        <v>500055</v>
      </c>
    </row>
    <row r="139" spans="1:7" ht="28.8" x14ac:dyDescent="0.55000000000000004">
      <c r="A139" s="85"/>
      <c r="B139" s="86"/>
      <c r="C139" s="87"/>
      <c r="D139" s="87"/>
      <c r="E139" s="88">
        <f>+$I$2+(CFAOMOBILITY[[#This Row],[QUANTITE]]*CFAOMOBILITY[[#This Row],[PRIX UNITAIRE]])</f>
        <v>0</v>
      </c>
      <c r="F139" s="89"/>
      <c r="G139" s="90">
        <f>+SUM(E$9:$E139)-SUM(F$9:$F139)</f>
        <v>500055</v>
      </c>
    </row>
    <row r="140" spans="1:7" ht="28.8" x14ac:dyDescent="0.55000000000000004">
      <c r="A140" s="85"/>
      <c r="B140" s="86"/>
      <c r="C140" s="87"/>
      <c r="D140" s="87"/>
      <c r="E140" s="88">
        <f>+$I$2+(CFAOMOBILITY[[#This Row],[QUANTITE]]*CFAOMOBILITY[[#This Row],[PRIX UNITAIRE]])</f>
        <v>0</v>
      </c>
      <c r="F140" s="89"/>
      <c r="G140" s="90">
        <f>+SUM(E$9:$E140)-SUM(F$9:$F140)</f>
        <v>500055</v>
      </c>
    </row>
    <row r="141" spans="1:7" ht="28.8" x14ac:dyDescent="0.55000000000000004">
      <c r="A141" s="85"/>
      <c r="B141" s="86"/>
      <c r="C141" s="87"/>
      <c r="D141" s="87"/>
      <c r="E141" s="88">
        <f>+$I$2+(CFAOMOBILITY[[#This Row],[QUANTITE]]*CFAOMOBILITY[[#This Row],[PRIX UNITAIRE]])</f>
        <v>0</v>
      </c>
      <c r="F141" s="89"/>
      <c r="G141" s="90">
        <f>+SUM(E$9:$E141)-SUM(F$9:$F141)</f>
        <v>500055</v>
      </c>
    </row>
    <row r="142" spans="1:7" ht="28.8" x14ac:dyDescent="0.55000000000000004">
      <c r="A142" s="85"/>
      <c r="B142" s="86"/>
      <c r="C142" s="87"/>
      <c r="D142" s="87"/>
      <c r="E142" s="88">
        <f>+$I$2+(CFAOMOBILITY[[#This Row],[QUANTITE]]*CFAOMOBILITY[[#This Row],[PRIX UNITAIRE]])</f>
        <v>0</v>
      </c>
      <c r="F142" s="89"/>
      <c r="G142" s="90">
        <f>+SUM(E$9:$E142)-SUM(F$9:$F142)</f>
        <v>500055</v>
      </c>
    </row>
    <row r="143" spans="1:7" ht="28.8" x14ac:dyDescent="0.55000000000000004">
      <c r="A143" s="85"/>
      <c r="B143" s="86"/>
      <c r="C143" s="87"/>
      <c r="D143" s="87"/>
      <c r="E143" s="88">
        <f>+$I$2+(CFAOMOBILITY[[#This Row],[QUANTITE]]*CFAOMOBILITY[[#This Row],[PRIX UNITAIRE]])</f>
        <v>0</v>
      </c>
      <c r="F143" s="89"/>
      <c r="G143" s="90">
        <f>+SUM(E$9:$E143)-SUM(F$9:$F143)</f>
        <v>500055</v>
      </c>
    </row>
    <row r="144" spans="1:7" ht="28.8" x14ac:dyDescent="0.55000000000000004">
      <c r="A144" s="85"/>
      <c r="B144" s="86"/>
      <c r="C144" s="87"/>
      <c r="D144" s="87"/>
      <c r="E144" s="88">
        <f>+$I$2+(CFAOMOBILITY[[#This Row],[QUANTITE]]*CFAOMOBILITY[[#This Row],[PRIX UNITAIRE]])</f>
        <v>0</v>
      </c>
      <c r="F144" s="89"/>
      <c r="G144" s="90">
        <f>+SUM(E$9:$E144)-SUM(F$9:$F144)</f>
        <v>500055</v>
      </c>
    </row>
    <row r="145" spans="1:7" ht="28.8" x14ac:dyDescent="0.55000000000000004">
      <c r="A145" s="85"/>
      <c r="B145" s="86"/>
      <c r="C145" s="87"/>
      <c r="D145" s="87"/>
      <c r="E145" s="88">
        <f>+$I$2+(CFAOMOBILITY[[#This Row],[QUANTITE]]*CFAOMOBILITY[[#This Row],[PRIX UNITAIRE]])</f>
        <v>0</v>
      </c>
      <c r="F145" s="89"/>
      <c r="G145" s="90">
        <f>+SUM(E$9:$E145)-SUM(F$9:$F145)</f>
        <v>500055</v>
      </c>
    </row>
    <row r="146" spans="1:7" ht="28.8" x14ac:dyDescent="0.55000000000000004">
      <c r="A146" s="85"/>
      <c r="B146" s="86"/>
      <c r="C146" s="87"/>
      <c r="D146" s="87"/>
      <c r="E146" s="88">
        <f>+$I$2+(CFAOMOBILITY[[#This Row],[QUANTITE]]*CFAOMOBILITY[[#This Row],[PRIX UNITAIRE]])</f>
        <v>0</v>
      </c>
      <c r="F146" s="89"/>
      <c r="G146" s="90">
        <f>+SUM(E$9:$E146)-SUM(F$9:$F146)</f>
        <v>500055</v>
      </c>
    </row>
    <row r="147" spans="1:7" ht="28.8" x14ac:dyDescent="0.55000000000000004">
      <c r="A147" s="85"/>
      <c r="B147" s="86"/>
      <c r="C147" s="87"/>
      <c r="D147" s="87"/>
      <c r="E147" s="88">
        <f>+$I$2+(CFAOMOBILITY[[#This Row],[QUANTITE]]*CFAOMOBILITY[[#This Row],[PRIX UNITAIRE]])</f>
        <v>0</v>
      </c>
      <c r="F147" s="89"/>
      <c r="G147" s="90">
        <f>+SUM(E$9:$E147)-SUM(F$9:$F147)</f>
        <v>500055</v>
      </c>
    </row>
    <row r="148" spans="1:7" ht="28.8" x14ac:dyDescent="0.55000000000000004">
      <c r="A148" s="85"/>
      <c r="B148" s="86"/>
      <c r="C148" s="87"/>
      <c r="D148" s="87"/>
      <c r="E148" s="88">
        <f>+$I$2+(CFAOMOBILITY[[#This Row],[QUANTITE]]*CFAOMOBILITY[[#This Row],[PRIX UNITAIRE]])</f>
        <v>0</v>
      </c>
      <c r="F148" s="89"/>
      <c r="G148" s="90">
        <f>+SUM(E$9:$E148)-SUM(F$9:$F148)</f>
        <v>500055</v>
      </c>
    </row>
    <row r="149" spans="1:7" ht="28.8" x14ac:dyDescent="0.55000000000000004">
      <c r="A149" s="85"/>
      <c r="B149" s="86"/>
      <c r="C149" s="87"/>
      <c r="D149" s="87"/>
      <c r="E149" s="88">
        <f>+$I$2+(CFAOMOBILITY[[#This Row],[QUANTITE]]*CFAOMOBILITY[[#This Row],[PRIX UNITAIRE]])</f>
        <v>0</v>
      </c>
      <c r="F149" s="89"/>
      <c r="G149" s="90">
        <f>+SUM(E$9:$E149)-SUM(F$9:$F149)</f>
        <v>500055</v>
      </c>
    </row>
    <row r="150" spans="1:7" ht="28.8" x14ac:dyDescent="0.55000000000000004">
      <c r="A150" s="85"/>
      <c r="B150" s="86"/>
      <c r="C150" s="87"/>
      <c r="D150" s="87"/>
      <c r="E150" s="88">
        <f>+$I$2+(CFAOMOBILITY[[#This Row],[QUANTITE]]*CFAOMOBILITY[[#This Row],[PRIX UNITAIRE]])</f>
        <v>0</v>
      </c>
      <c r="F150" s="89"/>
      <c r="G150" s="90">
        <f>+SUM(E$9:$E150)-SUM(F$9:$F150)</f>
        <v>500055</v>
      </c>
    </row>
    <row r="151" spans="1:7" ht="28.8" x14ac:dyDescent="0.55000000000000004">
      <c r="A151" s="85"/>
      <c r="B151" s="86"/>
      <c r="C151" s="87"/>
      <c r="D151" s="87"/>
      <c r="E151" s="88">
        <f>+$I$2+(CFAOMOBILITY[[#This Row],[QUANTITE]]*CFAOMOBILITY[[#This Row],[PRIX UNITAIRE]])</f>
        <v>0</v>
      </c>
      <c r="F151" s="89"/>
      <c r="G151" s="90">
        <f>+SUM(E$9:$E151)-SUM(F$9:$F151)</f>
        <v>500055</v>
      </c>
    </row>
    <row r="152" spans="1:7" ht="28.8" x14ac:dyDescent="0.55000000000000004">
      <c r="A152" s="85"/>
      <c r="B152" s="86"/>
      <c r="C152" s="87"/>
      <c r="D152" s="87"/>
      <c r="E152" s="88">
        <f>+$I$2+(CFAOMOBILITY[[#This Row],[QUANTITE]]*CFAOMOBILITY[[#This Row],[PRIX UNITAIRE]])</f>
        <v>0</v>
      </c>
      <c r="F152" s="89"/>
      <c r="G152" s="90">
        <f>+SUM(E$9:$E152)-SUM(F$9:$F152)</f>
        <v>500055</v>
      </c>
    </row>
    <row r="153" spans="1:7" ht="28.8" x14ac:dyDescent="0.55000000000000004">
      <c r="A153" s="85"/>
      <c r="B153" s="86"/>
      <c r="C153" s="87"/>
      <c r="D153" s="87"/>
      <c r="E153" s="88">
        <f>+$I$2+(CFAOMOBILITY[[#This Row],[QUANTITE]]*CFAOMOBILITY[[#This Row],[PRIX UNITAIRE]])</f>
        <v>0</v>
      </c>
      <c r="F153" s="89"/>
      <c r="G153" s="90">
        <f>+SUM(E$9:$E153)-SUM(F$9:$F153)</f>
        <v>500055</v>
      </c>
    </row>
    <row r="154" spans="1:7" ht="28.8" x14ac:dyDescent="0.55000000000000004">
      <c r="A154" s="85"/>
      <c r="B154" s="86"/>
      <c r="C154" s="87"/>
      <c r="D154" s="87"/>
      <c r="E154" s="88">
        <f>+$I$2+(CFAOMOBILITY[[#This Row],[QUANTITE]]*CFAOMOBILITY[[#This Row],[PRIX UNITAIRE]])</f>
        <v>0</v>
      </c>
      <c r="F154" s="89"/>
      <c r="G154" s="90">
        <f>+SUM(E$9:$E154)-SUM(F$9:$F154)</f>
        <v>500055</v>
      </c>
    </row>
    <row r="155" spans="1:7" ht="28.8" x14ac:dyDescent="0.55000000000000004">
      <c r="A155" s="85"/>
      <c r="B155" s="86"/>
      <c r="C155" s="87"/>
      <c r="D155" s="87"/>
      <c r="E155" s="88">
        <f>+$I$2+(CFAOMOBILITY[[#This Row],[QUANTITE]]*CFAOMOBILITY[[#This Row],[PRIX UNITAIRE]])</f>
        <v>0</v>
      </c>
      <c r="F155" s="89"/>
      <c r="G155" s="90">
        <f>+SUM(E$9:$E155)-SUM(F$9:$F155)</f>
        <v>500055</v>
      </c>
    </row>
    <row r="156" spans="1:7" ht="28.8" x14ac:dyDescent="0.55000000000000004">
      <c r="A156" s="85"/>
      <c r="B156" s="86"/>
      <c r="C156" s="87"/>
      <c r="D156" s="87"/>
      <c r="E156" s="88">
        <f>+$I$2+(CFAOMOBILITY[[#This Row],[QUANTITE]]*CFAOMOBILITY[[#This Row],[PRIX UNITAIRE]])</f>
        <v>0</v>
      </c>
      <c r="F156" s="89"/>
      <c r="G156" s="90">
        <f>+SUM(E$9:$E156)-SUM(F$9:$F156)</f>
        <v>500055</v>
      </c>
    </row>
    <row r="157" spans="1:7" ht="28.8" x14ac:dyDescent="0.55000000000000004">
      <c r="A157" s="85"/>
      <c r="B157" s="86"/>
      <c r="C157" s="87"/>
      <c r="D157" s="87"/>
      <c r="E157" s="88">
        <f>+$I$2+(CFAOMOBILITY[[#This Row],[QUANTITE]]*CFAOMOBILITY[[#This Row],[PRIX UNITAIRE]])</f>
        <v>0</v>
      </c>
      <c r="F157" s="89"/>
      <c r="G157" s="90">
        <f>+SUM(E$9:$E157)-SUM(F$9:$F157)</f>
        <v>500055</v>
      </c>
    </row>
    <row r="158" spans="1:7" ht="28.8" x14ac:dyDescent="0.55000000000000004">
      <c r="A158" s="85"/>
      <c r="B158" s="86"/>
      <c r="C158" s="87"/>
      <c r="D158" s="87"/>
      <c r="E158" s="88">
        <f>+$I$2+(CFAOMOBILITY[[#This Row],[QUANTITE]]*CFAOMOBILITY[[#This Row],[PRIX UNITAIRE]])</f>
        <v>0</v>
      </c>
      <c r="F158" s="89"/>
      <c r="G158" s="90">
        <f>+SUM(E$9:$E158)-SUM(F$9:$F158)</f>
        <v>500055</v>
      </c>
    </row>
    <row r="159" spans="1:7" ht="28.8" x14ac:dyDescent="0.55000000000000004">
      <c r="A159" s="85"/>
      <c r="B159" s="86"/>
      <c r="C159" s="87"/>
      <c r="D159" s="87"/>
      <c r="E159" s="88">
        <f>+$I$2+(CFAOMOBILITY[[#This Row],[QUANTITE]]*CFAOMOBILITY[[#This Row],[PRIX UNITAIRE]])</f>
        <v>0</v>
      </c>
      <c r="F159" s="89"/>
      <c r="G159" s="90">
        <f>+SUM(E$9:$E159)-SUM(F$9:$F159)</f>
        <v>500055</v>
      </c>
    </row>
    <row r="160" spans="1:7" ht="28.8" x14ac:dyDescent="0.55000000000000004">
      <c r="A160" s="85"/>
      <c r="B160" s="86"/>
      <c r="C160" s="87"/>
      <c r="D160" s="87"/>
      <c r="E160" s="88">
        <f>+$I$2+(CFAOMOBILITY[[#This Row],[QUANTITE]]*CFAOMOBILITY[[#This Row],[PRIX UNITAIRE]])</f>
        <v>0</v>
      </c>
      <c r="F160" s="89"/>
      <c r="G160" s="90">
        <f>+SUM(E$9:$E160)-SUM(F$9:$F160)</f>
        <v>500055</v>
      </c>
    </row>
    <row r="161" spans="1:7" ht="28.8" x14ac:dyDescent="0.55000000000000004">
      <c r="A161" s="85"/>
      <c r="B161" s="86"/>
      <c r="C161" s="87"/>
      <c r="D161" s="87"/>
      <c r="E161" s="88">
        <f>+$I$2+(CFAOMOBILITY[[#This Row],[QUANTITE]]*CFAOMOBILITY[[#This Row],[PRIX UNITAIRE]])</f>
        <v>0</v>
      </c>
      <c r="F161" s="89"/>
      <c r="G161" s="90">
        <f>+SUM(E$9:$E161)-SUM(F$9:$F161)</f>
        <v>500055</v>
      </c>
    </row>
    <row r="162" spans="1:7" ht="28.8" x14ac:dyDescent="0.55000000000000004">
      <c r="A162" s="85"/>
      <c r="B162" s="86"/>
      <c r="C162" s="87"/>
      <c r="D162" s="87"/>
      <c r="E162" s="88">
        <f>+$I$2+(CFAOMOBILITY[[#This Row],[QUANTITE]]*CFAOMOBILITY[[#This Row],[PRIX UNITAIRE]])</f>
        <v>0</v>
      </c>
      <c r="F162" s="89"/>
      <c r="G162" s="90">
        <f>+SUM(E$9:$E162)-SUM(F$9:$F162)</f>
        <v>500055</v>
      </c>
    </row>
    <row r="163" spans="1:7" ht="28.8" x14ac:dyDescent="0.55000000000000004">
      <c r="A163" s="85"/>
      <c r="B163" s="86"/>
      <c r="C163" s="87"/>
      <c r="D163" s="87"/>
      <c r="E163" s="88">
        <f>+$I$2+(CFAOMOBILITY[[#This Row],[QUANTITE]]*CFAOMOBILITY[[#This Row],[PRIX UNITAIRE]])</f>
        <v>0</v>
      </c>
      <c r="F163" s="89"/>
      <c r="G163" s="90">
        <f>+SUM(E$9:$E163)-SUM(F$9:$F163)</f>
        <v>500055</v>
      </c>
    </row>
    <row r="164" spans="1:7" ht="28.8" x14ac:dyDescent="0.55000000000000004">
      <c r="A164" s="85"/>
      <c r="B164" s="86"/>
      <c r="C164" s="87"/>
      <c r="D164" s="87"/>
      <c r="E164" s="88">
        <f>+$I$2+(CFAOMOBILITY[[#This Row],[QUANTITE]]*CFAOMOBILITY[[#This Row],[PRIX UNITAIRE]])</f>
        <v>0</v>
      </c>
      <c r="F164" s="89"/>
      <c r="G164" s="90">
        <f>+SUM(E$9:$E164)-SUM(F$9:$F164)</f>
        <v>500055</v>
      </c>
    </row>
    <row r="165" spans="1:7" ht="28.8" x14ac:dyDescent="0.55000000000000004">
      <c r="A165" s="85"/>
      <c r="B165" s="86"/>
      <c r="C165" s="87"/>
      <c r="D165" s="87"/>
      <c r="E165" s="88">
        <f>+$I$2+(CFAOMOBILITY[[#This Row],[QUANTITE]]*CFAOMOBILITY[[#This Row],[PRIX UNITAIRE]])</f>
        <v>0</v>
      </c>
      <c r="F165" s="89"/>
      <c r="G165" s="90">
        <f>+SUM(E$9:$E165)-SUM(F$9:$F165)</f>
        <v>500055</v>
      </c>
    </row>
    <row r="166" spans="1:7" ht="28.8" x14ac:dyDescent="0.55000000000000004">
      <c r="A166" s="85"/>
      <c r="B166" s="86"/>
      <c r="C166" s="87"/>
      <c r="D166" s="87"/>
      <c r="E166" s="88">
        <f>+$I$2+(CFAOMOBILITY[[#This Row],[QUANTITE]]*CFAOMOBILITY[[#This Row],[PRIX UNITAIRE]])</f>
        <v>0</v>
      </c>
      <c r="F166" s="89"/>
      <c r="G166" s="90">
        <f>+SUM(E$9:$E166)-SUM(F$9:$F166)</f>
        <v>500055</v>
      </c>
    </row>
    <row r="167" spans="1:7" ht="28.8" x14ac:dyDescent="0.55000000000000004">
      <c r="A167" s="85"/>
      <c r="B167" s="86"/>
      <c r="C167" s="87"/>
      <c r="D167" s="87"/>
      <c r="E167" s="88">
        <f>+$I$2+(CFAOMOBILITY[[#This Row],[QUANTITE]]*CFAOMOBILITY[[#This Row],[PRIX UNITAIRE]])</f>
        <v>0</v>
      </c>
      <c r="F167" s="89"/>
      <c r="G167" s="90">
        <f>+SUM(E$9:$E167)-SUM(F$9:$F167)</f>
        <v>500055</v>
      </c>
    </row>
    <row r="168" spans="1:7" ht="28.8" x14ac:dyDescent="0.55000000000000004">
      <c r="A168" s="85"/>
      <c r="B168" s="86"/>
      <c r="C168" s="87"/>
      <c r="D168" s="87"/>
      <c r="E168" s="88">
        <f>+$I$2+(CFAOMOBILITY[[#This Row],[QUANTITE]]*CFAOMOBILITY[[#This Row],[PRIX UNITAIRE]])</f>
        <v>0</v>
      </c>
      <c r="F168" s="89"/>
      <c r="G168" s="90">
        <f>+SUM(E$9:$E168)-SUM(F$9:$F168)</f>
        <v>500055</v>
      </c>
    </row>
    <row r="169" spans="1:7" ht="28.8" x14ac:dyDescent="0.55000000000000004">
      <c r="A169" s="85"/>
      <c r="B169" s="86"/>
      <c r="C169" s="87"/>
      <c r="D169" s="87"/>
      <c r="E169" s="88">
        <f>+$I$2+(CFAOMOBILITY[[#This Row],[QUANTITE]]*CFAOMOBILITY[[#This Row],[PRIX UNITAIRE]])</f>
        <v>0</v>
      </c>
      <c r="F169" s="89"/>
      <c r="G169" s="90">
        <f>+SUM(E$9:$E169)-SUM(F$9:$F169)</f>
        <v>500055</v>
      </c>
    </row>
    <row r="170" spans="1:7" ht="28.8" x14ac:dyDescent="0.55000000000000004">
      <c r="A170" s="85"/>
      <c r="B170" s="86"/>
      <c r="C170" s="87"/>
      <c r="D170" s="87"/>
      <c r="E170" s="88">
        <f>+$I$2+(CFAOMOBILITY[[#This Row],[QUANTITE]]*CFAOMOBILITY[[#This Row],[PRIX UNITAIRE]])</f>
        <v>0</v>
      </c>
      <c r="F170" s="89"/>
      <c r="G170" s="90">
        <f>+SUM(E$9:$E170)-SUM(F$9:$F170)</f>
        <v>500055</v>
      </c>
    </row>
    <row r="171" spans="1:7" ht="28.8" x14ac:dyDescent="0.55000000000000004">
      <c r="A171" s="85"/>
      <c r="B171" s="86"/>
      <c r="C171" s="87"/>
      <c r="D171" s="87"/>
      <c r="E171" s="88">
        <f>+$I$2+(CFAOMOBILITY[[#This Row],[QUANTITE]]*CFAOMOBILITY[[#This Row],[PRIX UNITAIRE]])</f>
        <v>0</v>
      </c>
      <c r="F171" s="89"/>
      <c r="G171" s="90">
        <f>+SUM(E$9:$E171)-SUM(F$9:$F171)</f>
        <v>500055</v>
      </c>
    </row>
    <row r="172" spans="1:7" ht="28.8" x14ac:dyDescent="0.55000000000000004">
      <c r="A172" s="85"/>
      <c r="B172" s="86"/>
      <c r="C172" s="87"/>
      <c r="D172" s="87"/>
      <c r="E172" s="88">
        <f>+$I$2+(CFAOMOBILITY[[#This Row],[QUANTITE]]*CFAOMOBILITY[[#This Row],[PRIX UNITAIRE]])</f>
        <v>0</v>
      </c>
      <c r="F172" s="89"/>
      <c r="G172" s="90">
        <f>+SUM(E$9:$E172)-SUM(F$9:$F172)</f>
        <v>500055</v>
      </c>
    </row>
  </sheetData>
  <sheetProtection selectLockedCells="1" autoFilter="0"/>
  <mergeCells count="1">
    <mergeCell ref="B6:C6"/>
  </mergeCells>
  <conditionalFormatting sqref="B14:B17 B23:B172">
    <cfRule type="expression" dxfId="289" priority="5">
      <formula>$F14</formula>
    </cfRule>
  </conditionalFormatting>
  <conditionalFormatting sqref="G4">
    <cfRule type="cellIs" dxfId="288" priority="2" operator="lessThan">
      <formula>0</formula>
    </cfRule>
    <cfRule type="cellIs" dxfId="287" priority="3" operator="greaterThan">
      <formula>0</formula>
    </cfRule>
  </conditionalFormatting>
  <conditionalFormatting sqref="B9:B13">
    <cfRule type="expression" dxfId="286" priority="122">
      <formula>$F18</formula>
    </cfRule>
  </conditionalFormatting>
  <dataValidations count="1">
    <dataValidation type="date" operator="greaterThan" allowBlank="1" showInputMessage="1" showErrorMessage="1" error="VEILLEZ ENTRER UNE DATE VALIDE" sqref="A23:A172 A9:A1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/>
  <dimension ref="A1:I12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+SUM(HASSANSALAMAN[TOTAL MONTANT])</f>
        <v>0</v>
      </c>
      <c r="F4" s="39">
        <f>+SUM(HASSANSALAMAN[VERSEMENT])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183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+$I$2+(HASSANSALAMAN[[#This Row],[QUANTITE]]*HASSANSALAMAN[[#This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+$I$2+(HASSANSALAMAN[[#This Row],[QUANTITE]]*HASSANSALAMAN[[#This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+$I$2+(HASSANSALAMAN[[#This Row],[QUANTITE]]*HASSANSALAMAN[[#This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+$I$2+(HASSANSALAMAN[[#This Row],[QUANTITE]]*HASSANSALAMAN[[#This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+$I$2+(HASSANSALAMAN[[#This Row],[QUANTITE]]*HASSANSALAMAN[[#This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+$I$2+(HASSANSALAMAN[[#This Row],[QUANTITE]]*HASSANSALAMAN[[#This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+$I$2+(HASSANSALAMAN[[#This Row],[QUANTITE]]*HASSANSALAMAN[[#This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+$I$2+(HASSANSALAMAN[[#This Row],[QUANTITE]]*HASSANSALAMAN[[#This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+$I$2+(HASSANSALAMAN[[#This Row],[QUANTITE]]*HASSANSALAMAN[[#This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+$I$2+(HASSANSALAMAN[[#This Row],[QUANTITE]]*HASSANSALAMAN[[#This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+$I$2+(HASSANSALAMAN[[#This Row],[QUANTITE]]*HASSANSALAMAN[[#This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+$I$2+(HASSANSALAMAN[[#This Row],[QUANTITE]]*HASSANSALAMAN[[#This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+$I$2+(HASSANSALAMAN[[#This Row],[QUANTITE]]*HASSANSALAMAN[[#This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+$I$2+(HASSANSALAMAN[[#This Row],[QUANTITE]]*HASSANSALAMAN[[#This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+$I$2+(HASSANSALAMAN[[#This Row],[QUANTITE]]*HASSANSALAMAN[[#This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+$I$2+(HASSANSALAMAN[[#This Row],[QUANTITE]]*HASSANSALAMAN[[#This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+$I$2+(HASSANSALAMAN[[#This Row],[QUANTITE]]*HASSANSALAMAN[[#This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+$I$2+(HASSANSALAMAN[[#This Row],[QUANTITE]]*HASSANSALAMAN[[#This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+$I$2+(HASSANSALAMAN[[#This Row],[QUANTITE]]*HASSANSALAMAN[[#This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+$I$2+(HASSANSALAMAN[[#This Row],[QUANTITE]]*HASSANSALAMAN[[#This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+$I$2+(HASSANSALAMAN[[#This Row],[QUANTITE]]*HASSANSALAMAN[[#This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+$I$2+(HASSANSALAMAN[[#This Row],[QUANTITE]]*HASSANSALAMAN[[#This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+$I$2+(HASSANSALAMAN[[#This Row],[QUANTITE]]*HASSANSALAMAN[[#This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+$I$2+(HASSANSALAMAN[[#This Row],[QUANTITE]]*HASSANSALAMAN[[#This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+$I$2+(HASSANSALAMAN[[#This Row],[QUANTITE]]*HASSANSALAMAN[[#This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+$I$2+(HASSANSALAMAN[[#This Row],[QUANTITE]]*HASSANSALAMAN[[#This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+$I$2+(HASSANSALAMAN[[#This Row],[QUANTITE]]*HASSANSALAMAN[[#This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+$I$2+(HASSANSALAMAN[[#This Row],[QUANTITE]]*HASSANSALAMAN[[#This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+$I$2+(HASSANSALAMAN[[#This Row],[QUANTITE]]*HASSANSALAMAN[[#This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+$I$2+(HASSANSALAMAN[[#This Row],[QUANTITE]]*HASSANSALAMAN[[#This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+$I$2+(HASSANSALAMAN[[#This Row],[QUANTITE]]*HASSANSALAMAN[[#This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+$I$2+(HASSANSALAMAN[[#This Row],[QUANTITE]]*HASSANSALAMAN[[#This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+$I$2+(HASSANSALAMAN[[#This Row],[QUANTITE]]*HASSANSALAMAN[[#This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+$I$2+(HASSANSALAMAN[[#This Row],[QUANTITE]]*HASSANSALAMAN[[#This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+$I$2+(HASSANSALAMAN[[#This Row],[QUANTITE]]*HASSANSALAMAN[[#This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+$I$2+(HASSANSALAMAN[[#This Row],[QUANTITE]]*HASSANSALAMAN[[#This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+$I$2+(HASSANSALAMAN[[#This Row],[QUANTITE]]*HASSANSALAMAN[[#This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+$I$2+(HASSANSALAMAN[[#This Row],[QUANTITE]]*HASSANSALAMAN[[#This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+$I$2+(HASSANSALAMAN[[#This Row],[QUANTITE]]*HASSANSALAMAN[[#This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+$I$2+(HASSANSALAMAN[[#This Row],[QUANTITE]]*HASSANSALAMAN[[#This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+$I$2+(HASSANSALAMAN[[#This Row],[QUANTITE]]*HASSANSALAMAN[[#This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+$I$2+(HASSANSALAMAN[[#This Row],[QUANTITE]]*HASSANSALAMAN[[#This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+$I$2+(HASSANSALAMAN[[#This Row],[QUANTITE]]*HASSANSALAMAN[[#This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+$I$2+(HASSANSALAMAN[[#This Row],[QUANTITE]]*HASSANSALAMAN[[#This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+$I$2+(HASSANSALAMAN[[#This Row],[QUANTITE]]*HASSANSALAMAN[[#This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+$I$2+(HASSANSALAMAN[[#This Row],[QUANTITE]]*HASSANSALAMAN[[#This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+$I$2+(HASSANSALAMAN[[#This Row],[QUANTITE]]*HASSANSALAMAN[[#This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+$I$2+(HASSANSALAMAN[[#This Row],[QUANTITE]]*HASSANSALAMAN[[#This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+$I$2+(HASSANSALAMAN[[#This Row],[QUANTITE]]*HASSANSALAMAN[[#This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+$I$2+(HASSANSALAMAN[[#This Row],[QUANTITE]]*HASSANSALAMAN[[#This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+$I$2+(HASSANSALAMAN[[#This Row],[QUANTITE]]*HASSANSALAMAN[[#This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+$I$2+(HASSANSALAMAN[[#This Row],[QUANTITE]]*HASSANSALAMAN[[#This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+$I$2+(HASSANSALAMAN[[#This Row],[QUANTITE]]*HASSANSALAMAN[[#This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+$I$2+(HASSANSALAMAN[[#This Row],[QUANTITE]]*HASSANSALAMAN[[#This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+$I$2+(HASSANSALAMAN[[#This Row],[QUANTITE]]*HASSANSALAMAN[[#This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+$I$2+(HASSANSALAMAN[[#This Row],[QUANTITE]]*HASSANSALAMAN[[#This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+$I$2+(HASSANSALAMAN[[#This Row],[QUANTITE]]*HASSANSALAMAN[[#This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+$I$2+(HASSANSALAMAN[[#This Row],[QUANTITE]]*HASSANSALAMAN[[#This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+$I$2+(HASSANSALAMAN[[#This Row],[QUANTITE]]*HASSANSALAMAN[[#This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+$I$2+(HASSANSALAMAN[[#This Row],[QUANTITE]]*HASSANSALAMAN[[#This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+$I$2+(HASSANSALAMAN[[#This Row],[QUANTITE]]*HASSANSALAMAN[[#This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+$I$2+(HASSANSALAMAN[[#This Row],[QUANTITE]]*HASSANSALAMAN[[#This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+$I$2+(HASSANSALAMAN[[#This Row],[QUANTITE]]*HASSANSALAMAN[[#This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+$I$2+(HASSANSALAMAN[[#This Row],[QUANTITE]]*HASSANSALAMAN[[#This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47"/>
      <c r="B73" s="48"/>
      <c r="C73" s="49"/>
      <c r="D73" s="49"/>
      <c r="E73" s="50">
        <f>+$I$2+(HASSANSALAMAN[[#This Row],[QUANTITE]]*HASSANSALAMAN[[#This Row],[PRIX UNITAIRE]])</f>
        <v>0</v>
      </c>
      <c r="F73" s="51"/>
      <c r="G73" s="52">
        <f>+SUM(E$9:$E73)-SUM(F$9:$F73)</f>
        <v>0</v>
      </c>
    </row>
    <row r="74" spans="1:7" ht="28.8" x14ac:dyDescent="0.55000000000000004">
      <c r="A74" s="47"/>
      <c r="B74" s="48"/>
      <c r="C74" s="49"/>
      <c r="D74" s="49"/>
      <c r="E74" s="50">
        <f>+$I$2+(HASSANSALAMAN[[#This Row],[QUANTITE]]*HASSANSALAMAN[[#This Row],[PRIX UNITAIRE]])</f>
        <v>0</v>
      </c>
      <c r="F74" s="51"/>
      <c r="G74" s="52">
        <f>+SUM(E$9:$E74)-SUM(F$9:$F74)</f>
        <v>0</v>
      </c>
    </row>
    <row r="75" spans="1:7" ht="28.8" x14ac:dyDescent="0.55000000000000004">
      <c r="A75" s="47"/>
      <c r="B75" s="48"/>
      <c r="C75" s="49"/>
      <c r="D75" s="49"/>
      <c r="E75" s="50">
        <f>+$I$2+(HASSANSALAMAN[[#This Row],[QUANTITE]]*HASSANSALAMAN[[#This Row],[PRIX UNITAIRE]])</f>
        <v>0</v>
      </c>
      <c r="F75" s="51"/>
      <c r="G75" s="52">
        <f>+SUM(E$9:$E75)-SUM(F$9:$F75)</f>
        <v>0</v>
      </c>
    </row>
    <row r="76" spans="1:7" ht="28.8" x14ac:dyDescent="0.55000000000000004">
      <c r="A76" s="47"/>
      <c r="B76" s="48"/>
      <c r="C76" s="49"/>
      <c r="D76" s="49"/>
      <c r="E76" s="50">
        <f>+$I$2+(HASSANSALAMAN[[#This Row],[QUANTITE]]*HASSANSALAMAN[[#This Row],[PRIX UNITAIRE]])</f>
        <v>0</v>
      </c>
      <c r="F76" s="51"/>
      <c r="G76" s="52">
        <f>+SUM(E$9:$E76)-SUM(F$9:$F76)</f>
        <v>0</v>
      </c>
    </row>
    <row r="77" spans="1:7" ht="28.8" x14ac:dyDescent="0.55000000000000004">
      <c r="A77" s="47"/>
      <c r="B77" s="48"/>
      <c r="C77" s="49"/>
      <c r="D77" s="49"/>
      <c r="E77" s="50">
        <f>+$I$2+(HASSANSALAMAN[[#This Row],[QUANTITE]]*HASSANSALAMAN[[#This Row],[PRIX UNITAIRE]])</f>
        <v>0</v>
      </c>
      <c r="F77" s="51"/>
      <c r="G77" s="52">
        <f>+SUM(E$9:$E77)-SUM(F$9:$F77)</f>
        <v>0</v>
      </c>
    </row>
    <row r="78" spans="1:7" ht="28.8" x14ac:dyDescent="0.55000000000000004">
      <c r="A78" s="47"/>
      <c r="B78" s="48"/>
      <c r="C78" s="49"/>
      <c r="D78" s="49"/>
      <c r="E78" s="50">
        <f>+$I$2+(HASSANSALAMAN[[#This Row],[QUANTITE]]*HASSANSALAMAN[[#This Row],[PRIX UNITAIRE]])</f>
        <v>0</v>
      </c>
      <c r="F78" s="51"/>
      <c r="G78" s="52">
        <f>+SUM(E$9:$E78)-SUM(F$9:$F78)</f>
        <v>0</v>
      </c>
    </row>
    <row r="79" spans="1:7" ht="28.8" x14ac:dyDescent="0.55000000000000004">
      <c r="A79" s="47"/>
      <c r="B79" s="48"/>
      <c r="C79" s="49"/>
      <c r="D79" s="49"/>
      <c r="E79" s="50">
        <f>+$I$2+(HASSANSALAMAN[[#This Row],[QUANTITE]]*HASSANSALAMAN[[#This Row],[PRIX UNITAIRE]])</f>
        <v>0</v>
      </c>
      <c r="F79" s="51"/>
      <c r="G79" s="52">
        <f>+SUM(E$9:$E79)-SUM(F$9:$F79)</f>
        <v>0</v>
      </c>
    </row>
    <row r="80" spans="1:7" ht="28.8" x14ac:dyDescent="0.55000000000000004">
      <c r="A80" s="47"/>
      <c r="B80" s="48"/>
      <c r="C80" s="49"/>
      <c r="D80" s="49"/>
      <c r="E80" s="50">
        <f>+$I$2+(HASSANSALAMAN[[#This Row],[QUANTITE]]*HASSANSALAMAN[[#This Row],[PRIX UNITAIRE]])</f>
        <v>0</v>
      </c>
      <c r="F80" s="51"/>
      <c r="G80" s="52">
        <f>+SUM(E$9:$E80)-SUM(F$9:$F80)</f>
        <v>0</v>
      </c>
    </row>
    <row r="81" spans="1:7" ht="28.8" x14ac:dyDescent="0.55000000000000004">
      <c r="A81" s="47"/>
      <c r="B81" s="48"/>
      <c r="C81" s="49"/>
      <c r="D81" s="49"/>
      <c r="E81" s="50">
        <f>+$I$2+(HASSANSALAMAN[[#This Row],[QUANTITE]]*HASSANSALAMAN[[#This Row],[PRIX UNITAIRE]])</f>
        <v>0</v>
      </c>
      <c r="F81" s="51"/>
      <c r="G81" s="52">
        <f>+SUM(E$9:$E81)-SUM(F$9:$F81)</f>
        <v>0</v>
      </c>
    </row>
    <row r="82" spans="1:7" ht="28.8" x14ac:dyDescent="0.55000000000000004">
      <c r="A82" s="47"/>
      <c r="B82" s="48"/>
      <c r="C82" s="49"/>
      <c r="D82" s="49"/>
      <c r="E82" s="50">
        <f>+$I$2+(HASSANSALAMAN[[#This Row],[QUANTITE]]*HASSANSALAMAN[[#This Row],[PRIX UNITAIRE]])</f>
        <v>0</v>
      </c>
      <c r="F82" s="51"/>
      <c r="G82" s="52">
        <f>+SUM(E$9:$E82)-SUM(F$9:$F82)</f>
        <v>0</v>
      </c>
    </row>
    <row r="83" spans="1:7" ht="28.8" x14ac:dyDescent="0.55000000000000004">
      <c r="A83" s="47"/>
      <c r="B83" s="48"/>
      <c r="C83" s="49"/>
      <c r="D83" s="49"/>
      <c r="E83" s="50">
        <f>+$I$2+(HASSANSALAMAN[[#This Row],[QUANTITE]]*HASSANSALAMAN[[#This Row],[PRIX UNITAIRE]])</f>
        <v>0</v>
      </c>
      <c r="F83" s="51"/>
      <c r="G83" s="52">
        <f>+SUM(E$9:$E83)-SUM(F$9:$F83)</f>
        <v>0</v>
      </c>
    </row>
    <row r="84" spans="1:7" ht="28.8" x14ac:dyDescent="0.55000000000000004">
      <c r="A84" s="47"/>
      <c r="B84" s="48"/>
      <c r="C84" s="49"/>
      <c r="D84" s="49"/>
      <c r="E84" s="50">
        <f>+$I$2+(HASSANSALAMAN[[#This Row],[QUANTITE]]*HASSANSALAMAN[[#This Row],[PRIX UNITAIRE]])</f>
        <v>0</v>
      </c>
      <c r="F84" s="51"/>
      <c r="G84" s="52">
        <f>+SUM(E$9:$E84)-SUM(F$9:$F84)</f>
        <v>0</v>
      </c>
    </row>
    <row r="85" spans="1:7" ht="28.8" x14ac:dyDescent="0.55000000000000004">
      <c r="A85" s="47"/>
      <c r="B85" s="48"/>
      <c r="C85" s="49"/>
      <c r="D85" s="49"/>
      <c r="E85" s="50">
        <f>+$I$2+(HASSANSALAMAN[[#This Row],[QUANTITE]]*HASSANSALAMAN[[#This Row],[PRIX UNITAIRE]])</f>
        <v>0</v>
      </c>
      <c r="F85" s="51"/>
      <c r="G85" s="52">
        <f>+SUM(E$9:$E85)-SUM(F$9:$F85)</f>
        <v>0</v>
      </c>
    </row>
    <row r="86" spans="1:7" ht="28.8" x14ac:dyDescent="0.55000000000000004">
      <c r="A86" s="47"/>
      <c r="B86" s="48"/>
      <c r="C86" s="49"/>
      <c r="D86" s="49"/>
      <c r="E86" s="50">
        <f>+$I$2+(HASSANSALAMAN[[#This Row],[QUANTITE]]*HASSANSALAMAN[[#This Row],[PRIX UNITAIRE]])</f>
        <v>0</v>
      </c>
      <c r="F86" s="51"/>
      <c r="G86" s="52">
        <f>+SUM(E$9:$E86)-SUM(F$9:$F86)</f>
        <v>0</v>
      </c>
    </row>
    <row r="87" spans="1:7" ht="28.8" x14ac:dyDescent="0.55000000000000004">
      <c r="A87" s="47"/>
      <c r="B87" s="48"/>
      <c r="C87" s="49"/>
      <c r="D87" s="49"/>
      <c r="E87" s="50">
        <f>+$I$2+(HASSANSALAMAN[[#This Row],[QUANTITE]]*HASSANSALAMAN[[#This Row],[PRIX UNITAIRE]])</f>
        <v>0</v>
      </c>
      <c r="F87" s="51"/>
      <c r="G87" s="52">
        <f>+SUM(E$9:$E87)-SUM(F$9:$F87)</f>
        <v>0</v>
      </c>
    </row>
    <row r="88" spans="1:7" ht="28.8" x14ac:dyDescent="0.55000000000000004">
      <c r="A88" s="47"/>
      <c r="B88" s="48"/>
      <c r="C88" s="49"/>
      <c r="D88" s="49"/>
      <c r="E88" s="50">
        <f>+$I$2+(HASSANSALAMAN[[#This Row],[QUANTITE]]*HASSANSALAMAN[[#This Row],[PRIX UNITAIRE]])</f>
        <v>0</v>
      </c>
      <c r="F88" s="51"/>
      <c r="G88" s="52">
        <f>+SUM(E$9:$E88)-SUM(F$9:$F88)</f>
        <v>0</v>
      </c>
    </row>
    <row r="89" spans="1:7" ht="28.8" x14ac:dyDescent="0.55000000000000004">
      <c r="A89" s="47"/>
      <c r="B89" s="48"/>
      <c r="C89" s="49"/>
      <c r="D89" s="49"/>
      <c r="E89" s="50">
        <f>+$I$2+(HASSANSALAMAN[[#This Row],[QUANTITE]]*HASSANSALAMAN[[#This Row],[PRIX UNITAIRE]])</f>
        <v>0</v>
      </c>
      <c r="F89" s="51"/>
      <c r="G89" s="52">
        <f>+SUM(E$9:$E89)-SUM(F$9:$F89)</f>
        <v>0</v>
      </c>
    </row>
    <row r="90" spans="1:7" ht="28.8" x14ac:dyDescent="0.55000000000000004">
      <c r="A90" s="47"/>
      <c r="B90" s="48"/>
      <c r="C90" s="49"/>
      <c r="D90" s="49"/>
      <c r="E90" s="50">
        <f>+$I$2+(HASSANSALAMAN[[#This Row],[QUANTITE]]*HASSANSALAMAN[[#This Row],[PRIX UNITAIRE]])</f>
        <v>0</v>
      </c>
      <c r="F90" s="51"/>
      <c r="G90" s="52">
        <f>+SUM(E$9:$E90)-SUM(F$9:$F90)</f>
        <v>0</v>
      </c>
    </row>
    <row r="91" spans="1:7" ht="28.8" x14ac:dyDescent="0.55000000000000004">
      <c r="A91" s="47"/>
      <c r="B91" s="48"/>
      <c r="C91" s="49"/>
      <c r="D91" s="49"/>
      <c r="E91" s="50">
        <f>+$I$2+(HASSANSALAMAN[[#This Row],[QUANTITE]]*HASSANSALAMAN[[#This Row],[PRIX UNITAIRE]])</f>
        <v>0</v>
      </c>
      <c r="F91" s="51"/>
      <c r="G91" s="52">
        <f>+SUM(E$9:$E91)-SUM(F$9:$F91)</f>
        <v>0</v>
      </c>
    </row>
    <row r="92" spans="1:7" ht="28.8" x14ac:dyDescent="0.55000000000000004">
      <c r="A92" s="47"/>
      <c r="B92" s="48"/>
      <c r="C92" s="49"/>
      <c r="D92" s="49"/>
      <c r="E92" s="50">
        <f>+$I$2+(HASSANSALAMAN[[#This Row],[QUANTITE]]*HASSANSALAMAN[[#This Row],[PRIX UNITAIRE]])</f>
        <v>0</v>
      </c>
      <c r="F92" s="51"/>
      <c r="G92" s="52">
        <f>+SUM(E$9:$E92)-SUM(F$9:$F92)</f>
        <v>0</v>
      </c>
    </row>
    <row r="93" spans="1:7" ht="28.8" x14ac:dyDescent="0.55000000000000004">
      <c r="A93" s="47"/>
      <c r="B93" s="48"/>
      <c r="C93" s="49"/>
      <c r="D93" s="49"/>
      <c r="E93" s="50">
        <f>+$I$2+(HASSANSALAMAN[[#This Row],[QUANTITE]]*HASSANSALAMAN[[#This Row],[PRIX UNITAIRE]])</f>
        <v>0</v>
      </c>
      <c r="F93" s="51"/>
      <c r="G93" s="52">
        <f>+SUM(E$9:$E93)-SUM(F$9:$F93)</f>
        <v>0</v>
      </c>
    </row>
    <row r="94" spans="1:7" ht="28.8" x14ac:dyDescent="0.55000000000000004">
      <c r="A94" s="47"/>
      <c r="B94" s="48"/>
      <c r="C94" s="49"/>
      <c r="D94" s="49"/>
      <c r="E94" s="50">
        <f>+$I$2+(HASSANSALAMAN[[#This Row],[QUANTITE]]*HASSANSALAMAN[[#This Row],[PRIX UNITAIRE]])</f>
        <v>0</v>
      </c>
      <c r="F94" s="51"/>
      <c r="G94" s="52">
        <f>+SUM(E$9:$E94)-SUM(F$9:$F94)</f>
        <v>0</v>
      </c>
    </row>
    <row r="95" spans="1:7" ht="28.8" x14ac:dyDescent="0.55000000000000004">
      <c r="A95" s="47"/>
      <c r="B95" s="48"/>
      <c r="C95" s="49"/>
      <c r="D95" s="49"/>
      <c r="E95" s="50">
        <f>+$I$2+(HASSANSALAMAN[[#This Row],[QUANTITE]]*HASSANSALAMAN[[#This Row],[PRIX UNITAIRE]])</f>
        <v>0</v>
      </c>
      <c r="F95" s="51"/>
      <c r="G95" s="52">
        <f>+SUM(E$9:$E95)-SUM(F$9:$F95)</f>
        <v>0</v>
      </c>
    </row>
    <row r="96" spans="1:7" ht="28.8" x14ac:dyDescent="0.55000000000000004">
      <c r="A96" s="47"/>
      <c r="B96" s="48"/>
      <c r="C96" s="49"/>
      <c r="D96" s="49"/>
      <c r="E96" s="50">
        <f>+$I$2+(HASSANSALAMAN[[#This Row],[QUANTITE]]*HASSANSALAMAN[[#This Row],[PRIX UNITAIRE]])</f>
        <v>0</v>
      </c>
      <c r="F96" s="51"/>
      <c r="G96" s="52">
        <f>+SUM(E$9:$E96)-SUM(F$9:$F96)</f>
        <v>0</v>
      </c>
    </row>
    <row r="97" spans="1:7" ht="28.8" x14ac:dyDescent="0.55000000000000004">
      <c r="A97" s="47"/>
      <c r="B97" s="48"/>
      <c r="C97" s="49"/>
      <c r="D97" s="49"/>
      <c r="E97" s="50">
        <f>+$I$2+(HASSANSALAMAN[[#This Row],[QUANTITE]]*HASSANSALAMAN[[#This Row],[PRIX UNITAIRE]])</f>
        <v>0</v>
      </c>
      <c r="F97" s="51"/>
      <c r="G97" s="52">
        <f>+SUM(E$9:$E97)-SUM(F$9:$F97)</f>
        <v>0</v>
      </c>
    </row>
    <row r="98" spans="1:7" ht="28.8" x14ac:dyDescent="0.55000000000000004">
      <c r="A98" s="47"/>
      <c r="B98" s="48"/>
      <c r="C98" s="49"/>
      <c r="D98" s="49"/>
      <c r="E98" s="50">
        <f>+$I$2+(HASSANSALAMAN[[#This Row],[QUANTITE]]*HASSANSALAMAN[[#This Row],[PRIX UNITAIRE]])</f>
        <v>0</v>
      </c>
      <c r="F98" s="51"/>
      <c r="G98" s="52">
        <f>+SUM(E$9:$E98)-SUM(F$9:$F98)</f>
        <v>0</v>
      </c>
    </row>
    <row r="99" spans="1:7" ht="28.8" x14ac:dyDescent="0.55000000000000004">
      <c r="A99" s="47"/>
      <c r="B99" s="48"/>
      <c r="C99" s="49"/>
      <c r="D99" s="49"/>
      <c r="E99" s="50">
        <f>+$I$2+(HASSANSALAMAN[[#This Row],[QUANTITE]]*HASSANSALAMAN[[#This Row],[PRIX UNITAIRE]])</f>
        <v>0</v>
      </c>
      <c r="F99" s="51"/>
      <c r="G99" s="52">
        <f>+SUM(E$9:$E99)-SUM(F$9:$F99)</f>
        <v>0</v>
      </c>
    </row>
    <row r="100" spans="1:7" ht="28.8" x14ac:dyDescent="0.55000000000000004">
      <c r="A100" s="47"/>
      <c r="B100" s="48"/>
      <c r="C100" s="49"/>
      <c r="D100" s="49"/>
      <c r="E100" s="50">
        <f>+$I$2+(HASSANSALAMAN[[#This Row],[QUANTITE]]*HASSANSALAMAN[[#This Row],[PRIX UNITAIRE]])</f>
        <v>0</v>
      </c>
      <c r="F100" s="51"/>
      <c r="G100" s="52">
        <f>+SUM(E$9:$E100)-SUM(F$9:$F100)</f>
        <v>0</v>
      </c>
    </row>
    <row r="101" spans="1:7" ht="28.8" x14ac:dyDescent="0.55000000000000004">
      <c r="A101" s="47"/>
      <c r="B101" s="48"/>
      <c r="C101" s="49"/>
      <c r="D101" s="49"/>
      <c r="E101" s="50">
        <f>+$I$2+(HASSANSALAMAN[[#This Row],[QUANTITE]]*HASSANSALAMAN[[#This Row],[PRIX UNITAIRE]])</f>
        <v>0</v>
      </c>
      <c r="F101" s="51"/>
      <c r="G101" s="52">
        <f>+SUM(E$9:$E101)-SUM(F$9:$F101)</f>
        <v>0</v>
      </c>
    </row>
    <row r="102" spans="1:7" ht="28.8" x14ac:dyDescent="0.55000000000000004">
      <c r="A102" s="47"/>
      <c r="B102" s="48"/>
      <c r="C102" s="49"/>
      <c r="D102" s="49"/>
      <c r="E102" s="50">
        <f>+$I$2+(HASSANSALAMAN[[#This Row],[QUANTITE]]*HASSANSALAMAN[[#This Row],[PRIX UNITAIRE]])</f>
        <v>0</v>
      </c>
      <c r="F102" s="51"/>
      <c r="G102" s="52">
        <f>+SUM(E$9:$E102)-SUM(F$9:$F102)</f>
        <v>0</v>
      </c>
    </row>
    <row r="103" spans="1:7" ht="28.8" x14ac:dyDescent="0.55000000000000004">
      <c r="A103" s="47"/>
      <c r="B103" s="48"/>
      <c r="C103" s="49"/>
      <c r="D103" s="49"/>
      <c r="E103" s="50">
        <f>+$I$2+(HASSANSALAMAN[[#This Row],[QUANTITE]]*HASSANSALAMAN[[#This Row],[PRIX UNITAIRE]])</f>
        <v>0</v>
      </c>
      <c r="F103" s="51"/>
      <c r="G103" s="52">
        <f>+SUM(E$9:$E103)-SUM(F$9:$F103)</f>
        <v>0</v>
      </c>
    </row>
    <row r="104" spans="1:7" ht="28.8" x14ac:dyDescent="0.55000000000000004">
      <c r="A104" s="47"/>
      <c r="B104" s="48"/>
      <c r="C104" s="49"/>
      <c r="D104" s="49"/>
      <c r="E104" s="50">
        <f>+$I$2+(HASSANSALAMAN[[#This Row],[QUANTITE]]*HASSANSALAMAN[[#This Row],[PRIX UNITAIRE]])</f>
        <v>0</v>
      </c>
      <c r="F104" s="51"/>
      <c r="G104" s="52">
        <f>+SUM(E$9:$E104)-SUM(F$9:$F104)</f>
        <v>0</v>
      </c>
    </row>
    <row r="105" spans="1:7" ht="28.8" x14ac:dyDescent="0.55000000000000004">
      <c r="A105" s="47"/>
      <c r="B105" s="48"/>
      <c r="C105" s="49"/>
      <c r="D105" s="49"/>
      <c r="E105" s="50">
        <f>+$I$2+(HASSANSALAMAN[[#This Row],[QUANTITE]]*HASSANSALAMAN[[#This Row],[PRIX UNITAIRE]])</f>
        <v>0</v>
      </c>
      <c r="F105" s="51"/>
      <c r="G105" s="52">
        <f>+SUM(E$9:$E105)-SUM(F$9:$F105)</f>
        <v>0</v>
      </c>
    </row>
    <row r="106" spans="1:7" ht="28.8" x14ac:dyDescent="0.55000000000000004">
      <c r="A106" s="47"/>
      <c r="B106" s="48"/>
      <c r="C106" s="49"/>
      <c r="D106" s="49"/>
      <c r="E106" s="50">
        <f>+$I$2+(HASSANSALAMAN[[#This Row],[QUANTITE]]*HASSANSALAMAN[[#This Row],[PRIX UNITAIRE]])</f>
        <v>0</v>
      </c>
      <c r="F106" s="51"/>
      <c r="G106" s="52">
        <f>+SUM(E$9:$E106)-SUM(F$9:$F106)</f>
        <v>0</v>
      </c>
    </row>
    <row r="107" spans="1:7" ht="28.8" x14ac:dyDescent="0.55000000000000004">
      <c r="A107" s="47"/>
      <c r="B107" s="48"/>
      <c r="C107" s="49"/>
      <c r="D107" s="49"/>
      <c r="E107" s="50">
        <f>+$I$2+(HASSANSALAMAN[[#This Row],[QUANTITE]]*HASSANSALAMAN[[#This Row],[PRIX UNITAIRE]])</f>
        <v>0</v>
      </c>
      <c r="F107" s="51"/>
      <c r="G107" s="52">
        <f>+SUM(E$9:$E107)-SUM(F$9:$F107)</f>
        <v>0</v>
      </c>
    </row>
    <row r="108" spans="1:7" ht="28.8" x14ac:dyDescent="0.55000000000000004">
      <c r="A108" s="47"/>
      <c r="B108" s="48"/>
      <c r="C108" s="49"/>
      <c r="D108" s="49"/>
      <c r="E108" s="50">
        <f>+$I$2+(HASSANSALAMAN[[#This Row],[QUANTITE]]*HASSANSALAMAN[[#This Row],[PRIX UNITAIRE]])</f>
        <v>0</v>
      </c>
      <c r="F108" s="51"/>
      <c r="G108" s="52">
        <f>+SUM(E$9:$E108)-SUM(F$9:$F108)</f>
        <v>0</v>
      </c>
    </row>
    <row r="109" spans="1:7" ht="28.8" x14ac:dyDescent="0.55000000000000004">
      <c r="A109" s="47"/>
      <c r="B109" s="48"/>
      <c r="C109" s="49"/>
      <c r="D109" s="49"/>
      <c r="E109" s="50">
        <f>+$I$2+(HASSANSALAMAN[[#This Row],[QUANTITE]]*HASSANSALAMAN[[#This Row],[PRIX UNITAIRE]])</f>
        <v>0</v>
      </c>
      <c r="F109" s="51"/>
      <c r="G109" s="52">
        <f>+SUM(E$9:$E109)-SUM(F$9:$F109)</f>
        <v>0</v>
      </c>
    </row>
    <row r="110" spans="1:7" ht="28.8" x14ac:dyDescent="0.55000000000000004">
      <c r="A110" s="47"/>
      <c r="B110" s="48"/>
      <c r="C110" s="49"/>
      <c r="D110" s="49"/>
      <c r="E110" s="50">
        <f>+$I$2+(HASSANSALAMAN[[#This Row],[QUANTITE]]*HASSANSALAMAN[[#This Row],[PRIX UNITAIRE]])</f>
        <v>0</v>
      </c>
      <c r="F110" s="51"/>
      <c r="G110" s="52">
        <f>+SUM(E$9:$E110)-SUM(F$9:$F110)</f>
        <v>0</v>
      </c>
    </row>
    <row r="111" spans="1:7" ht="28.8" x14ac:dyDescent="0.55000000000000004">
      <c r="A111" s="47"/>
      <c r="B111" s="48"/>
      <c r="C111" s="49"/>
      <c r="D111" s="49"/>
      <c r="E111" s="50">
        <f>+$I$2+(HASSANSALAMAN[[#This Row],[QUANTITE]]*HASSANSALAMAN[[#This Row],[PRIX UNITAIRE]])</f>
        <v>0</v>
      </c>
      <c r="F111" s="51"/>
      <c r="G111" s="52">
        <f>+SUM(E$9:$E111)-SUM(F$9:$F111)</f>
        <v>0</v>
      </c>
    </row>
    <row r="112" spans="1:7" ht="28.8" x14ac:dyDescent="0.55000000000000004">
      <c r="A112" s="47"/>
      <c r="B112" s="48"/>
      <c r="C112" s="49"/>
      <c r="D112" s="49"/>
      <c r="E112" s="50">
        <f>+$I$2+(HASSANSALAMAN[[#This Row],[QUANTITE]]*HASSANSALAMAN[[#This Row],[PRIX UNITAIRE]])</f>
        <v>0</v>
      </c>
      <c r="F112" s="51"/>
      <c r="G112" s="52">
        <f>+SUM(E$9:$E112)-SUM(F$9:$F112)</f>
        <v>0</v>
      </c>
    </row>
    <row r="113" spans="1:7" ht="28.8" x14ac:dyDescent="0.55000000000000004">
      <c r="A113" s="47"/>
      <c r="B113" s="48"/>
      <c r="C113" s="49"/>
      <c r="D113" s="49"/>
      <c r="E113" s="50">
        <f>+$I$2+(HASSANSALAMAN[[#This Row],[QUANTITE]]*HASSANSALAMAN[[#This Row],[PRIX UNITAIRE]])</f>
        <v>0</v>
      </c>
      <c r="F113" s="51"/>
      <c r="G113" s="52">
        <f>+SUM(E$9:$E113)-SUM(F$9:$F113)</f>
        <v>0</v>
      </c>
    </row>
    <row r="114" spans="1:7" ht="28.8" x14ac:dyDescent="0.55000000000000004">
      <c r="A114" s="47"/>
      <c r="B114" s="48"/>
      <c r="C114" s="49"/>
      <c r="D114" s="49"/>
      <c r="E114" s="50">
        <f>+$I$2+(HASSANSALAMAN[[#This Row],[QUANTITE]]*HASSANSALAMAN[[#This Row],[PRIX UNITAIRE]])</f>
        <v>0</v>
      </c>
      <c r="F114" s="51"/>
      <c r="G114" s="52">
        <f>+SUM(E$9:$E114)-SUM(F$9:$F114)</f>
        <v>0</v>
      </c>
    </row>
    <row r="115" spans="1:7" ht="28.8" x14ac:dyDescent="0.55000000000000004">
      <c r="A115" s="47"/>
      <c r="B115" s="48"/>
      <c r="C115" s="49"/>
      <c r="D115" s="49"/>
      <c r="E115" s="50">
        <f>+$I$2+(HASSANSALAMAN[[#This Row],[QUANTITE]]*HASSANSALAMAN[[#This Row],[PRIX UNITAIRE]])</f>
        <v>0</v>
      </c>
      <c r="F115" s="51"/>
      <c r="G115" s="52">
        <f>+SUM(E$9:$E115)-SUM(F$9:$F115)</f>
        <v>0</v>
      </c>
    </row>
    <row r="116" spans="1:7" ht="28.8" x14ac:dyDescent="0.55000000000000004">
      <c r="A116" s="47"/>
      <c r="B116" s="48"/>
      <c r="C116" s="49"/>
      <c r="D116" s="49"/>
      <c r="E116" s="50">
        <f>+$I$2+(HASSANSALAMAN[[#This Row],[QUANTITE]]*HASSANSALAMAN[[#This Row],[PRIX UNITAIRE]])</f>
        <v>0</v>
      </c>
      <c r="F116" s="51"/>
      <c r="G116" s="52">
        <f>+SUM(E$9:$E116)-SUM(F$9:$F116)</f>
        <v>0</v>
      </c>
    </row>
    <row r="117" spans="1:7" ht="28.8" x14ac:dyDescent="0.55000000000000004">
      <c r="A117" s="47"/>
      <c r="B117" s="48"/>
      <c r="C117" s="49"/>
      <c r="D117" s="49"/>
      <c r="E117" s="50">
        <f>+$I$2+(HASSANSALAMAN[[#This Row],[QUANTITE]]*HASSANSALAMAN[[#This Row],[PRIX UNITAIRE]])</f>
        <v>0</v>
      </c>
      <c r="F117" s="51"/>
      <c r="G117" s="52">
        <f>+SUM(E$9:$E117)-SUM(F$9:$F117)</f>
        <v>0</v>
      </c>
    </row>
    <row r="118" spans="1:7" ht="28.8" x14ac:dyDescent="0.55000000000000004">
      <c r="A118" s="47"/>
      <c r="B118" s="48"/>
      <c r="C118" s="49"/>
      <c r="D118" s="49"/>
      <c r="E118" s="50">
        <f>+$I$2+(HASSANSALAMAN[[#This Row],[QUANTITE]]*HASSANSALAMAN[[#This Row],[PRIX UNITAIRE]])</f>
        <v>0</v>
      </c>
      <c r="F118" s="51"/>
      <c r="G118" s="52">
        <f>+SUM(E$9:$E118)-SUM(F$9:$F118)</f>
        <v>0</v>
      </c>
    </row>
    <row r="119" spans="1:7" ht="28.8" x14ac:dyDescent="0.55000000000000004">
      <c r="A119" s="47"/>
      <c r="B119" s="48"/>
      <c r="C119" s="49"/>
      <c r="D119" s="49"/>
      <c r="E119" s="50">
        <f>+$I$2+(HASSANSALAMAN[[#This Row],[QUANTITE]]*HASSANSALAMAN[[#This Row],[PRIX UNITAIRE]])</f>
        <v>0</v>
      </c>
      <c r="F119" s="51"/>
      <c r="G119" s="52">
        <f>+SUM(E$9:$E119)-SUM(F$9:$F119)</f>
        <v>0</v>
      </c>
    </row>
    <row r="120" spans="1:7" ht="28.8" x14ac:dyDescent="0.55000000000000004">
      <c r="A120" s="47"/>
      <c r="B120" s="48"/>
      <c r="C120" s="49"/>
      <c r="D120" s="49"/>
      <c r="E120" s="50">
        <f>+$I$2+(HASSANSALAMAN[[#This Row],[QUANTITE]]*HASSANSALAMAN[[#This Row],[PRIX UNITAIRE]])</f>
        <v>0</v>
      </c>
      <c r="F120" s="51"/>
      <c r="G120" s="52">
        <f>+SUM(E$9:$E120)-SUM(F$9:$F120)</f>
        <v>0</v>
      </c>
    </row>
    <row r="121" spans="1:7" ht="28.8" x14ac:dyDescent="0.55000000000000004">
      <c r="A121" s="47"/>
      <c r="B121" s="48"/>
      <c r="C121" s="49"/>
      <c r="D121" s="49"/>
      <c r="E121" s="50">
        <f>+$I$2+(HASSANSALAMAN[[#This Row],[QUANTITE]]*HASSANSALAMAN[[#This Row],[PRIX UNITAIRE]])</f>
        <v>0</v>
      </c>
      <c r="F121" s="51"/>
      <c r="G121" s="52">
        <f>+SUM(E$9:$E121)-SUM(F$9:$F121)</f>
        <v>0</v>
      </c>
    </row>
    <row r="122" spans="1:7" ht="28.8" x14ac:dyDescent="0.55000000000000004">
      <c r="A122" s="47"/>
      <c r="B122" s="48"/>
      <c r="C122" s="49"/>
      <c r="D122" s="49"/>
      <c r="E122" s="50">
        <f>+$I$2+(HASSANSALAMAN[[#This Row],[QUANTITE]]*HASSANSALAMAN[[#This Row],[PRIX UNITAIRE]])</f>
        <v>0</v>
      </c>
      <c r="F122" s="51"/>
      <c r="G122" s="52">
        <f>+SUM(E$9:$E122)-SUM(F$9:$F122)</f>
        <v>0</v>
      </c>
    </row>
  </sheetData>
  <sheetProtection selectLockedCells="1" autoFilter="0"/>
  <mergeCells count="1">
    <mergeCell ref="B6:C6"/>
  </mergeCells>
  <conditionalFormatting sqref="B9:B122">
    <cfRule type="expression" dxfId="269" priority="5">
      <formula>$F9</formula>
    </cfRule>
  </conditionalFormatting>
  <conditionalFormatting sqref="G4">
    <cfRule type="cellIs" dxfId="268" priority="2" operator="lessThan">
      <formula>0</formula>
    </cfRule>
    <cfRule type="cellIs" dxfId="26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/>
  <dimension ref="A1:I7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33203125" style="1" bestFit="1" customWidth="1"/>
    <col min="2" max="2" width="63.5546875" style="1" bestFit="1" customWidth="1"/>
    <col min="3" max="3" width="19.6640625" style="1" bestFit="1" customWidth="1"/>
    <col min="4" max="4" width="43.66406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+SUM(SPRIINTTECHBOSCH[TOTAL MONTANT])</f>
        <v>2185866</v>
      </c>
      <c r="F4" s="39">
        <f>+SUM(SPRIINTTECHBOSCH[VERSEMENT])</f>
        <v>0</v>
      </c>
      <c r="G4" s="97">
        <f>+E4-F4</f>
        <v>2185866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184</v>
      </c>
      <c r="C6" s="114"/>
      <c r="E6" s="42" t="b">
        <v>1</v>
      </c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46099</v>
      </c>
      <c r="B9" s="13" t="s">
        <v>56</v>
      </c>
      <c r="C9" s="10">
        <v>1</v>
      </c>
      <c r="D9" s="10">
        <v>2185866</v>
      </c>
      <c r="E9" s="7">
        <f>+$I$2+(SPRIINTTECHBOSCH[[#This Row],[QUANTITE]]*SPRIINTTECHBOSCH[[#This Row],[PRIX UNITAIRE]])</f>
        <v>2185866</v>
      </c>
      <c r="F9" s="20"/>
      <c r="G9" s="6">
        <f>+SUM(E$9:$E9)-SUM(F$9:$F9)</f>
        <v>2185866</v>
      </c>
    </row>
    <row r="10" spans="1:9" ht="28.8" x14ac:dyDescent="0.55000000000000004">
      <c r="A10" s="12"/>
      <c r="B10" s="13"/>
      <c r="C10" s="10"/>
      <c r="D10" s="10"/>
      <c r="E10" s="7">
        <f>+$I$2+(SPRIINTTECHBOSCH[[#This Row],[QUANTITE]]*SPRIINTTECHBOSCH[[#This Row],[PRIX UNITAIRE]])</f>
        <v>0</v>
      </c>
      <c r="F10" s="21"/>
      <c r="G10" s="6">
        <f>+SUM(E$9:$E10)-SUM(F$9:$F10)</f>
        <v>2185866</v>
      </c>
    </row>
    <row r="11" spans="1:9" ht="28.8" x14ac:dyDescent="0.55000000000000004">
      <c r="A11" s="12"/>
      <c r="B11" s="13"/>
      <c r="C11" s="10"/>
      <c r="D11" s="10"/>
      <c r="E11" s="7">
        <f>+$I$2+(SPRIINTTECHBOSCH[[#This Row],[QUANTITE]]*SPRIINTTECHBOSCH[[#This Row],[PRIX UNITAIRE]])</f>
        <v>0</v>
      </c>
      <c r="F11" s="14"/>
      <c r="G11" s="6">
        <f>+SUM(E$9:$E11)-SUM(F$9:$F11)</f>
        <v>2185866</v>
      </c>
    </row>
    <row r="12" spans="1:9" ht="28.8" x14ac:dyDescent="0.55000000000000004">
      <c r="A12" s="12"/>
      <c r="B12" s="13"/>
      <c r="C12" s="10"/>
      <c r="D12" s="10"/>
      <c r="E12" s="7">
        <f>+$I$2+(SPRIINTTECHBOSCH[[#This Row],[QUANTITE]]*SPRIINTTECHBOSCH[[#This Row],[PRIX UNITAIRE]])</f>
        <v>0</v>
      </c>
      <c r="F12" s="14"/>
      <c r="G12" s="6">
        <f>+SUM(E$9:$E12)-SUM(F$9:$F12)</f>
        <v>2185866</v>
      </c>
    </row>
    <row r="13" spans="1:9" ht="28.8" x14ac:dyDescent="0.55000000000000004">
      <c r="A13" s="12"/>
      <c r="B13" s="13"/>
      <c r="C13" s="10"/>
      <c r="D13" s="10"/>
      <c r="E13" s="7">
        <f>+$I$2+(SPRIINTTECHBOSCH[[#This Row],[QUANTITE]]*SPRIINTTECHBOSCH[[#This Row],[PRIX UNITAIRE]])</f>
        <v>0</v>
      </c>
      <c r="F13" s="14"/>
      <c r="G13" s="6">
        <f>+SUM(E$9:$E13)-SUM(F$9:$F13)</f>
        <v>2185866</v>
      </c>
    </row>
    <row r="14" spans="1:9" ht="28.8" x14ac:dyDescent="0.55000000000000004">
      <c r="A14" s="12"/>
      <c r="B14" s="13"/>
      <c r="C14" s="10"/>
      <c r="D14" s="10"/>
      <c r="E14" s="7">
        <f>+$I$2+(SPRIINTTECHBOSCH[[#This Row],[QUANTITE]]*SPRIINTTECHBOSCH[[#This Row],[PRIX UNITAIRE]])</f>
        <v>0</v>
      </c>
      <c r="F14" s="14"/>
      <c r="G14" s="6">
        <f>+SUM(E$9:$E14)-SUM(F$9:$F14)</f>
        <v>2185866</v>
      </c>
    </row>
    <row r="15" spans="1:9" ht="28.8" x14ac:dyDescent="0.55000000000000004">
      <c r="A15" s="12"/>
      <c r="B15" s="13"/>
      <c r="C15" s="10"/>
      <c r="D15" s="10"/>
      <c r="E15" s="7">
        <f>+$I$2+(SPRIINTTECHBOSCH[[#This Row],[QUANTITE]]*SPRIINTTECHBOSCH[[#This Row],[PRIX UNITAIRE]])</f>
        <v>0</v>
      </c>
      <c r="F15" s="14"/>
      <c r="G15" s="6">
        <f>+SUM(E$9:$E15)-SUM(F$9:$F15)</f>
        <v>2185866</v>
      </c>
    </row>
    <row r="16" spans="1:9" ht="28.8" x14ac:dyDescent="0.55000000000000004">
      <c r="A16" s="12"/>
      <c r="B16" s="13"/>
      <c r="C16" s="10"/>
      <c r="D16" s="10"/>
      <c r="E16" s="7">
        <f>+$I$2+(SPRIINTTECHBOSCH[[#This Row],[QUANTITE]]*SPRIINTTECHBOSCH[[#This Row],[PRIX UNITAIRE]])</f>
        <v>0</v>
      </c>
      <c r="F16" s="14"/>
      <c r="G16" s="6">
        <f>+SUM(E$9:$E16)-SUM(F$9:$F16)</f>
        <v>2185866</v>
      </c>
    </row>
    <row r="17" spans="1:7" ht="28.8" x14ac:dyDescent="0.55000000000000004">
      <c r="A17" s="12"/>
      <c r="B17" s="13"/>
      <c r="C17" s="10"/>
      <c r="D17" s="10"/>
      <c r="E17" s="7">
        <f>+$I$2+(SPRIINTTECHBOSCH[[#This Row],[QUANTITE]]*SPRIINTTECHBOSCH[[#This Row],[PRIX UNITAIRE]])</f>
        <v>0</v>
      </c>
      <c r="F17" s="14"/>
      <c r="G17" s="6">
        <f>+SUM(E$9:$E17)-SUM(F$9:$F17)</f>
        <v>2185866</v>
      </c>
    </row>
    <row r="18" spans="1:7" ht="28.8" x14ac:dyDescent="0.55000000000000004">
      <c r="A18" s="12"/>
      <c r="B18" s="13"/>
      <c r="C18" s="10"/>
      <c r="D18" s="10"/>
      <c r="E18" s="7">
        <f>+$I$2+(SPRIINTTECHBOSCH[[#This Row],[QUANTITE]]*SPRIINTTECHBOSCH[[#This Row],[PRIX UNITAIRE]])</f>
        <v>0</v>
      </c>
      <c r="F18" s="14"/>
      <c r="G18" s="6">
        <f>+SUM(E$9:$E18)-SUM(F$9:$F18)</f>
        <v>2185866</v>
      </c>
    </row>
    <row r="19" spans="1:7" ht="28.8" x14ac:dyDescent="0.55000000000000004">
      <c r="A19" s="12"/>
      <c r="B19" s="13"/>
      <c r="C19" s="10"/>
      <c r="D19" s="10"/>
      <c r="E19" s="7">
        <f>+$I$2+(SPRIINTTECHBOSCH[[#This Row],[QUANTITE]]*SPRIINTTECHBOSCH[[#This Row],[PRIX UNITAIRE]])</f>
        <v>0</v>
      </c>
      <c r="F19" s="14"/>
      <c r="G19" s="6">
        <f>+SUM(E$9:$E19)-SUM(F$9:$F19)</f>
        <v>2185866</v>
      </c>
    </row>
    <row r="20" spans="1:7" ht="28.8" x14ac:dyDescent="0.55000000000000004">
      <c r="A20" s="12"/>
      <c r="B20" s="13"/>
      <c r="C20" s="10"/>
      <c r="D20" s="10"/>
      <c r="E20" s="7">
        <f>+$I$2+(SPRIINTTECHBOSCH[[#This Row],[QUANTITE]]*SPRIINTTECHBOSCH[[#This Row],[PRIX UNITAIRE]])</f>
        <v>0</v>
      </c>
      <c r="F20" s="14"/>
      <c r="G20" s="6">
        <f>+SUM(E$9:$E20)-SUM(F$9:$F20)</f>
        <v>2185866</v>
      </c>
    </row>
    <row r="21" spans="1:7" ht="28.8" x14ac:dyDescent="0.55000000000000004">
      <c r="A21" s="12"/>
      <c r="B21" s="13"/>
      <c r="C21" s="10"/>
      <c r="D21" s="10"/>
      <c r="E21" s="7">
        <f>+$I$2+(SPRIINTTECHBOSCH[[#This Row],[QUANTITE]]*SPRIINTTECHBOSCH[[#This Row],[PRIX UNITAIRE]])</f>
        <v>0</v>
      </c>
      <c r="F21" s="14"/>
      <c r="G21" s="6">
        <f>+SUM(E$9:$E21)-SUM(F$9:$F21)</f>
        <v>2185866</v>
      </c>
    </row>
    <row r="22" spans="1:7" ht="28.8" x14ac:dyDescent="0.55000000000000004">
      <c r="A22" s="12"/>
      <c r="B22" s="13"/>
      <c r="C22" s="10"/>
      <c r="D22" s="10"/>
      <c r="E22" s="7">
        <f>+$I$2+(SPRIINTTECHBOSCH[[#This Row],[QUANTITE]]*SPRIINTTECHBOSCH[[#This Row],[PRIX UNITAIRE]])</f>
        <v>0</v>
      </c>
      <c r="F22" s="14"/>
      <c r="G22" s="6">
        <f>+SUM(E$9:$E22)-SUM(F$9:$F22)</f>
        <v>2185866</v>
      </c>
    </row>
    <row r="23" spans="1:7" ht="28.8" x14ac:dyDescent="0.55000000000000004">
      <c r="A23" s="12"/>
      <c r="B23" s="13"/>
      <c r="C23" s="10"/>
      <c r="D23" s="10"/>
      <c r="E23" s="7">
        <f>+$I$2+(SPRIINTTECHBOSCH[[#This Row],[QUANTITE]]*SPRIINTTECHBOSCH[[#This Row],[PRIX UNITAIRE]])</f>
        <v>0</v>
      </c>
      <c r="F23" s="14"/>
      <c r="G23" s="6">
        <f>+SUM(E$9:$E23)-SUM(F$9:$F23)</f>
        <v>2185866</v>
      </c>
    </row>
    <row r="24" spans="1:7" ht="28.8" x14ac:dyDescent="0.55000000000000004">
      <c r="A24" s="12"/>
      <c r="B24" s="13"/>
      <c r="C24" s="10"/>
      <c r="D24" s="10"/>
      <c r="E24" s="7">
        <f>+$I$2+(SPRIINTTECHBOSCH[[#This Row],[QUANTITE]]*SPRIINTTECHBOSCH[[#This Row],[PRIX UNITAIRE]])</f>
        <v>0</v>
      </c>
      <c r="F24" s="14"/>
      <c r="G24" s="6">
        <f>+SUM(E$9:$E24)-SUM(F$9:$F24)</f>
        <v>2185866</v>
      </c>
    </row>
    <row r="25" spans="1:7" ht="28.8" x14ac:dyDescent="0.55000000000000004">
      <c r="A25" s="12"/>
      <c r="B25" s="13"/>
      <c r="C25" s="10"/>
      <c r="D25" s="10"/>
      <c r="E25" s="7">
        <f>+$I$2+(SPRIINTTECHBOSCH[[#This Row],[QUANTITE]]*SPRIINTTECHBOSCH[[#This Row],[PRIX UNITAIRE]])</f>
        <v>0</v>
      </c>
      <c r="F25" s="14"/>
      <c r="G25" s="6">
        <f>+SUM(E$9:$E25)-SUM(F$9:$F25)</f>
        <v>2185866</v>
      </c>
    </row>
    <row r="26" spans="1:7" ht="28.8" x14ac:dyDescent="0.55000000000000004">
      <c r="A26" s="12"/>
      <c r="B26" s="13"/>
      <c r="C26" s="10"/>
      <c r="D26" s="10"/>
      <c r="E26" s="7">
        <f>+$I$2+(SPRIINTTECHBOSCH[[#This Row],[QUANTITE]]*SPRIINTTECHBOSCH[[#This Row],[PRIX UNITAIRE]])</f>
        <v>0</v>
      </c>
      <c r="F26" s="14"/>
      <c r="G26" s="6">
        <f>+SUM(E$9:$E26)-SUM(F$9:$F26)</f>
        <v>2185866</v>
      </c>
    </row>
    <row r="27" spans="1:7" ht="28.8" x14ac:dyDescent="0.55000000000000004">
      <c r="A27" s="12"/>
      <c r="B27" s="13"/>
      <c r="C27" s="10"/>
      <c r="D27" s="10"/>
      <c r="E27" s="7">
        <f>+$I$2+(SPRIINTTECHBOSCH[[#This Row],[QUANTITE]]*SPRIINTTECHBOSCH[[#This Row],[PRIX UNITAIRE]])</f>
        <v>0</v>
      </c>
      <c r="F27" s="14"/>
      <c r="G27" s="6">
        <f>+SUM(E$9:$E27)-SUM(F$9:$F27)</f>
        <v>2185866</v>
      </c>
    </row>
    <row r="28" spans="1:7" ht="28.8" x14ac:dyDescent="0.55000000000000004">
      <c r="A28" s="12"/>
      <c r="B28" s="13"/>
      <c r="C28" s="10"/>
      <c r="D28" s="10"/>
      <c r="E28" s="7">
        <f>+$I$2+(SPRIINTTECHBOSCH[[#This Row],[QUANTITE]]*SPRIINTTECHBOSCH[[#This Row],[PRIX UNITAIRE]])</f>
        <v>0</v>
      </c>
      <c r="F28" s="14"/>
      <c r="G28" s="6">
        <f>+SUM(E$9:$E28)-SUM(F$9:$F28)</f>
        <v>2185866</v>
      </c>
    </row>
    <row r="29" spans="1:7" ht="28.8" x14ac:dyDescent="0.55000000000000004">
      <c r="A29" s="12"/>
      <c r="B29" s="13"/>
      <c r="C29" s="10"/>
      <c r="D29" s="10"/>
      <c r="E29" s="7">
        <f>+$I$2+(SPRIINTTECHBOSCH[[#This Row],[QUANTITE]]*SPRIINTTECHBOSCH[[#This Row],[PRIX UNITAIRE]])</f>
        <v>0</v>
      </c>
      <c r="F29" s="14"/>
      <c r="G29" s="6">
        <f>+SUM(E$9:$E29)-SUM(F$9:$F29)</f>
        <v>2185866</v>
      </c>
    </row>
    <row r="30" spans="1:7" ht="28.8" x14ac:dyDescent="0.55000000000000004">
      <c r="A30" s="12"/>
      <c r="B30" s="13"/>
      <c r="C30" s="10"/>
      <c r="D30" s="10"/>
      <c r="E30" s="7">
        <f>+$I$2+(SPRIINTTECHBOSCH[[#This Row],[QUANTITE]]*SPRIINTTECHBOSCH[[#This Row],[PRIX UNITAIRE]])</f>
        <v>0</v>
      </c>
      <c r="F30" s="14"/>
      <c r="G30" s="6">
        <f>+SUM(E$9:$E30)-SUM(F$9:$F30)</f>
        <v>2185866</v>
      </c>
    </row>
    <row r="31" spans="1:7" ht="28.8" x14ac:dyDescent="0.55000000000000004">
      <c r="A31" s="12"/>
      <c r="B31" s="13"/>
      <c r="C31" s="10"/>
      <c r="D31" s="10"/>
      <c r="E31" s="7">
        <f>+$I$2+(SPRIINTTECHBOSCH[[#This Row],[QUANTITE]]*SPRIINTTECHBOSCH[[#This Row],[PRIX UNITAIRE]])</f>
        <v>0</v>
      </c>
      <c r="F31" s="14"/>
      <c r="G31" s="6">
        <f>+SUM(E$9:$E31)-SUM(F$9:$F31)</f>
        <v>2185866</v>
      </c>
    </row>
    <row r="32" spans="1:7" ht="28.8" x14ac:dyDescent="0.55000000000000004">
      <c r="A32" s="12"/>
      <c r="B32" s="13"/>
      <c r="C32" s="10"/>
      <c r="D32" s="10"/>
      <c r="E32" s="7">
        <f>+$I$2+(SPRIINTTECHBOSCH[[#This Row],[QUANTITE]]*SPRIINTTECHBOSCH[[#This Row],[PRIX UNITAIRE]])</f>
        <v>0</v>
      </c>
      <c r="F32" s="14"/>
      <c r="G32" s="6">
        <f>+SUM(E$9:$E32)-SUM(F$9:$F32)</f>
        <v>2185866</v>
      </c>
    </row>
    <row r="33" spans="1:7" ht="28.8" x14ac:dyDescent="0.55000000000000004">
      <c r="A33" s="12"/>
      <c r="B33" s="13"/>
      <c r="C33" s="10"/>
      <c r="D33" s="10"/>
      <c r="E33" s="7">
        <f>+$I$2+(SPRIINTTECHBOSCH[[#This Row],[QUANTITE]]*SPRIINTTECHBOSCH[[#This Row],[PRIX UNITAIRE]])</f>
        <v>0</v>
      </c>
      <c r="F33" s="14"/>
      <c r="G33" s="6">
        <f>+SUM(E$9:$E33)-SUM(F$9:$F33)</f>
        <v>2185866</v>
      </c>
    </row>
    <row r="34" spans="1:7" ht="28.8" x14ac:dyDescent="0.55000000000000004">
      <c r="A34" s="12"/>
      <c r="B34" s="13"/>
      <c r="C34" s="10"/>
      <c r="D34" s="10"/>
      <c r="E34" s="7">
        <f>+$I$2+(SPRIINTTECHBOSCH[[#This Row],[QUANTITE]]*SPRIINTTECHBOSCH[[#This Row],[PRIX UNITAIRE]])</f>
        <v>0</v>
      </c>
      <c r="F34" s="14"/>
      <c r="G34" s="6">
        <f>+SUM(E$9:$E34)-SUM(F$9:$F34)</f>
        <v>2185866</v>
      </c>
    </row>
    <row r="35" spans="1:7" ht="28.8" x14ac:dyDescent="0.55000000000000004">
      <c r="A35" s="12"/>
      <c r="B35" s="13"/>
      <c r="C35" s="10"/>
      <c r="D35" s="10"/>
      <c r="E35" s="7">
        <f>+$I$2+(SPRIINTTECHBOSCH[[#This Row],[QUANTITE]]*SPRIINTTECHBOSCH[[#This Row],[PRIX UNITAIRE]])</f>
        <v>0</v>
      </c>
      <c r="F35" s="14"/>
      <c r="G35" s="6">
        <f>+SUM(E$9:$E35)-SUM(F$9:$F35)</f>
        <v>2185866</v>
      </c>
    </row>
    <row r="36" spans="1:7" ht="28.8" x14ac:dyDescent="0.55000000000000004">
      <c r="A36" s="12"/>
      <c r="B36" s="13"/>
      <c r="C36" s="10"/>
      <c r="D36" s="10"/>
      <c r="E36" s="7">
        <f>+$I$2+(SPRIINTTECHBOSCH[[#This Row],[QUANTITE]]*SPRIINTTECHBOSCH[[#This Row],[PRIX UNITAIRE]])</f>
        <v>0</v>
      </c>
      <c r="F36" s="14"/>
      <c r="G36" s="6">
        <f>+SUM(E$9:$E36)-SUM(F$9:$F36)</f>
        <v>2185866</v>
      </c>
    </row>
    <row r="37" spans="1:7" ht="28.8" x14ac:dyDescent="0.55000000000000004">
      <c r="A37" s="12"/>
      <c r="B37" s="13"/>
      <c r="C37" s="10"/>
      <c r="D37" s="10"/>
      <c r="E37" s="7">
        <f>+$I$2+(SPRIINTTECHBOSCH[[#This Row],[QUANTITE]]*SPRIINTTECHBOSCH[[#This Row],[PRIX UNITAIRE]])</f>
        <v>0</v>
      </c>
      <c r="F37" s="14"/>
      <c r="G37" s="6">
        <f>+SUM(E$9:$E37)-SUM(F$9:$F37)</f>
        <v>2185866</v>
      </c>
    </row>
    <row r="38" spans="1:7" ht="28.8" x14ac:dyDescent="0.55000000000000004">
      <c r="A38" s="12"/>
      <c r="B38" s="13"/>
      <c r="C38" s="10"/>
      <c r="D38" s="10"/>
      <c r="E38" s="7">
        <f>+$I$2+(SPRIINTTECHBOSCH[[#This Row],[QUANTITE]]*SPRIINTTECHBOSCH[[#This Row],[PRIX UNITAIRE]])</f>
        <v>0</v>
      </c>
      <c r="F38" s="14"/>
      <c r="G38" s="6">
        <f>+SUM(E$9:$E38)-SUM(F$9:$F38)</f>
        <v>2185866</v>
      </c>
    </row>
    <row r="39" spans="1:7" ht="28.8" x14ac:dyDescent="0.55000000000000004">
      <c r="A39" s="12"/>
      <c r="B39" s="13"/>
      <c r="C39" s="10"/>
      <c r="D39" s="10"/>
      <c r="E39" s="7">
        <f>+$I$2+(SPRIINTTECHBOSCH[[#This Row],[QUANTITE]]*SPRIINTTECHBOSCH[[#This Row],[PRIX UNITAIRE]])</f>
        <v>0</v>
      </c>
      <c r="F39" s="14"/>
      <c r="G39" s="6">
        <f>+SUM(E$9:$E39)-SUM(F$9:$F39)</f>
        <v>2185866</v>
      </c>
    </row>
    <row r="40" spans="1:7" ht="28.8" x14ac:dyDescent="0.55000000000000004">
      <c r="A40" s="12"/>
      <c r="B40" s="13"/>
      <c r="C40" s="10"/>
      <c r="D40" s="10"/>
      <c r="E40" s="7">
        <f>+$I$2+(SPRIINTTECHBOSCH[[#This Row],[QUANTITE]]*SPRIINTTECHBOSCH[[#This Row],[PRIX UNITAIRE]])</f>
        <v>0</v>
      </c>
      <c r="F40" s="14"/>
      <c r="G40" s="6">
        <f>+SUM(E$9:$E40)-SUM(F$9:$F40)</f>
        <v>2185866</v>
      </c>
    </row>
    <row r="41" spans="1:7" ht="28.8" x14ac:dyDescent="0.55000000000000004">
      <c r="A41" s="12"/>
      <c r="B41" s="13"/>
      <c r="C41" s="10"/>
      <c r="D41" s="10"/>
      <c r="E41" s="7">
        <f>+$I$2+(SPRIINTTECHBOSCH[[#This Row],[QUANTITE]]*SPRIINTTECHBOSCH[[#This Row],[PRIX UNITAIRE]])</f>
        <v>0</v>
      </c>
      <c r="F41" s="14"/>
      <c r="G41" s="6">
        <f>+SUM(E$9:$E41)-SUM(F$9:$F41)</f>
        <v>2185866</v>
      </c>
    </row>
    <row r="42" spans="1:7" ht="28.8" x14ac:dyDescent="0.55000000000000004">
      <c r="A42" s="12"/>
      <c r="B42" s="13"/>
      <c r="C42" s="10"/>
      <c r="D42" s="10"/>
      <c r="E42" s="7">
        <f>+$I$2+(SPRIINTTECHBOSCH[[#This Row],[QUANTITE]]*SPRIINTTECHBOSCH[[#This Row],[PRIX UNITAIRE]])</f>
        <v>0</v>
      </c>
      <c r="F42" s="14"/>
      <c r="G42" s="6">
        <f>+SUM(E$9:$E42)-SUM(F$9:$F42)</f>
        <v>2185866</v>
      </c>
    </row>
    <row r="43" spans="1:7" ht="28.8" x14ac:dyDescent="0.55000000000000004">
      <c r="A43" s="12"/>
      <c r="B43" s="13"/>
      <c r="C43" s="10"/>
      <c r="D43" s="10"/>
      <c r="E43" s="7">
        <f>+$I$2+(SPRIINTTECHBOSCH[[#This Row],[QUANTITE]]*SPRIINTTECHBOSCH[[#This Row],[PRIX UNITAIRE]])</f>
        <v>0</v>
      </c>
      <c r="F43" s="14"/>
      <c r="G43" s="6">
        <f>+SUM(E$9:$E43)-SUM(F$9:$F43)</f>
        <v>2185866</v>
      </c>
    </row>
    <row r="44" spans="1:7" ht="28.8" x14ac:dyDescent="0.55000000000000004">
      <c r="A44" s="12"/>
      <c r="B44" s="13"/>
      <c r="C44" s="10"/>
      <c r="D44" s="10"/>
      <c r="E44" s="7">
        <f>+$I$2+(SPRIINTTECHBOSCH[[#This Row],[QUANTITE]]*SPRIINTTECHBOSCH[[#This Row],[PRIX UNITAIRE]])</f>
        <v>0</v>
      </c>
      <c r="F44" s="14"/>
      <c r="G44" s="6">
        <f>+SUM(E$9:$E44)-SUM(F$9:$F44)</f>
        <v>2185866</v>
      </c>
    </row>
    <row r="45" spans="1:7" ht="28.8" x14ac:dyDescent="0.55000000000000004">
      <c r="A45" s="12"/>
      <c r="B45" s="13"/>
      <c r="C45" s="10"/>
      <c r="D45" s="10"/>
      <c r="E45" s="7">
        <f>+$I$2+(SPRIINTTECHBOSCH[[#This Row],[QUANTITE]]*SPRIINTTECHBOSCH[[#This Row],[PRIX UNITAIRE]])</f>
        <v>0</v>
      </c>
      <c r="F45" s="14"/>
      <c r="G45" s="6">
        <f>+SUM(E$9:$E45)-SUM(F$9:$F45)</f>
        <v>2185866</v>
      </c>
    </row>
    <row r="46" spans="1:7" ht="28.8" x14ac:dyDescent="0.55000000000000004">
      <c r="A46" s="12"/>
      <c r="B46" s="13"/>
      <c r="C46" s="10"/>
      <c r="D46" s="10"/>
      <c r="E46" s="7">
        <f>+$I$2+(SPRIINTTECHBOSCH[[#This Row],[QUANTITE]]*SPRIINTTECHBOSCH[[#This Row],[PRIX UNITAIRE]])</f>
        <v>0</v>
      </c>
      <c r="F46" s="14"/>
      <c r="G46" s="6">
        <f>+SUM(E$9:$E46)-SUM(F$9:$F46)</f>
        <v>2185866</v>
      </c>
    </row>
    <row r="47" spans="1:7" ht="28.8" x14ac:dyDescent="0.55000000000000004">
      <c r="A47" s="12"/>
      <c r="B47" s="13"/>
      <c r="C47" s="10"/>
      <c r="D47" s="10"/>
      <c r="E47" s="7">
        <f>+$I$2+(SPRIINTTECHBOSCH[[#This Row],[QUANTITE]]*SPRIINTTECHBOSCH[[#This Row],[PRIX UNITAIRE]])</f>
        <v>0</v>
      </c>
      <c r="F47" s="14"/>
      <c r="G47" s="6">
        <f>+SUM(E$9:$E47)-SUM(F$9:$F47)</f>
        <v>2185866</v>
      </c>
    </row>
    <row r="48" spans="1:7" ht="28.8" x14ac:dyDescent="0.55000000000000004">
      <c r="A48" s="12"/>
      <c r="B48" s="13"/>
      <c r="C48" s="10"/>
      <c r="D48" s="10"/>
      <c r="E48" s="7">
        <f>+$I$2+(SPRIINTTECHBOSCH[[#This Row],[QUANTITE]]*SPRIINTTECHBOSCH[[#This Row],[PRIX UNITAIRE]])</f>
        <v>0</v>
      </c>
      <c r="F48" s="14"/>
      <c r="G48" s="6">
        <f>+SUM(E$9:$E48)-SUM(F$9:$F48)</f>
        <v>2185866</v>
      </c>
    </row>
    <row r="49" spans="1:7" ht="28.8" x14ac:dyDescent="0.55000000000000004">
      <c r="A49" s="12"/>
      <c r="B49" s="13"/>
      <c r="C49" s="10"/>
      <c r="D49" s="10"/>
      <c r="E49" s="7">
        <f>+$I$2+(SPRIINTTECHBOSCH[[#This Row],[QUANTITE]]*SPRIINTTECHBOSCH[[#This Row],[PRIX UNITAIRE]])</f>
        <v>0</v>
      </c>
      <c r="F49" s="14"/>
      <c r="G49" s="6">
        <f>+SUM(E$9:$E49)-SUM(F$9:$F49)</f>
        <v>2185866</v>
      </c>
    </row>
    <row r="50" spans="1:7" ht="28.8" x14ac:dyDescent="0.55000000000000004">
      <c r="A50" s="12"/>
      <c r="B50" s="13"/>
      <c r="C50" s="10"/>
      <c r="D50" s="10"/>
      <c r="E50" s="7">
        <f>+$I$2+(SPRIINTTECHBOSCH[[#This Row],[QUANTITE]]*SPRIINTTECHBOSCH[[#This Row],[PRIX UNITAIRE]])</f>
        <v>0</v>
      </c>
      <c r="F50" s="14"/>
      <c r="G50" s="6">
        <f>+SUM(E$9:$E50)-SUM(F$9:$F50)</f>
        <v>2185866</v>
      </c>
    </row>
    <row r="51" spans="1:7" ht="28.8" x14ac:dyDescent="0.55000000000000004">
      <c r="A51" s="12"/>
      <c r="B51" s="13"/>
      <c r="C51" s="10"/>
      <c r="D51" s="10"/>
      <c r="E51" s="7">
        <f>+$I$2+(SPRIINTTECHBOSCH[[#This Row],[QUANTITE]]*SPRIINTTECHBOSCH[[#This Row],[PRIX UNITAIRE]])</f>
        <v>0</v>
      </c>
      <c r="F51" s="14"/>
      <c r="G51" s="6">
        <f>+SUM(E$9:$E51)-SUM(F$9:$F51)</f>
        <v>2185866</v>
      </c>
    </row>
    <row r="52" spans="1:7" ht="28.8" x14ac:dyDescent="0.55000000000000004">
      <c r="A52" s="12"/>
      <c r="B52" s="13"/>
      <c r="C52" s="10"/>
      <c r="D52" s="10"/>
      <c r="E52" s="7">
        <f>+$I$2+(SPRIINTTECHBOSCH[[#This Row],[QUANTITE]]*SPRIINTTECHBOSCH[[#This Row],[PRIX UNITAIRE]])</f>
        <v>0</v>
      </c>
      <c r="F52" s="14"/>
      <c r="G52" s="6">
        <f>+SUM(E$9:$E52)-SUM(F$9:$F52)</f>
        <v>2185866</v>
      </c>
    </row>
    <row r="53" spans="1:7" ht="28.8" x14ac:dyDescent="0.55000000000000004">
      <c r="A53" s="12"/>
      <c r="B53" s="13"/>
      <c r="C53" s="10"/>
      <c r="D53" s="10"/>
      <c r="E53" s="7">
        <f>+$I$2+(SPRIINTTECHBOSCH[[#This Row],[QUANTITE]]*SPRIINTTECHBOSCH[[#This Row],[PRIX UNITAIRE]])</f>
        <v>0</v>
      </c>
      <c r="F53" s="14"/>
      <c r="G53" s="6">
        <f>+SUM(E$9:$E53)-SUM(F$9:$F53)</f>
        <v>2185866</v>
      </c>
    </row>
    <row r="54" spans="1:7" ht="28.8" x14ac:dyDescent="0.55000000000000004">
      <c r="A54" s="12"/>
      <c r="B54" s="13"/>
      <c r="C54" s="10"/>
      <c r="D54" s="10"/>
      <c r="E54" s="7">
        <f>+$I$2+(SPRIINTTECHBOSCH[[#This Row],[QUANTITE]]*SPRIINTTECHBOSCH[[#This Row],[PRIX UNITAIRE]])</f>
        <v>0</v>
      </c>
      <c r="F54" s="14"/>
      <c r="G54" s="6">
        <f>+SUM(E$9:$E54)-SUM(F$9:$F54)</f>
        <v>2185866</v>
      </c>
    </row>
    <row r="55" spans="1:7" ht="28.8" x14ac:dyDescent="0.55000000000000004">
      <c r="A55" s="12"/>
      <c r="B55" s="13"/>
      <c r="C55" s="10"/>
      <c r="D55" s="10"/>
      <c r="E55" s="7">
        <f>+$I$2+(SPRIINTTECHBOSCH[[#This Row],[QUANTITE]]*SPRIINTTECHBOSCH[[#This Row],[PRIX UNITAIRE]])</f>
        <v>0</v>
      </c>
      <c r="F55" s="14"/>
      <c r="G55" s="6">
        <f>+SUM(E$9:$E55)-SUM(F$9:$F55)</f>
        <v>2185866</v>
      </c>
    </row>
    <row r="56" spans="1:7" ht="28.8" x14ac:dyDescent="0.55000000000000004">
      <c r="A56" s="12"/>
      <c r="B56" s="13"/>
      <c r="C56" s="10"/>
      <c r="D56" s="10"/>
      <c r="E56" s="7">
        <f>+$I$2+(SPRIINTTECHBOSCH[[#This Row],[QUANTITE]]*SPRIINTTECHBOSCH[[#This Row],[PRIX UNITAIRE]])</f>
        <v>0</v>
      </c>
      <c r="F56" s="14"/>
      <c r="G56" s="6">
        <f>+SUM(E$9:$E56)-SUM(F$9:$F56)</f>
        <v>2185866</v>
      </c>
    </row>
    <row r="57" spans="1:7" ht="28.8" x14ac:dyDescent="0.55000000000000004">
      <c r="A57" s="12"/>
      <c r="B57" s="13"/>
      <c r="C57" s="10"/>
      <c r="D57" s="10"/>
      <c r="E57" s="7">
        <f>+$I$2+(SPRIINTTECHBOSCH[[#This Row],[QUANTITE]]*SPRIINTTECHBOSCH[[#This Row],[PRIX UNITAIRE]])</f>
        <v>0</v>
      </c>
      <c r="F57" s="14"/>
      <c r="G57" s="6">
        <f>+SUM(E$9:$E57)-SUM(F$9:$F57)</f>
        <v>2185866</v>
      </c>
    </row>
    <row r="58" spans="1:7" ht="28.8" x14ac:dyDescent="0.55000000000000004">
      <c r="A58" s="12"/>
      <c r="B58" s="13"/>
      <c r="C58" s="10"/>
      <c r="D58" s="10"/>
      <c r="E58" s="7">
        <f>+$I$2+(SPRIINTTECHBOSCH[[#This Row],[QUANTITE]]*SPRIINTTECHBOSCH[[#This Row],[PRIX UNITAIRE]])</f>
        <v>0</v>
      </c>
      <c r="F58" s="14"/>
      <c r="G58" s="6">
        <f>+SUM(E$9:$E58)-SUM(F$9:$F58)</f>
        <v>2185866</v>
      </c>
    </row>
    <row r="59" spans="1:7" ht="28.8" x14ac:dyDescent="0.55000000000000004">
      <c r="A59" s="12"/>
      <c r="B59" s="13"/>
      <c r="C59" s="10"/>
      <c r="D59" s="10"/>
      <c r="E59" s="7">
        <f>+$I$2+(SPRIINTTECHBOSCH[[#This Row],[QUANTITE]]*SPRIINTTECHBOSCH[[#This Row],[PRIX UNITAIRE]])</f>
        <v>0</v>
      </c>
      <c r="F59" s="14"/>
      <c r="G59" s="6">
        <f>+SUM(E$9:$E59)-SUM(F$9:$F59)</f>
        <v>2185866</v>
      </c>
    </row>
    <row r="60" spans="1:7" ht="28.8" x14ac:dyDescent="0.55000000000000004">
      <c r="A60" s="12"/>
      <c r="B60" s="13"/>
      <c r="C60" s="10"/>
      <c r="D60" s="10"/>
      <c r="E60" s="7">
        <f>+$I$2+(SPRIINTTECHBOSCH[[#This Row],[QUANTITE]]*SPRIINTTECHBOSCH[[#This Row],[PRIX UNITAIRE]])</f>
        <v>0</v>
      </c>
      <c r="F60" s="14"/>
      <c r="G60" s="6">
        <f>+SUM(E$9:$E60)-SUM(F$9:$F60)</f>
        <v>2185866</v>
      </c>
    </row>
    <row r="61" spans="1:7" ht="28.8" x14ac:dyDescent="0.55000000000000004">
      <c r="A61" s="12"/>
      <c r="B61" s="13"/>
      <c r="C61" s="10"/>
      <c r="D61" s="10"/>
      <c r="E61" s="7">
        <f>+$I$2+(SPRIINTTECHBOSCH[[#This Row],[QUANTITE]]*SPRIINTTECHBOSCH[[#This Row],[PRIX UNITAIRE]])</f>
        <v>0</v>
      </c>
      <c r="F61" s="14"/>
      <c r="G61" s="6">
        <f>+SUM(E$9:$E61)-SUM(F$9:$F61)</f>
        <v>2185866</v>
      </c>
    </row>
    <row r="62" spans="1:7" ht="28.8" x14ac:dyDescent="0.55000000000000004">
      <c r="A62" s="12"/>
      <c r="B62" s="13"/>
      <c r="C62" s="10"/>
      <c r="D62" s="10"/>
      <c r="E62" s="7">
        <f>+$I$2+(SPRIINTTECHBOSCH[[#This Row],[QUANTITE]]*SPRIINTTECHBOSCH[[#This Row],[PRIX UNITAIRE]])</f>
        <v>0</v>
      </c>
      <c r="F62" s="14"/>
      <c r="G62" s="6">
        <f>+SUM(E$9:$E62)-SUM(F$9:$F62)</f>
        <v>2185866</v>
      </c>
    </row>
    <row r="63" spans="1:7" ht="28.8" x14ac:dyDescent="0.55000000000000004">
      <c r="A63" s="12"/>
      <c r="B63" s="13"/>
      <c r="C63" s="10"/>
      <c r="D63" s="10"/>
      <c r="E63" s="7">
        <f>+$I$2+(SPRIINTTECHBOSCH[[#This Row],[QUANTITE]]*SPRIINTTECHBOSCH[[#This Row],[PRIX UNITAIRE]])</f>
        <v>0</v>
      </c>
      <c r="F63" s="14"/>
      <c r="G63" s="6">
        <f>+SUM(E$9:$E63)-SUM(F$9:$F63)</f>
        <v>2185866</v>
      </c>
    </row>
    <row r="64" spans="1:7" ht="28.8" x14ac:dyDescent="0.55000000000000004">
      <c r="A64" s="12"/>
      <c r="B64" s="13"/>
      <c r="C64" s="10"/>
      <c r="D64" s="10"/>
      <c r="E64" s="7">
        <f>+$I$2+(SPRIINTTECHBOSCH[[#This Row],[QUANTITE]]*SPRIINTTECHBOSCH[[#This Row],[PRIX UNITAIRE]])</f>
        <v>0</v>
      </c>
      <c r="F64" s="14"/>
      <c r="G64" s="6">
        <f>+SUM(E$9:$E64)-SUM(F$9:$F64)</f>
        <v>2185866</v>
      </c>
    </row>
    <row r="65" spans="1:7" ht="28.8" x14ac:dyDescent="0.55000000000000004">
      <c r="A65" s="12"/>
      <c r="B65" s="13"/>
      <c r="C65" s="10"/>
      <c r="D65" s="10"/>
      <c r="E65" s="7">
        <f>+$I$2+(SPRIINTTECHBOSCH[[#This Row],[QUANTITE]]*SPRIINTTECHBOSCH[[#This Row],[PRIX UNITAIRE]])</f>
        <v>0</v>
      </c>
      <c r="F65" s="14"/>
      <c r="G65" s="6">
        <f>+SUM(E$9:$E65)-SUM(F$9:$F65)</f>
        <v>2185866</v>
      </c>
    </row>
    <row r="66" spans="1:7" ht="28.8" x14ac:dyDescent="0.55000000000000004">
      <c r="A66" s="12"/>
      <c r="B66" s="13"/>
      <c r="C66" s="10"/>
      <c r="D66" s="10"/>
      <c r="E66" s="7">
        <f>+$I$2+(SPRIINTTECHBOSCH[[#This Row],[QUANTITE]]*SPRIINTTECHBOSCH[[#This Row],[PRIX UNITAIRE]])</f>
        <v>0</v>
      </c>
      <c r="F66" s="14"/>
      <c r="G66" s="6">
        <f>+SUM(E$9:$E66)-SUM(F$9:$F66)</f>
        <v>2185866</v>
      </c>
    </row>
    <row r="67" spans="1:7" ht="28.8" x14ac:dyDescent="0.55000000000000004">
      <c r="A67" s="12"/>
      <c r="B67" s="13"/>
      <c r="C67" s="10"/>
      <c r="D67" s="10"/>
      <c r="E67" s="7">
        <f>+$I$2+(SPRIINTTECHBOSCH[[#This Row],[QUANTITE]]*SPRIINTTECHBOSCH[[#This Row],[PRIX UNITAIRE]])</f>
        <v>0</v>
      </c>
      <c r="F67" s="14"/>
      <c r="G67" s="6">
        <f>+SUM(E$9:$E67)-SUM(F$9:$F67)</f>
        <v>2185866</v>
      </c>
    </row>
    <row r="68" spans="1:7" ht="28.8" x14ac:dyDescent="0.55000000000000004">
      <c r="A68" s="12"/>
      <c r="B68" s="13"/>
      <c r="C68" s="10"/>
      <c r="D68" s="10"/>
      <c r="E68" s="7">
        <f>+$I$2+(SPRIINTTECHBOSCH[[#This Row],[QUANTITE]]*SPRIINTTECHBOSCH[[#This Row],[PRIX UNITAIRE]])</f>
        <v>0</v>
      </c>
      <c r="F68" s="14"/>
      <c r="G68" s="6">
        <f>+SUM(E$9:$E68)-SUM(F$9:$F68)</f>
        <v>2185866</v>
      </c>
    </row>
    <row r="69" spans="1:7" ht="28.8" x14ac:dyDescent="0.55000000000000004">
      <c r="A69" s="12"/>
      <c r="B69" s="13"/>
      <c r="C69" s="10"/>
      <c r="D69" s="10"/>
      <c r="E69" s="7">
        <f>+$I$2+(SPRIINTTECHBOSCH[[#This Row],[QUANTITE]]*SPRIINTTECHBOSCH[[#This Row],[PRIX UNITAIRE]])</f>
        <v>0</v>
      </c>
      <c r="F69" s="14"/>
      <c r="G69" s="6">
        <f>+SUM(E$9:$E69)-SUM(F$9:$F69)</f>
        <v>2185866</v>
      </c>
    </row>
    <row r="70" spans="1:7" ht="28.8" x14ac:dyDescent="0.55000000000000004">
      <c r="A70" s="12"/>
      <c r="B70" s="13"/>
      <c r="C70" s="10"/>
      <c r="D70" s="10"/>
      <c r="E70" s="7">
        <f>+$I$2+(SPRIINTTECHBOSCH[[#This Row],[QUANTITE]]*SPRIINTTECHBOSCH[[#This Row],[PRIX UNITAIRE]])</f>
        <v>0</v>
      </c>
      <c r="F70" s="14"/>
      <c r="G70" s="6">
        <f>+SUM(E$9:$E70)-SUM(F$9:$F70)</f>
        <v>2185866</v>
      </c>
    </row>
    <row r="71" spans="1:7" ht="28.8" x14ac:dyDescent="0.55000000000000004">
      <c r="A71" s="12"/>
      <c r="B71" s="13"/>
      <c r="C71" s="10"/>
      <c r="D71" s="10"/>
      <c r="E71" s="7">
        <f>+$I$2+(SPRIINTTECHBOSCH[[#This Row],[QUANTITE]]*SPRIINTTECHBOSCH[[#This Row],[PRIX UNITAIRE]])</f>
        <v>0</v>
      </c>
      <c r="F71" s="14"/>
      <c r="G71" s="6">
        <f>+SUM(E$9:$E71)-SUM(F$9:$F71)</f>
        <v>2185866</v>
      </c>
    </row>
    <row r="72" spans="1:7" ht="28.8" x14ac:dyDescent="0.55000000000000004">
      <c r="A72" s="12"/>
      <c r="B72" s="13"/>
      <c r="C72" s="10"/>
      <c r="D72" s="10"/>
      <c r="E72" s="7">
        <f>+$I$2+(SPRIINTTECHBOSCH[[#This Row],[QUANTITE]]*SPRIINTTECHBOSCH[[#This Row],[PRIX UNITAIRE]])</f>
        <v>0</v>
      </c>
      <c r="F72" s="14"/>
      <c r="G72" s="6">
        <f>+SUM(E$9:$E72)-SUM(F$9:$F72)</f>
        <v>2185866</v>
      </c>
    </row>
  </sheetData>
  <sheetProtection selectLockedCells="1" autoFilter="0"/>
  <mergeCells count="1">
    <mergeCell ref="B6:C6"/>
  </mergeCells>
  <conditionalFormatting sqref="A1:C1 A2:G4">
    <cfRule type="expression" dxfId="250" priority="1">
      <formula>$E$6=FALSE</formula>
    </cfRule>
  </conditionalFormatting>
  <conditionalFormatting sqref="B9:B72">
    <cfRule type="expression" dxfId="249" priority="5">
      <formula>$F9</formula>
    </cfRule>
  </conditionalFormatting>
  <conditionalFormatting sqref="G4">
    <cfRule type="cellIs" dxfId="248" priority="2" operator="lessThan">
      <formula>0</formula>
    </cfRule>
    <cfRule type="cellIs" dxfId="24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/>
  <dimension ref="A1:I250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 activeCell="A13" sqref="A13:D13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+SUM(MAHMOUD[TOTAL MONTANT])</f>
        <v>4745500</v>
      </c>
      <c r="F4" s="39">
        <f>+SUM(MAHMOUD[VERSEMENT])</f>
        <v>1500000</v>
      </c>
      <c r="G4" s="97">
        <f>+E4-F4</f>
        <v>3245500</v>
      </c>
    </row>
    <row r="5" spans="1:9" ht="29.4" thickBot="1" x14ac:dyDescent="0.35">
      <c r="A5" s="98"/>
      <c r="B5" s="3" t="s">
        <v>7</v>
      </c>
      <c r="G5" s="99"/>
    </row>
    <row r="6" spans="1:9" ht="34.200000000000003" thickBot="1" x14ac:dyDescent="0.7">
      <c r="A6" s="98"/>
      <c r="B6" s="115" t="s">
        <v>197</v>
      </c>
      <c r="C6" s="116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46062</v>
      </c>
      <c r="B9" s="13" t="s">
        <v>52</v>
      </c>
      <c r="C9" s="10">
        <v>1</v>
      </c>
      <c r="D9" s="10">
        <v>4120500</v>
      </c>
      <c r="E9" s="7">
        <f>+$I$2+(MAHMOUD[[#This Row],[QUANTITE]]*MAHMOUD[[#This Row],[PRIX UNITAIRE]])</f>
        <v>4120500</v>
      </c>
      <c r="F9" s="44">
        <v>0</v>
      </c>
      <c r="G9" s="6">
        <f>+SUM(E$9:$E9)-SUM(F$9:$F9)</f>
        <v>4120500</v>
      </c>
    </row>
    <row r="10" spans="1:9" ht="28.8" x14ac:dyDescent="0.55000000000000004">
      <c r="A10" s="12">
        <v>46078</v>
      </c>
      <c r="B10" s="13" t="s">
        <v>185</v>
      </c>
      <c r="C10" s="10">
        <v>1</v>
      </c>
      <c r="D10" s="10">
        <v>65000</v>
      </c>
      <c r="E10" s="7">
        <f>+$I$2+(MAHMOUD[[#This Row],[QUANTITE]]*MAHMOUD[[#This Row],[PRIX UNITAIRE]])</f>
        <v>65000</v>
      </c>
      <c r="F10" s="45">
        <v>0</v>
      </c>
      <c r="G10" s="6">
        <f>+SUM(E$9:$E10)-SUM(F$9:$F10)</f>
        <v>4185500</v>
      </c>
    </row>
    <row r="11" spans="1:9" ht="28.8" x14ac:dyDescent="0.55000000000000004">
      <c r="A11" s="12">
        <v>46088</v>
      </c>
      <c r="B11" s="13" t="s">
        <v>11</v>
      </c>
      <c r="C11" s="10">
        <v>1</v>
      </c>
      <c r="D11" s="10">
        <v>0</v>
      </c>
      <c r="E11" s="7">
        <f>+$I$2+(MAHMOUD[[#This Row],[QUANTITE]]*MAHMOUD[[#This Row],[PRIX UNITAIRE]])</f>
        <v>0</v>
      </c>
      <c r="F11" s="14">
        <v>1500000</v>
      </c>
      <c r="G11" s="6">
        <f>+SUM(E$9:$E11)-SUM(F$9:$F11)</f>
        <v>2685500</v>
      </c>
    </row>
    <row r="12" spans="1:9" ht="28.8" x14ac:dyDescent="0.55000000000000004">
      <c r="A12" s="12">
        <v>46098</v>
      </c>
      <c r="B12" s="13" t="s">
        <v>186</v>
      </c>
      <c r="C12" s="10">
        <v>4</v>
      </c>
      <c r="D12" s="10">
        <v>80000</v>
      </c>
      <c r="E12" s="7">
        <f>+$I$2+(MAHMOUD[[#This Row],[QUANTITE]]*MAHMOUD[[#This Row],[PRIX UNITAIRE]])</f>
        <v>320000</v>
      </c>
      <c r="F12" s="14">
        <v>0</v>
      </c>
      <c r="G12" s="6">
        <f>+SUM(E$9:$E12)-SUM(F$9:$F12)</f>
        <v>3005500</v>
      </c>
    </row>
    <row r="13" spans="1:9" ht="28.8" x14ac:dyDescent="0.55000000000000004">
      <c r="A13" s="12">
        <v>46100</v>
      </c>
      <c r="B13" s="13" t="s">
        <v>207</v>
      </c>
      <c r="C13" s="10">
        <v>2</v>
      </c>
      <c r="D13" s="10">
        <v>120000</v>
      </c>
      <c r="E13" s="7">
        <f>+$I$2+(MAHMOUD[[#This Row],[QUANTITE]]*MAHMOUD[[#This Row],[PRIX UNITAIRE]])</f>
        <v>240000</v>
      </c>
      <c r="F13" s="14"/>
      <c r="G13" s="6">
        <f>+SUM(E$9:$E13)-SUM(F$9:$F13)</f>
        <v>3245500</v>
      </c>
    </row>
    <row r="14" spans="1:9" ht="28.8" x14ac:dyDescent="0.55000000000000004">
      <c r="A14" s="12"/>
      <c r="B14" s="13"/>
      <c r="C14" s="10"/>
      <c r="D14" s="10"/>
      <c r="E14" s="7">
        <f>+$I$2+(MAHMOUD[[#This Row],[QUANTITE]]*MAHMOUD[[#This Row],[PRIX UNITAIRE]])</f>
        <v>0</v>
      </c>
      <c r="F14" s="14"/>
      <c r="G14" s="6">
        <f>+SUM(E$9:$E14)-SUM(F$9:$F14)</f>
        <v>3245500</v>
      </c>
    </row>
    <row r="15" spans="1:9" ht="28.8" x14ac:dyDescent="0.55000000000000004">
      <c r="A15" s="12"/>
      <c r="B15" s="13"/>
      <c r="C15" s="10"/>
      <c r="D15" s="10"/>
      <c r="E15" s="7">
        <f>+$I$2+(MAHMOUD[[#This Row],[QUANTITE]]*MAHMOUD[[#This Row],[PRIX UNITAIRE]])</f>
        <v>0</v>
      </c>
      <c r="F15" s="14"/>
      <c r="G15" s="6">
        <f>+SUM(E$9:$E15)-SUM(F$9:$F15)</f>
        <v>3245500</v>
      </c>
    </row>
    <row r="16" spans="1:9" ht="28.8" x14ac:dyDescent="0.55000000000000004">
      <c r="A16" s="12"/>
      <c r="B16" s="13"/>
      <c r="C16" s="10"/>
      <c r="D16" s="10"/>
      <c r="E16" s="7">
        <f>+$I$2+(MAHMOUD[[#This Row],[QUANTITE]]*MAHMOUD[[#This Row],[PRIX UNITAIRE]])</f>
        <v>0</v>
      </c>
      <c r="F16" s="14"/>
      <c r="G16" s="6">
        <f>+SUM(E$9:$E16)-SUM(F$9:$F16)</f>
        <v>3245500</v>
      </c>
    </row>
    <row r="17" spans="1:7" ht="28.8" x14ac:dyDescent="0.55000000000000004">
      <c r="A17" s="12"/>
      <c r="B17" s="13"/>
      <c r="C17" s="10"/>
      <c r="D17" s="10"/>
      <c r="E17" s="7">
        <f>+$I$2+(MAHMOUD[[#This Row],[QUANTITE]]*MAHMOUD[[#This Row],[PRIX UNITAIRE]])</f>
        <v>0</v>
      </c>
      <c r="F17" s="14"/>
      <c r="G17" s="6">
        <f>+SUM(E$9:$E17)-SUM(F$9:$F17)</f>
        <v>3245500</v>
      </c>
    </row>
    <row r="18" spans="1:7" ht="28.8" x14ac:dyDescent="0.55000000000000004">
      <c r="A18" s="12"/>
      <c r="B18" s="13"/>
      <c r="C18" s="10"/>
      <c r="D18" s="10"/>
      <c r="E18" s="7">
        <f>+$I$2+(MAHMOUD[[#This Row],[QUANTITE]]*MAHMOUD[[#This Row],[PRIX UNITAIRE]])</f>
        <v>0</v>
      </c>
      <c r="F18" s="14"/>
      <c r="G18" s="6">
        <f>+SUM(E$9:$E18)-SUM(F$9:$F18)</f>
        <v>3245500</v>
      </c>
    </row>
    <row r="19" spans="1:7" ht="28.8" x14ac:dyDescent="0.55000000000000004">
      <c r="A19" s="12"/>
      <c r="B19" s="13"/>
      <c r="C19" s="10"/>
      <c r="D19" s="10"/>
      <c r="E19" s="7">
        <f>+$I$2+(MAHMOUD[[#This Row],[QUANTITE]]*MAHMOUD[[#This Row],[PRIX UNITAIRE]])</f>
        <v>0</v>
      </c>
      <c r="F19" s="14"/>
      <c r="G19" s="6">
        <f>+SUM(E$9:$E19)-SUM(F$9:$F19)</f>
        <v>3245500</v>
      </c>
    </row>
    <row r="20" spans="1:7" ht="28.8" x14ac:dyDescent="0.55000000000000004">
      <c r="A20" s="12"/>
      <c r="B20" s="13"/>
      <c r="C20" s="10"/>
      <c r="D20" s="10"/>
      <c r="E20" s="7">
        <f>+$I$2+(MAHMOUD[[#This Row],[QUANTITE]]*MAHMOUD[[#This Row],[PRIX UNITAIRE]])</f>
        <v>0</v>
      </c>
      <c r="F20" s="14"/>
      <c r="G20" s="6">
        <f>+SUM(E$9:$E20)-SUM(F$9:$F20)</f>
        <v>3245500</v>
      </c>
    </row>
    <row r="21" spans="1:7" ht="28.8" x14ac:dyDescent="0.55000000000000004">
      <c r="A21" s="12"/>
      <c r="B21" s="13"/>
      <c r="C21" s="10"/>
      <c r="D21" s="10"/>
      <c r="E21" s="7">
        <f>+$I$2+(MAHMOUD[[#This Row],[QUANTITE]]*MAHMOUD[[#This Row],[PRIX UNITAIRE]])</f>
        <v>0</v>
      </c>
      <c r="F21" s="14"/>
      <c r="G21" s="6">
        <f>+SUM(E$9:$E21)-SUM(F$9:$F21)</f>
        <v>3245500</v>
      </c>
    </row>
    <row r="22" spans="1:7" ht="28.8" x14ac:dyDescent="0.55000000000000004">
      <c r="A22" s="12"/>
      <c r="B22" s="13"/>
      <c r="C22" s="10"/>
      <c r="D22" s="10"/>
      <c r="E22" s="7">
        <f>+$I$2+(MAHMOUD[[#This Row],[QUANTITE]]*MAHMOUD[[#This Row],[PRIX UNITAIRE]])</f>
        <v>0</v>
      </c>
      <c r="F22" s="14"/>
      <c r="G22" s="6">
        <f>+SUM(E$9:$E22)-SUM(F$9:$F22)</f>
        <v>3245500</v>
      </c>
    </row>
    <row r="23" spans="1:7" ht="28.8" x14ac:dyDescent="0.55000000000000004">
      <c r="A23" s="12"/>
      <c r="B23" s="13"/>
      <c r="C23" s="10"/>
      <c r="D23" s="10"/>
      <c r="E23" s="7">
        <f>+$I$2+(MAHMOUD[[#This Row],[QUANTITE]]*MAHMOUD[[#This Row],[PRIX UNITAIRE]])</f>
        <v>0</v>
      </c>
      <c r="F23" s="14"/>
      <c r="G23" s="6">
        <f>+SUM(E$9:$E23)-SUM(F$9:$F23)</f>
        <v>3245500</v>
      </c>
    </row>
    <row r="24" spans="1:7" ht="28.8" x14ac:dyDescent="0.55000000000000004">
      <c r="A24" s="12"/>
      <c r="B24" s="13"/>
      <c r="C24" s="10"/>
      <c r="D24" s="10"/>
      <c r="E24" s="7">
        <f>+$I$2+(MAHMOUD[[#This Row],[QUANTITE]]*MAHMOUD[[#This Row],[PRIX UNITAIRE]])</f>
        <v>0</v>
      </c>
      <c r="F24" s="14"/>
      <c r="G24" s="6">
        <f>+SUM(E$9:$E24)-SUM(F$9:$F24)</f>
        <v>3245500</v>
      </c>
    </row>
    <row r="25" spans="1:7" ht="28.8" x14ac:dyDescent="0.55000000000000004">
      <c r="A25" s="12"/>
      <c r="B25" s="13"/>
      <c r="C25" s="10"/>
      <c r="D25" s="10"/>
      <c r="E25" s="7">
        <f>+$I$2+(MAHMOUD[[#This Row],[QUANTITE]]*MAHMOUD[[#This Row],[PRIX UNITAIRE]])</f>
        <v>0</v>
      </c>
      <c r="F25" s="14"/>
      <c r="G25" s="6">
        <f>+SUM(E$9:$E25)-SUM(F$9:$F25)</f>
        <v>3245500</v>
      </c>
    </row>
    <row r="26" spans="1:7" ht="28.8" x14ac:dyDescent="0.55000000000000004">
      <c r="A26" s="12"/>
      <c r="B26" s="13"/>
      <c r="C26" s="10"/>
      <c r="D26" s="10"/>
      <c r="E26" s="7">
        <f>+$I$2+(MAHMOUD[[#This Row],[QUANTITE]]*MAHMOUD[[#This Row],[PRIX UNITAIRE]])</f>
        <v>0</v>
      </c>
      <c r="F26" s="14"/>
      <c r="G26" s="6">
        <f>+SUM(E$9:$E26)-SUM(F$9:$F26)</f>
        <v>3245500</v>
      </c>
    </row>
    <row r="27" spans="1:7" ht="28.8" x14ac:dyDescent="0.55000000000000004">
      <c r="A27" s="12"/>
      <c r="B27" s="13"/>
      <c r="C27" s="10"/>
      <c r="D27" s="10"/>
      <c r="E27" s="7">
        <f>+$I$2+(MAHMOUD[[#This Row],[QUANTITE]]*MAHMOUD[[#This Row],[PRIX UNITAIRE]])</f>
        <v>0</v>
      </c>
      <c r="F27" s="14"/>
      <c r="G27" s="6">
        <f>+SUM(E$9:$E27)-SUM(F$9:$F27)</f>
        <v>3245500</v>
      </c>
    </row>
    <row r="28" spans="1:7" ht="28.8" x14ac:dyDescent="0.55000000000000004">
      <c r="A28" s="12"/>
      <c r="B28" s="13"/>
      <c r="C28" s="10"/>
      <c r="D28" s="10"/>
      <c r="E28" s="7">
        <f>+$I$2+(MAHMOUD[[#This Row],[QUANTITE]]*MAHMOUD[[#This Row],[PRIX UNITAIRE]])</f>
        <v>0</v>
      </c>
      <c r="F28" s="14"/>
      <c r="G28" s="6">
        <f>+SUM(E$9:$E28)-SUM(F$9:$F28)</f>
        <v>3245500</v>
      </c>
    </row>
    <row r="29" spans="1:7" ht="28.8" x14ac:dyDescent="0.55000000000000004">
      <c r="A29" s="12"/>
      <c r="B29" s="13"/>
      <c r="C29" s="10"/>
      <c r="D29" s="10"/>
      <c r="E29" s="7">
        <f>+$I$2+(MAHMOUD[[#This Row],[QUANTITE]]*MAHMOUD[[#This Row],[PRIX UNITAIRE]])</f>
        <v>0</v>
      </c>
      <c r="F29" s="14"/>
      <c r="G29" s="6">
        <f>+SUM(E$9:$E29)-SUM(F$9:$F29)</f>
        <v>3245500</v>
      </c>
    </row>
    <row r="30" spans="1:7" ht="28.8" x14ac:dyDescent="0.55000000000000004">
      <c r="A30" s="12"/>
      <c r="B30" s="13"/>
      <c r="C30" s="10"/>
      <c r="D30" s="10"/>
      <c r="E30" s="7">
        <f>+$I$2+(MAHMOUD[[#This Row],[QUANTITE]]*MAHMOUD[[#This Row],[PRIX UNITAIRE]])</f>
        <v>0</v>
      </c>
      <c r="F30" s="14"/>
      <c r="G30" s="6">
        <f>+SUM(E$9:$E30)-SUM(F$9:$F30)</f>
        <v>3245500</v>
      </c>
    </row>
    <row r="31" spans="1:7" ht="28.8" x14ac:dyDescent="0.55000000000000004">
      <c r="A31" s="12"/>
      <c r="B31" s="13"/>
      <c r="C31" s="10"/>
      <c r="D31" s="10"/>
      <c r="E31" s="7">
        <f>+$I$2+(MAHMOUD[[#This Row],[QUANTITE]]*MAHMOUD[[#This Row],[PRIX UNITAIRE]])</f>
        <v>0</v>
      </c>
      <c r="F31" s="14"/>
      <c r="G31" s="6">
        <f>+SUM(E$9:$E31)-SUM(F$9:$F31)</f>
        <v>3245500</v>
      </c>
    </row>
    <row r="32" spans="1:7" ht="28.8" x14ac:dyDescent="0.55000000000000004">
      <c r="A32" s="12"/>
      <c r="B32" s="13"/>
      <c r="C32" s="10"/>
      <c r="D32" s="10"/>
      <c r="E32" s="7">
        <f>+$I$2+(MAHMOUD[[#This Row],[QUANTITE]]*MAHMOUD[[#This Row],[PRIX UNITAIRE]])</f>
        <v>0</v>
      </c>
      <c r="F32" s="14"/>
      <c r="G32" s="6">
        <f>+SUM(E$9:$E32)-SUM(F$9:$F32)</f>
        <v>3245500</v>
      </c>
    </row>
    <row r="33" spans="1:7" ht="28.8" x14ac:dyDescent="0.55000000000000004">
      <c r="A33" s="12"/>
      <c r="B33" s="13"/>
      <c r="C33" s="10"/>
      <c r="D33" s="10"/>
      <c r="E33" s="7">
        <f>+$I$2+(MAHMOUD[[#This Row],[QUANTITE]]*MAHMOUD[[#This Row],[PRIX UNITAIRE]])</f>
        <v>0</v>
      </c>
      <c r="F33" s="14"/>
      <c r="G33" s="6">
        <f>+SUM(E$9:$E33)-SUM(F$9:$F33)</f>
        <v>3245500</v>
      </c>
    </row>
    <row r="34" spans="1:7" ht="28.8" x14ac:dyDescent="0.55000000000000004">
      <c r="A34" s="12"/>
      <c r="B34" s="13"/>
      <c r="C34" s="10"/>
      <c r="D34" s="10"/>
      <c r="E34" s="7">
        <f>+$I$2+(MAHMOUD[[#This Row],[QUANTITE]]*MAHMOUD[[#This Row],[PRIX UNITAIRE]])</f>
        <v>0</v>
      </c>
      <c r="F34" s="14"/>
      <c r="G34" s="6">
        <f>+SUM(E$9:$E34)-SUM(F$9:$F34)</f>
        <v>3245500</v>
      </c>
    </row>
    <row r="35" spans="1:7" ht="28.8" x14ac:dyDescent="0.55000000000000004">
      <c r="A35" s="12"/>
      <c r="B35" s="13"/>
      <c r="C35" s="10"/>
      <c r="D35" s="10"/>
      <c r="E35" s="7">
        <f>+$I$2+(MAHMOUD[[#This Row],[QUANTITE]]*MAHMOUD[[#This Row],[PRIX UNITAIRE]])</f>
        <v>0</v>
      </c>
      <c r="F35" s="14"/>
      <c r="G35" s="6">
        <f>+SUM(E$9:$E35)-SUM(F$9:$F35)</f>
        <v>3245500</v>
      </c>
    </row>
    <row r="36" spans="1:7" ht="28.8" x14ac:dyDescent="0.55000000000000004">
      <c r="A36" s="12"/>
      <c r="B36" s="13"/>
      <c r="C36" s="10"/>
      <c r="D36" s="10"/>
      <c r="E36" s="7">
        <f>+$I$2+(MAHMOUD[[#This Row],[QUANTITE]]*MAHMOUD[[#This Row],[PRIX UNITAIRE]])</f>
        <v>0</v>
      </c>
      <c r="F36" s="14"/>
      <c r="G36" s="6">
        <f>+SUM(E$9:$E36)-SUM(F$9:$F36)</f>
        <v>3245500</v>
      </c>
    </row>
    <row r="37" spans="1:7" ht="28.8" x14ac:dyDescent="0.55000000000000004">
      <c r="A37" s="12"/>
      <c r="B37" s="13"/>
      <c r="C37" s="10"/>
      <c r="D37" s="10"/>
      <c r="E37" s="7">
        <f>+$I$2+(MAHMOUD[[#This Row],[QUANTITE]]*MAHMOUD[[#This Row],[PRIX UNITAIRE]])</f>
        <v>0</v>
      </c>
      <c r="F37" s="14"/>
      <c r="G37" s="6">
        <f>+SUM(E$9:$E37)-SUM(F$9:$F37)</f>
        <v>3245500</v>
      </c>
    </row>
    <row r="38" spans="1:7" ht="28.8" x14ac:dyDescent="0.55000000000000004">
      <c r="A38" s="12"/>
      <c r="B38" s="13"/>
      <c r="C38" s="10"/>
      <c r="D38" s="10"/>
      <c r="E38" s="7">
        <f>+$I$2+(MAHMOUD[[#This Row],[QUANTITE]]*MAHMOUD[[#This Row],[PRIX UNITAIRE]])</f>
        <v>0</v>
      </c>
      <c r="F38" s="14"/>
      <c r="G38" s="6">
        <f>+SUM(E$9:$E38)-SUM(F$9:$F38)</f>
        <v>3245500</v>
      </c>
    </row>
    <row r="39" spans="1:7" ht="28.8" x14ac:dyDescent="0.55000000000000004">
      <c r="A39" s="12"/>
      <c r="B39" s="13"/>
      <c r="C39" s="10"/>
      <c r="D39" s="10"/>
      <c r="E39" s="7">
        <f>+$I$2+(MAHMOUD[[#This Row],[QUANTITE]]*MAHMOUD[[#This Row],[PRIX UNITAIRE]])</f>
        <v>0</v>
      </c>
      <c r="F39" s="14"/>
      <c r="G39" s="6">
        <f>+SUM(E$9:$E39)-SUM(F$9:$F39)</f>
        <v>3245500</v>
      </c>
    </row>
    <row r="40" spans="1:7" ht="28.8" x14ac:dyDescent="0.55000000000000004">
      <c r="A40" s="12"/>
      <c r="B40" s="13"/>
      <c r="C40" s="10"/>
      <c r="D40" s="10"/>
      <c r="E40" s="7">
        <f>+$I$2+(MAHMOUD[[#This Row],[QUANTITE]]*MAHMOUD[[#This Row],[PRIX UNITAIRE]])</f>
        <v>0</v>
      </c>
      <c r="F40" s="14"/>
      <c r="G40" s="6">
        <f>+SUM(E$9:$E40)-SUM(F$9:$F40)</f>
        <v>3245500</v>
      </c>
    </row>
    <row r="41" spans="1:7" ht="28.8" x14ac:dyDescent="0.55000000000000004">
      <c r="A41" s="12"/>
      <c r="B41" s="13"/>
      <c r="C41" s="10"/>
      <c r="D41" s="10"/>
      <c r="E41" s="7">
        <f>+$I$2+(MAHMOUD[[#This Row],[QUANTITE]]*MAHMOUD[[#This Row],[PRIX UNITAIRE]])</f>
        <v>0</v>
      </c>
      <c r="F41" s="14"/>
      <c r="G41" s="6">
        <f>+SUM(E$9:$E41)-SUM(F$9:$F41)</f>
        <v>3245500</v>
      </c>
    </row>
    <row r="42" spans="1:7" ht="28.8" x14ac:dyDescent="0.55000000000000004">
      <c r="A42" s="12"/>
      <c r="B42" s="13"/>
      <c r="C42" s="10"/>
      <c r="D42" s="10"/>
      <c r="E42" s="7">
        <f>+$I$2+(MAHMOUD[[#This Row],[QUANTITE]]*MAHMOUD[[#This Row],[PRIX UNITAIRE]])</f>
        <v>0</v>
      </c>
      <c r="F42" s="14"/>
      <c r="G42" s="6">
        <f>+SUM(E$9:$E42)-SUM(F$9:$F42)</f>
        <v>3245500</v>
      </c>
    </row>
    <row r="43" spans="1:7" ht="28.8" x14ac:dyDescent="0.55000000000000004">
      <c r="A43" s="12"/>
      <c r="B43" s="13"/>
      <c r="C43" s="10"/>
      <c r="D43" s="10"/>
      <c r="E43" s="7">
        <f>+$I$2+(MAHMOUD[[#This Row],[QUANTITE]]*MAHMOUD[[#This Row],[PRIX UNITAIRE]])</f>
        <v>0</v>
      </c>
      <c r="F43" s="14"/>
      <c r="G43" s="6">
        <f>+SUM(E$9:$E43)-SUM(F$9:$F43)</f>
        <v>3245500</v>
      </c>
    </row>
    <row r="44" spans="1:7" ht="28.8" x14ac:dyDescent="0.55000000000000004">
      <c r="A44" s="12"/>
      <c r="B44" s="13"/>
      <c r="C44" s="10"/>
      <c r="D44" s="10"/>
      <c r="E44" s="7">
        <f>+$I$2+(MAHMOUD[[#This Row],[QUANTITE]]*MAHMOUD[[#This Row],[PRIX UNITAIRE]])</f>
        <v>0</v>
      </c>
      <c r="F44" s="14"/>
      <c r="G44" s="6">
        <f>+SUM(E$9:$E44)-SUM(F$9:$F44)</f>
        <v>3245500</v>
      </c>
    </row>
    <row r="45" spans="1:7" ht="28.8" x14ac:dyDescent="0.55000000000000004">
      <c r="A45" s="12"/>
      <c r="B45" s="13"/>
      <c r="C45" s="10"/>
      <c r="D45" s="10"/>
      <c r="E45" s="7">
        <f>+$I$2+(MAHMOUD[[#This Row],[QUANTITE]]*MAHMOUD[[#This Row],[PRIX UNITAIRE]])</f>
        <v>0</v>
      </c>
      <c r="F45" s="14"/>
      <c r="G45" s="6">
        <f>+SUM(E$9:$E45)-SUM(F$9:$F45)</f>
        <v>3245500</v>
      </c>
    </row>
    <row r="46" spans="1:7" ht="28.8" x14ac:dyDescent="0.55000000000000004">
      <c r="A46" s="12"/>
      <c r="B46" s="13"/>
      <c r="C46" s="10"/>
      <c r="D46" s="10"/>
      <c r="E46" s="7">
        <f>+$I$2+(MAHMOUD[[#This Row],[QUANTITE]]*MAHMOUD[[#This Row],[PRIX UNITAIRE]])</f>
        <v>0</v>
      </c>
      <c r="F46" s="14"/>
      <c r="G46" s="6">
        <f>+SUM(E$9:$E46)-SUM(F$9:$F46)</f>
        <v>3245500</v>
      </c>
    </row>
    <row r="47" spans="1:7" ht="28.8" x14ac:dyDescent="0.55000000000000004">
      <c r="A47" s="12"/>
      <c r="B47" s="13"/>
      <c r="C47" s="10"/>
      <c r="D47" s="10"/>
      <c r="E47" s="7">
        <f>+$I$2+(MAHMOUD[[#This Row],[QUANTITE]]*MAHMOUD[[#This Row],[PRIX UNITAIRE]])</f>
        <v>0</v>
      </c>
      <c r="F47" s="14"/>
      <c r="G47" s="6">
        <f>+SUM(E$9:$E47)-SUM(F$9:$F47)</f>
        <v>3245500</v>
      </c>
    </row>
    <row r="48" spans="1:7" ht="28.8" x14ac:dyDescent="0.55000000000000004">
      <c r="A48" s="12"/>
      <c r="B48" s="13"/>
      <c r="C48" s="10"/>
      <c r="D48" s="10"/>
      <c r="E48" s="7">
        <f>+$I$2+(MAHMOUD[[#This Row],[QUANTITE]]*MAHMOUD[[#This Row],[PRIX UNITAIRE]])</f>
        <v>0</v>
      </c>
      <c r="F48" s="14"/>
      <c r="G48" s="6">
        <f>+SUM(E$9:$E48)-SUM(F$9:$F48)</f>
        <v>3245500</v>
      </c>
    </row>
    <row r="49" spans="1:7" ht="28.8" x14ac:dyDescent="0.55000000000000004">
      <c r="A49" s="12"/>
      <c r="B49" s="13"/>
      <c r="C49" s="10"/>
      <c r="D49" s="10"/>
      <c r="E49" s="7">
        <f>+$I$2+(MAHMOUD[[#This Row],[QUANTITE]]*MAHMOUD[[#This Row],[PRIX UNITAIRE]])</f>
        <v>0</v>
      </c>
      <c r="F49" s="14"/>
      <c r="G49" s="6">
        <f>+SUM(E$9:$E49)-SUM(F$9:$F49)</f>
        <v>3245500</v>
      </c>
    </row>
    <row r="50" spans="1:7" ht="28.8" x14ac:dyDescent="0.55000000000000004">
      <c r="A50" s="12"/>
      <c r="B50" s="13"/>
      <c r="C50" s="10"/>
      <c r="D50" s="10"/>
      <c r="E50" s="7">
        <f>+$I$2+(MAHMOUD[[#This Row],[QUANTITE]]*MAHMOUD[[#This Row],[PRIX UNITAIRE]])</f>
        <v>0</v>
      </c>
      <c r="F50" s="14"/>
      <c r="G50" s="6">
        <f>+SUM(E$9:$E50)-SUM(F$9:$F50)</f>
        <v>3245500</v>
      </c>
    </row>
    <row r="51" spans="1:7" ht="28.8" x14ac:dyDescent="0.55000000000000004">
      <c r="A51" s="12"/>
      <c r="B51" s="13"/>
      <c r="C51" s="10"/>
      <c r="D51" s="10"/>
      <c r="E51" s="7">
        <f>+$I$2+(MAHMOUD[[#This Row],[QUANTITE]]*MAHMOUD[[#This Row],[PRIX UNITAIRE]])</f>
        <v>0</v>
      </c>
      <c r="F51" s="14"/>
      <c r="G51" s="6">
        <f>+SUM(E$9:$E51)-SUM(F$9:$F51)</f>
        <v>3245500</v>
      </c>
    </row>
    <row r="52" spans="1:7" ht="28.8" x14ac:dyDescent="0.55000000000000004">
      <c r="A52" s="12"/>
      <c r="B52" s="13"/>
      <c r="C52" s="10"/>
      <c r="D52" s="10"/>
      <c r="E52" s="7">
        <f>+$I$2+(MAHMOUD[[#This Row],[QUANTITE]]*MAHMOUD[[#This Row],[PRIX UNITAIRE]])</f>
        <v>0</v>
      </c>
      <c r="F52" s="14"/>
      <c r="G52" s="6">
        <f>+SUM(E$9:$E52)-SUM(F$9:$F52)</f>
        <v>3245500</v>
      </c>
    </row>
    <row r="53" spans="1:7" ht="28.8" x14ac:dyDescent="0.55000000000000004">
      <c r="A53" s="12"/>
      <c r="B53" s="13"/>
      <c r="C53" s="10"/>
      <c r="D53" s="10"/>
      <c r="E53" s="7">
        <f>+$I$2+(MAHMOUD[[#This Row],[QUANTITE]]*MAHMOUD[[#This Row],[PRIX UNITAIRE]])</f>
        <v>0</v>
      </c>
      <c r="F53" s="14"/>
      <c r="G53" s="6">
        <f>+SUM(E$9:$E53)-SUM(F$9:$F53)</f>
        <v>3245500</v>
      </c>
    </row>
    <row r="54" spans="1:7" ht="28.8" x14ac:dyDescent="0.55000000000000004">
      <c r="A54" s="12"/>
      <c r="B54" s="13"/>
      <c r="C54" s="10"/>
      <c r="D54" s="10"/>
      <c r="E54" s="7">
        <f>+$I$2+(MAHMOUD[[#This Row],[QUANTITE]]*MAHMOUD[[#This Row],[PRIX UNITAIRE]])</f>
        <v>0</v>
      </c>
      <c r="F54" s="14"/>
      <c r="G54" s="6">
        <f>+SUM(E$9:$E54)-SUM(F$9:$F54)</f>
        <v>3245500</v>
      </c>
    </row>
    <row r="55" spans="1:7" ht="28.8" x14ac:dyDescent="0.55000000000000004">
      <c r="A55" s="12"/>
      <c r="B55" s="13"/>
      <c r="C55" s="10"/>
      <c r="D55" s="10"/>
      <c r="E55" s="7">
        <f>+$I$2+(MAHMOUD[[#This Row],[QUANTITE]]*MAHMOUD[[#This Row],[PRIX UNITAIRE]])</f>
        <v>0</v>
      </c>
      <c r="F55" s="14"/>
      <c r="G55" s="6">
        <f>+SUM(E$9:$E55)-SUM(F$9:$F55)</f>
        <v>3245500</v>
      </c>
    </row>
    <row r="56" spans="1:7" ht="28.8" x14ac:dyDescent="0.55000000000000004">
      <c r="A56" s="12"/>
      <c r="B56" s="13"/>
      <c r="C56" s="10"/>
      <c r="D56" s="10"/>
      <c r="E56" s="7">
        <f>+$I$2+(MAHMOUD[[#This Row],[QUANTITE]]*MAHMOUD[[#This Row],[PRIX UNITAIRE]])</f>
        <v>0</v>
      </c>
      <c r="F56" s="14"/>
      <c r="G56" s="6">
        <f>+SUM(E$9:$E56)-SUM(F$9:$F56)</f>
        <v>3245500</v>
      </c>
    </row>
    <row r="57" spans="1:7" ht="28.8" x14ac:dyDescent="0.55000000000000004">
      <c r="A57" s="12"/>
      <c r="B57" s="13"/>
      <c r="C57" s="10"/>
      <c r="D57" s="10"/>
      <c r="E57" s="7">
        <f>+$I$2+(MAHMOUD[[#This Row],[QUANTITE]]*MAHMOUD[[#This Row],[PRIX UNITAIRE]])</f>
        <v>0</v>
      </c>
      <c r="F57" s="14"/>
      <c r="G57" s="6">
        <f>+SUM(E$9:$E57)-SUM(F$9:$F57)</f>
        <v>3245500</v>
      </c>
    </row>
    <row r="58" spans="1:7" ht="28.8" x14ac:dyDescent="0.55000000000000004">
      <c r="A58" s="12"/>
      <c r="B58" s="13"/>
      <c r="C58" s="10"/>
      <c r="D58" s="10"/>
      <c r="E58" s="7">
        <f>+$I$2+(MAHMOUD[[#This Row],[QUANTITE]]*MAHMOUD[[#This Row],[PRIX UNITAIRE]])</f>
        <v>0</v>
      </c>
      <c r="F58" s="14"/>
      <c r="G58" s="6">
        <f>+SUM(E$9:$E58)-SUM(F$9:$F58)</f>
        <v>3245500</v>
      </c>
    </row>
    <row r="59" spans="1:7" ht="28.8" x14ac:dyDescent="0.55000000000000004">
      <c r="A59" s="12"/>
      <c r="B59" s="13"/>
      <c r="C59" s="10"/>
      <c r="D59" s="10"/>
      <c r="E59" s="7">
        <f>+$I$2+(MAHMOUD[[#This Row],[QUANTITE]]*MAHMOUD[[#This Row],[PRIX UNITAIRE]])</f>
        <v>0</v>
      </c>
      <c r="F59" s="14"/>
      <c r="G59" s="6">
        <f>+SUM(E$9:$E59)-SUM(F$9:$F59)</f>
        <v>3245500</v>
      </c>
    </row>
    <row r="60" spans="1:7" ht="28.8" x14ac:dyDescent="0.55000000000000004">
      <c r="A60" s="12"/>
      <c r="B60" s="13"/>
      <c r="C60" s="10"/>
      <c r="D60" s="10"/>
      <c r="E60" s="7">
        <f>+$I$2+(MAHMOUD[[#This Row],[QUANTITE]]*MAHMOUD[[#This Row],[PRIX UNITAIRE]])</f>
        <v>0</v>
      </c>
      <c r="F60" s="14"/>
      <c r="G60" s="6">
        <f>+SUM(E$9:$E60)-SUM(F$9:$F60)</f>
        <v>3245500</v>
      </c>
    </row>
    <row r="61" spans="1:7" ht="28.8" x14ac:dyDescent="0.55000000000000004">
      <c r="A61" s="12"/>
      <c r="B61" s="13"/>
      <c r="C61" s="10"/>
      <c r="D61" s="10"/>
      <c r="E61" s="7">
        <f>+$I$2+(MAHMOUD[[#This Row],[QUANTITE]]*MAHMOUD[[#This Row],[PRIX UNITAIRE]])</f>
        <v>0</v>
      </c>
      <c r="F61" s="14"/>
      <c r="G61" s="6">
        <f>+SUM(E$9:$E61)-SUM(F$9:$F61)</f>
        <v>3245500</v>
      </c>
    </row>
    <row r="62" spans="1:7" ht="28.8" x14ac:dyDescent="0.55000000000000004">
      <c r="A62" s="12"/>
      <c r="B62" s="13"/>
      <c r="C62" s="10"/>
      <c r="D62" s="10"/>
      <c r="E62" s="7">
        <f>+$I$2+(MAHMOUD[[#This Row],[QUANTITE]]*MAHMOUD[[#This Row],[PRIX UNITAIRE]])</f>
        <v>0</v>
      </c>
      <c r="F62" s="14"/>
      <c r="G62" s="6">
        <f>+SUM(E$9:$E62)-SUM(F$9:$F62)</f>
        <v>3245500</v>
      </c>
    </row>
    <row r="63" spans="1:7" ht="28.8" x14ac:dyDescent="0.55000000000000004">
      <c r="A63" s="12"/>
      <c r="B63" s="13"/>
      <c r="C63" s="10"/>
      <c r="D63" s="10"/>
      <c r="E63" s="7">
        <f>+$I$2+(MAHMOUD[[#This Row],[QUANTITE]]*MAHMOUD[[#This Row],[PRIX UNITAIRE]])</f>
        <v>0</v>
      </c>
      <c r="F63" s="14"/>
      <c r="G63" s="6">
        <f>+SUM(E$9:$E63)-SUM(F$9:$F63)</f>
        <v>3245500</v>
      </c>
    </row>
    <row r="64" spans="1:7" ht="28.8" x14ac:dyDescent="0.55000000000000004">
      <c r="A64" s="12"/>
      <c r="B64" s="13"/>
      <c r="C64" s="10"/>
      <c r="D64" s="10"/>
      <c r="E64" s="7">
        <f>+$I$2+(MAHMOUD[[#This Row],[QUANTITE]]*MAHMOUD[[#This Row],[PRIX UNITAIRE]])</f>
        <v>0</v>
      </c>
      <c r="F64" s="14"/>
      <c r="G64" s="6">
        <f>+SUM(E$9:$E64)-SUM(F$9:$F64)</f>
        <v>3245500</v>
      </c>
    </row>
    <row r="65" spans="1:7" ht="28.8" x14ac:dyDescent="0.55000000000000004">
      <c r="A65" s="12"/>
      <c r="B65" s="13"/>
      <c r="C65" s="10"/>
      <c r="D65" s="10"/>
      <c r="E65" s="7">
        <f>+$I$2+(MAHMOUD[[#This Row],[QUANTITE]]*MAHMOUD[[#This Row],[PRIX UNITAIRE]])</f>
        <v>0</v>
      </c>
      <c r="F65" s="14"/>
      <c r="G65" s="6">
        <f>+SUM(E$9:$E65)-SUM(F$9:$F65)</f>
        <v>3245500</v>
      </c>
    </row>
    <row r="66" spans="1:7" ht="28.8" x14ac:dyDescent="0.55000000000000004">
      <c r="A66" s="12"/>
      <c r="B66" s="13"/>
      <c r="C66" s="10"/>
      <c r="D66" s="10"/>
      <c r="E66" s="7">
        <f>+$I$2+(MAHMOUD[[#This Row],[QUANTITE]]*MAHMOUD[[#This Row],[PRIX UNITAIRE]])</f>
        <v>0</v>
      </c>
      <c r="F66" s="14"/>
      <c r="G66" s="6">
        <f>+SUM(E$9:$E66)-SUM(F$9:$F66)</f>
        <v>3245500</v>
      </c>
    </row>
    <row r="67" spans="1:7" ht="28.8" x14ac:dyDescent="0.55000000000000004">
      <c r="A67" s="12"/>
      <c r="B67" s="13"/>
      <c r="C67" s="10"/>
      <c r="D67" s="10"/>
      <c r="E67" s="7">
        <f>+$I$2+(MAHMOUD[[#This Row],[QUANTITE]]*MAHMOUD[[#This Row],[PRIX UNITAIRE]])</f>
        <v>0</v>
      </c>
      <c r="F67" s="14"/>
      <c r="G67" s="6">
        <f>+SUM(E$9:$E67)-SUM(F$9:$F67)</f>
        <v>3245500</v>
      </c>
    </row>
    <row r="68" spans="1:7" ht="28.8" x14ac:dyDescent="0.55000000000000004">
      <c r="A68" s="12"/>
      <c r="B68" s="13"/>
      <c r="C68" s="10"/>
      <c r="D68" s="10"/>
      <c r="E68" s="7">
        <f>+$I$2+(MAHMOUD[[#This Row],[QUANTITE]]*MAHMOUD[[#This Row],[PRIX UNITAIRE]])</f>
        <v>0</v>
      </c>
      <c r="F68" s="14"/>
      <c r="G68" s="6">
        <f>+SUM(E$9:$E68)-SUM(F$9:$F68)</f>
        <v>3245500</v>
      </c>
    </row>
    <row r="69" spans="1:7" ht="28.8" x14ac:dyDescent="0.55000000000000004">
      <c r="A69" s="12"/>
      <c r="B69" s="13"/>
      <c r="C69" s="10"/>
      <c r="D69" s="10"/>
      <c r="E69" s="7">
        <f>+$I$2+(MAHMOUD[[#This Row],[QUANTITE]]*MAHMOUD[[#This Row],[PRIX UNITAIRE]])</f>
        <v>0</v>
      </c>
      <c r="F69" s="14"/>
      <c r="G69" s="6">
        <f>+SUM(E$9:$E69)-SUM(F$9:$F69)</f>
        <v>3245500</v>
      </c>
    </row>
    <row r="70" spans="1:7" ht="28.8" x14ac:dyDescent="0.55000000000000004">
      <c r="A70" s="12"/>
      <c r="B70" s="13"/>
      <c r="C70" s="10"/>
      <c r="D70" s="10"/>
      <c r="E70" s="7">
        <f>+$I$2+(MAHMOUD[[#This Row],[QUANTITE]]*MAHMOUD[[#This Row],[PRIX UNITAIRE]])</f>
        <v>0</v>
      </c>
      <c r="F70" s="14"/>
      <c r="G70" s="6">
        <f>+SUM(E$9:$E70)-SUM(F$9:$F70)</f>
        <v>3245500</v>
      </c>
    </row>
    <row r="71" spans="1:7" ht="28.8" x14ac:dyDescent="0.55000000000000004">
      <c r="A71" s="12"/>
      <c r="B71" s="13"/>
      <c r="C71" s="10"/>
      <c r="D71" s="10"/>
      <c r="E71" s="7">
        <f>+$I$2+(MAHMOUD[[#This Row],[QUANTITE]]*MAHMOUD[[#This Row],[PRIX UNITAIRE]])</f>
        <v>0</v>
      </c>
      <c r="F71" s="14"/>
      <c r="G71" s="6">
        <f>+SUM(E$9:$E71)-SUM(F$9:$F71)</f>
        <v>3245500</v>
      </c>
    </row>
    <row r="72" spans="1:7" ht="28.8" x14ac:dyDescent="0.55000000000000004">
      <c r="A72" s="12"/>
      <c r="B72" s="13"/>
      <c r="C72" s="10"/>
      <c r="D72" s="10"/>
      <c r="E72" s="7">
        <f>+$I$2+(MAHMOUD[[#This Row],[QUANTITE]]*MAHMOUD[[#This Row],[PRIX UNITAIRE]])</f>
        <v>0</v>
      </c>
      <c r="F72" s="14"/>
      <c r="G72" s="6">
        <f>+SUM(E$9:$E72)-SUM(F$9:$F72)</f>
        <v>3245500</v>
      </c>
    </row>
    <row r="73" spans="1:7" ht="28.8" x14ac:dyDescent="0.55000000000000004">
      <c r="A73" s="12"/>
      <c r="B73" s="13"/>
      <c r="C73" s="10"/>
      <c r="D73" s="10"/>
      <c r="E73" s="7">
        <f>+$I$2+(MAHMOUD[[#This Row],[QUANTITE]]*MAHMOUD[[#This Row],[PRIX UNITAIRE]])</f>
        <v>0</v>
      </c>
      <c r="F73" s="14"/>
      <c r="G73" s="6">
        <f>+SUM(E$9:$E73)-SUM(F$9:$F73)</f>
        <v>3245500</v>
      </c>
    </row>
    <row r="74" spans="1:7" ht="28.8" x14ac:dyDescent="0.55000000000000004">
      <c r="A74" s="12"/>
      <c r="B74" s="13"/>
      <c r="C74" s="10"/>
      <c r="D74" s="10"/>
      <c r="E74" s="7">
        <f>+$I$2+(MAHMOUD[[#This Row],[QUANTITE]]*MAHMOUD[[#This Row],[PRIX UNITAIRE]])</f>
        <v>0</v>
      </c>
      <c r="F74" s="14"/>
      <c r="G74" s="6">
        <f>+SUM(E$9:$E74)-SUM(F$9:$F74)</f>
        <v>3245500</v>
      </c>
    </row>
    <row r="75" spans="1:7" ht="28.8" x14ac:dyDescent="0.55000000000000004">
      <c r="A75" s="12"/>
      <c r="B75" s="13"/>
      <c r="C75" s="10"/>
      <c r="D75" s="10"/>
      <c r="E75" s="7">
        <f>+$I$2+(MAHMOUD[[#This Row],[QUANTITE]]*MAHMOUD[[#This Row],[PRIX UNITAIRE]])</f>
        <v>0</v>
      </c>
      <c r="F75" s="14"/>
      <c r="G75" s="6">
        <f>+SUM(E$9:$E75)-SUM(F$9:$F75)</f>
        <v>3245500</v>
      </c>
    </row>
    <row r="76" spans="1:7" ht="28.8" x14ac:dyDescent="0.55000000000000004">
      <c r="A76" s="12"/>
      <c r="B76" s="13"/>
      <c r="C76" s="10"/>
      <c r="D76" s="10"/>
      <c r="E76" s="7">
        <f>+$I$2+(MAHMOUD[[#This Row],[QUANTITE]]*MAHMOUD[[#This Row],[PRIX UNITAIRE]])</f>
        <v>0</v>
      </c>
      <c r="F76" s="14"/>
      <c r="G76" s="6">
        <f>+SUM(E$9:$E76)-SUM(F$9:$F76)</f>
        <v>3245500</v>
      </c>
    </row>
    <row r="77" spans="1:7" ht="28.8" x14ac:dyDescent="0.55000000000000004">
      <c r="A77" s="12"/>
      <c r="B77" s="13"/>
      <c r="C77" s="10"/>
      <c r="D77" s="10"/>
      <c r="E77" s="7">
        <f>+$I$2+(MAHMOUD[[#This Row],[QUANTITE]]*MAHMOUD[[#This Row],[PRIX UNITAIRE]])</f>
        <v>0</v>
      </c>
      <c r="F77" s="14"/>
      <c r="G77" s="6">
        <f>+SUM(E$9:$E77)-SUM(F$9:$F77)</f>
        <v>3245500</v>
      </c>
    </row>
    <row r="78" spans="1:7" ht="28.8" x14ac:dyDescent="0.55000000000000004">
      <c r="A78" s="12"/>
      <c r="B78" s="13"/>
      <c r="C78" s="10"/>
      <c r="D78" s="10"/>
      <c r="E78" s="7">
        <f>+$I$2+(MAHMOUD[[#This Row],[QUANTITE]]*MAHMOUD[[#This Row],[PRIX UNITAIRE]])</f>
        <v>0</v>
      </c>
      <c r="F78" s="14"/>
      <c r="G78" s="6">
        <f>+SUM(E$9:$E78)-SUM(F$9:$F78)</f>
        <v>3245500</v>
      </c>
    </row>
    <row r="79" spans="1:7" ht="28.8" x14ac:dyDescent="0.55000000000000004">
      <c r="A79" s="12"/>
      <c r="B79" s="13"/>
      <c r="C79" s="10"/>
      <c r="D79" s="10"/>
      <c r="E79" s="7">
        <f>+$I$2+(MAHMOUD[[#This Row],[QUANTITE]]*MAHMOUD[[#This Row],[PRIX UNITAIRE]])</f>
        <v>0</v>
      </c>
      <c r="F79" s="14"/>
      <c r="G79" s="6">
        <f>+SUM(E$9:$E79)-SUM(F$9:$F79)</f>
        <v>3245500</v>
      </c>
    </row>
    <row r="80" spans="1:7" ht="28.8" x14ac:dyDescent="0.55000000000000004">
      <c r="A80" s="12"/>
      <c r="B80" s="13"/>
      <c r="C80" s="10"/>
      <c r="D80" s="10"/>
      <c r="E80" s="7">
        <f>+$I$2+(MAHMOUD[[#This Row],[QUANTITE]]*MAHMOUD[[#This Row],[PRIX UNITAIRE]])</f>
        <v>0</v>
      </c>
      <c r="F80" s="14"/>
      <c r="G80" s="6">
        <f>+SUM(E$9:$E80)-SUM(F$9:$F80)</f>
        <v>3245500</v>
      </c>
    </row>
    <row r="81" spans="1:7" ht="28.8" x14ac:dyDescent="0.55000000000000004">
      <c r="A81" s="12"/>
      <c r="B81" s="13"/>
      <c r="C81" s="10"/>
      <c r="D81" s="10"/>
      <c r="E81" s="7">
        <f>+$I$2+(MAHMOUD[[#This Row],[QUANTITE]]*MAHMOUD[[#This Row],[PRIX UNITAIRE]])</f>
        <v>0</v>
      </c>
      <c r="F81" s="14"/>
      <c r="G81" s="6">
        <f>+SUM(E$9:$E81)-SUM(F$9:$F81)</f>
        <v>3245500</v>
      </c>
    </row>
    <row r="82" spans="1:7" ht="28.8" x14ac:dyDescent="0.55000000000000004">
      <c r="A82" s="12"/>
      <c r="B82" s="13"/>
      <c r="C82" s="10"/>
      <c r="D82" s="10"/>
      <c r="E82" s="7">
        <f>+$I$2+(MAHMOUD[[#This Row],[QUANTITE]]*MAHMOUD[[#This Row],[PRIX UNITAIRE]])</f>
        <v>0</v>
      </c>
      <c r="F82" s="14"/>
      <c r="G82" s="6">
        <f>+SUM(E$9:$E82)-SUM(F$9:$F82)</f>
        <v>3245500</v>
      </c>
    </row>
    <row r="83" spans="1:7" ht="28.8" x14ac:dyDescent="0.55000000000000004">
      <c r="A83" s="12"/>
      <c r="B83" s="13"/>
      <c r="C83" s="10"/>
      <c r="D83" s="10"/>
      <c r="E83" s="7">
        <f>+$I$2+(MAHMOUD[[#This Row],[QUANTITE]]*MAHMOUD[[#This Row],[PRIX UNITAIRE]])</f>
        <v>0</v>
      </c>
      <c r="F83" s="14"/>
      <c r="G83" s="6">
        <f>+SUM(E$9:$E83)-SUM(F$9:$F83)</f>
        <v>3245500</v>
      </c>
    </row>
    <row r="84" spans="1:7" ht="28.8" x14ac:dyDescent="0.55000000000000004">
      <c r="A84" s="12"/>
      <c r="B84" s="13"/>
      <c r="C84" s="10"/>
      <c r="D84" s="10"/>
      <c r="E84" s="7">
        <f>+$I$2+(MAHMOUD[[#This Row],[QUANTITE]]*MAHMOUD[[#This Row],[PRIX UNITAIRE]])</f>
        <v>0</v>
      </c>
      <c r="F84" s="14"/>
      <c r="G84" s="6">
        <f>+SUM(E$9:$E84)-SUM(F$9:$F84)</f>
        <v>3245500</v>
      </c>
    </row>
    <row r="85" spans="1:7" ht="28.8" x14ac:dyDescent="0.55000000000000004">
      <c r="A85" s="12"/>
      <c r="B85" s="13"/>
      <c r="C85" s="10"/>
      <c r="D85" s="10"/>
      <c r="E85" s="7">
        <f>+$I$2+(MAHMOUD[[#This Row],[QUANTITE]]*MAHMOUD[[#This Row],[PRIX UNITAIRE]])</f>
        <v>0</v>
      </c>
      <c r="F85" s="14"/>
      <c r="G85" s="6">
        <f>+SUM(E$9:$E85)-SUM(F$9:$F85)</f>
        <v>3245500</v>
      </c>
    </row>
    <row r="86" spans="1:7" ht="28.8" x14ac:dyDescent="0.55000000000000004">
      <c r="A86" s="12"/>
      <c r="B86" s="13"/>
      <c r="C86" s="10"/>
      <c r="D86" s="10"/>
      <c r="E86" s="7">
        <f>+$I$2+(MAHMOUD[[#This Row],[QUANTITE]]*MAHMOUD[[#This Row],[PRIX UNITAIRE]])</f>
        <v>0</v>
      </c>
      <c r="F86" s="14"/>
      <c r="G86" s="6">
        <f>+SUM(E$9:$E86)-SUM(F$9:$F86)</f>
        <v>3245500</v>
      </c>
    </row>
    <row r="87" spans="1:7" ht="28.8" x14ac:dyDescent="0.55000000000000004">
      <c r="A87" s="12"/>
      <c r="B87" s="13"/>
      <c r="C87" s="10"/>
      <c r="D87" s="10"/>
      <c r="E87" s="7">
        <f>+$I$2+(MAHMOUD[[#This Row],[QUANTITE]]*MAHMOUD[[#This Row],[PRIX UNITAIRE]])</f>
        <v>0</v>
      </c>
      <c r="F87" s="14"/>
      <c r="G87" s="6">
        <f>+SUM(E$9:$E87)-SUM(F$9:$F87)</f>
        <v>3245500</v>
      </c>
    </row>
    <row r="88" spans="1:7" ht="28.8" x14ac:dyDescent="0.55000000000000004">
      <c r="A88" s="12"/>
      <c r="B88" s="13"/>
      <c r="C88" s="10"/>
      <c r="D88" s="10"/>
      <c r="E88" s="7">
        <f>+$I$2+(MAHMOUD[[#This Row],[QUANTITE]]*MAHMOUD[[#This Row],[PRIX UNITAIRE]])</f>
        <v>0</v>
      </c>
      <c r="F88" s="14"/>
      <c r="G88" s="6">
        <f>+SUM(E$9:$E88)-SUM(F$9:$F88)</f>
        <v>3245500</v>
      </c>
    </row>
    <row r="89" spans="1:7" ht="28.8" x14ac:dyDescent="0.55000000000000004">
      <c r="A89" s="12"/>
      <c r="B89" s="13"/>
      <c r="C89" s="10"/>
      <c r="D89" s="10"/>
      <c r="E89" s="7">
        <f>+$I$2+(MAHMOUD[[#This Row],[QUANTITE]]*MAHMOUD[[#This Row],[PRIX UNITAIRE]])</f>
        <v>0</v>
      </c>
      <c r="F89" s="14"/>
      <c r="G89" s="6">
        <f>+SUM(E$9:$E89)-SUM(F$9:$F89)</f>
        <v>3245500</v>
      </c>
    </row>
    <row r="90" spans="1:7" ht="28.8" x14ac:dyDescent="0.55000000000000004">
      <c r="A90" s="12"/>
      <c r="B90" s="13"/>
      <c r="C90" s="10"/>
      <c r="D90" s="10"/>
      <c r="E90" s="7">
        <f>+$I$2+(MAHMOUD[[#This Row],[QUANTITE]]*MAHMOUD[[#This Row],[PRIX UNITAIRE]])</f>
        <v>0</v>
      </c>
      <c r="F90" s="14"/>
      <c r="G90" s="6">
        <f>+SUM(E$9:$E90)-SUM(F$9:$F90)</f>
        <v>3245500</v>
      </c>
    </row>
    <row r="91" spans="1:7" ht="28.8" x14ac:dyDescent="0.55000000000000004">
      <c r="A91" s="12"/>
      <c r="B91" s="13"/>
      <c r="C91" s="10"/>
      <c r="D91" s="10"/>
      <c r="E91" s="7">
        <f>+$I$2+(MAHMOUD[[#This Row],[QUANTITE]]*MAHMOUD[[#This Row],[PRIX UNITAIRE]])</f>
        <v>0</v>
      </c>
      <c r="F91" s="14"/>
      <c r="G91" s="6">
        <f>+SUM(E$9:$E91)-SUM(F$9:$F91)</f>
        <v>3245500</v>
      </c>
    </row>
    <row r="92" spans="1:7" ht="28.8" x14ac:dyDescent="0.55000000000000004">
      <c r="A92" s="12"/>
      <c r="B92" s="13"/>
      <c r="C92" s="10"/>
      <c r="D92" s="10"/>
      <c r="E92" s="7">
        <f>+$I$2+(MAHMOUD[[#This Row],[QUANTITE]]*MAHMOUD[[#This Row],[PRIX UNITAIRE]])</f>
        <v>0</v>
      </c>
      <c r="F92" s="14"/>
      <c r="G92" s="6">
        <f>+SUM(E$9:$E92)-SUM(F$9:$F92)</f>
        <v>3245500</v>
      </c>
    </row>
    <row r="93" spans="1:7" ht="28.8" x14ac:dyDescent="0.55000000000000004">
      <c r="A93" s="12"/>
      <c r="B93" s="13"/>
      <c r="C93" s="10"/>
      <c r="D93" s="10"/>
      <c r="E93" s="7">
        <f>+$I$2+(MAHMOUD[[#This Row],[QUANTITE]]*MAHMOUD[[#This Row],[PRIX UNITAIRE]])</f>
        <v>0</v>
      </c>
      <c r="F93" s="14"/>
      <c r="G93" s="6">
        <f>+SUM(E$9:$E93)-SUM(F$9:$F93)</f>
        <v>3245500</v>
      </c>
    </row>
    <row r="94" spans="1:7" ht="28.8" x14ac:dyDescent="0.55000000000000004">
      <c r="A94" s="12"/>
      <c r="B94" s="13"/>
      <c r="C94" s="10"/>
      <c r="D94" s="10"/>
      <c r="E94" s="7">
        <f>+$I$2+(MAHMOUD[[#This Row],[QUANTITE]]*MAHMOUD[[#This Row],[PRIX UNITAIRE]])</f>
        <v>0</v>
      </c>
      <c r="F94" s="14"/>
      <c r="G94" s="6">
        <f>+SUM(E$9:$E94)-SUM(F$9:$F94)</f>
        <v>3245500</v>
      </c>
    </row>
    <row r="95" spans="1:7" ht="28.8" x14ac:dyDescent="0.55000000000000004">
      <c r="A95" s="12"/>
      <c r="B95" s="13"/>
      <c r="C95" s="10"/>
      <c r="D95" s="10"/>
      <c r="E95" s="7">
        <f>+$I$2+(MAHMOUD[[#This Row],[QUANTITE]]*MAHMOUD[[#This Row],[PRIX UNITAIRE]])</f>
        <v>0</v>
      </c>
      <c r="F95" s="14"/>
      <c r="G95" s="6">
        <f>+SUM(E$9:$E95)-SUM(F$9:$F95)</f>
        <v>3245500</v>
      </c>
    </row>
    <row r="96" spans="1:7" ht="28.8" x14ac:dyDescent="0.55000000000000004">
      <c r="A96" s="12"/>
      <c r="B96" s="13"/>
      <c r="C96" s="10"/>
      <c r="D96" s="10"/>
      <c r="E96" s="7">
        <f>+$I$2+(MAHMOUD[[#This Row],[QUANTITE]]*MAHMOUD[[#This Row],[PRIX UNITAIRE]])</f>
        <v>0</v>
      </c>
      <c r="F96" s="14"/>
      <c r="G96" s="6">
        <f>+SUM(E$9:$E96)-SUM(F$9:$F96)</f>
        <v>3245500</v>
      </c>
    </row>
    <row r="97" spans="1:7" ht="28.8" x14ac:dyDescent="0.55000000000000004">
      <c r="A97" s="12"/>
      <c r="B97" s="13"/>
      <c r="C97" s="10"/>
      <c r="D97" s="10"/>
      <c r="E97" s="7">
        <f>+$I$2+(MAHMOUD[[#This Row],[QUANTITE]]*MAHMOUD[[#This Row],[PRIX UNITAIRE]])</f>
        <v>0</v>
      </c>
      <c r="F97" s="14"/>
      <c r="G97" s="6">
        <f>+SUM(E$9:$E97)-SUM(F$9:$F97)</f>
        <v>3245500</v>
      </c>
    </row>
    <row r="98" spans="1:7" ht="28.8" x14ac:dyDescent="0.55000000000000004">
      <c r="A98" s="12"/>
      <c r="B98" s="13"/>
      <c r="C98" s="10"/>
      <c r="D98" s="10"/>
      <c r="E98" s="7">
        <f>+$I$2+(MAHMOUD[[#This Row],[QUANTITE]]*MAHMOUD[[#This Row],[PRIX UNITAIRE]])</f>
        <v>0</v>
      </c>
      <c r="F98" s="14"/>
      <c r="G98" s="6">
        <f>+SUM(E$9:$E98)-SUM(F$9:$F98)</f>
        <v>3245500</v>
      </c>
    </row>
    <row r="99" spans="1:7" ht="28.8" x14ac:dyDescent="0.55000000000000004">
      <c r="A99" s="12"/>
      <c r="B99" s="13"/>
      <c r="C99" s="10"/>
      <c r="D99" s="10"/>
      <c r="E99" s="7">
        <f>+$I$2+(MAHMOUD[[#This Row],[QUANTITE]]*MAHMOUD[[#This Row],[PRIX UNITAIRE]])</f>
        <v>0</v>
      </c>
      <c r="F99" s="14"/>
      <c r="G99" s="6">
        <f>+SUM(E$9:$E99)-SUM(F$9:$F99)</f>
        <v>3245500</v>
      </c>
    </row>
    <row r="100" spans="1:7" ht="28.8" x14ac:dyDescent="0.55000000000000004">
      <c r="A100" s="12"/>
      <c r="B100" s="13"/>
      <c r="C100" s="10"/>
      <c r="D100" s="10"/>
      <c r="E100" s="7">
        <f>+$I$2+(MAHMOUD[[#This Row],[QUANTITE]]*MAHMOUD[[#This Row],[PRIX UNITAIRE]])</f>
        <v>0</v>
      </c>
      <c r="F100" s="14"/>
      <c r="G100" s="6">
        <f>+SUM(E$9:$E100)-SUM(F$9:$F100)</f>
        <v>3245500</v>
      </c>
    </row>
    <row r="101" spans="1:7" ht="28.8" x14ac:dyDescent="0.55000000000000004">
      <c r="A101" s="12"/>
      <c r="B101" s="13"/>
      <c r="C101" s="10"/>
      <c r="D101" s="10"/>
      <c r="E101" s="7">
        <f>+$I$2+(MAHMOUD[[#This Row],[QUANTITE]]*MAHMOUD[[#This Row],[PRIX UNITAIRE]])</f>
        <v>0</v>
      </c>
      <c r="F101" s="14"/>
      <c r="G101" s="6">
        <f>+SUM(E$9:$E101)-SUM(F$9:$F101)</f>
        <v>3245500</v>
      </c>
    </row>
    <row r="102" spans="1:7" ht="28.8" x14ac:dyDescent="0.55000000000000004">
      <c r="A102" s="12"/>
      <c r="B102" s="13"/>
      <c r="C102" s="10"/>
      <c r="D102" s="10"/>
      <c r="E102" s="7">
        <f>+$I$2+(MAHMOUD[[#This Row],[QUANTITE]]*MAHMOUD[[#This Row],[PRIX UNITAIRE]])</f>
        <v>0</v>
      </c>
      <c r="F102" s="14"/>
      <c r="G102" s="6">
        <f>+SUM(E$9:$E102)-SUM(F$9:$F102)</f>
        <v>3245500</v>
      </c>
    </row>
    <row r="103" spans="1:7" ht="28.8" x14ac:dyDescent="0.55000000000000004">
      <c r="A103" s="12"/>
      <c r="B103" s="13"/>
      <c r="C103" s="10"/>
      <c r="D103" s="10"/>
      <c r="E103" s="7">
        <f>+$I$2+(MAHMOUD[[#This Row],[QUANTITE]]*MAHMOUD[[#This Row],[PRIX UNITAIRE]])</f>
        <v>0</v>
      </c>
      <c r="F103" s="14"/>
      <c r="G103" s="6">
        <f>+SUM(E$9:$E103)-SUM(F$9:$F103)</f>
        <v>3245500</v>
      </c>
    </row>
    <row r="104" spans="1:7" ht="28.8" x14ac:dyDescent="0.55000000000000004">
      <c r="A104" s="12"/>
      <c r="B104" s="13"/>
      <c r="C104" s="10"/>
      <c r="D104" s="10"/>
      <c r="E104" s="7">
        <f>+$I$2+(MAHMOUD[[#This Row],[QUANTITE]]*MAHMOUD[[#This Row],[PRIX UNITAIRE]])</f>
        <v>0</v>
      </c>
      <c r="F104" s="14"/>
      <c r="G104" s="6">
        <f>+SUM(E$9:$E104)-SUM(F$9:$F104)</f>
        <v>3245500</v>
      </c>
    </row>
    <row r="105" spans="1:7" ht="28.8" x14ac:dyDescent="0.55000000000000004">
      <c r="A105" s="12"/>
      <c r="B105" s="13"/>
      <c r="C105" s="10"/>
      <c r="D105" s="10"/>
      <c r="E105" s="7">
        <f>+$I$2+(MAHMOUD[[#This Row],[QUANTITE]]*MAHMOUD[[#This Row],[PRIX UNITAIRE]])</f>
        <v>0</v>
      </c>
      <c r="F105" s="14"/>
      <c r="G105" s="6">
        <f>+SUM(E$9:$E105)-SUM(F$9:$F105)</f>
        <v>3245500</v>
      </c>
    </row>
    <row r="106" spans="1:7" ht="28.8" x14ac:dyDescent="0.55000000000000004">
      <c r="A106" s="12"/>
      <c r="B106" s="13"/>
      <c r="C106" s="10"/>
      <c r="D106" s="10"/>
      <c r="E106" s="7">
        <f>+$I$2+(MAHMOUD[[#This Row],[QUANTITE]]*MAHMOUD[[#This Row],[PRIX UNITAIRE]])</f>
        <v>0</v>
      </c>
      <c r="F106" s="14"/>
      <c r="G106" s="6">
        <f>+SUM(E$9:$E106)-SUM(F$9:$F106)</f>
        <v>3245500</v>
      </c>
    </row>
    <row r="107" spans="1:7" ht="28.8" x14ac:dyDescent="0.55000000000000004">
      <c r="A107" s="12"/>
      <c r="B107" s="13"/>
      <c r="C107" s="10"/>
      <c r="D107" s="10"/>
      <c r="E107" s="7">
        <f>+$I$2+(MAHMOUD[[#This Row],[QUANTITE]]*MAHMOUD[[#This Row],[PRIX UNITAIRE]])</f>
        <v>0</v>
      </c>
      <c r="F107" s="14"/>
      <c r="G107" s="6">
        <f>+SUM(E$9:$E107)-SUM(F$9:$F107)</f>
        <v>3245500</v>
      </c>
    </row>
    <row r="108" spans="1:7" ht="28.8" x14ac:dyDescent="0.55000000000000004">
      <c r="A108" s="12"/>
      <c r="B108" s="13"/>
      <c r="C108" s="10"/>
      <c r="D108" s="10"/>
      <c r="E108" s="7">
        <f>+$I$2+(MAHMOUD[[#This Row],[QUANTITE]]*MAHMOUD[[#This Row],[PRIX UNITAIRE]])</f>
        <v>0</v>
      </c>
      <c r="F108" s="14"/>
      <c r="G108" s="6">
        <f>+SUM(E$9:$E108)-SUM(F$9:$F108)</f>
        <v>3245500</v>
      </c>
    </row>
    <row r="109" spans="1:7" ht="28.8" x14ac:dyDescent="0.55000000000000004">
      <c r="A109" s="12"/>
      <c r="B109" s="13"/>
      <c r="C109" s="10"/>
      <c r="D109" s="10"/>
      <c r="E109" s="7">
        <f>+$I$2+(MAHMOUD[[#This Row],[QUANTITE]]*MAHMOUD[[#This Row],[PRIX UNITAIRE]])</f>
        <v>0</v>
      </c>
      <c r="F109" s="14"/>
      <c r="G109" s="6">
        <f>+SUM(E$9:$E109)-SUM(F$9:$F109)</f>
        <v>3245500</v>
      </c>
    </row>
    <row r="110" spans="1:7" ht="28.8" x14ac:dyDescent="0.55000000000000004">
      <c r="A110" s="12"/>
      <c r="B110" s="13"/>
      <c r="C110" s="10"/>
      <c r="D110" s="10"/>
      <c r="E110" s="7">
        <f>+$I$2+(MAHMOUD[[#This Row],[QUANTITE]]*MAHMOUD[[#This Row],[PRIX UNITAIRE]])</f>
        <v>0</v>
      </c>
      <c r="F110" s="14"/>
      <c r="G110" s="6">
        <f>+SUM(E$9:$E110)-SUM(F$9:$F110)</f>
        <v>3245500</v>
      </c>
    </row>
    <row r="111" spans="1:7" ht="28.8" x14ac:dyDescent="0.55000000000000004">
      <c r="A111" s="12"/>
      <c r="B111" s="13"/>
      <c r="C111" s="10"/>
      <c r="D111" s="10"/>
      <c r="E111" s="7">
        <f>+$I$2+(MAHMOUD[[#This Row],[QUANTITE]]*MAHMOUD[[#This Row],[PRIX UNITAIRE]])</f>
        <v>0</v>
      </c>
      <c r="F111" s="14"/>
      <c r="G111" s="6">
        <f>+SUM(E$9:$E111)-SUM(F$9:$F111)</f>
        <v>3245500</v>
      </c>
    </row>
    <row r="112" spans="1:7" ht="28.8" x14ac:dyDescent="0.55000000000000004">
      <c r="A112" s="12"/>
      <c r="B112" s="13"/>
      <c r="C112" s="10"/>
      <c r="D112" s="10"/>
      <c r="E112" s="7">
        <f>+$I$2+(MAHMOUD[[#This Row],[QUANTITE]]*MAHMOUD[[#This Row],[PRIX UNITAIRE]])</f>
        <v>0</v>
      </c>
      <c r="F112" s="14"/>
      <c r="G112" s="6">
        <f>+SUM(E$9:$E112)-SUM(F$9:$F112)</f>
        <v>3245500</v>
      </c>
    </row>
    <row r="113" spans="1:7" ht="28.8" x14ac:dyDescent="0.55000000000000004">
      <c r="A113" s="12"/>
      <c r="B113" s="13"/>
      <c r="C113" s="10"/>
      <c r="D113" s="10"/>
      <c r="E113" s="7">
        <f>+$I$2+(MAHMOUD[[#This Row],[QUANTITE]]*MAHMOUD[[#This Row],[PRIX UNITAIRE]])</f>
        <v>0</v>
      </c>
      <c r="F113" s="14"/>
      <c r="G113" s="6">
        <f>+SUM(E$9:$E113)-SUM(F$9:$F113)</f>
        <v>3245500</v>
      </c>
    </row>
    <row r="114" spans="1:7" ht="28.8" x14ac:dyDescent="0.55000000000000004">
      <c r="A114" s="12"/>
      <c r="B114" s="13"/>
      <c r="C114" s="10"/>
      <c r="D114" s="10"/>
      <c r="E114" s="7">
        <f>+$I$2+(MAHMOUD[[#This Row],[QUANTITE]]*MAHMOUD[[#This Row],[PRIX UNITAIRE]])</f>
        <v>0</v>
      </c>
      <c r="F114" s="14"/>
      <c r="G114" s="6">
        <f>+SUM(E$9:$E114)-SUM(F$9:$F114)</f>
        <v>3245500</v>
      </c>
    </row>
    <row r="115" spans="1:7" ht="28.8" x14ac:dyDescent="0.55000000000000004">
      <c r="A115" s="12"/>
      <c r="B115" s="13"/>
      <c r="C115" s="10"/>
      <c r="D115" s="10"/>
      <c r="E115" s="7">
        <f>+$I$2+(MAHMOUD[[#This Row],[QUANTITE]]*MAHMOUD[[#This Row],[PRIX UNITAIRE]])</f>
        <v>0</v>
      </c>
      <c r="F115" s="14"/>
      <c r="G115" s="6">
        <f>+SUM(E$9:$E115)-SUM(F$9:$F115)</f>
        <v>3245500</v>
      </c>
    </row>
    <row r="116" spans="1:7" ht="28.8" x14ac:dyDescent="0.55000000000000004">
      <c r="A116" s="12"/>
      <c r="B116" s="13"/>
      <c r="C116" s="10"/>
      <c r="D116" s="10"/>
      <c r="E116" s="7">
        <f>+$I$2+(MAHMOUD[[#This Row],[QUANTITE]]*MAHMOUD[[#This Row],[PRIX UNITAIRE]])</f>
        <v>0</v>
      </c>
      <c r="F116" s="14"/>
      <c r="G116" s="6">
        <f>+SUM(E$9:$E116)-SUM(F$9:$F116)</f>
        <v>3245500</v>
      </c>
    </row>
    <row r="117" spans="1:7" ht="28.8" x14ac:dyDescent="0.55000000000000004">
      <c r="A117" s="12"/>
      <c r="B117" s="13"/>
      <c r="C117" s="10"/>
      <c r="D117" s="10"/>
      <c r="E117" s="7">
        <f>+$I$2+(MAHMOUD[[#This Row],[QUANTITE]]*MAHMOUD[[#This Row],[PRIX UNITAIRE]])</f>
        <v>0</v>
      </c>
      <c r="F117" s="14"/>
      <c r="G117" s="6">
        <f>+SUM(E$9:$E117)-SUM(F$9:$F117)</f>
        <v>3245500</v>
      </c>
    </row>
    <row r="118" spans="1:7" ht="28.8" x14ac:dyDescent="0.55000000000000004">
      <c r="A118" s="12"/>
      <c r="B118" s="13"/>
      <c r="C118" s="10"/>
      <c r="D118" s="10"/>
      <c r="E118" s="7">
        <f>+$I$2+(MAHMOUD[[#This Row],[QUANTITE]]*MAHMOUD[[#This Row],[PRIX UNITAIRE]])</f>
        <v>0</v>
      </c>
      <c r="F118" s="14"/>
      <c r="G118" s="6">
        <f>+SUM(E$9:$E118)-SUM(F$9:$F118)</f>
        <v>3245500</v>
      </c>
    </row>
    <row r="119" spans="1:7" ht="28.8" x14ac:dyDescent="0.55000000000000004">
      <c r="A119" s="12"/>
      <c r="B119" s="13"/>
      <c r="C119" s="10"/>
      <c r="D119" s="10"/>
      <c r="E119" s="7">
        <f>+$I$2+(MAHMOUD[[#This Row],[QUANTITE]]*MAHMOUD[[#This Row],[PRIX UNITAIRE]])</f>
        <v>0</v>
      </c>
      <c r="F119" s="14"/>
      <c r="G119" s="6">
        <f>+SUM(E$9:$E119)-SUM(F$9:$F119)</f>
        <v>3245500</v>
      </c>
    </row>
    <row r="120" spans="1:7" ht="28.8" x14ac:dyDescent="0.55000000000000004">
      <c r="A120" s="12"/>
      <c r="B120" s="13"/>
      <c r="C120" s="10"/>
      <c r="D120" s="10"/>
      <c r="E120" s="7">
        <f>+$I$2+(MAHMOUD[[#This Row],[QUANTITE]]*MAHMOUD[[#This Row],[PRIX UNITAIRE]])</f>
        <v>0</v>
      </c>
      <c r="F120" s="14"/>
      <c r="G120" s="6">
        <f>+SUM(E$9:$E120)-SUM(F$9:$F120)</f>
        <v>3245500</v>
      </c>
    </row>
    <row r="121" spans="1:7" ht="28.8" x14ac:dyDescent="0.55000000000000004">
      <c r="A121" s="12"/>
      <c r="B121" s="13"/>
      <c r="C121" s="10"/>
      <c r="D121" s="10"/>
      <c r="E121" s="7">
        <f>+$I$2+(MAHMOUD[[#This Row],[QUANTITE]]*MAHMOUD[[#This Row],[PRIX UNITAIRE]])</f>
        <v>0</v>
      </c>
      <c r="F121" s="14"/>
      <c r="G121" s="6">
        <f>+SUM(E$9:$E121)-SUM(F$9:$F121)</f>
        <v>3245500</v>
      </c>
    </row>
    <row r="122" spans="1:7" ht="28.8" x14ac:dyDescent="0.55000000000000004">
      <c r="A122" s="12"/>
      <c r="B122" s="13"/>
      <c r="C122" s="10"/>
      <c r="D122" s="10"/>
      <c r="E122" s="7">
        <f>+$I$2+(MAHMOUD[[#This Row],[QUANTITE]]*MAHMOUD[[#This Row],[PRIX UNITAIRE]])</f>
        <v>0</v>
      </c>
      <c r="F122" s="14"/>
      <c r="G122" s="6">
        <f>+SUM(E$9:$E122)-SUM(F$9:$F122)</f>
        <v>3245500</v>
      </c>
    </row>
    <row r="123" spans="1:7" ht="28.8" x14ac:dyDescent="0.55000000000000004">
      <c r="A123" s="12"/>
      <c r="B123" s="13"/>
      <c r="C123" s="10"/>
      <c r="D123" s="10"/>
      <c r="E123" s="7">
        <f>+$I$2+(MAHMOUD[[#This Row],[QUANTITE]]*MAHMOUD[[#This Row],[PRIX UNITAIRE]])</f>
        <v>0</v>
      </c>
      <c r="F123" s="14"/>
      <c r="G123" s="6">
        <f>+SUM(E$9:$E123)-SUM(F$9:$F123)</f>
        <v>3245500</v>
      </c>
    </row>
    <row r="124" spans="1:7" ht="28.8" x14ac:dyDescent="0.55000000000000004">
      <c r="A124" s="12"/>
      <c r="B124" s="13"/>
      <c r="C124" s="10"/>
      <c r="D124" s="10"/>
      <c r="E124" s="7">
        <f>+$I$2+(MAHMOUD[[#This Row],[QUANTITE]]*MAHMOUD[[#This Row],[PRIX UNITAIRE]])</f>
        <v>0</v>
      </c>
      <c r="F124" s="14"/>
      <c r="G124" s="6">
        <f>+SUM(E$9:$E124)-SUM(F$9:$F124)</f>
        <v>3245500</v>
      </c>
    </row>
    <row r="125" spans="1:7" ht="28.8" x14ac:dyDescent="0.55000000000000004">
      <c r="A125" s="12"/>
      <c r="B125" s="13"/>
      <c r="C125" s="10"/>
      <c r="D125" s="10"/>
      <c r="E125" s="7">
        <f>+$I$2+(MAHMOUD[[#This Row],[QUANTITE]]*MAHMOUD[[#This Row],[PRIX UNITAIRE]])</f>
        <v>0</v>
      </c>
      <c r="F125" s="14"/>
      <c r="G125" s="6">
        <f>+SUM(E$9:$E125)-SUM(F$9:$F125)</f>
        <v>3245500</v>
      </c>
    </row>
    <row r="126" spans="1:7" ht="28.8" x14ac:dyDescent="0.55000000000000004">
      <c r="A126" s="12"/>
      <c r="B126" s="13"/>
      <c r="C126" s="10"/>
      <c r="D126" s="10"/>
      <c r="E126" s="7">
        <f>+$I$2+(MAHMOUD[[#This Row],[QUANTITE]]*MAHMOUD[[#This Row],[PRIX UNITAIRE]])</f>
        <v>0</v>
      </c>
      <c r="F126" s="14"/>
      <c r="G126" s="6">
        <f>+SUM(E$9:$E126)-SUM(F$9:$F126)</f>
        <v>3245500</v>
      </c>
    </row>
    <row r="127" spans="1:7" ht="28.8" x14ac:dyDescent="0.55000000000000004">
      <c r="A127" s="12"/>
      <c r="B127" s="13"/>
      <c r="C127" s="10"/>
      <c r="D127" s="10"/>
      <c r="E127" s="7">
        <f>+$I$2+(MAHMOUD[[#This Row],[QUANTITE]]*MAHMOUD[[#This Row],[PRIX UNITAIRE]])</f>
        <v>0</v>
      </c>
      <c r="F127" s="14"/>
      <c r="G127" s="6">
        <f>+SUM(E$9:$E127)-SUM(F$9:$F127)</f>
        <v>3245500</v>
      </c>
    </row>
    <row r="128" spans="1:7" ht="28.8" x14ac:dyDescent="0.55000000000000004">
      <c r="A128" s="12"/>
      <c r="B128" s="13"/>
      <c r="C128" s="10"/>
      <c r="D128" s="10"/>
      <c r="E128" s="7">
        <f>+$I$2+(MAHMOUD[[#This Row],[QUANTITE]]*MAHMOUD[[#This Row],[PRIX UNITAIRE]])</f>
        <v>0</v>
      </c>
      <c r="F128" s="14"/>
      <c r="G128" s="6">
        <f>+SUM(E$9:$E128)-SUM(F$9:$F128)</f>
        <v>3245500</v>
      </c>
    </row>
    <row r="129" spans="1:7" ht="28.8" x14ac:dyDescent="0.55000000000000004">
      <c r="A129" s="12"/>
      <c r="B129" s="13"/>
      <c r="C129" s="10"/>
      <c r="D129" s="10"/>
      <c r="E129" s="7">
        <f>+$I$2+(MAHMOUD[[#This Row],[QUANTITE]]*MAHMOUD[[#This Row],[PRIX UNITAIRE]])</f>
        <v>0</v>
      </c>
      <c r="F129" s="14"/>
      <c r="G129" s="6">
        <f>+SUM(E$9:$E129)-SUM(F$9:$F129)</f>
        <v>3245500</v>
      </c>
    </row>
    <row r="130" spans="1:7" ht="28.8" x14ac:dyDescent="0.55000000000000004">
      <c r="A130" s="12"/>
      <c r="B130" s="13"/>
      <c r="C130" s="10"/>
      <c r="D130" s="10"/>
      <c r="E130" s="7">
        <f>+$I$2+(MAHMOUD[[#This Row],[QUANTITE]]*MAHMOUD[[#This Row],[PRIX UNITAIRE]])</f>
        <v>0</v>
      </c>
      <c r="F130" s="14"/>
      <c r="G130" s="6">
        <f>+SUM(E$9:$E130)-SUM(F$9:$F130)</f>
        <v>3245500</v>
      </c>
    </row>
    <row r="131" spans="1:7" ht="28.8" x14ac:dyDescent="0.55000000000000004">
      <c r="A131" s="12"/>
      <c r="B131" s="13"/>
      <c r="C131" s="10"/>
      <c r="D131" s="10"/>
      <c r="E131" s="7">
        <f>+$I$2+(MAHMOUD[[#This Row],[QUANTITE]]*MAHMOUD[[#This Row],[PRIX UNITAIRE]])</f>
        <v>0</v>
      </c>
      <c r="F131" s="14"/>
      <c r="G131" s="6">
        <f>+SUM(E$9:$E131)-SUM(F$9:$F131)</f>
        <v>3245500</v>
      </c>
    </row>
    <row r="132" spans="1:7" ht="28.8" x14ac:dyDescent="0.55000000000000004">
      <c r="A132" s="12"/>
      <c r="B132" s="13"/>
      <c r="C132" s="10"/>
      <c r="D132" s="10"/>
      <c r="E132" s="7">
        <f>+$I$2+(MAHMOUD[[#This Row],[QUANTITE]]*MAHMOUD[[#This Row],[PRIX UNITAIRE]])</f>
        <v>0</v>
      </c>
      <c r="F132" s="14"/>
      <c r="G132" s="6">
        <f>+SUM(E$9:$E132)-SUM(F$9:$F132)</f>
        <v>3245500</v>
      </c>
    </row>
    <row r="133" spans="1:7" ht="28.8" x14ac:dyDescent="0.55000000000000004">
      <c r="A133" s="12"/>
      <c r="B133" s="13"/>
      <c r="C133" s="10"/>
      <c r="D133" s="10"/>
      <c r="E133" s="7">
        <f>+$I$2+(MAHMOUD[[#This Row],[QUANTITE]]*MAHMOUD[[#This Row],[PRIX UNITAIRE]])</f>
        <v>0</v>
      </c>
      <c r="F133" s="14"/>
      <c r="G133" s="6">
        <f>+SUM(E$9:$E133)-SUM(F$9:$F133)</f>
        <v>3245500</v>
      </c>
    </row>
    <row r="134" spans="1:7" ht="28.8" x14ac:dyDescent="0.55000000000000004">
      <c r="A134" s="12"/>
      <c r="B134" s="13"/>
      <c r="C134" s="10"/>
      <c r="D134" s="10"/>
      <c r="E134" s="7">
        <f>+$I$2+(MAHMOUD[[#This Row],[QUANTITE]]*MAHMOUD[[#This Row],[PRIX UNITAIRE]])</f>
        <v>0</v>
      </c>
      <c r="F134" s="14"/>
      <c r="G134" s="6">
        <f>+SUM(E$9:$E134)-SUM(F$9:$F134)</f>
        <v>3245500</v>
      </c>
    </row>
    <row r="135" spans="1:7" ht="28.8" x14ac:dyDescent="0.55000000000000004">
      <c r="A135" s="12"/>
      <c r="B135" s="13"/>
      <c r="C135" s="10"/>
      <c r="D135" s="10"/>
      <c r="E135" s="7">
        <f>+$I$2+(MAHMOUD[[#This Row],[QUANTITE]]*MAHMOUD[[#This Row],[PRIX UNITAIRE]])</f>
        <v>0</v>
      </c>
      <c r="F135" s="14"/>
      <c r="G135" s="6">
        <f>+SUM(E$9:$E135)-SUM(F$9:$F135)</f>
        <v>3245500</v>
      </c>
    </row>
    <row r="136" spans="1:7" ht="28.8" x14ac:dyDescent="0.55000000000000004">
      <c r="A136" s="12"/>
      <c r="B136" s="13"/>
      <c r="C136" s="10"/>
      <c r="D136" s="10"/>
      <c r="E136" s="7">
        <f>+$I$2+(MAHMOUD[[#This Row],[QUANTITE]]*MAHMOUD[[#This Row],[PRIX UNITAIRE]])</f>
        <v>0</v>
      </c>
      <c r="F136" s="14"/>
      <c r="G136" s="6">
        <f>+SUM(E$9:$E136)-SUM(F$9:$F136)</f>
        <v>3245500</v>
      </c>
    </row>
    <row r="137" spans="1:7" ht="28.8" x14ac:dyDescent="0.55000000000000004">
      <c r="A137" s="12"/>
      <c r="B137" s="13"/>
      <c r="C137" s="10"/>
      <c r="D137" s="10"/>
      <c r="E137" s="7">
        <f>+$I$2+(MAHMOUD[[#This Row],[QUANTITE]]*MAHMOUD[[#This Row],[PRIX UNITAIRE]])</f>
        <v>0</v>
      </c>
      <c r="F137" s="14"/>
      <c r="G137" s="6">
        <f>+SUM(E$9:$E137)-SUM(F$9:$F137)</f>
        <v>3245500</v>
      </c>
    </row>
    <row r="138" spans="1:7" ht="28.8" x14ac:dyDescent="0.55000000000000004">
      <c r="A138" s="12"/>
      <c r="B138" s="13"/>
      <c r="C138" s="10"/>
      <c r="D138" s="10"/>
      <c r="E138" s="7">
        <f>+$I$2+(MAHMOUD[[#This Row],[QUANTITE]]*MAHMOUD[[#This Row],[PRIX UNITAIRE]])</f>
        <v>0</v>
      </c>
      <c r="F138" s="14"/>
      <c r="G138" s="6">
        <f>+SUM(E$9:$E138)-SUM(F$9:$F138)</f>
        <v>3245500</v>
      </c>
    </row>
    <row r="139" spans="1:7" ht="28.8" x14ac:dyDescent="0.55000000000000004">
      <c r="A139" s="12"/>
      <c r="B139" s="13"/>
      <c r="C139" s="10"/>
      <c r="D139" s="10"/>
      <c r="E139" s="7">
        <f>+$I$2+(MAHMOUD[[#This Row],[QUANTITE]]*MAHMOUD[[#This Row],[PRIX UNITAIRE]])</f>
        <v>0</v>
      </c>
      <c r="F139" s="14"/>
      <c r="G139" s="6">
        <f>+SUM(E$9:$E139)-SUM(F$9:$F139)</f>
        <v>3245500</v>
      </c>
    </row>
    <row r="140" spans="1:7" ht="28.8" x14ac:dyDescent="0.55000000000000004">
      <c r="A140" s="12"/>
      <c r="B140" s="13"/>
      <c r="C140" s="10"/>
      <c r="D140" s="10"/>
      <c r="E140" s="7">
        <f>+$I$2+(MAHMOUD[[#This Row],[QUANTITE]]*MAHMOUD[[#This Row],[PRIX UNITAIRE]])</f>
        <v>0</v>
      </c>
      <c r="F140" s="14"/>
      <c r="G140" s="6">
        <f>+SUM(E$9:$E140)-SUM(F$9:$F140)</f>
        <v>3245500</v>
      </c>
    </row>
    <row r="141" spans="1:7" ht="28.8" x14ac:dyDescent="0.55000000000000004">
      <c r="A141" s="12"/>
      <c r="B141" s="13"/>
      <c r="C141" s="10"/>
      <c r="D141" s="10"/>
      <c r="E141" s="7">
        <f>+$I$2+(MAHMOUD[[#This Row],[QUANTITE]]*MAHMOUD[[#This Row],[PRIX UNITAIRE]])</f>
        <v>0</v>
      </c>
      <c r="F141" s="14"/>
      <c r="G141" s="6">
        <f>+SUM(E$9:$E141)-SUM(F$9:$F141)</f>
        <v>3245500</v>
      </c>
    </row>
    <row r="142" spans="1:7" ht="28.8" x14ac:dyDescent="0.55000000000000004">
      <c r="A142" s="12"/>
      <c r="B142" s="13"/>
      <c r="C142" s="10"/>
      <c r="D142" s="10"/>
      <c r="E142" s="7">
        <f>+$I$2+(MAHMOUD[[#This Row],[QUANTITE]]*MAHMOUD[[#This Row],[PRIX UNITAIRE]])</f>
        <v>0</v>
      </c>
      <c r="F142" s="14"/>
      <c r="G142" s="6">
        <f>+SUM(E$9:$E142)-SUM(F$9:$F142)</f>
        <v>3245500</v>
      </c>
    </row>
    <row r="143" spans="1:7" ht="28.8" x14ac:dyDescent="0.55000000000000004">
      <c r="A143" s="12"/>
      <c r="B143" s="13"/>
      <c r="C143" s="10"/>
      <c r="D143" s="10"/>
      <c r="E143" s="7">
        <f>+$I$2+(MAHMOUD[[#This Row],[QUANTITE]]*MAHMOUD[[#This Row],[PRIX UNITAIRE]])</f>
        <v>0</v>
      </c>
      <c r="F143" s="14"/>
      <c r="G143" s="6">
        <f>+SUM(E$9:$E143)-SUM(F$9:$F143)</f>
        <v>3245500</v>
      </c>
    </row>
    <row r="144" spans="1:7" ht="28.8" x14ac:dyDescent="0.55000000000000004">
      <c r="A144" s="12"/>
      <c r="B144" s="13"/>
      <c r="C144" s="10"/>
      <c r="D144" s="10"/>
      <c r="E144" s="7">
        <f>+$I$2+(MAHMOUD[[#This Row],[QUANTITE]]*MAHMOUD[[#This Row],[PRIX UNITAIRE]])</f>
        <v>0</v>
      </c>
      <c r="F144" s="14"/>
      <c r="G144" s="6">
        <f>+SUM(E$9:$E144)-SUM(F$9:$F144)</f>
        <v>3245500</v>
      </c>
    </row>
    <row r="145" spans="1:7" ht="28.8" x14ac:dyDescent="0.55000000000000004">
      <c r="A145" s="12"/>
      <c r="B145" s="13"/>
      <c r="C145" s="10"/>
      <c r="D145" s="10"/>
      <c r="E145" s="7">
        <f>+$I$2+(MAHMOUD[[#This Row],[QUANTITE]]*MAHMOUD[[#This Row],[PRIX UNITAIRE]])</f>
        <v>0</v>
      </c>
      <c r="F145" s="14"/>
      <c r="G145" s="6">
        <f>+SUM(E$9:$E145)-SUM(F$9:$F145)</f>
        <v>3245500</v>
      </c>
    </row>
    <row r="146" spans="1:7" ht="28.8" x14ac:dyDescent="0.55000000000000004">
      <c r="A146" s="12"/>
      <c r="B146" s="13"/>
      <c r="C146" s="10"/>
      <c r="D146" s="10"/>
      <c r="E146" s="7">
        <f>+$I$2+(MAHMOUD[[#This Row],[QUANTITE]]*MAHMOUD[[#This Row],[PRIX UNITAIRE]])</f>
        <v>0</v>
      </c>
      <c r="F146" s="14"/>
      <c r="G146" s="6">
        <f>+SUM(E$9:$E146)-SUM(F$9:$F146)</f>
        <v>3245500</v>
      </c>
    </row>
    <row r="147" spans="1:7" ht="28.8" x14ac:dyDescent="0.55000000000000004">
      <c r="A147" s="12"/>
      <c r="B147" s="13"/>
      <c r="C147" s="10"/>
      <c r="D147" s="10"/>
      <c r="E147" s="7">
        <f>+$I$2+(MAHMOUD[[#This Row],[QUANTITE]]*MAHMOUD[[#This Row],[PRIX UNITAIRE]])</f>
        <v>0</v>
      </c>
      <c r="F147" s="14"/>
      <c r="G147" s="6">
        <f>+SUM(E$9:$E147)-SUM(F$9:$F147)</f>
        <v>3245500</v>
      </c>
    </row>
    <row r="148" spans="1:7" ht="28.8" x14ac:dyDescent="0.55000000000000004">
      <c r="A148" s="12"/>
      <c r="B148" s="13"/>
      <c r="C148" s="10"/>
      <c r="D148" s="10"/>
      <c r="E148" s="7">
        <f>+$I$2+(MAHMOUD[[#This Row],[QUANTITE]]*MAHMOUD[[#This Row],[PRIX UNITAIRE]])</f>
        <v>0</v>
      </c>
      <c r="F148" s="14"/>
      <c r="G148" s="6">
        <f>+SUM(E$9:$E148)-SUM(F$9:$F148)</f>
        <v>3245500</v>
      </c>
    </row>
    <row r="149" spans="1:7" ht="28.8" x14ac:dyDescent="0.55000000000000004">
      <c r="A149" s="12"/>
      <c r="B149" s="13"/>
      <c r="C149" s="10"/>
      <c r="D149" s="10"/>
      <c r="E149" s="7">
        <f>+$I$2+(MAHMOUD[[#This Row],[QUANTITE]]*MAHMOUD[[#This Row],[PRIX UNITAIRE]])</f>
        <v>0</v>
      </c>
      <c r="F149" s="46"/>
      <c r="G149" s="6">
        <f>+SUM(E$9:$E149)-SUM(F$9:$F149)</f>
        <v>3245500</v>
      </c>
    </row>
    <row r="150" spans="1:7" ht="28.8" x14ac:dyDescent="0.55000000000000004">
      <c r="A150" s="12"/>
      <c r="B150" s="13"/>
      <c r="C150" s="10"/>
      <c r="D150" s="10"/>
      <c r="E150" s="7">
        <f>+$I$2+(MAHMOUD[[#This Row],[QUANTITE]]*MAHMOUD[[#This Row],[PRIX UNITAIRE]])</f>
        <v>0</v>
      </c>
      <c r="F150" s="46"/>
      <c r="G150" s="6">
        <f>+SUM(E$9:$E150)-SUM(F$9:$F150)</f>
        <v>3245500</v>
      </c>
    </row>
    <row r="151" spans="1:7" ht="28.8" x14ac:dyDescent="0.55000000000000004">
      <c r="A151" s="12"/>
      <c r="B151" s="13"/>
      <c r="C151" s="10"/>
      <c r="D151" s="10"/>
      <c r="E151" s="7">
        <f>+$I$2+(MAHMOUD[[#This Row],[QUANTITE]]*MAHMOUD[[#This Row],[PRIX UNITAIRE]])</f>
        <v>0</v>
      </c>
      <c r="F151" s="14"/>
      <c r="G151" s="6">
        <f>+SUM(E$9:$E151)-SUM(F$9:$F151)</f>
        <v>3245500</v>
      </c>
    </row>
    <row r="152" spans="1:7" ht="28.8" x14ac:dyDescent="0.55000000000000004">
      <c r="A152" s="12"/>
      <c r="B152" s="13"/>
      <c r="C152" s="10"/>
      <c r="D152" s="10"/>
      <c r="E152" s="7">
        <f>+$I$2+(MAHMOUD[[#This Row],[QUANTITE]]*MAHMOUD[[#This Row],[PRIX UNITAIRE]])</f>
        <v>0</v>
      </c>
      <c r="F152" s="14"/>
      <c r="G152" s="6">
        <f>+SUM(E$9:$E152)-SUM(F$9:$F152)</f>
        <v>3245500</v>
      </c>
    </row>
    <row r="153" spans="1:7" ht="28.8" x14ac:dyDescent="0.55000000000000004">
      <c r="A153" s="12"/>
      <c r="B153" s="13"/>
      <c r="C153" s="10"/>
      <c r="D153" s="10"/>
      <c r="E153" s="7">
        <f>+$I$2+(MAHMOUD[[#This Row],[QUANTITE]]*MAHMOUD[[#This Row],[PRIX UNITAIRE]])</f>
        <v>0</v>
      </c>
      <c r="F153" s="14"/>
      <c r="G153" s="6">
        <f>+SUM(E$9:$E153)-SUM(F$9:$F153)</f>
        <v>3245500</v>
      </c>
    </row>
    <row r="154" spans="1:7" ht="28.8" x14ac:dyDescent="0.55000000000000004">
      <c r="A154" s="12"/>
      <c r="B154" s="13"/>
      <c r="C154" s="10"/>
      <c r="D154" s="10"/>
      <c r="E154" s="7">
        <f>+$I$2+(MAHMOUD[[#This Row],[QUANTITE]]*MAHMOUD[[#This Row],[PRIX UNITAIRE]])</f>
        <v>0</v>
      </c>
      <c r="F154" s="14"/>
      <c r="G154" s="6">
        <f>+SUM(E$9:$E154)-SUM(F$9:$F154)</f>
        <v>3245500</v>
      </c>
    </row>
    <row r="155" spans="1:7" ht="28.8" x14ac:dyDescent="0.55000000000000004">
      <c r="A155" s="12"/>
      <c r="B155" s="13"/>
      <c r="C155" s="10"/>
      <c r="D155" s="10"/>
      <c r="E155" s="7">
        <f>+$I$2+(MAHMOUD[[#This Row],[QUANTITE]]*MAHMOUD[[#This Row],[PRIX UNITAIRE]])</f>
        <v>0</v>
      </c>
      <c r="F155" s="14"/>
      <c r="G155" s="6">
        <f>+SUM(E$9:$E155)-SUM(F$9:$F155)</f>
        <v>3245500</v>
      </c>
    </row>
    <row r="156" spans="1:7" ht="28.8" x14ac:dyDescent="0.55000000000000004">
      <c r="A156" s="12"/>
      <c r="B156" s="13"/>
      <c r="C156" s="10"/>
      <c r="D156" s="10"/>
      <c r="E156" s="7">
        <f>+$I$2+(MAHMOUD[[#This Row],[QUANTITE]]*MAHMOUD[[#This Row],[PRIX UNITAIRE]])</f>
        <v>0</v>
      </c>
      <c r="F156" s="14"/>
      <c r="G156" s="6">
        <f>+SUM(E$9:$E156)-SUM(F$9:$F156)</f>
        <v>3245500</v>
      </c>
    </row>
    <row r="157" spans="1:7" ht="28.8" x14ac:dyDescent="0.55000000000000004">
      <c r="A157" s="12"/>
      <c r="B157" s="13"/>
      <c r="C157" s="10"/>
      <c r="D157" s="10"/>
      <c r="E157" s="7">
        <f>+$I$2+(MAHMOUD[[#This Row],[QUANTITE]]*MAHMOUD[[#This Row],[PRIX UNITAIRE]])</f>
        <v>0</v>
      </c>
      <c r="F157" s="14"/>
      <c r="G157" s="6">
        <f>+SUM(E$9:$E157)-SUM(F$9:$F157)</f>
        <v>3245500</v>
      </c>
    </row>
    <row r="158" spans="1:7" ht="28.8" x14ac:dyDescent="0.55000000000000004">
      <c r="A158" s="12"/>
      <c r="B158" s="13"/>
      <c r="C158" s="10"/>
      <c r="D158" s="10"/>
      <c r="E158" s="7">
        <f>+$I$2+(MAHMOUD[[#This Row],[QUANTITE]]*MAHMOUD[[#This Row],[PRIX UNITAIRE]])</f>
        <v>0</v>
      </c>
      <c r="F158" s="14"/>
      <c r="G158" s="6">
        <f>+SUM(E$9:$E158)-SUM(F$9:$F158)</f>
        <v>3245500</v>
      </c>
    </row>
    <row r="159" spans="1:7" ht="28.8" x14ac:dyDescent="0.55000000000000004">
      <c r="A159" s="12"/>
      <c r="B159" s="13"/>
      <c r="C159" s="10"/>
      <c r="D159" s="10"/>
      <c r="E159" s="7">
        <f>+$I$2+(MAHMOUD[[#This Row],[QUANTITE]]*MAHMOUD[[#This Row],[PRIX UNITAIRE]])</f>
        <v>0</v>
      </c>
      <c r="F159" s="14"/>
      <c r="G159" s="6">
        <f>+SUM(E$9:$E159)-SUM(F$9:$F159)</f>
        <v>3245500</v>
      </c>
    </row>
    <row r="160" spans="1:7" ht="28.8" x14ac:dyDescent="0.55000000000000004">
      <c r="A160" s="12"/>
      <c r="B160" s="13"/>
      <c r="C160" s="10"/>
      <c r="D160" s="10"/>
      <c r="E160" s="7">
        <f>+$I$2+(MAHMOUD[[#This Row],[QUANTITE]]*MAHMOUD[[#This Row],[PRIX UNITAIRE]])</f>
        <v>0</v>
      </c>
      <c r="F160" s="14"/>
      <c r="G160" s="6">
        <f>+SUM(E$9:$E160)-SUM(F$9:$F160)</f>
        <v>3245500</v>
      </c>
    </row>
    <row r="161" spans="1:7" ht="28.8" x14ac:dyDescent="0.55000000000000004">
      <c r="A161" s="12"/>
      <c r="B161" s="13"/>
      <c r="C161" s="10"/>
      <c r="D161" s="10"/>
      <c r="E161" s="7">
        <f>+$I$2+(MAHMOUD[[#This Row],[QUANTITE]]*MAHMOUD[[#This Row],[PRIX UNITAIRE]])</f>
        <v>0</v>
      </c>
      <c r="F161" s="14"/>
      <c r="G161" s="6">
        <f>+SUM(E$9:$E161)-SUM(F$9:$F161)</f>
        <v>3245500</v>
      </c>
    </row>
    <row r="162" spans="1:7" ht="28.8" x14ac:dyDescent="0.55000000000000004">
      <c r="A162" s="12"/>
      <c r="B162" s="13"/>
      <c r="C162" s="10"/>
      <c r="D162" s="10"/>
      <c r="E162" s="7">
        <f>+$I$2+(MAHMOUD[[#This Row],[QUANTITE]]*MAHMOUD[[#This Row],[PRIX UNITAIRE]])</f>
        <v>0</v>
      </c>
      <c r="F162" s="14"/>
      <c r="G162" s="6">
        <f>+SUM(E$9:$E162)-SUM(F$9:$F162)</f>
        <v>3245500</v>
      </c>
    </row>
    <row r="163" spans="1:7" ht="28.8" x14ac:dyDescent="0.55000000000000004">
      <c r="A163" s="12"/>
      <c r="B163" s="13"/>
      <c r="C163" s="10"/>
      <c r="D163" s="10"/>
      <c r="E163" s="7">
        <f>+$I$2+(MAHMOUD[[#This Row],[QUANTITE]]*MAHMOUD[[#This Row],[PRIX UNITAIRE]])</f>
        <v>0</v>
      </c>
      <c r="F163" s="14"/>
      <c r="G163" s="6">
        <f>+SUM(E$9:$E163)-SUM(F$9:$F163)</f>
        <v>3245500</v>
      </c>
    </row>
    <row r="164" spans="1:7" ht="28.8" x14ac:dyDescent="0.55000000000000004">
      <c r="A164" s="12"/>
      <c r="B164" s="13"/>
      <c r="C164" s="10"/>
      <c r="D164" s="10"/>
      <c r="E164" s="7">
        <f>+$I$2+(MAHMOUD[[#This Row],[QUANTITE]]*MAHMOUD[[#This Row],[PRIX UNITAIRE]])</f>
        <v>0</v>
      </c>
      <c r="F164" s="14"/>
      <c r="G164" s="6">
        <f>+SUM(E$9:$E164)-SUM(F$9:$F164)</f>
        <v>3245500</v>
      </c>
    </row>
    <row r="165" spans="1:7" ht="28.8" x14ac:dyDescent="0.55000000000000004">
      <c r="A165" s="12"/>
      <c r="B165" s="13"/>
      <c r="C165" s="10"/>
      <c r="D165" s="10"/>
      <c r="E165" s="7">
        <f>+$I$2+(MAHMOUD[[#This Row],[QUANTITE]]*MAHMOUD[[#This Row],[PRIX UNITAIRE]])</f>
        <v>0</v>
      </c>
      <c r="F165" s="14"/>
      <c r="G165" s="6">
        <f>+SUM(E$9:$E165)-SUM(F$9:$F165)</f>
        <v>3245500</v>
      </c>
    </row>
    <row r="166" spans="1:7" ht="28.8" x14ac:dyDescent="0.55000000000000004">
      <c r="A166" s="12"/>
      <c r="B166" s="13"/>
      <c r="C166" s="10"/>
      <c r="D166" s="10"/>
      <c r="E166" s="7">
        <f>+$I$2+(MAHMOUD[[#This Row],[QUANTITE]]*MAHMOUD[[#This Row],[PRIX UNITAIRE]])</f>
        <v>0</v>
      </c>
      <c r="F166" s="14"/>
      <c r="G166" s="6">
        <f>+SUM(E$9:$E166)-SUM(F$9:$F166)</f>
        <v>3245500</v>
      </c>
    </row>
    <row r="167" spans="1:7" ht="28.8" x14ac:dyDescent="0.55000000000000004">
      <c r="A167" s="12"/>
      <c r="B167" s="13"/>
      <c r="C167" s="10"/>
      <c r="D167" s="10"/>
      <c r="E167" s="7">
        <f>+$I$2+(MAHMOUD[[#This Row],[QUANTITE]]*MAHMOUD[[#This Row],[PRIX UNITAIRE]])</f>
        <v>0</v>
      </c>
      <c r="F167" s="14"/>
      <c r="G167" s="6">
        <f>+SUM(E$9:$E167)-SUM(F$9:$F167)</f>
        <v>3245500</v>
      </c>
    </row>
    <row r="168" spans="1:7" ht="28.8" x14ac:dyDescent="0.55000000000000004">
      <c r="A168" s="12"/>
      <c r="B168" s="13"/>
      <c r="C168" s="10"/>
      <c r="D168" s="10"/>
      <c r="E168" s="7">
        <f>+$I$2+(MAHMOUD[[#This Row],[QUANTITE]]*MAHMOUD[[#This Row],[PRIX UNITAIRE]])</f>
        <v>0</v>
      </c>
      <c r="F168" s="14"/>
      <c r="G168" s="6">
        <f>+SUM(E$9:$E168)-SUM(F$9:$F168)</f>
        <v>3245500</v>
      </c>
    </row>
    <row r="169" spans="1:7" ht="28.8" x14ac:dyDescent="0.55000000000000004">
      <c r="A169" s="12"/>
      <c r="B169" s="13"/>
      <c r="C169" s="10"/>
      <c r="D169" s="10"/>
      <c r="E169" s="7">
        <f>+$I$2+(MAHMOUD[[#This Row],[QUANTITE]]*MAHMOUD[[#This Row],[PRIX UNITAIRE]])</f>
        <v>0</v>
      </c>
      <c r="F169" s="14"/>
      <c r="G169" s="6">
        <f>+SUM(E$9:$E169)-SUM(F$9:$F169)</f>
        <v>3245500</v>
      </c>
    </row>
    <row r="170" spans="1:7" ht="28.8" x14ac:dyDescent="0.55000000000000004">
      <c r="A170" s="12"/>
      <c r="B170" s="13"/>
      <c r="C170" s="10"/>
      <c r="D170" s="10"/>
      <c r="E170" s="7">
        <f>+$I$2+(MAHMOUD[[#This Row],[QUANTITE]]*MAHMOUD[[#This Row],[PRIX UNITAIRE]])</f>
        <v>0</v>
      </c>
      <c r="F170" s="14"/>
      <c r="G170" s="6">
        <f>+SUM(E$9:$E170)-SUM(F$9:$F170)</f>
        <v>3245500</v>
      </c>
    </row>
    <row r="171" spans="1:7" ht="28.8" x14ac:dyDescent="0.55000000000000004">
      <c r="A171" s="12"/>
      <c r="B171" s="13"/>
      <c r="C171" s="10"/>
      <c r="D171" s="10"/>
      <c r="E171" s="7">
        <f>+$I$2+(MAHMOUD[[#This Row],[QUANTITE]]*MAHMOUD[[#This Row],[PRIX UNITAIRE]])</f>
        <v>0</v>
      </c>
      <c r="F171" s="14"/>
      <c r="G171" s="6">
        <f>+SUM(E$9:$E171)-SUM(F$9:$F171)</f>
        <v>3245500</v>
      </c>
    </row>
    <row r="172" spans="1:7" ht="28.8" x14ac:dyDescent="0.55000000000000004">
      <c r="A172" s="12"/>
      <c r="B172" s="13"/>
      <c r="C172" s="10"/>
      <c r="D172" s="10"/>
      <c r="E172" s="7">
        <f>+$I$2+(MAHMOUD[[#This Row],[QUANTITE]]*MAHMOUD[[#This Row],[PRIX UNITAIRE]])</f>
        <v>0</v>
      </c>
      <c r="F172" s="14"/>
      <c r="G172" s="6">
        <f>+SUM(E$9:$E172)-SUM(F$9:$F172)</f>
        <v>3245500</v>
      </c>
    </row>
    <row r="173" spans="1:7" ht="28.8" x14ac:dyDescent="0.55000000000000004">
      <c r="A173" s="12"/>
      <c r="B173" s="13"/>
      <c r="C173" s="10"/>
      <c r="D173" s="10"/>
      <c r="E173" s="7">
        <f>+$I$2+(MAHMOUD[[#This Row],[QUANTITE]]*MAHMOUD[[#This Row],[PRIX UNITAIRE]])</f>
        <v>0</v>
      </c>
      <c r="F173" s="14"/>
      <c r="G173" s="6">
        <f>+SUM(E$9:$E173)-SUM(F$9:$F173)</f>
        <v>3245500</v>
      </c>
    </row>
    <row r="174" spans="1:7" ht="28.8" x14ac:dyDescent="0.55000000000000004">
      <c r="A174" s="12"/>
      <c r="B174" s="13"/>
      <c r="C174" s="10"/>
      <c r="D174" s="10"/>
      <c r="E174" s="7">
        <f>+$I$2+(MAHMOUD[[#This Row],[QUANTITE]]*MAHMOUD[[#This Row],[PRIX UNITAIRE]])</f>
        <v>0</v>
      </c>
      <c r="F174" s="14"/>
      <c r="G174" s="6">
        <f>+SUM(E$9:$E174)-SUM(F$9:$F174)</f>
        <v>3245500</v>
      </c>
    </row>
    <row r="175" spans="1:7" ht="28.8" x14ac:dyDescent="0.55000000000000004">
      <c r="A175" s="12"/>
      <c r="B175" s="13"/>
      <c r="C175" s="10"/>
      <c r="D175" s="10"/>
      <c r="E175" s="7">
        <f>+$I$2+(MAHMOUD[[#This Row],[QUANTITE]]*MAHMOUD[[#This Row],[PRIX UNITAIRE]])</f>
        <v>0</v>
      </c>
      <c r="F175" s="14"/>
      <c r="G175" s="6">
        <f>+SUM(E$9:$E175)-SUM(F$9:$F175)</f>
        <v>3245500</v>
      </c>
    </row>
    <row r="176" spans="1:7" ht="28.8" x14ac:dyDescent="0.55000000000000004">
      <c r="A176" s="12"/>
      <c r="B176" s="13"/>
      <c r="C176" s="10"/>
      <c r="D176" s="10"/>
      <c r="E176" s="7">
        <f>+$I$2+(MAHMOUD[[#This Row],[QUANTITE]]*MAHMOUD[[#This Row],[PRIX UNITAIRE]])</f>
        <v>0</v>
      </c>
      <c r="F176" s="14"/>
      <c r="G176" s="6">
        <f>+SUM(E$9:$E176)-SUM(F$9:$F176)</f>
        <v>3245500</v>
      </c>
    </row>
    <row r="177" spans="1:7" ht="28.8" x14ac:dyDescent="0.55000000000000004">
      <c r="A177" s="12"/>
      <c r="B177" s="13"/>
      <c r="C177" s="10"/>
      <c r="D177" s="10"/>
      <c r="E177" s="7">
        <f>+$I$2+(MAHMOUD[[#This Row],[QUANTITE]]*MAHMOUD[[#This Row],[PRIX UNITAIRE]])</f>
        <v>0</v>
      </c>
      <c r="F177" s="14"/>
      <c r="G177" s="6">
        <f>+SUM(E$9:$E177)-SUM(F$9:$F177)</f>
        <v>3245500</v>
      </c>
    </row>
    <row r="178" spans="1:7" ht="28.8" x14ac:dyDescent="0.55000000000000004">
      <c r="A178" s="12"/>
      <c r="B178" s="13"/>
      <c r="C178" s="10"/>
      <c r="D178" s="10"/>
      <c r="E178" s="7">
        <f>+$I$2+(MAHMOUD[[#This Row],[QUANTITE]]*MAHMOUD[[#This Row],[PRIX UNITAIRE]])</f>
        <v>0</v>
      </c>
      <c r="F178" s="14"/>
      <c r="G178" s="6">
        <f>+SUM(E$9:$E178)-SUM(F$9:$F178)</f>
        <v>3245500</v>
      </c>
    </row>
    <row r="179" spans="1:7" ht="28.8" x14ac:dyDescent="0.55000000000000004">
      <c r="A179" s="12"/>
      <c r="B179" s="13"/>
      <c r="C179" s="10"/>
      <c r="D179" s="10"/>
      <c r="E179" s="7">
        <f>+$I$2+(MAHMOUD[[#This Row],[QUANTITE]]*MAHMOUD[[#This Row],[PRIX UNITAIRE]])</f>
        <v>0</v>
      </c>
      <c r="F179" s="14"/>
      <c r="G179" s="6">
        <f>+SUM(E$9:$E179)-SUM(F$9:$F179)</f>
        <v>3245500</v>
      </c>
    </row>
    <row r="180" spans="1:7" ht="28.8" x14ac:dyDescent="0.55000000000000004">
      <c r="A180" s="12"/>
      <c r="B180" s="13"/>
      <c r="C180" s="10"/>
      <c r="D180" s="10"/>
      <c r="E180" s="7">
        <f>+$I$2+(MAHMOUD[[#This Row],[QUANTITE]]*MAHMOUD[[#This Row],[PRIX UNITAIRE]])</f>
        <v>0</v>
      </c>
      <c r="F180" s="14"/>
      <c r="G180" s="6">
        <f>+SUM(E$9:$E180)-SUM(F$9:$F180)</f>
        <v>3245500</v>
      </c>
    </row>
    <row r="181" spans="1:7" ht="28.8" x14ac:dyDescent="0.55000000000000004">
      <c r="A181" s="12"/>
      <c r="B181" s="13"/>
      <c r="C181" s="10"/>
      <c r="D181" s="10"/>
      <c r="E181" s="7">
        <f>+$I$2+(MAHMOUD[[#This Row],[QUANTITE]]*MAHMOUD[[#This Row],[PRIX UNITAIRE]])</f>
        <v>0</v>
      </c>
      <c r="F181" s="14"/>
      <c r="G181" s="6">
        <f>+SUM(E$9:$E181)-SUM(F$9:$F181)</f>
        <v>3245500</v>
      </c>
    </row>
    <row r="182" spans="1:7" ht="28.8" x14ac:dyDescent="0.55000000000000004">
      <c r="A182" s="12"/>
      <c r="B182" s="13"/>
      <c r="C182" s="10"/>
      <c r="D182" s="10"/>
      <c r="E182" s="7">
        <f>+$I$2+(MAHMOUD[[#This Row],[QUANTITE]]*MAHMOUD[[#This Row],[PRIX UNITAIRE]])</f>
        <v>0</v>
      </c>
      <c r="F182" s="14"/>
      <c r="G182" s="6">
        <f>+SUM(E$9:$E182)-SUM(F$9:$F182)</f>
        <v>3245500</v>
      </c>
    </row>
    <row r="183" spans="1:7" ht="28.8" x14ac:dyDescent="0.55000000000000004">
      <c r="A183" s="12"/>
      <c r="B183" s="13"/>
      <c r="C183" s="10"/>
      <c r="D183" s="10"/>
      <c r="E183" s="7">
        <f>+$I$2+(MAHMOUD[[#This Row],[QUANTITE]]*MAHMOUD[[#This Row],[PRIX UNITAIRE]])</f>
        <v>0</v>
      </c>
      <c r="F183" s="14"/>
      <c r="G183" s="6">
        <f>+SUM(E$9:$E183)-SUM(F$9:$F183)</f>
        <v>3245500</v>
      </c>
    </row>
    <row r="184" spans="1:7" ht="28.8" x14ac:dyDescent="0.55000000000000004">
      <c r="A184" s="12"/>
      <c r="B184" s="13"/>
      <c r="C184" s="10"/>
      <c r="D184" s="10"/>
      <c r="E184" s="7">
        <f>+$I$2+(MAHMOUD[[#This Row],[QUANTITE]]*MAHMOUD[[#This Row],[PRIX UNITAIRE]])</f>
        <v>0</v>
      </c>
      <c r="F184" s="14"/>
      <c r="G184" s="6">
        <f>+SUM(E$9:$E184)-SUM(F$9:$F184)</f>
        <v>3245500</v>
      </c>
    </row>
    <row r="185" spans="1:7" ht="28.8" x14ac:dyDescent="0.55000000000000004">
      <c r="A185" s="12"/>
      <c r="B185" s="13"/>
      <c r="C185" s="10"/>
      <c r="D185" s="10"/>
      <c r="E185" s="7">
        <f>+$I$2+(MAHMOUD[[#This Row],[QUANTITE]]*MAHMOUD[[#This Row],[PRIX UNITAIRE]])</f>
        <v>0</v>
      </c>
      <c r="F185" s="14"/>
      <c r="G185" s="6">
        <f>+SUM(E$9:$E185)-SUM(F$9:$F185)</f>
        <v>3245500</v>
      </c>
    </row>
    <row r="186" spans="1:7" ht="28.8" x14ac:dyDescent="0.55000000000000004">
      <c r="A186" s="12"/>
      <c r="B186" s="13"/>
      <c r="C186" s="10"/>
      <c r="D186" s="10"/>
      <c r="E186" s="7">
        <f>+$I$2+(MAHMOUD[[#This Row],[QUANTITE]]*MAHMOUD[[#This Row],[PRIX UNITAIRE]])</f>
        <v>0</v>
      </c>
      <c r="F186" s="14"/>
      <c r="G186" s="6">
        <f>+SUM(E$9:$E186)-SUM(F$9:$F186)</f>
        <v>3245500</v>
      </c>
    </row>
    <row r="187" spans="1:7" ht="28.8" x14ac:dyDescent="0.55000000000000004">
      <c r="A187" s="12"/>
      <c r="B187" s="13"/>
      <c r="C187" s="10"/>
      <c r="D187" s="10"/>
      <c r="E187" s="7">
        <f>+$I$2+(MAHMOUD[[#This Row],[QUANTITE]]*MAHMOUD[[#This Row],[PRIX UNITAIRE]])</f>
        <v>0</v>
      </c>
      <c r="F187" s="14"/>
      <c r="G187" s="6">
        <f>+SUM(E$9:$E187)-SUM(F$9:$F187)</f>
        <v>3245500</v>
      </c>
    </row>
    <row r="188" spans="1:7" ht="28.8" x14ac:dyDescent="0.55000000000000004">
      <c r="A188" s="12"/>
      <c r="B188" s="13"/>
      <c r="C188" s="10"/>
      <c r="D188" s="10"/>
      <c r="E188" s="7">
        <f>+$I$2+(MAHMOUD[[#This Row],[QUANTITE]]*MAHMOUD[[#This Row],[PRIX UNITAIRE]])</f>
        <v>0</v>
      </c>
      <c r="F188" s="14"/>
      <c r="G188" s="6">
        <f>+SUM(E$9:$E188)-SUM(F$9:$F188)</f>
        <v>3245500</v>
      </c>
    </row>
    <row r="189" spans="1:7" ht="28.8" x14ac:dyDescent="0.55000000000000004">
      <c r="A189" s="12"/>
      <c r="B189" s="13"/>
      <c r="C189" s="10"/>
      <c r="D189" s="10"/>
      <c r="E189" s="7">
        <f>+$I$2+(MAHMOUD[[#This Row],[QUANTITE]]*MAHMOUD[[#This Row],[PRIX UNITAIRE]])</f>
        <v>0</v>
      </c>
      <c r="F189" s="14"/>
      <c r="G189" s="6">
        <f>+SUM(E$9:$E189)-SUM(F$9:$F189)</f>
        <v>3245500</v>
      </c>
    </row>
    <row r="190" spans="1:7" ht="28.8" x14ac:dyDescent="0.55000000000000004">
      <c r="A190" s="12"/>
      <c r="B190" s="13"/>
      <c r="C190" s="10"/>
      <c r="D190" s="10"/>
      <c r="E190" s="7">
        <f>+$I$2+(MAHMOUD[[#This Row],[QUANTITE]]*MAHMOUD[[#This Row],[PRIX UNITAIRE]])</f>
        <v>0</v>
      </c>
      <c r="F190" s="14"/>
      <c r="G190" s="6">
        <f>+SUM(E$9:$E190)-SUM(F$9:$F190)</f>
        <v>3245500</v>
      </c>
    </row>
    <row r="191" spans="1:7" ht="28.8" x14ac:dyDescent="0.55000000000000004">
      <c r="A191" s="12"/>
      <c r="B191" s="13"/>
      <c r="C191" s="10"/>
      <c r="D191" s="10"/>
      <c r="E191" s="7">
        <f>+$I$2+(MAHMOUD[[#This Row],[QUANTITE]]*MAHMOUD[[#This Row],[PRIX UNITAIRE]])</f>
        <v>0</v>
      </c>
      <c r="F191" s="14"/>
      <c r="G191" s="6">
        <f>+SUM(E$9:$E191)-SUM(F$9:$F191)</f>
        <v>3245500</v>
      </c>
    </row>
    <row r="192" spans="1:7" ht="28.8" x14ac:dyDescent="0.55000000000000004">
      <c r="A192" s="12"/>
      <c r="B192" s="13"/>
      <c r="C192" s="10"/>
      <c r="D192" s="10"/>
      <c r="E192" s="7">
        <f>+$I$2+(MAHMOUD[[#This Row],[QUANTITE]]*MAHMOUD[[#This Row],[PRIX UNITAIRE]])</f>
        <v>0</v>
      </c>
      <c r="F192" s="14"/>
      <c r="G192" s="6">
        <f>+SUM(E$9:$E192)-SUM(F$9:$F192)</f>
        <v>3245500</v>
      </c>
    </row>
    <row r="193" spans="1:7" ht="28.8" x14ac:dyDescent="0.55000000000000004">
      <c r="A193" s="12"/>
      <c r="B193" s="13"/>
      <c r="C193" s="10"/>
      <c r="D193" s="10"/>
      <c r="E193" s="7">
        <f>+$I$2+(MAHMOUD[[#This Row],[QUANTITE]]*MAHMOUD[[#This Row],[PRIX UNITAIRE]])</f>
        <v>0</v>
      </c>
      <c r="F193" s="14"/>
      <c r="G193" s="6">
        <f>+SUM(E$9:$E193)-SUM(F$9:$F193)</f>
        <v>3245500</v>
      </c>
    </row>
    <row r="194" spans="1:7" ht="28.8" x14ac:dyDescent="0.55000000000000004">
      <c r="A194" s="12"/>
      <c r="B194" s="13"/>
      <c r="C194" s="10"/>
      <c r="D194" s="10"/>
      <c r="E194" s="7">
        <f>+$I$2+(MAHMOUD[[#This Row],[QUANTITE]]*MAHMOUD[[#This Row],[PRIX UNITAIRE]])</f>
        <v>0</v>
      </c>
      <c r="F194" s="14"/>
      <c r="G194" s="6">
        <f>+SUM(E$9:$E194)-SUM(F$9:$F194)</f>
        <v>3245500</v>
      </c>
    </row>
    <row r="195" spans="1:7" ht="28.8" x14ac:dyDescent="0.55000000000000004">
      <c r="A195" s="12"/>
      <c r="B195" s="13"/>
      <c r="C195" s="10"/>
      <c r="D195" s="10"/>
      <c r="E195" s="7">
        <f>+$I$2+(MAHMOUD[[#This Row],[QUANTITE]]*MAHMOUD[[#This Row],[PRIX UNITAIRE]])</f>
        <v>0</v>
      </c>
      <c r="F195" s="14"/>
      <c r="G195" s="6">
        <f>+SUM(E$9:$E195)-SUM(F$9:$F195)</f>
        <v>3245500</v>
      </c>
    </row>
    <row r="196" spans="1:7" ht="28.8" x14ac:dyDescent="0.55000000000000004">
      <c r="A196" s="12"/>
      <c r="B196" s="13"/>
      <c r="C196" s="10"/>
      <c r="D196" s="10"/>
      <c r="E196" s="7">
        <f>+$I$2+(MAHMOUD[[#This Row],[QUANTITE]]*MAHMOUD[[#This Row],[PRIX UNITAIRE]])</f>
        <v>0</v>
      </c>
      <c r="F196" s="14"/>
      <c r="G196" s="6">
        <f>+SUM(E$9:$E196)-SUM(F$9:$F196)</f>
        <v>3245500</v>
      </c>
    </row>
    <row r="197" spans="1:7" ht="28.8" x14ac:dyDescent="0.55000000000000004">
      <c r="A197" s="12"/>
      <c r="B197" s="13"/>
      <c r="C197" s="10"/>
      <c r="D197" s="10"/>
      <c r="E197" s="7">
        <f>+$I$2+(MAHMOUD[[#This Row],[QUANTITE]]*MAHMOUD[[#This Row],[PRIX UNITAIRE]])</f>
        <v>0</v>
      </c>
      <c r="F197" s="14"/>
      <c r="G197" s="6">
        <f>+SUM(E$9:$E197)-SUM(F$9:$F197)</f>
        <v>3245500</v>
      </c>
    </row>
    <row r="198" spans="1:7" ht="28.8" x14ac:dyDescent="0.55000000000000004">
      <c r="A198" s="12"/>
      <c r="B198" s="13"/>
      <c r="C198" s="10"/>
      <c r="D198" s="10"/>
      <c r="E198" s="7">
        <f>+$I$2+(MAHMOUD[[#This Row],[QUANTITE]]*MAHMOUD[[#This Row],[PRIX UNITAIRE]])</f>
        <v>0</v>
      </c>
      <c r="F198" s="14"/>
      <c r="G198" s="6">
        <f>+SUM(E$9:$E198)-SUM(F$9:$F198)</f>
        <v>3245500</v>
      </c>
    </row>
    <row r="199" spans="1:7" ht="28.8" x14ac:dyDescent="0.55000000000000004">
      <c r="A199" s="12"/>
      <c r="B199" s="13"/>
      <c r="C199" s="10"/>
      <c r="D199" s="10"/>
      <c r="E199" s="7">
        <f>+$I$2+(MAHMOUD[[#This Row],[QUANTITE]]*MAHMOUD[[#This Row],[PRIX UNITAIRE]])</f>
        <v>0</v>
      </c>
      <c r="F199" s="14"/>
      <c r="G199" s="6">
        <f>+SUM(E$9:$E199)-SUM(F$9:$F199)</f>
        <v>3245500</v>
      </c>
    </row>
    <row r="200" spans="1:7" ht="28.8" x14ac:dyDescent="0.55000000000000004">
      <c r="A200" s="12"/>
      <c r="B200" s="13"/>
      <c r="C200" s="10"/>
      <c r="D200" s="10"/>
      <c r="E200" s="7">
        <f>+$I$2+(MAHMOUD[[#This Row],[QUANTITE]]*MAHMOUD[[#This Row],[PRIX UNITAIRE]])</f>
        <v>0</v>
      </c>
      <c r="F200" s="14"/>
      <c r="G200" s="6">
        <f>+SUM(E$9:$E200)-SUM(F$9:$F200)</f>
        <v>3245500</v>
      </c>
    </row>
    <row r="201" spans="1:7" ht="28.8" x14ac:dyDescent="0.55000000000000004">
      <c r="A201" s="12"/>
      <c r="B201" s="13"/>
      <c r="C201" s="10"/>
      <c r="D201" s="10"/>
      <c r="E201" s="7">
        <f>+$I$2+(MAHMOUD[[#This Row],[QUANTITE]]*MAHMOUD[[#This Row],[PRIX UNITAIRE]])</f>
        <v>0</v>
      </c>
      <c r="F201" s="14"/>
      <c r="G201" s="6">
        <f>+SUM(E$9:$E201)-SUM(F$9:$F201)</f>
        <v>3245500</v>
      </c>
    </row>
    <row r="202" spans="1:7" ht="28.8" x14ac:dyDescent="0.55000000000000004">
      <c r="A202" s="12"/>
      <c r="B202" s="13"/>
      <c r="C202" s="10"/>
      <c r="D202" s="10"/>
      <c r="E202" s="7">
        <f>+$I$2+(MAHMOUD[[#This Row],[QUANTITE]]*MAHMOUD[[#This Row],[PRIX UNITAIRE]])</f>
        <v>0</v>
      </c>
      <c r="F202" s="14"/>
      <c r="G202" s="6">
        <f>+SUM(E$9:$E202)-SUM(F$9:$F202)</f>
        <v>3245500</v>
      </c>
    </row>
    <row r="203" spans="1:7" ht="28.8" x14ac:dyDescent="0.55000000000000004">
      <c r="A203" s="12"/>
      <c r="B203" s="13"/>
      <c r="C203" s="10"/>
      <c r="D203" s="10"/>
      <c r="E203" s="7">
        <f>+$I$2+(MAHMOUD[[#This Row],[QUANTITE]]*MAHMOUD[[#This Row],[PRIX UNITAIRE]])</f>
        <v>0</v>
      </c>
      <c r="F203" s="14"/>
      <c r="G203" s="6">
        <f>+SUM(E$9:$E203)-SUM(F$9:$F203)</f>
        <v>3245500</v>
      </c>
    </row>
    <row r="204" spans="1:7" ht="28.8" x14ac:dyDescent="0.55000000000000004">
      <c r="A204" s="12"/>
      <c r="B204" s="13"/>
      <c r="C204" s="10"/>
      <c r="D204" s="10"/>
      <c r="E204" s="7">
        <f>+$I$2+(MAHMOUD[[#This Row],[QUANTITE]]*MAHMOUD[[#This Row],[PRIX UNITAIRE]])</f>
        <v>0</v>
      </c>
      <c r="F204" s="14"/>
      <c r="G204" s="6">
        <f>+SUM(E$9:$E204)-SUM(F$9:$F204)</f>
        <v>3245500</v>
      </c>
    </row>
    <row r="205" spans="1:7" ht="28.8" x14ac:dyDescent="0.55000000000000004">
      <c r="A205" s="12"/>
      <c r="B205" s="13"/>
      <c r="C205" s="10"/>
      <c r="D205" s="10"/>
      <c r="E205" s="7">
        <f>+$I$2+(MAHMOUD[[#This Row],[QUANTITE]]*MAHMOUD[[#This Row],[PRIX UNITAIRE]])</f>
        <v>0</v>
      </c>
      <c r="F205" s="14"/>
      <c r="G205" s="6">
        <f>+SUM(E$9:$E205)-SUM(F$9:$F205)</f>
        <v>3245500</v>
      </c>
    </row>
    <row r="206" spans="1:7" ht="28.8" x14ac:dyDescent="0.55000000000000004">
      <c r="A206" s="12"/>
      <c r="B206" s="13"/>
      <c r="C206" s="10"/>
      <c r="D206" s="10"/>
      <c r="E206" s="7">
        <f>+$I$2+(MAHMOUD[[#This Row],[QUANTITE]]*MAHMOUD[[#This Row],[PRIX UNITAIRE]])</f>
        <v>0</v>
      </c>
      <c r="F206" s="14"/>
      <c r="G206" s="6">
        <f>+SUM(E$9:$E206)-SUM(F$9:$F206)</f>
        <v>3245500</v>
      </c>
    </row>
    <row r="207" spans="1:7" ht="28.8" x14ac:dyDescent="0.55000000000000004">
      <c r="A207" s="12"/>
      <c r="B207" s="13"/>
      <c r="C207" s="10"/>
      <c r="D207" s="10"/>
      <c r="E207" s="7">
        <f>+$I$2+(MAHMOUD[[#This Row],[QUANTITE]]*MAHMOUD[[#This Row],[PRIX UNITAIRE]])</f>
        <v>0</v>
      </c>
      <c r="F207" s="14"/>
      <c r="G207" s="6">
        <f>+SUM(E$9:$E207)-SUM(F$9:$F207)</f>
        <v>3245500</v>
      </c>
    </row>
    <row r="208" spans="1:7" ht="28.8" x14ac:dyDescent="0.55000000000000004">
      <c r="A208" s="12"/>
      <c r="B208" s="13"/>
      <c r="C208" s="10"/>
      <c r="D208" s="10"/>
      <c r="E208" s="7">
        <f>+$I$2+(MAHMOUD[[#This Row],[QUANTITE]]*MAHMOUD[[#This Row],[PRIX UNITAIRE]])</f>
        <v>0</v>
      </c>
      <c r="F208" s="14"/>
      <c r="G208" s="6">
        <f>+SUM(E$9:$E208)-SUM(F$9:$F208)</f>
        <v>3245500</v>
      </c>
    </row>
    <row r="209" spans="1:7" ht="28.8" x14ac:dyDescent="0.55000000000000004">
      <c r="A209" s="12"/>
      <c r="B209" s="13"/>
      <c r="C209" s="10"/>
      <c r="D209" s="10"/>
      <c r="E209" s="7">
        <f>+$I$2+(MAHMOUD[[#This Row],[QUANTITE]]*MAHMOUD[[#This Row],[PRIX UNITAIRE]])</f>
        <v>0</v>
      </c>
      <c r="F209" s="14"/>
      <c r="G209" s="6">
        <f>+SUM(E$9:$E209)-SUM(F$9:$F209)</f>
        <v>3245500</v>
      </c>
    </row>
    <row r="210" spans="1:7" ht="28.8" x14ac:dyDescent="0.55000000000000004">
      <c r="A210" s="12"/>
      <c r="B210" s="13"/>
      <c r="C210" s="10"/>
      <c r="D210" s="10"/>
      <c r="E210" s="7">
        <f>+$I$2+(MAHMOUD[[#This Row],[QUANTITE]]*MAHMOUD[[#This Row],[PRIX UNITAIRE]])</f>
        <v>0</v>
      </c>
      <c r="F210" s="14"/>
      <c r="G210" s="6">
        <f>+SUM(E$9:$E210)-SUM(F$9:$F210)</f>
        <v>3245500</v>
      </c>
    </row>
    <row r="211" spans="1:7" ht="28.8" x14ac:dyDescent="0.55000000000000004">
      <c r="A211" s="12"/>
      <c r="B211" s="13"/>
      <c r="C211" s="10"/>
      <c r="D211" s="10"/>
      <c r="E211" s="7">
        <f>+$I$2+(MAHMOUD[[#This Row],[QUANTITE]]*MAHMOUD[[#This Row],[PRIX UNITAIRE]])</f>
        <v>0</v>
      </c>
      <c r="F211" s="14"/>
      <c r="G211" s="6">
        <f>+SUM(E$9:$E211)-SUM(F$9:$F211)</f>
        <v>3245500</v>
      </c>
    </row>
    <row r="212" spans="1:7" ht="28.8" x14ac:dyDescent="0.55000000000000004">
      <c r="A212" s="12"/>
      <c r="B212" s="13"/>
      <c r="C212" s="10"/>
      <c r="D212" s="10"/>
      <c r="E212" s="7">
        <f>+$I$2+(MAHMOUD[[#This Row],[QUANTITE]]*MAHMOUD[[#This Row],[PRIX UNITAIRE]])</f>
        <v>0</v>
      </c>
      <c r="F212" s="14"/>
      <c r="G212" s="6">
        <f>+SUM(E$9:$E212)-SUM(F$9:$F212)</f>
        <v>3245500</v>
      </c>
    </row>
    <row r="213" spans="1:7" ht="28.8" x14ac:dyDescent="0.55000000000000004">
      <c r="A213" s="12"/>
      <c r="B213" s="13"/>
      <c r="C213" s="10"/>
      <c r="D213" s="10"/>
      <c r="E213" s="7">
        <f>+$I$2+(MAHMOUD[[#This Row],[QUANTITE]]*MAHMOUD[[#This Row],[PRIX UNITAIRE]])</f>
        <v>0</v>
      </c>
      <c r="F213" s="14"/>
      <c r="G213" s="6">
        <f>+SUM(E$9:$E213)-SUM(F$9:$F213)</f>
        <v>3245500</v>
      </c>
    </row>
    <row r="214" spans="1:7" ht="28.8" x14ac:dyDescent="0.55000000000000004">
      <c r="A214" s="12"/>
      <c r="B214" s="13"/>
      <c r="C214" s="10"/>
      <c r="D214" s="10"/>
      <c r="E214" s="7">
        <f>+$I$2+(MAHMOUD[[#This Row],[QUANTITE]]*MAHMOUD[[#This Row],[PRIX UNITAIRE]])</f>
        <v>0</v>
      </c>
      <c r="F214" s="14"/>
      <c r="G214" s="6">
        <f>+SUM(E$9:$E214)-SUM(F$9:$F214)</f>
        <v>3245500</v>
      </c>
    </row>
    <row r="215" spans="1:7" ht="28.8" x14ac:dyDescent="0.55000000000000004">
      <c r="A215" s="12"/>
      <c r="B215" s="13"/>
      <c r="C215" s="10"/>
      <c r="D215" s="10"/>
      <c r="E215" s="7">
        <f>+$I$2+(MAHMOUD[[#This Row],[QUANTITE]]*MAHMOUD[[#This Row],[PRIX UNITAIRE]])</f>
        <v>0</v>
      </c>
      <c r="F215" s="14"/>
      <c r="G215" s="6">
        <f>+SUM(E$9:$E215)-SUM(F$9:$F215)</f>
        <v>3245500</v>
      </c>
    </row>
    <row r="216" spans="1:7" ht="28.8" x14ac:dyDescent="0.55000000000000004">
      <c r="A216" s="12"/>
      <c r="B216" s="13"/>
      <c r="C216" s="10"/>
      <c r="D216" s="10"/>
      <c r="E216" s="7">
        <f>+$I$2+(MAHMOUD[[#This Row],[QUANTITE]]*MAHMOUD[[#This Row],[PRIX UNITAIRE]])</f>
        <v>0</v>
      </c>
      <c r="F216" s="14"/>
      <c r="G216" s="6">
        <f>+SUM(E$9:$E216)-SUM(F$9:$F216)</f>
        <v>3245500</v>
      </c>
    </row>
    <row r="217" spans="1:7" ht="28.8" x14ac:dyDescent="0.55000000000000004">
      <c r="A217" s="12"/>
      <c r="B217" s="13"/>
      <c r="C217" s="10"/>
      <c r="D217" s="10"/>
      <c r="E217" s="7">
        <f>+$I$2+(MAHMOUD[[#This Row],[QUANTITE]]*MAHMOUD[[#This Row],[PRIX UNITAIRE]])</f>
        <v>0</v>
      </c>
      <c r="F217" s="14"/>
      <c r="G217" s="6">
        <f>+SUM(E$9:$E217)-SUM(F$9:$F217)</f>
        <v>3245500</v>
      </c>
    </row>
    <row r="218" spans="1:7" ht="28.8" x14ac:dyDescent="0.55000000000000004">
      <c r="A218" s="12"/>
      <c r="B218" s="13"/>
      <c r="C218" s="10"/>
      <c r="D218" s="10"/>
      <c r="E218" s="7">
        <f>+$I$2+(MAHMOUD[[#This Row],[QUANTITE]]*MAHMOUD[[#This Row],[PRIX UNITAIRE]])</f>
        <v>0</v>
      </c>
      <c r="F218" s="14"/>
      <c r="G218" s="6">
        <f>+SUM(E$9:$E218)-SUM(F$9:$F218)</f>
        <v>3245500</v>
      </c>
    </row>
    <row r="219" spans="1:7" ht="28.8" x14ac:dyDescent="0.55000000000000004">
      <c r="A219" s="12"/>
      <c r="B219" s="13"/>
      <c r="C219" s="10"/>
      <c r="D219" s="10"/>
      <c r="E219" s="7">
        <f>+$I$2+(MAHMOUD[[#This Row],[QUANTITE]]*MAHMOUD[[#This Row],[PRIX UNITAIRE]])</f>
        <v>0</v>
      </c>
      <c r="F219" s="14"/>
      <c r="G219" s="6">
        <f>+SUM(E$9:$E219)-SUM(F$9:$F219)</f>
        <v>3245500</v>
      </c>
    </row>
    <row r="220" spans="1:7" ht="28.8" x14ac:dyDescent="0.55000000000000004">
      <c r="A220" s="12"/>
      <c r="B220" s="13"/>
      <c r="C220" s="10"/>
      <c r="D220" s="10"/>
      <c r="E220" s="7">
        <f>+$I$2+(MAHMOUD[[#This Row],[QUANTITE]]*MAHMOUD[[#This Row],[PRIX UNITAIRE]])</f>
        <v>0</v>
      </c>
      <c r="F220" s="14"/>
      <c r="G220" s="6">
        <f>+SUM(E$9:$E220)-SUM(F$9:$F220)</f>
        <v>3245500</v>
      </c>
    </row>
    <row r="221" spans="1:7" ht="28.8" x14ac:dyDescent="0.55000000000000004">
      <c r="A221" s="12"/>
      <c r="B221" s="13"/>
      <c r="C221" s="10"/>
      <c r="D221" s="10"/>
      <c r="E221" s="7">
        <f>+$I$2+(MAHMOUD[[#This Row],[QUANTITE]]*MAHMOUD[[#This Row],[PRIX UNITAIRE]])</f>
        <v>0</v>
      </c>
      <c r="F221" s="14"/>
      <c r="G221" s="6">
        <f>+SUM(E$9:$E221)-SUM(F$9:$F221)</f>
        <v>3245500</v>
      </c>
    </row>
    <row r="222" spans="1:7" ht="28.8" x14ac:dyDescent="0.55000000000000004">
      <c r="A222" s="12"/>
      <c r="B222" s="13"/>
      <c r="C222" s="10"/>
      <c r="D222" s="10"/>
      <c r="E222" s="7">
        <f>+$I$2+(MAHMOUD[[#This Row],[QUANTITE]]*MAHMOUD[[#This Row],[PRIX UNITAIRE]])</f>
        <v>0</v>
      </c>
      <c r="F222" s="14"/>
      <c r="G222" s="6">
        <f>+SUM(E$9:$E222)-SUM(F$9:$F222)</f>
        <v>3245500</v>
      </c>
    </row>
    <row r="223" spans="1:7" ht="28.8" x14ac:dyDescent="0.55000000000000004">
      <c r="A223" s="12"/>
      <c r="B223" s="13"/>
      <c r="C223" s="10"/>
      <c r="D223" s="10"/>
      <c r="E223" s="7">
        <f>+$I$2+(MAHMOUD[[#This Row],[QUANTITE]]*MAHMOUD[[#This Row],[PRIX UNITAIRE]])</f>
        <v>0</v>
      </c>
      <c r="F223" s="14"/>
      <c r="G223" s="6">
        <f>+SUM(E$9:$E223)-SUM(F$9:$F223)</f>
        <v>3245500</v>
      </c>
    </row>
    <row r="224" spans="1:7" ht="28.8" x14ac:dyDescent="0.55000000000000004">
      <c r="A224" s="12"/>
      <c r="B224" s="13"/>
      <c r="C224" s="10"/>
      <c r="D224" s="10"/>
      <c r="E224" s="7">
        <f>+$I$2+(MAHMOUD[[#This Row],[QUANTITE]]*MAHMOUD[[#This Row],[PRIX UNITAIRE]])</f>
        <v>0</v>
      </c>
      <c r="F224" s="14"/>
      <c r="G224" s="6">
        <f>+SUM(E$9:$E224)-SUM(F$9:$F224)</f>
        <v>3245500</v>
      </c>
    </row>
    <row r="225" spans="1:7" ht="28.8" x14ac:dyDescent="0.55000000000000004">
      <c r="A225" s="12"/>
      <c r="B225" s="13"/>
      <c r="C225" s="10"/>
      <c r="D225" s="10"/>
      <c r="E225" s="7">
        <f>+$I$2+(MAHMOUD[[#This Row],[QUANTITE]]*MAHMOUD[[#This Row],[PRIX UNITAIRE]])</f>
        <v>0</v>
      </c>
      <c r="F225" s="14"/>
      <c r="G225" s="6">
        <f>+SUM(E$9:$E225)-SUM(F$9:$F225)</f>
        <v>3245500</v>
      </c>
    </row>
    <row r="226" spans="1:7" ht="28.8" x14ac:dyDescent="0.55000000000000004">
      <c r="A226" s="12"/>
      <c r="B226" s="13"/>
      <c r="C226" s="10"/>
      <c r="D226" s="10"/>
      <c r="E226" s="7">
        <f>+$I$2+(MAHMOUD[[#This Row],[QUANTITE]]*MAHMOUD[[#This Row],[PRIX UNITAIRE]])</f>
        <v>0</v>
      </c>
      <c r="F226" s="14"/>
      <c r="G226" s="6">
        <f>+SUM(E$9:$E226)-SUM(F$9:$F226)</f>
        <v>3245500</v>
      </c>
    </row>
    <row r="227" spans="1:7" ht="28.8" x14ac:dyDescent="0.55000000000000004">
      <c r="A227" s="12"/>
      <c r="B227" s="13"/>
      <c r="C227" s="10"/>
      <c r="D227" s="10"/>
      <c r="E227" s="7">
        <f>+$I$2+(MAHMOUD[[#This Row],[QUANTITE]]*MAHMOUD[[#This Row],[PRIX UNITAIRE]])</f>
        <v>0</v>
      </c>
      <c r="F227" s="14"/>
      <c r="G227" s="6">
        <f>+SUM(E$9:$E227)-SUM(F$9:$F227)</f>
        <v>3245500</v>
      </c>
    </row>
    <row r="228" spans="1:7" ht="28.8" x14ac:dyDescent="0.55000000000000004">
      <c r="A228" s="12"/>
      <c r="B228" s="13"/>
      <c r="C228" s="10"/>
      <c r="D228" s="10"/>
      <c r="E228" s="7">
        <f>+$I$2+(MAHMOUD[[#This Row],[QUANTITE]]*MAHMOUD[[#This Row],[PRIX UNITAIRE]])</f>
        <v>0</v>
      </c>
      <c r="F228" s="14"/>
      <c r="G228" s="6">
        <f>+SUM(E$9:$E228)-SUM(F$9:$F228)</f>
        <v>3245500</v>
      </c>
    </row>
    <row r="229" spans="1:7" ht="28.8" x14ac:dyDescent="0.55000000000000004">
      <c r="A229" s="12"/>
      <c r="B229" s="13"/>
      <c r="C229" s="10"/>
      <c r="D229" s="10"/>
      <c r="E229" s="7">
        <f>+$I$2+(MAHMOUD[[#This Row],[QUANTITE]]*MAHMOUD[[#This Row],[PRIX UNITAIRE]])</f>
        <v>0</v>
      </c>
      <c r="F229" s="14"/>
      <c r="G229" s="6">
        <f>+SUM(E$9:$E229)-SUM(F$9:$F229)</f>
        <v>3245500</v>
      </c>
    </row>
    <row r="230" spans="1:7" ht="28.8" x14ac:dyDescent="0.55000000000000004">
      <c r="A230" s="12"/>
      <c r="B230" s="13"/>
      <c r="C230" s="10"/>
      <c r="D230" s="10"/>
      <c r="E230" s="7">
        <f>+$I$2+(MAHMOUD[[#This Row],[QUANTITE]]*MAHMOUD[[#This Row],[PRIX UNITAIRE]])</f>
        <v>0</v>
      </c>
      <c r="F230" s="14"/>
      <c r="G230" s="6">
        <f>+SUM(E$9:$E230)-SUM(F$9:$F230)</f>
        <v>3245500</v>
      </c>
    </row>
    <row r="231" spans="1:7" ht="28.8" x14ac:dyDescent="0.55000000000000004">
      <c r="A231" s="12"/>
      <c r="B231" s="13"/>
      <c r="C231" s="10"/>
      <c r="D231" s="10"/>
      <c r="E231" s="7">
        <f>+$I$2+(MAHMOUD[[#This Row],[QUANTITE]]*MAHMOUD[[#This Row],[PRIX UNITAIRE]])</f>
        <v>0</v>
      </c>
      <c r="F231" s="14"/>
      <c r="G231" s="6">
        <f>+SUM(E$9:$E231)-SUM(F$9:$F231)</f>
        <v>3245500</v>
      </c>
    </row>
    <row r="232" spans="1:7" ht="28.8" x14ac:dyDescent="0.55000000000000004">
      <c r="A232" s="12"/>
      <c r="B232" s="13"/>
      <c r="C232" s="10"/>
      <c r="D232" s="10"/>
      <c r="E232" s="7">
        <f>+$I$2+(MAHMOUD[[#This Row],[QUANTITE]]*MAHMOUD[[#This Row],[PRIX UNITAIRE]])</f>
        <v>0</v>
      </c>
      <c r="F232" s="14"/>
      <c r="G232" s="6">
        <f>+SUM(E$9:$E232)-SUM(F$9:$F232)</f>
        <v>3245500</v>
      </c>
    </row>
    <row r="233" spans="1:7" ht="28.8" x14ac:dyDescent="0.55000000000000004">
      <c r="A233" s="12"/>
      <c r="B233" s="13"/>
      <c r="C233" s="10"/>
      <c r="D233" s="10"/>
      <c r="E233" s="7">
        <f>+$I$2+(MAHMOUD[[#This Row],[QUANTITE]]*MAHMOUD[[#This Row],[PRIX UNITAIRE]])</f>
        <v>0</v>
      </c>
      <c r="F233" s="14"/>
      <c r="G233" s="6">
        <f>+SUM(E$9:$E233)-SUM(F$9:$F233)</f>
        <v>3245500</v>
      </c>
    </row>
    <row r="234" spans="1:7" ht="28.8" x14ac:dyDescent="0.55000000000000004">
      <c r="A234" s="12"/>
      <c r="B234" s="13"/>
      <c r="C234" s="10"/>
      <c r="D234" s="10"/>
      <c r="E234" s="7">
        <f>+$I$2+(MAHMOUD[[#This Row],[QUANTITE]]*MAHMOUD[[#This Row],[PRIX UNITAIRE]])</f>
        <v>0</v>
      </c>
      <c r="F234" s="14"/>
      <c r="G234" s="6">
        <f>+SUM(E$9:$E234)-SUM(F$9:$F234)</f>
        <v>3245500</v>
      </c>
    </row>
    <row r="235" spans="1:7" ht="28.8" x14ac:dyDescent="0.55000000000000004">
      <c r="A235" s="12"/>
      <c r="B235" s="13"/>
      <c r="C235" s="10"/>
      <c r="D235" s="10"/>
      <c r="E235" s="7">
        <f>+$I$2+(MAHMOUD[[#This Row],[QUANTITE]]*MAHMOUD[[#This Row],[PRIX UNITAIRE]])</f>
        <v>0</v>
      </c>
      <c r="F235" s="14"/>
      <c r="G235" s="6">
        <f>+SUM(E$9:$E235)-SUM(F$9:$F235)</f>
        <v>3245500</v>
      </c>
    </row>
    <row r="236" spans="1:7" ht="28.8" x14ac:dyDescent="0.55000000000000004">
      <c r="A236" s="12"/>
      <c r="B236" s="13"/>
      <c r="C236" s="10"/>
      <c r="D236" s="10"/>
      <c r="E236" s="7">
        <f>+$I$2+(MAHMOUD[[#This Row],[QUANTITE]]*MAHMOUD[[#This Row],[PRIX UNITAIRE]])</f>
        <v>0</v>
      </c>
      <c r="F236" s="14"/>
      <c r="G236" s="6">
        <f>+SUM(E$9:$E236)-SUM(F$9:$F236)</f>
        <v>3245500</v>
      </c>
    </row>
    <row r="237" spans="1:7" ht="28.8" x14ac:dyDescent="0.55000000000000004">
      <c r="A237" s="12"/>
      <c r="B237" s="13"/>
      <c r="C237" s="10"/>
      <c r="D237" s="10"/>
      <c r="E237" s="7">
        <f>+$I$2+(MAHMOUD[[#This Row],[QUANTITE]]*MAHMOUD[[#This Row],[PRIX UNITAIRE]])</f>
        <v>0</v>
      </c>
      <c r="F237" s="14"/>
      <c r="G237" s="6">
        <f>+SUM(E$9:$E237)-SUM(F$9:$F237)</f>
        <v>3245500</v>
      </c>
    </row>
    <row r="238" spans="1:7" ht="28.8" x14ac:dyDescent="0.55000000000000004">
      <c r="A238" s="12"/>
      <c r="B238" s="13"/>
      <c r="C238" s="10"/>
      <c r="D238" s="10"/>
      <c r="E238" s="7">
        <f>+$I$2+(MAHMOUD[[#This Row],[QUANTITE]]*MAHMOUD[[#This Row],[PRIX UNITAIRE]])</f>
        <v>0</v>
      </c>
      <c r="F238" s="14"/>
      <c r="G238" s="6">
        <f>+SUM(E$9:$E238)-SUM(F$9:$F238)</f>
        <v>3245500</v>
      </c>
    </row>
    <row r="239" spans="1:7" ht="28.8" x14ac:dyDescent="0.55000000000000004">
      <c r="A239" s="12"/>
      <c r="B239" s="13"/>
      <c r="C239" s="10"/>
      <c r="D239" s="10"/>
      <c r="E239" s="7">
        <f>+$I$2+(MAHMOUD[[#This Row],[QUANTITE]]*MAHMOUD[[#This Row],[PRIX UNITAIRE]])</f>
        <v>0</v>
      </c>
      <c r="F239" s="14"/>
      <c r="G239" s="6">
        <f>+SUM(E$9:$E239)-SUM(F$9:$F239)</f>
        <v>3245500</v>
      </c>
    </row>
    <row r="240" spans="1:7" ht="28.8" x14ac:dyDescent="0.55000000000000004">
      <c r="A240" s="12"/>
      <c r="B240" s="13"/>
      <c r="C240" s="10"/>
      <c r="D240" s="10"/>
      <c r="E240" s="7">
        <f>+$I$2+(MAHMOUD[[#This Row],[QUANTITE]]*MAHMOUD[[#This Row],[PRIX UNITAIRE]])</f>
        <v>0</v>
      </c>
      <c r="F240" s="14"/>
      <c r="G240" s="6">
        <f>+SUM(E$9:$E240)-SUM(F$9:$F240)</f>
        <v>3245500</v>
      </c>
    </row>
    <row r="241" spans="1:7" ht="28.8" x14ac:dyDescent="0.55000000000000004">
      <c r="A241" s="12"/>
      <c r="B241" s="13"/>
      <c r="C241" s="10"/>
      <c r="D241" s="10"/>
      <c r="E241" s="7">
        <f>+$I$2+(MAHMOUD[[#This Row],[QUANTITE]]*MAHMOUD[[#This Row],[PRIX UNITAIRE]])</f>
        <v>0</v>
      </c>
      <c r="F241" s="14"/>
      <c r="G241" s="6">
        <f>+SUM(E$9:$E241)-SUM(F$9:$F241)</f>
        <v>3245500</v>
      </c>
    </row>
    <row r="242" spans="1:7" ht="28.8" x14ac:dyDescent="0.55000000000000004">
      <c r="A242" s="12"/>
      <c r="B242" s="13"/>
      <c r="C242" s="10"/>
      <c r="D242" s="10"/>
      <c r="E242" s="7">
        <f>+$I$2+(MAHMOUD[[#This Row],[QUANTITE]]*MAHMOUD[[#This Row],[PRIX UNITAIRE]])</f>
        <v>0</v>
      </c>
      <c r="F242" s="14"/>
      <c r="G242" s="6">
        <f>+SUM(E$9:$E242)-SUM(F$9:$F242)</f>
        <v>3245500</v>
      </c>
    </row>
    <row r="243" spans="1:7" ht="28.8" x14ac:dyDescent="0.55000000000000004">
      <c r="A243" s="12"/>
      <c r="B243" s="13"/>
      <c r="C243" s="10"/>
      <c r="D243" s="10"/>
      <c r="E243" s="7">
        <f>+$I$2+(MAHMOUD[[#This Row],[QUANTITE]]*MAHMOUD[[#This Row],[PRIX UNITAIRE]])</f>
        <v>0</v>
      </c>
      <c r="F243" s="14"/>
      <c r="G243" s="6">
        <f>+SUM(E$9:$E243)-SUM(F$9:$F243)</f>
        <v>3245500</v>
      </c>
    </row>
    <row r="244" spans="1:7" ht="28.8" x14ac:dyDescent="0.55000000000000004">
      <c r="A244" s="12"/>
      <c r="B244" s="13"/>
      <c r="C244" s="10"/>
      <c r="D244" s="10"/>
      <c r="E244" s="7">
        <f>+$I$2+(MAHMOUD[[#This Row],[QUANTITE]]*MAHMOUD[[#This Row],[PRIX UNITAIRE]])</f>
        <v>0</v>
      </c>
      <c r="F244" s="14"/>
      <c r="G244" s="6">
        <f>+SUM(E$9:$E244)-SUM(F$9:$F244)</f>
        <v>3245500</v>
      </c>
    </row>
    <row r="245" spans="1:7" ht="28.8" x14ac:dyDescent="0.55000000000000004">
      <c r="A245" s="12"/>
      <c r="B245" s="13"/>
      <c r="C245" s="10"/>
      <c r="D245" s="10"/>
      <c r="E245" s="7">
        <f>+$I$2+(MAHMOUD[[#This Row],[QUANTITE]]*MAHMOUD[[#This Row],[PRIX UNITAIRE]])</f>
        <v>0</v>
      </c>
      <c r="F245" s="14"/>
      <c r="G245" s="6">
        <f>+SUM(E$9:$E245)-SUM(F$9:$F245)</f>
        <v>3245500</v>
      </c>
    </row>
    <row r="246" spans="1:7" ht="28.8" x14ac:dyDescent="0.55000000000000004">
      <c r="A246" s="12"/>
      <c r="B246" s="13"/>
      <c r="C246" s="10"/>
      <c r="D246" s="10"/>
      <c r="E246" s="7">
        <f>+$I$2+(MAHMOUD[[#This Row],[QUANTITE]]*MAHMOUD[[#This Row],[PRIX UNITAIRE]])</f>
        <v>0</v>
      </c>
      <c r="F246" s="14"/>
      <c r="G246" s="6">
        <f>+SUM(E$9:$E246)-SUM(F$9:$F246)</f>
        <v>3245500</v>
      </c>
    </row>
    <row r="247" spans="1:7" ht="28.8" x14ac:dyDescent="0.55000000000000004">
      <c r="A247" s="12"/>
      <c r="B247" s="13"/>
      <c r="C247" s="10"/>
      <c r="D247" s="10"/>
      <c r="E247" s="7">
        <f>+$I$2+(MAHMOUD[[#This Row],[QUANTITE]]*MAHMOUD[[#This Row],[PRIX UNITAIRE]])</f>
        <v>0</v>
      </c>
      <c r="F247" s="14"/>
      <c r="G247" s="6">
        <f>+SUM(E$9:$E247)-SUM(F$9:$F247)</f>
        <v>3245500</v>
      </c>
    </row>
    <row r="248" spans="1:7" ht="28.8" x14ac:dyDescent="0.55000000000000004">
      <c r="A248" s="12"/>
      <c r="B248" s="13"/>
      <c r="C248" s="10"/>
      <c r="D248" s="10"/>
      <c r="E248" s="7">
        <f>+$I$2+(MAHMOUD[[#This Row],[QUANTITE]]*MAHMOUD[[#This Row],[PRIX UNITAIRE]])</f>
        <v>0</v>
      </c>
      <c r="F248" s="14"/>
      <c r="G248" s="6">
        <f>+SUM(E$9:$E248)-SUM(F$9:$F248)</f>
        <v>3245500</v>
      </c>
    </row>
    <row r="249" spans="1:7" ht="28.8" x14ac:dyDescent="0.55000000000000004">
      <c r="A249" s="12"/>
      <c r="B249" s="13"/>
      <c r="C249" s="10"/>
      <c r="D249" s="10"/>
      <c r="E249" s="7">
        <f>+$I$2+(MAHMOUD[[#This Row],[QUANTITE]]*MAHMOUD[[#This Row],[PRIX UNITAIRE]])</f>
        <v>0</v>
      </c>
      <c r="F249" s="14"/>
      <c r="G249" s="6">
        <f>+SUM(E$9:$E249)-SUM(F$9:$F249)</f>
        <v>3245500</v>
      </c>
    </row>
    <row r="250" spans="1:7" ht="28.8" x14ac:dyDescent="0.55000000000000004">
      <c r="A250" s="12"/>
      <c r="B250" s="13"/>
      <c r="C250" s="10"/>
      <c r="D250" s="10"/>
      <c r="E250" s="7">
        <f>+$I$2+(MAHMOUD[[#This Row],[QUANTITE]]*MAHMOUD[[#This Row],[PRIX UNITAIRE]])</f>
        <v>0</v>
      </c>
      <c r="F250" s="14"/>
      <c r="G250" s="6">
        <f>+SUM(E$9:$E250)-SUM(F$9:$F250)</f>
        <v>3245500</v>
      </c>
    </row>
  </sheetData>
  <sheetProtection selectLockedCells="1" autoFilter="0"/>
  <mergeCells count="1">
    <mergeCell ref="B6:C6"/>
  </mergeCells>
  <conditionalFormatting sqref="B9:B148">
    <cfRule type="expression" dxfId="230" priority="5">
      <formula>$F9</formula>
    </cfRule>
  </conditionalFormatting>
  <conditionalFormatting sqref="B149:B250">
    <cfRule type="expression" dxfId="229" priority="15">
      <formula>#REF!</formula>
    </cfRule>
  </conditionalFormatting>
  <conditionalFormatting sqref="G4">
    <cfRule type="cellIs" dxfId="228" priority="2" operator="lessThan">
      <formula>0</formula>
    </cfRule>
    <cfRule type="cellIs" dxfId="22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50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I8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33203125" style="1" bestFit="1" customWidth="1"/>
    <col min="2" max="2" width="63.5546875" style="1" bestFit="1" customWidth="1"/>
    <col min="3" max="3" width="19.6640625" style="1" bestFit="1" customWidth="1"/>
    <col min="4" max="4" width="43.554687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+SUM(VINODGRAISSE[TOTAL MONTANT])</f>
        <v>0</v>
      </c>
      <c r="F4" s="39">
        <f>+SUM(VINODGRAISSE[VERSEMENT])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187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+$I$2+(VINODGRAISSE[[#This Row],[QUANTITE]]*VINODGRAISSE[[#This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+$I$2+(VINODGRAISSE[[#This Row],[QUANTITE]]*VINODGRAISSE[[#This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+$I$2+(VINODGRAISSE[[#This Row],[QUANTITE]]*VINODGRAISSE[[#This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+$I$2+(VINODGRAISSE[[#This Row],[QUANTITE]]*VINODGRAISSE[[#This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+$I$2+(VINODGRAISSE[[#This Row],[QUANTITE]]*VINODGRAISSE[[#This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+$I$2+(VINODGRAISSE[[#This Row],[QUANTITE]]*VINODGRAISSE[[#This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+$I$2+(VINODGRAISSE[[#This Row],[QUANTITE]]*VINODGRAISSE[[#This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+$I$2+(VINODGRAISSE[[#This Row],[QUANTITE]]*VINODGRAISSE[[#This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+$I$2+(VINODGRAISSE[[#This Row],[QUANTITE]]*VINODGRAISSE[[#This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+$I$2+(VINODGRAISSE[[#This Row],[QUANTITE]]*VINODGRAISSE[[#This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+$I$2+(VINODGRAISSE[[#This Row],[QUANTITE]]*VINODGRAISSE[[#This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+$I$2+(VINODGRAISSE[[#This Row],[QUANTITE]]*VINODGRAISSE[[#This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+$I$2+(VINODGRAISSE[[#This Row],[QUANTITE]]*VINODGRAISSE[[#This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+$I$2+(VINODGRAISSE[[#This Row],[QUANTITE]]*VINODGRAISSE[[#This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+$I$2+(VINODGRAISSE[[#This Row],[QUANTITE]]*VINODGRAISSE[[#This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+$I$2+(VINODGRAISSE[[#This Row],[QUANTITE]]*VINODGRAISSE[[#This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+$I$2+(VINODGRAISSE[[#This Row],[QUANTITE]]*VINODGRAISSE[[#This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+$I$2+(VINODGRAISSE[[#This Row],[QUANTITE]]*VINODGRAISSE[[#This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+$I$2+(VINODGRAISSE[[#This Row],[QUANTITE]]*VINODGRAISSE[[#This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+$I$2+(VINODGRAISSE[[#This Row],[QUANTITE]]*VINODGRAISSE[[#This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+$I$2+(VINODGRAISSE[[#This Row],[QUANTITE]]*VINODGRAISSE[[#This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+$I$2+(VINODGRAISSE[[#This Row],[QUANTITE]]*VINODGRAISSE[[#This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+$I$2+(VINODGRAISSE[[#This Row],[QUANTITE]]*VINODGRAISSE[[#This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+$I$2+(VINODGRAISSE[[#This Row],[QUANTITE]]*VINODGRAISSE[[#This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+$I$2+(VINODGRAISSE[[#This Row],[QUANTITE]]*VINODGRAISSE[[#This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+$I$2+(VINODGRAISSE[[#This Row],[QUANTITE]]*VINODGRAISSE[[#This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+$I$2+(VINODGRAISSE[[#This Row],[QUANTITE]]*VINODGRAISSE[[#This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+$I$2+(VINODGRAISSE[[#This Row],[QUANTITE]]*VINODGRAISSE[[#This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+$I$2+(VINODGRAISSE[[#This Row],[QUANTITE]]*VINODGRAISSE[[#This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+$I$2+(VINODGRAISSE[[#This Row],[QUANTITE]]*VINODGRAISSE[[#This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+$I$2+(VINODGRAISSE[[#This Row],[QUANTITE]]*VINODGRAISSE[[#This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+$I$2+(VINODGRAISSE[[#This Row],[QUANTITE]]*VINODGRAISSE[[#This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+$I$2+(VINODGRAISSE[[#This Row],[QUANTITE]]*VINODGRAISSE[[#This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+$I$2+(VINODGRAISSE[[#This Row],[QUANTITE]]*VINODGRAISSE[[#This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+$I$2+(VINODGRAISSE[[#This Row],[QUANTITE]]*VINODGRAISSE[[#This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+$I$2+(VINODGRAISSE[[#This Row],[QUANTITE]]*VINODGRAISSE[[#This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+$I$2+(VINODGRAISSE[[#This Row],[QUANTITE]]*VINODGRAISSE[[#This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+$I$2+(VINODGRAISSE[[#This Row],[QUANTITE]]*VINODGRAISSE[[#This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+$I$2+(VINODGRAISSE[[#This Row],[QUANTITE]]*VINODGRAISSE[[#This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+$I$2+(VINODGRAISSE[[#This Row],[QUANTITE]]*VINODGRAISSE[[#This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+$I$2+(VINODGRAISSE[[#This Row],[QUANTITE]]*VINODGRAISSE[[#This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+$I$2+(VINODGRAISSE[[#This Row],[QUANTITE]]*VINODGRAISSE[[#This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+$I$2+(VINODGRAISSE[[#This Row],[QUANTITE]]*VINODGRAISSE[[#This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+$I$2+(VINODGRAISSE[[#This Row],[QUANTITE]]*VINODGRAISSE[[#This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+$I$2+(VINODGRAISSE[[#This Row],[QUANTITE]]*VINODGRAISSE[[#This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+$I$2+(VINODGRAISSE[[#This Row],[QUANTITE]]*VINODGRAISSE[[#This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+$I$2+(VINODGRAISSE[[#This Row],[QUANTITE]]*VINODGRAISSE[[#This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+$I$2+(VINODGRAISSE[[#This Row],[QUANTITE]]*VINODGRAISSE[[#This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+$I$2+(VINODGRAISSE[[#This Row],[QUANTITE]]*VINODGRAISSE[[#This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+$I$2+(VINODGRAISSE[[#This Row],[QUANTITE]]*VINODGRAISSE[[#This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+$I$2+(VINODGRAISSE[[#This Row],[QUANTITE]]*VINODGRAISSE[[#This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+$I$2+(VINODGRAISSE[[#This Row],[QUANTITE]]*VINODGRAISSE[[#This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+$I$2+(VINODGRAISSE[[#This Row],[QUANTITE]]*VINODGRAISSE[[#This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+$I$2+(VINODGRAISSE[[#This Row],[QUANTITE]]*VINODGRAISSE[[#This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+$I$2+(VINODGRAISSE[[#This Row],[QUANTITE]]*VINODGRAISSE[[#This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+$I$2+(VINODGRAISSE[[#This Row],[QUANTITE]]*VINODGRAISSE[[#This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+$I$2+(VINODGRAISSE[[#This Row],[QUANTITE]]*VINODGRAISSE[[#This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+$I$2+(VINODGRAISSE[[#This Row],[QUANTITE]]*VINODGRAISSE[[#This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+$I$2+(VINODGRAISSE[[#This Row],[QUANTITE]]*VINODGRAISSE[[#This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+$I$2+(VINODGRAISSE[[#This Row],[QUANTITE]]*VINODGRAISSE[[#This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+$I$2+(VINODGRAISSE[[#This Row],[QUANTITE]]*VINODGRAISSE[[#This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+$I$2+(VINODGRAISSE[[#This Row],[QUANTITE]]*VINODGRAISSE[[#This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+$I$2+(VINODGRAISSE[[#This Row],[QUANTITE]]*VINODGRAISSE[[#This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+$I$2+(VINODGRAISSE[[#This Row],[QUANTITE]]*VINODGRAISSE[[#This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+$I$2+(VINODGRAISSE[[#This Row],[QUANTITE]]*VINODGRAISSE[[#This Row],[PRIX UNITAIRE]])</f>
        <v>0</v>
      </c>
      <c r="F73" s="14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+$I$2+(VINODGRAISSE[[#This Row],[QUANTITE]]*VINODGRAISSE[[#This Row],[PRIX UNITAIRE]])</f>
        <v>0</v>
      </c>
      <c r="F74" s="14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+$I$2+(VINODGRAISSE[[#This Row],[QUANTITE]]*VINODGRAISSE[[#This Row],[PRIX UNITAIRE]])</f>
        <v>0</v>
      </c>
      <c r="F75" s="14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+$I$2+(VINODGRAISSE[[#This Row],[QUANTITE]]*VINODGRAISSE[[#This Row],[PRIX UNITAIRE]])</f>
        <v>0</v>
      </c>
      <c r="F76" s="14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+$I$2+(VINODGRAISSE[[#This Row],[QUANTITE]]*VINODGRAISSE[[#This Row],[PRIX UNITAIRE]])</f>
        <v>0</v>
      </c>
      <c r="F77" s="14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+$I$2+(VINODGRAISSE[[#This Row],[QUANTITE]]*VINODGRAISSE[[#This Row],[PRIX UNITAIRE]])</f>
        <v>0</v>
      </c>
      <c r="F78" s="14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+$I$2+(VINODGRAISSE[[#This Row],[QUANTITE]]*VINODGRAISSE[[#This Row],[PRIX UNITAIRE]])</f>
        <v>0</v>
      </c>
      <c r="F79" s="14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+$I$2+(VINODGRAISSE[[#This Row],[QUANTITE]]*VINODGRAISSE[[#This Row],[PRIX UNITAIRE]])</f>
        <v>0</v>
      </c>
      <c r="F80" s="14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+$I$2+(VINODGRAISSE[[#This Row],[QUANTITE]]*VINODGRAISSE[[#This Row],[PRIX UNITAIRE]])</f>
        <v>0</v>
      </c>
      <c r="F81" s="14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+$I$2+(VINODGRAISSE[[#This Row],[QUANTITE]]*VINODGRAISSE[[#This Row],[PRIX UNITAIRE]])</f>
        <v>0</v>
      </c>
      <c r="F82" s="14"/>
      <c r="G82" s="6">
        <f>+SUM(E$9:$E82)-SUM(F$9:$F82)</f>
        <v>0</v>
      </c>
    </row>
  </sheetData>
  <sheetProtection selectLockedCells="1" autoFilter="0"/>
  <mergeCells count="1">
    <mergeCell ref="B6:C6"/>
  </mergeCells>
  <conditionalFormatting sqref="B9:B82">
    <cfRule type="expression" dxfId="211" priority="5">
      <formula>$F9</formula>
    </cfRule>
  </conditionalFormatting>
  <conditionalFormatting sqref="G4">
    <cfRule type="cellIs" dxfId="210" priority="2" operator="lessThan">
      <formula>0</formula>
    </cfRule>
    <cfRule type="cellIs" dxfId="209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/>
  <dimension ref="A1:I72"/>
  <sheetViews>
    <sheetView showGridLines="0" topLeftCell="D1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8.33203125" style="1" bestFit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+SUM(ABASSFARESS[TOTAL MONTANT])</f>
        <v>0</v>
      </c>
      <c r="F4" s="39">
        <f>+SUM(ABASSFARESS[VERSEMENT])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188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+$I$2+(ABASSFARESS[[#This Row],[QUANTITE]]*ABASSFARESS[[#This Row],[PRIX UNITAIRE]])</f>
        <v>0</v>
      </c>
      <c r="F9" s="18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+$I$2+(ABASSFARESS[[#This Row],[QUANTITE]]*ABASSFARESS[[#This Row],[PRIX UNITAIRE]])</f>
        <v>0</v>
      </c>
      <c r="F10" s="19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+$I$2+(ABASSFARESS[[#This Row],[QUANTITE]]*ABASSFARESS[[#This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+$I$2+(ABASSFARESS[[#This Row],[QUANTITE]]*ABASSFARESS[[#This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+$I$2+(ABASSFARESS[[#This Row],[QUANTITE]]*ABASSFARESS[[#This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+$I$2+(ABASSFARESS[[#This Row],[QUANTITE]]*ABASSFARESS[[#This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+$I$2+(ABASSFARESS[[#This Row],[QUANTITE]]*ABASSFARESS[[#This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+$I$2+(ABASSFARESS[[#This Row],[QUANTITE]]*ABASSFARESS[[#This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+$I$2+(ABASSFARESS[[#This Row],[QUANTITE]]*ABASSFARESS[[#This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+$I$2+(ABASSFARESS[[#This Row],[QUANTITE]]*ABASSFARESS[[#This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+$I$2+(ABASSFARESS[[#This Row],[QUANTITE]]*ABASSFARESS[[#This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+$I$2+(ABASSFARESS[[#This Row],[QUANTITE]]*ABASSFARESS[[#This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+$I$2+(ABASSFARESS[[#This Row],[QUANTITE]]*ABASSFARESS[[#This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+$I$2+(ABASSFARESS[[#This Row],[QUANTITE]]*ABASSFARESS[[#This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+$I$2+(ABASSFARESS[[#This Row],[QUANTITE]]*ABASSFARESS[[#This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+$I$2+(ABASSFARESS[[#This Row],[QUANTITE]]*ABASSFARESS[[#This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+$I$2+(ABASSFARESS[[#This Row],[QUANTITE]]*ABASSFARESS[[#This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+$I$2+(ABASSFARESS[[#This Row],[QUANTITE]]*ABASSFARESS[[#This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+$I$2+(ABASSFARESS[[#This Row],[QUANTITE]]*ABASSFARESS[[#This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+$I$2+(ABASSFARESS[[#This Row],[QUANTITE]]*ABASSFARESS[[#This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+$I$2+(ABASSFARESS[[#This Row],[QUANTITE]]*ABASSFARESS[[#This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+$I$2+(ABASSFARESS[[#This Row],[QUANTITE]]*ABASSFARESS[[#This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+$I$2+(ABASSFARESS[[#This Row],[QUANTITE]]*ABASSFARESS[[#This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+$I$2+(ABASSFARESS[[#This Row],[QUANTITE]]*ABASSFARESS[[#This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+$I$2+(ABASSFARESS[[#This Row],[QUANTITE]]*ABASSFARESS[[#This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+$I$2+(ABASSFARESS[[#This Row],[QUANTITE]]*ABASSFARESS[[#This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+$I$2+(ABASSFARESS[[#This Row],[QUANTITE]]*ABASSFARESS[[#This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+$I$2+(ABASSFARESS[[#This Row],[QUANTITE]]*ABASSFARESS[[#This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+$I$2+(ABASSFARESS[[#This Row],[QUANTITE]]*ABASSFARESS[[#This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+$I$2+(ABASSFARESS[[#This Row],[QUANTITE]]*ABASSFARESS[[#This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+$I$2+(ABASSFARESS[[#This Row],[QUANTITE]]*ABASSFARESS[[#This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+$I$2+(ABASSFARESS[[#This Row],[QUANTITE]]*ABASSFARESS[[#This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+$I$2+(ABASSFARESS[[#This Row],[QUANTITE]]*ABASSFARESS[[#This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+$I$2+(ABASSFARESS[[#This Row],[QUANTITE]]*ABASSFARESS[[#This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+$I$2+(ABASSFARESS[[#This Row],[QUANTITE]]*ABASSFARESS[[#This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+$I$2+(ABASSFARESS[[#This Row],[QUANTITE]]*ABASSFARESS[[#This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+$I$2+(ABASSFARESS[[#This Row],[QUANTITE]]*ABASSFARESS[[#This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+$I$2+(ABASSFARESS[[#This Row],[QUANTITE]]*ABASSFARESS[[#This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+$I$2+(ABASSFARESS[[#This Row],[QUANTITE]]*ABASSFARESS[[#This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+$I$2+(ABASSFARESS[[#This Row],[QUANTITE]]*ABASSFARESS[[#This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+$I$2+(ABASSFARESS[[#This Row],[QUANTITE]]*ABASSFARESS[[#This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+$I$2+(ABASSFARESS[[#This Row],[QUANTITE]]*ABASSFARESS[[#This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+$I$2+(ABASSFARESS[[#This Row],[QUANTITE]]*ABASSFARESS[[#This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+$I$2+(ABASSFARESS[[#This Row],[QUANTITE]]*ABASSFARESS[[#This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+$I$2+(ABASSFARESS[[#This Row],[QUANTITE]]*ABASSFARESS[[#This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+$I$2+(ABASSFARESS[[#This Row],[QUANTITE]]*ABASSFARESS[[#This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+$I$2+(ABASSFARESS[[#This Row],[QUANTITE]]*ABASSFARESS[[#This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+$I$2+(ABASSFARESS[[#This Row],[QUANTITE]]*ABASSFARESS[[#This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+$I$2+(ABASSFARESS[[#This Row],[QUANTITE]]*ABASSFARESS[[#This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+$I$2+(ABASSFARESS[[#This Row],[QUANTITE]]*ABASSFARESS[[#This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+$I$2+(ABASSFARESS[[#This Row],[QUANTITE]]*ABASSFARESS[[#This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+$I$2+(ABASSFARESS[[#This Row],[QUANTITE]]*ABASSFARESS[[#This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+$I$2+(ABASSFARESS[[#This Row],[QUANTITE]]*ABASSFARESS[[#This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+$I$2+(ABASSFARESS[[#This Row],[QUANTITE]]*ABASSFARESS[[#This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+$I$2+(ABASSFARESS[[#This Row],[QUANTITE]]*ABASSFARESS[[#This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+$I$2+(ABASSFARESS[[#This Row],[QUANTITE]]*ABASSFARESS[[#This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+$I$2+(ABASSFARESS[[#This Row],[QUANTITE]]*ABASSFARESS[[#This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+$I$2+(ABASSFARESS[[#This Row],[QUANTITE]]*ABASSFARESS[[#This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+$I$2+(ABASSFARESS[[#This Row],[QUANTITE]]*ABASSFARESS[[#This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+$I$2+(ABASSFARESS[[#This Row],[QUANTITE]]*ABASSFARESS[[#This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+$I$2+(ABASSFARESS[[#This Row],[QUANTITE]]*ABASSFARESS[[#This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+$I$2+(ABASSFARESS[[#This Row],[QUANTITE]]*ABASSFARESS[[#This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+$I$2+(ABASSFARESS[[#This Row],[QUANTITE]]*ABASSFARESS[[#This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+$I$2+(ABASSFARESS[[#This Row],[QUANTITE]]*ABASSFARESS[[#This Row],[PRIX UNITAIRE]])</f>
        <v>0</v>
      </c>
      <c r="F72" s="14"/>
      <c r="G72" s="6">
        <f>+SUM(E$9:$E72)-SUM(F$9:$F72)</f>
        <v>0</v>
      </c>
    </row>
  </sheetData>
  <sheetProtection selectLockedCells="1" autoFilter="0"/>
  <mergeCells count="1">
    <mergeCell ref="B6:C6"/>
  </mergeCells>
  <conditionalFormatting sqref="B9:B72">
    <cfRule type="expression" dxfId="192" priority="5">
      <formula>$F9</formula>
    </cfRule>
  </conditionalFormatting>
  <conditionalFormatting sqref="G4">
    <cfRule type="cellIs" dxfId="191" priority="2" operator="lessThan">
      <formula>0</formula>
    </cfRule>
    <cfRule type="cellIs" dxfId="190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I153"/>
  <sheetViews>
    <sheetView showGridLines="0" topLeftCell="D1" zoomScale="60" zoomScaleNormal="60" workbookViewId="0">
      <pane ySplit="8" topLeftCell="A85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31"/>
      <c r="D1" s="31"/>
      <c r="E1" s="31"/>
      <c r="F1" s="31"/>
      <c r="G1" s="31"/>
    </row>
    <row r="2" spans="1:9" ht="36" customHeight="1" thickBot="1" x14ac:dyDescent="0.35">
      <c r="A2" s="96"/>
      <c r="B2" s="31"/>
      <c r="C2" s="31"/>
      <c r="D2" s="31"/>
      <c r="E2" s="31"/>
      <c r="F2" s="31"/>
      <c r="G2" s="31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+SUM(ALIJONA[TOTAL MONTANT])</f>
        <v>0</v>
      </c>
      <c r="F4" s="39">
        <f>+SUM(ALIJONA[VERSEMENT])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189</v>
      </c>
      <c r="C6" s="114"/>
      <c r="E6" s="1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+$I$2+(ALIJONA[[#This Row],[QUANTITE]]*ALIJONA[[#This Row],[PRIX UNITAIRE]])</f>
        <v>0</v>
      </c>
      <c r="F9" s="107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+$I$2+(ALIJONA[[#This Row],[QUANTITE]]*ALIJONA[[#This Row],[PRIX UNITAIRE]])</f>
        <v>0</v>
      </c>
      <c r="F10" s="106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+$I$2+(ALIJONA[[#This Row],[QUANTITE]]*ALIJONA[[#This Row],[PRIX UNITAIRE]])</f>
        <v>0</v>
      </c>
      <c r="F11" s="108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+$I$2+(ALIJONA[[#This Row],[QUANTITE]]*ALIJONA[[#This Row],[PRIX UNITAIRE]])</f>
        <v>0</v>
      </c>
      <c r="F12" s="108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+$I$2+(ALIJONA[[#This Row],[QUANTITE]]*ALIJONA[[#This Row],[PRIX UNITAIRE]])</f>
        <v>0</v>
      </c>
      <c r="F13" s="108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+$I$2+(ALIJONA[[#This Row],[QUANTITE]]*ALIJONA[[#This Row],[PRIX UNITAIRE]])</f>
        <v>0</v>
      </c>
      <c r="F14" s="108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+$I$2+(ALIJONA[[#This Row],[QUANTITE]]*ALIJONA[[#This Row],[PRIX UNITAIRE]])</f>
        <v>0</v>
      </c>
      <c r="F15" s="108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+$I$2+(ALIJONA[[#This Row],[QUANTITE]]*ALIJONA[[#This Row],[PRIX UNITAIRE]])</f>
        <v>0</v>
      </c>
      <c r="F16" s="108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+$I$2+(ALIJONA[[#This Row],[QUANTITE]]*ALIJONA[[#This Row],[PRIX UNITAIRE]])</f>
        <v>0</v>
      </c>
      <c r="F17" s="108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+$I$2+(ALIJONA[[#This Row],[QUANTITE]]*ALIJONA[[#This Row],[PRIX UNITAIRE]])</f>
        <v>0</v>
      </c>
      <c r="F18" s="108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+$I$2+(ALIJONA[[#This Row],[QUANTITE]]*ALIJONA[[#This Row],[PRIX UNITAIRE]])</f>
        <v>0</v>
      </c>
      <c r="F19" s="108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+$I$2+(ALIJONA[[#This Row],[QUANTITE]]*ALIJONA[[#This Row],[PRIX UNITAIRE]])</f>
        <v>0</v>
      </c>
      <c r="F20" s="108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+$I$2+(ALIJONA[[#This Row],[QUANTITE]]*ALIJONA[[#This Row],[PRIX UNITAIRE]])</f>
        <v>0</v>
      </c>
      <c r="F21" s="108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+$I$2+(ALIJONA[[#This Row],[QUANTITE]]*ALIJONA[[#This Row],[PRIX UNITAIRE]])</f>
        <v>0</v>
      </c>
      <c r="F22" s="108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+$I$2+(ALIJONA[[#This Row],[QUANTITE]]*ALIJONA[[#This Row],[PRIX UNITAIRE]])</f>
        <v>0</v>
      </c>
      <c r="F23" s="108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+$I$2+(ALIJONA[[#This Row],[QUANTITE]]*ALIJONA[[#This Row],[PRIX UNITAIRE]])</f>
        <v>0</v>
      </c>
      <c r="F24" s="108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+$I$2+(ALIJONA[[#This Row],[QUANTITE]]*ALIJONA[[#This Row],[PRIX UNITAIRE]])</f>
        <v>0</v>
      </c>
      <c r="F25" s="108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+$I$2+(ALIJONA[[#This Row],[QUANTITE]]*ALIJONA[[#This Row],[PRIX UNITAIRE]])</f>
        <v>0</v>
      </c>
      <c r="F26" s="108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+$I$2+(ALIJONA[[#This Row],[QUANTITE]]*ALIJONA[[#This Row],[PRIX UNITAIRE]])</f>
        <v>0</v>
      </c>
      <c r="F27" s="108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+$I$2+(ALIJONA[[#This Row],[QUANTITE]]*ALIJONA[[#This Row],[PRIX UNITAIRE]])</f>
        <v>0</v>
      </c>
      <c r="F28" s="108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+$I$2+(ALIJONA[[#This Row],[QUANTITE]]*ALIJONA[[#This Row],[PRIX UNITAIRE]])</f>
        <v>0</v>
      </c>
      <c r="F29" s="108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+$I$2+(ALIJONA[[#This Row],[QUANTITE]]*ALIJONA[[#This Row],[PRIX UNITAIRE]])</f>
        <v>0</v>
      </c>
      <c r="F30" s="108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+$I$2+(ALIJONA[[#This Row],[QUANTITE]]*ALIJONA[[#This Row],[PRIX UNITAIRE]])</f>
        <v>0</v>
      </c>
      <c r="F31" s="108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+$I$2+(ALIJONA[[#This Row],[QUANTITE]]*ALIJONA[[#This Row],[PRIX UNITAIRE]])</f>
        <v>0</v>
      </c>
      <c r="F32" s="108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+$I$2+(ALIJONA[[#This Row],[QUANTITE]]*ALIJONA[[#This Row],[PRIX UNITAIRE]])</f>
        <v>0</v>
      </c>
      <c r="F33" s="108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+$I$2+(ALIJONA[[#This Row],[QUANTITE]]*ALIJONA[[#This Row],[PRIX UNITAIRE]])</f>
        <v>0</v>
      </c>
      <c r="F34" s="108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+$I$2+(ALIJONA[[#This Row],[QUANTITE]]*ALIJONA[[#This Row],[PRIX UNITAIRE]])</f>
        <v>0</v>
      </c>
      <c r="F35" s="108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+$I$2+(ALIJONA[[#This Row],[QUANTITE]]*ALIJONA[[#This Row],[PRIX UNITAIRE]])</f>
        <v>0</v>
      </c>
      <c r="F36" s="108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+$I$2+(ALIJONA[[#This Row],[QUANTITE]]*ALIJONA[[#This Row],[PRIX UNITAIRE]])</f>
        <v>0</v>
      </c>
      <c r="F37" s="108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+$I$2+(ALIJONA[[#This Row],[QUANTITE]]*ALIJONA[[#This Row],[PRIX UNITAIRE]])</f>
        <v>0</v>
      </c>
      <c r="F38" s="108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+$I$2+(ALIJONA[[#This Row],[QUANTITE]]*ALIJONA[[#This Row],[PRIX UNITAIRE]])</f>
        <v>0</v>
      </c>
      <c r="F39" s="108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+$I$2+(ALIJONA[[#This Row],[QUANTITE]]*ALIJONA[[#This Row],[PRIX UNITAIRE]])</f>
        <v>0</v>
      </c>
      <c r="F40" s="108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+$I$2+(ALIJONA[[#This Row],[QUANTITE]]*ALIJONA[[#This Row],[PRIX UNITAIRE]])</f>
        <v>0</v>
      </c>
      <c r="F41" s="108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+$I$2+(ALIJONA[[#This Row],[QUANTITE]]*ALIJONA[[#This Row],[PRIX UNITAIRE]])</f>
        <v>0</v>
      </c>
      <c r="F42" s="108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+$I$2+(ALIJONA[[#This Row],[QUANTITE]]*ALIJONA[[#This Row],[PRIX UNITAIRE]])</f>
        <v>0</v>
      </c>
      <c r="F43" s="108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+$I$2+(ALIJONA[[#This Row],[QUANTITE]]*ALIJONA[[#This Row],[PRIX UNITAIRE]])</f>
        <v>0</v>
      </c>
      <c r="F44" s="108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+$I$2+(ALIJONA[[#This Row],[QUANTITE]]*ALIJONA[[#This Row],[PRIX UNITAIRE]])</f>
        <v>0</v>
      </c>
      <c r="F45" s="108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+$I$2+(ALIJONA[[#This Row],[QUANTITE]]*ALIJONA[[#This Row],[PRIX UNITAIRE]])</f>
        <v>0</v>
      </c>
      <c r="F46" s="108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+$I$2+(ALIJONA[[#This Row],[QUANTITE]]*ALIJONA[[#This Row],[PRIX UNITAIRE]])</f>
        <v>0</v>
      </c>
      <c r="F47" s="108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+$I$2+(ALIJONA[[#This Row],[QUANTITE]]*ALIJONA[[#This Row],[PRIX UNITAIRE]])</f>
        <v>0</v>
      </c>
      <c r="F48" s="108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+$I$2+(ALIJONA[[#This Row],[QUANTITE]]*ALIJONA[[#This Row],[PRIX UNITAIRE]])</f>
        <v>0</v>
      </c>
      <c r="F49" s="108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+$I$2+(ALIJONA[[#This Row],[QUANTITE]]*ALIJONA[[#This Row],[PRIX UNITAIRE]])</f>
        <v>0</v>
      </c>
      <c r="F50" s="108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+$I$2+(ALIJONA[[#This Row],[QUANTITE]]*ALIJONA[[#This Row],[PRIX UNITAIRE]])</f>
        <v>0</v>
      </c>
      <c r="F51" s="108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+$I$2+(ALIJONA[[#This Row],[QUANTITE]]*ALIJONA[[#This Row],[PRIX UNITAIRE]])</f>
        <v>0</v>
      </c>
      <c r="F52" s="108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+$I$2+(ALIJONA[[#This Row],[QUANTITE]]*ALIJONA[[#This Row],[PRIX UNITAIRE]])</f>
        <v>0</v>
      </c>
      <c r="F53" s="108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+$I$2+(ALIJONA[[#This Row],[QUANTITE]]*ALIJONA[[#This Row],[PRIX UNITAIRE]])</f>
        <v>0</v>
      </c>
      <c r="F54" s="108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+$I$2+(ALIJONA[[#This Row],[QUANTITE]]*ALIJONA[[#This Row],[PRIX UNITAIRE]])</f>
        <v>0</v>
      </c>
      <c r="F55" s="108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+$I$2+(ALIJONA[[#This Row],[QUANTITE]]*ALIJONA[[#This Row],[PRIX UNITAIRE]])</f>
        <v>0</v>
      </c>
      <c r="F56" s="108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+$I$2+(ALIJONA[[#This Row],[QUANTITE]]*ALIJONA[[#This Row],[PRIX UNITAIRE]])</f>
        <v>0</v>
      </c>
      <c r="F57" s="108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+$I$2+(ALIJONA[[#This Row],[QUANTITE]]*ALIJONA[[#This Row],[PRIX UNITAIRE]])</f>
        <v>0</v>
      </c>
      <c r="F58" s="108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+$I$2+(ALIJONA[[#This Row],[QUANTITE]]*ALIJONA[[#This Row],[PRIX UNITAIRE]])</f>
        <v>0</v>
      </c>
      <c r="F59" s="108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+$I$2+(ALIJONA[[#This Row],[QUANTITE]]*ALIJONA[[#This Row],[PRIX UNITAIRE]])</f>
        <v>0</v>
      </c>
      <c r="F60" s="108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+$I$2+(ALIJONA[[#This Row],[QUANTITE]]*ALIJONA[[#This Row],[PRIX UNITAIRE]])</f>
        <v>0</v>
      </c>
      <c r="F61" s="108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+$I$2+(ALIJONA[[#This Row],[QUANTITE]]*ALIJONA[[#This Row],[PRIX UNITAIRE]])</f>
        <v>0</v>
      </c>
      <c r="F62" s="108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+$I$2+(ALIJONA[[#This Row],[QUANTITE]]*ALIJONA[[#This Row],[PRIX UNITAIRE]])</f>
        <v>0</v>
      </c>
      <c r="F63" s="108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+$I$2+(ALIJONA[[#This Row],[QUANTITE]]*ALIJONA[[#This Row],[PRIX UNITAIRE]])</f>
        <v>0</v>
      </c>
      <c r="F64" s="108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+$I$2+(ALIJONA[[#This Row],[QUANTITE]]*ALIJONA[[#This Row],[PRIX UNITAIRE]])</f>
        <v>0</v>
      </c>
      <c r="F65" s="108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+$I$2+(ALIJONA[[#This Row],[QUANTITE]]*ALIJONA[[#This Row],[PRIX UNITAIRE]])</f>
        <v>0</v>
      </c>
      <c r="F66" s="108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+$I$2+(ALIJONA[[#This Row],[QUANTITE]]*ALIJONA[[#This Row],[PRIX UNITAIRE]])</f>
        <v>0</v>
      </c>
      <c r="F67" s="108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+$I$2+(ALIJONA[[#This Row],[QUANTITE]]*ALIJONA[[#This Row],[PRIX UNITAIRE]])</f>
        <v>0</v>
      </c>
      <c r="F68" s="108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+$I$2+(ALIJONA[[#This Row],[QUANTITE]]*ALIJONA[[#This Row],[PRIX UNITAIRE]])</f>
        <v>0</v>
      </c>
      <c r="F69" s="108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+$I$2+(ALIJONA[[#This Row],[QUANTITE]]*ALIJONA[[#This Row],[PRIX UNITAIRE]])</f>
        <v>0</v>
      </c>
      <c r="F70" s="108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+$I$2+(ALIJONA[[#This Row],[QUANTITE]]*ALIJONA[[#This Row],[PRIX UNITAIRE]])</f>
        <v>0</v>
      </c>
      <c r="F71" s="108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+$I$2+(ALIJONA[[#This Row],[QUANTITE]]*ALIJONA[[#This Row],[PRIX UNITAIRE]])</f>
        <v>0</v>
      </c>
      <c r="F72" s="108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+$I$2+(ALIJONA[[#This Row],[QUANTITE]]*ALIJONA[[#This Row],[PRIX UNITAIRE]])</f>
        <v>0</v>
      </c>
      <c r="F73" s="108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+$I$2+(ALIJONA[[#This Row],[QUANTITE]]*ALIJONA[[#This Row],[PRIX UNITAIRE]])</f>
        <v>0</v>
      </c>
      <c r="F74" s="108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+$I$2+(ALIJONA[[#This Row],[QUANTITE]]*ALIJONA[[#This Row],[PRIX UNITAIRE]])</f>
        <v>0</v>
      </c>
      <c r="F75" s="108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+$I$2+(ALIJONA[[#This Row],[QUANTITE]]*ALIJONA[[#This Row],[PRIX UNITAIRE]])</f>
        <v>0</v>
      </c>
      <c r="F76" s="108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+$I$2+(ALIJONA[[#This Row],[QUANTITE]]*ALIJONA[[#This Row],[PRIX UNITAIRE]])</f>
        <v>0</v>
      </c>
      <c r="F77" s="108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+$I$2+(ALIJONA[[#This Row],[QUANTITE]]*ALIJONA[[#This Row],[PRIX UNITAIRE]])</f>
        <v>0</v>
      </c>
      <c r="F78" s="108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+$I$2+(ALIJONA[[#This Row],[QUANTITE]]*ALIJONA[[#This Row],[PRIX UNITAIRE]])</f>
        <v>0</v>
      </c>
      <c r="F79" s="108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+$I$2+(ALIJONA[[#This Row],[QUANTITE]]*ALIJONA[[#This Row],[PRIX UNITAIRE]])</f>
        <v>0</v>
      </c>
      <c r="F80" s="108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+$I$2+(ALIJONA[[#This Row],[QUANTITE]]*ALIJONA[[#This Row],[PRIX UNITAIRE]])</f>
        <v>0</v>
      </c>
      <c r="F81" s="108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+$I$2+(ALIJONA[[#This Row],[QUANTITE]]*ALIJONA[[#This Row],[PRIX UNITAIRE]])</f>
        <v>0</v>
      </c>
      <c r="F82" s="108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+$I$2+(ALIJONA[[#This Row],[QUANTITE]]*ALIJONA[[#This Row],[PRIX UNITAIRE]])</f>
        <v>0</v>
      </c>
      <c r="F83" s="108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+$I$2+(ALIJONA[[#This Row],[QUANTITE]]*ALIJONA[[#This Row],[PRIX UNITAIRE]])</f>
        <v>0</v>
      </c>
      <c r="F84" s="108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+$I$2+(ALIJONA[[#This Row],[QUANTITE]]*ALIJONA[[#This Row],[PRIX UNITAIRE]])</f>
        <v>0</v>
      </c>
      <c r="F85" s="108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+$I$2+(ALIJONA[[#This Row],[QUANTITE]]*ALIJONA[[#This Row],[PRIX UNITAIRE]])</f>
        <v>0</v>
      </c>
      <c r="F86" s="108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+$I$2+(ALIJONA[[#This Row],[QUANTITE]]*ALIJONA[[#This Row],[PRIX UNITAIRE]])</f>
        <v>0</v>
      </c>
      <c r="F87" s="108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+$I$2+(ALIJONA[[#This Row],[QUANTITE]]*ALIJONA[[#This Row],[PRIX UNITAIRE]])</f>
        <v>0</v>
      </c>
      <c r="F88" s="108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+$I$2+(ALIJONA[[#This Row],[QUANTITE]]*ALIJONA[[#This Row],[PRIX UNITAIRE]])</f>
        <v>0</v>
      </c>
      <c r="F89" s="108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+$I$2+(ALIJONA[[#This Row],[QUANTITE]]*ALIJONA[[#This Row],[PRIX UNITAIRE]])</f>
        <v>0</v>
      </c>
      <c r="F90" s="108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+$I$2+(ALIJONA[[#This Row],[QUANTITE]]*ALIJONA[[#This Row],[PRIX UNITAIRE]])</f>
        <v>0</v>
      </c>
      <c r="F91" s="108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+$I$2+(ALIJONA[[#This Row],[QUANTITE]]*ALIJONA[[#This Row],[PRIX UNITAIRE]])</f>
        <v>0</v>
      </c>
      <c r="F92" s="108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+$I$2+(ALIJONA[[#This Row],[QUANTITE]]*ALIJONA[[#This Row],[PRIX UNITAIRE]])</f>
        <v>0</v>
      </c>
      <c r="F93" s="108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+$I$2+(ALIJONA[[#This Row],[QUANTITE]]*ALIJONA[[#This Row],[PRIX UNITAIRE]])</f>
        <v>0</v>
      </c>
      <c r="F94" s="108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+$I$2+(ALIJONA[[#This Row],[QUANTITE]]*ALIJONA[[#This Row],[PRIX UNITAIRE]])</f>
        <v>0</v>
      </c>
      <c r="F95" s="108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+$I$2+(ALIJONA[[#This Row],[QUANTITE]]*ALIJONA[[#This Row],[PRIX UNITAIRE]])</f>
        <v>0</v>
      </c>
      <c r="F96" s="108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+$I$2+(ALIJONA[[#This Row],[QUANTITE]]*ALIJONA[[#This Row],[PRIX UNITAIRE]])</f>
        <v>0</v>
      </c>
      <c r="F97" s="108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+$I$2+(ALIJONA[[#This Row],[QUANTITE]]*ALIJONA[[#This Row],[PRIX UNITAIRE]])</f>
        <v>0</v>
      </c>
      <c r="F98" s="108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+$I$2+(ALIJONA[[#This Row],[QUANTITE]]*ALIJONA[[#This Row],[PRIX UNITAIRE]])</f>
        <v>0</v>
      </c>
      <c r="F99" s="108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+$I$2+(ALIJONA[[#This Row],[QUANTITE]]*ALIJONA[[#This Row],[PRIX UNITAIRE]])</f>
        <v>0</v>
      </c>
      <c r="F100" s="108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+$I$2+(ALIJONA[[#This Row],[QUANTITE]]*ALIJONA[[#This Row],[PRIX UNITAIRE]])</f>
        <v>0</v>
      </c>
      <c r="F101" s="108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+$I$2+(ALIJONA[[#This Row],[QUANTITE]]*ALIJONA[[#This Row],[PRIX UNITAIRE]])</f>
        <v>0</v>
      </c>
      <c r="F102" s="108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+$I$2+(ALIJONA[[#This Row],[QUANTITE]]*ALIJONA[[#This Row],[PRIX UNITAIRE]])</f>
        <v>0</v>
      </c>
      <c r="F103" s="108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+$I$2+(ALIJONA[[#This Row],[QUANTITE]]*ALIJONA[[#This Row],[PRIX UNITAIRE]])</f>
        <v>0</v>
      </c>
      <c r="F104" s="108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+$I$2+(ALIJONA[[#This Row],[QUANTITE]]*ALIJONA[[#This Row],[PRIX UNITAIRE]])</f>
        <v>0</v>
      </c>
      <c r="F105" s="108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+$I$2+(ALIJONA[[#This Row],[QUANTITE]]*ALIJONA[[#This Row],[PRIX UNITAIRE]])</f>
        <v>0</v>
      </c>
      <c r="F106" s="108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+$I$2+(ALIJONA[[#This Row],[QUANTITE]]*ALIJONA[[#This Row],[PRIX UNITAIRE]])</f>
        <v>0</v>
      </c>
      <c r="F107" s="108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+$I$2+(ALIJONA[[#This Row],[QUANTITE]]*ALIJONA[[#This Row],[PRIX UNITAIRE]])</f>
        <v>0</v>
      </c>
      <c r="F108" s="108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+$I$2+(ALIJONA[[#This Row],[QUANTITE]]*ALIJONA[[#This Row],[PRIX UNITAIRE]])</f>
        <v>0</v>
      </c>
      <c r="F109" s="108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+$I$2+(ALIJONA[[#This Row],[QUANTITE]]*ALIJONA[[#This Row],[PRIX UNITAIRE]])</f>
        <v>0</v>
      </c>
      <c r="F110" s="108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+$I$2+(ALIJONA[[#This Row],[QUANTITE]]*ALIJONA[[#This Row],[PRIX UNITAIRE]])</f>
        <v>0</v>
      </c>
      <c r="F111" s="108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+$I$2+(ALIJONA[[#This Row],[QUANTITE]]*ALIJONA[[#This Row],[PRIX UNITAIRE]])</f>
        <v>0</v>
      </c>
      <c r="F112" s="108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+$I$2+(ALIJONA[[#This Row],[QUANTITE]]*ALIJONA[[#This Row],[PRIX UNITAIRE]])</f>
        <v>0</v>
      </c>
      <c r="F113" s="108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+$I$2+(ALIJONA[[#This Row],[QUANTITE]]*ALIJONA[[#This Row],[PRIX UNITAIRE]])</f>
        <v>0</v>
      </c>
      <c r="F114" s="108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+$I$2+(ALIJONA[[#This Row],[QUANTITE]]*ALIJONA[[#This Row],[PRIX UNITAIRE]])</f>
        <v>0</v>
      </c>
      <c r="F115" s="108"/>
      <c r="G115" s="6">
        <f>+SUM(E$9:$E115)-SUM(F$9:$F115)</f>
        <v>0</v>
      </c>
    </row>
    <row r="116" spans="1:7" ht="28.8" x14ac:dyDescent="0.55000000000000004">
      <c r="A116" s="12"/>
      <c r="B116" s="110"/>
      <c r="C116" s="10"/>
      <c r="D116" s="10"/>
      <c r="E116" s="7">
        <f>+$I$2+(ALIJONA[[#This Row],[QUANTITE]]*ALIJONA[[#This Row],[PRIX UNITAIRE]])</f>
        <v>0</v>
      </c>
      <c r="F116" s="108"/>
      <c r="G116" s="6">
        <f>+SUM(E$9:$E116)-SUM(F$9:$F116)</f>
        <v>0</v>
      </c>
    </row>
    <row r="117" spans="1:7" ht="28.8" x14ac:dyDescent="0.55000000000000004">
      <c r="A117" s="12"/>
      <c r="B117" s="110"/>
      <c r="C117" s="10"/>
      <c r="D117" s="10"/>
      <c r="E117" s="7">
        <f>+$I$2+(ALIJONA[[#This Row],[QUANTITE]]*ALIJONA[[#This Row],[PRIX UNITAIRE]])</f>
        <v>0</v>
      </c>
      <c r="F117" s="108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+$I$2+(ALIJONA[[#This Row],[QUANTITE]]*ALIJONA[[#This Row],[PRIX UNITAIRE]])</f>
        <v>0</v>
      </c>
      <c r="F118" s="108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+$I$2+(ALIJONA[[#This Row],[QUANTITE]]*ALIJONA[[#This Row],[PRIX UNITAIRE]])</f>
        <v>0</v>
      </c>
      <c r="F119" s="108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+$I$2+(ALIJONA[[#This Row],[QUANTITE]]*ALIJONA[[#This Row],[PRIX UNITAIRE]])</f>
        <v>0</v>
      </c>
      <c r="F120" s="108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+$I$2+(ALIJONA[[#This Row],[QUANTITE]]*ALIJONA[[#This Row],[PRIX UNITAIRE]])</f>
        <v>0</v>
      </c>
      <c r="F121" s="108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+$I$2+(ALIJONA[[#This Row],[QUANTITE]]*ALIJONA[[#This Row],[PRIX UNITAIRE]])</f>
        <v>0</v>
      </c>
      <c r="F122" s="108"/>
      <c r="G122" s="6">
        <f>+SUM(E$9:$E122)-SUM(F$9:$F122)</f>
        <v>0</v>
      </c>
    </row>
    <row r="123" spans="1:7" ht="28.8" x14ac:dyDescent="0.55000000000000004">
      <c r="A123" s="12"/>
      <c r="B123" s="13"/>
      <c r="C123" s="10"/>
      <c r="D123" s="10"/>
      <c r="E123" s="7">
        <f>+$I$2+(ALIJONA[[#This Row],[QUANTITE]]*ALIJONA[[#This Row],[PRIX UNITAIRE]])</f>
        <v>0</v>
      </c>
      <c r="F123" s="108"/>
      <c r="G123" s="6">
        <f>+SUM(E$9:$E123)-SUM(F$9:$F123)</f>
        <v>0</v>
      </c>
    </row>
    <row r="124" spans="1:7" ht="28.8" x14ac:dyDescent="0.55000000000000004">
      <c r="A124" s="12"/>
      <c r="B124" s="13"/>
      <c r="C124" s="10"/>
      <c r="D124" s="10"/>
      <c r="E124" s="7">
        <f>+$I$2+(ALIJONA[[#This Row],[QUANTITE]]*ALIJONA[[#This Row],[PRIX UNITAIRE]])</f>
        <v>0</v>
      </c>
      <c r="F124" s="108"/>
      <c r="G124" s="6">
        <f>+SUM(E$9:$E124)-SUM(F$9:$F124)</f>
        <v>0</v>
      </c>
    </row>
    <row r="125" spans="1:7" ht="28.8" x14ac:dyDescent="0.55000000000000004">
      <c r="A125" s="12"/>
      <c r="B125" s="13"/>
      <c r="C125" s="10"/>
      <c r="D125" s="10"/>
      <c r="E125" s="7">
        <f>+$I$2+(ALIJONA[[#This Row],[QUANTITE]]*ALIJONA[[#This Row],[PRIX UNITAIRE]])</f>
        <v>0</v>
      </c>
      <c r="F125" s="108"/>
      <c r="G125" s="6">
        <f>+SUM(E$9:$E125)-SUM(F$9:$F125)</f>
        <v>0</v>
      </c>
    </row>
    <row r="126" spans="1:7" ht="28.8" x14ac:dyDescent="0.55000000000000004">
      <c r="A126" s="12"/>
      <c r="B126" s="13"/>
      <c r="C126" s="10"/>
      <c r="D126" s="10"/>
      <c r="E126" s="7">
        <f>+$I$2+(ALIJONA[[#This Row],[QUANTITE]]*ALIJONA[[#This Row],[PRIX UNITAIRE]])</f>
        <v>0</v>
      </c>
      <c r="F126" s="108"/>
      <c r="G126" s="6">
        <f>+SUM(E$9:$E126)-SUM(F$9:$F126)</f>
        <v>0</v>
      </c>
    </row>
    <row r="127" spans="1:7" ht="28.8" x14ac:dyDescent="0.55000000000000004">
      <c r="A127" s="12"/>
      <c r="B127" s="13"/>
      <c r="C127" s="10"/>
      <c r="D127" s="10"/>
      <c r="E127" s="7">
        <f>+$I$2+(ALIJONA[[#This Row],[QUANTITE]]*ALIJONA[[#This Row],[PRIX UNITAIRE]])</f>
        <v>0</v>
      </c>
      <c r="F127" s="108"/>
      <c r="G127" s="6">
        <f>+SUM(E$9:$E127)-SUM(F$9:$F127)</f>
        <v>0</v>
      </c>
    </row>
    <row r="128" spans="1:7" ht="28.8" x14ac:dyDescent="0.55000000000000004">
      <c r="A128" s="12"/>
      <c r="B128" s="13"/>
      <c r="C128" s="10"/>
      <c r="D128" s="10"/>
      <c r="E128" s="7">
        <f>+$I$2+(ALIJONA[[#This Row],[QUANTITE]]*ALIJONA[[#This Row],[PRIX UNITAIRE]])</f>
        <v>0</v>
      </c>
      <c r="F128" s="108"/>
      <c r="G128" s="6">
        <f>+SUM(E$9:$E128)-SUM(F$9:$F128)</f>
        <v>0</v>
      </c>
    </row>
    <row r="129" spans="1:7" ht="28.8" x14ac:dyDescent="0.55000000000000004">
      <c r="A129" s="12"/>
      <c r="B129" s="13"/>
      <c r="C129" s="10"/>
      <c r="D129" s="10"/>
      <c r="E129" s="7">
        <f>+$I$2+(ALIJONA[[#This Row],[QUANTITE]]*ALIJONA[[#This Row],[PRIX UNITAIRE]])</f>
        <v>0</v>
      </c>
      <c r="F129" s="108"/>
      <c r="G129" s="6">
        <f>+SUM(E$9:$E129)-SUM(F$9:$F129)</f>
        <v>0</v>
      </c>
    </row>
    <row r="130" spans="1:7" ht="28.8" x14ac:dyDescent="0.55000000000000004">
      <c r="A130" s="12"/>
      <c r="B130" s="13"/>
      <c r="C130" s="10"/>
      <c r="D130" s="10"/>
      <c r="E130" s="7">
        <f>+$I$2+(ALIJONA[[#This Row],[QUANTITE]]*ALIJONA[[#This Row],[PRIX UNITAIRE]])</f>
        <v>0</v>
      </c>
      <c r="F130" s="108"/>
      <c r="G130" s="6">
        <f>+SUM(E$9:$E130)-SUM(F$9:$F130)</f>
        <v>0</v>
      </c>
    </row>
    <row r="131" spans="1:7" ht="28.8" x14ac:dyDescent="0.55000000000000004">
      <c r="A131" s="12"/>
      <c r="B131" s="13"/>
      <c r="C131" s="10"/>
      <c r="D131" s="10"/>
      <c r="E131" s="7">
        <f>+$I$2+(ALIJONA[[#This Row],[QUANTITE]]*ALIJONA[[#This Row],[PRIX UNITAIRE]])</f>
        <v>0</v>
      </c>
      <c r="F131" s="108"/>
      <c r="G131" s="6">
        <f>+SUM(E$9:$E131)-SUM(F$9:$F131)</f>
        <v>0</v>
      </c>
    </row>
    <row r="132" spans="1:7" ht="28.8" x14ac:dyDescent="0.55000000000000004">
      <c r="A132" s="12"/>
      <c r="B132" s="13"/>
      <c r="C132" s="10"/>
      <c r="D132" s="10"/>
      <c r="E132" s="7">
        <f>+$I$2+(ALIJONA[[#This Row],[QUANTITE]]*ALIJONA[[#This Row],[PRIX UNITAIRE]])</f>
        <v>0</v>
      </c>
      <c r="F132" s="108"/>
      <c r="G132" s="6">
        <f>+SUM(E$9:$E132)-SUM(F$9:$F132)</f>
        <v>0</v>
      </c>
    </row>
    <row r="133" spans="1:7" ht="28.8" x14ac:dyDescent="0.55000000000000004">
      <c r="A133" s="12"/>
      <c r="B133" s="13"/>
      <c r="C133" s="10"/>
      <c r="D133" s="10"/>
      <c r="E133" s="7">
        <f>+$I$2+(ALIJONA[[#This Row],[QUANTITE]]*ALIJONA[[#This Row],[PRIX UNITAIRE]])</f>
        <v>0</v>
      </c>
      <c r="F133" s="108"/>
      <c r="G133" s="6">
        <f>+SUM(E$9:$E133)-SUM(F$9:$F133)</f>
        <v>0</v>
      </c>
    </row>
    <row r="134" spans="1:7" ht="28.8" x14ac:dyDescent="0.55000000000000004">
      <c r="A134" s="12"/>
      <c r="B134" s="13"/>
      <c r="C134" s="10"/>
      <c r="D134" s="10"/>
      <c r="E134" s="7">
        <f>+$I$2+(ALIJONA[[#This Row],[QUANTITE]]*ALIJONA[[#This Row],[PRIX UNITAIRE]])</f>
        <v>0</v>
      </c>
      <c r="F134" s="108"/>
      <c r="G134" s="6">
        <f>+SUM(E$9:$E134)-SUM(F$9:$F134)</f>
        <v>0</v>
      </c>
    </row>
    <row r="135" spans="1:7" ht="28.8" x14ac:dyDescent="0.55000000000000004">
      <c r="A135" s="12"/>
      <c r="B135" s="13"/>
      <c r="C135" s="10"/>
      <c r="D135" s="10"/>
      <c r="E135" s="7">
        <f>+$I$2+(ALIJONA[[#This Row],[QUANTITE]]*ALIJONA[[#This Row],[PRIX UNITAIRE]])</f>
        <v>0</v>
      </c>
      <c r="F135" s="108"/>
      <c r="G135" s="6">
        <f>+SUM(E$9:$E135)-SUM(F$9:$F135)</f>
        <v>0</v>
      </c>
    </row>
    <row r="136" spans="1:7" ht="28.8" x14ac:dyDescent="0.55000000000000004">
      <c r="A136" s="12"/>
      <c r="B136" s="13"/>
      <c r="C136" s="10"/>
      <c r="D136" s="10"/>
      <c r="E136" s="7">
        <f>+$I$2+(ALIJONA[[#This Row],[QUANTITE]]*ALIJONA[[#This Row],[PRIX UNITAIRE]])</f>
        <v>0</v>
      </c>
      <c r="F136" s="108"/>
      <c r="G136" s="6">
        <f>+SUM(E$9:$E136)-SUM(F$9:$F136)</f>
        <v>0</v>
      </c>
    </row>
    <row r="137" spans="1:7" ht="28.8" x14ac:dyDescent="0.55000000000000004">
      <c r="A137" s="12"/>
      <c r="B137" s="13"/>
      <c r="C137" s="10"/>
      <c r="D137" s="10"/>
      <c r="E137" s="7">
        <f>+$I$2+(ALIJONA[[#This Row],[QUANTITE]]*ALIJONA[[#This Row],[PRIX UNITAIRE]])</f>
        <v>0</v>
      </c>
      <c r="F137" s="108"/>
      <c r="G137" s="6">
        <f>+SUM(E$9:$E137)-SUM(F$9:$F137)</f>
        <v>0</v>
      </c>
    </row>
    <row r="138" spans="1:7" ht="28.8" x14ac:dyDescent="0.55000000000000004">
      <c r="A138" s="12"/>
      <c r="B138" s="13"/>
      <c r="C138" s="10"/>
      <c r="D138" s="10"/>
      <c r="E138" s="7">
        <f>+$I$2+(ALIJONA[[#This Row],[QUANTITE]]*ALIJONA[[#This Row],[PRIX UNITAIRE]])</f>
        <v>0</v>
      </c>
      <c r="F138" s="108"/>
      <c r="G138" s="6">
        <f>+SUM(E$9:$E138)-SUM(F$9:$F138)</f>
        <v>0</v>
      </c>
    </row>
    <row r="139" spans="1:7" ht="28.8" x14ac:dyDescent="0.55000000000000004">
      <c r="A139" s="12"/>
      <c r="B139" s="13"/>
      <c r="C139" s="10"/>
      <c r="D139" s="10"/>
      <c r="E139" s="7">
        <f>+$I$2+(ALIJONA[[#This Row],[QUANTITE]]*ALIJONA[[#This Row],[PRIX UNITAIRE]])</f>
        <v>0</v>
      </c>
      <c r="F139" s="108"/>
      <c r="G139" s="6">
        <f>+SUM(E$9:$E139)-SUM(F$9:$F139)</f>
        <v>0</v>
      </c>
    </row>
    <row r="140" spans="1:7" ht="28.8" x14ac:dyDescent="0.55000000000000004">
      <c r="A140" s="12"/>
      <c r="B140" s="13"/>
      <c r="C140" s="10"/>
      <c r="D140" s="10"/>
      <c r="E140" s="7">
        <f>+$I$2+(ALIJONA[[#This Row],[QUANTITE]]*ALIJONA[[#This Row],[PRIX UNITAIRE]])</f>
        <v>0</v>
      </c>
      <c r="F140" s="108"/>
      <c r="G140" s="6">
        <f>+SUM(E$9:$E140)-SUM(F$9:$F140)</f>
        <v>0</v>
      </c>
    </row>
    <row r="141" spans="1:7" ht="28.8" x14ac:dyDescent="0.55000000000000004">
      <c r="A141" s="12"/>
      <c r="B141" s="13"/>
      <c r="C141" s="10"/>
      <c r="D141" s="10"/>
      <c r="E141" s="7">
        <f>+$I$2+(ALIJONA[[#This Row],[QUANTITE]]*ALIJONA[[#This Row],[PRIX UNITAIRE]])</f>
        <v>0</v>
      </c>
      <c r="F141" s="108"/>
      <c r="G141" s="6">
        <f>+SUM(E$9:$E141)-SUM(F$9:$F141)</f>
        <v>0</v>
      </c>
    </row>
    <row r="142" spans="1:7" ht="28.8" x14ac:dyDescent="0.55000000000000004">
      <c r="A142" s="12"/>
      <c r="B142" s="13"/>
      <c r="C142" s="10"/>
      <c r="D142" s="10"/>
      <c r="E142" s="7">
        <f>+$I$2+(ALIJONA[[#This Row],[QUANTITE]]*ALIJONA[[#This Row],[PRIX UNITAIRE]])</f>
        <v>0</v>
      </c>
      <c r="F142" s="108"/>
      <c r="G142" s="6">
        <f>+SUM(E$9:$E142)-SUM(F$9:$F142)</f>
        <v>0</v>
      </c>
    </row>
    <row r="143" spans="1:7" ht="28.8" x14ac:dyDescent="0.55000000000000004">
      <c r="A143" s="12"/>
      <c r="B143" s="13"/>
      <c r="C143" s="10"/>
      <c r="D143" s="10"/>
      <c r="E143" s="7">
        <f>+$I$2+(ALIJONA[[#This Row],[QUANTITE]]*ALIJONA[[#This Row],[PRIX UNITAIRE]])</f>
        <v>0</v>
      </c>
      <c r="F143" s="108"/>
      <c r="G143" s="6">
        <f>+SUM(E$9:$E143)-SUM(F$9:$F143)</f>
        <v>0</v>
      </c>
    </row>
    <row r="144" spans="1:7" ht="28.8" x14ac:dyDescent="0.55000000000000004">
      <c r="A144" s="12"/>
      <c r="B144" s="13"/>
      <c r="C144" s="10"/>
      <c r="D144" s="10"/>
      <c r="E144" s="7">
        <f>+$I$2+(ALIJONA[[#This Row],[QUANTITE]]*ALIJONA[[#This Row],[PRIX UNITAIRE]])</f>
        <v>0</v>
      </c>
      <c r="F144" s="108"/>
      <c r="G144" s="6">
        <f>+SUM(E$9:$E144)-SUM(F$9:$F144)</f>
        <v>0</v>
      </c>
    </row>
    <row r="145" spans="1:7" ht="28.8" x14ac:dyDescent="0.55000000000000004">
      <c r="A145" s="12"/>
      <c r="B145" s="13"/>
      <c r="C145" s="10"/>
      <c r="D145" s="10"/>
      <c r="E145" s="7">
        <f>+$I$2+(ALIJONA[[#This Row],[QUANTITE]]*ALIJONA[[#This Row],[PRIX UNITAIRE]])</f>
        <v>0</v>
      </c>
      <c r="F145" s="108"/>
      <c r="G145" s="6">
        <f>+SUM(E$9:$E145)-SUM(F$9:$F145)</f>
        <v>0</v>
      </c>
    </row>
    <row r="146" spans="1:7" ht="28.8" x14ac:dyDescent="0.55000000000000004">
      <c r="A146" s="12"/>
      <c r="B146" s="13"/>
      <c r="C146" s="10"/>
      <c r="D146" s="10"/>
      <c r="E146" s="7">
        <f>+$I$2+(ALIJONA[[#This Row],[QUANTITE]]*ALIJONA[[#This Row],[PRIX UNITAIRE]])</f>
        <v>0</v>
      </c>
      <c r="F146" s="108"/>
      <c r="G146" s="6">
        <f>+SUM(E$9:$E146)-SUM(F$9:$F146)</f>
        <v>0</v>
      </c>
    </row>
    <row r="147" spans="1:7" ht="28.8" x14ac:dyDescent="0.55000000000000004">
      <c r="A147" s="12"/>
      <c r="B147" s="13"/>
      <c r="C147" s="10"/>
      <c r="D147" s="10"/>
      <c r="E147" s="7">
        <f>+$I$2+(ALIJONA[[#This Row],[QUANTITE]]*ALIJONA[[#This Row],[PRIX UNITAIRE]])</f>
        <v>0</v>
      </c>
      <c r="F147" s="108"/>
      <c r="G147" s="6">
        <f>+SUM(E$9:$E147)-SUM(F$9:$F147)</f>
        <v>0</v>
      </c>
    </row>
    <row r="148" spans="1:7" ht="28.8" x14ac:dyDescent="0.55000000000000004">
      <c r="A148" s="12"/>
      <c r="B148" s="13"/>
      <c r="C148" s="10"/>
      <c r="D148" s="10"/>
      <c r="E148" s="7">
        <f>+$I$2+(ALIJONA[[#This Row],[QUANTITE]]*ALIJONA[[#This Row],[PRIX UNITAIRE]])</f>
        <v>0</v>
      </c>
      <c r="F148" s="108"/>
      <c r="G148" s="6">
        <f>+SUM(E$9:$E148)-SUM(F$9:$F148)</f>
        <v>0</v>
      </c>
    </row>
    <row r="149" spans="1:7" ht="28.8" x14ac:dyDescent="0.55000000000000004">
      <c r="A149" s="12"/>
      <c r="B149" s="13"/>
      <c r="C149" s="10"/>
      <c r="D149" s="10"/>
      <c r="E149" s="7">
        <f>+$I$2+(ALIJONA[[#This Row],[QUANTITE]]*ALIJONA[[#This Row],[PRIX UNITAIRE]])</f>
        <v>0</v>
      </c>
      <c r="F149" s="108"/>
      <c r="G149" s="6">
        <f>+SUM(E$9:$E149)-SUM(F$9:$F149)</f>
        <v>0</v>
      </c>
    </row>
    <row r="150" spans="1:7" ht="28.8" x14ac:dyDescent="0.55000000000000004">
      <c r="A150" s="12"/>
      <c r="B150" s="13"/>
      <c r="C150" s="10"/>
      <c r="D150" s="10"/>
      <c r="E150" s="7">
        <f>+$I$2+(ALIJONA[[#This Row],[QUANTITE]]*ALIJONA[[#This Row],[PRIX UNITAIRE]])</f>
        <v>0</v>
      </c>
      <c r="F150" s="108"/>
      <c r="G150" s="6">
        <f>+SUM(E$9:$E150)-SUM(F$9:$F150)</f>
        <v>0</v>
      </c>
    </row>
    <row r="151" spans="1:7" ht="28.8" x14ac:dyDescent="0.55000000000000004">
      <c r="A151" s="12"/>
      <c r="B151" s="13"/>
      <c r="C151" s="10"/>
      <c r="D151" s="10"/>
      <c r="E151" s="7">
        <f>+$I$2+(ALIJONA[[#This Row],[QUANTITE]]*ALIJONA[[#This Row],[PRIX UNITAIRE]])</f>
        <v>0</v>
      </c>
      <c r="F151" s="108"/>
      <c r="G151" s="6">
        <f>+SUM(E$9:$E151)-SUM(F$9:$F151)</f>
        <v>0</v>
      </c>
    </row>
    <row r="152" spans="1:7" ht="28.8" x14ac:dyDescent="0.55000000000000004">
      <c r="A152" s="12"/>
      <c r="B152" s="13"/>
      <c r="C152" s="10"/>
      <c r="D152" s="10"/>
      <c r="E152" s="7">
        <f>+$I$2+(ALIJONA[[#This Row],[QUANTITE]]*ALIJONA[[#This Row],[PRIX UNITAIRE]])</f>
        <v>0</v>
      </c>
      <c r="F152" s="108"/>
      <c r="G152" s="6">
        <f>+SUM(E$9:$E152)-SUM(F$9:$F152)</f>
        <v>0</v>
      </c>
    </row>
    <row r="153" spans="1:7" ht="28.8" x14ac:dyDescent="0.55000000000000004">
      <c r="A153" s="12"/>
      <c r="B153" s="13"/>
      <c r="C153" s="10"/>
      <c r="D153" s="10"/>
      <c r="E153" s="7">
        <f>+$I$2+(ALIJONA[[#This Row],[QUANTITE]]*ALIJONA[[#This Row],[PRIX UNITAIRE]])</f>
        <v>0</v>
      </c>
      <c r="F153" s="108"/>
      <c r="G153" s="6">
        <f>+SUM(E$9:$E153)-SUM(F$9:$F153)</f>
        <v>0</v>
      </c>
    </row>
  </sheetData>
  <sheetProtection selectLockedCells="1" autoFilter="0"/>
  <mergeCells count="1">
    <mergeCell ref="B6:C6"/>
  </mergeCells>
  <conditionalFormatting sqref="B9:B153">
    <cfRule type="expression" dxfId="173" priority="12">
      <formula>$F9</formula>
    </cfRule>
  </conditionalFormatting>
  <conditionalFormatting sqref="G4">
    <cfRule type="cellIs" dxfId="172" priority="2" operator="lessThan">
      <formula>0</formula>
    </cfRule>
    <cfRule type="cellIs" dxfId="171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53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/>
  <dimension ref="A1:I122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30.44140625" style="1" bestFit="1" customWidth="1"/>
    <col min="5" max="5" width="33.6640625" bestFit="1" customWidth="1"/>
    <col min="6" max="6" width="34.6640625" style="1" bestFit="1" customWidth="1"/>
    <col min="7" max="7" width="24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+SUM(JOSEPHCHARBEL[TOTAL MONTANT])</f>
        <v>0</v>
      </c>
      <c r="F4" s="39">
        <f>+SUM(JOSEPHCHARBEL[VERSEMENT])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190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+$I$2+(JOSEPHCHARBEL[[#This Row],[QUANTITE]]*JOSEPHCHARBEL[[#This Row],[PRIX UNITAIRE]])</f>
        <v>0</v>
      </c>
      <c r="F9" s="20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+$I$2+(JOSEPHCHARBEL[[#This Row],[QUANTITE]]*JOSEPHCHARBEL[[#This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+$I$2+(JOSEPHCHARBEL[[#This Row],[QUANTITE]]*JOSEPHCHARBEL[[#This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+$I$2+(JOSEPHCHARBEL[[#This Row],[QUANTITE]]*JOSEPHCHARBEL[[#This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+$I$2+(JOSEPHCHARBEL[[#This Row],[QUANTITE]]*JOSEPHCHARBEL[[#This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+$I$2+(JOSEPHCHARBEL[[#This Row],[QUANTITE]]*JOSEPHCHARBEL[[#This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+$I$2+(JOSEPHCHARBEL[[#This Row],[QUANTITE]]*JOSEPHCHARBEL[[#This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+$I$2+(JOSEPHCHARBEL[[#This Row],[QUANTITE]]*JOSEPHCHARBEL[[#This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+$I$2+(JOSEPHCHARBEL[[#This Row],[QUANTITE]]*JOSEPHCHARBEL[[#This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+$I$2+(JOSEPHCHARBEL[[#This Row],[QUANTITE]]*JOSEPHCHARBEL[[#This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+$I$2+(JOSEPHCHARBEL[[#This Row],[QUANTITE]]*JOSEPHCHARBEL[[#This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+$I$2+(JOSEPHCHARBEL[[#This Row],[QUANTITE]]*JOSEPHCHARBEL[[#This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+$I$2+(JOSEPHCHARBEL[[#This Row],[QUANTITE]]*JOSEPHCHARBEL[[#This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+$I$2+(JOSEPHCHARBEL[[#This Row],[QUANTITE]]*JOSEPHCHARBEL[[#This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+$I$2+(JOSEPHCHARBEL[[#This Row],[QUANTITE]]*JOSEPHCHARBEL[[#This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+$I$2+(JOSEPHCHARBEL[[#This Row],[QUANTITE]]*JOSEPHCHARBEL[[#This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+$I$2+(JOSEPHCHARBEL[[#This Row],[QUANTITE]]*JOSEPHCHARBEL[[#This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+$I$2+(JOSEPHCHARBEL[[#This Row],[QUANTITE]]*JOSEPHCHARBEL[[#This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+$I$2+(JOSEPHCHARBEL[[#This Row],[QUANTITE]]*JOSEPHCHARBEL[[#This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+$I$2+(JOSEPHCHARBEL[[#This Row],[QUANTITE]]*JOSEPHCHARBEL[[#This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+$I$2+(JOSEPHCHARBEL[[#This Row],[QUANTITE]]*JOSEPHCHARBEL[[#This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+$I$2+(JOSEPHCHARBEL[[#This Row],[QUANTITE]]*JOSEPHCHARBEL[[#This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+$I$2+(JOSEPHCHARBEL[[#This Row],[QUANTITE]]*JOSEPHCHARBEL[[#This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+$I$2+(JOSEPHCHARBEL[[#This Row],[QUANTITE]]*JOSEPHCHARBEL[[#This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+$I$2+(JOSEPHCHARBEL[[#This Row],[QUANTITE]]*JOSEPHCHARBEL[[#This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+$I$2+(JOSEPHCHARBEL[[#This Row],[QUANTITE]]*JOSEPHCHARBEL[[#This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+$I$2+(JOSEPHCHARBEL[[#This Row],[QUANTITE]]*JOSEPHCHARBEL[[#This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+$I$2+(JOSEPHCHARBEL[[#This Row],[QUANTITE]]*JOSEPHCHARBEL[[#This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+$I$2+(JOSEPHCHARBEL[[#This Row],[QUANTITE]]*JOSEPHCHARBEL[[#This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+$I$2+(JOSEPHCHARBEL[[#This Row],[QUANTITE]]*JOSEPHCHARBEL[[#This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+$I$2+(JOSEPHCHARBEL[[#This Row],[QUANTITE]]*JOSEPHCHARBEL[[#This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+$I$2+(JOSEPHCHARBEL[[#This Row],[QUANTITE]]*JOSEPHCHARBEL[[#This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+$I$2+(JOSEPHCHARBEL[[#This Row],[QUANTITE]]*JOSEPHCHARBEL[[#This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+$I$2+(JOSEPHCHARBEL[[#This Row],[QUANTITE]]*JOSEPHCHARBEL[[#This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+$I$2+(JOSEPHCHARBEL[[#This Row],[QUANTITE]]*JOSEPHCHARBEL[[#This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+$I$2+(JOSEPHCHARBEL[[#This Row],[QUANTITE]]*JOSEPHCHARBEL[[#This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+$I$2+(JOSEPHCHARBEL[[#This Row],[QUANTITE]]*JOSEPHCHARBEL[[#This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+$I$2+(JOSEPHCHARBEL[[#This Row],[QUANTITE]]*JOSEPHCHARBEL[[#This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+$I$2+(JOSEPHCHARBEL[[#This Row],[QUANTITE]]*JOSEPHCHARBEL[[#This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+$I$2+(JOSEPHCHARBEL[[#This Row],[QUANTITE]]*JOSEPHCHARBEL[[#This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+$I$2+(JOSEPHCHARBEL[[#This Row],[QUANTITE]]*JOSEPHCHARBEL[[#This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+$I$2+(JOSEPHCHARBEL[[#This Row],[QUANTITE]]*JOSEPHCHARBEL[[#This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+$I$2+(JOSEPHCHARBEL[[#This Row],[QUANTITE]]*JOSEPHCHARBEL[[#This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+$I$2+(JOSEPHCHARBEL[[#This Row],[QUANTITE]]*JOSEPHCHARBEL[[#This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+$I$2+(JOSEPHCHARBEL[[#This Row],[QUANTITE]]*JOSEPHCHARBEL[[#This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+$I$2+(JOSEPHCHARBEL[[#This Row],[QUANTITE]]*JOSEPHCHARBEL[[#This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+$I$2+(JOSEPHCHARBEL[[#This Row],[QUANTITE]]*JOSEPHCHARBEL[[#This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+$I$2+(JOSEPHCHARBEL[[#This Row],[QUANTITE]]*JOSEPHCHARBEL[[#This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+$I$2+(JOSEPHCHARBEL[[#This Row],[QUANTITE]]*JOSEPHCHARBEL[[#This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+$I$2+(JOSEPHCHARBEL[[#This Row],[QUANTITE]]*JOSEPHCHARBEL[[#This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+$I$2+(JOSEPHCHARBEL[[#This Row],[QUANTITE]]*JOSEPHCHARBEL[[#This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+$I$2+(JOSEPHCHARBEL[[#This Row],[QUANTITE]]*JOSEPHCHARBEL[[#This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+$I$2+(JOSEPHCHARBEL[[#This Row],[QUANTITE]]*JOSEPHCHARBEL[[#This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+$I$2+(JOSEPHCHARBEL[[#This Row],[QUANTITE]]*JOSEPHCHARBEL[[#This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+$I$2+(JOSEPHCHARBEL[[#This Row],[QUANTITE]]*JOSEPHCHARBEL[[#This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+$I$2+(JOSEPHCHARBEL[[#This Row],[QUANTITE]]*JOSEPHCHARBEL[[#This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+$I$2+(JOSEPHCHARBEL[[#This Row],[QUANTITE]]*JOSEPHCHARBEL[[#This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+$I$2+(JOSEPHCHARBEL[[#This Row],[QUANTITE]]*JOSEPHCHARBEL[[#This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+$I$2+(JOSEPHCHARBEL[[#This Row],[QUANTITE]]*JOSEPHCHARBEL[[#This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+$I$2+(JOSEPHCHARBEL[[#This Row],[QUANTITE]]*JOSEPHCHARBEL[[#This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+$I$2+(JOSEPHCHARBEL[[#This Row],[QUANTITE]]*JOSEPHCHARBEL[[#This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+$I$2+(JOSEPHCHARBEL[[#This Row],[QUANTITE]]*JOSEPHCHARBEL[[#This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+$I$2+(JOSEPHCHARBEL[[#This Row],[QUANTITE]]*JOSEPHCHARBEL[[#This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+$I$2+(JOSEPHCHARBEL[[#This Row],[QUANTITE]]*JOSEPHCHARBEL[[#This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+$I$2+(JOSEPHCHARBEL[[#This Row],[QUANTITE]]*JOSEPHCHARBEL[[#This Row],[PRIX UNITAIRE]])</f>
        <v>0</v>
      </c>
      <c r="F73" s="14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+$I$2+(JOSEPHCHARBEL[[#This Row],[QUANTITE]]*JOSEPHCHARBEL[[#This Row],[PRIX UNITAIRE]])</f>
        <v>0</v>
      </c>
      <c r="F74" s="14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+$I$2+(JOSEPHCHARBEL[[#This Row],[QUANTITE]]*JOSEPHCHARBEL[[#This Row],[PRIX UNITAIRE]])</f>
        <v>0</v>
      </c>
      <c r="F75" s="14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+$I$2+(JOSEPHCHARBEL[[#This Row],[QUANTITE]]*JOSEPHCHARBEL[[#This Row],[PRIX UNITAIRE]])</f>
        <v>0</v>
      </c>
      <c r="F76" s="14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+$I$2+(JOSEPHCHARBEL[[#This Row],[QUANTITE]]*JOSEPHCHARBEL[[#This Row],[PRIX UNITAIRE]])</f>
        <v>0</v>
      </c>
      <c r="F77" s="14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+$I$2+(JOSEPHCHARBEL[[#This Row],[QUANTITE]]*JOSEPHCHARBEL[[#This Row],[PRIX UNITAIRE]])</f>
        <v>0</v>
      </c>
      <c r="F78" s="14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+$I$2+(JOSEPHCHARBEL[[#This Row],[QUANTITE]]*JOSEPHCHARBEL[[#This Row],[PRIX UNITAIRE]])</f>
        <v>0</v>
      </c>
      <c r="F79" s="14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+$I$2+(JOSEPHCHARBEL[[#This Row],[QUANTITE]]*JOSEPHCHARBEL[[#This Row],[PRIX UNITAIRE]])</f>
        <v>0</v>
      </c>
      <c r="F80" s="14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+$I$2+(JOSEPHCHARBEL[[#This Row],[QUANTITE]]*JOSEPHCHARBEL[[#This Row],[PRIX UNITAIRE]])</f>
        <v>0</v>
      </c>
      <c r="F81" s="14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+$I$2+(JOSEPHCHARBEL[[#This Row],[QUANTITE]]*JOSEPHCHARBEL[[#This Row],[PRIX UNITAIRE]])</f>
        <v>0</v>
      </c>
      <c r="F82" s="14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+$I$2+(JOSEPHCHARBEL[[#This Row],[QUANTITE]]*JOSEPHCHARBEL[[#This Row],[PRIX UNITAIRE]])</f>
        <v>0</v>
      </c>
      <c r="F83" s="14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+$I$2+(JOSEPHCHARBEL[[#This Row],[QUANTITE]]*JOSEPHCHARBEL[[#This Row],[PRIX UNITAIRE]])</f>
        <v>0</v>
      </c>
      <c r="F84" s="14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+$I$2+(JOSEPHCHARBEL[[#This Row],[QUANTITE]]*JOSEPHCHARBEL[[#This Row],[PRIX UNITAIRE]])</f>
        <v>0</v>
      </c>
      <c r="F85" s="14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+$I$2+(JOSEPHCHARBEL[[#This Row],[QUANTITE]]*JOSEPHCHARBEL[[#This Row],[PRIX UNITAIRE]])</f>
        <v>0</v>
      </c>
      <c r="F86" s="14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+$I$2+(JOSEPHCHARBEL[[#This Row],[QUANTITE]]*JOSEPHCHARBEL[[#This Row],[PRIX UNITAIRE]])</f>
        <v>0</v>
      </c>
      <c r="F87" s="14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+$I$2+(JOSEPHCHARBEL[[#This Row],[QUANTITE]]*JOSEPHCHARBEL[[#This Row],[PRIX UNITAIRE]])</f>
        <v>0</v>
      </c>
      <c r="F88" s="14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+$I$2+(JOSEPHCHARBEL[[#This Row],[QUANTITE]]*JOSEPHCHARBEL[[#This Row],[PRIX UNITAIRE]])</f>
        <v>0</v>
      </c>
      <c r="F89" s="14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+$I$2+(JOSEPHCHARBEL[[#This Row],[QUANTITE]]*JOSEPHCHARBEL[[#This Row],[PRIX UNITAIRE]])</f>
        <v>0</v>
      </c>
      <c r="F90" s="14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+$I$2+(JOSEPHCHARBEL[[#This Row],[QUANTITE]]*JOSEPHCHARBEL[[#This Row],[PRIX UNITAIRE]])</f>
        <v>0</v>
      </c>
      <c r="F91" s="14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+$I$2+(JOSEPHCHARBEL[[#This Row],[QUANTITE]]*JOSEPHCHARBEL[[#This Row],[PRIX UNITAIRE]])</f>
        <v>0</v>
      </c>
      <c r="F92" s="14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+$I$2+(JOSEPHCHARBEL[[#This Row],[QUANTITE]]*JOSEPHCHARBEL[[#This Row],[PRIX UNITAIRE]])</f>
        <v>0</v>
      </c>
      <c r="F93" s="14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+$I$2+(JOSEPHCHARBEL[[#This Row],[QUANTITE]]*JOSEPHCHARBEL[[#This Row],[PRIX UNITAIRE]])</f>
        <v>0</v>
      </c>
      <c r="F94" s="14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+$I$2+(JOSEPHCHARBEL[[#This Row],[QUANTITE]]*JOSEPHCHARBEL[[#This Row],[PRIX UNITAIRE]])</f>
        <v>0</v>
      </c>
      <c r="F95" s="14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+$I$2+(JOSEPHCHARBEL[[#This Row],[QUANTITE]]*JOSEPHCHARBEL[[#This Row],[PRIX UNITAIRE]])</f>
        <v>0</v>
      </c>
      <c r="F96" s="14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+$I$2+(JOSEPHCHARBEL[[#This Row],[QUANTITE]]*JOSEPHCHARBEL[[#This Row],[PRIX UNITAIRE]])</f>
        <v>0</v>
      </c>
      <c r="F97" s="14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+$I$2+(JOSEPHCHARBEL[[#This Row],[QUANTITE]]*JOSEPHCHARBEL[[#This Row],[PRIX UNITAIRE]])</f>
        <v>0</v>
      </c>
      <c r="F98" s="14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+$I$2+(JOSEPHCHARBEL[[#This Row],[QUANTITE]]*JOSEPHCHARBEL[[#This Row],[PRIX UNITAIRE]])</f>
        <v>0</v>
      </c>
      <c r="F99" s="14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+$I$2+(JOSEPHCHARBEL[[#This Row],[QUANTITE]]*JOSEPHCHARBEL[[#This Row],[PRIX UNITAIRE]])</f>
        <v>0</v>
      </c>
      <c r="F100" s="14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+$I$2+(JOSEPHCHARBEL[[#This Row],[QUANTITE]]*JOSEPHCHARBEL[[#This Row],[PRIX UNITAIRE]])</f>
        <v>0</v>
      </c>
      <c r="F101" s="14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+$I$2+(JOSEPHCHARBEL[[#This Row],[QUANTITE]]*JOSEPHCHARBEL[[#This Row],[PRIX UNITAIRE]])</f>
        <v>0</v>
      </c>
      <c r="F102" s="14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+$I$2+(JOSEPHCHARBEL[[#This Row],[QUANTITE]]*JOSEPHCHARBEL[[#This Row],[PRIX UNITAIRE]])</f>
        <v>0</v>
      </c>
      <c r="F103" s="14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+$I$2+(JOSEPHCHARBEL[[#This Row],[QUANTITE]]*JOSEPHCHARBEL[[#This Row],[PRIX UNITAIRE]])</f>
        <v>0</v>
      </c>
      <c r="F104" s="14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+$I$2+(JOSEPHCHARBEL[[#This Row],[QUANTITE]]*JOSEPHCHARBEL[[#This Row],[PRIX UNITAIRE]])</f>
        <v>0</v>
      </c>
      <c r="F105" s="14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+$I$2+(JOSEPHCHARBEL[[#This Row],[QUANTITE]]*JOSEPHCHARBEL[[#This Row],[PRIX UNITAIRE]])</f>
        <v>0</v>
      </c>
      <c r="F106" s="14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+$I$2+(JOSEPHCHARBEL[[#This Row],[QUANTITE]]*JOSEPHCHARBEL[[#This Row],[PRIX UNITAIRE]])</f>
        <v>0</v>
      </c>
      <c r="F107" s="14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+$I$2+(JOSEPHCHARBEL[[#This Row],[QUANTITE]]*JOSEPHCHARBEL[[#This Row],[PRIX UNITAIRE]])</f>
        <v>0</v>
      </c>
      <c r="F108" s="14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+$I$2+(JOSEPHCHARBEL[[#This Row],[QUANTITE]]*JOSEPHCHARBEL[[#This Row],[PRIX UNITAIRE]])</f>
        <v>0</v>
      </c>
      <c r="F109" s="14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+$I$2+(JOSEPHCHARBEL[[#This Row],[QUANTITE]]*JOSEPHCHARBEL[[#This Row],[PRIX UNITAIRE]])</f>
        <v>0</v>
      </c>
      <c r="F110" s="14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+$I$2+(JOSEPHCHARBEL[[#This Row],[QUANTITE]]*JOSEPHCHARBEL[[#This Row],[PRIX UNITAIRE]])</f>
        <v>0</v>
      </c>
      <c r="F111" s="14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+$I$2+(JOSEPHCHARBEL[[#This Row],[QUANTITE]]*JOSEPHCHARBEL[[#This Row],[PRIX UNITAIRE]])</f>
        <v>0</v>
      </c>
      <c r="F112" s="14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+$I$2+(JOSEPHCHARBEL[[#This Row],[QUANTITE]]*JOSEPHCHARBEL[[#This Row],[PRIX UNITAIRE]])</f>
        <v>0</v>
      </c>
      <c r="F113" s="14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+$I$2+(JOSEPHCHARBEL[[#This Row],[QUANTITE]]*JOSEPHCHARBEL[[#This Row],[PRIX UNITAIRE]])</f>
        <v>0</v>
      </c>
      <c r="F114" s="14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+$I$2+(JOSEPHCHARBEL[[#This Row],[QUANTITE]]*JOSEPHCHARBEL[[#This Row],[PRIX UNITAIRE]])</f>
        <v>0</v>
      </c>
      <c r="F115" s="14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+$I$2+(JOSEPHCHARBEL[[#This Row],[QUANTITE]]*JOSEPHCHARBEL[[#This Row],[PRIX UNITAIRE]])</f>
        <v>0</v>
      </c>
      <c r="F116" s="14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+$I$2+(JOSEPHCHARBEL[[#This Row],[QUANTITE]]*JOSEPHCHARBEL[[#This Row],[PRIX UNITAIRE]])</f>
        <v>0</v>
      </c>
      <c r="F117" s="14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+$I$2+(JOSEPHCHARBEL[[#This Row],[QUANTITE]]*JOSEPHCHARBEL[[#This Row],[PRIX UNITAIRE]])</f>
        <v>0</v>
      </c>
      <c r="F118" s="14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+$I$2+(JOSEPHCHARBEL[[#This Row],[QUANTITE]]*JOSEPHCHARBEL[[#This Row],[PRIX UNITAIRE]])</f>
        <v>0</v>
      </c>
      <c r="F119" s="14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+$I$2+(JOSEPHCHARBEL[[#This Row],[QUANTITE]]*JOSEPHCHARBEL[[#This Row],[PRIX UNITAIRE]])</f>
        <v>0</v>
      </c>
      <c r="F120" s="14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+$I$2+(JOSEPHCHARBEL[[#This Row],[QUANTITE]]*JOSEPHCHARBEL[[#This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+$I$2+(JOSEPHCHARBEL[[#This Row],[QUANTITE]]*JOSEPHCHARBEL[[#This Row],[PRIX UNITAIRE]])</f>
        <v>0</v>
      </c>
      <c r="F122" s="14"/>
      <c r="G122" s="6">
        <f>+SUM(E$9:$E122)-SUM(F$9:$F122)</f>
        <v>0</v>
      </c>
    </row>
  </sheetData>
  <sheetProtection selectLockedCells="1" autoFilter="0"/>
  <mergeCells count="1">
    <mergeCell ref="B6:C6"/>
  </mergeCells>
  <conditionalFormatting sqref="B9:B122">
    <cfRule type="expression" dxfId="155" priority="9">
      <formula>$F9</formula>
    </cfRule>
  </conditionalFormatting>
  <conditionalFormatting sqref="G4">
    <cfRule type="cellIs" dxfId="154" priority="2" operator="lessThan">
      <formula>0</formula>
    </cfRule>
    <cfRule type="cellIs" dxfId="153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/>
  <dimension ref="A1:I236"/>
  <sheetViews>
    <sheetView showGridLines="0" topLeftCell="C1" zoomScale="50" zoomScaleNormal="5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+SUM(BAKAYOKO[TOTAL MONTANT])</f>
        <v>0</v>
      </c>
      <c r="F4" s="39">
        <f>+SUM(BAKAYOKO[VERSEMENT])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191</v>
      </c>
      <c r="C6" s="114"/>
      <c r="E6" s="1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+$I$2+(BAKAYOKO[[#This Row],[QUANTITE]]*BAKAYOKO[[#This Row],[PRIX UNITAIRE]])</f>
        <v>0</v>
      </c>
      <c r="F9" s="14"/>
      <c r="G9" s="6">
        <f>+SUM(E$9:$E9)-SUM(F$9:$F9)</f>
        <v>0</v>
      </c>
    </row>
    <row r="10" spans="1:9" ht="28.8" x14ac:dyDescent="0.55000000000000004">
      <c r="A10" s="24"/>
      <c r="B10" s="25"/>
      <c r="C10" s="26"/>
      <c r="D10" s="26"/>
      <c r="E10" s="27">
        <f>+$I$2+(BAKAYOKO[[#This Row],[QUANTITE]]*BAKAYOKO[[#This Row],[PRIX UNITAIRE]])</f>
        <v>0</v>
      </c>
      <c r="F10" s="28"/>
      <c r="G10" s="29">
        <f>+SUM(E$9:$E10)-SUM(F$9:$F10)</f>
        <v>0</v>
      </c>
    </row>
    <row r="11" spans="1:9" ht="28.8" x14ac:dyDescent="0.55000000000000004">
      <c r="A11" s="24"/>
      <c r="B11" s="25"/>
      <c r="C11" s="26"/>
      <c r="D11" s="26"/>
      <c r="E11" s="27">
        <f>+$I$2+(BAKAYOKO[[#This Row],[QUANTITE]]*BAKAYOKO[[#This Row],[PRIX UNITAIRE]])</f>
        <v>0</v>
      </c>
      <c r="F11" s="28"/>
      <c r="G11" s="29">
        <f>+SUM(E$9:$E11)-SUM(F$9:$F11)</f>
        <v>0</v>
      </c>
    </row>
    <row r="12" spans="1:9" ht="28.8" x14ac:dyDescent="0.55000000000000004">
      <c r="A12" s="24"/>
      <c r="B12" s="25"/>
      <c r="C12" s="26"/>
      <c r="D12" s="26"/>
      <c r="E12" s="27">
        <f>+$I$2+(BAKAYOKO[[#This Row],[QUANTITE]]*BAKAYOKO[[#This Row],[PRIX UNITAIRE]])</f>
        <v>0</v>
      </c>
      <c r="F12" s="28"/>
      <c r="G12" s="29">
        <f>+SUM(E$9:$E12)-SUM(F$9:$F12)</f>
        <v>0</v>
      </c>
    </row>
    <row r="13" spans="1:9" ht="28.8" x14ac:dyDescent="0.55000000000000004">
      <c r="A13" s="24"/>
      <c r="B13" s="25"/>
      <c r="C13" s="26"/>
      <c r="D13" s="26"/>
      <c r="E13" s="27">
        <f>+$I$2+(BAKAYOKO[[#This Row],[QUANTITE]]*BAKAYOKO[[#This Row],[PRIX UNITAIRE]])</f>
        <v>0</v>
      </c>
      <c r="F13" s="28"/>
      <c r="G13" s="29">
        <f>+SUM(E$9:$E13)-SUM(F$9:$F13)</f>
        <v>0</v>
      </c>
    </row>
    <row r="14" spans="1:9" ht="28.8" x14ac:dyDescent="0.55000000000000004">
      <c r="A14" s="24"/>
      <c r="B14" s="25"/>
      <c r="C14" s="26"/>
      <c r="D14" s="26"/>
      <c r="E14" s="27">
        <f>+$I$2+(BAKAYOKO[[#This Row],[QUANTITE]]*BAKAYOKO[[#This Row],[PRIX UNITAIRE]])</f>
        <v>0</v>
      </c>
      <c r="F14" s="28"/>
      <c r="G14" s="29">
        <f>+SUM(E$9:$E14)-SUM(F$9:$F14)</f>
        <v>0</v>
      </c>
    </row>
    <row r="15" spans="1:9" ht="28.8" x14ac:dyDescent="0.55000000000000004">
      <c r="A15" s="24"/>
      <c r="B15" s="25"/>
      <c r="C15" s="26"/>
      <c r="D15" s="26"/>
      <c r="E15" s="27">
        <f>+$I$2+(BAKAYOKO[[#This Row],[QUANTITE]]*BAKAYOKO[[#This Row],[PRIX UNITAIRE]])</f>
        <v>0</v>
      </c>
      <c r="F15" s="28"/>
      <c r="G15" s="29">
        <f>+SUM(E$9:$E15)-SUM(F$9:$F15)</f>
        <v>0</v>
      </c>
    </row>
    <row r="16" spans="1:9" ht="28.8" x14ac:dyDescent="0.55000000000000004">
      <c r="A16" s="24"/>
      <c r="B16" s="25"/>
      <c r="C16" s="26"/>
      <c r="D16" s="26"/>
      <c r="E16" s="27">
        <f>+$I$2+(BAKAYOKO[[#This Row],[QUANTITE]]*BAKAYOKO[[#This Row],[PRIX UNITAIRE]])</f>
        <v>0</v>
      </c>
      <c r="F16" s="28"/>
      <c r="G16" s="29">
        <f>+SUM(E$9:$E16)-SUM(F$9:$F16)</f>
        <v>0</v>
      </c>
    </row>
    <row r="17" spans="1:7" ht="28.8" x14ac:dyDescent="0.55000000000000004">
      <c r="A17" s="24"/>
      <c r="B17" s="25"/>
      <c r="C17" s="26"/>
      <c r="D17" s="26"/>
      <c r="E17" s="27">
        <f>+$I$2+(BAKAYOKO[[#This Row],[QUANTITE]]*BAKAYOKO[[#This Row],[PRIX UNITAIRE]])</f>
        <v>0</v>
      </c>
      <c r="F17" s="28"/>
      <c r="G17" s="29">
        <f>+SUM(E$9:$E17)-SUM(F$9:$F17)</f>
        <v>0</v>
      </c>
    </row>
    <row r="18" spans="1:7" ht="28.8" x14ac:dyDescent="0.55000000000000004">
      <c r="A18" s="24"/>
      <c r="B18" s="25"/>
      <c r="C18" s="26"/>
      <c r="D18" s="26"/>
      <c r="E18" s="27">
        <f>+$I$2+(BAKAYOKO[[#This Row],[QUANTITE]]*BAKAYOKO[[#This Row],[PRIX UNITAIRE]])</f>
        <v>0</v>
      </c>
      <c r="F18" s="28"/>
      <c r="G18" s="29">
        <f>+SUM(E$9:$E18)-SUM(F$9:$F18)</f>
        <v>0</v>
      </c>
    </row>
    <row r="19" spans="1:7" ht="28.8" x14ac:dyDescent="0.55000000000000004">
      <c r="A19" s="24"/>
      <c r="B19" s="25"/>
      <c r="C19" s="26"/>
      <c r="D19" s="26"/>
      <c r="E19" s="27">
        <f>+$I$2+(BAKAYOKO[[#This Row],[QUANTITE]]*BAKAYOKO[[#This Row],[PRIX UNITAIRE]])</f>
        <v>0</v>
      </c>
      <c r="F19" s="28"/>
      <c r="G19" s="29">
        <f>+SUM(E$9:$E19)-SUM(F$9:$F19)</f>
        <v>0</v>
      </c>
    </row>
    <row r="20" spans="1:7" ht="28.8" x14ac:dyDescent="0.55000000000000004">
      <c r="A20" s="24"/>
      <c r="B20" s="25"/>
      <c r="C20" s="26"/>
      <c r="D20" s="26"/>
      <c r="E20" s="27">
        <f>+$I$2+(BAKAYOKO[[#This Row],[QUANTITE]]*BAKAYOKO[[#This Row],[PRIX UNITAIRE]])</f>
        <v>0</v>
      </c>
      <c r="F20" s="28"/>
      <c r="G20" s="29">
        <f>+SUM(E$9:$E20)-SUM(F$9:$F20)</f>
        <v>0</v>
      </c>
    </row>
    <row r="21" spans="1:7" ht="28.8" x14ac:dyDescent="0.55000000000000004">
      <c r="A21" s="24"/>
      <c r="B21" s="25"/>
      <c r="C21" s="26"/>
      <c r="D21" s="26"/>
      <c r="E21" s="27">
        <f>+$I$2+(BAKAYOKO[[#This Row],[QUANTITE]]*BAKAYOKO[[#This Row],[PRIX UNITAIRE]])</f>
        <v>0</v>
      </c>
      <c r="F21" s="28"/>
      <c r="G21" s="29">
        <f>+SUM(E$9:$E21)-SUM(F$9:$F21)</f>
        <v>0</v>
      </c>
    </row>
    <row r="22" spans="1:7" ht="28.8" x14ac:dyDescent="0.55000000000000004">
      <c r="A22" s="24"/>
      <c r="B22" s="25"/>
      <c r="C22" s="26"/>
      <c r="D22" s="26"/>
      <c r="E22" s="27">
        <f>+$I$2+(BAKAYOKO[[#This Row],[QUANTITE]]*BAKAYOKO[[#This Row],[PRIX UNITAIRE]])</f>
        <v>0</v>
      </c>
      <c r="F22" s="28"/>
      <c r="G22" s="29">
        <f>+SUM(E$9:$E22)-SUM(F$9:$F22)</f>
        <v>0</v>
      </c>
    </row>
    <row r="23" spans="1:7" ht="28.8" x14ac:dyDescent="0.55000000000000004">
      <c r="A23" s="24"/>
      <c r="B23" s="25"/>
      <c r="C23" s="26"/>
      <c r="D23" s="26"/>
      <c r="E23" s="27">
        <f>+$I$2+(BAKAYOKO[[#This Row],[QUANTITE]]*BAKAYOKO[[#This Row],[PRIX UNITAIRE]])</f>
        <v>0</v>
      </c>
      <c r="F23" s="28"/>
      <c r="G23" s="29">
        <f>+SUM(E$9:$E23)-SUM(F$9:$F23)</f>
        <v>0</v>
      </c>
    </row>
    <row r="24" spans="1:7" ht="28.8" x14ac:dyDescent="0.55000000000000004">
      <c r="A24" s="24"/>
      <c r="B24" s="25"/>
      <c r="C24" s="26"/>
      <c r="D24" s="26"/>
      <c r="E24" s="27">
        <f>+$I$2+(BAKAYOKO[[#This Row],[QUANTITE]]*BAKAYOKO[[#This Row],[PRIX UNITAIRE]])</f>
        <v>0</v>
      </c>
      <c r="F24" s="28"/>
      <c r="G24" s="29">
        <f>+SUM(E$9:$E24)-SUM(F$9:$F24)</f>
        <v>0</v>
      </c>
    </row>
    <row r="25" spans="1:7" ht="28.8" x14ac:dyDescent="0.55000000000000004">
      <c r="A25" s="24"/>
      <c r="B25" s="25"/>
      <c r="C25" s="26"/>
      <c r="D25" s="26"/>
      <c r="E25" s="27">
        <f>+$I$2+(BAKAYOKO[[#This Row],[QUANTITE]]*BAKAYOKO[[#This Row],[PRIX UNITAIRE]])</f>
        <v>0</v>
      </c>
      <c r="F25" s="28"/>
      <c r="G25" s="29">
        <f>+SUM(E$9:$E25)-SUM(F$9:$F25)</f>
        <v>0</v>
      </c>
    </row>
    <row r="26" spans="1:7" ht="28.8" x14ac:dyDescent="0.55000000000000004">
      <c r="A26" s="24"/>
      <c r="B26" s="25"/>
      <c r="C26" s="26"/>
      <c r="D26" s="26"/>
      <c r="E26" s="27">
        <f>+$I$2+(BAKAYOKO[[#This Row],[QUANTITE]]*BAKAYOKO[[#This Row],[PRIX UNITAIRE]])</f>
        <v>0</v>
      </c>
      <c r="F26" s="28"/>
      <c r="G26" s="29">
        <f>+SUM(E$9:$E26)-SUM(F$9:$F26)</f>
        <v>0</v>
      </c>
    </row>
    <row r="27" spans="1:7" ht="28.8" x14ac:dyDescent="0.55000000000000004">
      <c r="A27" s="24"/>
      <c r="B27" s="25"/>
      <c r="C27" s="26"/>
      <c r="D27" s="26"/>
      <c r="E27" s="27">
        <f>+$I$2+(BAKAYOKO[[#This Row],[QUANTITE]]*BAKAYOKO[[#This Row],[PRIX UNITAIRE]])</f>
        <v>0</v>
      </c>
      <c r="F27" s="28"/>
      <c r="G27" s="29">
        <f>+SUM(E$9:$E27)-SUM(F$9:$F27)</f>
        <v>0</v>
      </c>
    </row>
    <row r="28" spans="1:7" ht="28.8" x14ac:dyDescent="0.55000000000000004">
      <c r="A28" s="24"/>
      <c r="B28" s="25"/>
      <c r="C28" s="26"/>
      <c r="D28" s="26"/>
      <c r="E28" s="27">
        <f>+$I$2+(BAKAYOKO[[#This Row],[QUANTITE]]*BAKAYOKO[[#This Row],[PRIX UNITAIRE]])</f>
        <v>0</v>
      </c>
      <c r="F28" s="28"/>
      <c r="G28" s="29">
        <f>+SUM(E$9:$E28)-SUM(F$9:$F28)</f>
        <v>0</v>
      </c>
    </row>
    <row r="29" spans="1:7" ht="28.8" x14ac:dyDescent="0.55000000000000004">
      <c r="A29" s="24"/>
      <c r="B29" s="25"/>
      <c r="C29" s="26"/>
      <c r="D29" s="26"/>
      <c r="E29" s="27">
        <f>+$I$2+(BAKAYOKO[[#This Row],[QUANTITE]]*BAKAYOKO[[#This Row],[PRIX UNITAIRE]])</f>
        <v>0</v>
      </c>
      <c r="F29" s="28"/>
      <c r="G29" s="29">
        <f>+SUM(E$9:$E29)-SUM(F$9:$F29)</f>
        <v>0</v>
      </c>
    </row>
    <row r="30" spans="1:7" ht="28.8" x14ac:dyDescent="0.55000000000000004">
      <c r="A30" s="24"/>
      <c r="B30" s="25"/>
      <c r="C30" s="26"/>
      <c r="D30" s="26"/>
      <c r="E30" s="27">
        <f>+$I$2+(BAKAYOKO[[#This Row],[QUANTITE]]*BAKAYOKO[[#This Row],[PRIX UNITAIRE]])</f>
        <v>0</v>
      </c>
      <c r="F30" s="28"/>
      <c r="G30" s="29">
        <f>+SUM(E$9:$E30)-SUM(F$9:$F30)</f>
        <v>0</v>
      </c>
    </row>
    <row r="31" spans="1:7" ht="28.8" x14ac:dyDescent="0.55000000000000004">
      <c r="A31" s="24"/>
      <c r="B31" s="25"/>
      <c r="C31" s="26"/>
      <c r="D31" s="26"/>
      <c r="E31" s="27">
        <f>+$I$2+(BAKAYOKO[[#This Row],[QUANTITE]]*BAKAYOKO[[#This Row],[PRIX UNITAIRE]])</f>
        <v>0</v>
      </c>
      <c r="F31" s="28"/>
      <c r="G31" s="29">
        <f>+SUM(E$9:$E31)-SUM(F$9:$F31)</f>
        <v>0</v>
      </c>
    </row>
    <row r="32" spans="1:7" ht="28.8" x14ac:dyDescent="0.55000000000000004">
      <c r="A32" s="24"/>
      <c r="B32" s="25"/>
      <c r="C32" s="26"/>
      <c r="D32" s="26"/>
      <c r="E32" s="27">
        <f>+$I$2+(BAKAYOKO[[#This Row],[QUANTITE]]*BAKAYOKO[[#This Row],[PRIX UNITAIRE]])</f>
        <v>0</v>
      </c>
      <c r="F32" s="28"/>
      <c r="G32" s="29">
        <f>+SUM(E$9:$E32)-SUM(F$9:$F32)</f>
        <v>0</v>
      </c>
    </row>
    <row r="33" spans="1:7" ht="28.8" x14ac:dyDescent="0.55000000000000004">
      <c r="A33" s="24"/>
      <c r="B33" s="25"/>
      <c r="C33" s="26"/>
      <c r="D33" s="26"/>
      <c r="E33" s="27">
        <f>+$I$2+(BAKAYOKO[[#This Row],[QUANTITE]]*BAKAYOKO[[#This Row],[PRIX UNITAIRE]])</f>
        <v>0</v>
      </c>
      <c r="F33" s="28"/>
      <c r="G33" s="29">
        <f>+SUM(E$9:$E33)-SUM(F$9:$F33)</f>
        <v>0</v>
      </c>
    </row>
    <row r="34" spans="1:7" ht="28.8" x14ac:dyDescent="0.55000000000000004">
      <c r="A34" s="24"/>
      <c r="B34" s="25"/>
      <c r="C34" s="26"/>
      <c r="D34" s="26"/>
      <c r="E34" s="27">
        <f>+$I$2+(BAKAYOKO[[#This Row],[QUANTITE]]*BAKAYOKO[[#This Row],[PRIX UNITAIRE]])</f>
        <v>0</v>
      </c>
      <c r="F34" s="28"/>
      <c r="G34" s="29">
        <f>+SUM(E$9:$E34)-SUM(F$9:$F34)</f>
        <v>0</v>
      </c>
    </row>
    <row r="35" spans="1:7" ht="28.8" x14ac:dyDescent="0.55000000000000004">
      <c r="A35" s="24"/>
      <c r="B35" s="25"/>
      <c r="C35" s="26"/>
      <c r="D35" s="26"/>
      <c r="E35" s="27">
        <f>+$I$2+(BAKAYOKO[[#This Row],[QUANTITE]]*BAKAYOKO[[#This Row],[PRIX UNITAIRE]])</f>
        <v>0</v>
      </c>
      <c r="F35" s="28"/>
      <c r="G35" s="29">
        <f>+SUM(E$9:$E35)-SUM(F$9:$F35)</f>
        <v>0</v>
      </c>
    </row>
    <row r="36" spans="1:7" ht="28.8" x14ac:dyDescent="0.55000000000000004">
      <c r="A36" s="24"/>
      <c r="B36" s="25"/>
      <c r="C36" s="26"/>
      <c r="D36" s="26"/>
      <c r="E36" s="27">
        <f>+$I$2+(BAKAYOKO[[#This Row],[QUANTITE]]*BAKAYOKO[[#This Row],[PRIX UNITAIRE]])</f>
        <v>0</v>
      </c>
      <c r="F36" s="28"/>
      <c r="G36" s="29">
        <f>+SUM(E$9:$E36)-SUM(F$9:$F36)</f>
        <v>0</v>
      </c>
    </row>
    <row r="37" spans="1:7" ht="28.8" x14ac:dyDescent="0.55000000000000004">
      <c r="A37" s="24"/>
      <c r="B37" s="25"/>
      <c r="C37" s="26"/>
      <c r="D37" s="26"/>
      <c r="E37" s="27">
        <f>+$I$2+(BAKAYOKO[[#This Row],[QUANTITE]]*BAKAYOKO[[#This Row],[PRIX UNITAIRE]])</f>
        <v>0</v>
      </c>
      <c r="F37" s="28"/>
      <c r="G37" s="29">
        <f>+SUM(E$9:$E37)-SUM(F$9:$F37)</f>
        <v>0</v>
      </c>
    </row>
    <row r="38" spans="1:7" ht="28.8" x14ac:dyDescent="0.55000000000000004">
      <c r="A38" s="24"/>
      <c r="B38" s="25"/>
      <c r="C38" s="26"/>
      <c r="D38" s="26"/>
      <c r="E38" s="27">
        <f>+$I$2+(BAKAYOKO[[#This Row],[QUANTITE]]*BAKAYOKO[[#This Row],[PRIX UNITAIRE]])</f>
        <v>0</v>
      </c>
      <c r="F38" s="28"/>
      <c r="G38" s="29">
        <f>+SUM(E$9:$E38)-SUM(F$9:$F38)</f>
        <v>0</v>
      </c>
    </row>
    <row r="39" spans="1:7" ht="28.8" x14ac:dyDescent="0.55000000000000004">
      <c r="A39" s="24"/>
      <c r="B39" s="25"/>
      <c r="C39" s="26"/>
      <c r="D39" s="26"/>
      <c r="E39" s="27">
        <f>+$I$2+(BAKAYOKO[[#This Row],[QUANTITE]]*BAKAYOKO[[#This Row],[PRIX UNITAIRE]])</f>
        <v>0</v>
      </c>
      <c r="F39" s="28"/>
      <c r="G39" s="29">
        <f>+SUM(E$9:$E39)-SUM(F$9:$F39)</f>
        <v>0</v>
      </c>
    </row>
    <row r="40" spans="1:7" ht="28.8" x14ac:dyDescent="0.55000000000000004">
      <c r="A40" s="24"/>
      <c r="B40" s="25"/>
      <c r="C40" s="26"/>
      <c r="D40" s="26"/>
      <c r="E40" s="27">
        <f>+$I$2+(BAKAYOKO[[#This Row],[QUANTITE]]*BAKAYOKO[[#This Row],[PRIX UNITAIRE]])</f>
        <v>0</v>
      </c>
      <c r="F40" s="28"/>
      <c r="G40" s="29">
        <f>+SUM(E$9:$E40)-SUM(F$9:$F40)</f>
        <v>0</v>
      </c>
    </row>
    <row r="41" spans="1:7" ht="28.8" x14ac:dyDescent="0.55000000000000004">
      <c r="A41" s="24"/>
      <c r="B41" s="25"/>
      <c r="C41" s="26"/>
      <c r="D41" s="26"/>
      <c r="E41" s="27">
        <f>+$I$2+(BAKAYOKO[[#This Row],[QUANTITE]]*BAKAYOKO[[#This Row],[PRIX UNITAIRE]])</f>
        <v>0</v>
      </c>
      <c r="F41" s="28"/>
      <c r="G41" s="6">
        <f>+SUM(E$9:$E41)-SUM(F$9:$F41)</f>
        <v>0</v>
      </c>
    </row>
    <row r="42" spans="1:7" ht="28.8" x14ac:dyDescent="0.55000000000000004">
      <c r="A42" s="24"/>
      <c r="B42" s="25"/>
      <c r="C42" s="26"/>
      <c r="D42" s="26"/>
      <c r="E42" s="27">
        <f>+$I$2+(BAKAYOKO[[#This Row],[QUANTITE]]*BAKAYOKO[[#This Row],[PRIX UNITAIRE]])</f>
        <v>0</v>
      </c>
      <c r="F42" s="28"/>
      <c r="G42" s="29">
        <f>+SUM(E$9:$E42)-SUM(F$9:$F42)</f>
        <v>0</v>
      </c>
    </row>
    <row r="43" spans="1:7" ht="28.8" x14ac:dyDescent="0.55000000000000004">
      <c r="A43" s="24"/>
      <c r="B43" s="25"/>
      <c r="C43" s="26"/>
      <c r="D43" s="26"/>
      <c r="E43" s="27">
        <f>+$I$2+(BAKAYOKO[[#This Row],[QUANTITE]]*BAKAYOKO[[#This Row],[PRIX UNITAIRE]])</f>
        <v>0</v>
      </c>
      <c r="F43" s="28"/>
      <c r="G43" s="29">
        <f>+SUM(E$9:$E43)-SUM(F$9:$F43)</f>
        <v>0</v>
      </c>
    </row>
    <row r="44" spans="1:7" ht="28.8" x14ac:dyDescent="0.55000000000000004">
      <c r="A44" s="24"/>
      <c r="B44" s="25"/>
      <c r="C44" s="26"/>
      <c r="D44" s="26"/>
      <c r="E44" s="27">
        <f>+$I$2+(BAKAYOKO[[#This Row],[QUANTITE]]*BAKAYOKO[[#This Row],[PRIX UNITAIRE]])</f>
        <v>0</v>
      </c>
      <c r="F44" s="28"/>
      <c r="G44" s="29">
        <f>+SUM(E$9:$E44)-SUM(F$9:$F44)</f>
        <v>0</v>
      </c>
    </row>
    <row r="45" spans="1:7" ht="28.8" x14ac:dyDescent="0.55000000000000004">
      <c r="A45" s="24"/>
      <c r="B45" s="25"/>
      <c r="C45" s="26"/>
      <c r="D45" s="26"/>
      <c r="E45" s="27">
        <f>+$I$2+(BAKAYOKO[[#This Row],[QUANTITE]]*BAKAYOKO[[#This Row],[PRIX UNITAIRE]])</f>
        <v>0</v>
      </c>
      <c r="F45" s="28"/>
      <c r="G45" s="29">
        <f>+SUM(E$9:$E45)-SUM(F$9:$F45)</f>
        <v>0</v>
      </c>
    </row>
    <row r="46" spans="1:7" ht="28.8" x14ac:dyDescent="0.55000000000000004">
      <c r="A46" s="24"/>
      <c r="B46" s="25"/>
      <c r="C46" s="26"/>
      <c r="D46" s="26"/>
      <c r="E46" s="27">
        <f>+$I$2+(BAKAYOKO[[#This Row],[QUANTITE]]*BAKAYOKO[[#This Row],[PRIX UNITAIRE]])</f>
        <v>0</v>
      </c>
      <c r="F46" s="28"/>
      <c r="G46" s="29">
        <f>+SUM(E$9:$E46)-SUM(F$9:$F46)</f>
        <v>0</v>
      </c>
    </row>
    <row r="47" spans="1:7" ht="28.8" x14ac:dyDescent="0.55000000000000004">
      <c r="A47" s="24"/>
      <c r="B47" s="25"/>
      <c r="C47" s="26"/>
      <c r="D47" s="26"/>
      <c r="E47" s="27">
        <f>+$I$2+(BAKAYOKO[[#This Row],[QUANTITE]]*BAKAYOKO[[#This Row],[PRIX UNITAIRE]])</f>
        <v>0</v>
      </c>
      <c r="F47" s="28"/>
      <c r="G47" s="29">
        <f>+SUM(E$9:$E47)-SUM(F$9:$F47)</f>
        <v>0</v>
      </c>
    </row>
    <row r="48" spans="1:7" ht="28.8" x14ac:dyDescent="0.55000000000000004">
      <c r="A48" s="24"/>
      <c r="B48" s="25"/>
      <c r="C48" s="26"/>
      <c r="D48" s="26"/>
      <c r="E48" s="27">
        <f>+$I$2+(BAKAYOKO[[#This Row],[QUANTITE]]*BAKAYOKO[[#This Row],[PRIX UNITAIRE]])</f>
        <v>0</v>
      </c>
      <c r="F48" s="28"/>
      <c r="G48" s="29">
        <f>+SUM(E$9:$E48)-SUM(F$9:$F48)</f>
        <v>0</v>
      </c>
    </row>
    <row r="49" spans="1:7" ht="28.8" x14ac:dyDescent="0.55000000000000004">
      <c r="A49" s="24"/>
      <c r="B49" s="25"/>
      <c r="C49" s="26"/>
      <c r="D49" s="26"/>
      <c r="E49" s="27">
        <f>+$I$2+(BAKAYOKO[[#This Row],[QUANTITE]]*BAKAYOKO[[#This Row],[PRIX UNITAIRE]])</f>
        <v>0</v>
      </c>
      <c r="F49" s="28"/>
      <c r="G49" s="29">
        <f>+SUM(E$9:$E49)-SUM(F$9:$F49)</f>
        <v>0</v>
      </c>
    </row>
    <row r="50" spans="1:7" ht="28.8" x14ac:dyDescent="0.55000000000000004">
      <c r="A50" s="24"/>
      <c r="B50" s="25"/>
      <c r="C50" s="26"/>
      <c r="D50" s="26"/>
      <c r="E50" s="27">
        <f>+$I$2+(BAKAYOKO[[#This Row],[QUANTITE]]*BAKAYOKO[[#This Row],[PRIX UNITAIRE]])</f>
        <v>0</v>
      </c>
      <c r="F50" s="28"/>
      <c r="G50" s="29">
        <f>+SUM(E$9:$E50)-SUM(F$9:$F50)</f>
        <v>0</v>
      </c>
    </row>
    <row r="51" spans="1:7" ht="28.8" x14ac:dyDescent="0.55000000000000004">
      <c r="A51" s="24"/>
      <c r="B51" s="25"/>
      <c r="C51" s="26"/>
      <c r="D51" s="26"/>
      <c r="E51" s="27">
        <f>+$I$2+(BAKAYOKO[[#This Row],[QUANTITE]]*BAKAYOKO[[#This Row],[PRIX UNITAIRE]])</f>
        <v>0</v>
      </c>
      <c r="F51" s="28"/>
      <c r="G51" s="29">
        <f>+SUM(E$9:$E51)-SUM(F$9:$F51)</f>
        <v>0</v>
      </c>
    </row>
    <row r="52" spans="1:7" ht="28.8" x14ac:dyDescent="0.55000000000000004">
      <c r="A52" s="24"/>
      <c r="B52" s="25"/>
      <c r="C52" s="26"/>
      <c r="D52" s="26"/>
      <c r="E52" s="27">
        <f>+$I$2+(BAKAYOKO[[#This Row],[QUANTITE]]*BAKAYOKO[[#This Row],[PRIX UNITAIRE]])</f>
        <v>0</v>
      </c>
      <c r="F52" s="28"/>
      <c r="G52" s="29">
        <f>+SUM(E$9:$E52)-SUM(F$9:$F52)</f>
        <v>0</v>
      </c>
    </row>
    <row r="53" spans="1:7" ht="28.8" x14ac:dyDescent="0.55000000000000004">
      <c r="A53" s="24"/>
      <c r="B53" s="25"/>
      <c r="C53" s="26"/>
      <c r="D53" s="26"/>
      <c r="E53" s="27">
        <f>+$I$2+(BAKAYOKO[[#This Row],[QUANTITE]]*BAKAYOKO[[#This Row],[PRIX UNITAIRE]])</f>
        <v>0</v>
      </c>
      <c r="F53" s="28"/>
      <c r="G53" s="29">
        <f>+SUM(E$9:$E53)-SUM(F$9:$F53)</f>
        <v>0</v>
      </c>
    </row>
    <row r="54" spans="1:7" ht="28.8" x14ac:dyDescent="0.55000000000000004">
      <c r="A54" s="24"/>
      <c r="B54" s="25"/>
      <c r="C54" s="26"/>
      <c r="D54" s="26"/>
      <c r="E54" s="27">
        <f>+$I$2+(BAKAYOKO[[#This Row],[QUANTITE]]*BAKAYOKO[[#This Row],[PRIX UNITAIRE]])</f>
        <v>0</v>
      </c>
      <c r="F54" s="28"/>
      <c r="G54" s="29">
        <f>+SUM(E$9:$E54)-SUM(F$9:$F54)</f>
        <v>0</v>
      </c>
    </row>
    <row r="55" spans="1:7" ht="28.8" x14ac:dyDescent="0.55000000000000004">
      <c r="A55" s="24"/>
      <c r="B55" s="25"/>
      <c r="C55" s="26"/>
      <c r="D55" s="26"/>
      <c r="E55" s="27">
        <f>+$I$2+(BAKAYOKO[[#This Row],[QUANTITE]]*BAKAYOKO[[#This Row],[PRIX UNITAIRE]])</f>
        <v>0</v>
      </c>
      <c r="F55" s="28"/>
      <c r="G55" s="29">
        <f>+SUM(E$9:$E55)-SUM(F$9:$F55)</f>
        <v>0</v>
      </c>
    </row>
    <row r="56" spans="1:7" ht="28.8" x14ac:dyDescent="0.55000000000000004">
      <c r="A56" s="24"/>
      <c r="B56" s="25"/>
      <c r="C56" s="26"/>
      <c r="D56" s="26"/>
      <c r="E56" s="27">
        <f>+$I$2+(BAKAYOKO[[#This Row],[QUANTITE]]*BAKAYOKO[[#This Row],[PRIX UNITAIRE]])</f>
        <v>0</v>
      </c>
      <c r="F56" s="28"/>
      <c r="G56" s="29">
        <f>+SUM(E$9:$E56)-SUM(F$9:$F56)</f>
        <v>0</v>
      </c>
    </row>
    <row r="57" spans="1:7" ht="28.8" x14ac:dyDescent="0.55000000000000004">
      <c r="A57" s="24"/>
      <c r="B57" s="25"/>
      <c r="C57" s="26"/>
      <c r="D57" s="26"/>
      <c r="E57" s="27">
        <f>+$I$2+(BAKAYOKO[[#This Row],[QUANTITE]]*BAKAYOKO[[#This Row],[PRIX UNITAIRE]])</f>
        <v>0</v>
      </c>
      <c r="F57" s="28"/>
      <c r="G57" s="29">
        <f>+SUM(E$9:$E57)-SUM(F$9:$F57)</f>
        <v>0</v>
      </c>
    </row>
    <row r="58" spans="1:7" ht="28.8" x14ac:dyDescent="0.55000000000000004">
      <c r="A58" s="24"/>
      <c r="B58" s="25"/>
      <c r="C58" s="26"/>
      <c r="D58" s="26"/>
      <c r="E58" s="27">
        <f>+$I$2+(BAKAYOKO[[#This Row],[QUANTITE]]*BAKAYOKO[[#This Row],[PRIX UNITAIRE]])</f>
        <v>0</v>
      </c>
      <c r="F58" s="28"/>
      <c r="G58" s="29">
        <f>+SUM(E$9:$E58)-SUM(F$9:$F58)</f>
        <v>0</v>
      </c>
    </row>
    <row r="59" spans="1:7" ht="28.8" x14ac:dyDescent="0.55000000000000004">
      <c r="A59" s="24"/>
      <c r="B59" s="25"/>
      <c r="C59" s="26"/>
      <c r="D59" s="26"/>
      <c r="E59" s="27">
        <f>+$I$2+(BAKAYOKO[[#This Row],[QUANTITE]]*BAKAYOKO[[#This Row],[PRIX UNITAIRE]])</f>
        <v>0</v>
      </c>
      <c r="F59" s="28"/>
      <c r="G59" s="29">
        <f>+SUM(E$9:$E59)-SUM(F$9:$F59)</f>
        <v>0</v>
      </c>
    </row>
    <row r="60" spans="1:7" ht="28.8" x14ac:dyDescent="0.55000000000000004">
      <c r="A60" s="24"/>
      <c r="B60" s="25"/>
      <c r="C60" s="26"/>
      <c r="D60" s="26"/>
      <c r="E60" s="27">
        <f>+$I$2+(BAKAYOKO[[#This Row],[QUANTITE]]*BAKAYOKO[[#This Row],[PRIX UNITAIRE]])</f>
        <v>0</v>
      </c>
      <c r="F60" s="28"/>
      <c r="G60" s="29">
        <f>+SUM(E$9:$E60)-SUM(F$9:$F60)</f>
        <v>0</v>
      </c>
    </row>
    <row r="61" spans="1:7" ht="28.8" x14ac:dyDescent="0.55000000000000004">
      <c r="A61" s="24"/>
      <c r="B61" s="25"/>
      <c r="C61" s="26"/>
      <c r="D61" s="26"/>
      <c r="E61" s="27">
        <f>+$I$2+(BAKAYOKO[[#This Row],[QUANTITE]]*BAKAYOKO[[#This Row],[PRIX UNITAIRE]])</f>
        <v>0</v>
      </c>
      <c r="F61" s="28"/>
      <c r="G61" s="29">
        <f>+SUM(E$9:$E61)-SUM(F$9:$F61)</f>
        <v>0</v>
      </c>
    </row>
    <row r="62" spans="1:7" ht="28.8" x14ac:dyDescent="0.55000000000000004">
      <c r="A62" s="24"/>
      <c r="B62" s="25"/>
      <c r="C62" s="26"/>
      <c r="D62" s="26"/>
      <c r="E62" s="27">
        <f>+$I$2+(BAKAYOKO[[#This Row],[QUANTITE]]*BAKAYOKO[[#This Row],[PRIX UNITAIRE]])</f>
        <v>0</v>
      </c>
      <c r="F62" s="28"/>
      <c r="G62" s="29">
        <f>+SUM(E$9:$E62)-SUM(F$9:$F62)</f>
        <v>0</v>
      </c>
    </row>
    <row r="63" spans="1:7" ht="28.8" x14ac:dyDescent="0.55000000000000004">
      <c r="A63" s="24"/>
      <c r="B63" s="25"/>
      <c r="C63" s="26"/>
      <c r="D63" s="26"/>
      <c r="E63" s="27">
        <f>+$I$2+(BAKAYOKO[[#This Row],[QUANTITE]]*BAKAYOKO[[#This Row],[PRIX UNITAIRE]])</f>
        <v>0</v>
      </c>
      <c r="F63" s="28"/>
      <c r="G63" s="29">
        <f>+SUM(E$9:$E63)-SUM(F$9:$F63)</f>
        <v>0</v>
      </c>
    </row>
    <row r="64" spans="1:7" ht="28.8" x14ac:dyDescent="0.55000000000000004">
      <c r="A64" s="24"/>
      <c r="B64" s="25"/>
      <c r="C64" s="26"/>
      <c r="D64" s="26"/>
      <c r="E64" s="27">
        <f>+$I$2+(BAKAYOKO[[#This Row],[QUANTITE]]*BAKAYOKO[[#This Row],[PRIX UNITAIRE]])</f>
        <v>0</v>
      </c>
      <c r="F64" s="28"/>
      <c r="G64" s="29">
        <f>+SUM(E$9:$E64)-SUM(F$9:$F64)</f>
        <v>0</v>
      </c>
    </row>
    <row r="65" spans="1:7" ht="28.8" x14ac:dyDescent="0.55000000000000004">
      <c r="A65" s="24"/>
      <c r="B65" s="25"/>
      <c r="C65" s="26"/>
      <c r="D65" s="26"/>
      <c r="E65" s="27">
        <f>+$I$2+(BAKAYOKO[[#This Row],[QUANTITE]]*BAKAYOKO[[#This Row],[PRIX UNITAIRE]])</f>
        <v>0</v>
      </c>
      <c r="F65" s="28"/>
      <c r="G65" s="29">
        <f>+SUM(E$9:$E65)-SUM(F$9:$F65)</f>
        <v>0</v>
      </c>
    </row>
    <row r="66" spans="1:7" ht="28.8" x14ac:dyDescent="0.55000000000000004">
      <c r="A66" s="24"/>
      <c r="B66" s="25"/>
      <c r="C66" s="26"/>
      <c r="D66" s="26"/>
      <c r="E66" s="27">
        <f>+$I$2+(BAKAYOKO[[#This Row],[QUANTITE]]*BAKAYOKO[[#This Row],[PRIX UNITAIRE]])</f>
        <v>0</v>
      </c>
      <c r="F66" s="28"/>
      <c r="G66" s="29">
        <f>+SUM(E$9:$E66)-SUM(F$9:$F66)</f>
        <v>0</v>
      </c>
    </row>
    <row r="67" spans="1:7" ht="28.8" x14ac:dyDescent="0.55000000000000004">
      <c r="A67" s="24"/>
      <c r="B67" s="25"/>
      <c r="C67" s="26"/>
      <c r="D67" s="26"/>
      <c r="E67" s="27">
        <f>+$I$2+(BAKAYOKO[[#This Row],[QUANTITE]]*BAKAYOKO[[#This Row],[PRIX UNITAIRE]])</f>
        <v>0</v>
      </c>
      <c r="F67" s="28"/>
      <c r="G67" s="29">
        <f>+SUM(E$9:$E67)-SUM(F$9:$F67)</f>
        <v>0</v>
      </c>
    </row>
    <row r="68" spans="1:7" ht="28.8" x14ac:dyDescent="0.55000000000000004">
      <c r="A68" s="24"/>
      <c r="B68" s="25"/>
      <c r="C68" s="26"/>
      <c r="D68" s="26"/>
      <c r="E68" s="27">
        <f>+$I$2+(BAKAYOKO[[#This Row],[QUANTITE]]*BAKAYOKO[[#This Row],[PRIX UNITAIRE]])</f>
        <v>0</v>
      </c>
      <c r="F68" s="28"/>
      <c r="G68" s="29">
        <f>+SUM(E$9:$E68)-SUM(F$9:$F68)</f>
        <v>0</v>
      </c>
    </row>
    <row r="69" spans="1:7" ht="28.8" x14ac:dyDescent="0.55000000000000004">
      <c r="A69" s="24"/>
      <c r="B69" s="25"/>
      <c r="C69" s="26"/>
      <c r="D69" s="26"/>
      <c r="E69" s="27">
        <f>+$I$2+(BAKAYOKO[[#This Row],[QUANTITE]]*BAKAYOKO[[#This Row],[PRIX UNITAIRE]])</f>
        <v>0</v>
      </c>
      <c r="F69" s="28"/>
      <c r="G69" s="29">
        <f>+SUM(E$9:$E69)-SUM(F$9:$F69)</f>
        <v>0</v>
      </c>
    </row>
    <row r="70" spans="1:7" ht="28.8" x14ac:dyDescent="0.55000000000000004">
      <c r="A70" s="24"/>
      <c r="B70" s="25"/>
      <c r="C70" s="26"/>
      <c r="D70" s="26"/>
      <c r="E70" s="27">
        <f>+$I$2+(BAKAYOKO[[#This Row],[QUANTITE]]*BAKAYOKO[[#This Row],[PRIX UNITAIRE]])</f>
        <v>0</v>
      </c>
      <c r="F70" s="28"/>
      <c r="G70" s="29">
        <f>+SUM(E$9:$E70)-SUM(F$9:$F70)</f>
        <v>0</v>
      </c>
    </row>
    <row r="71" spans="1:7" ht="28.8" x14ac:dyDescent="0.55000000000000004">
      <c r="A71" s="24"/>
      <c r="B71" s="25"/>
      <c r="C71" s="26"/>
      <c r="D71" s="26"/>
      <c r="E71" s="27">
        <f>+$I$2+(BAKAYOKO[[#This Row],[QUANTITE]]*BAKAYOKO[[#This Row],[PRIX UNITAIRE]])</f>
        <v>0</v>
      </c>
      <c r="F71" s="28"/>
      <c r="G71" s="29">
        <f>+SUM(E$9:$E71)-SUM(F$9:$F71)</f>
        <v>0</v>
      </c>
    </row>
    <row r="72" spans="1:7" ht="28.8" x14ac:dyDescent="0.55000000000000004">
      <c r="A72" s="24"/>
      <c r="B72" s="25"/>
      <c r="C72" s="26"/>
      <c r="D72" s="26"/>
      <c r="E72" s="27">
        <f>+$I$2+(BAKAYOKO[[#This Row],[QUANTITE]]*BAKAYOKO[[#This Row],[PRIX UNITAIRE]])</f>
        <v>0</v>
      </c>
      <c r="F72" s="28"/>
      <c r="G72" s="29">
        <f>+SUM(E$9:$E72)-SUM(F$9:$F72)</f>
        <v>0</v>
      </c>
    </row>
    <row r="73" spans="1:7" ht="28.8" x14ac:dyDescent="0.55000000000000004">
      <c r="A73" s="24"/>
      <c r="B73" s="25"/>
      <c r="C73" s="26"/>
      <c r="D73" s="26"/>
      <c r="E73" s="27">
        <f>+$I$2+(BAKAYOKO[[#This Row],[QUANTITE]]*BAKAYOKO[[#This Row],[PRIX UNITAIRE]])</f>
        <v>0</v>
      </c>
      <c r="F73" s="28"/>
      <c r="G73" s="29">
        <f>+SUM(E$9:$E73)-SUM(F$9:$F73)</f>
        <v>0</v>
      </c>
    </row>
    <row r="74" spans="1:7" ht="28.8" x14ac:dyDescent="0.55000000000000004">
      <c r="A74" s="24"/>
      <c r="B74" s="25"/>
      <c r="C74" s="26"/>
      <c r="D74" s="26"/>
      <c r="E74" s="27">
        <f>+$I$2+(BAKAYOKO[[#This Row],[QUANTITE]]*BAKAYOKO[[#This Row],[PRIX UNITAIRE]])</f>
        <v>0</v>
      </c>
      <c r="F74" s="28"/>
      <c r="G74" s="29">
        <f>+SUM(E$9:$E74)-SUM(F$9:$F74)</f>
        <v>0</v>
      </c>
    </row>
    <row r="75" spans="1:7" ht="28.8" x14ac:dyDescent="0.55000000000000004">
      <c r="A75" s="24"/>
      <c r="B75" s="25"/>
      <c r="C75" s="26"/>
      <c r="D75" s="26"/>
      <c r="E75" s="27">
        <f>+$I$2+(BAKAYOKO[[#This Row],[QUANTITE]]*BAKAYOKO[[#This Row],[PRIX UNITAIRE]])</f>
        <v>0</v>
      </c>
      <c r="F75" s="28"/>
      <c r="G75" s="29">
        <f>+SUM(E$9:$E75)-SUM(F$9:$F75)</f>
        <v>0</v>
      </c>
    </row>
    <row r="76" spans="1:7" ht="28.8" x14ac:dyDescent="0.55000000000000004">
      <c r="A76" s="24"/>
      <c r="B76" s="25"/>
      <c r="C76" s="26"/>
      <c r="D76" s="26"/>
      <c r="E76" s="27">
        <f>+$I$2+(BAKAYOKO[[#This Row],[QUANTITE]]*BAKAYOKO[[#This Row],[PRIX UNITAIRE]])</f>
        <v>0</v>
      </c>
      <c r="F76" s="28"/>
      <c r="G76" s="29">
        <f>+SUM(E$9:$E76)-SUM(F$9:$F76)</f>
        <v>0</v>
      </c>
    </row>
    <row r="77" spans="1:7" ht="28.8" x14ac:dyDescent="0.55000000000000004">
      <c r="A77" s="24"/>
      <c r="B77" s="25"/>
      <c r="C77" s="26"/>
      <c r="D77" s="26"/>
      <c r="E77" s="27">
        <f>+$I$2+(BAKAYOKO[[#This Row],[QUANTITE]]*BAKAYOKO[[#This Row],[PRIX UNITAIRE]])</f>
        <v>0</v>
      </c>
      <c r="F77" s="28"/>
      <c r="G77" s="29">
        <f>+SUM(E$9:$E77)-SUM(F$9:$F77)</f>
        <v>0</v>
      </c>
    </row>
    <row r="78" spans="1:7" ht="28.8" x14ac:dyDescent="0.55000000000000004">
      <c r="A78" s="24"/>
      <c r="B78" s="25"/>
      <c r="C78" s="26"/>
      <c r="D78" s="26"/>
      <c r="E78" s="27">
        <f>+$I$2+(BAKAYOKO[[#This Row],[QUANTITE]]*BAKAYOKO[[#This Row],[PRIX UNITAIRE]])</f>
        <v>0</v>
      </c>
      <c r="F78" s="28"/>
      <c r="G78" s="29">
        <f>+SUM(E$9:$E78)-SUM(F$9:$F78)</f>
        <v>0</v>
      </c>
    </row>
    <row r="79" spans="1:7" ht="28.8" x14ac:dyDescent="0.55000000000000004">
      <c r="A79" s="24"/>
      <c r="B79" s="25"/>
      <c r="C79" s="26"/>
      <c r="D79" s="26"/>
      <c r="E79" s="27">
        <f>+$I$2+(BAKAYOKO[[#This Row],[QUANTITE]]*BAKAYOKO[[#This Row],[PRIX UNITAIRE]])</f>
        <v>0</v>
      </c>
      <c r="F79" s="28"/>
      <c r="G79" s="29">
        <f>+SUM(E$9:$E79)-SUM(F$9:$F79)</f>
        <v>0</v>
      </c>
    </row>
    <row r="80" spans="1:7" ht="28.8" x14ac:dyDescent="0.55000000000000004">
      <c r="A80" s="24"/>
      <c r="B80" s="25"/>
      <c r="C80" s="26"/>
      <c r="D80" s="26"/>
      <c r="E80" s="27">
        <f>+$I$2+(BAKAYOKO[[#This Row],[QUANTITE]]*BAKAYOKO[[#This Row],[PRIX UNITAIRE]])</f>
        <v>0</v>
      </c>
      <c r="F80" s="28"/>
      <c r="G80" s="29">
        <f>+SUM(E$9:$E80)-SUM(F$9:$F80)</f>
        <v>0</v>
      </c>
    </row>
    <row r="81" spans="1:7" ht="28.8" x14ac:dyDescent="0.55000000000000004">
      <c r="A81" s="24"/>
      <c r="B81" s="25"/>
      <c r="C81" s="26"/>
      <c r="D81" s="26"/>
      <c r="E81" s="27">
        <f>+$I$2+(BAKAYOKO[[#This Row],[QUANTITE]]*BAKAYOKO[[#This Row],[PRIX UNITAIRE]])</f>
        <v>0</v>
      </c>
      <c r="F81" s="28"/>
      <c r="G81" s="29">
        <f>+SUM(E$9:$E81)-SUM(F$9:$F81)</f>
        <v>0</v>
      </c>
    </row>
    <row r="82" spans="1:7" ht="28.8" x14ac:dyDescent="0.55000000000000004">
      <c r="A82" s="24"/>
      <c r="B82" s="25"/>
      <c r="C82" s="26"/>
      <c r="D82" s="26"/>
      <c r="E82" s="27">
        <f>+$I$2+(BAKAYOKO[[#This Row],[QUANTITE]]*BAKAYOKO[[#This Row],[PRIX UNITAIRE]])</f>
        <v>0</v>
      </c>
      <c r="F82" s="28"/>
      <c r="G82" s="29">
        <f>+SUM(E$9:$E82)-SUM(F$9:$F82)</f>
        <v>0</v>
      </c>
    </row>
    <row r="83" spans="1:7" ht="28.8" x14ac:dyDescent="0.55000000000000004">
      <c r="A83" s="24"/>
      <c r="B83" s="25"/>
      <c r="C83" s="26"/>
      <c r="D83" s="26"/>
      <c r="E83" s="27">
        <f>+$I$2+(BAKAYOKO[[#This Row],[QUANTITE]]*BAKAYOKO[[#This Row],[PRIX UNITAIRE]])</f>
        <v>0</v>
      </c>
      <c r="F83" s="28"/>
      <c r="G83" s="29">
        <f>+SUM(E$9:$E83)-SUM(F$9:$F83)</f>
        <v>0</v>
      </c>
    </row>
    <row r="84" spans="1:7" ht="28.8" x14ac:dyDescent="0.55000000000000004">
      <c r="A84" s="24"/>
      <c r="B84" s="25"/>
      <c r="C84" s="26"/>
      <c r="D84" s="26"/>
      <c r="E84" s="27">
        <f>+$I$2+(BAKAYOKO[[#This Row],[QUANTITE]]*BAKAYOKO[[#This Row],[PRIX UNITAIRE]])</f>
        <v>0</v>
      </c>
      <c r="F84" s="28"/>
      <c r="G84" s="29">
        <f>+SUM(E$9:$E84)-SUM(F$9:$F84)</f>
        <v>0</v>
      </c>
    </row>
    <row r="85" spans="1:7" ht="28.8" x14ac:dyDescent="0.55000000000000004">
      <c r="A85" s="24"/>
      <c r="B85" s="25"/>
      <c r="C85" s="26"/>
      <c r="D85" s="26"/>
      <c r="E85" s="27">
        <f>+$I$2+(BAKAYOKO[[#This Row],[QUANTITE]]*BAKAYOKO[[#This Row],[PRIX UNITAIRE]])</f>
        <v>0</v>
      </c>
      <c r="F85" s="28"/>
      <c r="G85" s="29">
        <f>+SUM(E$9:$E85)-SUM(F$9:$F85)</f>
        <v>0</v>
      </c>
    </row>
    <row r="86" spans="1:7" ht="28.8" x14ac:dyDescent="0.55000000000000004">
      <c r="A86" s="24"/>
      <c r="B86" s="25"/>
      <c r="C86" s="26"/>
      <c r="D86" s="26"/>
      <c r="E86" s="27">
        <f>+$I$2+(BAKAYOKO[[#This Row],[QUANTITE]]*BAKAYOKO[[#This Row],[PRIX UNITAIRE]])</f>
        <v>0</v>
      </c>
      <c r="F86" s="28"/>
      <c r="G86" s="29">
        <f>+SUM(E$9:$E86)-SUM(F$9:$F86)</f>
        <v>0</v>
      </c>
    </row>
    <row r="87" spans="1:7" ht="28.8" x14ac:dyDescent="0.55000000000000004">
      <c r="A87" s="24"/>
      <c r="B87" s="25"/>
      <c r="C87" s="26"/>
      <c r="D87" s="26"/>
      <c r="E87" s="27">
        <f>+$I$2+(BAKAYOKO[[#This Row],[QUANTITE]]*BAKAYOKO[[#This Row],[PRIX UNITAIRE]])</f>
        <v>0</v>
      </c>
      <c r="F87" s="28"/>
      <c r="G87" s="29">
        <f>+SUM(E$9:$E87)-SUM(F$9:$F87)</f>
        <v>0</v>
      </c>
    </row>
    <row r="88" spans="1:7" ht="28.8" x14ac:dyDescent="0.55000000000000004">
      <c r="A88" s="24"/>
      <c r="B88" s="25"/>
      <c r="C88" s="26"/>
      <c r="D88" s="26"/>
      <c r="E88" s="27">
        <f>+$I$2+(BAKAYOKO[[#This Row],[QUANTITE]]*BAKAYOKO[[#This Row],[PRIX UNITAIRE]])</f>
        <v>0</v>
      </c>
      <c r="F88" s="28"/>
      <c r="G88" s="29">
        <f>+SUM(E$9:$E88)-SUM(F$9:$F88)</f>
        <v>0</v>
      </c>
    </row>
    <row r="89" spans="1:7" ht="28.8" x14ac:dyDescent="0.55000000000000004">
      <c r="A89" s="24"/>
      <c r="B89" s="25"/>
      <c r="C89" s="26"/>
      <c r="D89" s="26"/>
      <c r="E89" s="27">
        <f>+$I$2+(BAKAYOKO[[#This Row],[QUANTITE]]*BAKAYOKO[[#This Row],[PRIX UNITAIRE]])</f>
        <v>0</v>
      </c>
      <c r="F89" s="28"/>
      <c r="G89" s="29">
        <f>+SUM(E$9:$E89)-SUM(F$9:$F89)</f>
        <v>0</v>
      </c>
    </row>
    <row r="90" spans="1:7" ht="28.8" x14ac:dyDescent="0.55000000000000004">
      <c r="A90" s="24"/>
      <c r="B90" s="25"/>
      <c r="C90" s="26"/>
      <c r="D90" s="26"/>
      <c r="E90" s="27">
        <f>+$I$2+(BAKAYOKO[[#This Row],[QUANTITE]]*BAKAYOKO[[#This Row],[PRIX UNITAIRE]])</f>
        <v>0</v>
      </c>
      <c r="F90" s="28"/>
      <c r="G90" s="29">
        <f>+SUM(E$9:$E90)-SUM(F$9:$F90)</f>
        <v>0</v>
      </c>
    </row>
    <row r="91" spans="1:7" ht="28.8" x14ac:dyDescent="0.55000000000000004">
      <c r="A91" s="24"/>
      <c r="B91" s="25"/>
      <c r="C91" s="26"/>
      <c r="D91" s="26"/>
      <c r="E91" s="27">
        <f>+$I$2+(BAKAYOKO[[#This Row],[QUANTITE]]*BAKAYOKO[[#This Row],[PRIX UNITAIRE]])</f>
        <v>0</v>
      </c>
      <c r="F91" s="28"/>
      <c r="G91" s="29">
        <f>+SUM(E$9:$E91)-SUM(F$9:$F91)</f>
        <v>0</v>
      </c>
    </row>
    <row r="92" spans="1:7" ht="28.8" x14ac:dyDescent="0.55000000000000004">
      <c r="A92" s="24"/>
      <c r="B92" s="25"/>
      <c r="C92" s="26"/>
      <c r="D92" s="26"/>
      <c r="E92" s="27">
        <f>+$I$2+(BAKAYOKO[[#This Row],[QUANTITE]]*BAKAYOKO[[#This Row],[PRIX UNITAIRE]])</f>
        <v>0</v>
      </c>
      <c r="F92" s="28"/>
      <c r="G92" s="29">
        <f>+SUM(E$9:$E92)-SUM(F$9:$F92)</f>
        <v>0</v>
      </c>
    </row>
    <row r="93" spans="1:7" ht="28.8" x14ac:dyDescent="0.55000000000000004">
      <c r="A93" s="24"/>
      <c r="B93" s="25"/>
      <c r="C93" s="26"/>
      <c r="D93" s="26"/>
      <c r="E93" s="27">
        <f>+$I$2+(BAKAYOKO[[#This Row],[QUANTITE]]*BAKAYOKO[[#This Row],[PRIX UNITAIRE]])</f>
        <v>0</v>
      </c>
      <c r="F93" s="28"/>
      <c r="G93" s="29">
        <f>+SUM(E$9:$E93)-SUM(F$9:$F93)</f>
        <v>0</v>
      </c>
    </row>
    <row r="94" spans="1:7" ht="28.8" x14ac:dyDescent="0.55000000000000004">
      <c r="A94" s="24"/>
      <c r="B94" s="25"/>
      <c r="C94" s="26"/>
      <c r="D94" s="26"/>
      <c r="E94" s="27">
        <f>+$I$2+(BAKAYOKO[[#This Row],[QUANTITE]]*BAKAYOKO[[#This Row],[PRIX UNITAIRE]])</f>
        <v>0</v>
      </c>
      <c r="F94" s="28"/>
      <c r="G94" s="29">
        <f>+SUM(E$9:$E94)-SUM(F$9:$F94)</f>
        <v>0</v>
      </c>
    </row>
    <row r="95" spans="1:7" ht="28.8" x14ac:dyDescent="0.55000000000000004">
      <c r="A95" s="24"/>
      <c r="B95" s="25"/>
      <c r="C95" s="26"/>
      <c r="D95" s="26"/>
      <c r="E95" s="27">
        <f>+$I$2+(BAKAYOKO[[#This Row],[QUANTITE]]*BAKAYOKO[[#This Row],[PRIX UNITAIRE]])</f>
        <v>0</v>
      </c>
      <c r="F95" s="28"/>
      <c r="G95" s="29">
        <f>+SUM(E$9:$E95)-SUM(F$9:$F95)</f>
        <v>0</v>
      </c>
    </row>
    <row r="96" spans="1:7" ht="28.8" x14ac:dyDescent="0.55000000000000004">
      <c r="A96" s="24"/>
      <c r="B96" s="25"/>
      <c r="C96" s="26"/>
      <c r="D96" s="26"/>
      <c r="E96" s="27">
        <f>+$I$2+(BAKAYOKO[[#This Row],[QUANTITE]]*BAKAYOKO[[#This Row],[PRIX UNITAIRE]])</f>
        <v>0</v>
      </c>
      <c r="F96" s="28"/>
      <c r="G96" s="29">
        <f>+SUM(E$9:$E96)-SUM(F$9:$F96)</f>
        <v>0</v>
      </c>
    </row>
    <row r="97" spans="1:7" ht="28.8" x14ac:dyDescent="0.55000000000000004">
      <c r="A97" s="24"/>
      <c r="B97" s="25"/>
      <c r="C97" s="26"/>
      <c r="D97" s="26"/>
      <c r="E97" s="27">
        <f>+$I$2+(BAKAYOKO[[#This Row],[QUANTITE]]*BAKAYOKO[[#This Row],[PRIX UNITAIRE]])</f>
        <v>0</v>
      </c>
      <c r="F97" s="28"/>
      <c r="G97" s="29">
        <f>+SUM(E$9:$E97)-SUM(F$9:$F97)</f>
        <v>0</v>
      </c>
    </row>
    <row r="98" spans="1:7" ht="28.8" x14ac:dyDescent="0.55000000000000004">
      <c r="A98" s="24"/>
      <c r="B98" s="25"/>
      <c r="C98" s="26"/>
      <c r="D98" s="26"/>
      <c r="E98" s="27">
        <f>+$I$2+(BAKAYOKO[[#This Row],[QUANTITE]]*BAKAYOKO[[#This Row],[PRIX UNITAIRE]])</f>
        <v>0</v>
      </c>
      <c r="F98" s="28"/>
      <c r="G98" s="29">
        <f>+SUM(E$9:$E98)-SUM(F$9:$F98)</f>
        <v>0</v>
      </c>
    </row>
    <row r="99" spans="1:7" ht="28.8" x14ac:dyDescent="0.55000000000000004">
      <c r="A99" s="24"/>
      <c r="B99" s="25"/>
      <c r="C99" s="26"/>
      <c r="D99" s="26"/>
      <c r="E99" s="27">
        <f>+$I$2+(BAKAYOKO[[#This Row],[QUANTITE]]*BAKAYOKO[[#This Row],[PRIX UNITAIRE]])</f>
        <v>0</v>
      </c>
      <c r="F99" s="28"/>
      <c r="G99" s="29">
        <f>+SUM(E$9:$E99)-SUM(F$9:$F99)</f>
        <v>0</v>
      </c>
    </row>
    <row r="100" spans="1:7" ht="28.8" x14ac:dyDescent="0.55000000000000004">
      <c r="A100" s="24"/>
      <c r="B100" s="25"/>
      <c r="C100" s="26"/>
      <c r="D100" s="26"/>
      <c r="E100" s="27">
        <f>+$I$2+(BAKAYOKO[[#This Row],[QUANTITE]]*BAKAYOKO[[#This Row],[PRIX UNITAIRE]])</f>
        <v>0</v>
      </c>
      <c r="F100" s="28"/>
      <c r="G100" s="29">
        <f>+SUM(E$9:$E100)-SUM(F$9:$F100)</f>
        <v>0</v>
      </c>
    </row>
    <row r="101" spans="1:7" ht="28.8" x14ac:dyDescent="0.55000000000000004">
      <c r="A101" s="24"/>
      <c r="B101" s="25"/>
      <c r="C101" s="26"/>
      <c r="D101" s="26"/>
      <c r="E101" s="27">
        <f>+$I$2+(BAKAYOKO[[#This Row],[QUANTITE]]*BAKAYOKO[[#This Row],[PRIX UNITAIRE]])</f>
        <v>0</v>
      </c>
      <c r="F101" s="28"/>
      <c r="G101" s="29">
        <f>+SUM(E$9:$E101)-SUM(F$9:$F101)</f>
        <v>0</v>
      </c>
    </row>
    <row r="102" spans="1:7" ht="28.8" x14ac:dyDescent="0.55000000000000004">
      <c r="A102" s="24"/>
      <c r="B102" s="25"/>
      <c r="C102" s="26"/>
      <c r="D102" s="26"/>
      <c r="E102" s="27">
        <f>+$I$2+(BAKAYOKO[[#This Row],[QUANTITE]]*BAKAYOKO[[#This Row],[PRIX UNITAIRE]])</f>
        <v>0</v>
      </c>
      <c r="F102" s="28"/>
      <c r="G102" s="29">
        <f>+SUM(E$9:$E102)-SUM(F$9:$F102)</f>
        <v>0</v>
      </c>
    </row>
    <row r="103" spans="1:7" ht="28.8" x14ac:dyDescent="0.55000000000000004">
      <c r="A103" s="24"/>
      <c r="B103" s="25"/>
      <c r="C103" s="26"/>
      <c r="D103" s="26"/>
      <c r="E103" s="27">
        <f>+$I$2+(BAKAYOKO[[#This Row],[QUANTITE]]*BAKAYOKO[[#This Row],[PRIX UNITAIRE]])</f>
        <v>0</v>
      </c>
      <c r="F103" s="28"/>
      <c r="G103" s="29">
        <f>+SUM(E$9:$E103)-SUM(F$9:$F103)</f>
        <v>0</v>
      </c>
    </row>
    <row r="104" spans="1:7" ht="28.8" x14ac:dyDescent="0.55000000000000004">
      <c r="A104" s="24"/>
      <c r="B104" s="25"/>
      <c r="C104" s="26"/>
      <c r="D104" s="26"/>
      <c r="E104" s="27">
        <f>+$I$2+(BAKAYOKO[[#This Row],[QUANTITE]]*BAKAYOKO[[#This Row],[PRIX UNITAIRE]])</f>
        <v>0</v>
      </c>
      <c r="F104" s="28"/>
      <c r="G104" s="29">
        <f>+SUM(E$9:$E104)-SUM(F$9:$F104)</f>
        <v>0</v>
      </c>
    </row>
    <row r="105" spans="1:7" ht="28.8" x14ac:dyDescent="0.55000000000000004">
      <c r="A105" s="24"/>
      <c r="B105" s="25"/>
      <c r="C105" s="26"/>
      <c r="D105" s="26"/>
      <c r="E105" s="27">
        <f>+$I$2+(BAKAYOKO[[#This Row],[QUANTITE]]*BAKAYOKO[[#This Row],[PRIX UNITAIRE]])</f>
        <v>0</v>
      </c>
      <c r="F105" s="28"/>
      <c r="G105" s="29">
        <f>+SUM(E$9:$E105)-SUM(F$9:$F105)</f>
        <v>0</v>
      </c>
    </row>
    <row r="106" spans="1:7" ht="28.8" x14ac:dyDescent="0.55000000000000004">
      <c r="A106" s="24"/>
      <c r="B106" s="25"/>
      <c r="C106" s="26"/>
      <c r="D106" s="26"/>
      <c r="E106" s="27">
        <f>+$I$2+(BAKAYOKO[[#This Row],[QUANTITE]]*BAKAYOKO[[#This Row],[PRIX UNITAIRE]])</f>
        <v>0</v>
      </c>
      <c r="F106" s="28"/>
      <c r="G106" s="29">
        <f>+SUM(E$9:$E106)-SUM(F$9:$F106)</f>
        <v>0</v>
      </c>
    </row>
    <row r="107" spans="1:7" ht="28.8" x14ac:dyDescent="0.55000000000000004">
      <c r="A107" s="24"/>
      <c r="B107" s="25"/>
      <c r="C107" s="26"/>
      <c r="D107" s="26"/>
      <c r="E107" s="27">
        <f>+$I$2+(BAKAYOKO[[#This Row],[QUANTITE]]*BAKAYOKO[[#This Row],[PRIX UNITAIRE]])</f>
        <v>0</v>
      </c>
      <c r="F107" s="28"/>
      <c r="G107" s="29">
        <f>+SUM(E$9:$E107)-SUM(F$9:$F107)</f>
        <v>0</v>
      </c>
    </row>
    <row r="108" spans="1:7" ht="28.8" x14ac:dyDescent="0.55000000000000004">
      <c r="A108" s="24"/>
      <c r="B108" s="25"/>
      <c r="C108" s="26"/>
      <c r="D108" s="26"/>
      <c r="E108" s="27">
        <f>+$I$2+(BAKAYOKO[[#This Row],[QUANTITE]]*BAKAYOKO[[#This Row],[PRIX UNITAIRE]])</f>
        <v>0</v>
      </c>
      <c r="F108" s="28"/>
      <c r="G108" s="29">
        <f>+SUM(E$9:$E108)-SUM(F$9:$F108)</f>
        <v>0</v>
      </c>
    </row>
    <row r="109" spans="1:7" ht="28.8" x14ac:dyDescent="0.55000000000000004">
      <c r="A109" s="24"/>
      <c r="B109" s="25"/>
      <c r="C109" s="26"/>
      <c r="D109" s="26"/>
      <c r="E109" s="27">
        <f>+$I$2+(BAKAYOKO[[#This Row],[QUANTITE]]*BAKAYOKO[[#This Row],[PRIX UNITAIRE]])</f>
        <v>0</v>
      </c>
      <c r="F109" s="28"/>
      <c r="G109" s="29">
        <f>+SUM(E$9:$E109)-SUM(F$9:$F109)</f>
        <v>0</v>
      </c>
    </row>
    <row r="110" spans="1:7" ht="28.8" x14ac:dyDescent="0.55000000000000004">
      <c r="A110" s="24"/>
      <c r="B110" s="25"/>
      <c r="C110" s="26"/>
      <c r="D110" s="26"/>
      <c r="E110" s="27">
        <f>+$I$2+(BAKAYOKO[[#This Row],[QUANTITE]]*BAKAYOKO[[#This Row],[PRIX UNITAIRE]])</f>
        <v>0</v>
      </c>
      <c r="F110" s="28"/>
      <c r="G110" s="29">
        <f>+SUM(E$9:$E110)-SUM(F$9:$F110)</f>
        <v>0</v>
      </c>
    </row>
    <row r="111" spans="1:7" ht="28.8" x14ac:dyDescent="0.55000000000000004">
      <c r="A111" s="24"/>
      <c r="B111" s="25"/>
      <c r="C111" s="26"/>
      <c r="D111" s="26"/>
      <c r="E111" s="27">
        <f>+$I$2+(BAKAYOKO[[#This Row],[QUANTITE]]*BAKAYOKO[[#This Row],[PRIX UNITAIRE]])</f>
        <v>0</v>
      </c>
      <c r="F111" s="28"/>
      <c r="G111" s="29">
        <f>+SUM(E$9:$E111)-SUM(F$9:$F111)</f>
        <v>0</v>
      </c>
    </row>
    <row r="112" spans="1:7" ht="28.8" x14ac:dyDescent="0.55000000000000004">
      <c r="A112" s="24"/>
      <c r="B112" s="25"/>
      <c r="C112" s="26"/>
      <c r="D112" s="26"/>
      <c r="E112" s="27">
        <f>+$I$2+(BAKAYOKO[[#This Row],[QUANTITE]]*BAKAYOKO[[#This Row],[PRIX UNITAIRE]])</f>
        <v>0</v>
      </c>
      <c r="F112" s="28"/>
      <c r="G112" s="29">
        <f>+SUM(E$9:$E112)-SUM(F$9:$F112)</f>
        <v>0</v>
      </c>
    </row>
    <row r="113" spans="1:7" ht="28.8" x14ac:dyDescent="0.55000000000000004">
      <c r="A113" s="24"/>
      <c r="B113" s="25"/>
      <c r="C113" s="26"/>
      <c r="D113" s="26"/>
      <c r="E113" s="27">
        <f>+$I$2+(BAKAYOKO[[#This Row],[QUANTITE]]*BAKAYOKO[[#This Row],[PRIX UNITAIRE]])</f>
        <v>0</v>
      </c>
      <c r="F113" s="28"/>
      <c r="G113" s="29">
        <f>+SUM(E$9:$E113)-SUM(F$9:$F113)</f>
        <v>0</v>
      </c>
    </row>
    <row r="114" spans="1:7" ht="28.8" x14ac:dyDescent="0.55000000000000004">
      <c r="A114" s="24"/>
      <c r="B114" s="25"/>
      <c r="C114" s="26"/>
      <c r="D114" s="26"/>
      <c r="E114" s="27">
        <f>+$I$2+(BAKAYOKO[[#This Row],[QUANTITE]]*BAKAYOKO[[#This Row],[PRIX UNITAIRE]])</f>
        <v>0</v>
      </c>
      <c r="F114" s="28"/>
      <c r="G114" s="29">
        <f>+SUM(E$9:$E114)-SUM(F$9:$F114)</f>
        <v>0</v>
      </c>
    </row>
    <row r="115" spans="1:7" ht="28.8" x14ac:dyDescent="0.55000000000000004">
      <c r="A115" s="24"/>
      <c r="B115" s="25"/>
      <c r="C115" s="26"/>
      <c r="D115" s="26"/>
      <c r="E115" s="27">
        <f>+$I$2+(BAKAYOKO[[#This Row],[QUANTITE]]*BAKAYOKO[[#This Row],[PRIX UNITAIRE]])</f>
        <v>0</v>
      </c>
      <c r="F115" s="28"/>
      <c r="G115" s="29">
        <f>+SUM(E$9:$E115)-SUM(F$9:$F115)</f>
        <v>0</v>
      </c>
    </row>
    <row r="116" spans="1:7" ht="28.8" x14ac:dyDescent="0.55000000000000004">
      <c r="A116" s="24"/>
      <c r="B116" s="25"/>
      <c r="C116" s="26"/>
      <c r="D116" s="26"/>
      <c r="E116" s="27">
        <f>+$I$2+(BAKAYOKO[[#This Row],[QUANTITE]]*BAKAYOKO[[#This Row],[PRIX UNITAIRE]])</f>
        <v>0</v>
      </c>
      <c r="F116" s="28"/>
      <c r="G116" s="29">
        <f>+SUM(E$9:$E116)-SUM(F$9:$F116)</f>
        <v>0</v>
      </c>
    </row>
    <row r="117" spans="1:7" ht="28.8" x14ac:dyDescent="0.55000000000000004">
      <c r="A117" s="24"/>
      <c r="B117" s="25"/>
      <c r="C117" s="26"/>
      <c r="D117" s="26"/>
      <c r="E117" s="27">
        <f>+$I$2+(BAKAYOKO[[#This Row],[QUANTITE]]*BAKAYOKO[[#This Row],[PRIX UNITAIRE]])</f>
        <v>0</v>
      </c>
      <c r="F117" s="28"/>
      <c r="G117" s="29">
        <f>+SUM(E$9:$E117)-SUM(F$9:$F117)</f>
        <v>0</v>
      </c>
    </row>
    <row r="118" spans="1:7" ht="28.8" x14ac:dyDescent="0.55000000000000004">
      <c r="A118" s="24"/>
      <c r="B118" s="25"/>
      <c r="C118" s="26"/>
      <c r="D118" s="26"/>
      <c r="E118" s="27">
        <f>+$I$2+(BAKAYOKO[[#This Row],[QUANTITE]]*BAKAYOKO[[#This Row],[PRIX UNITAIRE]])</f>
        <v>0</v>
      </c>
      <c r="F118" s="28"/>
      <c r="G118" s="29">
        <f>+SUM(E$9:$E118)-SUM(F$9:$F118)</f>
        <v>0</v>
      </c>
    </row>
    <row r="119" spans="1:7" ht="28.8" x14ac:dyDescent="0.55000000000000004">
      <c r="A119" s="24"/>
      <c r="B119" s="25"/>
      <c r="C119" s="26"/>
      <c r="D119" s="26"/>
      <c r="E119" s="27">
        <f>+$I$2+(BAKAYOKO[[#This Row],[QUANTITE]]*BAKAYOKO[[#This Row],[PRIX UNITAIRE]])</f>
        <v>0</v>
      </c>
      <c r="F119" s="28"/>
      <c r="G119" s="29">
        <f>+SUM(E$9:$E119)-SUM(F$9:$F119)</f>
        <v>0</v>
      </c>
    </row>
    <row r="120" spans="1:7" ht="28.8" x14ac:dyDescent="0.55000000000000004">
      <c r="A120" s="24"/>
      <c r="B120" s="25"/>
      <c r="C120" s="26"/>
      <c r="D120" s="26"/>
      <c r="E120" s="27">
        <f>+$I$2+(BAKAYOKO[[#This Row],[QUANTITE]]*BAKAYOKO[[#This Row],[PRIX UNITAIRE]])</f>
        <v>0</v>
      </c>
      <c r="F120" s="28"/>
      <c r="G120" s="29">
        <f>+SUM(E$9:$E120)-SUM(F$9:$F120)</f>
        <v>0</v>
      </c>
    </row>
    <row r="121" spans="1:7" ht="28.8" x14ac:dyDescent="0.55000000000000004">
      <c r="A121" s="24"/>
      <c r="B121" s="25"/>
      <c r="C121" s="26"/>
      <c r="D121" s="26"/>
      <c r="E121" s="27">
        <f>+$I$2+(BAKAYOKO[[#This Row],[QUANTITE]]*BAKAYOKO[[#This Row],[PRIX UNITAIRE]])</f>
        <v>0</v>
      </c>
      <c r="F121" s="28"/>
      <c r="G121" s="29">
        <f>+SUM(E$9:$E121)-SUM(F$9:$F121)</f>
        <v>0</v>
      </c>
    </row>
    <row r="122" spans="1:7" ht="28.8" x14ac:dyDescent="0.55000000000000004">
      <c r="A122" s="24"/>
      <c r="B122" s="25"/>
      <c r="C122" s="26"/>
      <c r="D122" s="26"/>
      <c r="E122" s="27">
        <f>+$I$2+(BAKAYOKO[[#This Row],[QUANTITE]]*BAKAYOKO[[#This Row],[PRIX UNITAIRE]])</f>
        <v>0</v>
      </c>
      <c r="F122" s="28"/>
      <c r="G122" s="29">
        <f>+SUM(E$9:$E122)-SUM(F$9:$F122)</f>
        <v>0</v>
      </c>
    </row>
    <row r="123" spans="1:7" ht="28.8" x14ac:dyDescent="0.55000000000000004">
      <c r="A123" s="24"/>
      <c r="B123" s="25"/>
      <c r="C123" s="26"/>
      <c r="D123" s="26"/>
      <c r="E123" s="27">
        <f>+$I$2+(BAKAYOKO[[#This Row],[QUANTITE]]*BAKAYOKO[[#This Row],[PRIX UNITAIRE]])</f>
        <v>0</v>
      </c>
      <c r="F123" s="28"/>
      <c r="G123" s="29">
        <f>+SUM(E$9:$E123)-SUM(F$9:$F123)</f>
        <v>0</v>
      </c>
    </row>
    <row r="124" spans="1:7" ht="28.8" x14ac:dyDescent="0.55000000000000004">
      <c r="A124" s="24"/>
      <c r="B124" s="25"/>
      <c r="C124" s="26"/>
      <c r="D124" s="26"/>
      <c r="E124" s="27">
        <f>+$I$2+(BAKAYOKO[[#This Row],[QUANTITE]]*BAKAYOKO[[#This Row],[PRIX UNITAIRE]])</f>
        <v>0</v>
      </c>
      <c r="F124" s="28"/>
      <c r="G124" s="29">
        <f>+SUM(E$9:$E124)-SUM(F$9:$F124)</f>
        <v>0</v>
      </c>
    </row>
    <row r="125" spans="1:7" ht="28.8" x14ac:dyDescent="0.55000000000000004">
      <c r="A125" s="24"/>
      <c r="B125" s="25"/>
      <c r="C125" s="26"/>
      <c r="D125" s="26"/>
      <c r="E125" s="27">
        <f>+$I$2+(BAKAYOKO[[#This Row],[QUANTITE]]*BAKAYOKO[[#This Row],[PRIX UNITAIRE]])</f>
        <v>0</v>
      </c>
      <c r="F125" s="28"/>
      <c r="G125" s="29">
        <f>+SUM(E$9:$E125)-SUM(F$9:$F125)</f>
        <v>0</v>
      </c>
    </row>
    <row r="126" spans="1:7" ht="28.8" x14ac:dyDescent="0.55000000000000004">
      <c r="A126" s="24"/>
      <c r="B126" s="25"/>
      <c r="C126" s="26"/>
      <c r="D126" s="26"/>
      <c r="E126" s="27">
        <f>+$I$2+(BAKAYOKO[[#This Row],[QUANTITE]]*BAKAYOKO[[#This Row],[PRIX UNITAIRE]])</f>
        <v>0</v>
      </c>
      <c r="F126" s="28"/>
      <c r="G126" s="29">
        <f>+SUM(E$9:$E126)-SUM(F$9:$F126)</f>
        <v>0</v>
      </c>
    </row>
    <row r="127" spans="1:7" ht="28.8" x14ac:dyDescent="0.55000000000000004">
      <c r="A127" s="24"/>
      <c r="B127" s="25"/>
      <c r="C127" s="26"/>
      <c r="D127" s="26"/>
      <c r="E127" s="27">
        <f>+$I$2+(BAKAYOKO[[#This Row],[QUANTITE]]*BAKAYOKO[[#This Row],[PRIX UNITAIRE]])</f>
        <v>0</v>
      </c>
      <c r="F127" s="28"/>
      <c r="G127" s="29">
        <f>+SUM(E$9:$E127)-SUM(F$9:$F127)</f>
        <v>0</v>
      </c>
    </row>
    <row r="128" spans="1:7" ht="28.8" x14ac:dyDescent="0.55000000000000004">
      <c r="A128" s="24"/>
      <c r="B128" s="25"/>
      <c r="C128" s="26"/>
      <c r="D128" s="26"/>
      <c r="E128" s="27">
        <f>+$I$2+(BAKAYOKO[[#This Row],[QUANTITE]]*BAKAYOKO[[#This Row],[PRIX UNITAIRE]])</f>
        <v>0</v>
      </c>
      <c r="F128" s="28"/>
      <c r="G128" s="29">
        <f>+SUM(E$9:$E128)-SUM(F$9:$F128)</f>
        <v>0</v>
      </c>
    </row>
    <row r="129" spans="1:7" ht="28.8" x14ac:dyDescent="0.55000000000000004">
      <c r="A129" s="24"/>
      <c r="B129" s="25"/>
      <c r="C129" s="26"/>
      <c r="D129" s="26"/>
      <c r="E129" s="27">
        <f>+$I$2+(BAKAYOKO[[#This Row],[QUANTITE]]*BAKAYOKO[[#This Row],[PRIX UNITAIRE]])</f>
        <v>0</v>
      </c>
      <c r="F129" s="28"/>
      <c r="G129" s="29">
        <f>+SUM(E$9:$E129)-SUM(F$9:$F129)</f>
        <v>0</v>
      </c>
    </row>
    <row r="130" spans="1:7" ht="28.8" x14ac:dyDescent="0.55000000000000004">
      <c r="A130" s="24"/>
      <c r="B130" s="25"/>
      <c r="C130" s="26"/>
      <c r="D130" s="26"/>
      <c r="E130" s="27">
        <f>+$I$2+(BAKAYOKO[[#This Row],[QUANTITE]]*BAKAYOKO[[#This Row],[PRIX UNITAIRE]])</f>
        <v>0</v>
      </c>
      <c r="F130" s="28"/>
      <c r="G130" s="29">
        <f>+SUM(E$9:$E130)-SUM(F$9:$F130)</f>
        <v>0</v>
      </c>
    </row>
    <row r="131" spans="1:7" ht="28.8" x14ac:dyDescent="0.55000000000000004">
      <c r="A131" s="24"/>
      <c r="B131" s="25"/>
      <c r="C131" s="26"/>
      <c r="D131" s="26"/>
      <c r="E131" s="27">
        <f>+$I$2+(BAKAYOKO[[#This Row],[QUANTITE]]*BAKAYOKO[[#This Row],[PRIX UNITAIRE]])</f>
        <v>0</v>
      </c>
      <c r="F131" s="28"/>
      <c r="G131" s="29">
        <f>+SUM(E$9:$E131)-SUM(F$9:$F131)</f>
        <v>0</v>
      </c>
    </row>
    <row r="132" spans="1:7" ht="28.8" x14ac:dyDescent="0.55000000000000004">
      <c r="A132" s="24"/>
      <c r="B132" s="25"/>
      <c r="C132" s="26"/>
      <c r="D132" s="26"/>
      <c r="E132" s="27">
        <f>+$I$2+(BAKAYOKO[[#This Row],[QUANTITE]]*BAKAYOKO[[#This Row],[PRIX UNITAIRE]])</f>
        <v>0</v>
      </c>
      <c r="F132" s="28"/>
      <c r="G132" s="29">
        <f>+SUM(E$9:$E132)-SUM(F$9:$F132)</f>
        <v>0</v>
      </c>
    </row>
    <row r="133" spans="1:7" ht="28.8" x14ac:dyDescent="0.55000000000000004">
      <c r="A133" s="24"/>
      <c r="B133" s="25"/>
      <c r="C133" s="26"/>
      <c r="D133" s="26"/>
      <c r="E133" s="27">
        <f>+$I$2+(BAKAYOKO[[#This Row],[QUANTITE]]*BAKAYOKO[[#This Row],[PRIX UNITAIRE]])</f>
        <v>0</v>
      </c>
      <c r="F133" s="28"/>
      <c r="G133" s="29">
        <f>+SUM(E$9:$E133)-SUM(F$9:$F133)</f>
        <v>0</v>
      </c>
    </row>
    <row r="134" spans="1:7" ht="28.8" x14ac:dyDescent="0.55000000000000004">
      <c r="A134" s="24"/>
      <c r="B134" s="25"/>
      <c r="C134" s="26"/>
      <c r="D134" s="26"/>
      <c r="E134" s="27">
        <f>+$I$2+(BAKAYOKO[[#This Row],[QUANTITE]]*BAKAYOKO[[#This Row],[PRIX UNITAIRE]])</f>
        <v>0</v>
      </c>
      <c r="F134" s="28"/>
      <c r="G134" s="29">
        <f>+SUM(E$9:$E134)-SUM(F$9:$F134)</f>
        <v>0</v>
      </c>
    </row>
    <row r="135" spans="1:7" ht="28.8" x14ac:dyDescent="0.55000000000000004">
      <c r="A135" s="24"/>
      <c r="B135" s="25"/>
      <c r="C135" s="26"/>
      <c r="D135" s="26"/>
      <c r="E135" s="27">
        <f>+$I$2+(BAKAYOKO[[#This Row],[QUANTITE]]*BAKAYOKO[[#This Row],[PRIX UNITAIRE]])</f>
        <v>0</v>
      </c>
      <c r="F135" s="28"/>
      <c r="G135" s="29">
        <f>+SUM(E$9:$E135)-SUM(F$9:$F135)</f>
        <v>0</v>
      </c>
    </row>
    <row r="136" spans="1:7" ht="28.8" x14ac:dyDescent="0.55000000000000004">
      <c r="A136" s="24"/>
      <c r="B136" s="25"/>
      <c r="C136" s="26"/>
      <c r="D136" s="26"/>
      <c r="E136" s="27">
        <f>+$I$2+(BAKAYOKO[[#This Row],[QUANTITE]]*BAKAYOKO[[#This Row],[PRIX UNITAIRE]])</f>
        <v>0</v>
      </c>
      <c r="F136" s="28"/>
      <c r="G136" s="29">
        <f>+SUM(E$9:$E136)-SUM(F$9:$F136)</f>
        <v>0</v>
      </c>
    </row>
    <row r="137" spans="1:7" ht="28.8" x14ac:dyDescent="0.55000000000000004">
      <c r="A137" s="24"/>
      <c r="B137" s="25"/>
      <c r="C137" s="26"/>
      <c r="D137" s="26"/>
      <c r="E137" s="27">
        <f>+$I$2+(BAKAYOKO[[#This Row],[QUANTITE]]*BAKAYOKO[[#This Row],[PRIX UNITAIRE]])</f>
        <v>0</v>
      </c>
      <c r="F137" s="28"/>
      <c r="G137" s="29">
        <f>+SUM(E$9:$E137)-SUM(F$9:$F137)</f>
        <v>0</v>
      </c>
    </row>
    <row r="138" spans="1:7" ht="28.8" x14ac:dyDescent="0.55000000000000004">
      <c r="A138" s="24"/>
      <c r="B138" s="25"/>
      <c r="C138" s="26"/>
      <c r="D138" s="26"/>
      <c r="E138" s="27">
        <f>+$I$2+(BAKAYOKO[[#This Row],[QUANTITE]]*BAKAYOKO[[#This Row],[PRIX UNITAIRE]])</f>
        <v>0</v>
      </c>
      <c r="F138" s="28"/>
      <c r="G138" s="29">
        <f>+SUM(E$9:$E138)-SUM(F$9:$F138)</f>
        <v>0</v>
      </c>
    </row>
    <row r="139" spans="1:7" ht="28.8" x14ac:dyDescent="0.55000000000000004">
      <c r="A139" s="24"/>
      <c r="B139" s="25"/>
      <c r="C139" s="26"/>
      <c r="D139" s="26"/>
      <c r="E139" s="27">
        <f>+$I$2+(BAKAYOKO[[#This Row],[QUANTITE]]*BAKAYOKO[[#This Row],[PRIX UNITAIRE]])</f>
        <v>0</v>
      </c>
      <c r="F139" s="28"/>
      <c r="G139" s="29">
        <f>+SUM(E$9:$E139)-SUM(F$9:$F139)</f>
        <v>0</v>
      </c>
    </row>
    <row r="140" spans="1:7" ht="28.8" x14ac:dyDescent="0.55000000000000004">
      <c r="A140" s="24"/>
      <c r="B140" s="25"/>
      <c r="C140" s="26"/>
      <c r="D140" s="26"/>
      <c r="E140" s="27">
        <f>+$I$2+(BAKAYOKO[[#This Row],[QUANTITE]]*BAKAYOKO[[#This Row],[PRIX UNITAIRE]])</f>
        <v>0</v>
      </c>
      <c r="F140" s="28"/>
      <c r="G140" s="29">
        <f>+SUM(E$9:$E140)-SUM(F$9:$F140)</f>
        <v>0</v>
      </c>
    </row>
    <row r="141" spans="1:7" ht="28.8" x14ac:dyDescent="0.55000000000000004">
      <c r="A141" s="24"/>
      <c r="B141" s="25"/>
      <c r="C141" s="26"/>
      <c r="D141" s="26"/>
      <c r="E141" s="27">
        <f>+$I$2+(BAKAYOKO[[#This Row],[QUANTITE]]*BAKAYOKO[[#This Row],[PRIX UNITAIRE]])</f>
        <v>0</v>
      </c>
      <c r="F141" s="28"/>
      <c r="G141" s="29">
        <f>+SUM(E$9:$E141)-SUM(F$9:$F141)</f>
        <v>0</v>
      </c>
    </row>
    <row r="142" spans="1:7" ht="28.8" x14ac:dyDescent="0.55000000000000004">
      <c r="A142" s="24"/>
      <c r="B142" s="25"/>
      <c r="C142" s="26"/>
      <c r="D142" s="26"/>
      <c r="E142" s="27">
        <f>+$I$2+(BAKAYOKO[[#This Row],[QUANTITE]]*BAKAYOKO[[#This Row],[PRIX UNITAIRE]])</f>
        <v>0</v>
      </c>
      <c r="F142" s="28"/>
      <c r="G142" s="29">
        <f>+SUM(E$9:$E142)-SUM(F$9:$F142)</f>
        <v>0</v>
      </c>
    </row>
    <row r="143" spans="1:7" ht="28.8" x14ac:dyDescent="0.55000000000000004">
      <c r="A143" s="24"/>
      <c r="B143" s="25"/>
      <c r="C143" s="26"/>
      <c r="D143" s="26"/>
      <c r="E143" s="27">
        <f>+$I$2+(BAKAYOKO[[#This Row],[QUANTITE]]*BAKAYOKO[[#This Row],[PRIX UNITAIRE]])</f>
        <v>0</v>
      </c>
      <c r="F143" s="28"/>
      <c r="G143" s="29">
        <f>+SUM(E$9:$E143)-SUM(F$9:$F143)</f>
        <v>0</v>
      </c>
    </row>
    <row r="144" spans="1:7" ht="28.8" x14ac:dyDescent="0.55000000000000004">
      <c r="A144" s="24"/>
      <c r="B144" s="25"/>
      <c r="C144" s="26"/>
      <c r="D144" s="26"/>
      <c r="E144" s="27">
        <f>+$I$2+(BAKAYOKO[[#This Row],[QUANTITE]]*BAKAYOKO[[#This Row],[PRIX UNITAIRE]])</f>
        <v>0</v>
      </c>
      <c r="F144" s="28"/>
      <c r="G144" s="29">
        <f>+SUM(E$9:$E144)-SUM(F$9:$F144)</f>
        <v>0</v>
      </c>
    </row>
    <row r="145" spans="1:7" ht="28.8" x14ac:dyDescent="0.55000000000000004">
      <c r="A145" s="24"/>
      <c r="B145" s="25"/>
      <c r="C145" s="26"/>
      <c r="D145" s="26"/>
      <c r="E145" s="27">
        <f>+$I$2+(BAKAYOKO[[#This Row],[QUANTITE]]*BAKAYOKO[[#This Row],[PRIX UNITAIRE]])</f>
        <v>0</v>
      </c>
      <c r="F145" s="28"/>
      <c r="G145" s="29">
        <f>+SUM(E$9:$E145)-SUM(F$9:$F145)</f>
        <v>0</v>
      </c>
    </row>
    <row r="146" spans="1:7" ht="28.8" x14ac:dyDescent="0.55000000000000004">
      <c r="A146" s="24"/>
      <c r="B146" s="25"/>
      <c r="C146" s="26"/>
      <c r="D146" s="26"/>
      <c r="E146" s="27">
        <f>+$I$2+(BAKAYOKO[[#This Row],[QUANTITE]]*BAKAYOKO[[#This Row],[PRIX UNITAIRE]])</f>
        <v>0</v>
      </c>
      <c r="F146" s="28"/>
      <c r="G146" s="29">
        <f>+SUM(E$9:$E146)-SUM(F$9:$F146)</f>
        <v>0</v>
      </c>
    </row>
    <row r="147" spans="1:7" ht="28.8" x14ac:dyDescent="0.55000000000000004">
      <c r="A147" s="24"/>
      <c r="B147" s="25"/>
      <c r="C147" s="26"/>
      <c r="D147" s="26"/>
      <c r="E147" s="27">
        <f>+$I$2+(BAKAYOKO[[#This Row],[QUANTITE]]*BAKAYOKO[[#This Row],[PRIX UNITAIRE]])</f>
        <v>0</v>
      </c>
      <c r="F147" s="28"/>
      <c r="G147" s="29">
        <f>+SUM(E$9:$E147)-SUM(F$9:$F147)</f>
        <v>0</v>
      </c>
    </row>
    <row r="148" spans="1:7" ht="28.8" x14ac:dyDescent="0.55000000000000004">
      <c r="A148" s="24"/>
      <c r="B148" s="25"/>
      <c r="C148" s="26"/>
      <c r="D148" s="26"/>
      <c r="E148" s="27">
        <f>+$I$2+(BAKAYOKO[[#This Row],[QUANTITE]]*BAKAYOKO[[#This Row],[PRIX UNITAIRE]])</f>
        <v>0</v>
      </c>
      <c r="F148" s="28"/>
      <c r="G148" s="29">
        <f>+SUM(E$9:$E148)-SUM(F$9:$F148)</f>
        <v>0</v>
      </c>
    </row>
    <row r="149" spans="1:7" ht="28.8" x14ac:dyDescent="0.55000000000000004">
      <c r="A149" s="24"/>
      <c r="B149" s="25"/>
      <c r="C149" s="26"/>
      <c r="D149" s="26"/>
      <c r="E149" s="27">
        <f>+$I$2+(BAKAYOKO[[#This Row],[QUANTITE]]*BAKAYOKO[[#This Row],[PRIX UNITAIRE]])</f>
        <v>0</v>
      </c>
      <c r="F149" s="28"/>
      <c r="G149" s="29">
        <f>+SUM(E$9:$E149)-SUM(F$9:$F149)</f>
        <v>0</v>
      </c>
    </row>
    <row r="150" spans="1:7" ht="28.8" x14ac:dyDescent="0.55000000000000004">
      <c r="A150" s="24"/>
      <c r="B150" s="25"/>
      <c r="C150" s="26"/>
      <c r="D150" s="26"/>
      <c r="E150" s="27">
        <f>+$I$2+(BAKAYOKO[[#This Row],[QUANTITE]]*BAKAYOKO[[#This Row],[PRIX UNITAIRE]])</f>
        <v>0</v>
      </c>
      <c r="F150" s="28"/>
      <c r="G150" s="29">
        <f>+SUM(E$9:$E150)-SUM(F$9:$F150)</f>
        <v>0</v>
      </c>
    </row>
    <row r="151" spans="1:7" ht="28.8" x14ac:dyDescent="0.55000000000000004">
      <c r="A151" s="24"/>
      <c r="B151" s="25"/>
      <c r="C151" s="26"/>
      <c r="D151" s="26"/>
      <c r="E151" s="27">
        <f>+$I$2+(BAKAYOKO[[#This Row],[QUANTITE]]*BAKAYOKO[[#This Row],[PRIX UNITAIRE]])</f>
        <v>0</v>
      </c>
      <c r="F151" s="28"/>
      <c r="G151" s="29">
        <f>+SUM(E$9:$E151)-SUM(F$9:$F151)</f>
        <v>0</v>
      </c>
    </row>
    <row r="152" spans="1:7" ht="28.8" x14ac:dyDescent="0.55000000000000004">
      <c r="A152" s="24"/>
      <c r="B152" s="25"/>
      <c r="C152" s="26"/>
      <c r="D152" s="26"/>
      <c r="E152" s="27">
        <f>+$I$2+(BAKAYOKO[[#This Row],[QUANTITE]]*BAKAYOKO[[#This Row],[PRIX UNITAIRE]])</f>
        <v>0</v>
      </c>
      <c r="F152" s="28"/>
      <c r="G152" s="29">
        <f>+SUM(E$9:$E152)-SUM(F$9:$F152)</f>
        <v>0</v>
      </c>
    </row>
    <row r="153" spans="1:7" ht="28.8" x14ac:dyDescent="0.55000000000000004">
      <c r="A153" s="24"/>
      <c r="B153" s="25"/>
      <c r="C153" s="26"/>
      <c r="D153" s="26"/>
      <c r="E153" s="27">
        <f>+$I$2+(BAKAYOKO[[#This Row],[QUANTITE]]*BAKAYOKO[[#This Row],[PRIX UNITAIRE]])</f>
        <v>0</v>
      </c>
      <c r="F153" s="28"/>
      <c r="G153" s="29">
        <f>+SUM(E$9:$E153)-SUM(F$9:$F153)</f>
        <v>0</v>
      </c>
    </row>
    <row r="154" spans="1:7" ht="28.8" x14ac:dyDescent="0.55000000000000004">
      <c r="A154" s="24"/>
      <c r="B154" s="25"/>
      <c r="C154" s="26"/>
      <c r="D154" s="26"/>
      <c r="E154" s="27">
        <f>+$I$2+(BAKAYOKO[[#This Row],[QUANTITE]]*BAKAYOKO[[#This Row],[PRIX UNITAIRE]])</f>
        <v>0</v>
      </c>
      <c r="F154" s="28"/>
      <c r="G154" s="29">
        <f>+SUM(E$9:$E154)-SUM(F$9:$F154)</f>
        <v>0</v>
      </c>
    </row>
    <row r="155" spans="1:7" ht="28.8" x14ac:dyDescent="0.55000000000000004">
      <c r="A155" s="24"/>
      <c r="B155" s="25"/>
      <c r="C155" s="26"/>
      <c r="D155" s="26"/>
      <c r="E155" s="27">
        <f>+$I$2+(BAKAYOKO[[#This Row],[QUANTITE]]*BAKAYOKO[[#This Row],[PRIX UNITAIRE]])</f>
        <v>0</v>
      </c>
      <c r="F155" s="28"/>
      <c r="G155" s="29">
        <f>+SUM(E$9:$E155)-SUM(F$9:$F155)</f>
        <v>0</v>
      </c>
    </row>
    <row r="156" spans="1:7" ht="28.8" x14ac:dyDescent="0.55000000000000004">
      <c r="A156" s="24"/>
      <c r="B156" s="25"/>
      <c r="C156" s="26"/>
      <c r="D156" s="26"/>
      <c r="E156" s="27">
        <f>+$I$2+(BAKAYOKO[[#This Row],[QUANTITE]]*BAKAYOKO[[#This Row],[PRIX UNITAIRE]])</f>
        <v>0</v>
      </c>
      <c r="F156" s="28"/>
      <c r="G156" s="29">
        <f>+SUM(E$9:$E156)-SUM(F$9:$F156)</f>
        <v>0</v>
      </c>
    </row>
    <row r="157" spans="1:7" ht="28.8" x14ac:dyDescent="0.55000000000000004">
      <c r="A157" s="24"/>
      <c r="B157" s="25"/>
      <c r="C157" s="26"/>
      <c r="D157" s="26"/>
      <c r="E157" s="27">
        <f>+$I$2+(BAKAYOKO[[#This Row],[QUANTITE]]*BAKAYOKO[[#This Row],[PRIX UNITAIRE]])</f>
        <v>0</v>
      </c>
      <c r="F157" s="28"/>
      <c r="G157" s="29">
        <f>+SUM(E$9:$E157)-SUM(F$9:$F157)</f>
        <v>0</v>
      </c>
    </row>
    <row r="158" spans="1:7" ht="28.8" x14ac:dyDescent="0.55000000000000004">
      <c r="A158" s="24"/>
      <c r="B158" s="25"/>
      <c r="C158" s="26"/>
      <c r="D158" s="26"/>
      <c r="E158" s="27">
        <f>+$I$2+(BAKAYOKO[[#This Row],[QUANTITE]]*BAKAYOKO[[#This Row],[PRIX UNITAIRE]])</f>
        <v>0</v>
      </c>
      <c r="F158" s="28"/>
      <c r="G158" s="29">
        <f>+SUM(E$9:$E158)-SUM(F$9:$F158)</f>
        <v>0</v>
      </c>
    </row>
    <row r="159" spans="1:7" ht="28.8" x14ac:dyDescent="0.55000000000000004">
      <c r="A159" s="24"/>
      <c r="B159" s="25"/>
      <c r="C159" s="26"/>
      <c r="D159" s="26"/>
      <c r="E159" s="27">
        <f>+$I$2+(BAKAYOKO[[#This Row],[QUANTITE]]*BAKAYOKO[[#This Row],[PRIX UNITAIRE]])</f>
        <v>0</v>
      </c>
      <c r="F159" s="28"/>
      <c r="G159" s="29">
        <f>+SUM(E$9:$E159)-SUM(F$9:$F159)</f>
        <v>0</v>
      </c>
    </row>
    <row r="160" spans="1:7" ht="28.8" x14ac:dyDescent="0.55000000000000004">
      <c r="A160" s="24"/>
      <c r="B160" s="25"/>
      <c r="C160" s="26"/>
      <c r="D160" s="26"/>
      <c r="E160" s="27">
        <f>+$I$2+(BAKAYOKO[[#This Row],[QUANTITE]]*BAKAYOKO[[#This Row],[PRIX UNITAIRE]])</f>
        <v>0</v>
      </c>
      <c r="F160" s="28"/>
      <c r="G160" s="29">
        <f>+SUM(E$9:$E160)-SUM(F$9:$F160)</f>
        <v>0</v>
      </c>
    </row>
    <row r="161" spans="1:7" ht="28.8" x14ac:dyDescent="0.55000000000000004">
      <c r="A161" s="24"/>
      <c r="B161" s="25"/>
      <c r="C161" s="26"/>
      <c r="D161" s="26"/>
      <c r="E161" s="27">
        <f>+$I$2+(BAKAYOKO[[#This Row],[QUANTITE]]*BAKAYOKO[[#This Row],[PRIX UNITAIRE]])</f>
        <v>0</v>
      </c>
      <c r="F161" s="28"/>
      <c r="G161" s="29">
        <f>+SUM(E$9:$E161)-SUM(F$9:$F161)</f>
        <v>0</v>
      </c>
    </row>
    <row r="162" spans="1:7" ht="28.8" x14ac:dyDescent="0.55000000000000004">
      <c r="A162" s="24"/>
      <c r="B162" s="25"/>
      <c r="C162" s="26"/>
      <c r="D162" s="26"/>
      <c r="E162" s="27">
        <f>+$I$2+(BAKAYOKO[[#This Row],[QUANTITE]]*BAKAYOKO[[#This Row],[PRIX UNITAIRE]])</f>
        <v>0</v>
      </c>
      <c r="F162" s="28"/>
      <c r="G162" s="29">
        <f>+SUM(E$9:$E162)-SUM(F$9:$F162)</f>
        <v>0</v>
      </c>
    </row>
    <row r="163" spans="1:7" ht="28.8" x14ac:dyDescent="0.55000000000000004">
      <c r="A163" s="24"/>
      <c r="B163" s="25"/>
      <c r="C163" s="26"/>
      <c r="D163" s="26"/>
      <c r="E163" s="27">
        <f>+$I$2+(BAKAYOKO[[#This Row],[QUANTITE]]*BAKAYOKO[[#This Row],[PRIX UNITAIRE]])</f>
        <v>0</v>
      </c>
      <c r="F163" s="28"/>
      <c r="G163" s="29">
        <f>+SUM(E$9:$E163)-SUM(F$9:$F163)</f>
        <v>0</v>
      </c>
    </row>
    <row r="164" spans="1:7" ht="28.8" x14ac:dyDescent="0.55000000000000004">
      <c r="A164" s="24"/>
      <c r="B164" s="25"/>
      <c r="C164" s="26"/>
      <c r="D164" s="26"/>
      <c r="E164" s="27">
        <f>+$I$2+(BAKAYOKO[[#This Row],[QUANTITE]]*BAKAYOKO[[#This Row],[PRIX UNITAIRE]])</f>
        <v>0</v>
      </c>
      <c r="F164" s="28"/>
      <c r="G164" s="29">
        <f>+SUM(E$9:$E164)-SUM(F$9:$F164)</f>
        <v>0</v>
      </c>
    </row>
    <row r="165" spans="1:7" ht="28.8" x14ac:dyDescent="0.55000000000000004">
      <c r="A165" s="24"/>
      <c r="B165" s="25"/>
      <c r="C165" s="26"/>
      <c r="D165" s="26"/>
      <c r="E165" s="27">
        <f>+$I$2+(BAKAYOKO[[#This Row],[QUANTITE]]*BAKAYOKO[[#This Row],[PRIX UNITAIRE]])</f>
        <v>0</v>
      </c>
      <c r="F165" s="28"/>
      <c r="G165" s="29">
        <f>+SUM(E$9:$E165)-SUM(F$9:$F165)</f>
        <v>0</v>
      </c>
    </row>
    <row r="166" spans="1:7" ht="28.8" x14ac:dyDescent="0.55000000000000004">
      <c r="A166" s="24"/>
      <c r="B166" s="25"/>
      <c r="C166" s="26"/>
      <c r="D166" s="26"/>
      <c r="E166" s="27">
        <f>+$I$2+(BAKAYOKO[[#This Row],[QUANTITE]]*BAKAYOKO[[#This Row],[PRIX UNITAIRE]])</f>
        <v>0</v>
      </c>
      <c r="F166" s="28"/>
      <c r="G166" s="29">
        <f>+SUM(E$9:$E166)-SUM(F$9:$F166)</f>
        <v>0</v>
      </c>
    </row>
    <row r="167" spans="1:7" ht="28.8" x14ac:dyDescent="0.55000000000000004">
      <c r="A167" s="24"/>
      <c r="B167" s="25"/>
      <c r="C167" s="26"/>
      <c r="D167" s="26"/>
      <c r="E167" s="27">
        <f>+$I$2+(BAKAYOKO[[#This Row],[QUANTITE]]*BAKAYOKO[[#This Row],[PRIX UNITAIRE]])</f>
        <v>0</v>
      </c>
      <c r="F167" s="28"/>
      <c r="G167" s="29">
        <f>+SUM(E$9:$E167)-SUM(F$9:$F167)</f>
        <v>0</v>
      </c>
    </row>
    <row r="168" spans="1:7" ht="28.8" x14ac:dyDescent="0.55000000000000004">
      <c r="A168" s="24"/>
      <c r="B168" s="25"/>
      <c r="C168" s="26"/>
      <c r="D168" s="26"/>
      <c r="E168" s="27">
        <f>+$I$2+(BAKAYOKO[[#This Row],[QUANTITE]]*BAKAYOKO[[#This Row],[PRIX UNITAIRE]])</f>
        <v>0</v>
      </c>
      <c r="F168" s="28"/>
      <c r="G168" s="29">
        <f>+SUM(E$9:$E168)-SUM(F$9:$F168)</f>
        <v>0</v>
      </c>
    </row>
    <row r="169" spans="1:7" ht="28.8" x14ac:dyDescent="0.55000000000000004">
      <c r="A169" s="24"/>
      <c r="B169" s="25"/>
      <c r="C169" s="26"/>
      <c r="D169" s="26"/>
      <c r="E169" s="27">
        <f>+$I$2+(BAKAYOKO[[#This Row],[QUANTITE]]*BAKAYOKO[[#This Row],[PRIX UNITAIRE]])</f>
        <v>0</v>
      </c>
      <c r="F169" s="28"/>
      <c r="G169" s="29">
        <f>+SUM(E$9:$E169)-SUM(F$9:$F169)</f>
        <v>0</v>
      </c>
    </row>
    <row r="170" spans="1:7" ht="28.8" x14ac:dyDescent="0.55000000000000004">
      <c r="A170" s="24"/>
      <c r="B170" s="25"/>
      <c r="C170" s="26"/>
      <c r="D170" s="26"/>
      <c r="E170" s="27">
        <f>+$I$2+(BAKAYOKO[[#This Row],[QUANTITE]]*BAKAYOKO[[#This Row],[PRIX UNITAIRE]])</f>
        <v>0</v>
      </c>
      <c r="F170" s="28"/>
      <c r="G170" s="29">
        <f>+SUM(E$9:$E170)-SUM(F$9:$F170)</f>
        <v>0</v>
      </c>
    </row>
    <row r="171" spans="1:7" ht="28.8" x14ac:dyDescent="0.55000000000000004">
      <c r="A171" s="24"/>
      <c r="B171" s="25"/>
      <c r="C171" s="26"/>
      <c r="D171" s="26"/>
      <c r="E171" s="27">
        <f>+$I$2+(BAKAYOKO[[#This Row],[QUANTITE]]*BAKAYOKO[[#This Row],[PRIX UNITAIRE]])</f>
        <v>0</v>
      </c>
      <c r="F171" s="28"/>
      <c r="G171" s="29">
        <f>+SUM(E$9:$E171)-SUM(F$9:$F171)</f>
        <v>0</v>
      </c>
    </row>
    <row r="172" spans="1:7" ht="28.8" x14ac:dyDescent="0.55000000000000004">
      <c r="A172" s="24"/>
      <c r="B172" s="25"/>
      <c r="C172" s="26"/>
      <c r="D172" s="26"/>
      <c r="E172" s="27">
        <f>+$I$2+(BAKAYOKO[[#This Row],[QUANTITE]]*BAKAYOKO[[#This Row],[PRIX UNITAIRE]])</f>
        <v>0</v>
      </c>
      <c r="F172" s="28"/>
      <c r="G172" s="29">
        <f>+SUM(E$9:$E172)-SUM(F$9:$F172)</f>
        <v>0</v>
      </c>
    </row>
    <row r="173" spans="1:7" ht="28.8" x14ac:dyDescent="0.55000000000000004">
      <c r="A173" s="24"/>
      <c r="B173" s="25"/>
      <c r="C173" s="26"/>
      <c r="D173" s="26"/>
      <c r="E173" s="27">
        <f>+$I$2+(BAKAYOKO[[#This Row],[QUANTITE]]*BAKAYOKO[[#This Row],[PRIX UNITAIRE]])</f>
        <v>0</v>
      </c>
      <c r="F173" s="28"/>
      <c r="G173" s="29">
        <f>+SUM(E$9:$E173)-SUM(F$9:$F173)</f>
        <v>0</v>
      </c>
    </row>
    <row r="174" spans="1:7" ht="28.8" x14ac:dyDescent="0.55000000000000004">
      <c r="A174" s="24"/>
      <c r="B174" s="25"/>
      <c r="C174" s="26"/>
      <c r="D174" s="26"/>
      <c r="E174" s="27">
        <f>+$I$2+(BAKAYOKO[[#This Row],[QUANTITE]]*BAKAYOKO[[#This Row],[PRIX UNITAIRE]])</f>
        <v>0</v>
      </c>
      <c r="F174" s="28"/>
      <c r="G174" s="29">
        <f>+SUM(E$9:$E174)-SUM(F$9:$F174)</f>
        <v>0</v>
      </c>
    </row>
    <row r="175" spans="1:7" ht="28.8" x14ac:dyDescent="0.55000000000000004">
      <c r="A175" s="24"/>
      <c r="B175" s="25"/>
      <c r="C175" s="26"/>
      <c r="D175" s="26"/>
      <c r="E175" s="27">
        <f>+$I$2+(BAKAYOKO[[#This Row],[QUANTITE]]*BAKAYOKO[[#This Row],[PRIX UNITAIRE]])</f>
        <v>0</v>
      </c>
      <c r="F175" s="28"/>
      <c r="G175" s="29">
        <f>+SUM(E$9:$E175)-SUM(F$9:$F175)</f>
        <v>0</v>
      </c>
    </row>
    <row r="176" spans="1:7" ht="28.8" x14ac:dyDescent="0.55000000000000004">
      <c r="A176" s="24"/>
      <c r="B176" s="25"/>
      <c r="C176" s="26"/>
      <c r="D176" s="26"/>
      <c r="E176" s="27">
        <f>+$I$2+(BAKAYOKO[[#This Row],[QUANTITE]]*BAKAYOKO[[#This Row],[PRIX UNITAIRE]])</f>
        <v>0</v>
      </c>
      <c r="F176" s="28"/>
      <c r="G176" s="29">
        <f>+SUM(E$9:$E176)-SUM(F$9:$F176)</f>
        <v>0</v>
      </c>
    </row>
    <row r="177" spans="1:7" ht="28.8" x14ac:dyDescent="0.55000000000000004">
      <c r="A177" s="24"/>
      <c r="B177" s="25"/>
      <c r="C177" s="26"/>
      <c r="D177" s="26"/>
      <c r="E177" s="27">
        <f>+$I$2+(BAKAYOKO[[#This Row],[QUANTITE]]*BAKAYOKO[[#This Row],[PRIX UNITAIRE]])</f>
        <v>0</v>
      </c>
      <c r="F177" s="28"/>
      <c r="G177" s="29">
        <f>+SUM(E$9:$E177)-SUM(F$9:$F177)</f>
        <v>0</v>
      </c>
    </row>
    <row r="178" spans="1:7" ht="28.8" x14ac:dyDescent="0.55000000000000004">
      <c r="A178" s="24"/>
      <c r="B178" s="25"/>
      <c r="C178" s="26"/>
      <c r="D178" s="26"/>
      <c r="E178" s="27">
        <f>+$I$2+(BAKAYOKO[[#This Row],[QUANTITE]]*BAKAYOKO[[#This Row],[PRIX UNITAIRE]])</f>
        <v>0</v>
      </c>
      <c r="F178" s="28"/>
      <c r="G178" s="29">
        <f>+SUM(E$9:$E178)-SUM(F$9:$F178)</f>
        <v>0</v>
      </c>
    </row>
    <row r="179" spans="1:7" ht="28.8" x14ac:dyDescent="0.55000000000000004">
      <c r="A179" s="24"/>
      <c r="B179" s="25"/>
      <c r="C179" s="26"/>
      <c r="D179" s="26"/>
      <c r="E179" s="27">
        <f>+$I$2+(BAKAYOKO[[#This Row],[QUANTITE]]*BAKAYOKO[[#This Row],[PRIX UNITAIRE]])</f>
        <v>0</v>
      </c>
      <c r="F179" s="28"/>
      <c r="G179" s="29">
        <f>+SUM(E$9:$E179)-SUM(F$9:$F179)</f>
        <v>0</v>
      </c>
    </row>
    <row r="180" spans="1:7" ht="28.8" x14ac:dyDescent="0.55000000000000004">
      <c r="A180" s="24"/>
      <c r="B180" s="25"/>
      <c r="C180" s="26"/>
      <c r="D180" s="26"/>
      <c r="E180" s="27">
        <f>+$I$2+(BAKAYOKO[[#This Row],[QUANTITE]]*BAKAYOKO[[#This Row],[PRIX UNITAIRE]])</f>
        <v>0</v>
      </c>
      <c r="F180" s="28"/>
      <c r="G180" s="29">
        <f>+SUM(E$9:$E180)-SUM(F$9:$F180)</f>
        <v>0</v>
      </c>
    </row>
    <row r="181" spans="1:7" ht="28.8" x14ac:dyDescent="0.55000000000000004">
      <c r="A181" s="24"/>
      <c r="B181" s="25"/>
      <c r="C181" s="26"/>
      <c r="D181" s="26"/>
      <c r="E181" s="27">
        <f>+$I$2+(BAKAYOKO[[#This Row],[QUANTITE]]*BAKAYOKO[[#This Row],[PRIX UNITAIRE]])</f>
        <v>0</v>
      </c>
      <c r="F181" s="28"/>
      <c r="G181" s="29">
        <f>+SUM(E$9:$E181)-SUM(F$9:$F181)</f>
        <v>0</v>
      </c>
    </row>
    <row r="182" spans="1:7" ht="28.8" x14ac:dyDescent="0.55000000000000004">
      <c r="A182" s="24"/>
      <c r="B182" s="25"/>
      <c r="C182" s="26"/>
      <c r="D182" s="26"/>
      <c r="E182" s="27">
        <f>+$I$2+(BAKAYOKO[[#This Row],[QUANTITE]]*BAKAYOKO[[#This Row],[PRIX UNITAIRE]])</f>
        <v>0</v>
      </c>
      <c r="F182" s="28"/>
      <c r="G182" s="29">
        <f>+SUM(E$9:$E182)-SUM(F$9:$F182)</f>
        <v>0</v>
      </c>
    </row>
    <row r="183" spans="1:7" ht="28.8" x14ac:dyDescent="0.55000000000000004">
      <c r="A183" s="24"/>
      <c r="B183" s="25"/>
      <c r="C183" s="26"/>
      <c r="D183" s="26"/>
      <c r="E183" s="27">
        <f>+$I$2+(BAKAYOKO[[#This Row],[QUANTITE]]*BAKAYOKO[[#This Row],[PRIX UNITAIRE]])</f>
        <v>0</v>
      </c>
      <c r="F183" s="28"/>
      <c r="G183" s="29">
        <f>+SUM(E$9:$E183)-SUM(F$9:$F183)</f>
        <v>0</v>
      </c>
    </row>
    <row r="184" spans="1:7" ht="28.8" x14ac:dyDescent="0.55000000000000004">
      <c r="A184" s="24"/>
      <c r="B184" s="25"/>
      <c r="C184" s="26"/>
      <c r="D184" s="26"/>
      <c r="E184" s="27">
        <f>+$I$2+(BAKAYOKO[[#This Row],[QUANTITE]]*BAKAYOKO[[#This Row],[PRIX UNITAIRE]])</f>
        <v>0</v>
      </c>
      <c r="F184" s="28"/>
      <c r="G184" s="29">
        <f>+SUM(E$9:$E184)-SUM(F$9:$F184)</f>
        <v>0</v>
      </c>
    </row>
    <row r="185" spans="1:7" ht="28.8" x14ac:dyDescent="0.55000000000000004">
      <c r="A185" s="24"/>
      <c r="B185" s="25"/>
      <c r="C185" s="26"/>
      <c r="D185" s="26"/>
      <c r="E185" s="27">
        <f>+$I$2+(BAKAYOKO[[#This Row],[QUANTITE]]*BAKAYOKO[[#This Row],[PRIX UNITAIRE]])</f>
        <v>0</v>
      </c>
      <c r="F185" s="28"/>
      <c r="G185" s="29">
        <f>+SUM(E$9:$E185)-SUM(F$9:$F185)</f>
        <v>0</v>
      </c>
    </row>
    <row r="186" spans="1:7" ht="28.8" x14ac:dyDescent="0.55000000000000004">
      <c r="A186" s="24"/>
      <c r="B186" s="25"/>
      <c r="C186" s="26"/>
      <c r="D186" s="26"/>
      <c r="E186" s="27">
        <f>+$I$2+(BAKAYOKO[[#This Row],[QUANTITE]]*BAKAYOKO[[#This Row],[PRIX UNITAIRE]])</f>
        <v>0</v>
      </c>
      <c r="F186" s="28"/>
      <c r="G186" s="29">
        <f>+SUM(E$9:$E186)-SUM(F$9:$F186)</f>
        <v>0</v>
      </c>
    </row>
    <row r="187" spans="1:7" ht="28.8" x14ac:dyDescent="0.55000000000000004">
      <c r="A187" s="24"/>
      <c r="B187" s="13"/>
      <c r="C187" s="26"/>
      <c r="D187" s="26"/>
      <c r="E187" s="27">
        <f>+$I$2+(BAKAYOKO[[#This Row],[QUANTITE]]*BAKAYOKO[[#This Row],[PRIX UNITAIRE]])</f>
        <v>0</v>
      </c>
      <c r="F187" s="28"/>
      <c r="G187" s="29">
        <f>+SUM(E$9:$E187)-SUM(F$9:$F187)</f>
        <v>0</v>
      </c>
    </row>
    <row r="188" spans="1:7" ht="28.8" x14ac:dyDescent="0.55000000000000004">
      <c r="A188" s="24"/>
      <c r="B188" s="13"/>
      <c r="C188" s="26"/>
      <c r="D188" s="26"/>
      <c r="E188" s="27">
        <f>+$I$2+(BAKAYOKO[[#This Row],[QUANTITE]]*BAKAYOKO[[#This Row],[PRIX UNITAIRE]])</f>
        <v>0</v>
      </c>
      <c r="F188" s="28"/>
      <c r="G188" s="29">
        <f>+SUM(E$9:$E188)-SUM(F$9:$F188)</f>
        <v>0</v>
      </c>
    </row>
    <row r="189" spans="1:7" ht="28.8" x14ac:dyDescent="0.55000000000000004">
      <c r="A189" s="24"/>
      <c r="B189" s="13"/>
      <c r="C189" s="26"/>
      <c r="D189" s="26"/>
      <c r="E189" s="27">
        <f>+$I$2+(BAKAYOKO[[#This Row],[QUANTITE]]*BAKAYOKO[[#This Row],[PRIX UNITAIRE]])</f>
        <v>0</v>
      </c>
      <c r="F189" s="14"/>
      <c r="G189" s="29">
        <f>+SUM(E$9:$E189)-SUM(F$9:$F189)</f>
        <v>0</v>
      </c>
    </row>
    <row r="190" spans="1:7" ht="28.8" x14ac:dyDescent="0.55000000000000004">
      <c r="A190" s="24"/>
      <c r="B190" s="25"/>
      <c r="C190" s="26"/>
      <c r="D190" s="26"/>
      <c r="E190" s="27">
        <f>+$I$2+(BAKAYOKO[[#This Row],[QUANTITE]]*BAKAYOKO[[#This Row],[PRIX UNITAIRE]])</f>
        <v>0</v>
      </c>
      <c r="F190" s="28"/>
      <c r="G190" s="29">
        <f>+SUM(E$9:$E190)-SUM(F$9:$F190)</f>
        <v>0</v>
      </c>
    </row>
    <row r="191" spans="1:7" ht="28.8" x14ac:dyDescent="0.55000000000000004">
      <c r="A191" s="24"/>
      <c r="B191" s="13"/>
      <c r="C191" s="26"/>
      <c r="D191" s="26"/>
      <c r="E191" s="27">
        <f>+$I$2+(BAKAYOKO[[#This Row],[QUANTITE]]*BAKAYOKO[[#This Row],[PRIX UNITAIRE]])</f>
        <v>0</v>
      </c>
      <c r="F191" s="28"/>
      <c r="G191" s="29">
        <f>+SUM(E$9:$E191)-SUM(F$9:$F191)</f>
        <v>0</v>
      </c>
    </row>
    <row r="192" spans="1:7" ht="28.8" x14ac:dyDescent="0.55000000000000004">
      <c r="A192" s="24"/>
      <c r="B192" s="13"/>
      <c r="C192" s="26"/>
      <c r="D192" s="26"/>
      <c r="E192" s="27">
        <f>+$I$2+(BAKAYOKO[[#This Row],[QUANTITE]]*BAKAYOKO[[#This Row],[PRIX UNITAIRE]])</f>
        <v>0</v>
      </c>
      <c r="F192" s="28"/>
      <c r="G192" s="29">
        <f>+SUM(E$9:$E192)-SUM(F$9:$F192)</f>
        <v>0</v>
      </c>
    </row>
    <row r="193" spans="1:7" ht="28.8" x14ac:dyDescent="0.55000000000000004">
      <c r="A193" s="24"/>
      <c r="B193" s="13"/>
      <c r="C193" s="26"/>
      <c r="D193" s="26"/>
      <c r="E193" s="27">
        <f>+$I$2+(BAKAYOKO[[#This Row],[QUANTITE]]*BAKAYOKO[[#This Row],[PRIX UNITAIRE]])</f>
        <v>0</v>
      </c>
      <c r="F193" s="28"/>
      <c r="G193" s="29">
        <f>+SUM(E$9:$E193)-SUM(F$9:$F193)</f>
        <v>0</v>
      </c>
    </row>
    <row r="194" spans="1:7" ht="28.8" x14ac:dyDescent="0.55000000000000004">
      <c r="A194" s="24"/>
      <c r="B194" s="13"/>
      <c r="C194" s="26"/>
      <c r="D194" s="26"/>
      <c r="E194" s="27">
        <f>+$I$2+(BAKAYOKO[[#This Row],[QUANTITE]]*BAKAYOKO[[#This Row],[PRIX UNITAIRE]])</f>
        <v>0</v>
      </c>
      <c r="F194" s="28"/>
      <c r="G194" s="29">
        <f>+SUM(E$9:$E194)-SUM(F$9:$F194)</f>
        <v>0</v>
      </c>
    </row>
    <row r="195" spans="1:7" ht="28.8" x14ac:dyDescent="0.55000000000000004">
      <c r="A195" s="24"/>
      <c r="B195" s="13"/>
      <c r="C195" s="26"/>
      <c r="D195" s="26"/>
      <c r="E195" s="27">
        <f>+$I$2+(BAKAYOKO[[#This Row],[QUANTITE]]*BAKAYOKO[[#This Row],[PRIX UNITAIRE]])</f>
        <v>0</v>
      </c>
      <c r="F195" s="28"/>
      <c r="G195" s="29">
        <f>+SUM(E$9:$E195)-SUM(F$9:$F195)</f>
        <v>0</v>
      </c>
    </row>
    <row r="196" spans="1:7" ht="28.8" x14ac:dyDescent="0.55000000000000004">
      <c r="A196" s="24"/>
      <c r="B196" s="13"/>
      <c r="C196" s="26"/>
      <c r="D196" s="26"/>
      <c r="E196" s="27">
        <f>+$I$2+(BAKAYOKO[[#This Row],[QUANTITE]]*BAKAYOKO[[#This Row],[PRIX UNITAIRE]])</f>
        <v>0</v>
      </c>
      <c r="F196" s="28"/>
      <c r="G196" s="29">
        <f>+SUM(E$9:$E196)-SUM(F$9:$F196)</f>
        <v>0</v>
      </c>
    </row>
    <row r="197" spans="1:7" ht="28.8" x14ac:dyDescent="0.55000000000000004">
      <c r="A197" s="24"/>
      <c r="B197" s="13"/>
      <c r="C197" s="26"/>
      <c r="D197" s="26"/>
      <c r="E197" s="27">
        <f>+$I$2+(BAKAYOKO[[#This Row],[QUANTITE]]*BAKAYOKO[[#This Row],[PRIX UNITAIRE]])</f>
        <v>0</v>
      </c>
      <c r="F197" s="28"/>
      <c r="G197" s="29">
        <f>+SUM(E$9:$E197)-SUM(F$9:$F197)</f>
        <v>0</v>
      </c>
    </row>
    <row r="198" spans="1:7" ht="28.8" x14ac:dyDescent="0.55000000000000004">
      <c r="A198" s="24"/>
      <c r="B198" s="13"/>
      <c r="C198" s="26"/>
      <c r="D198" s="26"/>
      <c r="E198" s="27">
        <f>+$I$2+(BAKAYOKO[[#This Row],[QUANTITE]]*BAKAYOKO[[#This Row],[PRIX UNITAIRE]])</f>
        <v>0</v>
      </c>
      <c r="F198" s="28"/>
      <c r="G198" s="29">
        <f>+SUM(E$9:$E198)-SUM(F$9:$F198)</f>
        <v>0</v>
      </c>
    </row>
    <row r="199" spans="1:7" ht="28.8" x14ac:dyDescent="0.55000000000000004">
      <c r="A199" s="24"/>
      <c r="B199" s="13"/>
      <c r="C199" s="26"/>
      <c r="D199" s="26"/>
      <c r="E199" s="27">
        <f>+$I$2+(BAKAYOKO[[#This Row],[QUANTITE]]*BAKAYOKO[[#This Row],[PRIX UNITAIRE]])</f>
        <v>0</v>
      </c>
      <c r="F199" s="28"/>
      <c r="G199" s="29">
        <f>+SUM(E$9:$E199)-SUM(F$9:$F199)</f>
        <v>0</v>
      </c>
    </row>
    <row r="200" spans="1:7" ht="28.8" x14ac:dyDescent="0.55000000000000004">
      <c r="A200" s="24"/>
      <c r="B200" s="13"/>
      <c r="C200" s="26"/>
      <c r="D200" s="26"/>
      <c r="E200" s="27">
        <f>+$I$2+(BAKAYOKO[[#This Row],[QUANTITE]]*BAKAYOKO[[#This Row],[PRIX UNITAIRE]])</f>
        <v>0</v>
      </c>
      <c r="F200" s="28"/>
      <c r="G200" s="29">
        <f>+SUM(E$9:$E200)-SUM(F$9:$F200)</f>
        <v>0</v>
      </c>
    </row>
    <row r="201" spans="1:7" ht="28.8" x14ac:dyDescent="0.55000000000000004">
      <c r="A201" s="24"/>
      <c r="B201" s="13"/>
      <c r="C201" s="26"/>
      <c r="D201" s="26"/>
      <c r="E201" s="27">
        <f>+$I$2+(BAKAYOKO[[#This Row],[QUANTITE]]*BAKAYOKO[[#This Row],[PRIX UNITAIRE]])</f>
        <v>0</v>
      </c>
      <c r="F201" s="28"/>
      <c r="G201" s="29">
        <f>+SUM(E$9:$E201)-SUM(F$9:$F201)</f>
        <v>0</v>
      </c>
    </row>
    <row r="202" spans="1:7" ht="28.8" x14ac:dyDescent="0.55000000000000004">
      <c r="A202" s="24"/>
      <c r="B202" s="13"/>
      <c r="C202" s="26"/>
      <c r="D202" s="26"/>
      <c r="E202" s="27">
        <f>+$I$2+(BAKAYOKO[[#This Row],[QUANTITE]]*BAKAYOKO[[#This Row],[PRIX UNITAIRE]])</f>
        <v>0</v>
      </c>
      <c r="F202" s="28"/>
      <c r="G202" s="29">
        <f>+SUM(E$9:$E202)-SUM(F$9:$F202)</f>
        <v>0</v>
      </c>
    </row>
    <row r="203" spans="1:7" ht="28.8" x14ac:dyDescent="0.55000000000000004">
      <c r="A203" s="24"/>
      <c r="B203" s="25"/>
      <c r="C203" s="26"/>
      <c r="D203" s="26"/>
      <c r="E203" s="27">
        <f>+$I$2+(BAKAYOKO[[#This Row],[QUANTITE]]*BAKAYOKO[[#This Row],[PRIX UNITAIRE]])</f>
        <v>0</v>
      </c>
      <c r="F203" s="28"/>
      <c r="G203" s="29">
        <f>+SUM(E$9:$E203)-SUM(F$9:$F203)</f>
        <v>0</v>
      </c>
    </row>
    <row r="204" spans="1:7" ht="28.8" x14ac:dyDescent="0.55000000000000004">
      <c r="A204" s="24"/>
      <c r="B204" s="25"/>
      <c r="C204" s="26"/>
      <c r="D204" s="26"/>
      <c r="E204" s="27">
        <f>+$I$2+(BAKAYOKO[[#This Row],[QUANTITE]]*BAKAYOKO[[#This Row],[PRIX UNITAIRE]])</f>
        <v>0</v>
      </c>
      <c r="F204" s="28"/>
      <c r="G204" s="29">
        <f>+SUM(E$9:$E204)-SUM(F$9:$F204)</f>
        <v>0</v>
      </c>
    </row>
    <row r="205" spans="1:7" ht="28.8" x14ac:dyDescent="0.55000000000000004">
      <c r="A205" s="24"/>
      <c r="B205" s="25"/>
      <c r="C205" s="26"/>
      <c r="D205" s="26"/>
      <c r="E205" s="27">
        <f>+$I$2+(BAKAYOKO[[#This Row],[QUANTITE]]*BAKAYOKO[[#This Row],[PRIX UNITAIRE]])</f>
        <v>0</v>
      </c>
      <c r="F205" s="28"/>
      <c r="G205" s="29">
        <f>+SUM(E$9:$E205)-SUM(F$9:$F205)</f>
        <v>0</v>
      </c>
    </row>
    <row r="206" spans="1:7" ht="28.8" x14ac:dyDescent="0.55000000000000004">
      <c r="A206" s="24"/>
      <c r="B206" s="25"/>
      <c r="C206" s="26"/>
      <c r="D206" s="26"/>
      <c r="E206" s="27">
        <f>+$I$2+(BAKAYOKO[[#This Row],[QUANTITE]]*BAKAYOKO[[#This Row],[PRIX UNITAIRE]])</f>
        <v>0</v>
      </c>
      <c r="F206" s="28"/>
      <c r="G206" s="29">
        <f>+SUM(E$9:$E206)-SUM(F$9:$F206)</f>
        <v>0</v>
      </c>
    </row>
    <row r="207" spans="1:7" ht="28.8" x14ac:dyDescent="0.55000000000000004">
      <c r="A207" s="24"/>
      <c r="B207" s="25"/>
      <c r="C207" s="26"/>
      <c r="D207" s="26"/>
      <c r="E207" s="27">
        <f>+$I$2+(BAKAYOKO[[#This Row],[QUANTITE]]*BAKAYOKO[[#This Row],[PRIX UNITAIRE]])</f>
        <v>0</v>
      </c>
      <c r="F207" s="28"/>
      <c r="G207" s="29">
        <f>+SUM(E$9:$E207)-SUM(F$9:$F207)</f>
        <v>0</v>
      </c>
    </row>
    <row r="208" spans="1:7" ht="28.8" x14ac:dyDescent="0.55000000000000004">
      <c r="A208" s="24"/>
      <c r="B208" s="25"/>
      <c r="C208" s="26"/>
      <c r="D208" s="26"/>
      <c r="E208" s="27">
        <f>+$I$2+(BAKAYOKO[[#This Row],[QUANTITE]]*BAKAYOKO[[#This Row],[PRIX UNITAIRE]])</f>
        <v>0</v>
      </c>
      <c r="F208" s="28"/>
      <c r="G208" s="29">
        <f>+SUM(E$9:$E208)-SUM(F$9:$F208)</f>
        <v>0</v>
      </c>
    </row>
    <row r="209" spans="1:7" ht="28.8" x14ac:dyDescent="0.55000000000000004">
      <c r="A209" s="24"/>
      <c r="B209" s="25"/>
      <c r="C209" s="26"/>
      <c r="D209" s="26"/>
      <c r="E209" s="27">
        <f>+$I$2+(BAKAYOKO[[#This Row],[QUANTITE]]*BAKAYOKO[[#This Row],[PRIX UNITAIRE]])</f>
        <v>0</v>
      </c>
      <c r="F209" s="28"/>
      <c r="G209" s="29">
        <f>+SUM(E$9:$E209)-SUM(F$9:$F209)</f>
        <v>0</v>
      </c>
    </row>
    <row r="210" spans="1:7" ht="28.8" x14ac:dyDescent="0.55000000000000004">
      <c r="A210" s="24"/>
      <c r="B210" s="25"/>
      <c r="C210" s="26"/>
      <c r="D210" s="26"/>
      <c r="E210" s="27">
        <f>+$I$2+(BAKAYOKO[[#This Row],[QUANTITE]]*BAKAYOKO[[#This Row],[PRIX UNITAIRE]])</f>
        <v>0</v>
      </c>
      <c r="F210" s="28"/>
      <c r="G210" s="29">
        <f>+SUM(E$9:$E210)-SUM(F$9:$F210)</f>
        <v>0</v>
      </c>
    </row>
    <row r="211" spans="1:7" ht="28.8" x14ac:dyDescent="0.55000000000000004">
      <c r="A211" s="24"/>
      <c r="B211" s="25"/>
      <c r="C211" s="26"/>
      <c r="D211" s="26"/>
      <c r="E211" s="27">
        <f>+$I$2+(BAKAYOKO[[#This Row],[QUANTITE]]*BAKAYOKO[[#This Row],[PRIX UNITAIRE]])</f>
        <v>0</v>
      </c>
      <c r="F211" s="28"/>
      <c r="G211" s="29">
        <f>+SUM(E$9:$E211)-SUM(F$9:$F211)</f>
        <v>0</v>
      </c>
    </row>
    <row r="212" spans="1:7" ht="28.8" x14ac:dyDescent="0.55000000000000004">
      <c r="A212" s="24"/>
      <c r="B212" s="25"/>
      <c r="C212" s="26"/>
      <c r="D212" s="26"/>
      <c r="E212" s="27">
        <f>+$I$2+(BAKAYOKO[[#This Row],[QUANTITE]]*BAKAYOKO[[#This Row],[PRIX UNITAIRE]])</f>
        <v>0</v>
      </c>
      <c r="F212" s="28"/>
      <c r="G212" s="29">
        <f>+SUM(E$9:$E212)-SUM(F$9:$F212)</f>
        <v>0</v>
      </c>
    </row>
    <row r="213" spans="1:7" ht="28.8" x14ac:dyDescent="0.55000000000000004">
      <c r="A213" s="24"/>
      <c r="B213" s="25"/>
      <c r="C213" s="26"/>
      <c r="D213" s="26"/>
      <c r="E213" s="27">
        <f>+$I$2+(BAKAYOKO[[#This Row],[QUANTITE]]*BAKAYOKO[[#This Row],[PRIX UNITAIRE]])</f>
        <v>0</v>
      </c>
      <c r="F213" s="28"/>
      <c r="G213" s="29">
        <f>+SUM(E$9:$E213)-SUM(F$9:$F213)</f>
        <v>0</v>
      </c>
    </row>
    <row r="214" spans="1:7" ht="28.8" x14ac:dyDescent="0.55000000000000004">
      <c r="A214" s="24"/>
      <c r="B214" s="25"/>
      <c r="C214" s="26"/>
      <c r="D214" s="26"/>
      <c r="E214" s="27">
        <f>+$I$2+(BAKAYOKO[[#This Row],[QUANTITE]]*BAKAYOKO[[#This Row],[PRIX UNITAIRE]])</f>
        <v>0</v>
      </c>
      <c r="F214" s="28"/>
      <c r="G214" s="29">
        <f>+SUM(E$9:$E214)-SUM(F$9:$F214)</f>
        <v>0</v>
      </c>
    </row>
    <row r="215" spans="1:7" ht="28.8" x14ac:dyDescent="0.55000000000000004">
      <c r="A215" s="24"/>
      <c r="B215" s="25"/>
      <c r="C215" s="26"/>
      <c r="D215" s="26"/>
      <c r="E215" s="27">
        <f>+$I$2+(BAKAYOKO[[#This Row],[QUANTITE]]*BAKAYOKO[[#This Row],[PRIX UNITAIRE]])</f>
        <v>0</v>
      </c>
      <c r="F215" s="28"/>
      <c r="G215" s="29">
        <f>+SUM(E$9:$E215)-SUM(F$9:$F215)</f>
        <v>0</v>
      </c>
    </row>
    <row r="216" spans="1:7" ht="28.8" x14ac:dyDescent="0.55000000000000004">
      <c r="A216" s="24"/>
      <c r="B216" s="25"/>
      <c r="C216" s="26"/>
      <c r="D216" s="26"/>
      <c r="E216" s="27">
        <f>+$I$2+(BAKAYOKO[[#This Row],[QUANTITE]]*BAKAYOKO[[#This Row],[PRIX UNITAIRE]])</f>
        <v>0</v>
      </c>
      <c r="F216" s="28"/>
      <c r="G216" s="29">
        <f>+SUM(E$9:$E216)-SUM(F$9:$F216)</f>
        <v>0</v>
      </c>
    </row>
    <row r="217" spans="1:7" ht="28.8" x14ac:dyDescent="0.55000000000000004">
      <c r="A217" s="24"/>
      <c r="B217" s="25"/>
      <c r="C217" s="26"/>
      <c r="D217" s="26"/>
      <c r="E217" s="27">
        <f>+$I$2+(BAKAYOKO[[#This Row],[QUANTITE]]*BAKAYOKO[[#This Row],[PRIX UNITAIRE]])</f>
        <v>0</v>
      </c>
      <c r="F217" s="28"/>
      <c r="G217" s="29">
        <f>+SUM(E$9:$E217)-SUM(F$9:$F217)</f>
        <v>0</v>
      </c>
    </row>
    <row r="218" spans="1:7" ht="28.8" x14ac:dyDescent="0.55000000000000004">
      <c r="A218" s="24"/>
      <c r="B218" s="25"/>
      <c r="C218" s="26"/>
      <c r="D218" s="26"/>
      <c r="E218" s="27">
        <f>+$I$2+(BAKAYOKO[[#This Row],[QUANTITE]]*BAKAYOKO[[#This Row],[PRIX UNITAIRE]])</f>
        <v>0</v>
      </c>
      <c r="F218" s="28"/>
      <c r="G218" s="29">
        <f>+SUM(E$9:$E218)-SUM(F$9:$F218)</f>
        <v>0</v>
      </c>
    </row>
    <row r="219" spans="1:7" ht="28.8" x14ac:dyDescent="0.55000000000000004">
      <c r="A219" s="24"/>
      <c r="B219" s="25"/>
      <c r="C219" s="26"/>
      <c r="D219" s="26"/>
      <c r="E219" s="27">
        <f>+$I$2+(BAKAYOKO[[#This Row],[QUANTITE]]*BAKAYOKO[[#This Row],[PRIX UNITAIRE]])</f>
        <v>0</v>
      </c>
      <c r="F219" s="28"/>
      <c r="G219" s="29">
        <f>+SUM(E$9:$E219)-SUM(F$9:$F219)</f>
        <v>0</v>
      </c>
    </row>
    <row r="220" spans="1:7" ht="28.8" x14ac:dyDescent="0.55000000000000004">
      <c r="A220" s="24"/>
      <c r="B220" s="25"/>
      <c r="C220" s="26"/>
      <c r="D220" s="26"/>
      <c r="E220" s="27">
        <f>+$I$2+(BAKAYOKO[[#This Row],[QUANTITE]]*BAKAYOKO[[#This Row],[PRIX UNITAIRE]])</f>
        <v>0</v>
      </c>
      <c r="F220" s="28"/>
      <c r="G220" s="29">
        <f>+SUM(E$9:$E220)-SUM(F$9:$F220)</f>
        <v>0</v>
      </c>
    </row>
    <row r="221" spans="1:7" ht="28.8" x14ac:dyDescent="0.55000000000000004">
      <c r="A221" s="24"/>
      <c r="B221" s="25"/>
      <c r="C221" s="26"/>
      <c r="D221" s="26"/>
      <c r="E221" s="27">
        <f>+$I$2+(BAKAYOKO[[#This Row],[QUANTITE]]*BAKAYOKO[[#This Row],[PRIX UNITAIRE]])</f>
        <v>0</v>
      </c>
      <c r="F221" s="28"/>
      <c r="G221" s="29">
        <f>+SUM(E$9:$E221)-SUM(F$9:$F221)</f>
        <v>0</v>
      </c>
    </row>
    <row r="222" spans="1:7" ht="28.8" x14ac:dyDescent="0.55000000000000004">
      <c r="A222" s="24"/>
      <c r="B222" s="25"/>
      <c r="C222" s="26"/>
      <c r="D222" s="26"/>
      <c r="E222" s="27">
        <f>+$I$2+(BAKAYOKO[[#This Row],[QUANTITE]]*BAKAYOKO[[#This Row],[PRIX UNITAIRE]])</f>
        <v>0</v>
      </c>
      <c r="F222" s="28"/>
      <c r="G222" s="29">
        <f>+SUM(E$9:$E222)-SUM(F$9:$F222)</f>
        <v>0</v>
      </c>
    </row>
    <row r="223" spans="1:7" ht="28.8" x14ac:dyDescent="0.55000000000000004">
      <c r="A223" s="24"/>
      <c r="B223" s="25"/>
      <c r="C223" s="26"/>
      <c r="D223" s="26"/>
      <c r="E223" s="27">
        <f>+$I$2+(BAKAYOKO[[#This Row],[QUANTITE]]*BAKAYOKO[[#This Row],[PRIX UNITAIRE]])</f>
        <v>0</v>
      </c>
      <c r="F223" s="28"/>
      <c r="G223" s="29">
        <f>+SUM(E$9:$E223)-SUM(F$9:$F223)</f>
        <v>0</v>
      </c>
    </row>
    <row r="224" spans="1:7" ht="28.8" x14ac:dyDescent="0.55000000000000004">
      <c r="A224" s="24"/>
      <c r="B224" s="25"/>
      <c r="C224" s="26"/>
      <c r="D224" s="26"/>
      <c r="E224" s="27">
        <f>+$I$2+(BAKAYOKO[[#This Row],[QUANTITE]]*BAKAYOKO[[#This Row],[PRIX UNITAIRE]])</f>
        <v>0</v>
      </c>
      <c r="F224" s="28"/>
      <c r="G224" s="29">
        <f>+SUM(E$9:$E224)-SUM(F$9:$F224)</f>
        <v>0</v>
      </c>
    </row>
    <row r="225" spans="1:7" ht="28.8" x14ac:dyDescent="0.55000000000000004">
      <c r="A225" s="24"/>
      <c r="B225" s="25"/>
      <c r="C225" s="26"/>
      <c r="D225" s="26"/>
      <c r="E225" s="27">
        <f>+$I$2+(BAKAYOKO[[#This Row],[QUANTITE]]*BAKAYOKO[[#This Row],[PRIX UNITAIRE]])</f>
        <v>0</v>
      </c>
      <c r="F225" s="28"/>
      <c r="G225" s="29">
        <f>+SUM(E$9:$E225)-SUM(F$9:$F225)</f>
        <v>0</v>
      </c>
    </row>
    <row r="226" spans="1:7" ht="28.8" x14ac:dyDescent="0.55000000000000004">
      <c r="A226" s="24"/>
      <c r="B226" s="25"/>
      <c r="C226" s="26"/>
      <c r="D226" s="26"/>
      <c r="E226" s="27">
        <f>+$I$2+(BAKAYOKO[[#This Row],[QUANTITE]]*BAKAYOKO[[#This Row],[PRIX UNITAIRE]])</f>
        <v>0</v>
      </c>
      <c r="F226" s="28"/>
      <c r="G226" s="29">
        <f>+SUM(E$9:$E226)-SUM(F$9:$F226)</f>
        <v>0</v>
      </c>
    </row>
    <row r="227" spans="1:7" ht="28.8" x14ac:dyDescent="0.55000000000000004">
      <c r="A227" s="24"/>
      <c r="B227" s="25"/>
      <c r="C227" s="26"/>
      <c r="D227" s="26"/>
      <c r="E227" s="27">
        <f>+$I$2+(BAKAYOKO[[#This Row],[QUANTITE]]*BAKAYOKO[[#This Row],[PRIX UNITAIRE]])</f>
        <v>0</v>
      </c>
      <c r="F227" s="28"/>
      <c r="G227" s="29">
        <f>+SUM(E$9:$E227)-SUM(F$9:$F227)</f>
        <v>0</v>
      </c>
    </row>
    <row r="228" spans="1:7" ht="28.8" x14ac:dyDescent="0.55000000000000004">
      <c r="A228" s="24"/>
      <c r="B228" s="25"/>
      <c r="C228" s="26"/>
      <c r="D228" s="26"/>
      <c r="E228" s="27">
        <f>+$I$2+(BAKAYOKO[[#This Row],[QUANTITE]]*BAKAYOKO[[#This Row],[PRIX UNITAIRE]])</f>
        <v>0</v>
      </c>
      <c r="F228" s="28"/>
      <c r="G228" s="29">
        <f>+SUM(E$9:$E228)-SUM(F$9:$F228)</f>
        <v>0</v>
      </c>
    </row>
    <row r="229" spans="1:7" ht="28.8" x14ac:dyDescent="0.55000000000000004">
      <c r="A229" s="24"/>
      <c r="B229" s="25"/>
      <c r="C229" s="26"/>
      <c r="D229" s="26"/>
      <c r="E229" s="27">
        <f>+$I$2+(BAKAYOKO[[#This Row],[QUANTITE]]*BAKAYOKO[[#This Row],[PRIX UNITAIRE]])</f>
        <v>0</v>
      </c>
      <c r="F229" s="28"/>
      <c r="G229" s="29">
        <f>+SUM(E$9:$E229)-SUM(F$9:$F229)</f>
        <v>0</v>
      </c>
    </row>
    <row r="230" spans="1:7" ht="28.8" x14ac:dyDescent="0.55000000000000004">
      <c r="A230" s="24"/>
      <c r="B230" s="25"/>
      <c r="C230" s="26"/>
      <c r="D230" s="26"/>
      <c r="E230" s="27">
        <f>+$I$2+(BAKAYOKO[[#This Row],[QUANTITE]]*BAKAYOKO[[#This Row],[PRIX UNITAIRE]])</f>
        <v>0</v>
      </c>
      <c r="F230" s="28"/>
      <c r="G230" s="29">
        <f>+SUM(E$9:$E230)-SUM(F$9:$F230)</f>
        <v>0</v>
      </c>
    </row>
    <row r="231" spans="1:7" ht="28.8" x14ac:dyDescent="0.55000000000000004">
      <c r="A231" s="24"/>
      <c r="B231" s="25"/>
      <c r="C231" s="26"/>
      <c r="D231" s="26"/>
      <c r="E231" s="27">
        <f>+$I$2+(BAKAYOKO[[#This Row],[QUANTITE]]*BAKAYOKO[[#This Row],[PRIX UNITAIRE]])</f>
        <v>0</v>
      </c>
      <c r="F231" s="28"/>
      <c r="G231" s="29">
        <f>+SUM(E$9:$E231)-SUM(F$9:$F231)</f>
        <v>0</v>
      </c>
    </row>
    <row r="232" spans="1:7" ht="28.8" x14ac:dyDescent="0.55000000000000004">
      <c r="A232" s="24"/>
      <c r="B232" s="25"/>
      <c r="C232" s="26"/>
      <c r="D232" s="26"/>
      <c r="E232" s="27">
        <f>+$I$2+(BAKAYOKO[[#This Row],[QUANTITE]]*BAKAYOKO[[#This Row],[PRIX UNITAIRE]])</f>
        <v>0</v>
      </c>
      <c r="F232" s="28"/>
      <c r="G232" s="29">
        <f>+SUM(E$9:$E232)-SUM(F$9:$F232)</f>
        <v>0</v>
      </c>
    </row>
    <row r="233" spans="1:7" ht="28.8" x14ac:dyDescent="0.55000000000000004">
      <c r="A233" s="24"/>
      <c r="B233" s="25"/>
      <c r="C233" s="26"/>
      <c r="D233" s="26"/>
      <c r="E233" s="27">
        <f>+$I$2+(BAKAYOKO[[#This Row],[QUANTITE]]*BAKAYOKO[[#This Row],[PRIX UNITAIRE]])</f>
        <v>0</v>
      </c>
      <c r="F233" s="28"/>
      <c r="G233" s="29">
        <f>+SUM(E$9:$E233)-SUM(F$9:$F233)</f>
        <v>0</v>
      </c>
    </row>
    <row r="234" spans="1:7" ht="28.8" x14ac:dyDescent="0.55000000000000004">
      <c r="A234" s="24"/>
      <c r="B234" s="25"/>
      <c r="C234" s="26"/>
      <c r="D234" s="26"/>
      <c r="E234" s="27">
        <f>+$I$2+(BAKAYOKO[[#This Row],[QUANTITE]]*BAKAYOKO[[#This Row],[PRIX UNITAIRE]])</f>
        <v>0</v>
      </c>
      <c r="F234" s="28"/>
      <c r="G234" s="29">
        <f>+SUM(E$9:$E234)-SUM(F$9:$F234)</f>
        <v>0</v>
      </c>
    </row>
    <row r="235" spans="1:7" ht="28.8" x14ac:dyDescent="0.55000000000000004">
      <c r="A235" s="24"/>
      <c r="B235" s="25"/>
      <c r="C235" s="26"/>
      <c r="D235" s="26"/>
      <c r="E235" s="27">
        <f>+$I$2+(BAKAYOKO[[#This Row],[QUANTITE]]*BAKAYOKO[[#This Row],[PRIX UNITAIRE]])</f>
        <v>0</v>
      </c>
      <c r="F235" s="28"/>
      <c r="G235" s="29">
        <f>+SUM(E$9:$E235)-SUM(F$9:$F235)</f>
        <v>0</v>
      </c>
    </row>
    <row r="236" spans="1:7" ht="28.8" x14ac:dyDescent="0.55000000000000004">
      <c r="A236" s="12"/>
      <c r="B236" s="77"/>
      <c r="C236" s="78"/>
      <c r="D236" s="78"/>
      <c r="E236" s="76">
        <f>SUBTOTAL(109,BAKAYOKO[TOTAL MONTANT])</f>
        <v>0</v>
      </c>
      <c r="F236" s="76">
        <f>SUBTOTAL(109,BAKAYOKO[VERSEMENT])</f>
        <v>0</v>
      </c>
      <c r="G236" s="76">
        <f>SUBTOTAL(109,BAKAYOKO[SOLDE])</f>
        <v>0</v>
      </c>
    </row>
  </sheetData>
  <sheetProtection selectLockedCells="1" autoFilter="0"/>
  <mergeCells count="1">
    <mergeCell ref="B6:C6"/>
  </mergeCells>
  <conditionalFormatting sqref="B9:B187 B190:B235">
    <cfRule type="expression" dxfId="136" priority="5">
      <formula>$F9</formula>
    </cfRule>
  </conditionalFormatting>
  <conditionalFormatting sqref="B188">
    <cfRule type="expression" dxfId="135" priority="118">
      <formula>#REF!</formula>
    </cfRule>
  </conditionalFormatting>
  <conditionalFormatting sqref="B189">
    <cfRule type="expression" dxfId="134" priority="117">
      <formula>$F188</formula>
    </cfRule>
  </conditionalFormatting>
  <conditionalFormatting sqref="G4">
    <cfRule type="cellIs" dxfId="133" priority="2" operator="lessThan">
      <formula>0</formula>
    </cfRule>
    <cfRule type="cellIs" dxfId="132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35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I364"/>
  <sheetViews>
    <sheetView showGridLines="0" topLeftCell="D1" zoomScale="60" zoomScaleNormal="60" workbookViewId="0">
      <pane ySplit="8" topLeftCell="A143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0" style="1" hidden="1" customWidth="1"/>
    <col min="9" max="9" width="18.33203125" style="1" bestFit="1" customWidth="1"/>
    <col min="10" max="16384" width="11.5546875" style="1"/>
  </cols>
  <sheetData>
    <row r="1" spans="1:9" x14ac:dyDescent="0.3">
      <c r="A1" s="91"/>
      <c r="B1" s="92"/>
      <c r="C1" s="31"/>
      <c r="D1" s="31"/>
      <c r="E1" s="31"/>
      <c r="F1" s="31"/>
      <c r="G1" s="31"/>
      <c r="I1" s="43">
        <f ca="1">+NOW()</f>
        <v>46102.571020717594</v>
      </c>
    </row>
    <row r="2" spans="1:9" ht="36" customHeight="1" thickBot="1" x14ac:dyDescent="0.35">
      <c r="A2" s="96"/>
      <c r="B2" s="31"/>
      <c r="C2" s="31"/>
      <c r="D2" s="31"/>
      <c r="E2" s="31"/>
      <c r="F2" s="31"/>
      <c r="G2" s="31"/>
      <c r="H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+SUM(REDA[TOTAL MONTANT])</f>
        <v>0</v>
      </c>
      <c r="F4" s="39">
        <f>+SUM(REDA[VERSEMENT])</f>
        <v>0</v>
      </c>
      <c r="G4" s="97">
        <f>+E4-F4</f>
        <v>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192</v>
      </c>
      <c r="C6" s="114"/>
      <c r="D6" s="31"/>
      <c r="E6" s="31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+$H$2+(REDA[[#This Row],[QUANTITE]]*REDA[[#This Row],[PRIX UNITAIRE]])</f>
        <v>0</v>
      </c>
      <c r="F9" s="21"/>
      <c r="G9" s="6">
        <f>+SUM(E$9:$E9)-SUM(F$9:$F9)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+$H$2+(REDA[[#This Row],[QUANTITE]]*REDA[[#This Row],[PRIX UNITAIRE]])</f>
        <v>0</v>
      </c>
      <c r="F10" s="21"/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+$H$2+(REDA[[#This Row],[QUANTITE]]*REDA[[#This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+$H$2+(REDA[[#This Row],[QUANTITE]]*REDA[[#This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+$H$2+(REDA[[#This Row],[QUANTITE]]*REDA[[#This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+$H$2+(REDA[[#This Row],[QUANTITE]]*REDA[[#This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+$H$2+(REDA[[#This Row],[QUANTITE]]*REDA[[#This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+$H$2+(REDA[[#This Row],[QUANTITE]]*REDA[[#This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+$H$2+(REDA[[#This Row],[QUANTITE]]*REDA[[#This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5"/>
      <c r="B18" s="16"/>
      <c r="C18" s="11"/>
      <c r="D18" s="11"/>
      <c r="E18" s="9">
        <f>+$H$2+(REDA[[#This Row],[QUANTITE]]*REDA[[#This Row],[PRIX UNITAIRE]])</f>
        <v>0</v>
      </c>
      <c r="F18" s="17"/>
      <c r="G18" s="8">
        <f>+SUM(E$9:$E18)-SUM(F$9:$F18)</f>
        <v>0</v>
      </c>
    </row>
    <row r="19" spans="1:7" ht="28.8" x14ac:dyDescent="0.55000000000000004">
      <c r="A19" s="15"/>
      <c r="B19" s="16"/>
      <c r="C19" s="11"/>
      <c r="D19" s="11"/>
      <c r="E19" s="9">
        <f>+$H$2+(REDA[[#This Row],[QUANTITE]]*REDA[[#This Row],[PRIX UNITAIRE]])</f>
        <v>0</v>
      </c>
      <c r="F19" s="17"/>
      <c r="G19" s="8">
        <f>+SUM(E$9:$E19)-SUM(F$9:$F19)</f>
        <v>0</v>
      </c>
    </row>
    <row r="20" spans="1:7" ht="28.8" x14ac:dyDescent="0.55000000000000004">
      <c r="A20" s="15"/>
      <c r="B20" s="16"/>
      <c r="C20" s="11"/>
      <c r="D20" s="11"/>
      <c r="E20" s="9">
        <f>+$H$2+(REDA[[#This Row],[QUANTITE]]*REDA[[#This Row],[PRIX UNITAIRE]])</f>
        <v>0</v>
      </c>
      <c r="F20" s="17"/>
      <c r="G20" s="8">
        <f>+SUM(E$9:$E20)-SUM(F$9:$F20)</f>
        <v>0</v>
      </c>
    </row>
    <row r="21" spans="1:7" ht="28.8" x14ac:dyDescent="0.55000000000000004">
      <c r="A21" s="15"/>
      <c r="B21" s="16"/>
      <c r="C21" s="11"/>
      <c r="D21" s="11"/>
      <c r="E21" s="9">
        <f>+$H$2+(REDA[[#This Row],[QUANTITE]]*REDA[[#This Row],[PRIX UNITAIRE]])</f>
        <v>0</v>
      </c>
      <c r="F21" s="17"/>
      <c r="G21" s="8">
        <f>+SUM(E$9:$E21)-SUM(F$9:$F21)</f>
        <v>0</v>
      </c>
    </row>
    <row r="22" spans="1:7" ht="28.8" x14ac:dyDescent="0.55000000000000004">
      <c r="A22" s="15"/>
      <c r="B22" s="16"/>
      <c r="C22" s="11"/>
      <c r="D22" s="11"/>
      <c r="E22" s="9">
        <f>+$H$2+(REDA[[#This Row],[QUANTITE]]*REDA[[#This Row],[PRIX UNITAIRE]])</f>
        <v>0</v>
      </c>
      <c r="F22" s="17"/>
      <c r="G22" s="8">
        <f>+SUM(E$9:$E22)-SUM(F$9:$F22)</f>
        <v>0</v>
      </c>
    </row>
    <row r="23" spans="1:7" ht="28.8" x14ac:dyDescent="0.55000000000000004">
      <c r="A23" s="15"/>
      <c r="B23" s="16"/>
      <c r="C23" s="11"/>
      <c r="D23" s="11"/>
      <c r="E23" s="9">
        <f>+$H$2+(REDA[[#This Row],[QUANTITE]]*REDA[[#This Row],[PRIX UNITAIRE]])</f>
        <v>0</v>
      </c>
      <c r="F23" s="17"/>
      <c r="G23" s="8">
        <f>+SUM(E$9:$E23)-SUM(F$9:$F23)</f>
        <v>0</v>
      </c>
    </row>
    <row r="24" spans="1:7" ht="28.8" x14ac:dyDescent="0.55000000000000004">
      <c r="A24" s="15"/>
      <c r="B24" s="16"/>
      <c r="C24" s="11"/>
      <c r="D24" s="11"/>
      <c r="E24" s="9">
        <f>+$H$2+(REDA[[#This Row],[QUANTITE]]*REDA[[#This Row],[PRIX UNITAIRE]])</f>
        <v>0</v>
      </c>
      <c r="F24" s="17"/>
      <c r="G24" s="8">
        <f>+SUM(E$9:$E24)-SUM(F$9:$F24)</f>
        <v>0</v>
      </c>
    </row>
    <row r="25" spans="1:7" ht="28.8" x14ac:dyDescent="0.55000000000000004">
      <c r="A25" s="15"/>
      <c r="B25" s="16"/>
      <c r="C25" s="11"/>
      <c r="D25" s="11"/>
      <c r="E25" s="9">
        <f>+$H$2+(REDA[[#This Row],[QUANTITE]]*REDA[[#This Row],[PRIX UNITAIRE]])</f>
        <v>0</v>
      </c>
      <c r="F25" s="17"/>
      <c r="G25" s="8">
        <f>+SUM(E$9:$E25)-SUM(F$9:$F25)</f>
        <v>0</v>
      </c>
    </row>
    <row r="26" spans="1:7" ht="28.8" x14ac:dyDescent="0.55000000000000004">
      <c r="A26" s="15"/>
      <c r="B26" s="16"/>
      <c r="C26" s="11"/>
      <c r="D26" s="11"/>
      <c r="E26" s="9">
        <f>+$H$2+(REDA[[#This Row],[QUANTITE]]*REDA[[#This Row],[PRIX UNITAIRE]])</f>
        <v>0</v>
      </c>
      <c r="F26" s="17"/>
      <c r="G26" s="8">
        <f>+SUM(E$9:$E26)-SUM(F$9:$F26)</f>
        <v>0</v>
      </c>
    </row>
    <row r="27" spans="1:7" ht="28.8" x14ac:dyDescent="0.55000000000000004">
      <c r="A27" s="15"/>
      <c r="B27" s="16"/>
      <c r="C27" s="11"/>
      <c r="D27" s="11"/>
      <c r="E27" s="9">
        <f>+$H$2+(REDA[[#This Row],[QUANTITE]]*REDA[[#This Row],[PRIX UNITAIRE]])</f>
        <v>0</v>
      </c>
      <c r="F27" s="17"/>
      <c r="G27" s="8">
        <f>+SUM(E$9:$E27)-SUM(F$9:$F27)</f>
        <v>0</v>
      </c>
    </row>
    <row r="28" spans="1:7" ht="28.8" x14ac:dyDescent="0.55000000000000004">
      <c r="A28" s="15"/>
      <c r="B28" s="16"/>
      <c r="C28" s="11"/>
      <c r="D28" s="11"/>
      <c r="E28" s="9">
        <f>+$H$2+(REDA[[#This Row],[QUANTITE]]*REDA[[#This Row],[PRIX UNITAIRE]])</f>
        <v>0</v>
      </c>
      <c r="F28" s="17"/>
      <c r="G28" s="8">
        <f>+SUM(E$9:$E28)-SUM(F$9:$F28)</f>
        <v>0</v>
      </c>
    </row>
    <row r="29" spans="1:7" ht="28.8" x14ac:dyDescent="0.55000000000000004">
      <c r="A29" s="15"/>
      <c r="B29" s="16"/>
      <c r="C29" s="11"/>
      <c r="D29" s="11"/>
      <c r="E29" s="9">
        <f>+$H$2+(REDA[[#This Row],[QUANTITE]]*REDA[[#This Row],[PRIX UNITAIRE]])</f>
        <v>0</v>
      </c>
      <c r="F29" s="17"/>
      <c r="G29" s="8">
        <f>+SUM(E$9:$E29)-SUM(F$9:$F29)</f>
        <v>0</v>
      </c>
    </row>
    <row r="30" spans="1:7" ht="28.8" x14ac:dyDescent="0.55000000000000004">
      <c r="A30" s="15"/>
      <c r="B30" s="16"/>
      <c r="C30" s="11"/>
      <c r="D30" s="11"/>
      <c r="E30" s="9">
        <f>+$H$2+(REDA[[#This Row],[QUANTITE]]*REDA[[#This Row],[PRIX UNITAIRE]])</f>
        <v>0</v>
      </c>
      <c r="F30" s="17"/>
      <c r="G30" s="8">
        <f>+SUM(E$9:$E30)-SUM(F$9:$F30)</f>
        <v>0</v>
      </c>
    </row>
    <row r="31" spans="1:7" ht="28.8" x14ac:dyDescent="0.55000000000000004">
      <c r="A31" s="15"/>
      <c r="B31" s="16"/>
      <c r="C31" s="11"/>
      <c r="D31" s="11"/>
      <c r="E31" s="9">
        <f>+$H$2+(REDA[[#This Row],[QUANTITE]]*REDA[[#This Row],[PRIX UNITAIRE]])</f>
        <v>0</v>
      </c>
      <c r="F31" s="17"/>
      <c r="G31" s="8">
        <f>+SUM(E$9:$E31)-SUM(F$9:$F31)</f>
        <v>0</v>
      </c>
    </row>
    <row r="32" spans="1:7" ht="28.8" x14ac:dyDescent="0.55000000000000004">
      <c r="A32" s="15"/>
      <c r="B32" s="16"/>
      <c r="C32" s="11"/>
      <c r="D32" s="11"/>
      <c r="E32" s="9">
        <f>+$H$2+(REDA[[#This Row],[QUANTITE]]*REDA[[#This Row],[PRIX UNITAIRE]])</f>
        <v>0</v>
      </c>
      <c r="F32" s="17"/>
      <c r="G32" s="8">
        <f>+SUM(E$9:$E32)-SUM(F$9:$F32)</f>
        <v>0</v>
      </c>
    </row>
    <row r="33" spans="1:7" ht="28.8" x14ac:dyDescent="0.55000000000000004">
      <c r="A33" s="15"/>
      <c r="B33" s="16"/>
      <c r="C33" s="11"/>
      <c r="D33" s="11"/>
      <c r="E33" s="9">
        <f>+$H$2+(REDA[[#This Row],[QUANTITE]]*REDA[[#This Row],[PRIX UNITAIRE]])</f>
        <v>0</v>
      </c>
      <c r="F33" s="17"/>
      <c r="G33" s="8">
        <f>+SUM(E$9:$E33)-SUM(F$9:$F33)</f>
        <v>0</v>
      </c>
    </row>
    <row r="34" spans="1:7" ht="28.8" x14ac:dyDescent="0.55000000000000004">
      <c r="A34" s="15"/>
      <c r="B34" s="16"/>
      <c r="C34" s="11"/>
      <c r="D34" s="11"/>
      <c r="E34" s="9">
        <f>+$H$2+(REDA[[#This Row],[QUANTITE]]*REDA[[#This Row],[PRIX UNITAIRE]])</f>
        <v>0</v>
      </c>
      <c r="F34" s="17"/>
      <c r="G34" s="8">
        <f>+SUM(E$9:$E34)-SUM(F$9:$F34)</f>
        <v>0</v>
      </c>
    </row>
    <row r="35" spans="1:7" ht="28.8" x14ac:dyDescent="0.55000000000000004">
      <c r="A35" s="15"/>
      <c r="B35" s="16"/>
      <c r="C35" s="11"/>
      <c r="D35" s="11"/>
      <c r="E35" s="9">
        <f>+$H$2+(REDA[[#This Row],[QUANTITE]]*REDA[[#This Row],[PRIX UNITAIRE]])</f>
        <v>0</v>
      </c>
      <c r="F35" s="17"/>
      <c r="G35" s="8">
        <f>+SUM(E$9:$E35)-SUM(F$9:$F35)</f>
        <v>0</v>
      </c>
    </row>
    <row r="36" spans="1:7" ht="28.8" x14ac:dyDescent="0.55000000000000004">
      <c r="A36" s="15"/>
      <c r="B36" s="16"/>
      <c r="C36" s="11"/>
      <c r="D36" s="11"/>
      <c r="E36" s="9">
        <f>+$H$2+(REDA[[#This Row],[QUANTITE]]*REDA[[#This Row],[PRIX UNITAIRE]])</f>
        <v>0</v>
      </c>
      <c r="F36" s="17"/>
      <c r="G36" s="8">
        <f>+SUM(E$9:$E36)-SUM(F$9:$F36)</f>
        <v>0</v>
      </c>
    </row>
    <row r="37" spans="1:7" ht="28.8" x14ac:dyDescent="0.55000000000000004">
      <c r="A37" s="15"/>
      <c r="B37" s="16"/>
      <c r="C37" s="11"/>
      <c r="D37" s="11"/>
      <c r="E37" s="9">
        <f>+$H$2+(REDA[[#This Row],[QUANTITE]]*REDA[[#This Row],[PRIX UNITAIRE]])</f>
        <v>0</v>
      </c>
      <c r="F37" s="17"/>
      <c r="G37" s="8">
        <f>+SUM(E$9:$E37)-SUM(F$9:$F37)</f>
        <v>0</v>
      </c>
    </row>
    <row r="38" spans="1:7" ht="28.8" x14ac:dyDescent="0.55000000000000004">
      <c r="A38" s="15"/>
      <c r="B38" s="16"/>
      <c r="C38" s="11"/>
      <c r="D38" s="11"/>
      <c r="E38" s="9">
        <f>+$H$2+(REDA[[#This Row],[QUANTITE]]*REDA[[#This Row],[PRIX UNITAIRE]])</f>
        <v>0</v>
      </c>
      <c r="F38" s="17"/>
      <c r="G38" s="8">
        <f>+SUM(E$9:$E38)-SUM(F$9:$F38)</f>
        <v>0</v>
      </c>
    </row>
    <row r="39" spans="1:7" ht="28.8" x14ac:dyDescent="0.55000000000000004">
      <c r="A39" s="15"/>
      <c r="B39" s="16"/>
      <c r="C39" s="11"/>
      <c r="D39" s="11"/>
      <c r="E39" s="9">
        <f>+$H$2+(REDA[[#This Row],[QUANTITE]]*REDA[[#This Row],[PRIX UNITAIRE]])</f>
        <v>0</v>
      </c>
      <c r="F39" s="17"/>
      <c r="G39" s="8">
        <f>+SUM(E$9:$E39)-SUM(F$9:$F39)</f>
        <v>0</v>
      </c>
    </row>
    <row r="40" spans="1:7" ht="28.8" x14ac:dyDescent="0.55000000000000004">
      <c r="A40" s="15"/>
      <c r="B40" s="16"/>
      <c r="C40" s="11"/>
      <c r="D40" s="11"/>
      <c r="E40" s="9">
        <f>+$H$2+(REDA[[#This Row],[QUANTITE]]*REDA[[#This Row],[PRIX UNITAIRE]])</f>
        <v>0</v>
      </c>
      <c r="F40" s="17"/>
      <c r="G40" s="8">
        <f>+SUM(E$9:$E40)-SUM(F$9:$F40)</f>
        <v>0</v>
      </c>
    </row>
    <row r="41" spans="1:7" ht="28.8" x14ac:dyDescent="0.55000000000000004">
      <c r="A41" s="15"/>
      <c r="B41" s="16"/>
      <c r="C41" s="11"/>
      <c r="D41" s="11"/>
      <c r="E41" s="9">
        <f>+$H$2+(REDA[[#This Row],[QUANTITE]]*REDA[[#This Row],[PRIX UNITAIRE]])</f>
        <v>0</v>
      </c>
      <c r="F41" s="17"/>
      <c r="G41" s="8">
        <f>+SUM(E$9:$E41)-SUM(F$9:$F41)</f>
        <v>0</v>
      </c>
    </row>
    <row r="42" spans="1:7" ht="28.8" x14ac:dyDescent="0.55000000000000004">
      <c r="A42" s="15"/>
      <c r="B42" s="16"/>
      <c r="C42" s="11"/>
      <c r="D42" s="11"/>
      <c r="E42" s="9">
        <f>+$H$2+(REDA[[#This Row],[QUANTITE]]*REDA[[#This Row],[PRIX UNITAIRE]])</f>
        <v>0</v>
      </c>
      <c r="F42" s="17"/>
      <c r="G42" s="8">
        <f>+SUM(E$9:$E42)-SUM(F$9:$F42)</f>
        <v>0</v>
      </c>
    </row>
    <row r="43" spans="1:7" ht="28.8" x14ac:dyDescent="0.55000000000000004">
      <c r="A43" s="15"/>
      <c r="B43" s="16"/>
      <c r="C43" s="11"/>
      <c r="D43" s="11"/>
      <c r="E43" s="9">
        <f>+$H$2+(REDA[[#This Row],[QUANTITE]]*REDA[[#This Row],[PRIX UNITAIRE]])</f>
        <v>0</v>
      </c>
      <c r="F43" s="17"/>
      <c r="G43" s="8">
        <f>+SUM(E$9:$E43)-SUM(F$9:$F43)</f>
        <v>0</v>
      </c>
    </row>
    <row r="44" spans="1:7" ht="28.8" x14ac:dyDescent="0.55000000000000004">
      <c r="A44" s="15"/>
      <c r="B44" s="16"/>
      <c r="C44" s="11"/>
      <c r="D44" s="11"/>
      <c r="E44" s="9">
        <f>+$H$2+(REDA[[#This Row],[QUANTITE]]*REDA[[#This Row],[PRIX UNITAIRE]])</f>
        <v>0</v>
      </c>
      <c r="F44" s="17"/>
      <c r="G44" s="8">
        <f>+SUM(E$9:$E44)-SUM(F$9:$F44)</f>
        <v>0</v>
      </c>
    </row>
    <row r="45" spans="1:7" ht="28.8" x14ac:dyDescent="0.55000000000000004">
      <c r="A45" s="15"/>
      <c r="B45" s="16"/>
      <c r="C45" s="11"/>
      <c r="D45" s="11"/>
      <c r="E45" s="9">
        <f>+$H$2+(REDA[[#This Row],[QUANTITE]]*REDA[[#This Row],[PRIX UNITAIRE]])</f>
        <v>0</v>
      </c>
      <c r="F45" s="17"/>
      <c r="G45" s="8">
        <f>+SUM(E$9:$E45)-SUM(F$9:$F45)</f>
        <v>0</v>
      </c>
    </row>
    <row r="46" spans="1:7" ht="28.8" x14ac:dyDescent="0.55000000000000004">
      <c r="A46" s="15"/>
      <c r="B46" s="16"/>
      <c r="C46" s="11"/>
      <c r="D46" s="11"/>
      <c r="E46" s="9">
        <f>+$H$2+(REDA[[#This Row],[QUANTITE]]*REDA[[#This Row],[PRIX UNITAIRE]])</f>
        <v>0</v>
      </c>
      <c r="F46" s="17"/>
      <c r="G46" s="8">
        <f>+SUM(E$9:$E46)-SUM(F$9:$F46)</f>
        <v>0</v>
      </c>
    </row>
    <row r="47" spans="1:7" ht="28.8" x14ac:dyDescent="0.55000000000000004">
      <c r="A47" s="15"/>
      <c r="B47" s="16"/>
      <c r="C47" s="11"/>
      <c r="D47" s="11"/>
      <c r="E47" s="9">
        <f>+$H$2+(REDA[[#This Row],[QUANTITE]]*REDA[[#This Row],[PRIX UNITAIRE]])</f>
        <v>0</v>
      </c>
      <c r="F47" s="17"/>
      <c r="G47" s="8">
        <f>+SUM(E$9:$E47)-SUM(F$9:$F47)</f>
        <v>0</v>
      </c>
    </row>
    <row r="48" spans="1:7" ht="28.8" x14ac:dyDescent="0.55000000000000004">
      <c r="A48" s="15"/>
      <c r="B48" s="16"/>
      <c r="C48" s="11"/>
      <c r="D48" s="11"/>
      <c r="E48" s="9">
        <f>+$H$2+(REDA[[#This Row],[QUANTITE]]*REDA[[#This Row],[PRIX UNITAIRE]])</f>
        <v>0</v>
      </c>
      <c r="F48" s="17"/>
      <c r="G48" s="8">
        <f>+SUM(E$9:$E48)-SUM(F$9:$F48)</f>
        <v>0</v>
      </c>
    </row>
    <row r="49" spans="1:7" ht="28.8" x14ac:dyDescent="0.55000000000000004">
      <c r="A49" s="15"/>
      <c r="B49" s="16"/>
      <c r="C49" s="11"/>
      <c r="D49" s="11"/>
      <c r="E49" s="9">
        <f>+$H$2+(REDA[[#This Row],[QUANTITE]]*REDA[[#This Row],[PRIX UNITAIRE]])</f>
        <v>0</v>
      </c>
      <c r="F49" s="17"/>
      <c r="G49" s="8">
        <f>+SUM(E$9:$E49)-SUM(F$9:$F49)</f>
        <v>0</v>
      </c>
    </row>
    <row r="50" spans="1:7" ht="28.8" x14ac:dyDescent="0.55000000000000004">
      <c r="A50" s="15"/>
      <c r="B50" s="16"/>
      <c r="C50" s="11"/>
      <c r="D50" s="11"/>
      <c r="E50" s="9">
        <f>+$H$2+(REDA[[#This Row],[QUANTITE]]*REDA[[#This Row],[PRIX UNITAIRE]])</f>
        <v>0</v>
      </c>
      <c r="F50" s="17"/>
      <c r="G50" s="8">
        <f>+SUM(E$9:$E50)-SUM(F$9:$F50)</f>
        <v>0</v>
      </c>
    </row>
    <row r="51" spans="1:7" ht="28.8" x14ac:dyDescent="0.55000000000000004">
      <c r="A51" s="15"/>
      <c r="B51" s="16"/>
      <c r="C51" s="11"/>
      <c r="D51" s="11"/>
      <c r="E51" s="9">
        <f>+$H$2+(REDA[[#This Row],[QUANTITE]]*REDA[[#This Row],[PRIX UNITAIRE]])</f>
        <v>0</v>
      </c>
      <c r="F51" s="17"/>
      <c r="G51" s="8">
        <f>+SUM(E$9:$E51)-SUM(F$9:$F51)</f>
        <v>0</v>
      </c>
    </row>
    <row r="52" spans="1:7" ht="28.8" x14ac:dyDescent="0.55000000000000004">
      <c r="A52" s="15"/>
      <c r="B52" s="16"/>
      <c r="C52" s="11"/>
      <c r="D52" s="11"/>
      <c r="E52" s="9">
        <f>+$H$2+(REDA[[#This Row],[QUANTITE]]*REDA[[#This Row],[PRIX UNITAIRE]])</f>
        <v>0</v>
      </c>
      <c r="F52" s="17"/>
      <c r="G52" s="8">
        <f>+SUM(E$9:$E52)-SUM(F$9:$F52)</f>
        <v>0</v>
      </c>
    </row>
    <row r="53" spans="1:7" ht="28.8" x14ac:dyDescent="0.55000000000000004">
      <c r="A53" s="15"/>
      <c r="B53" s="16"/>
      <c r="C53" s="11"/>
      <c r="D53" s="11"/>
      <c r="E53" s="9">
        <f>+$H$2+(REDA[[#This Row],[QUANTITE]]*REDA[[#This Row],[PRIX UNITAIRE]])</f>
        <v>0</v>
      </c>
      <c r="F53" s="17"/>
      <c r="G53" s="8">
        <f>+SUM(E$9:$E53)-SUM(F$9:$F53)</f>
        <v>0</v>
      </c>
    </row>
    <row r="54" spans="1:7" ht="28.8" x14ac:dyDescent="0.55000000000000004">
      <c r="A54" s="15"/>
      <c r="B54" s="16"/>
      <c r="C54" s="11"/>
      <c r="D54" s="11"/>
      <c r="E54" s="9">
        <f>+$H$2+(REDA[[#This Row],[QUANTITE]]*REDA[[#This Row],[PRIX UNITAIRE]])</f>
        <v>0</v>
      </c>
      <c r="F54" s="17"/>
      <c r="G54" s="8">
        <f>+SUM(E$9:$E54)-SUM(F$9:$F54)</f>
        <v>0</v>
      </c>
    </row>
    <row r="55" spans="1:7" ht="28.8" x14ac:dyDescent="0.55000000000000004">
      <c r="A55" s="15"/>
      <c r="B55" s="16"/>
      <c r="C55" s="11"/>
      <c r="D55" s="11"/>
      <c r="E55" s="9">
        <f>+$H$2+(REDA[[#This Row],[QUANTITE]]*REDA[[#This Row],[PRIX UNITAIRE]])</f>
        <v>0</v>
      </c>
      <c r="F55" s="17"/>
      <c r="G55" s="8">
        <f>+SUM(E$9:$E55)-SUM(F$9:$F55)</f>
        <v>0</v>
      </c>
    </row>
    <row r="56" spans="1:7" ht="28.8" x14ac:dyDescent="0.55000000000000004">
      <c r="A56" s="15"/>
      <c r="B56" s="16"/>
      <c r="C56" s="11"/>
      <c r="D56" s="11"/>
      <c r="E56" s="9">
        <f>+$H$2+(REDA[[#This Row],[QUANTITE]]*REDA[[#This Row],[PRIX UNITAIRE]])</f>
        <v>0</v>
      </c>
      <c r="F56" s="17"/>
      <c r="G56" s="8">
        <f>+SUM(E$9:$E56)-SUM(F$9:$F56)</f>
        <v>0</v>
      </c>
    </row>
    <row r="57" spans="1:7" ht="28.8" x14ac:dyDescent="0.55000000000000004">
      <c r="A57" s="15"/>
      <c r="B57" s="16"/>
      <c r="C57" s="11"/>
      <c r="D57" s="11"/>
      <c r="E57" s="9">
        <f>+$H$2+(REDA[[#This Row],[QUANTITE]]*REDA[[#This Row],[PRIX UNITAIRE]])</f>
        <v>0</v>
      </c>
      <c r="F57" s="17"/>
      <c r="G57" s="8">
        <f>+SUM(E$9:$E57)-SUM(F$9:$F57)</f>
        <v>0</v>
      </c>
    </row>
    <row r="58" spans="1:7" ht="28.8" x14ac:dyDescent="0.55000000000000004">
      <c r="A58" s="15"/>
      <c r="B58" s="16"/>
      <c r="C58" s="11"/>
      <c r="D58" s="11"/>
      <c r="E58" s="9">
        <f>+$H$2+(REDA[[#This Row],[QUANTITE]]*REDA[[#This Row],[PRIX UNITAIRE]])</f>
        <v>0</v>
      </c>
      <c r="F58" s="17"/>
      <c r="G58" s="8">
        <f>+SUM(E$9:$E58)-SUM(F$9:$F58)</f>
        <v>0</v>
      </c>
    </row>
    <row r="59" spans="1:7" ht="28.8" x14ac:dyDescent="0.55000000000000004">
      <c r="A59" s="15"/>
      <c r="B59" s="16"/>
      <c r="C59" s="11"/>
      <c r="D59" s="11"/>
      <c r="E59" s="9">
        <f>+$H$2+(REDA[[#This Row],[QUANTITE]]*REDA[[#This Row],[PRIX UNITAIRE]])</f>
        <v>0</v>
      </c>
      <c r="F59" s="17"/>
      <c r="G59" s="8">
        <f>+SUM(E$9:$E59)-SUM(F$9:$F59)</f>
        <v>0</v>
      </c>
    </row>
    <row r="60" spans="1:7" ht="28.8" x14ac:dyDescent="0.55000000000000004">
      <c r="A60" s="15"/>
      <c r="B60" s="16"/>
      <c r="C60" s="11"/>
      <c r="D60" s="11"/>
      <c r="E60" s="9">
        <f>+$H$2+(REDA[[#This Row],[QUANTITE]]*REDA[[#This Row],[PRIX UNITAIRE]])</f>
        <v>0</v>
      </c>
      <c r="F60" s="17"/>
      <c r="G60" s="8">
        <f>+SUM(E$9:$E60)-SUM(F$9:$F60)</f>
        <v>0</v>
      </c>
    </row>
    <row r="61" spans="1:7" ht="28.8" x14ac:dyDescent="0.55000000000000004">
      <c r="A61" s="15"/>
      <c r="B61" s="16"/>
      <c r="C61" s="11"/>
      <c r="D61" s="11"/>
      <c r="E61" s="9">
        <f>+$H$2+(REDA[[#This Row],[QUANTITE]]*REDA[[#This Row],[PRIX UNITAIRE]])</f>
        <v>0</v>
      </c>
      <c r="F61" s="17"/>
      <c r="G61" s="8">
        <f>+SUM(E$9:$E61)-SUM(F$9:$F61)</f>
        <v>0</v>
      </c>
    </row>
    <row r="62" spans="1:7" ht="28.8" x14ac:dyDescent="0.55000000000000004">
      <c r="A62" s="15"/>
      <c r="B62" s="16"/>
      <c r="C62" s="11"/>
      <c r="D62" s="11"/>
      <c r="E62" s="9">
        <f>+$H$2+(REDA[[#This Row],[QUANTITE]]*REDA[[#This Row],[PRIX UNITAIRE]])</f>
        <v>0</v>
      </c>
      <c r="F62" s="17"/>
      <c r="G62" s="8">
        <f>+SUM(E$9:$E62)-SUM(F$9:$F62)</f>
        <v>0</v>
      </c>
    </row>
    <row r="63" spans="1:7" ht="28.8" x14ac:dyDescent="0.55000000000000004">
      <c r="A63" s="15"/>
      <c r="B63" s="16"/>
      <c r="C63" s="11"/>
      <c r="D63" s="11"/>
      <c r="E63" s="9">
        <f>+$H$2+(REDA[[#This Row],[QUANTITE]]*REDA[[#This Row],[PRIX UNITAIRE]])</f>
        <v>0</v>
      </c>
      <c r="F63" s="17"/>
      <c r="G63" s="8">
        <f>+SUM(E$9:$E63)-SUM(F$9:$F63)</f>
        <v>0</v>
      </c>
    </row>
    <row r="64" spans="1:7" ht="28.8" x14ac:dyDescent="0.55000000000000004">
      <c r="A64" s="15"/>
      <c r="B64" s="16"/>
      <c r="C64" s="11"/>
      <c r="D64" s="11"/>
      <c r="E64" s="9">
        <f>+$H$2+(REDA[[#This Row],[QUANTITE]]*REDA[[#This Row],[PRIX UNITAIRE]])</f>
        <v>0</v>
      </c>
      <c r="F64" s="17"/>
      <c r="G64" s="8">
        <f>+SUM(E$9:$E64)-SUM(F$9:$F64)</f>
        <v>0</v>
      </c>
    </row>
    <row r="65" spans="1:7" ht="28.8" x14ac:dyDescent="0.55000000000000004">
      <c r="A65" s="15"/>
      <c r="B65" s="16"/>
      <c r="C65" s="11"/>
      <c r="D65" s="11"/>
      <c r="E65" s="9">
        <f>+$H$2+(REDA[[#This Row],[QUANTITE]]*REDA[[#This Row],[PRIX UNITAIRE]])</f>
        <v>0</v>
      </c>
      <c r="F65" s="17"/>
      <c r="G65" s="8">
        <f>+SUM(E$9:$E65)-SUM(F$9:$F65)</f>
        <v>0</v>
      </c>
    </row>
    <row r="66" spans="1:7" ht="28.8" x14ac:dyDescent="0.55000000000000004">
      <c r="A66" s="15"/>
      <c r="B66" s="16"/>
      <c r="C66" s="11"/>
      <c r="D66" s="11"/>
      <c r="E66" s="9">
        <f>+$H$2+(REDA[[#This Row],[QUANTITE]]*REDA[[#This Row],[PRIX UNITAIRE]])</f>
        <v>0</v>
      </c>
      <c r="F66" s="17"/>
      <c r="G66" s="8">
        <f>+SUM(E$9:$E66)-SUM(F$9:$F66)</f>
        <v>0</v>
      </c>
    </row>
    <row r="67" spans="1:7" ht="28.8" x14ac:dyDescent="0.55000000000000004">
      <c r="A67" s="15"/>
      <c r="B67" s="16"/>
      <c r="C67" s="11"/>
      <c r="D67" s="11"/>
      <c r="E67" s="9">
        <f>+$H$2+(REDA[[#This Row],[QUANTITE]]*REDA[[#This Row],[PRIX UNITAIRE]])</f>
        <v>0</v>
      </c>
      <c r="F67" s="17"/>
      <c r="G67" s="8">
        <f>+SUM(E$9:$E67)-SUM(F$9:$F67)</f>
        <v>0</v>
      </c>
    </row>
    <row r="68" spans="1:7" ht="28.8" x14ac:dyDescent="0.55000000000000004">
      <c r="A68" s="15"/>
      <c r="B68" s="16"/>
      <c r="C68" s="11"/>
      <c r="D68" s="11"/>
      <c r="E68" s="9">
        <f>+$H$2+(REDA[[#This Row],[QUANTITE]]*REDA[[#This Row],[PRIX UNITAIRE]])</f>
        <v>0</v>
      </c>
      <c r="F68" s="17"/>
      <c r="G68" s="8">
        <f>+SUM(E$9:$E68)-SUM(F$9:$F68)</f>
        <v>0</v>
      </c>
    </row>
    <row r="69" spans="1:7" ht="28.8" x14ac:dyDescent="0.55000000000000004">
      <c r="A69" s="15"/>
      <c r="B69" s="16"/>
      <c r="C69" s="11"/>
      <c r="D69" s="11"/>
      <c r="E69" s="9">
        <f>+$H$2+(REDA[[#This Row],[QUANTITE]]*REDA[[#This Row],[PRIX UNITAIRE]])</f>
        <v>0</v>
      </c>
      <c r="F69" s="17"/>
      <c r="G69" s="8">
        <f>+SUM(E$9:$E69)-SUM(F$9:$F69)</f>
        <v>0</v>
      </c>
    </row>
    <row r="70" spans="1:7" ht="28.8" x14ac:dyDescent="0.55000000000000004">
      <c r="A70" s="15"/>
      <c r="B70" s="16"/>
      <c r="C70" s="11"/>
      <c r="D70" s="11"/>
      <c r="E70" s="9">
        <f>+$H$2+(REDA[[#This Row],[QUANTITE]]*REDA[[#This Row],[PRIX UNITAIRE]])</f>
        <v>0</v>
      </c>
      <c r="F70" s="17"/>
      <c r="G70" s="8">
        <f>+SUM(E$9:$E70)-SUM(F$9:$F70)</f>
        <v>0</v>
      </c>
    </row>
    <row r="71" spans="1:7" ht="28.8" x14ac:dyDescent="0.55000000000000004">
      <c r="A71" s="15"/>
      <c r="B71" s="16"/>
      <c r="C71" s="11"/>
      <c r="D71" s="11"/>
      <c r="E71" s="9">
        <f>+$H$2+(REDA[[#This Row],[QUANTITE]]*REDA[[#This Row],[PRIX UNITAIRE]])</f>
        <v>0</v>
      </c>
      <c r="F71" s="17"/>
      <c r="G71" s="8">
        <f>+SUM(E$9:$E71)-SUM(F$9:$F71)</f>
        <v>0</v>
      </c>
    </row>
    <row r="72" spans="1:7" ht="28.8" x14ac:dyDescent="0.55000000000000004">
      <c r="A72" s="15"/>
      <c r="B72" s="16"/>
      <c r="C72" s="11"/>
      <c r="D72" s="11"/>
      <c r="E72" s="9">
        <f>+$H$2+(REDA[[#This Row],[QUANTITE]]*REDA[[#This Row],[PRIX UNITAIRE]])</f>
        <v>0</v>
      </c>
      <c r="F72" s="17"/>
      <c r="G72" s="8">
        <f>+SUM(E$9:$E72)-SUM(F$9:$F72)</f>
        <v>0</v>
      </c>
    </row>
    <row r="73" spans="1:7" ht="28.8" x14ac:dyDescent="0.55000000000000004">
      <c r="A73" s="15"/>
      <c r="B73" s="16"/>
      <c r="C73" s="11"/>
      <c r="D73" s="11"/>
      <c r="E73" s="9">
        <f>+$H$2+(REDA[[#This Row],[QUANTITE]]*REDA[[#This Row],[PRIX UNITAIRE]])</f>
        <v>0</v>
      </c>
      <c r="F73" s="17"/>
      <c r="G73" s="8">
        <f>+SUM(E$9:$E73)-SUM(F$9:$F73)</f>
        <v>0</v>
      </c>
    </row>
    <row r="74" spans="1:7" ht="28.8" x14ac:dyDescent="0.55000000000000004">
      <c r="A74" s="15"/>
      <c r="B74" s="16"/>
      <c r="C74" s="11"/>
      <c r="D74" s="11"/>
      <c r="E74" s="9">
        <f>+$H$2+(REDA[[#This Row],[QUANTITE]]*REDA[[#This Row],[PRIX UNITAIRE]])</f>
        <v>0</v>
      </c>
      <c r="F74" s="17"/>
      <c r="G74" s="8">
        <f>+SUM(E$9:$E74)-SUM(F$9:$F74)</f>
        <v>0</v>
      </c>
    </row>
    <row r="75" spans="1:7" ht="28.8" x14ac:dyDescent="0.55000000000000004">
      <c r="A75" s="15"/>
      <c r="B75" s="16"/>
      <c r="C75" s="11"/>
      <c r="D75" s="11"/>
      <c r="E75" s="9">
        <f>+$H$2+(REDA[[#This Row],[QUANTITE]]*REDA[[#This Row],[PRIX UNITAIRE]])</f>
        <v>0</v>
      </c>
      <c r="F75" s="17"/>
      <c r="G75" s="8">
        <f>+SUM(E$9:$E75)-SUM(F$9:$F75)</f>
        <v>0</v>
      </c>
    </row>
    <row r="76" spans="1:7" ht="28.8" x14ac:dyDescent="0.55000000000000004">
      <c r="A76" s="15"/>
      <c r="B76" s="16"/>
      <c r="C76" s="11"/>
      <c r="D76" s="11"/>
      <c r="E76" s="9">
        <f>+$H$2+(REDA[[#This Row],[QUANTITE]]*REDA[[#This Row],[PRIX UNITAIRE]])</f>
        <v>0</v>
      </c>
      <c r="F76" s="17"/>
      <c r="G76" s="8">
        <f>+SUM(E$9:$E76)-SUM(F$9:$F76)</f>
        <v>0</v>
      </c>
    </row>
    <row r="77" spans="1:7" ht="28.8" x14ac:dyDescent="0.55000000000000004">
      <c r="A77" s="15"/>
      <c r="B77" s="16"/>
      <c r="C77" s="11"/>
      <c r="D77" s="11"/>
      <c r="E77" s="9">
        <f>+$H$2+(REDA[[#This Row],[QUANTITE]]*REDA[[#This Row],[PRIX UNITAIRE]])</f>
        <v>0</v>
      </c>
      <c r="F77" s="17"/>
      <c r="G77" s="8">
        <f>+SUM(E$9:$E77)-SUM(F$9:$F77)</f>
        <v>0</v>
      </c>
    </row>
    <row r="78" spans="1:7" ht="28.8" x14ac:dyDescent="0.55000000000000004">
      <c r="A78" s="15"/>
      <c r="B78" s="16"/>
      <c r="C78" s="11"/>
      <c r="D78" s="11"/>
      <c r="E78" s="9">
        <f>+$H$2+(REDA[[#This Row],[QUANTITE]]*REDA[[#This Row],[PRIX UNITAIRE]])</f>
        <v>0</v>
      </c>
      <c r="F78" s="17"/>
      <c r="G78" s="8">
        <f>+SUM(E$9:$E78)-SUM(F$9:$F78)</f>
        <v>0</v>
      </c>
    </row>
    <row r="79" spans="1:7" ht="28.8" x14ac:dyDescent="0.55000000000000004">
      <c r="A79" s="15"/>
      <c r="B79" s="16"/>
      <c r="C79" s="11"/>
      <c r="D79" s="11"/>
      <c r="E79" s="9">
        <f>+$H$2+(REDA[[#This Row],[QUANTITE]]*REDA[[#This Row],[PRIX UNITAIRE]])</f>
        <v>0</v>
      </c>
      <c r="F79" s="17"/>
      <c r="G79" s="8">
        <f>+SUM(E$9:$E79)-SUM(F$9:$F79)</f>
        <v>0</v>
      </c>
    </row>
    <row r="80" spans="1:7" ht="28.8" x14ac:dyDescent="0.55000000000000004">
      <c r="A80" s="15"/>
      <c r="B80" s="16"/>
      <c r="C80" s="11"/>
      <c r="D80" s="11"/>
      <c r="E80" s="9">
        <f>+$H$2+(REDA[[#This Row],[QUANTITE]]*REDA[[#This Row],[PRIX UNITAIRE]])</f>
        <v>0</v>
      </c>
      <c r="F80" s="17"/>
      <c r="G80" s="8">
        <f>+SUM(E$9:$E80)-SUM(F$9:$F80)</f>
        <v>0</v>
      </c>
    </row>
    <row r="81" spans="1:7" ht="28.8" x14ac:dyDescent="0.55000000000000004">
      <c r="A81" s="15"/>
      <c r="B81" s="16"/>
      <c r="C81" s="11"/>
      <c r="D81" s="11"/>
      <c r="E81" s="9">
        <f>+$H$2+(REDA[[#This Row],[QUANTITE]]*REDA[[#This Row],[PRIX UNITAIRE]])</f>
        <v>0</v>
      </c>
      <c r="F81" s="17"/>
      <c r="G81" s="8">
        <f>+SUM(E$9:$E81)-SUM(F$9:$F81)</f>
        <v>0</v>
      </c>
    </row>
    <row r="82" spans="1:7" ht="28.8" x14ac:dyDescent="0.55000000000000004">
      <c r="A82" s="15"/>
      <c r="B82" s="16"/>
      <c r="C82" s="11"/>
      <c r="D82" s="11"/>
      <c r="E82" s="9">
        <f>+$H$2+(REDA[[#This Row],[QUANTITE]]*REDA[[#This Row],[PRIX UNITAIRE]])</f>
        <v>0</v>
      </c>
      <c r="F82" s="17"/>
      <c r="G82" s="8">
        <f>+SUM(E$9:$E82)-SUM(F$9:$F82)</f>
        <v>0</v>
      </c>
    </row>
    <row r="83" spans="1:7" ht="28.8" x14ac:dyDescent="0.55000000000000004">
      <c r="A83" s="15"/>
      <c r="B83" s="16"/>
      <c r="C83" s="11"/>
      <c r="D83" s="11"/>
      <c r="E83" s="9">
        <f>+$H$2+(REDA[[#This Row],[QUANTITE]]*REDA[[#This Row],[PRIX UNITAIRE]])</f>
        <v>0</v>
      </c>
      <c r="F83" s="17"/>
      <c r="G83" s="8">
        <f>+SUM(E$9:$E83)-SUM(F$9:$F83)</f>
        <v>0</v>
      </c>
    </row>
    <row r="84" spans="1:7" ht="28.8" x14ac:dyDescent="0.55000000000000004">
      <c r="A84" s="15"/>
      <c r="B84" s="16"/>
      <c r="C84" s="11"/>
      <c r="D84" s="11"/>
      <c r="E84" s="9">
        <f>+$H$2+(REDA[[#This Row],[QUANTITE]]*REDA[[#This Row],[PRIX UNITAIRE]])</f>
        <v>0</v>
      </c>
      <c r="F84" s="17"/>
      <c r="G84" s="8">
        <f>+SUM(E$9:$E84)-SUM(F$9:$F84)</f>
        <v>0</v>
      </c>
    </row>
    <row r="85" spans="1:7" ht="28.8" x14ac:dyDescent="0.55000000000000004">
      <c r="A85" s="15"/>
      <c r="B85" s="16"/>
      <c r="C85" s="11"/>
      <c r="D85" s="11"/>
      <c r="E85" s="9">
        <f>+$H$2+(REDA[[#This Row],[QUANTITE]]*REDA[[#This Row],[PRIX UNITAIRE]])</f>
        <v>0</v>
      </c>
      <c r="F85" s="17"/>
      <c r="G85" s="8">
        <f>+SUM(E$9:$E85)-SUM(F$9:$F85)</f>
        <v>0</v>
      </c>
    </row>
    <row r="86" spans="1:7" ht="28.8" x14ac:dyDescent="0.55000000000000004">
      <c r="A86" s="15"/>
      <c r="B86" s="16"/>
      <c r="C86" s="11"/>
      <c r="D86" s="11"/>
      <c r="E86" s="9">
        <f>+$H$2+(REDA[[#This Row],[QUANTITE]]*REDA[[#This Row],[PRIX UNITAIRE]])</f>
        <v>0</v>
      </c>
      <c r="F86" s="17"/>
      <c r="G86" s="8">
        <f>+SUM(E$9:$E86)-SUM(F$9:$F86)</f>
        <v>0</v>
      </c>
    </row>
    <row r="87" spans="1:7" ht="28.8" x14ac:dyDescent="0.55000000000000004">
      <c r="A87" s="15"/>
      <c r="B87" s="16"/>
      <c r="C87" s="11"/>
      <c r="D87" s="11"/>
      <c r="E87" s="9">
        <f>+$H$2+(REDA[[#This Row],[QUANTITE]]*REDA[[#This Row],[PRIX UNITAIRE]])</f>
        <v>0</v>
      </c>
      <c r="F87" s="17"/>
      <c r="G87" s="8">
        <f>+SUM(E$9:$E87)-SUM(F$9:$F87)</f>
        <v>0</v>
      </c>
    </row>
    <row r="88" spans="1:7" ht="28.8" x14ac:dyDescent="0.55000000000000004">
      <c r="A88" s="15"/>
      <c r="B88" s="16"/>
      <c r="C88" s="11"/>
      <c r="D88" s="11"/>
      <c r="E88" s="9">
        <f>+$H$2+(REDA[[#This Row],[QUANTITE]]*REDA[[#This Row],[PRIX UNITAIRE]])</f>
        <v>0</v>
      </c>
      <c r="F88" s="17"/>
      <c r="G88" s="8">
        <f>+SUM(E$9:$E88)-SUM(F$9:$F88)</f>
        <v>0</v>
      </c>
    </row>
    <row r="89" spans="1:7" ht="28.8" x14ac:dyDescent="0.55000000000000004">
      <c r="A89" s="15"/>
      <c r="B89" s="16"/>
      <c r="C89" s="11"/>
      <c r="D89" s="11"/>
      <c r="E89" s="9">
        <f>+$H$2+(REDA[[#This Row],[QUANTITE]]*REDA[[#This Row],[PRIX UNITAIRE]])</f>
        <v>0</v>
      </c>
      <c r="F89" s="17"/>
      <c r="G89" s="8">
        <f>+SUM(E$9:$E89)-SUM(F$9:$F89)</f>
        <v>0</v>
      </c>
    </row>
    <row r="90" spans="1:7" ht="28.8" x14ac:dyDescent="0.55000000000000004">
      <c r="A90" s="15"/>
      <c r="B90" s="16"/>
      <c r="C90" s="11"/>
      <c r="D90" s="11"/>
      <c r="E90" s="9">
        <f>+$H$2+(REDA[[#This Row],[QUANTITE]]*REDA[[#This Row],[PRIX UNITAIRE]])</f>
        <v>0</v>
      </c>
      <c r="F90" s="17"/>
      <c r="G90" s="8">
        <f>+SUM(E$9:$E90)-SUM(F$9:$F90)</f>
        <v>0</v>
      </c>
    </row>
    <row r="91" spans="1:7" ht="28.8" x14ac:dyDescent="0.55000000000000004">
      <c r="A91" s="15"/>
      <c r="B91" s="16"/>
      <c r="C91" s="11"/>
      <c r="D91" s="11"/>
      <c r="E91" s="9">
        <f>+$H$2+(REDA[[#This Row],[QUANTITE]]*REDA[[#This Row],[PRIX UNITAIRE]])</f>
        <v>0</v>
      </c>
      <c r="F91" s="17"/>
      <c r="G91" s="8">
        <f>+SUM(E$9:$E91)-SUM(F$9:$F91)</f>
        <v>0</v>
      </c>
    </row>
    <row r="92" spans="1:7" ht="28.8" x14ac:dyDescent="0.55000000000000004">
      <c r="A92" s="15"/>
      <c r="B92" s="16"/>
      <c r="C92" s="11"/>
      <c r="D92" s="11"/>
      <c r="E92" s="9">
        <f>+$H$2+(REDA[[#This Row],[QUANTITE]]*REDA[[#This Row],[PRIX UNITAIRE]])</f>
        <v>0</v>
      </c>
      <c r="F92" s="17"/>
      <c r="G92" s="8">
        <f>+SUM(E$9:$E92)-SUM(F$9:$F92)</f>
        <v>0</v>
      </c>
    </row>
    <row r="93" spans="1:7" ht="28.8" x14ac:dyDescent="0.55000000000000004">
      <c r="A93" s="15"/>
      <c r="B93" s="16"/>
      <c r="C93" s="11"/>
      <c r="D93" s="11"/>
      <c r="E93" s="9">
        <f>+$H$2+(REDA[[#This Row],[QUANTITE]]*REDA[[#This Row],[PRIX UNITAIRE]])</f>
        <v>0</v>
      </c>
      <c r="F93" s="17"/>
      <c r="G93" s="8">
        <f>+SUM(E$9:$E93)-SUM(F$9:$F93)</f>
        <v>0</v>
      </c>
    </row>
    <row r="94" spans="1:7" ht="28.8" x14ac:dyDescent="0.55000000000000004">
      <c r="A94" s="15"/>
      <c r="B94" s="16"/>
      <c r="C94" s="11"/>
      <c r="D94" s="11"/>
      <c r="E94" s="9">
        <f>+$H$2+(REDA[[#This Row],[QUANTITE]]*REDA[[#This Row],[PRIX UNITAIRE]])</f>
        <v>0</v>
      </c>
      <c r="F94" s="17"/>
      <c r="G94" s="8">
        <f>+SUM(E$9:$E94)-SUM(F$9:$F94)</f>
        <v>0</v>
      </c>
    </row>
    <row r="95" spans="1:7" ht="28.8" x14ac:dyDescent="0.55000000000000004">
      <c r="A95" s="15"/>
      <c r="B95" s="16"/>
      <c r="C95" s="11"/>
      <c r="D95" s="11"/>
      <c r="E95" s="9">
        <f>+$H$2+(REDA[[#This Row],[QUANTITE]]*REDA[[#This Row],[PRIX UNITAIRE]])</f>
        <v>0</v>
      </c>
      <c r="F95" s="17"/>
      <c r="G95" s="8">
        <f>+SUM(E$9:$E95)-SUM(F$9:$F95)</f>
        <v>0</v>
      </c>
    </row>
    <row r="96" spans="1:7" ht="28.8" x14ac:dyDescent="0.55000000000000004">
      <c r="A96" s="15"/>
      <c r="B96" s="16"/>
      <c r="C96" s="11"/>
      <c r="D96" s="11"/>
      <c r="E96" s="9">
        <f>+$H$2+(REDA[[#This Row],[QUANTITE]]*REDA[[#This Row],[PRIX UNITAIRE]])</f>
        <v>0</v>
      </c>
      <c r="F96" s="17"/>
      <c r="G96" s="8">
        <f>+SUM(E$9:$E96)-SUM(F$9:$F96)</f>
        <v>0</v>
      </c>
    </row>
    <row r="97" spans="1:7" ht="28.8" x14ac:dyDescent="0.55000000000000004">
      <c r="A97" s="15"/>
      <c r="B97" s="16"/>
      <c r="C97" s="11"/>
      <c r="D97" s="11"/>
      <c r="E97" s="9">
        <f>+$H$2+(REDA[[#This Row],[QUANTITE]]*REDA[[#This Row],[PRIX UNITAIRE]])</f>
        <v>0</v>
      </c>
      <c r="F97" s="17"/>
      <c r="G97" s="8">
        <f>+SUM(E$9:$E97)-SUM(F$9:$F97)</f>
        <v>0</v>
      </c>
    </row>
    <row r="98" spans="1:7" ht="28.8" x14ac:dyDescent="0.55000000000000004">
      <c r="A98" s="15"/>
      <c r="B98" s="16"/>
      <c r="C98" s="11"/>
      <c r="D98" s="11"/>
      <c r="E98" s="9">
        <f>+$H$2+(REDA[[#This Row],[QUANTITE]]*REDA[[#This Row],[PRIX UNITAIRE]])</f>
        <v>0</v>
      </c>
      <c r="F98" s="17"/>
      <c r="G98" s="8">
        <f>+SUM(E$9:$E98)-SUM(F$9:$F98)</f>
        <v>0</v>
      </c>
    </row>
    <row r="99" spans="1:7" ht="28.8" x14ac:dyDescent="0.55000000000000004">
      <c r="A99" s="15"/>
      <c r="B99" s="16"/>
      <c r="C99" s="11"/>
      <c r="D99" s="11"/>
      <c r="E99" s="9">
        <f>+$H$2+(REDA[[#This Row],[QUANTITE]]*REDA[[#This Row],[PRIX UNITAIRE]])</f>
        <v>0</v>
      </c>
      <c r="F99" s="17"/>
      <c r="G99" s="8">
        <f>+SUM(E$9:$E99)-SUM(F$9:$F99)</f>
        <v>0</v>
      </c>
    </row>
    <row r="100" spans="1:7" ht="28.8" x14ac:dyDescent="0.55000000000000004">
      <c r="A100" s="15"/>
      <c r="B100" s="16"/>
      <c r="C100" s="11"/>
      <c r="D100" s="11"/>
      <c r="E100" s="9">
        <f>+$H$2+(REDA[[#This Row],[QUANTITE]]*REDA[[#This Row],[PRIX UNITAIRE]])</f>
        <v>0</v>
      </c>
      <c r="F100" s="17"/>
      <c r="G100" s="8">
        <f>+SUM(E$9:$E100)-SUM(F$9:$F100)</f>
        <v>0</v>
      </c>
    </row>
    <row r="101" spans="1:7" ht="28.8" x14ac:dyDescent="0.55000000000000004">
      <c r="A101" s="15"/>
      <c r="B101" s="16"/>
      <c r="C101" s="11"/>
      <c r="D101" s="11"/>
      <c r="E101" s="9">
        <f>+$H$2+(REDA[[#This Row],[QUANTITE]]*REDA[[#This Row],[PRIX UNITAIRE]])</f>
        <v>0</v>
      </c>
      <c r="F101" s="17"/>
      <c r="G101" s="8">
        <f>+SUM(E$9:$E101)-SUM(F$9:$F101)</f>
        <v>0</v>
      </c>
    </row>
    <row r="102" spans="1:7" ht="28.8" x14ac:dyDescent="0.55000000000000004">
      <c r="A102" s="15"/>
      <c r="B102" s="16"/>
      <c r="C102" s="11"/>
      <c r="D102" s="11"/>
      <c r="E102" s="9">
        <f>+$H$2+(REDA[[#This Row],[QUANTITE]]*REDA[[#This Row],[PRIX UNITAIRE]])</f>
        <v>0</v>
      </c>
      <c r="F102" s="17"/>
      <c r="G102" s="8">
        <f>+SUM(E$9:$E102)-SUM(F$9:$F102)</f>
        <v>0</v>
      </c>
    </row>
    <row r="103" spans="1:7" ht="28.8" x14ac:dyDescent="0.55000000000000004">
      <c r="A103" s="15"/>
      <c r="B103" s="16"/>
      <c r="C103" s="11"/>
      <c r="D103" s="11"/>
      <c r="E103" s="9">
        <f>+$H$2+(REDA[[#This Row],[QUANTITE]]*REDA[[#This Row],[PRIX UNITAIRE]])</f>
        <v>0</v>
      </c>
      <c r="F103" s="17"/>
      <c r="G103" s="8">
        <f>+SUM(E$9:$E103)-SUM(F$9:$F103)</f>
        <v>0</v>
      </c>
    </row>
    <row r="104" spans="1:7" ht="28.8" x14ac:dyDescent="0.55000000000000004">
      <c r="A104" s="15"/>
      <c r="B104" s="16"/>
      <c r="C104" s="11"/>
      <c r="D104" s="11"/>
      <c r="E104" s="9">
        <f>+$H$2+(REDA[[#This Row],[QUANTITE]]*REDA[[#This Row],[PRIX UNITAIRE]])</f>
        <v>0</v>
      </c>
      <c r="F104" s="17"/>
      <c r="G104" s="8">
        <f>+SUM(E$9:$E104)-SUM(F$9:$F104)</f>
        <v>0</v>
      </c>
    </row>
    <row r="105" spans="1:7" ht="28.8" x14ac:dyDescent="0.55000000000000004">
      <c r="A105" s="15"/>
      <c r="B105" s="16"/>
      <c r="C105" s="11"/>
      <c r="D105" s="11"/>
      <c r="E105" s="9">
        <f>+$H$2+(REDA[[#This Row],[QUANTITE]]*REDA[[#This Row],[PRIX UNITAIRE]])</f>
        <v>0</v>
      </c>
      <c r="F105" s="17"/>
      <c r="G105" s="8">
        <f>+SUM(E$9:$E105)-SUM(F$9:$F105)</f>
        <v>0</v>
      </c>
    </row>
    <row r="106" spans="1:7" ht="28.8" x14ac:dyDescent="0.55000000000000004">
      <c r="A106" s="15"/>
      <c r="B106" s="16"/>
      <c r="C106" s="11"/>
      <c r="D106" s="11"/>
      <c r="E106" s="9">
        <f>+$H$2+(REDA[[#This Row],[QUANTITE]]*REDA[[#This Row],[PRIX UNITAIRE]])</f>
        <v>0</v>
      </c>
      <c r="F106" s="17"/>
      <c r="G106" s="8">
        <f>+SUM(E$9:$E106)-SUM(F$9:$F106)</f>
        <v>0</v>
      </c>
    </row>
    <row r="107" spans="1:7" ht="28.8" x14ac:dyDescent="0.55000000000000004">
      <c r="A107" s="15"/>
      <c r="B107" s="13"/>
      <c r="C107" s="11"/>
      <c r="D107" s="11"/>
      <c r="E107" s="9">
        <f>+$H$2+(REDA[[#This Row],[QUANTITE]]*REDA[[#This Row],[PRIX UNITAIRE]])</f>
        <v>0</v>
      </c>
      <c r="F107" s="17"/>
      <c r="G107" s="8">
        <f>+SUM(E$9:$E107)-SUM(F$9:$F107)</f>
        <v>0</v>
      </c>
    </row>
    <row r="108" spans="1:7" ht="28.8" x14ac:dyDescent="0.55000000000000004">
      <c r="A108" s="15"/>
      <c r="B108" s="16"/>
      <c r="C108" s="11"/>
      <c r="D108" s="11"/>
      <c r="E108" s="9">
        <f>+$H$2+(REDA[[#This Row],[QUANTITE]]*REDA[[#This Row],[PRIX UNITAIRE]])</f>
        <v>0</v>
      </c>
      <c r="F108" s="17"/>
      <c r="G108" s="8">
        <f>+SUM(E$9:$E108)-SUM(F$9:$F108)</f>
        <v>0</v>
      </c>
    </row>
    <row r="109" spans="1:7" ht="28.8" x14ac:dyDescent="0.55000000000000004">
      <c r="A109" s="15"/>
      <c r="B109" s="16"/>
      <c r="C109" s="11"/>
      <c r="D109" s="11"/>
      <c r="E109" s="9">
        <f>+$H$2+(REDA[[#This Row],[QUANTITE]]*REDA[[#This Row],[PRIX UNITAIRE]])</f>
        <v>0</v>
      </c>
      <c r="F109" s="17"/>
      <c r="G109" s="8">
        <f>+SUM(E$9:$E109)-SUM(F$9:$F109)</f>
        <v>0</v>
      </c>
    </row>
    <row r="110" spans="1:7" ht="28.8" x14ac:dyDescent="0.55000000000000004">
      <c r="A110" s="15"/>
      <c r="B110" s="16"/>
      <c r="C110" s="11"/>
      <c r="D110" s="11"/>
      <c r="E110" s="9">
        <f>+$H$2+(REDA[[#This Row],[QUANTITE]]*REDA[[#This Row],[PRIX UNITAIRE]])</f>
        <v>0</v>
      </c>
      <c r="F110" s="17"/>
      <c r="G110" s="8">
        <f>+SUM(E$9:$E110)-SUM(F$9:$F110)</f>
        <v>0</v>
      </c>
    </row>
    <row r="111" spans="1:7" ht="28.8" x14ac:dyDescent="0.55000000000000004">
      <c r="A111" s="15"/>
      <c r="B111" s="16"/>
      <c r="C111" s="11"/>
      <c r="D111" s="11"/>
      <c r="E111" s="9">
        <f>+$H$2+(REDA[[#This Row],[QUANTITE]]*REDA[[#This Row],[PRIX UNITAIRE]])</f>
        <v>0</v>
      </c>
      <c r="F111" s="17"/>
      <c r="G111" s="8">
        <f>+SUM(E$9:$E111)-SUM(F$9:$F111)</f>
        <v>0</v>
      </c>
    </row>
    <row r="112" spans="1:7" ht="28.8" x14ac:dyDescent="0.55000000000000004">
      <c r="A112" s="15"/>
      <c r="B112" s="16"/>
      <c r="C112" s="11"/>
      <c r="D112" s="11"/>
      <c r="E112" s="9">
        <f>+$H$2+(REDA[[#This Row],[QUANTITE]]*REDA[[#This Row],[PRIX UNITAIRE]])</f>
        <v>0</v>
      </c>
      <c r="F112" s="17"/>
      <c r="G112" s="8">
        <f>+SUM(E$9:$E112)-SUM(F$9:$F112)</f>
        <v>0</v>
      </c>
    </row>
    <row r="113" spans="1:7" ht="28.8" x14ac:dyDescent="0.55000000000000004">
      <c r="A113" s="15"/>
      <c r="B113" s="16"/>
      <c r="C113" s="11"/>
      <c r="D113" s="11"/>
      <c r="E113" s="9">
        <f>+$H$2+(REDA[[#This Row],[QUANTITE]]*REDA[[#This Row],[PRIX UNITAIRE]])</f>
        <v>0</v>
      </c>
      <c r="F113" s="17"/>
      <c r="G113" s="8">
        <f>+SUM(E$9:$E113)-SUM(F$9:$F113)</f>
        <v>0</v>
      </c>
    </row>
    <row r="114" spans="1:7" ht="28.8" x14ac:dyDescent="0.55000000000000004">
      <c r="A114" s="15"/>
      <c r="B114" s="16"/>
      <c r="C114" s="11"/>
      <c r="D114" s="11"/>
      <c r="E114" s="9">
        <f>+$H$2+(REDA[[#This Row],[QUANTITE]]*REDA[[#This Row],[PRIX UNITAIRE]])</f>
        <v>0</v>
      </c>
      <c r="F114" s="17"/>
      <c r="G114" s="8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+$H$2+(REDA[[#This Row],[QUANTITE]]*REDA[[#This Row],[PRIX UNITAIRE]])</f>
        <v>0</v>
      </c>
      <c r="F115" s="14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+$H$2+(REDA[[#This Row],[QUANTITE]]*REDA[[#This Row],[PRIX UNITAIRE]])</f>
        <v>0</v>
      </c>
      <c r="F116" s="14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+$H$2+(REDA[[#This Row],[QUANTITE]]*REDA[[#This Row],[PRIX UNITAIRE]])</f>
        <v>0</v>
      </c>
      <c r="F117" s="14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+$H$2+(REDA[[#This Row],[QUANTITE]]*REDA[[#This Row],[PRIX UNITAIRE]])</f>
        <v>0</v>
      </c>
      <c r="F118" s="14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+$H$2+(REDA[[#This Row],[QUANTITE]]*REDA[[#This Row],[PRIX UNITAIRE]])</f>
        <v>0</v>
      </c>
      <c r="F119" s="14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+$H$2+(REDA[[#This Row],[QUANTITE]]*REDA[[#This Row],[PRIX UNITAIRE]])</f>
        <v>0</v>
      </c>
      <c r="F120" s="14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+$H$2+(REDA[[#This Row],[QUANTITE]]*REDA[[#This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+$H$2+(REDA[[#This Row],[QUANTITE]]*REDA[[#This Row],[PRIX UNITAIRE]])</f>
        <v>0</v>
      </c>
      <c r="F122" s="14"/>
      <c r="G122" s="6">
        <f>+SUM(E$9:$E122)-SUM(F$9:$F122)</f>
        <v>0</v>
      </c>
    </row>
    <row r="123" spans="1:7" ht="28.8" x14ac:dyDescent="0.55000000000000004">
      <c r="A123" s="12"/>
      <c r="B123" s="13"/>
      <c r="C123" s="10"/>
      <c r="D123" s="10"/>
      <c r="E123" s="7">
        <f>+$H$2+(REDA[[#This Row],[QUANTITE]]*REDA[[#This Row],[PRIX UNITAIRE]])</f>
        <v>0</v>
      </c>
      <c r="F123" s="14"/>
      <c r="G123" s="6">
        <f>+SUM(E$9:$E123)-SUM(F$9:$F123)</f>
        <v>0</v>
      </c>
    </row>
    <row r="124" spans="1:7" ht="28.8" x14ac:dyDescent="0.55000000000000004">
      <c r="A124" s="12"/>
      <c r="B124" s="13"/>
      <c r="C124" s="10"/>
      <c r="D124" s="10"/>
      <c r="E124" s="7">
        <f>+$H$2+(REDA[[#This Row],[QUANTITE]]*REDA[[#This Row],[PRIX UNITAIRE]])</f>
        <v>0</v>
      </c>
      <c r="F124" s="14"/>
      <c r="G124" s="6">
        <f>+SUM(E$9:$E124)-SUM(F$9:$F124)</f>
        <v>0</v>
      </c>
    </row>
    <row r="125" spans="1:7" ht="28.8" x14ac:dyDescent="0.55000000000000004">
      <c r="A125" s="12"/>
      <c r="B125" s="13"/>
      <c r="C125" s="10"/>
      <c r="D125" s="10"/>
      <c r="E125" s="7">
        <f>+$H$2+(REDA[[#This Row],[QUANTITE]]*REDA[[#This Row],[PRIX UNITAIRE]])</f>
        <v>0</v>
      </c>
      <c r="F125" s="14"/>
      <c r="G125" s="6">
        <f>+SUM(E$9:$E125)-SUM(F$9:$F125)</f>
        <v>0</v>
      </c>
    </row>
    <row r="126" spans="1:7" ht="28.8" x14ac:dyDescent="0.55000000000000004">
      <c r="A126" s="12"/>
      <c r="B126" s="13"/>
      <c r="C126" s="10"/>
      <c r="D126" s="10"/>
      <c r="E126" s="7">
        <f>+$H$2+(REDA[[#This Row],[QUANTITE]]*REDA[[#This Row],[PRIX UNITAIRE]])</f>
        <v>0</v>
      </c>
      <c r="F126" s="14"/>
      <c r="G126" s="6">
        <f>+SUM(E$9:$E126)-SUM(F$9:$F126)</f>
        <v>0</v>
      </c>
    </row>
    <row r="127" spans="1:7" ht="28.8" x14ac:dyDescent="0.55000000000000004">
      <c r="A127" s="12"/>
      <c r="B127" s="13"/>
      <c r="C127" s="10"/>
      <c r="D127" s="10"/>
      <c r="E127" s="7">
        <f>+$H$2+(REDA[[#This Row],[QUANTITE]]*REDA[[#This Row],[PRIX UNITAIRE]])</f>
        <v>0</v>
      </c>
      <c r="F127" s="14"/>
      <c r="G127" s="6">
        <f>+SUM(E$9:$E127)-SUM(F$9:$F127)</f>
        <v>0</v>
      </c>
    </row>
    <row r="128" spans="1:7" ht="28.8" x14ac:dyDescent="0.55000000000000004">
      <c r="A128" s="12"/>
      <c r="B128" s="13"/>
      <c r="C128" s="10"/>
      <c r="D128" s="10"/>
      <c r="E128" s="7">
        <f>+$H$2+(REDA[[#This Row],[QUANTITE]]*REDA[[#This Row],[PRIX UNITAIRE]])</f>
        <v>0</v>
      </c>
      <c r="F128" s="14"/>
      <c r="G128" s="6">
        <f>+SUM(E$9:$E128)-SUM(F$9:$F128)</f>
        <v>0</v>
      </c>
    </row>
    <row r="129" spans="1:7" ht="28.8" x14ac:dyDescent="0.55000000000000004">
      <c r="A129" s="12"/>
      <c r="B129" s="13"/>
      <c r="C129" s="10"/>
      <c r="D129" s="10"/>
      <c r="E129" s="7">
        <f>+$H$2+(REDA[[#This Row],[QUANTITE]]*REDA[[#This Row],[PRIX UNITAIRE]])</f>
        <v>0</v>
      </c>
      <c r="F129" s="14"/>
      <c r="G129" s="6">
        <f>+SUM(E$9:$E129)-SUM(F$9:$F129)</f>
        <v>0</v>
      </c>
    </row>
    <row r="130" spans="1:7" ht="28.8" x14ac:dyDescent="0.55000000000000004">
      <c r="A130" s="12"/>
      <c r="B130" s="13"/>
      <c r="C130" s="10"/>
      <c r="D130" s="10"/>
      <c r="E130" s="7">
        <f>+$H$2+(REDA[[#This Row],[QUANTITE]]*REDA[[#This Row],[PRIX UNITAIRE]])</f>
        <v>0</v>
      </c>
      <c r="F130" s="14"/>
      <c r="G130" s="6">
        <f>+SUM(E$9:$E130)-SUM(F$9:$F130)</f>
        <v>0</v>
      </c>
    </row>
    <row r="131" spans="1:7" ht="28.8" x14ac:dyDescent="0.55000000000000004">
      <c r="A131" s="12"/>
      <c r="B131" s="13"/>
      <c r="C131" s="10"/>
      <c r="D131" s="10"/>
      <c r="E131" s="7">
        <f>+$H$2+(REDA[[#This Row],[QUANTITE]]*REDA[[#This Row],[PRIX UNITAIRE]])</f>
        <v>0</v>
      </c>
      <c r="F131" s="14"/>
      <c r="G131" s="6">
        <f>+SUM(E$9:$E131)-SUM(F$9:$F131)</f>
        <v>0</v>
      </c>
    </row>
    <row r="132" spans="1:7" ht="28.8" x14ac:dyDescent="0.55000000000000004">
      <c r="A132" s="12"/>
      <c r="B132" s="13"/>
      <c r="C132" s="10"/>
      <c r="D132" s="10"/>
      <c r="E132" s="7">
        <f>+$H$2+(REDA[[#This Row],[QUANTITE]]*REDA[[#This Row],[PRIX UNITAIRE]])</f>
        <v>0</v>
      </c>
      <c r="F132" s="14"/>
      <c r="G132" s="6">
        <f>+SUM(E$9:$E132)-SUM(F$9:$F132)</f>
        <v>0</v>
      </c>
    </row>
    <row r="133" spans="1:7" ht="28.8" x14ac:dyDescent="0.55000000000000004">
      <c r="A133" s="12"/>
      <c r="B133" s="13"/>
      <c r="C133" s="10"/>
      <c r="D133" s="10"/>
      <c r="E133" s="7">
        <f>+$H$2+(REDA[[#This Row],[QUANTITE]]*REDA[[#This Row],[PRIX UNITAIRE]])</f>
        <v>0</v>
      </c>
      <c r="F133" s="14"/>
      <c r="G133" s="6">
        <f>+SUM(E$9:$E133)-SUM(F$9:$F133)</f>
        <v>0</v>
      </c>
    </row>
    <row r="134" spans="1:7" ht="28.8" x14ac:dyDescent="0.55000000000000004">
      <c r="A134" s="12"/>
      <c r="B134" s="13"/>
      <c r="C134" s="10"/>
      <c r="D134" s="10"/>
      <c r="E134" s="7">
        <f>+$H$2+(REDA[[#This Row],[QUANTITE]]*REDA[[#This Row],[PRIX UNITAIRE]])</f>
        <v>0</v>
      </c>
      <c r="F134" s="14"/>
      <c r="G134" s="6">
        <f>+SUM(E$9:$E134)-SUM(F$9:$F134)</f>
        <v>0</v>
      </c>
    </row>
    <row r="135" spans="1:7" ht="28.8" x14ac:dyDescent="0.55000000000000004">
      <c r="A135" s="12"/>
      <c r="B135" s="13"/>
      <c r="C135" s="10"/>
      <c r="D135" s="10"/>
      <c r="E135" s="7">
        <f>+$H$2+(REDA[[#This Row],[QUANTITE]]*REDA[[#This Row],[PRIX UNITAIRE]])</f>
        <v>0</v>
      </c>
      <c r="F135" s="14"/>
      <c r="G135" s="6">
        <f>+SUM(E$9:$E135)-SUM(F$9:$F135)</f>
        <v>0</v>
      </c>
    </row>
    <row r="136" spans="1:7" ht="28.8" x14ac:dyDescent="0.55000000000000004">
      <c r="A136" s="12"/>
      <c r="B136" s="13"/>
      <c r="C136" s="10"/>
      <c r="D136" s="10"/>
      <c r="E136" s="7">
        <f>+$H$2+(REDA[[#This Row],[QUANTITE]]*REDA[[#This Row],[PRIX UNITAIRE]])</f>
        <v>0</v>
      </c>
      <c r="F136" s="14"/>
      <c r="G136" s="6">
        <f>+SUM(E$9:$E136)-SUM(F$9:$F136)</f>
        <v>0</v>
      </c>
    </row>
    <row r="137" spans="1:7" ht="28.8" x14ac:dyDescent="0.55000000000000004">
      <c r="A137" s="12"/>
      <c r="B137" s="13"/>
      <c r="C137" s="10"/>
      <c r="D137" s="10"/>
      <c r="E137" s="7">
        <f>+$H$2+(REDA[[#This Row],[QUANTITE]]*REDA[[#This Row],[PRIX UNITAIRE]])</f>
        <v>0</v>
      </c>
      <c r="F137" s="14"/>
      <c r="G137" s="6">
        <f>+SUM(E$9:$E137)-SUM(F$9:$F137)</f>
        <v>0</v>
      </c>
    </row>
    <row r="138" spans="1:7" ht="28.8" x14ac:dyDescent="0.55000000000000004">
      <c r="A138" s="12"/>
      <c r="B138" s="13"/>
      <c r="C138" s="10"/>
      <c r="D138" s="10"/>
      <c r="E138" s="7">
        <f>+$H$2+(REDA[[#This Row],[QUANTITE]]*REDA[[#This Row],[PRIX UNITAIRE]])</f>
        <v>0</v>
      </c>
      <c r="F138" s="14"/>
      <c r="G138" s="6">
        <f>+SUM(E$9:$E138)-SUM(F$9:$F138)</f>
        <v>0</v>
      </c>
    </row>
    <row r="139" spans="1:7" ht="28.8" x14ac:dyDescent="0.55000000000000004">
      <c r="A139" s="12"/>
      <c r="B139" s="13"/>
      <c r="C139" s="10"/>
      <c r="D139" s="10"/>
      <c r="E139" s="7">
        <f>+$H$2+(REDA[[#This Row],[QUANTITE]]*REDA[[#This Row],[PRIX UNITAIRE]])</f>
        <v>0</v>
      </c>
      <c r="F139" s="14"/>
      <c r="G139" s="6">
        <f>+SUM(E$9:$E139)-SUM(F$9:$F139)</f>
        <v>0</v>
      </c>
    </row>
    <row r="140" spans="1:7" ht="28.8" x14ac:dyDescent="0.55000000000000004">
      <c r="A140" s="12"/>
      <c r="B140" s="13"/>
      <c r="C140" s="10"/>
      <c r="D140" s="10"/>
      <c r="E140" s="7">
        <f>+$H$2+(REDA[[#This Row],[QUANTITE]]*REDA[[#This Row],[PRIX UNITAIRE]])</f>
        <v>0</v>
      </c>
      <c r="F140" s="14"/>
      <c r="G140" s="6">
        <f>+SUM(E$9:$E140)-SUM(F$9:$F140)</f>
        <v>0</v>
      </c>
    </row>
    <row r="141" spans="1:7" ht="28.8" x14ac:dyDescent="0.55000000000000004">
      <c r="A141" s="12"/>
      <c r="B141" s="13"/>
      <c r="C141" s="10"/>
      <c r="D141" s="10"/>
      <c r="E141" s="7">
        <f>+$H$2+(REDA[[#This Row],[QUANTITE]]*REDA[[#This Row],[PRIX UNITAIRE]])</f>
        <v>0</v>
      </c>
      <c r="F141" s="14"/>
      <c r="G141" s="6">
        <f>+SUM(E$9:$E141)-SUM(F$9:$F141)</f>
        <v>0</v>
      </c>
    </row>
    <row r="142" spans="1:7" ht="28.8" x14ac:dyDescent="0.55000000000000004">
      <c r="A142" s="12"/>
      <c r="B142" s="13"/>
      <c r="C142" s="10"/>
      <c r="D142" s="10"/>
      <c r="E142" s="7">
        <f>+$H$2+(REDA[[#This Row],[QUANTITE]]*REDA[[#This Row],[PRIX UNITAIRE]])</f>
        <v>0</v>
      </c>
      <c r="F142" s="14"/>
      <c r="G142" s="6">
        <f>+SUM(E$9:$E142)-SUM(F$9:$F142)</f>
        <v>0</v>
      </c>
    </row>
    <row r="143" spans="1:7" ht="28.8" x14ac:dyDescent="0.55000000000000004">
      <c r="A143" s="12"/>
      <c r="B143" s="13"/>
      <c r="C143" s="10"/>
      <c r="D143" s="10"/>
      <c r="E143" s="7">
        <f>+$H$2+(REDA[[#This Row],[QUANTITE]]*REDA[[#This Row],[PRIX UNITAIRE]])</f>
        <v>0</v>
      </c>
      <c r="F143" s="14"/>
      <c r="G143" s="6">
        <f>+SUM(E$9:$E143)-SUM(F$9:$F143)</f>
        <v>0</v>
      </c>
    </row>
    <row r="144" spans="1:7" ht="28.8" x14ac:dyDescent="0.55000000000000004">
      <c r="A144" s="12"/>
      <c r="B144" s="13"/>
      <c r="C144" s="10"/>
      <c r="D144" s="10"/>
      <c r="E144" s="7">
        <f>+$H$2+(REDA[[#This Row],[QUANTITE]]*REDA[[#This Row],[PRIX UNITAIRE]])</f>
        <v>0</v>
      </c>
      <c r="F144" s="14"/>
      <c r="G144" s="6">
        <f>+SUM(E$9:$E144)-SUM(F$9:$F144)</f>
        <v>0</v>
      </c>
    </row>
    <row r="145" spans="1:7" ht="28.8" x14ac:dyDescent="0.55000000000000004">
      <c r="A145" s="12"/>
      <c r="B145" s="13"/>
      <c r="C145" s="10"/>
      <c r="D145" s="10"/>
      <c r="E145" s="7">
        <f>+$H$2+(REDA[[#This Row],[QUANTITE]]*REDA[[#This Row],[PRIX UNITAIRE]])</f>
        <v>0</v>
      </c>
      <c r="F145" s="14"/>
      <c r="G145" s="6">
        <f>+SUM(E$9:$E145)-SUM(F$9:$F145)</f>
        <v>0</v>
      </c>
    </row>
    <row r="146" spans="1:7" ht="28.8" x14ac:dyDescent="0.55000000000000004">
      <c r="A146" s="12"/>
      <c r="B146" s="13"/>
      <c r="C146" s="10"/>
      <c r="D146" s="10"/>
      <c r="E146" s="7">
        <f>+$H$2+(REDA[[#This Row],[QUANTITE]]*REDA[[#This Row],[PRIX UNITAIRE]])</f>
        <v>0</v>
      </c>
      <c r="F146" s="14"/>
      <c r="G146" s="6">
        <f>+SUM(E$9:$E146)-SUM(F$9:$F146)</f>
        <v>0</v>
      </c>
    </row>
    <row r="147" spans="1:7" ht="28.8" x14ac:dyDescent="0.55000000000000004">
      <c r="A147" s="12"/>
      <c r="B147" s="13"/>
      <c r="C147" s="10"/>
      <c r="D147" s="10"/>
      <c r="E147" s="7">
        <f>+$H$2+(REDA[[#This Row],[QUANTITE]]*REDA[[#This Row],[PRIX UNITAIRE]])</f>
        <v>0</v>
      </c>
      <c r="F147" s="14"/>
      <c r="G147" s="6">
        <f>+SUM(E$9:$E147)-SUM(F$9:$F147)</f>
        <v>0</v>
      </c>
    </row>
    <row r="148" spans="1:7" ht="28.8" x14ac:dyDescent="0.55000000000000004">
      <c r="A148" s="12"/>
      <c r="B148" s="13"/>
      <c r="C148" s="10"/>
      <c r="D148" s="10"/>
      <c r="E148" s="7">
        <f>+$H$2+(REDA[[#This Row],[QUANTITE]]*REDA[[#This Row],[PRIX UNITAIRE]])</f>
        <v>0</v>
      </c>
      <c r="F148" s="14"/>
      <c r="G148" s="6">
        <f>+SUM(E$9:$E148)-SUM(F$9:$F148)</f>
        <v>0</v>
      </c>
    </row>
    <row r="149" spans="1:7" ht="28.8" x14ac:dyDescent="0.55000000000000004">
      <c r="A149" s="12"/>
      <c r="B149" s="13"/>
      <c r="C149" s="10"/>
      <c r="D149" s="10"/>
      <c r="E149" s="7">
        <f>+$H$2+(REDA[[#This Row],[QUANTITE]]*REDA[[#This Row],[PRIX UNITAIRE]])</f>
        <v>0</v>
      </c>
      <c r="F149" s="14"/>
      <c r="G149" s="6">
        <f>+SUM(E$9:$E149)-SUM(F$9:$F149)</f>
        <v>0</v>
      </c>
    </row>
    <row r="150" spans="1:7" ht="28.8" x14ac:dyDescent="0.55000000000000004">
      <c r="A150" s="12"/>
      <c r="B150" s="13"/>
      <c r="C150" s="10"/>
      <c r="D150" s="10"/>
      <c r="E150" s="7">
        <f>+$H$2+(REDA[[#This Row],[QUANTITE]]*REDA[[#This Row],[PRIX UNITAIRE]])</f>
        <v>0</v>
      </c>
      <c r="F150" s="14"/>
      <c r="G150" s="6">
        <f>+SUM(E$9:$E150)-SUM(F$9:$F150)</f>
        <v>0</v>
      </c>
    </row>
    <row r="151" spans="1:7" ht="28.8" x14ac:dyDescent="0.55000000000000004">
      <c r="A151" s="12"/>
      <c r="B151" s="13"/>
      <c r="C151" s="10"/>
      <c r="D151" s="10"/>
      <c r="E151" s="7">
        <f>+$H$2+(REDA[[#This Row],[QUANTITE]]*REDA[[#This Row],[PRIX UNITAIRE]])</f>
        <v>0</v>
      </c>
      <c r="F151" s="14"/>
      <c r="G151" s="6">
        <f>+SUM(E$9:$E151)-SUM(F$9:$F151)</f>
        <v>0</v>
      </c>
    </row>
    <row r="152" spans="1:7" ht="28.8" x14ac:dyDescent="0.55000000000000004">
      <c r="A152" s="12"/>
      <c r="B152" s="13"/>
      <c r="C152" s="10"/>
      <c r="D152" s="10"/>
      <c r="E152" s="7">
        <f>+$H$2+(REDA[[#This Row],[QUANTITE]]*REDA[[#This Row],[PRIX UNITAIRE]])</f>
        <v>0</v>
      </c>
      <c r="F152" s="14"/>
      <c r="G152" s="6">
        <f>+SUM(E$9:$E152)-SUM(F$9:$F152)</f>
        <v>0</v>
      </c>
    </row>
    <row r="153" spans="1:7" ht="28.8" x14ac:dyDescent="0.55000000000000004">
      <c r="A153" s="12"/>
      <c r="B153" s="13"/>
      <c r="C153" s="10"/>
      <c r="D153" s="10"/>
      <c r="E153" s="7">
        <f>+$H$2+(REDA[[#This Row],[QUANTITE]]*REDA[[#This Row],[PRIX UNITAIRE]])</f>
        <v>0</v>
      </c>
      <c r="F153" s="14"/>
      <c r="G153" s="6">
        <f>+SUM(E$9:$E153)-SUM(F$9:$F153)</f>
        <v>0</v>
      </c>
    </row>
    <row r="154" spans="1:7" ht="28.8" x14ac:dyDescent="0.55000000000000004">
      <c r="A154" s="12"/>
      <c r="B154" s="13"/>
      <c r="C154" s="10"/>
      <c r="D154" s="10"/>
      <c r="E154" s="7">
        <f>+$H$2+(REDA[[#This Row],[QUANTITE]]*REDA[[#This Row],[PRIX UNITAIRE]])</f>
        <v>0</v>
      </c>
      <c r="F154" s="14"/>
      <c r="G154" s="6">
        <f>+SUM(E$9:$E154)-SUM(F$9:$F154)</f>
        <v>0</v>
      </c>
    </row>
    <row r="155" spans="1:7" ht="28.8" x14ac:dyDescent="0.55000000000000004">
      <c r="A155" s="12"/>
      <c r="B155" s="13"/>
      <c r="C155" s="10"/>
      <c r="D155" s="10"/>
      <c r="E155" s="7">
        <f>+$H$2+(REDA[[#This Row],[QUANTITE]]*REDA[[#This Row],[PRIX UNITAIRE]])</f>
        <v>0</v>
      </c>
      <c r="F155" s="14"/>
      <c r="G155" s="6">
        <f>+SUM(E$9:$E155)-SUM(F$9:$F155)</f>
        <v>0</v>
      </c>
    </row>
    <row r="156" spans="1:7" ht="28.8" x14ac:dyDescent="0.55000000000000004">
      <c r="A156" s="12"/>
      <c r="B156" s="13"/>
      <c r="C156" s="10"/>
      <c r="D156" s="10"/>
      <c r="E156" s="7">
        <f>+$H$2+(REDA[[#This Row],[QUANTITE]]*REDA[[#This Row],[PRIX UNITAIRE]])</f>
        <v>0</v>
      </c>
      <c r="F156" s="14"/>
      <c r="G156" s="6">
        <f>+SUM(E$9:$E156)-SUM(F$9:$F156)</f>
        <v>0</v>
      </c>
    </row>
    <row r="157" spans="1:7" ht="28.8" x14ac:dyDescent="0.55000000000000004">
      <c r="A157" s="12"/>
      <c r="B157" s="13"/>
      <c r="C157" s="10"/>
      <c r="D157" s="10"/>
      <c r="E157" s="7">
        <f>+$H$2+(REDA[[#This Row],[QUANTITE]]*REDA[[#This Row],[PRIX UNITAIRE]])</f>
        <v>0</v>
      </c>
      <c r="F157" s="14"/>
      <c r="G157" s="6">
        <f>+SUM(E$9:$E157)-SUM(F$9:$F157)</f>
        <v>0</v>
      </c>
    </row>
    <row r="158" spans="1:7" ht="28.8" x14ac:dyDescent="0.55000000000000004">
      <c r="A158" s="12"/>
      <c r="B158" s="13"/>
      <c r="C158" s="10"/>
      <c r="D158" s="10"/>
      <c r="E158" s="7">
        <f>+$H$2+(REDA[[#This Row],[QUANTITE]]*REDA[[#This Row],[PRIX UNITAIRE]])</f>
        <v>0</v>
      </c>
      <c r="F158" s="14"/>
      <c r="G158" s="6">
        <f>+SUM(E$9:$E158)-SUM(F$9:$F158)</f>
        <v>0</v>
      </c>
    </row>
    <row r="159" spans="1:7" ht="28.8" x14ac:dyDescent="0.55000000000000004">
      <c r="A159" s="12"/>
      <c r="B159" s="13"/>
      <c r="C159" s="10"/>
      <c r="D159" s="10"/>
      <c r="E159" s="7">
        <f>+$H$2+(REDA[[#This Row],[QUANTITE]]*REDA[[#This Row],[PRIX UNITAIRE]])</f>
        <v>0</v>
      </c>
      <c r="F159" s="14"/>
      <c r="G159" s="6">
        <f>+SUM(E$9:$E159)-SUM(F$9:$F159)</f>
        <v>0</v>
      </c>
    </row>
    <row r="160" spans="1:7" ht="28.8" x14ac:dyDescent="0.55000000000000004">
      <c r="A160" s="12"/>
      <c r="B160" s="13"/>
      <c r="C160" s="10"/>
      <c r="D160" s="10"/>
      <c r="E160" s="7">
        <f>+$H$2+(REDA[[#This Row],[QUANTITE]]*REDA[[#This Row],[PRIX UNITAIRE]])</f>
        <v>0</v>
      </c>
      <c r="F160" s="14"/>
      <c r="G160" s="6">
        <f>+SUM(E$9:$E160)-SUM(F$9:$F160)</f>
        <v>0</v>
      </c>
    </row>
    <row r="161" spans="1:7" ht="28.8" x14ac:dyDescent="0.55000000000000004">
      <c r="A161" s="12"/>
      <c r="B161" s="13"/>
      <c r="C161" s="10"/>
      <c r="D161" s="10"/>
      <c r="E161" s="7">
        <f>+$H$2+(REDA[[#This Row],[QUANTITE]]*REDA[[#This Row],[PRIX UNITAIRE]])</f>
        <v>0</v>
      </c>
      <c r="F161" s="14"/>
      <c r="G161" s="6">
        <f>+SUM(E$9:$E161)-SUM(F$9:$F161)</f>
        <v>0</v>
      </c>
    </row>
    <row r="162" spans="1:7" ht="28.8" x14ac:dyDescent="0.55000000000000004">
      <c r="A162" s="12"/>
      <c r="B162" s="13"/>
      <c r="C162" s="10"/>
      <c r="D162" s="10"/>
      <c r="E162" s="7">
        <f>+$H$2+(REDA[[#This Row],[QUANTITE]]*REDA[[#This Row],[PRIX UNITAIRE]])</f>
        <v>0</v>
      </c>
      <c r="F162" s="14"/>
      <c r="G162" s="6">
        <f>+SUM(E$9:$E162)-SUM(F$9:$F162)</f>
        <v>0</v>
      </c>
    </row>
    <row r="163" spans="1:7" ht="28.8" x14ac:dyDescent="0.55000000000000004">
      <c r="A163" s="12"/>
      <c r="B163" s="13"/>
      <c r="C163" s="10"/>
      <c r="D163" s="10"/>
      <c r="E163" s="7">
        <f>+$H$2+(REDA[[#This Row],[QUANTITE]]*REDA[[#This Row],[PRIX UNITAIRE]])</f>
        <v>0</v>
      </c>
      <c r="F163" s="14"/>
      <c r="G163" s="6">
        <f>+SUM(E$9:$E163)-SUM(F$9:$F163)</f>
        <v>0</v>
      </c>
    </row>
    <row r="164" spans="1:7" ht="28.8" x14ac:dyDescent="0.55000000000000004">
      <c r="A164" s="12"/>
      <c r="B164" s="13"/>
      <c r="C164" s="10"/>
      <c r="D164" s="10"/>
      <c r="E164" s="7">
        <f>+$H$2+(REDA[[#This Row],[QUANTITE]]*REDA[[#This Row],[PRIX UNITAIRE]])</f>
        <v>0</v>
      </c>
      <c r="F164" s="14"/>
      <c r="G164" s="6">
        <f>+SUM(E$9:$E164)-SUM(F$9:$F164)</f>
        <v>0</v>
      </c>
    </row>
    <row r="165" spans="1:7" ht="28.8" x14ac:dyDescent="0.55000000000000004">
      <c r="A165" s="12"/>
      <c r="B165" s="13"/>
      <c r="C165" s="10"/>
      <c r="D165" s="10"/>
      <c r="E165" s="7">
        <f>+$H$2+(REDA[[#This Row],[QUANTITE]]*REDA[[#This Row],[PRIX UNITAIRE]])</f>
        <v>0</v>
      </c>
      <c r="F165" s="14"/>
      <c r="G165" s="6">
        <f>+SUM(E$9:$E165)-SUM(F$9:$F165)</f>
        <v>0</v>
      </c>
    </row>
    <row r="166" spans="1:7" ht="28.8" x14ac:dyDescent="0.55000000000000004">
      <c r="A166" s="12"/>
      <c r="B166" s="13"/>
      <c r="C166" s="10"/>
      <c r="D166" s="10"/>
      <c r="E166" s="7">
        <f>+$H$2+(REDA[[#This Row],[QUANTITE]]*REDA[[#This Row],[PRIX UNITAIRE]])</f>
        <v>0</v>
      </c>
      <c r="F166" s="14"/>
      <c r="G166" s="6">
        <f>+SUM(E$9:$E166)-SUM(F$9:$F166)</f>
        <v>0</v>
      </c>
    </row>
    <row r="167" spans="1:7" ht="28.8" x14ac:dyDescent="0.55000000000000004">
      <c r="A167" s="12"/>
      <c r="B167" s="13"/>
      <c r="C167" s="10"/>
      <c r="D167" s="10"/>
      <c r="E167" s="7">
        <f>+$H$2+(REDA[[#This Row],[QUANTITE]]*REDA[[#This Row],[PRIX UNITAIRE]])</f>
        <v>0</v>
      </c>
      <c r="F167" s="14"/>
      <c r="G167" s="6">
        <f>+SUM(E$9:$E167)-SUM(F$9:$F167)</f>
        <v>0</v>
      </c>
    </row>
    <row r="168" spans="1:7" ht="28.8" x14ac:dyDescent="0.55000000000000004">
      <c r="A168" s="12"/>
      <c r="B168" s="13"/>
      <c r="C168" s="10"/>
      <c r="D168" s="10"/>
      <c r="E168" s="7">
        <f>+$H$2+(REDA[[#This Row],[QUANTITE]]*REDA[[#This Row],[PRIX UNITAIRE]])</f>
        <v>0</v>
      </c>
      <c r="F168" s="14"/>
      <c r="G168" s="6">
        <f>+SUM(E$9:$E168)-SUM(F$9:$F168)</f>
        <v>0</v>
      </c>
    </row>
    <row r="169" spans="1:7" ht="28.8" x14ac:dyDescent="0.55000000000000004">
      <c r="A169" s="12"/>
      <c r="B169" s="13"/>
      <c r="C169" s="10"/>
      <c r="D169" s="10"/>
      <c r="E169" s="7">
        <f>+$H$2+(REDA[[#This Row],[QUANTITE]]*REDA[[#This Row],[PRIX UNITAIRE]])</f>
        <v>0</v>
      </c>
      <c r="F169" s="14"/>
      <c r="G169" s="6">
        <f>+SUM(E$9:$E169)-SUM(F$9:$F169)</f>
        <v>0</v>
      </c>
    </row>
    <row r="170" spans="1:7" ht="28.8" x14ac:dyDescent="0.55000000000000004">
      <c r="A170" s="12"/>
      <c r="B170" s="13"/>
      <c r="C170" s="10"/>
      <c r="D170" s="10"/>
      <c r="E170" s="7">
        <f>+$H$2+(REDA[[#This Row],[QUANTITE]]*REDA[[#This Row],[PRIX UNITAIRE]])</f>
        <v>0</v>
      </c>
      <c r="F170" s="14"/>
      <c r="G170" s="6">
        <f>+SUM(E$9:$E170)-SUM(F$9:$F170)</f>
        <v>0</v>
      </c>
    </row>
    <row r="171" spans="1:7" ht="28.8" x14ac:dyDescent="0.55000000000000004">
      <c r="A171" s="12"/>
      <c r="B171" s="13"/>
      <c r="C171" s="10"/>
      <c r="D171" s="10"/>
      <c r="E171" s="7">
        <f>+$H$2+(REDA[[#This Row],[QUANTITE]]*REDA[[#This Row],[PRIX UNITAIRE]])</f>
        <v>0</v>
      </c>
      <c r="F171" s="14"/>
      <c r="G171" s="6">
        <f>+SUM(E$9:$E171)-SUM(F$9:$F171)</f>
        <v>0</v>
      </c>
    </row>
    <row r="172" spans="1:7" ht="28.8" x14ac:dyDescent="0.55000000000000004">
      <c r="A172" s="12"/>
      <c r="B172" s="13"/>
      <c r="C172" s="10"/>
      <c r="D172" s="10"/>
      <c r="E172" s="7">
        <f>+$H$2+(REDA[[#This Row],[QUANTITE]]*REDA[[#This Row],[PRIX UNITAIRE]])</f>
        <v>0</v>
      </c>
      <c r="F172" s="14"/>
      <c r="G172" s="6">
        <f>+SUM(E$9:$E172)-SUM(F$9:$F172)</f>
        <v>0</v>
      </c>
    </row>
    <row r="173" spans="1:7" ht="28.8" x14ac:dyDescent="0.55000000000000004">
      <c r="A173" s="12"/>
      <c r="B173" s="13"/>
      <c r="C173" s="10"/>
      <c r="D173" s="10"/>
      <c r="E173" s="7">
        <f>+$H$2+(REDA[[#This Row],[QUANTITE]]*REDA[[#This Row],[PRIX UNITAIRE]])</f>
        <v>0</v>
      </c>
      <c r="F173" s="14"/>
      <c r="G173" s="6">
        <f>+SUM(E$9:$E173)-SUM(F$9:$F173)</f>
        <v>0</v>
      </c>
    </row>
    <row r="174" spans="1:7" ht="28.8" x14ac:dyDescent="0.55000000000000004">
      <c r="A174" s="12"/>
      <c r="B174" s="13"/>
      <c r="C174" s="10"/>
      <c r="D174" s="10"/>
      <c r="E174" s="7">
        <f>+$H$2+(REDA[[#This Row],[QUANTITE]]*REDA[[#This Row],[PRIX UNITAIRE]])</f>
        <v>0</v>
      </c>
      <c r="F174" s="14"/>
      <c r="G174" s="6">
        <f>+SUM(E$9:$E174)-SUM(F$9:$F174)</f>
        <v>0</v>
      </c>
    </row>
    <row r="175" spans="1:7" ht="28.8" x14ac:dyDescent="0.55000000000000004">
      <c r="A175" s="12"/>
      <c r="B175" s="13"/>
      <c r="C175" s="10"/>
      <c r="D175" s="10"/>
      <c r="E175" s="7">
        <f>+$H$2+(REDA[[#This Row],[QUANTITE]]*REDA[[#This Row],[PRIX UNITAIRE]])</f>
        <v>0</v>
      </c>
      <c r="F175" s="14"/>
      <c r="G175" s="6">
        <f>+SUM(E$9:$E175)-SUM(F$9:$F175)</f>
        <v>0</v>
      </c>
    </row>
    <row r="176" spans="1:7" ht="28.8" x14ac:dyDescent="0.55000000000000004">
      <c r="A176" s="12"/>
      <c r="B176" s="13"/>
      <c r="C176" s="10"/>
      <c r="D176" s="10"/>
      <c r="E176" s="7">
        <f>+$H$2+(REDA[[#This Row],[QUANTITE]]*REDA[[#This Row],[PRIX UNITAIRE]])</f>
        <v>0</v>
      </c>
      <c r="F176" s="14"/>
      <c r="G176" s="6">
        <f>+SUM(E$9:$E176)-SUM(F$9:$F176)</f>
        <v>0</v>
      </c>
    </row>
    <row r="177" spans="1:7" ht="28.8" x14ac:dyDescent="0.55000000000000004">
      <c r="A177" s="12"/>
      <c r="B177" s="13"/>
      <c r="C177" s="10"/>
      <c r="D177" s="10"/>
      <c r="E177" s="7">
        <f>+$H$2+(REDA[[#This Row],[QUANTITE]]*REDA[[#This Row],[PRIX UNITAIRE]])</f>
        <v>0</v>
      </c>
      <c r="F177" s="14"/>
      <c r="G177" s="6">
        <f>+SUM(E$9:$E177)-SUM(F$9:$F177)</f>
        <v>0</v>
      </c>
    </row>
    <row r="178" spans="1:7" ht="28.8" x14ac:dyDescent="0.55000000000000004">
      <c r="A178" s="12"/>
      <c r="B178" s="13"/>
      <c r="C178" s="10"/>
      <c r="D178" s="10"/>
      <c r="E178" s="7">
        <f>+$H$2+(REDA[[#This Row],[QUANTITE]]*REDA[[#This Row],[PRIX UNITAIRE]])</f>
        <v>0</v>
      </c>
      <c r="F178" s="14"/>
      <c r="G178" s="6">
        <f>+SUM(E$9:$E178)-SUM(F$9:$F178)</f>
        <v>0</v>
      </c>
    </row>
    <row r="179" spans="1:7" ht="28.8" x14ac:dyDescent="0.55000000000000004">
      <c r="A179" s="12"/>
      <c r="B179" s="13"/>
      <c r="C179" s="10"/>
      <c r="D179" s="10"/>
      <c r="E179" s="7">
        <f>+$H$2+(REDA[[#This Row],[QUANTITE]]*REDA[[#This Row],[PRIX UNITAIRE]])</f>
        <v>0</v>
      </c>
      <c r="F179" s="14"/>
      <c r="G179" s="6">
        <f>+SUM(E$9:$E179)-SUM(F$9:$F179)</f>
        <v>0</v>
      </c>
    </row>
    <row r="180" spans="1:7" ht="28.8" x14ac:dyDescent="0.55000000000000004">
      <c r="A180" s="12"/>
      <c r="B180" s="13"/>
      <c r="C180" s="10"/>
      <c r="D180" s="10"/>
      <c r="E180" s="7">
        <f>+$H$2+(REDA[[#This Row],[QUANTITE]]*REDA[[#This Row],[PRIX UNITAIRE]])</f>
        <v>0</v>
      </c>
      <c r="F180" s="14"/>
      <c r="G180" s="6">
        <f>+SUM(E$9:$E180)-SUM(F$9:$F180)</f>
        <v>0</v>
      </c>
    </row>
    <row r="181" spans="1:7" ht="28.8" x14ac:dyDescent="0.55000000000000004">
      <c r="A181" s="12"/>
      <c r="B181" s="13"/>
      <c r="C181" s="10"/>
      <c r="D181" s="10"/>
      <c r="E181" s="7">
        <f>+$H$2+(REDA[[#This Row],[QUANTITE]]*REDA[[#This Row],[PRIX UNITAIRE]])</f>
        <v>0</v>
      </c>
      <c r="F181" s="14"/>
      <c r="G181" s="6">
        <f>+SUM(E$9:$E181)-SUM(F$9:$F181)</f>
        <v>0</v>
      </c>
    </row>
    <row r="182" spans="1:7" ht="28.8" x14ac:dyDescent="0.55000000000000004">
      <c r="A182" s="12"/>
      <c r="B182" s="13"/>
      <c r="C182" s="10"/>
      <c r="D182" s="10"/>
      <c r="E182" s="7">
        <f>+$H$2+(REDA[[#This Row],[QUANTITE]]*REDA[[#This Row],[PRIX UNITAIRE]])</f>
        <v>0</v>
      </c>
      <c r="F182" s="14"/>
      <c r="G182" s="6">
        <f>+SUM(E$9:$E182)-SUM(F$9:$F182)</f>
        <v>0</v>
      </c>
    </row>
    <row r="183" spans="1:7" ht="28.8" x14ac:dyDescent="0.55000000000000004">
      <c r="A183" s="12"/>
      <c r="B183" s="13"/>
      <c r="C183" s="10"/>
      <c r="D183" s="10"/>
      <c r="E183" s="7">
        <f>+$H$2+(REDA[[#This Row],[QUANTITE]]*REDA[[#This Row],[PRIX UNITAIRE]])</f>
        <v>0</v>
      </c>
      <c r="F183" s="14"/>
      <c r="G183" s="6">
        <f>+SUM(E$9:$E183)-SUM(F$9:$F183)</f>
        <v>0</v>
      </c>
    </row>
    <row r="184" spans="1:7" ht="28.8" x14ac:dyDescent="0.55000000000000004">
      <c r="A184" s="12"/>
      <c r="B184" s="13"/>
      <c r="C184" s="10"/>
      <c r="D184" s="10"/>
      <c r="E184" s="7">
        <f>+$H$2+(REDA[[#This Row],[QUANTITE]]*REDA[[#This Row],[PRIX UNITAIRE]])</f>
        <v>0</v>
      </c>
      <c r="F184" s="14"/>
      <c r="G184" s="6">
        <f>+SUM(E$9:$E184)-SUM(F$9:$F184)</f>
        <v>0</v>
      </c>
    </row>
    <row r="185" spans="1:7" ht="28.8" x14ac:dyDescent="0.55000000000000004">
      <c r="A185" s="12"/>
      <c r="B185" s="13"/>
      <c r="C185" s="10"/>
      <c r="D185" s="10"/>
      <c r="E185" s="7">
        <f>+$H$2+(REDA[[#This Row],[QUANTITE]]*REDA[[#This Row],[PRIX UNITAIRE]])</f>
        <v>0</v>
      </c>
      <c r="F185" s="14"/>
      <c r="G185" s="6">
        <f>+SUM(E$9:$E185)-SUM(F$9:$F185)</f>
        <v>0</v>
      </c>
    </row>
    <row r="186" spans="1:7" ht="28.8" x14ac:dyDescent="0.55000000000000004">
      <c r="A186" s="12"/>
      <c r="B186" s="13"/>
      <c r="C186" s="10"/>
      <c r="D186" s="10"/>
      <c r="E186" s="7">
        <f>+$H$2+(REDA[[#This Row],[QUANTITE]]*REDA[[#This Row],[PRIX UNITAIRE]])</f>
        <v>0</v>
      </c>
      <c r="F186" s="14"/>
      <c r="G186" s="6">
        <f>+SUM(E$9:$E186)-SUM(F$9:$F186)</f>
        <v>0</v>
      </c>
    </row>
    <row r="187" spans="1:7" ht="28.8" x14ac:dyDescent="0.55000000000000004">
      <c r="A187" s="12"/>
      <c r="B187" s="13"/>
      <c r="C187" s="10"/>
      <c r="D187" s="10"/>
      <c r="E187" s="7">
        <f>+$H$2+(REDA[[#This Row],[QUANTITE]]*REDA[[#This Row],[PRIX UNITAIRE]])</f>
        <v>0</v>
      </c>
      <c r="F187" s="14"/>
      <c r="G187" s="6">
        <f>+SUM(E$9:$E187)-SUM(F$9:$F187)</f>
        <v>0</v>
      </c>
    </row>
    <row r="188" spans="1:7" ht="28.8" x14ac:dyDescent="0.55000000000000004">
      <c r="A188" s="12"/>
      <c r="B188" s="13"/>
      <c r="C188" s="10"/>
      <c r="D188" s="10"/>
      <c r="E188" s="7">
        <f>+$H$2+(REDA[[#This Row],[QUANTITE]]*REDA[[#This Row],[PRIX UNITAIRE]])</f>
        <v>0</v>
      </c>
      <c r="F188" s="14"/>
      <c r="G188" s="6">
        <f>+SUM(E$9:$E188)-SUM(F$9:$F188)</f>
        <v>0</v>
      </c>
    </row>
    <row r="189" spans="1:7" ht="28.8" x14ac:dyDescent="0.55000000000000004">
      <c r="A189" s="12"/>
      <c r="B189" s="13"/>
      <c r="C189" s="10"/>
      <c r="D189" s="10"/>
      <c r="E189" s="7">
        <f>+$H$2+(REDA[[#This Row],[QUANTITE]]*REDA[[#This Row],[PRIX UNITAIRE]])</f>
        <v>0</v>
      </c>
      <c r="F189" s="14"/>
      <c r="G189" s="6">
        <f>+SUM(E$9:$E189)-SUM(F$9:$F189)</f>
        <v>0</v>
      </c>
    </row>
    <row r="190" spans="1:7" ht="28.8" x14ac:dyDescent="0.55000000000000004">
      <c r="A190" s="12"/>
      <c r="B190" s="13"/>
      <c r="C190" s="10"/>
      <c r="D190" s="10"/>
      <c r="E190" s="7">
        <f>+$H$2+(REDA[[#This Row],[QUANTITE]]*REDA[[#This Row],[PRIX UNITAIRE]])</f>
        <v>0</v>
      </c>
      <c r="F190" s="14"/>
      <c r="G190" s="6">
        <f>+SUM(E$9:$E190)-SUM(F$9:$F190)</f>
        <v>0</v>
      </c>
    </row>
    <row r="191" spans="1:7" ht="28.8" x14ac:dyDescent="0.55000000000000004">
      <c r="A191" s="12"/>
      <c r="B191" s="13"/>
      <c r="C191" s="10"/>
      <c r="D191" s="10"/>
      <c r="E191" s="7">
        <f>+$H$2+(REDA[[#This Row],[QUANTITE]]*REDA[[#This Row],[PRIX UNITAIRE]])</f>
        <v>0</v>
      </c>
      <c r="F191" s="14"/>
      <c r="G191" s="6">
        <f>+SUM(E$9:$E191)-SUM(F$9:$F191)</f>
        <v>0</v>
      </c>
    </row>
    <row r="192" spans="1:7" ht="28.8" x14ac:dyDescent="0.55000000000000004">
      <c r="A192" s="12"/>
      <c r="B192" s="13"/>
      <c r="C192" s="10"/>
      <c r="D192" s="10"/>
      <c r="E192" s="7">
        <f>+$H$2+(REDA[[#This Row],[QUANTITE]]*REDA[[#This Row],[PRIX UNITAIRE]])</f>
        <v>0</v>
      </c>
      <c r="F192" s="14"/>
      <c r="G192" s="6">
        <f>+SUM(E$9:$E192)-SUM(F$9:$F192)</f>
        <v>0</v>
      </c>
    </row>
    <row r="193" spans="1:7" ht="28.8" x14ac:dyDescent="0.55000000000000004">
      <c r="A193" s="12"/>
      <c r="B193" s="13"/>
      <c r="C193" s="10"/>
      <c r="D193" s="10"/>
      <c r="E193" s="7">
        <f>+$H$2+(REDA[[#This Row],[QUANTITE]]*REDA[[#This Row],[PRIX UNITAIRE]])</f>
        <v>0</v>
      </c>
      <c r="F193" s="14"/>
      <c r="G193" s="6">
        <f>+SUM(E$9:$E193)-SUM(F$9:$F193)</f>
        <v>0</v>
      </c>
    </row>
    <row r="194" spans="1:7" ht="28.8" x14ac:dyDescent="0.55000000000000004">
      <c r="A194" s="12"/>
      <c r="B194" s="13"/>
      <c r="C194" s="10"/>
      <c r="D194" s="10"/>
      <c r="E194" s="7">
        <f>+$H$2+(REDA[[#This Row],[QUANTITE]]*REDA[[#This Row],[PRIX UNITAIRE]])</f>
        <v>0</v>
      </c>
      <c r="F194" s="14"/>
      <c r="G194" s="6">
        <f>+SUM(E$9:$E194)-SUM(F$9:$F194)</f>
        <v>0</v>
      </c>
    </row>
    <row r="195" spans="1:7" ht="28.8" x14ac:dyDescent="0.55000000000000004">
      <c r="A195" s="12"/>
      <c r="B195" s="13"/>
      <c r="C195" s="10"/>
      <c r="D195" s="10"/>
      <c r="E195" s="7">
        <f>+$H$2+(REDA[[#This Row],[QUANTITE]]*REDA[[#This Row],[PRIX UNITAIRE]])</f>
        <v>0</v>
      </c>
      <c r="F195" s="14"/>
      <c r="G195" s="6">
        <f>+SUM(E$9:$E195)-SUM(F$9:$F195)</f>
        <v>0</v>
      </c>
    </row>
    <row r="196" spans="1:7" ht="28.8" x14ac:dyDescent="0.55000000000000004">
      <c r="A196" s="12"/>
      <c r="B196" s="13"/>
      <c r="C196" s="10"/>
      <c r="D196" s="10"/>
      <c r="E196" s="7">
        <f>+$H$2+(REDA[[#This Row],[QUANTITE]]*REDA[[#This Row],[PRIX UNITAIRE]])</f>
        <v>0</v>
      </c>
      <c r="F196" s="14"/>
      <c r="G196" s="6">
        <f>+SUM(E$9:$E196)-SUM(F$9:$F196)</f>
        <v>0</v>
      </c>
    </row>
    <row r="197" spans="1:7" ht="28.8" x14ac:dyDescent="0.55000000000000004">
      <c r="A197" s="12"/>
      <c r="B197" s="13"/>
      <c r="C197" s="10"/>
      <c r="D197" s="10"/>
      <c r="E197" s="7">
        <f>+$H$2+(REDA[[#This Row],[QUANTITE]]*REDA[[#This Row],[PRIX UNITAIRE]])</f>
        <v>0</v>
      </c>
      <c r="F197" s="14"/>
      <c r="G197" s="6">
        <f>+SUM(E$9:$E197)-SUM(F$9:$F197)</f>
        <v>0</v>
      </c>
    </row>
    <row r="198" spans="1:7" ht="28.8" x14ac:dyDescent="0.55000000000000004">
      <c r="A198" s="12"/>
      <c r="B198" s="13"/>
      <c r="C198" s="10"/>
      <c r="D198" s="10"/>
      <c r="E198" s="7">
        <f>+$H$2+(REDA[[#This Row],[QUANTITE]]*REDA[[#This Row],[PRIX UNITAIRE]])</f>
        <v>0</v>
      </c>
      <c r="F198" s="14"/>
      <c r="G198" s="6">
        <f>+SUM(E$9:$E198)-SUM(F$9:$F198)</f>
        <v>0</v>
      </c>
    </row>
    <row r="199" spans="1:7" ht="28.8" x14ac:dyDescent="0.55000000000000004">
      <c r="A199" s="12"/>
      <c r="B199" s="13"/>
      <c r="C199" s="10"/>
      <c r="D199" s="10"/>
      <c r="E199" s="7">
        <f>+$H$2+(REDA[[#This Row],[QUANTITE]]*REDA[[#This Row],[PRIX UNITAIRE]])</f>
        <v>0</v>
      </c>
      <c r="F199" s="14"/>
      <c r="G199" s="6">
        <f>+SUM(E$9:$E199)-SUM(F$9:$F199)</f>
        <v>0</v>
      </c>
    </row>
    <row r="200" spans="1:7" ht="28.8" x14ac:dyDescent="0.55000000000000004">
      <c r="A200" s="12"/>
      <c r="B200" s="13"/>
      <c r="C200" s="10"/>
      <c r="D200" s="10"/>
      <c r="E200" s="7">
        <f>+$H$2+(REDA[[#This Row],[QUANTITE]]*REDA[[#This Row],[PRIX UNITAIRE]])</f>
        <v>0</v>
      </c>
      <c r="F200" s="14"/>
      <c r="G200" s="6">
        <f>+SUM(E$9:$E200)-SUM(F$9:$F200)</f>
        <v>0</v>
      </c>
    </row>
    <row r="201" spans="1:7" ht="28.8" x14ac:dyDescent="0.55000000000000004">
      <c r="A201" s="12"/>
      <c r="B201" s="13"/>
      <c r="C201" s="10"/>
      <c r="D201" s="10"/>
      <c r="E201" s="7">
        <f>+$H$2+(REDA[[#This Row],[QUANTITE]]*REDA[[#This Row],[PRIX UNITAIRE]])</f>
        <v>0</v>
      </c>
      <c r="F201" s="14"/>
      <c r="G201" s="6">
        <f>+SUM(E$9:$E201)-SUM(F$9:$F201)</f>
        <v>0</v>
      </c>
    </row>
    <row r="202" spans="1:7" ht="28.8" x14ac:dyDescent="0.55000000000000004">
      <c r="A202" s="12"/>
      <c r="B202" s="13"/>
      <c r="C202" s="10"/>
      <c r="D202" s="10"/>
      <c r="E202" s="7">
        <f>+$H$2+(REDA[[#This Row],[QUANTITE]]*REDA[[#This Row],[PRIX UNITAIRE]])</f>
        <v>0</v>
      </c>
      <c r="F202" s="14"/>
      <c r="G202" s="6">
        <f>+SUM(E$9:$E202)-SUM(F$9:$F202)</f>
        <v>0</v>
      </c>
    </row>
    <row r="203" spans="1:7" ht="28.8" x14ac:dyDescent="0.55000000000000004">
      <c r="A203" s="12"/>
      <c r="B203" s="13"/>
      <c r="C203" s="10"/>
      <c r="D203" s="10"/>
      <c r="E203" s="7">
        <f>+$H$2+(REDA[[#This Row],[QUANTITE]]*REDA[[#This Row],[PRIX UNITAIRE]])</f>
        <v>0</v>
      </c>
      <c r="F203" s="14"/>
      <c r="G203" s="6">
        <f>+SUM(E$9:$E203)-SUM(F$9:$F203)</f>
        <v>0</v>
      </c>
    </row>
    <row r="204" spans="1:7" ht="28.8" x14ac:dyDescent="0.55000000000000004">
      <c r="A204" s="12"/>
      <c r="B204" s="13"/>
      <c r="C204" s="10"/>
      <c r="D204" s="10"/>
      <c r="E204" s="7">
        <f>+$H$2+(REDA[[#This Row],[QUANTITE]]*REDA[[#This Row],[PRIX UNITAIRE]])</f>
        <v>0</v>
      </c>
      <c r="F204" s="14"/>
      <c r="G204" s="6">
        <f>+SUM(E$9:$E204)-SUM(F$9:$F204)</f>
        <v>0</v>
      </c>
    </row>
    <row r="205" spans="1:7" ht="28.8" x14ac:dyDescent="0.55000000000000004">
      <c r="A205" s="12"/>
      <c r="B205" s="13"/>
      <c r="C205" s="10"/>
      <c r="D205" s="10"/>
      <c r="E205" s="7">
        <f>+$H$2+(REDA[[#This Row],[QUANTITE]]*REDA[[#This Row],[PRIX UNITAIRE]])</f>
        <v>0</v>
      </c>
      <c r="F205" s="14"/>
      <c r="G205" s="6">
        <f>+SUM(E$9:$E205)-SUM(F$9:$F205)</f>
        <v>0</v>
      </c>
    </row>
    <row r="206" spans="1:7" ht="28.8" x14ac:dyDescent="0.55000000000000004">
      <c r="A206" s="12"/>
      <c r="B206" s="13"/>
      <c r="C206" s="10"/>
      <c r="D206" s="10"/>
      <c r="E206" s="7">
        <f>+$H$2+(REDA[[#This Row],[QUANTITE]]*REDA[[#This Row],[PRIX UNITAIRE]])</f>
        <v>0</v>
      </c>
      <c r="F206" s="14"/>
      <c r="G206" s="6">
        <f>+SUM(E$9:$E206)-SUM(F$9:$F206)</f>
        <v>0</v>
      </c>
    </row>
    <row r="207" spans="1:7" ht="28.8" x14ac:dyDescent="0.55000000000000004">
      <c r="A207" s="12"/>
      <c r="B207" s="13"/>
      <c r="C207" s="10"/>
      <c r="D207" s="10"/>
      <c r="E207" s="7">
        <f>+$H$2+(REDA[[#This Row],[QUANTITE]]*REDA[[#This Row],[PRIX UNITAIRE]])</f>
        <v>0</v>
      </c>
      <c r="F207" s="14"/>
      <c r="G207" s="6">
        <f>+SUM(E$9:$E207)-SUM(F$9:$F207)</f>
        <v>0</v>
      </c>
    </row>
    <row r="208" spans="1:7" ht="28.8" x14ac:dyDescent="0.55000000000000004">
      <c r="A208" s="12"/>
      <c r="B208" s="13"/>
      <c r="C208" s="10"/>
      <c r="D208" s="10"/>
      <c r="E208" s="7">
        <f>+$H$2+(REDA[[#This Row],[QUANTITE]]*REDA[[#This Row],[PRIX UNITAIRE]])</f>
        <v>0</v>
      </c>
      <c r="F208" s="14"/>
      <c r="G208" s="6">
        <f>+SUM(E$9:$E208)-SUM(F$9:$F208)</f>
        <v>0</v>
      </c>
    </row>
    <row r="209" spans="1:7" ht="28.8" x14ac:dyDescent="0.55000000000000004">
      <c r="A209" s="12"/>
      <c r="B209" s="13"/>
      <c r="C209" s="10"/>
      <c r="D209" s="10"/>
      <c r="E209" s="7">
        <f>+$H$2+(REDA[[#This Row],[QUANTITE]]*REDA[[#This Row],[PRIX UNITAIRE]])</f>
        <v>0</v>
      </c>
      <c r="F209" s="14"/>
      <c r="G209" s="6">
        <f>+SUM(E$9:$E209)-SUM(F$9:$F209)</f>
        <v>0</v>
      </c>
    </row>
    <row r="210" spans="1:7" ht="28.8" x14ac:dyDescent="0.55000000000000004">
      <c r="A210" s="12"/>
      <c r="B210" s="13"/>
      <c r="C210" s="10"/>
      <c r="D210" s="10"/>
      <c r="E210" s="7">
        <f>+$H$2+(REDA[[#This Row],[QUANTITE]]*REDA[[#This Row],[PRIX UNITAIRE]])</f>
        <v>0</v>
      </c>
      <c r="F210" s="14"/>
      <c r="G210" s="6">
        <f>+SUM(E$9:$E210)-SUM(F$9:$F210)</f>
        <v>0</v>
      </c>
    </row>
    <row r="211" spans="1:7" ht="28.8" x14ac:dyDescent="0.55000000000000004">
      <c r="A211" s="12"/>
      <c r="B211" s="13"/>
      <c r="C211" s="10"/>
      <c r="D211" s="10"/>
      <c r="E211" s="7">
        <f>+$H$2+(REDA[[#This Row],[QUANTITE]]*REDA[[#This Row],[PRIX UNITAIRE]])</f>
        <v>0</v>
      </c>
      <c r="F211" s="14"/>
      <c r="G211" s="6">
        <f>+SUM(E$9:$E211)-SUM(F$9:$F211)</f>
        <v>0</v>
      </c>
    </row>
    <row r="212" spans="1:7" ht="28.8" x14ac:dyDescent="0.55000000000000004">
      <c r="A212" s="12"/>
      <c r="B212" s="13"/>
      <c r="C212" s="10"/>
      <c r="D212" s="10"/>
      <c r="E212" s="7">
        <f>+$H$2+(REDA[[#This Row],[QUANTITE]]*REDA[[#This Row],[PRIX UNITAIRE]])</f>
        <v>0</v>
      </c>
      <c r="F212" s="14"/>
      <c r="G212" s="6">
        <f>+SUM(E$9:$E212)-SUM(F$9:$F212)</f>
        <v>0</v>
      </c>
    </row>
    <row r="213" spans="1:7" ht="28.8" x14ac:dyDescent="0.55000000000000004">
      <c r="A213" s="12"/>
      <c r="B213" s="13"/>
      <c r="C213" s="10"/>
      <c r="D213" s="10"/>
      <c r="E213" s="7">
        <f>+$H$2+(REDA[[#This Row],[QUANTITE]]*REDA[[#This Row],[PRIX UNITAIRE]])</f>
        <v>0</v>
      </c>
      <c r="F213" s="14"/>
      <c r="G213" s="6">
        <f>+SUM(E$9:$E213)-SUM(F$9:$F213)</f>
        <v>0</v>
      </c>
    </row>
    <row r="214" spans="1:7" ht="28.8" x14ac:dyDescent="0.55000000000000004">
      <c r="A214" s="12"/>
      <c r="B214" s="13"/>
      <c r="C214" s="10"/>
      <c r="D214" s="10"/>
      <c r="E214" s="7">
        <f>+$H$2+(REDA[[#This Row],[QUANTITE]]*REDA[[#This Row],[PRIX UNITAIRE]])</f>
        <v>0</v>
      </c>
      <c r="F214" s="14"/>
      <c r="G214" s="6">
        <f>+SUM(E$9:$E214)-SUM(F$9:$F214)</f>
        <v>0</v>
      </c>
    </row>
    <row r="215" spans="1:7" ht="28.8" x14ac:dyDescent="0.55000000000000004">
      <c r="A215" s="12"/>
      <c r="B215" s="13"/>
      <c r="C215" s="10"/>
      <c r="D215" s="10"/>
      <c r="E215" s="7">
        <f>+$H$2+(REDA[[#This Row],[QUANTITE]]*REDA[[#This Row],[PRIX UNITAIRE]])</f>
        <v>0</v>
      </c>
      <c r="F215" s="14"/>
      <c r="G215" s="6">
        <f>+SUM(E$9:$E215)-SUM(F$9:$F215)</f>
        <v>0</v>
      </c>
    </row>
    <row r="216" spans="1:7" ht="28.8" x14ac:dyDescent="0.55000000000000004">
      <c r="A216" s="12"/>
      <c r="B216" s="13"/>
      <c r="C216" s="10"/>
      <c r="D216" s="10"/>
      <c r="E216" s="7">
        <f>+$H$2+(REDA[[#This Row],[QUANTITE]]*REDA[[#This Row],[PRIX UNITAIRE]])</f>
        <v>0</v>
      </c>
      <c r="F216" s="14"/>
      <c r="G216" s="6">
        <f>+SUM(E$9:$E216)-SUM(F$9:$F216)</f>
        <v>0</v>
      </c>
    </row>
    <row r="217" spans="1:7" ht="28.8" x14ac:dyDescent="0.55000000000000004">
      <c r="A217" s="12"/>
      <c r="B217" s="13"/>
      <c r="C217" s="10"/>
      <c r="D217" s="10"/>
      <c r="E217" s="7">
        <f>+$H$2+(REDA[[#This Row],[QUANTITE]]*REDA[[#This Row],[PRIX UNITAIRE]])</f>
        <v>0</v>
      </c>
      <c r="F217" s="14"/>
      <c r="G217" s="6">
        <f>+SUM(E$9:$E217)-SUM(F$9:$F217)</f>
        <v>0</v>
      </c>
    </row>
    <row r="218" spans="1:7" ht="28.8" x14ac:dyDescent="0.55000000000000004">
      <c r="A218" s="12"/>
      <c r="B218" s="13"/>
      <c r="C218" s="10"/>
      <c r="D218" s="10"/>
      <c r="E218" s="7">
        <f>+$H$2+(REDA[[#This Row],[QUANTITE]]*REDA[[#This Row],[PRIX UNITAIRE]])</f>
        <v>0</v>
      </c>
      <c r="F218" s="14"/>
      <c r="G218" s="6">
        <f>+SUM(E$9:$E218)-SUM(F$9:$F218)</f>
        <v>0</v>
      </c>
    </row>
    <row r="219" spans="1:7" ht="28.8" x14ac:dyDescent="0.55000000000000004">
      <c r="A219" s="12"/>
      <c r="B219" s="13"/>
      <c r="C219" s="10"/>
      <c r="D219" s="10"/>
      <c r="E219" s="7">
        <f>+$H$2+(REDA[[#This Row],[QUANTITE]]*REDA[[#This Row],[PRIX UNITAIRE]])</f>
        <v>0</v>
      </c>
      <c r="F219" s="14"/>
      <c r="G219" s="6">
        <f>+SUM(E$9:$E219)-SUM(F$9:$F219)</f>
        <v>0</v>
      </c>
    </row>
    <row r="220" spans="1:7" ht="28.8" x14ac:dyDescent="0.55000000000000004">
      <c r="A220" s="12"/>
      <c r="B220" s="13"/>
      <c r="C220" s="10"/>
      <c r="D220" s="10"/>
      <c r="E220" s="7">
        <f>+$H$2+(REDA[[#This Row],[QUANTITE]]*REDA[[#This Row],[PRIX UNITAIRE]])</f>
        <v>0</v>
      </c>
      <c r="F220" s="14"/>
      <c r="G220" s="6">
        <f>+SUM(E$9:$E220)-SUM(F$9:$F220)</f>
        <v>0</v>
      </c>
    </row>
    <row r="221" spans="1:7" ht="28.8" x14ac:dyDescent="0.55000000000000004">
      <c r="A221" s="12"/>
      <c r="B221" s="13"/>
      <c r="C221" s="10"/>
      <c r="D221" s="10"/>
      <c r="E221" s="7">
        <f>+$H$2+(REDA[[#This Row],[QUANTITE]]*REDA[[#This Row],[PRIX UNITAIRE]])</f>
        <v>0</v>
      </c>
      <c r="F221" s="14"/>
      <c r="G221" s="6">
        <f>+SUM(E$9:$E221)-SUM(F$9:$F221)</f>
        <v>0</v>
      </c>
    </row>
    <row r="222" spans="1:7" ht="28.8" x14ac:dyDescent="0.55000000000000004">
      <c r="A222" s="12"/>
      <c r="B222" s="13"/>
      <c r="C222" s="10"/>
      <c r="D222" s="10"/>
      <c r="E222" s="7">
        <f>+$H$2+(REDA[[#This Row],[QUANTITE]]*REDA[[#This Row],[PRIX UNITAIRE]])</f>
        <v>0</v>
      </c>
      <c r="F222" s="14"/>
      <c r="G222" s="6">
        <f>+SUM(E$9:$E222)-SUM(F$9:$F222)</f>
        <v>0</v>
      </c>
    </row>
    <row r="223" spans="1:7" ht="28.8" x14ac:dyDescent="0.55000000000000004">
      <c r="A223" s="12"/>
      <c r="B223" s="13"/>
      <c r="C223" s="10"/>
      <c r="D223" s="10"/>
      <c r="E223" s="7">
        <f>+$H$2+(REDA[[#This Row],[QUANTITE]]*REDA[[#This Row],[PRIX UNITAIRE]])</f>
        <v>0</v>
      </c>
      <c r="F223" s="14"/>
      <c r="G223" s="6">
        <f>+SUM(E$9:$E223)-SUM(F$9:$F223)</f>
        <v>0</v>
      </c>
    </row>
    <row r="224" spans="1:7" ht="28.8" x14ac:dyDescent="0.55000000000000004">
      <c r="A224" s="12"/>
      <c r="B224" s="13"/>
      <c r="C224" s="10"/>
      <c r="D224" s="10"/>
      <c r="E224" s="7">
        <f>+$H$2+(REDA[[#This Row],[QUANTITE]]*REDA[[#This Row],[PRIX UNITAIRE]])</f>
        <v>0</v>
      </c>
      <c r="F224" s="14"/>
      <c r="G224" s="6">
        <f>+SUM(E$9:$E224)-SUM(F$9:$F224)</f>
        <v>0</v>
      </c>
    </row>
    <row r="225" spans="1:7" ht="28.8" x14ac:dyDescent="0.55000000000000004">
      <c r="A225" s="12"/>
      <c r="B225" s="13"/>
      <c r="C225" s="10"/>
      <c r="D225" s="10"/>
      <c r="E225" s="7">
        <f>+$H$2+(REDA[[#This Row],[QUANTITE]]*REDA[[#This Row],[PRIX UNITAIRE]])</f>
        <v>0</v>
      </c>
      <c r="F225" s="14"/>
      <c r="G225" s="6">
        <f>+SUM(E$9:$E225)-SUM(F$9:$F225)</f>
        <v>0</v>
      </c>
    </row>
    <row r="226" spans="1:7" ht="28.8" x14ac:dyDescent="0.55000000000000004">
      <c r="A226" s="12"/>
      <c r="B226" s="13"/>
      <c r="C226" s="10"/>
      <c r="D226" s="10"/>
      <c r="E226" s="7">
        <f>+$H$2+(REDA[[#This Row],[QUANTITE]]*REDA[[#This Row],[PRIX UNITAIRE]])</f>
        <v>0</v>
      </c>
      <c r="F226" s="14"/>
      <c r="G226" s="6">
        <f>+SUM(E$9:$E226)-SUM(F$9:$F226)</f>
        <v>0</v>
      </c>
    </row>
    <row r="227" spans="1:7" ht="28.8" x14ac:dyDescent="0.55000000000000004">
      <c r="A227" s="12"/>
      <c r="B227" s="13"/>
      <c r="C227" s="10"/>
      <c r="D227" s="10"/>
      <c r="E227" s="7">
        <f>+$H$2+(REDA[[#This Row],[QUANTITE]]*REDA[[#This Row],[PRIX UNITAIRE]])</f>
        <v>0</v>
      </c>
      <c r="F227" s="14"/>
      <c r="G227" s="6">
        <f>+SUM(E$9:$E227)-SUM(F$9:$F227)</f>
        <v>0</v>
      </c>
    </row>
    <row r="228" spans="1:7" ht="28.8" x14ac:dyDescent="0.55000000000000004">
      <c r="A228" s="12"/>
      <c r="B228" s="13"/>
      <c r="C228" s="10"/>
      <c r="D228" s="10"/>
      <c r="E228" s="7">
        <f>+$H$2+(REDA[[#This Row],[QUANTITE]]*REDA[[#This Row],[PRIX UNITAIRE]])</f>
        <v>0</v>
      </c>
      <c r="F228" s="14"/>
      <c r="G228" s="6">
        <f>+SUM(E$9:$E228)-SUM(F$9:$F228)</f>
        <v>0</v>
      </c>
    </row>
    <row r="229" spans="1:7" ht="28.8" x14ac:dyDescent="0.55000000000000004">
      <c r="A229" s="12"/>
      <c r="B229" s="13"/>
      <c r="C229" s="10"/>
      <c r="D229" s="10"/>
      <c r="E229" s="7">
        <f>+$H$2+(REDA[[#This Row],[QUANTITE]]*REDA[[#This Row],[PRIX UNITAIRE]])</f>
        <v>0</v>
      </c>
      <c r="F229" s="14"/>
      <c r="G229" s="6">
        <f>+SUM(E$9:$E229)-SUM(F$9:$F229)</f>
        <v>0</v>
      </c>
    </row>
    <row r="230" spans="1:7" ht="28.8" x14ac:dyDescent="0.55000000000000004">
      <c r="A230" s="12"/>
      <c r="B230" s="13"/>
      <c r="C230" s="10"/>
      <c r="D230" s="10"/>
      <c r="E230" s="7">
        <f>+$H$2+(REDA[[#This Row],[QUANTITE]]*REDA[[#This Row],[PRIX UNITAIRE]])</f>
        <v>0</v>
      </c>
      <c r="F230" s="14"/>
      <c r="G230" s="6">
        <f>+SUM(E$9:$E230)-SUM(F$9:$F230)</f>
        <v>0</v>
      </c>
    </row>
    <row r="231" spans="1:7" ht="28.8" x14ac:dyDescent="0.55000000000000004">
      <c r="A231" s="12"/>
      <c r="B231" s="13"/>
      <c r="C231" s="10"/>
      <c r="D231" s="10"/>
      <c r="E231" s="7">
        <f>+$H$2+(REDA[[#This Row],[QUANTITE]]*REDA[[#This Row],[PRIX UNITAIRE]])</f>
        <v>0</v>
      </c>
      <c r="F231" s="14"/>
      <c r="G231" s="6">
        <f>+SUM(E$9:$E231)-SUM(F$9:$F231)</f>
        <v>0</v>
      </c>
    </row>
    <row r="232" spans="1:7" ht="28.8" x14ac:dyDescent="0.55000000000000004">
      <c r="A232" s="12"/>
      <c r="B232" s="13"/>
      <c r="C232" s="10"/>
      <c r="D232" s="10"/>
      <c r="E232" s="7">
        <f>+$H$2+(REDA[[#This Row],[QUANTITE]]*REDA[[#This Row],[PRIX UNITAIRE]])</f>
        <v>0</v>
      </c>
      <c r="F232" s="14"/>
      <c r="G232" s="6">
        <f>+SUM(E$9:$E232)-SUM(F$9:$F232)</f>
        <v>0</v>
      </c>
    </row>
    <row r="233" spans="1:7" ht="28.8" x14ac:dyDescent="0.55000000000000004">
      <c r="A233" s="12"/>
      <c r="B233" s="13"/>
      <c r="C233" s="10"/>
      <c r="D233" s="10"/>
      <c r="E233" s="7">
        <f>+$H$2+(REDA[[#This Row],[QUANTITE]]*REDA[[#This Row],[PRIX UNITAIRE]])</f>
        <v>0</v>
      </c>
      <c r="F233" s="14"/>
      <c r="G233" s="6">
        <f>+SUM(E$9:$E233)-SUM(F$9:$F233)</f>
        <v>0</v>
      </c>
    </row>
    <row r="234" spans="1:7" ht="28.8" x14ac:dyDescent="0.55000000000000004">
      <c r="A234" s="12"/>
      <c r="B234" s="13"/>
      <c r="C234" s="10"/>
      <c r="D234" s="10"/>
      <c r="E234" s="7">
        <f>+$H$2+(REDA[[#This Row],[QUANTITE]]*REDA[[#This Row],[PRIX UNITAIRE]])</f>
        <v>0</v>
      </c>
      <c r="F234" s="14"/>
      <c r="G234" s="6">
        <f>+SUM(E$9:$E234)-SUM(F$9:$F234)</f>
        <v>0</v>
      </c>
    </row>
    <row r="235" spans="1:7" ht="28.8" x14ac:dyDescent="0.55000000000000004">
      <c r="A235" s="12"/>
      <c r="B235" s="13"/>
      <c r="C235" s="10"/>
      <c r="D235" s="10"/>
      <c r="E235" s="7">
        <f>+$H$2+(REDA[[#This Row],[QUANTITE]]*REDA[[#This Row],[PRIX UNITAIRE]])</f>
        <v>0</v>
      </c>
      <c r="F235" s="14"/>
      <c r="G235" s="6">
        <f>+SUM(E$9:$E235)-SUM(F$9:$F235)</f>
        <v>0</v>
      </c>
    </row>
    <row r="236" spans="1:7" ht="28.8" x14ac:dyDescent="0.55000000000000004">
      <c r="A236" s="12"/>
      <c r="B236" s="13"/>
      <c r="C236" s="10"/>
      <c r="D236" s="10"/>
      <c r="E236" s="7">
        <f>+$H$2+(REDA[[#This Row],[QUANTITE]]*REDA[[#This Row],[PRIX UNITAIRE]])</f>
        <v>0</v>
      </c>
      <c r="F236" s="14"/>
      <c r="G236" s="6">
        <f>+SUM(E$9:$E236)-SUM(F$9:$F236)</f>
        <v>0</v>
      </c>
    </row>
    <row r="237" spans="1:7" ht="28.8" x14ac:dyDescent="0.55000000000000004">
      <c r="A237" s="12"/>
      <c r="B237" s="13"/>
      <c r="C237" s="10"/>
      <c r="D237" s="10"/>
      <c r="E237" s="7">
        <f>+$H$2+(REDA[[#This Row],[QUANTITE]]*REDA[[#This Row],[PRIX UNITAIRE]])</f>
        <v>0</v>
      </c>
      <c r="F237" s="14"/>
      <c r="G237" s="6">
        <f>+SUM(E$9:$E237)-SUM(F$9:$F237)</f>
        <v>0</v>
      </c>
    </row>
    <row r="238" spans="1:7" ht="28.8" x14ac:dyDescent="0.55000000000000004">
      <c r="A238" s="12"/>
      <c r="B238" s="13"/>
      <c r="C238" s="10"/>
      <c r="D238" s="10"/>
      <c r="E238" s="7">
        <f>+$H$2+(REDA[[#This Row],[QUANTITE]]*REDA[[#This Row],[PRIX UNITAIRE]])</f>
        <v>0</v>
      </c>
      <c r="F238" s="14"/>
      <c r="G238" s="6">
        <f>+SUM(E$9:$E238)-SUM(F$9:$F238)</f>
        <v>0</v>
      </c>
    </row>
    <row r="239" spans="1:7" ht="28.8" x14ac:dyDescent="0.55000000000000004">
      <c r="A239" s="12"/>
      <c r="B239" s="13"/>
      <c r="C239" s="10"/>
      <c r="D239" s="10"/>
      <c r="E239" s="7">
        <f>+$H$2+(REDA[[#This Row],[QUANTITE]]*REDA[[#This Row],[PRIX UNITAIRE]])</f>
        <v>0</v>
      </c>
      <c r="F239" s="14"/>
      <c r="G239" s="6">
        <f>+SUM(E$9:$E239)-SUM(F$9:$F239)</f>
        <v>0</v>
      </c>
    </row>
    <row r="240" spans="1:7" ht="28.8" x14ac:dyDescent="0.55000000000000004">
      <c r="A240" s="12"/>
      <c r="B240" s="13"/>
      <c r="C240" s="10"/>
      <c r="D240" s="10"/>
      <c r="E240" s="7">
        <f>+$H$2+(REDA[[#This Row],[QUANTITE]]*REDA[[#This Row],[PRIX UNITAIRE]])</f>
        <v>0</v>
      </c>
      <c r="F240" s="14"/>
      <c r="G240" s="6">
        <f>+SUM(E$9:$E240)-SUM(F$9:$F240)</f>
        <v>0</v>
      </c>
    </row>
    <row r="241" spans="1:7" ht="28.8" x14ac:dyDescent="0.55000000000000004">
      <c r="A241" s="12"/>
      <c r="B241" s="13"/>
      <c r="C241" s="10"/>
      <c r="D241" s="10"/>
      <c r="E241" s="7">
        <f>+$H$2+(REDA[[#This Row],[QUANTITE]]*REDA[[#This Row],[PRIX UNITAIRE]])</f>
        <v>0</v>
      </c>
      <c r="F241" s="14"/>
      <c r="G241" s="6">
        <f>+SUM(E$9:$E241)-SUM(F$9:$F241)</f>
        <v>0</v>
      </c>
    </row>
    <row r="242" spans="1:7" ht="28.8" x14ac:dyDescent="0.55000000000000004">
      <c r="A242" s="12"/>
      <c r="B242" s="13"/>
      <c r="C242" s="10"/>
      <c r="D242" s="10"/>
      <c r="E242" s="7">
        <f>+$H$2+(REDA[[#This Row],[QUANTITE]]*REDA[[#This Row],[PRIX UNITAIRE]])</f>
        <v>0</v>
      </c>
      <c r="F242" s="14"/>
      <c r="G242" s="6">
        <f>+SUM(E$9:$E242)-SUM(F$9:$F242)</f>
        <v>0</v>
      </c>
    </row>
    <row r="243" spans="1:7" ht="28.8" x14ac:dyDescent="0.55000000000000004">
      <c r="A243" s="12"/>
      <c r="B243" s="13"/>
      <c r="C243" s="10"/>
      <c r="D243" s="10"/>
      <c r="E243" s="7">
        <f>+$H$2+(REDA[[#This Row],[QUANTITE]]*REDA[[#This Row],[PRIX UNITAIRE]])</f>
        <v>0</v>
      </c>
      <c r="F243" s="14"/>
      <c r="G243" s="6">
        <f>+SUM(E$9:$E243)-SUM(F$9:$F243)</f>
        <v>0</v>
      </c>
    </row>
    <row r="244" spans="1:7" ht="28.8" x14ac:dyDescent="0.55000000000000004">
      <c r="A244" s="12"/>
      <c r="B244" s="13"/>
      <c r="C244" s="10"/>
      <c r="D244" s="10"/>
      <c r="E244" s="7">
        <f>+$H$2+(REDA[[#This Row],[QUANTITE]]*REDA[[#This Row],[PRIX UNITAIRE]])</f>
        <v>0</v>
      </c>
      <c r="F244" s="14"/>
      <c r="G244" s="6">
        <f>+SUM(E$9:$E244)-SUM(F$9:$F244)</f>
        <v>0</v>
      </c>
    </row>
    <row r="245" spans="1:7" ht="28.8" x14ac:dyDescent="0.55000000000000004">
      <c r="A245" s="12"/>
      <c r="B245" s="13"/>
      <c r="C245" s="10"/>
      <c r="D245" s="10"/>
      <c r="E245" s="7">
        <f>+$H$2+(REDA[[#This Row],[QUANTITE]]*REDA[[#This Row],[PRIX UNITAIRE]])</f>
        <v>0</v>
      </c>
      <c r="F245" s="14"/>
      <c r="G245" s="6">
        <f>+SUM(E$9:$E245)-SUM(F$9:$F245)</f>
        <v>0</v>
      </c>
    </row>
    <row r="246" spans="1:7" ht="28.8" x14ac:dyDescent="0.55000000000000004">
      <c r="A246" s="12"/>
      <c r="B246" s="13"/>
      <c r="C246" s="10"/>
      <c r="D246" s="10"/>
      <c r="E246" s="7">
        <f>+$H$2+(REDA[[#This Row],[QUANTITE]]*REDA[[#This Row],[PRIX UNITAIRE]])</f>
        <v>0</v>
      </c>
      <c r="F246" s="14"/>
      <c r="G246" s="6">
        <f>+SUM(E$9:$E246)-SUM(F$9:$F246)</f>
        <v>0</v>
      </c>
    </row>
    <row r="247" spans="1:7" ht="28.8" x14ac:dyDescent="0.55000000000000004">
      <c r="A247" s="12"/>
      <c r="B247" s="13"/>
      <c r="C247" s="10"/>
      <c r="D247" s="10"/>
      <c r="E247" s="7">
        <f>+$H$2+(REDA[[#This Row],[QUANTITE]]*REDA[[#This Row],[PRIX UNITAIRE]])</f>
        <v>0</v>
      </c>
      <c r="F247" s="14"/>
      <c r="G247" s="6">
        <f>+SUM(E$9:$E247)-SUM(F$9:$F247)</f>
        <v>0</v>
      </c>
    </row>
    <row r="248" spans="1:7" ht="28.8" x14ac:dyDescent="0.55000000000000004">
      <c r="A248" s="12"/>
      <c r="B248" s="13"/>
      <c r="C248" s="10"/>
      <c r="D248" s="10"/>
      <c r="E248" s="7">
        <f>+$H$2+(REDA[[#This Row],[QUANTITE]]*REDA[[#This Row],[PRIX UNITAIRE]])</f>
        <v>0</v>
      </c>
      <c r="F248" s="14"/>
      <c r="G248" s="6">
        <f>+SUM(E$9:$E248)-SUM(F$9:$F248)</f>
        <v>0</v>
      </c>
    </row>
    <row r="249" spans="1:7" ht="28.8" x14ac:dyDescent="0.55000000000000004">
      <c r="A249" s="12"/>
      <c r="B249" s="13"/>
      <c r="C249" s="10"/>
      <c r="D249" s="10"/>
      <c r="E249" s="7">
        <f>+$H$2+(REDA[[#This Row],[QUANTITE]]*REDA[[#This Row],[PRIX UNITAIRE]])</f>
        <v>0</v>
      </c>
      <c r="F249" s="14"/>
      <c r="G249" s="6">
        <f>+SUM(E$9:$E249)-SUM(F$9:$F249)</f>
        <v>0</v>
      </c>
    </row>
    <row r="250" spans="1:7" ht="28.8" x14ac:dyDescent="0.55000000000000004">
      <c r="A250" s="12"/>
      <c r="B250" s="13"/>
      <c r="C250" s="10"/>
      <c r="D250" s="10"/>
      <c r="E250" s="7">
        <f>+$H$2+(REDA[[#This Row],[QUANTITE]]*REDA[[#This Row],[PRIX UNITAIRE]])</f>
        <v>0</v>
      </c>
      <c r="F250" s="14"/>
      <c r="G250" s="6">
        <f>+SUM(E$9:$E250)-SUM(F$9:$F250)</f>
        <v>0</v>
      </c>
    </row>
    <row r="251" spans="1:7" ht="28.8" x14ac:dyDescent="0.55000000000000004">
      <c r="A251" s="12"/>
      <c r="B251" s="13"/>
      <c r="C251" s="10"/>
      <c r="D251" s="10"/>
      <c r="E251" s="7">
        <f>+$H$2+(REDA[[#This Row],[QUANTITE]]*REDA[[#This Row],[PRIX UNITAIRE]])</f>
        <v>0</v>
      </c>
      <c r="F251" s="14"/>
      <c r="G251" s="6">
        <f>+SUM(E$9:$E251)-SUM(F$9:$F251)</f>
        <v>0</v>
      </c>
    </row>
    <row r="252" spans="1:7" ht="28.8" x14ac:dyDescent="0.55000000000000004">
      <c r="A252" s="12"/>
      <c r="B252" s="13"/>
      <c r="C252" s="10"/>
      <c r="D252" s="10"/>
      <c r="E252" s="7">
        <f>+$H$2+(REDA[[#This Row],[QUANTITE]]*REDA[[#This Row],[PRIX UNITAIRE]])</f>
        <v>0</v>
      </c>
      <c r="F252" s="14"/>
      <c r="G252" s="6">
        <f>+SUM(E$9:$E252)-SUM(F$9:$F252)</f>
        <v>0</v>
      </c>
    </row>
    <row r="253" spans="1:7" ht="28.8" x14ac:dyDescent="0.55000000000000004">
      <c r="A253" s="12"/>
      <c r="B253" s="13"/>
      <c r="C253" s="10"/>
      <c r="D253" s="10"/>
      <c r="E253" s="7">
        <f>+$H$2+(REDA[[#This Row],[QUANTITE]]*REDA[[#This Row],[PRIX UNITAIRE]])</f>
        <v>0</v>
      </c>
      <c r="F253" s="14"/>
      <c r="G253" s="6">
        <f>+SUM(E$9:$E253)-SUM(F$9:$F253)</f>
        <v>0</v>
      </c>
    </row>
    <row r="254" spans="1:7" ht="28.8" x14ac:dyDescent="0.55000000000000004">
      <c r="A254" s="12"/>
      <c r="B254" s="13"/>
      <c r="C254" s="10"/>
      <c r="D254" s="10"/>
      <c r="E254" s="7">
        <f>+$H$2+(REDA[[#This Row],[QUANTITE]]*REDA[[#This Row],[PRIX UNITAIRE]])</f>
        <v>0</v>
      </c>
      <c r="F254" s="14"/>
      <c r="G254" s="6">
        <f>+SUM(E$9:$E254)-SUM(F$9:$F254)</f>
        <v>0</v>
      </c>
    </row>
    <row r="255" spans="1:7" ht="28.8" x14ac:dyDescent="0.55000000000000004">
      <c r="A255" s="12"/>
      <c r="B255" s="13"/>
      <c r="C255" s="10"/>
      <c r="D255" s="10"/>
      <c r="E255" s="7">
        <f>+$H$2+(REDA[[#This Row],[QUANTITE]]*REDA[[#This Row],[PRIX UNITAIRE]])</f>
        <v>0</v>
      </c>
      <c r="F255" s="14"/>
      <c r="G255" s="6">
        <f>+SUM(E$9:$E255)-SUM(F$9:$F255)</f>
        <v>0</v>
      </c>
    </row>
    <row r="256" spans="1:7" ht="28.8" x14ac:dyDescent="0.55000000000000004">
      <c r="A256" s="12"/>
      <c r="B256" s="13"/>
      <c r="C256" s="10"/>
      <c r="D256" s="10"/>
      <c r="E256" s="7">
        <f>+$H$2+(REDA[[#This Row],[QUANTITE]]*REDA[[#This Row],[PRIX UNITAIRE]])</f>
        <v>0</v>
      </c>
      <c r="F256" s="14"/>
      <c r="G256" s="6">
        <f>+SUM(E$9:$E256)-SUM(F$9:$F256)</f>
        <v>0</v>
      </c>
    </row>
    <row r="257" spans="1:7" ht="28.8" x14ac:dyDescent="0.55000000000000004">
      <c r="A257" s="12"/>
      <c r="B257" s="13"/>
      <c r="C257" s="10"/>
      <c r="D257" s="10"/>
      <c r="E257" s="7">
        <f>+$H$2+(REDA[[#This Row],[QUANTITE]]*REDA[[#This Row],[PRIX UNITAIRE]])</f>
        <v>0</v>
      </c>
      <c r="F257" s="14"/>
      <c r="G257" s="6">
        <f>+SUM(E$9:$E257)-SUM(F$9:$F257)</f>
        <v>0</v>
      </c>
    </row>
    <row r="258" spans="1:7" ht="28.8" x14ac:dyDescent="0.55000000000000004">
      <c r="A258" s="12"/>
      <c r="B258" s="13"/>
      <c r="C258" s="10"/>
      <c r="D258" s="10"/>
      <c r="E258" s="7">
        <f>+$H$2+(REDA[[#This Row],[QUANTITE]]*REDA[[#This Row],[PRIX UNITAIRE]])</f>
        <v>0</v>
      </c>
      <c r="F258" s="14"/>
      <c r="G258" s="6">
        <f>+SUM(E$9:$E258)-SUM(F$9:$F258)</f>
        <v>0</v>
      </c>
    </row>
    <row r="259" spans="1:7" ht="28.8" x14ac:dyDescent="0.55000000000000004">
      <c r="A259" s="12"/>
      <c r="B259" s="13"/>
      <c r="C259" s="10"/>
      <c r="D259" s="10"/>
      <c r="E259" s="7">
        <f>+$H$2+(REDA[[#This Row],[QUANTITE]]*REDA[[#This Row],[PRIX UNITAIRE]])</f>
        <v>0</v>
      </c>
      <c r="F259" s="14"/>
      <c r="G259" s="6">
        <f>+SUM(E$9:$E259)-SUM(F$9:$F259)</f>
        <v>0</v>
      </c>
    </row>
    <row r="260" spans="1:7" ht="28.8" x14ac:dyDescent="0.55000000000000004">
      <c r="A260" s="12"/>
      <c r="B260" s="13"/>
      <c r="C260" s="10"/>
      <c r="D260" s="10"/>
      <c r="E260" s="7">
        <f>+$H$2+(REDA[[#This Row],[QUANTITE]]*REDA[[#This Row],[PRIX UNITAIRE]])</f>
        <v>0</v>
      </c>
      <c r="F260" s="14"/>
      <c r="G260" s="6">
        <f>+SUM(E$9:$E260)-SUM(F$9:$F260)</f>
        <v>0</v>
      </c>
    </row>
    <row r="261" spans="1:7" ht="28.8" x14ac:dyDescent="0.55000000000000004">
      <c r="A261" s="12"/>
      <c r="B261" s="13"/>
      <c r="C261" s="10"/>
      <c r="D261" s="10"/>
      <c r="E261" s="7">
        <f>+$H$2+(REDA[[#This Row],[QUANTITE]]*REDA[[#This Row],[PRIX UNITAIRE]])</f>
        <v>0</v>
      </c>
      <c r="F261" s="14"/>
      <c r="G261" s="6">
        <f>+SUM(E$9:$E261)-SUM(F$9:$F261)</f>
        <v>0</v>
      </c>
    </row>
    <row r="262" spans="1:7" ht="28.8" x14ac:dyDescent="0.55000000000000004">
      <c r="A262" s="12"/>
      <c r="B262" s="13"/>
      <c r="C262" s="10"/>
      <c r="D262" s="10"/>
      <c r="E262" s="7">
        <f>+$H$2+(REDA[[#This Row],[QUANTITE]]*REDA[[#This Row],[PRIX UNITAIRE]])</f>
        <v>0</v>
      </c>
      <c r="F262" s="14"/>
      <c r="G262" s="6">
        <f>+SUM(E$9:$E262)-SUM(F$9:$F262)</f>
        <v>0</v>
      </c>
    </row>
    <row r="263" spans="1:7" ht="28.8" x14ac:dyDescent="0.55000000000000004">
      <c r="A263" s="12"/>
      <c r="B263" s="13"/>
      <c r="C263" s="10"/>
      <c r="D263" s="10"/>
      <c r="E263" s="7">
        <f>+$H$2+(REDA[[#This Row],[QUANTITE]]*REDA[[#This Row],[PRIX UNITAIRE]])</f>
        <v>0</v>
      </c>
      <c r="F263" s="14"/>
      <c r="G263" s="6">
        <f>+SUM(E$9:$E263)-SUM(F$9:$F263)</f>
        <v>0</v>
      </c>
    </row>
    <row r="264" spans="1:7" ht="28.8" x14ac:dyDescent="0.55000000000000004">
      <c r="A264" s="12"/>
      <c r="B264" s="13"/>
      <c r="C264" s="10"/>
      <c r="D264" s="10"/>
      <c r="E264" s="7">
        <f>+$H$2+(REDA[[#This Row],[QUANTITE]]*REDA[[#This Row],[PRIX UNITAIRE]])</f>
        <v>0</v>
      </c>
      <c r="F264" s="14"/>
      <c r="G264" s="6">
        <f>+SUM(E$9:$E264)-SUM(F$9:$F264)</f>
        <v>0</v>
      </c>
    </row>
    <row r="265" spans="1:7" ht="28.8" x14ac:dyDescent="0.55000000000000004">
      <c r="A265" s="66"/>
      <c r="B265" s="67"/>
      <c r="C265" s="68"/>
      <c r="D265" s="68"/>
      <c r="E265" s="69">
        <f>+$H$2+(REDA[[#This Row],[QUANTITE]]*REDA[[#This Row],[PRIX UNITAIRE]])</f>
        <v>0</v>
      </c>
      <c r="F265" s="70"/>
      <c r="G265" s="71">
        <f>+SUM(E$9:$E265)-SUM(F$9:$F265)</f>
        <v>0</v>
      </c>
    </row>
    <row r="266" spans="1:7" ht="28.8" x14ac:dyDescent="0.55000000000000004">
      <c r="A266" s="66"/>
      <c r="B266" s="67"/>
      <c r="C266" s="68"/>
      <c r="D266" s="68"/>
      <c r="E266" s="69">
        <f>+$H$2+(REDA[[#This Row],[QUANTITE]]*REDA[[#This Row],[PRIX UNITAIRE]])</f>
        <v>0</v>
      </c>
      <c r="F266" s="70"/>
      <c r="G266" s="71">
        <f>+SUM(E$9:$E266)-SUM(F$9:$F266)</f>
        <v>0</v>
      </c>
    </row>
    <row r="267" spans="1:7" ht="28.8" x14ac:dyDescent="0.55000000000000004">
      <c r="A267" s="66"/>
      <c r="B267" s="67"/>
      <c r="C267" s="68"/>
      <c r="D267" s="68"/>
      <c r="E267" s="69">
        <f>+$H$2+(REDA[[#This Row],[QUANTITE]]*REDA[[#This Row],[PRIX UNITAIRE]])</f>
        <v>0</v>
      </c>
      <c r="F267" s="70"/>
      <c r="G267" s="71">
        <f>+SUM(E$9:$E267)-SUM(F$9:$F267)</f>
        <v>0</v>
      </c>
    </row>
    <row r="268" spans="1:7" ht="28.8" x14ac:dyDescent="0.55000000000000004">
      <c r="A268" s="66"/>
      <c r="B268" s="67"/>
      <c r="C268" s="68"/>
      <c r="D268" s="68"/>
      <c r="E268" s="69">
        <f>+$H$2+(REDA[[#This Row],[QUANTITE]]*REDA[[#This Row],[PRIX UNITAIRE]])</f>
        <v>0</v>
      </c>
      <c r="F268" s="70"/>
      <c r="G268" s="71">
        <f>+SUM(E$9:$E268)-SUM(F$9:$F268)</f>
        <v>0</v>
      </c>
    </row>
    <row r="269" spans="1:7" ht="28.8" x14ac:dyDescent="0.55000000000000004">
      <c r="A269" s="66"/>
      <c r="B269" s="67"/>
      <c r="C269" s="68"/>
      <c r="D269" s="68"/>
      <c r="E269" s="69">
        <f>+$H$2+(REDA[[#This Row],[QUANTITE]]*REDA[[#This Row],[PRIX UNITAIRE]])</f>
        <v>0</v>
      </c>
      <c r="F269" s="70"/>
      <c r="G269" s="71">
        <f>+SUM(E$9:$E269)-SUM(F$9:$F269)</f>
        <v>0</v>
      </c>
    </row>
    <row r="270" spans="1:7" ht="28.8" x14ac:dyDescent="0.55000000000000004">
      <c r="A270" s="66"/>
      <c r="B270" s="67"/>
      <c r="C270" s="68"/>
      <c r="D270" s="68"/>
      <c r="E270" s="69">
        <f>+$H$2+(REDA[[#This Row],[QUANTITE]]*REDA[[#This Row],[PRIX UNITAIRE]])</f>
        <v>0</v>
      </c>
      <c r="F270" s="70"/>
      <c r="G270" s="71">
        <f>+SUM(E$9:$E270)-SUM(F$9:$F270)</f>
        <v>0</v>
      </c>
    </row>
    <row r="271" spans="1:7" ht="28.8" x14ac:dyDescent="0.55000000000000004">
      <c r="A271" s="66"/>
      <c r="B271" s="67"/>
      <c r="C271" s="68"/>
      <c r="D271" s="68"/>
      <c r="E271" s="69">
        <f>+$H$2+(REDA[[#This Row],[QUANTITE]]*REDA[[#This Row],[PRIX UNITAIRE]])</f>
        <v>0</v>
      </c>
      <c r="F271" s="70"/>
      <c r="G271" s="71">
        <f>+SUM(E$9:$E271)-SUM(F$9:$F271)</f>
        <v>0</v>
      </c>
    </row>
    <row r="272" spans="1:7" ht="28.8" x14ac:dyDescent="0.55000000000000004">
      <c r="A272" s="66"/>
      <c r="B272" s="67"/>
      <c r="C272" s="68"/>
      <c r="D272" s="68"/>
      <c r="E272" s="69">
        <f>+$H$2+(REDA[[#This Row],[QUANTITE]]*REDA[[#This Row],[PRIX UNITAIRE]])</f>
        <v>0</v>
      </c>
      <c r="F272" s="70"/>
      <c r="G272" s="71">
        <f>+SUM(E$9:$E272)-SUM(F$9:$F272)</f>
        <v>0</v>
      </c>
    </row>
    <row r="273" spans="1:7" ht="28.8" x14ac:dyDescent="0.55000000000000004">
      <c r="A273" s="66"/>
      <c r="B273" s="67"/>
      <c r="C273" s="68"/>
      <c r="D273" s="68"/>
      <c r="E273" s="69">
        <f>+$H$2+(REDA[[#This Row],[QUANTITE]]*REDA[[#This Row],[PRIX UNITAIRE]])</f>
        <v>0</v>
      </c>
      <c r="F273" s="70"/>
      <c r="G273" s="71">
        <f>+SUM(E$9:$E273)-SUM(F$9:$F273)</f>
        <v>0</v>
      </c>
    </row>
    <row r="274" spans="1:7" ht="28.8" x14ac:dyDescent="0.55000000000000004">
      <c r="A274" s="66"/>
      <c r="B274" s="67"/>
      <c r="C274" s="68"/>
      <c r="D274" s="68"/>
      <c r="E274" s="69">
        <f>+$H$2+(REDA[[#This Row],[QUANTITE]]*REDA[[#This Row],[PRIX UNITAIRE]])</f>
        <v>0</v>
      </c>
      <c r="F274" s="70"/>
      <c r="G274" s="71">
        <f>+SUM(E$9:$E274)-SUM(F$9:$F274)</f>
        <v>0</v>
      </c>
    </row>
    <row r="275" spans="1:7" ht="28.8" x14ac:dyDescent="0.55000000000000004">
      <c r="A275" s="66"/>
      <c r="B275" s="67"/>
      <c r="C275" s="68"/>
      <c r="D275" s="68"/>
      <c r="E275" s="69">
        <f>+$H$2+(REDA[[#This Row],[QUANTITE]]*REDA[[#This Row],[PRIX UNITAIRE]])</f>
        <v>0</v>
      </c>
      <c r="F275" s="70"/>
      <c r="G275" s="71">
        <f>+SUM(E$9:$E275)-SUM(F$9:$F275)</f>
        <v>0</v>
      </c>
    </row>
    <row r="276" spans="1:7" ht="28.8" x14ac:dyDescent="0.55000000000000004">
      <c r="A276" s="66"/>
      <c r="B276" s="67"/>
      <c r="C276" s="68"/>
      <c r="D276" s="68"/>
      <c r="E276" s="69">
        <f>+$H$2+(REDA[[#This Row],[QUANTITE]]*REDA[[#This Row],[PRIX UNITAIRE]])</f>
        <v>0</v>
      </c>
      <c r="F276" s="70"/>
      <c r="G276" s="71">
        <f>+SUM(E$9:$E276)-SUM(F$9:$F276)</f>
        <v>0</v>
      </c>
    </row>
    <row r="277" spans="1:7" ht="28.8" x14ac:dyDescent="0.55000000000000004">
      <c r="A277" s="66"/>
      <c r="B277" s="67"/>
      <c r="C277" s="68"/>
      <c r="D277" s="68"/>
      <c r="E277" s="69">
        <f>+$H$2+(REDA[[#This Row],[QUANTITE]]*REDA[[#This Row],[PRIX UNITAIRE]])</f>
        <v>0</v>
      </c>
      <c r="F277" s="70"/>
      <c r="G277" s="71">
        <f>+SUM(E$9:$E277)-SUM(F$9:$F277)</f>
        <v>0</v>
      </c>
    </row>
    <row r="278" spans="1:7" ht="28.8" x14ac:dyDescent="0.55000000000000004">
      <c r="A278" s="66"/>
      <c r="B278" s="67"/>
      <c r="C278" s="68"/>
      <c r="D278" s="68"/>
      <c r="E278" s="69">
        <f>+$H$2+(REDA[[#This Row],[QUANTITE]]*REDA[[#This Row],[PRIX UNITAIRE]])</f>
        <v>0</v>
      </c>
      <c r="F278" s="70"/>
      <c r="G278" s="71">
        <f>+SUM(E$9:$E278)-SUM(F$9:$F278)</f>
        <v>0</v>
      </c>
    </row>
    <row r="279" spans="1:7" ht="28.8" x14ac:dyDescent="0.55000000000000004">
      <c r="A279" s="66"/>
      <c r="B279" s="67"/>
      <c r="C279" s="68"/>
      <c r="D279" s="68"/>
      <c r="E279" s="69">
        <f>+$H$2+(REDA[[#This Row],[QUANTITE]]*REDA[[#This Row],[PRIX UNITAIRE]])</f>
        <v>0</v>
      </c>
      <c r="F279" s="70"/>
      <c r="G279" s="71">
        <f>+SUM(E$9:$E279)-SUM(F$9:$F279)</f>
        <v>0</v>
      </c>
    </row>
    <row r="280" spans="1:7" ht="28.8" x14ac:dyDescent="0.55000000000000004">
      <c r="A280" s="66"/>
      <c r="B280" s="67"/>
      <c r="C280" s="68"/>
      <c r="D280" s="68"/>
      <c r="E280" s="69">
        <f>+$H$2+(REDA[[#This Row],[QUANTITE]]*REDA[[#This Row],[PRIX UNITAIRE]])</f>
        <v>0</v>
      </c>
      <c r="F280" s="70"/>
      <c r="G280" s="71">
        <f>+SUM(E$9:$E280)-SUM(F$9:$F280)</f>
        <v>0</v>
      </c>
    </row>
    <row r="281" spans="1:7" ht="28.8" x14ac:dyDescent="0.55000000000000004">
      <c r="A281" s="66"/>
      <c r="B281" s="67"/>
      <c r="C281" s="68"/>
      <c r="D281" s="68"/>
      <c r="E281" s="69">
        <f>+$H$2+(REDA[[#This Row],[QUANTITE]]*REDA[[#This Row],[PRIX UNITAIRE]])</f>
        <v>0</v>
      </c>
      <c r="F281" s="70"/>
      <c r="G281" s="71">
        <f>+SUM(E$9:$E281)-SUM(F$9:$F281)</f>
        <v>0</v>
      </c>
    </row>
    <row r="282" spans="1:7" ht="28.8" x14ac:dyDescent="0.55000000000000004">
      <c r="A282" s="66"/>
      <c r="B282" s="67"/>
      <c r="C282" s="68"/>
      <c r="D282" s="68"/>
      <c r="E282" s="69">
        <f>+$H$2+(REDA[[#This Row],[QUANTITE]]*REDA[[#This Row],[PRIX UNITAIRE]])</f>
        <v>0</v>
      </c>
      <c r="F282" s="70"/>
      <c r="G282" s="71">
        <f>+SUM(E$9:$E282)-SUM(F$9:$F282)</f>
        <v>0</v>
      </c>
    </row>
    <row r="283" spans="1:7" ht="28.8" x14ac:dyDescent="0.55000000000000004">
      <c r="A283" s="66"/>
      <c r="B283" s="67"/>
      <c r="C283" s="68"/>
      <c r="D283" s="68"/>
      <c r="E283" s="69">
        <f>+$H$2+(REDA[[#This Row],[QUANTITE]]*REDA[[#This Row],[PRIX UNITAIRE]])</f>
        <v>0</v>
      </c>
      <c r="F283" s="70"/>
      <c r="G283" s="71">
        <f>+SUM(E$9:$E283)-SUM(F$9:$F283)</f>
        <v>0</v>
      </c>
    </row>
    <row r="284" spans="1:7" ht="28.8" x14ac:dyDescent="0.55000000000000004">
      <c r="A284" s="66"/>
      <c r="B284" s="67"/>
      <c r="C284" s="68"/>
      <c r="D284" s="68"/>
      <c r="E284" s="69">
        <f>+$H$2+(REDA[[#This Row],[QUANTITE]]*REDA[[#This Row],[PRIX UNITAIRE]])</f>
        <v>0</v>
      </c>
      <c r="F284" s="70"/>
      <c r="G284" s="71">
        <f>+SUM(E$9:$E284)-SUM(F$9:$F284)</f>
        <v>0</v>
      </c>
    </row>
    <row r="285" spans="1:7" ht="28.8" x14ac:dyDescent="0.55000000000000004">
      <c r="A285" s="66"/>
      <c r="B285" s="67"/>
      <c r="C285" s="68"/>
      <c r="D285" s="68"/>
      <c r="E285" s="69">
        <f>+$H$2+(REDA[[#This Row],[QUANTITE]]*REDA[[#This Row],[PRIX UNITAIRE]])</f>
        <v>0</v>
      </c>
      <c r="F285" s="70"/>
      <c r="G285" s="71">
        <f>+SUM(E$9:$E285)-SUM(F$9:$F285)</f>
        <v>0</v>
      </c>
    </row>
    <row r="286" spans="1:7" ht="28.8" x14ac:dyDescent="0.55000000000000004">
      <c r="A286" s="66"/>
      <c r="B286" s="67"/>
      <c r="C286" s="68"/>
      <c r="D286" s="68"/>
      <c r="E286" s="69">
        <f>+$H$2+(REDA[[#This Row],[QUANTITE]]*REDA[[#This Row],[PRIX UNITAIRE]])</f>
        <v>0</v>
      </c>
      <c r="F286" s="70"/>
      <c r="G286" s="71">
        <f>+SUM(E$9:$E286)-SUM(F$9:$F286)</f>
        <v>0</v>
      </c>
    </row>
    <row r="287" spans="1:7" ht="28.8" x14ac:dyDescent="0.55000000000000004">
      <c r="A287" s="66"/>
      <c r="B287" s="67"/>
      <c r="C287" s="68"/>
      <c r="D287" s="68"/>
      <c r="E287" s="69">
        <f>+$H$2+(REDA[[#This Row],[QUANTITE]]*REDA[[#This Row],[PRIX UNITAIRE]])</f>
        <v>0</v>
      </c>
      <c r="F287" s="70"/>
      <c r="G287" s="71">
        <f>+SUM(E$9:$E287)-SUM(F$9:$F287)</f>
        <v>0</v>
      </c>
    </row>
    <row r="288" spans="1:7" ht="28.8" x14ac:dyDescent="0.55000000000000004">
      <c r="A288" s="66"/>
      <c r="B288" s="67"/>
      <c r="C288" s="68"/>
      <c r="D288" s="68"/>
      <c r="E288" s="69">
        <f>+$H$2+(REDA[[#This Row],[QUANTITE]]*REDA[[#This Row],[PRIX UNITAIRE]])</f>
        <v>0</v>
      </c>
      <c r="F288" s="70"/>
      <c r="G288" s="71">
        <f>+SUM(E$9:$E288)-SUM(F$9:$F288)</f>
        <v>0</v>
      </c>
    </row>
    <row r="289" spans="1:7" ht="28.8" x14ac:dyDescent="0.55000000000000004">
      <c r="A289" s="66"/>
      <c r="B289" s="67"/>
      <c r="C289" s="68"/>
      <c r="D289" s="68"/>
      <c r="E289" s="69">
        <f>+$H$2+(REDA[[#This Row],[QUANTITE]]*REDA[[#This Row],[PRIX UNITAIRE]])</f>
        <v>0</v>
      </c>
      <c r="F289" s="70"/>
      <c r="G289" s="71">
        <f>+SUM(E$9:$E289)-SUM(F$9:$F289)</f>
        <v>0</v>
      </c>
    </row>
    <row r="290" spans="1:7" ht="28.8" x14ac:dyDescent="0.55000000000000004">
      <c r="A290" s="66"/>
      <c r="B290" s="67"/>
      <c r="C290" s="68"/>
      <c r="D290" s="68"/>
      <c r="E290" s="69">
        <f>+$H$2+(REDA[[#This Row],[QUANTITE]]*REDA[[#This Row],[PRIX UNITAIRE]])</f>
        <v>0</v>
      </c>
      <c r="F290" s="70"/>
      <c r="G290" s="71">
        <f>+SUM(E$9:$E290)-SUM(F$9:$F290)</f>
        <v>0</v>
      </c>
    </row>
    <row r="291" spans="1:7" ht="28.8" x14ac:dyDescent="0.55000000000000004">
      <c r="A291" s="66"/>
      <c r="B291" s="67"/>
      <c r="C291" s="68"/>
      <c r="D291" s="68"/>
      <c r="E291" s="69">
        <f>+$H$2+(REDA[[#This Row],[QUANTITE]]*REDA[[#This Row],[PRIX UNITAIRE]])</f>
        <v>0</v>
      </c>
      <c r="F291" s="70"/>
      <c r="G291" s="71">
        <f>+SUM(E$9:$E291)-SUM(F$9:$F291)</f>
        <v>0</v>
      </c>
    </row>
    <row r="292" spans="1:7" ht="28.8" x14ac:dyDescent="0.55000000000000004">
      <c r="A292" s="66"/>
      <c r="B292" s="67"/>
      <c r="C292" s="68"/>
      <c r="D292" s="68"/>
      <c r="E292" s="69">
        <f>+$H$2+(REDA[[#This Row],[QUANTITE]]*REDA[[#This Row],[PRIX UNITAIRE]])</f>
        <v>0</v>
      </c>
      <c r="F292" s="70"/>
      <c r="G292" s="71">
        <f>+SUM(E$9:$E292)-SUM(F$9:$F292)</f>
        <v>0</v>
      </c>
    </row>
    <row r="293" spans="1:7" ht="28.8" x14ac:dyDescent="0.55000000000000004">
      <c r="A293" s="66"/>
      <c r="B293" s="67"/>
      <c r="C293" s="68"/>
      <c r="D293" s="68"/>
      <c r="E293" s="69">
        <f>+$H$2+(REDA[[#This Row],[QUANTITE]]*REDA[[#This Row],[PRIX UNITAIRE]])</f>
        <v>0</v>
      </c>
      <c r="F293" s="70"/>
      <c r="G293" s="71">
        <f>+SUM(E$9:$E293)-SUM(F$9:$F293)</f>
        <v>0</v>
      </c>
    </row>
    <row r="294" spans="1:7" ht="28.8" x14ac:dyDescent="0.55000000000000004">
      <c r="A294" s="66"/>
      <c r="B294" s="67"/>
      <c r="C294" s="68"/>
      <c r="D294" s="68"/>
      <c r="E294" s="69">
        <f>+$H$2+(REDA[[#This Row],[QUANTITE]]*REDA[[#This Row],[PRIX UNITAIRE]])</f>
        <v>0</v>
      </c>
      <c r="F294" s="70"/>
      <c r="G294" s="71">
        <f>+SUM(E$9:$E294)-SUM(F$9:$F294)</f>
        <v>0</v>
      </c>
    </row>
    <row r="295" spans="1:7" ht="28.8" x14ac:dyDescent="0.55000000000000004">
      <c r="A295" s="66"/>
      <c r="B295" s="67"/>
      <c r="C295" s="68"/>
      <c r="D295" s="68"/>
      <c r="E295" s="69">
        <f>+$H$2+(REDA[[#This Row],[QUANTITE]]*REDA[[#This Row],[PRIX UNITAIRE]])</f>
        <v>0</v>
      </c>
      <c r="F295" s="70"/>
      <c r="G295" s="71">
        <f>+SUM(E$9:$E295)-SUM(F$9:$F295)</f>
        <v>0</v>
      </c>
    </row>
    <row r="296" spans="1:7" ht="28.8" x14ac:dyDescent="0.55000000000000004">
      <c r="A296" s="66"/>
      <c r="B296" s="67"/>
      <c r="C296" s="68"/>
      <c r="D296" s="68"/>
      <c r="E296" s="69">
        <f>+$H$2+(REDA[[#This Row],[QUANTITE]]*REDA[[#This Row],[PRIX UNITAIRE]])</f>
        <v>0</v>
      </c>
      <c r="F296" s="70"/>
      <c r="G296" s="71">
        <f>+SUM(E$9:$E296)-SUM(F$9:$F296)</f>
        <v>0</v>
      </c>
    </row>
    <row r="297" spans="1:7" ht="28.8" x14ac:dyDescent="0.55000000000000004">
      <c r="A297" s="66"/>
      <c r="B297" s="67"/>
      <c r="C297" s="68"/>
      <c r="D297" s="68"/>
      <c r="E297" s="69">
        <f>+$H$2+(REDA[[#This Row],[QUANTITE]]*REDA[[#This Row],[PRIX UNITAIRE]])</f>
        <v>0</v>
      </c>
      <c r="F297" s="70"/>
      <c r="G297" s="71">
        <f>+SUM(E$9:$E297)-SUM(F$9:$F297)</f>
        <v>0</v>
      </c>
    </row>
    <row r="298" spans="1:7" ht="28.8" x14ac:dyDescent="0.55000000000000004">
      <c r="A298" s="66"/>
      <c r="B298" s="67"/>
      <c r="C298" s="68"/>
      <c r="D298" s="68"/>
      <c r="E298" s="69">
        <f>+$H$2+(REDA[[#This Row],[QUANTITE]]*REDA[[#This Row],[PRIX UNITAIRE]])</f>
        <v>0</v>
      </c>
      <c r="F298" s="70"/>
      <c r="G298" s="71">
        <f>+SUM(E$9:$E298)-SUM(F$9:$F298)</f>
        <v>0</v>
      </c>
    </row>
    <row r="299" spans="1:7" ht="28.8" x14ac:dyDescent="0.55000000000000004">
      <c r="A299" s="66"/>
      <c r="B299" s="67"/>
      <c r="C299" s="68"/>
      <c r="D299" s="68"/>
      <c r="E299" s="69">
        <f>+$H$2+(REDA[[#This Row],[QUANTITE]]*REDA[[#This Row],[PRIX UNITAIRE]])</f>
        <v>0</v>
      </c>
      <c r="F299" s="70"/>
      <c r="G299" s="71">
        <f>+SUM(E$9:$E299)-SUM(F$9:$F299)</f>
        <v>0</v>
      </c>
    </row>
    <row r="300" spans="1:7" ht="28.8" x14ac:dyDescent="0.55000000000000004">
      <c r="A300" s="66"/>
      <c r="B300" s="67"/>
      <c r="C300" s="68"/>
      <c r="D300" s="68"/>
      <c r="E300" s="69">
        <f>+$H$2+(REDA[[#This Row],[QUANTITE]]*REDA[[#This Row],[PRIX UNITAIRE]])</f>
        <v>0</v>
      </c>
      <c r="F300" s="70"/>
      <c r="G300" s="71">
        <f>+SUM(E$9:$E300)-SUM(F$9:$F300)</f>
        <v>0</v>
      </c>
    </row>
    <row r="301" spans="1:7" ht="28.8" x14ac:dyDescent="0.55000000000000004">
      <c r="A301" s="66"/>
      <c r="B301" s="67"/>
      <c r="C301" s="68"/>
      <c r="D301" s="68"/>
      <c r="E301" s="69">
        <f>+$H$2+(REDA[[#This Row],[QUANTITE]]*REDA[[#This Row],[PRIX UNITAIRE]])</f>
        <v>0</v>
      </c>
      <c r="F301" s="70"/>
      <c r="G301" s="71">
        <f>+SUM(E$9:$E301)-SUM(F$9:$F301)</f>
        <v>0</v>
      </c>
    </row>
    <row r="302" spans="1:7" ht="28.8" x14ac:dyDescent="0.55000000000000004">
      <c r="A302" s="66"/>
      <c r="B302" s="67"/>
      <c r="C302" s="68"/>
      <c r="D302" s="68"/>
      <c r="E302" s="69">
        <f>+$H$2+(REDA[[#This Row],[QUANTITE]]*REDA[[#This Row],[PRIX UNITAIRE]])</f>
        <v>0</v>
      </c>
      <c r="F302" s="70"/>
      <c r="G302" s="71">
        <f>+SUM(E$9:$E302)-SUM(F$9:$F302)</f>
        <v>0</v>
      </c>
    </row>
    <row r="303" spans="1:7" ht="28.8" x14ac:dyDescent="0.55000000000000004">
      <c r="A303" s="66"/>
      <c r="B303" s="67"/>
      <c r="C303" s="68"/>
      <c r="D303" s="68"/>
      <c r="E303" s="69">
        <f>+$H$2+(REDA[[#This Row],[QUANTITE]]*REDA[[#This Row],[PRIX UNITAIRE]])</f>
        <v>0</v>
      </c>
      <c r="F303" s="70"/>
      <c r="G303" s="71">
        <f>+SUM(E$9:$E303)-SUM(F$9:$F303)</f>
        <v>0</v>
      </c>
    </row>
    <row r="304" spans="1:7" ht="28.8" x14ac:dyDescent="0.55000000000000004">
      <c r="A304" s="66"/>
      <c r="B304" s="67"/>
      <c r="C304" s="68"/>
      <c r="D304" s="68"/>
      <c r="E304" s="69">
        <f>+$H$2+(REDA[[#This Row],[QUANTITE]]*REDA[[#This Row],[PRIX UNITAIRE]])</f>
        <v>0</v>
      </c>
      <c r="F304" s="70"/>
      <c r="G304" s="71">
        <f>+SUM(E$9:$E304)-SUM(F$9:$F304)</f>
        <v>0</v>
      </c>
    </row>
    <row r="305" spans="1:7" ht="28.8" x14ac:dyDescent="0.55000000000000004">
      <c r="A305" s="66"/>
      <c r="B305" s="67"/>
      <c r="C305" s="68"/>
      <c r="D305" s="68"/>
      <c r="E305" s="69">
        <f>+$H$2+(REDA[[#This Row],[QUANTITE]]*REDA[[#This Row],[PRIX UNITAIRE]])</f>
        <v>0</v>
      </c>
      <c r="F305" s="70"/>
      <c r="G305" s="71">
        <f>+SUM(E$9:$E305)-SUM(F$9:$F305)</f>
        <v>0</v>
      </c>
    </row>
    <row r="306" spans="1:7" ht="28.8" x14ac:dyDescent="0.55000000000000004">
      <c r="A306" s="66"/>
      <c r="B306" s="67"/>
      <c r="C306" s="68"/>
      <c r="D306" s="68"/>
      <c r="E306" s="69">
        <f>+$H$2+(REDA[[#This Row],[QUANTITE]]*REDA[[#This Row],[PRIX UNITAIRE]])</f>
        <v>0</v>
      </c>
      <c r="F306" s="70"/>
      <c r="G306" s="71">
        <f>+SUM(E$9:$E306)-SUM(F$9:$F306)</f>
        <v>0</v>
      </c>
    </row>
    <row r="307" spans="1:7" ht="28.8" x14ac:dyDescent="0.55000000000000004">
      <c r="A307" s="66"/>
      <c r="B307" s="67"/>
      <c r="C307" s="68"/>
      <c r="D307" s="68"/>
      <c r="E307" s="69">
        <f>+$H$2+(REDA[[#This Row],[QUANTITE]]*REDA[[#This Row],[PRIX UNITAIRE]])</f>
        <v>0</v>
      </c>
      <c r="F307" s="70"/>
      <c r="G307" s="71">
        <f>+SUM(E$9:$E307)-SUM(F$9:$F307)</f>
        <v>0</v>
      </c>
    </row>
    <row r="308" spans="1:7" ht="28.8" x14ac:dyDescent="0.55000000000000004">
      <c r="A308" s="66"/>
      <c r="B308" s="67"/>
      <c r="C308" s="68"/>
      <c r="D308" s="68"/>
      <c r="E308" s="69">
        <f>+$H$2+(REDA[[#This Row],[QUANTITE]]*REDA[[#This Row],[PRIX UNITAIRE]])</f>
        <v>0</v>
      </c>
      <c r="F308" s="70"/>
      <c r="G308" s="71">
        <f>+SUM(E$9:$E308)-SUM(F$9:$F308)</f>
        <v>0</v>
      </c>
    </row>
    <row r="309" spans="1:7" ht="28.8" x14ac:dyDescent="0.55000000000000004">
      <c r="A309" s="66"/>
      <c r="B309" s="67"/>
      <c r="C309" s="68"/>
      <c r="D309" s="68"/>
      <c r="E309" s="69">
        <f>+$H$2+(REDA[[#This Row],[QUANTITE]]*REDA[[#This Row],[PRIX UNITAIRE]])</f>
        <v>0</v>
      </c>
      <c r="F309" s="70"/>
      <c r="G309" s="71">
        <f>+SUM(E$9:$E309)-SUM(F$9:$F309)</f>
        <v>0</v>
      </c>
    </row>
    <row r="310" spans="1:7" ht="28.8" x14ac:dyDescent="0.55000000000000004">
      <c r="A310" s="66"/>
      <c r="B310" s="67"/>
      <c r="C310" s="68"/>
      <c r="D310" s="68"/>
      <c r="E310" s="69">
        <f>+$H$2+(REDA[[#This Row],[QUANTITE]]*REDA[[#This Row],[PRIX UNITAIRE]])</f>
        <v>0</v>
      </c>
      <c r="F310" s="70"/>
      <c r="G310" s="71">
        <f>+SUM(E$9:$E310)-SUM(F$9:$F310)</f>
        <v>0</v>
      </c>
    </row>
    <row r="311" spans="1:7" ht="28.8" x14ac:dyDescent="0.55000000000000004">
      <c r="A311" s="66"/>
      <c r="B311" s="67"/>
      <c r="C311" s="68"/>
      <c r="D311" s="68"/>
      <c r="E311" s="69">
        <f>+$H$2+(REDA[[#This Row],[QUANTITE]]*REDA[[#This Row],[PRIX UNITAIRE]])</f>
        <v>0</v>
      </c>
      <c r="F311" s="70"/>
      <c r="G311" s="71">
        <f>+SUM(E$9:$E311)-SUM(F$9:$F311)</f>
        <v>0</v>
      </c>
    </row>
    <row r="312" spans="1:7" ht="28.8" x14ac:dyDescent="0.55000000000000004">
      <c r="A312" s="66"/>
      <c r="B312" s="67"/>
      <c r="C312" s="68"/>
      <c r="D312" s="68"/>
      <c r="E312" s="69">
        <f>+$H$2+(REDA[[#This Row],[QUANTITE]]*REDA[[#This Row],[PRIX UNITAIRE]])</f>
        <v>0</v>
      </c>
      <c r="F312" s="70"/>
      <c r="G312" s="71">
        <f>+SUM(E$9:$E312)-SUM(F$9:$F312)</f>
        <v>0</v>
      </c>
    </row>
    <row r="313" spans="1:7" ht="28.8" x14ac:dyDescent="0.55000000000000004">
      <c r="A313" s="66"/>
      <c r="B313" s="67"/>
      <c r="C313" s="68"/>
      <c r="D313" s="68"/>
      <c r="E313" s="69">
        <f>+$H$2+(REDA[[#This Row],[QUANTITE]]*REDA[[#This Row],[PRIX UNITAIRE]])</f>
        <v>0</v>
      </c>
      <c r="F313" s="70"/>
      <c r="G313" s="71">
        <f>+SUM(E$9:$E313)-SUM(F$9:$F313)</f>
        <v>0</v>
      </c>
    </row>
    <row r="314" spans="1:7" ht="28.8" x14ac:dyDescent="0.55000000000000004">
      <c r="A314" s="66"/>
      <c r="B314" s="67"/>
      <c r="C314" s="68"/>
      <c r="D314" s="68"/>
      <c r="E314" s="69">
        <f>+$H$2+(REDA[[#This Row],[QUANTITE]]*REDA[[#This Row],[PRIX UNITAIRE]])</f>
        <v>0</v>
      </c>
      <c r="F314" s="70"/>
      <c r="G314" s="71">
        <f>+SUM(E$9:$E314)-SUM(F$9:$F314)</f>
        <v>0</v>
      </c>
    </row>
    <row r="315" spans="1:7" ht="28.8" x14ac:dyDescent="0.55000000000000004">
      <c r="A315" s="12"/>
      <c r="B315" s="13"/>
      <c r="C315" s="10"/>
      <c r="D315" s="10"/>
      <c r="E315" s="7">
        <f>+$H$2+(REDA[[#This Row],[QUANTITE]]*REDA[[#This Row],[PRIX UNITAIRE]])</f>
        <v>0</v>
      </c>
      <c r="F315" s="14"/>
      <c r="G315" s="6">
        <f>+SUM(E$9:$E315)-SUM(F$9:$F315)</f>
        <v>0</v>
      </c>
    </row>
    <row r="316" spans="1:7" ht="28.8" x14ac:dyDescent="0.55000000000000004">
      <c r="A316" s="12"/>
      <c r="B316" s="13"/>
      <c r="C316" s="10"/>
      <c r="D316" s="10"/>
      <c r="E316" s="7">
        <f>+$H$2+(REDA[[#This Row],[QUANTITE]]*REDA[[#This Row],[PRIX UNITAIRE]])</f>
        <v>0</v>
      </c>
      <c r="F316" s="14"/>
      <c r="G316" s="6">
        <f>+SUM(E$9:$E316)-SUM(F$9:$F316)</f>
        <v>0</v>
      </c>
    </row>
    <row r="317" spans="1:7" ht="28.8" x14ac:dyDescent="0.55000000000000004">
      <c r="A317" s="12"/>
      <c r="B317" s="13"/>
      <c r="C317" s="10"/>
      <c r="D317" s="10"/>
      <c r="E317" s="7">
        <f>+$H$2+(REDA[[#This Row],[QUANTITE]]*REDA[[#This Row],[PRIX UNITAIRE]])</f>
        <v>0</v>
      </c>
      <c r="F317" s="14"/>
      <c r="G317" s="6">
        <f>+SUM(E$9:$E317)-SUM(F$9:$F317)</f>
        <v>0</v>
      </c>
    </row>
    <row r="318" spans="1:7" ht="28.8" x14ac:dyDescent="0.55000000000000004">
      <c r="A318" s="12"/>
      <c r="B318" s="13"/>
      <c r="C318" s="10"/>
      <c r="D318" s="10"/>
      <c r="E318" s="7">
        <f>+$H$2+(REDA[[#This Row],[QUANTITE]]*REDA[[#This Row],[PRIX UNITAIRE]])</f>
        <v>0</v>
      </c>
      <c r="F318" s="14"/>
      <c r="G318" s="6">
        <f>+SUM(E$9:$E318)-SUM(F$9:$F318)</f>
        <v>0</v>
      </c>
    </row>
    <row r="319" spans="1:7" ht="28.8" x14ac:dyDescent="0.55000000000000004">
      <c r="A319" s="12"/>
      <c r="B319" s="13"/>
      <c r="C319" s="10"/>
      <c r="D319" s="10"/>
      <c r="E319" s="7">
        <f>+$H$2+(REDA[[#This Row],[QUANTITE]]*REDA[[#This Row],[PRIX UNITAIRE]])</f>
        <v>0</v>
      </c>
      <c r="F319" s="14"/>
      <c r="G319" s="6">
        <f>+SUM(E$9:$E319)-SUM(F$9:$F319)</f>
        <v>0</v>
      </c>
    </row>
    <row r="320" spans="1:7" ht="28.8" x14ac:dyDescent="0.55000000000000004">
      <c r="A320" s="12"/>
      <c r="B320" s="13"/>
      <c r="C320" s="10"/>
      <c r="D320" s="10"/>
      <c r="E320" s="7">
        <f>+$H$2+(REDA[[#This Row],[QUANTITE]]*REDA[[#This Row],[PRIX UNITAIRE]])</f>
        <v>0</v>
      </c>
      <c r="F320" s="14"/>
      <c r="G320" s="6">
        <f>+SUM(E$9:$E320)-SUM(F$9:$F320)</f>
        <v>0</v>
      </c>
    </row>
    <row r="321" spans="1:7" ht="28.8" x14ac:dyDescent="0.55000000000000004">
      <c r="A321" s="12"/>
      <c r="B321" s="13"/>
      <c r="C321" s="10"/>
      <c r="D321" s="10"/>
      <c r="E321" s="7">
        <f>+$H$2+(REDA[[#This Row],[QUANTITE]]*REDA[[#This Row],[PRIX UNITAIRE]])</f>
        <v>0</v>
      </c>
      <c r="F321" s="14"/>
      <c r="G321" s="6">
        <f>+SUM(E$9:$E321)-SUM(F$9:$F321)</f>
        <v>0</v>
      </c>
    </row>
    <row r="322" spans="1:7" ht="28.8" x14ac:dyDescent="0.55000000000000004">
      <c r="A322" s="12"/>
      <c r="B322" s="13"/>
      <c r="C322" s="10"/>
      <c r="D322" s="10"/>
      <c r="E322" s="7">
        <f>+$H$2+(REDA[[#This Row],[QUANTITE]]*REDA[[#This Row],[PRIX UNITAIRE]])</f>
        <v>0</v>
      </c>
      <c r="F322" s="14"/>
      <c r="G322" s="6">
        <f>+SUM(E$9:$E322)-SUM(F$9:$F322)</f>
        <v>0</v>
      </c>
    </row>
    <row r="323" spans="1:7" ht="28.8" x14ac:dyDescent="0.55000000000000004">
      <c r="A323" s="12"/>
      <c r="B323" s="13"/>
      <c r="C323" s="10"/>
      <c r="D323" s="10"/>
      <c r="E323" s="7">
        <f>+$H$2+(REDA[[#This Row],[QUANTITE]]*REDA[[#This Row],[PRIX UNITAIRE]])</f>
        <v>0</v>
      </c>
      <c r="F323" s="14"/>
      <c r="G323" s="6">
        <f>+SUM(E$9:$E323)-SUM(F$9:$F323)</f>
        <v>0</v>
      </c>
    </row>
    <row r="324" spans="1:7" ht="28.8" x14ac:dyDescent="0.55000000000000004">
      <c r="A324" s="12"/>
      <c r="B324" s="13"/>
      <c r="C324" s="10"/>
      <c r="D324" s="10"/>
      <c r="E324" s="7">
        <f>+$H$2+(REDA[[#This Row],[QUANTITE]]*REDA[[#This Row],[PRIX UNITAIRE]])</f>
        <v>0</v>
      </c>
      <c r="F324" s="14"/>
      <c r="G324" s="6">
        <f>+SUM(E$9:$E324)-SUM(F$9:$F324)</f>
        <v>0</v>
      </c>
    </row>
    <row r="325" spans="1:7" ht="28.8" x14ac:dyDescent="0.55000000000000004">
      <c r="A325" s="12"/>
      <c r="B325" s="13"/>
      <c r="C325" s="10"/>
      <c r="D325" s="10"/>
      <c r="E325" s="7">
        <f>+$H$2+(REDA[[#This Row],[QUANTITE]]*REDA[[#This Row],[PRIX UNITAIRE]])</f>
        <v>0</v>
      </c>
      <c r="F325" s="14"/>
      <c r="G325" s="6">
        <f>+SUM(E$9:$E325)-SUM(F$9:$F325)</f>
        <v>0</v>
      </c>
    </row>
    <row r="326" spans="1:7" ht="28.8" x14ac:dyDescent="0.55000000000000004">
      <c r="A326" s="12"/>
      <c r="B326" s="13"/>
      <c r="C326" s="10"/>
      <c r="D326" s="10"/>
      <c r="E326" s="7">
        <f>+$H$2+(REDA[[#This Row],[QUANTITE]]*REDA[[#This Row],[PRIX UNITAIRE]])</f>
        <v>0</v>
      </c>
      <c r="F326" s="14"/>
      <c r="G326" s="6">
        <f>+SUM(E$9:$E326)-SUM(F$9:$F326)</f>
        <v>0</v>
      </c>
    </row>
    <row r="327" spans="1:7" ht="28.8" x14ac:dyDescent="0.55000000000000004">
      <c r="A327" s="12"/>
      <c r="B327" s="13"/>
      <c r="C327" s="10"/>
      <c r="D327" s="10"/>
      <c r="E327" s="7">
        <f>+$H$2+(REDA[[#This Row],[QUANTITE]]*REDA[[#This Row],[PRIX UNITAIRE]])</f>
        <v>0</v>
      </c>
      <c r="F327" s="14"/>
      <c r="G327" s="6">
        <f>+SUM(E$9:$E327)-SUM(F$9:$F327)</f>
        <v>0</v>
      </c>
    </row>
    <row r="328" spans="1:7" ht="28.8" x14ac:dyDescent="0.55000000000000004">
      <c r="A328" s="12"/>
      <c r="B328" s="13"/>
      <c r="C328" s="10"/>
      <c r="D328" s="10"/>
      <c r="E328" s="7">
        <f>+$H$2+(REDA[[#This Row],[QUANTITE]]*REDA[[#This Row],[PRIX UNITAIRE]])</f>
        <v>0</v>
      </c>
      <c r="F328" s="14"/>
      <c r="G328" s="6">
        <f>+SUM(E$9:$E328)-SUM(F$9:$F328)</f>
        <v>0</v>
      </c>
    </row>
    <row r="329" spans="1:7" ht="28.8" x14ac:dyDescent="0.55000000000000004">
      <c r="A329" s="12"/>
      <c r="B329" s="13"/>
      <c r="C329" s="10"/>
      <c r="D329" s="10"/>
      <c r="E329" s="7">
        <f>+$H$2+(REDA[[#This Row],[QUANTITE]]*REDA[[#This Row],[PRIX UNITAIRE]])</f>
        <v>0</v>
      </c>
      <c r="F329" s="14"/>
      <c r="G329" s="6">
        <f>+SUM(E$9:$E329)-SUM(F$9:$F329)</f>
        <v>0</v>
      </c>
    </row>
    <row r="330" spans="1:7" ht="28.8" x14ac:dyDescent="0.55000000000000004">
      <c r="A330" s="12"/>
      <c r="B330" s="13"/>
      <c r="C330" s="10"/>
      <c r="D330" s="10"/>
      <c r="E330" s="7">
        <f>+$H$2+(REDA[[#This Row],[QUANTITE]]*REDA[[#This Row],[PRIX UNITAIRE]])</f>
        <v>0</v>
      </c>
      <c r="F330" s="14"/>
      <c r="G330" s="6">
        <f>+SUM(E$9:$E330)-SUM(F$9:$F330)</f>
        <v>0</v>
      </c>
    </row>
    <row r="331" spans="1:7" ht="28.8" x14ac:dyDescent="0.55000000000000004">
      <c r="A331" s="12"/>
      <c r="B331" s="13"/>
      <c r="C331" s="10"/>
      <c r="D331" s="10"/>
      <c r="E331" s="7">
        <f>+$H$2+(REDA[[#This Row],[QUANTITE]]*REDA[[#This Row],[PRIX UNITAIRE]])</f>
        <v>0</v>
      </c>
      <c r="F331" s="14"/>
      <c r="G331" s="6">
        <f>+SUM(E$9:$E331)-SUM(F$9:$F331)</f>
        <v>0</v>
      </c>
    </row>
    <row r="332" spans="1:7" ht="28.8" x14ac:dyDescent="0.55000000000000004">
      <c r="A332" s="12"/>
      <c r="B332" s="13"/>
      <c r="C332" s="10"/>
      <c r="D332" s="10"/>
      <c r="E332" s="7">
        <f>+$H$2+(REDA[[#This Row],[QUANTITE]]*REDA[[#This Row],[PRIX UNITAIRE]])</f>
        <v>0</v>
      </c>
      <c r="F332" s="14"/>
      <c r="G332" s="6">
        <f>+SUM(E$9:$E332)-SUM(F$9:$F332)</f>
        <v>0</v>
      </c>
    </row>
    <row r="333" spans="1:7" ht="28.8" x14ac:dyDescent="0.55000000000000004">
      <c r="A333" s="12"/>
      <c r="B333" s="13"/>
      <c r="C333" s="10"/>
      <c r="D333" s="10"/>
      <c r="E333" s="7">
        <f>+$H$2+(REDA[[#This Row],[QUANTITE]]*REDA[[#This Row],[PRIX UNITAIRE]])</f>
        <v>0</v>
      </c>
      <c r="F333" s="14"/>
      <c r="G333" s="6">
        <f>+SUM(E$9:$E333)-SUM(F$9:$F333)</f>
        <v>0</v>
      </c>
    </row>
    <row r="334" spans="1:7" ht="28.8" x14ac:dyDescent="0.55000000000000004">
      <c r="A334" s="12"/>
      <c r="B334" s="13"/>
      <c r="C334" s="10"/>
      <c r="D334" s="10"/>
      <c r="E334" s="7">
        <f>+$H$2+(REDA[[#This Row],[QUANTITE]]*REDA[[#This Row],[PRIX UNITAIRE]])</f>
        <v>0</v>
      </c>
      <c r="F334" s="14"/>
      <c r="G334" s="6">
        <f>+SUM(E$9:$E334)-SUM(F$9:$F334)</f>
        <v>0</v>
      </c>
    </row>
    <row r="335" spans="1:7" ht="28.8" x14ac:dyDescent="0.55000000000000004">
      <c r="A335" s="12"/>
      <c r="B335" s="13"/>
      <c r="C335" s="10"/>
      <c r="D335" s="10"/>
      <c r="E335" s="7">
        <f>+$H$2+(REDA[[#This Row],[QUANTITE]]*REDA[[#This Row],[PRIX UNITAIRE]])</f>
        <v>0</v>
      </c>
      <c r="F335" s="14"/>
      <c r="G335" s="6">
        <f>+SUM(E$9:$E335)-SUM(F$9:$F335)</f>
        <v>0</v>
      </c>
    </row>
    <row r="336" spans="1:7" ht="28.8" x14ac:dyDescent="0.55000000000000004">
      <c r="A336" s="12"/>
      <c r="B336" s="13"/>
      <c r="C336" s="10"/>
      <c r="D336" s="10"/>
      <c r="E336" s="7">
        <f>+$H$2+(REDA[[#This Row],[QUANTITE]]*REDA[[#This Row],[PRIX UNITAIRE]])</f>
        <v>0</v>
      </c>
      <c r="F336" s="14"/>
      <c r="G336" s="6">
        <f>+SUM(E$9:$E336)-SUM(F$9:$F336)</f>
        <v>0</v>
      </c>
    </row>
    <row r="337" spans="1:7" ht="28.8" x14ac:dyDescent="0.55000000000000004">
      <c r="A337" s="12"/>
      <c r="B337" s="13"/>
      <c r="C337" s="10"/>
      <c r="D337" s="10"/>
      <c r="E337" s="7">
        <f>+$H$2+(REDA[[#This Row],[QUANTITE]]*REDA[[#This Row],[PRIX UNITAIRE]])</f>
        <v>0</v>
      </c>
      <c r="F337" s="14"/>
      <c r="G337" s="6">
        <f>+SUM(E$9:$E337)-SUM(F$9:$F337)</f>
        <v>0</v>
      </c>
    </row>
    <row r="338" spans="1:7" ht="28.8" x14ac:dyDescent="0.55000000000000004">
      <c r="A338" s="12"/>
      <c r="B338" s="13"/>
      <c r="C338" s="10"/>
      <c r="D338" s="10"/>
      <c r="E338" s="7">
        <f>+$H$2+(REDA[[#This Row],[QUANTITE]]*REDA[[#This Row],[PRIX UNITAIRE]])</f>
        <v>0</v>
      </c>
      <c r="F338" s="14"/>
      <c r="G338" s="6">
        <f>+SUM(E$9:$E338)-SUM(F$9:$F338)</f>
        <v>0</v>
      </c>
    </row>
    <row r="339" spans="1:7" ht="28.8" x14ac:dyDescent="0.55000000000000004">
      <c r="A339" s="12"/>
      <c r="B339" s="13"/>
      <c r="C339" s="10"/>
      <c r="D339" s="10"/>
      <c r="E339" s="7">
        <f>+$H$2+(REDA[[#This Row],[QUANTITE]]*REDA[[#This Row],[PRIX UNITAIRE]])</f>
        <v>0</v>
      </c>
      <c r="F339" s="14"/>
      <c r="G339" s="6">
        <f>+SUM(E$9:$E339)-SUM(F$9:$F339)</f>
        <v>0</v>
      </c>
    </row>
    <row r="340" spans="1:7" ht="28.8" x14ac:dyDescent="0.55000000000000004">
      <c r="A340" s="12"/>
      <c r="B340" s="13"/>
      <c r="C340" s="10"/>
      <c r="D340" s="10"/>
      <c r="E340" s="7">
        <f>+$H$2+(REDA[[#This Row],[QUANTITE]]*REDA[[#This Row],[PRIX UNITAIRE]])</f>
        <v>0</v>
      </c>
      <c r="F340" s="14"/>
      <c r="G340" s="6">
        <f>+SUM(E$9:$E340)-SUM(F$9:$F340)</f>
        <v>0</v>
      </c>
    </row>
    <row r="341" spans="1:7" ht="28.8" x14ac:dyDescent="0.55000000000000004">
      <c r="A341" s="12"/>
      <c r="B341" s="13"/>
      <c r="C341" s="10"/>
      <c r="D341" s="10"/>
      <c r="E341" s="7">
        <f>+$H$2+(REDA[[#This Row],[QUANTITE]]*REDA[[#This Row],[PRIX UNITAIRE]])</f>
        <v>0</v>
      </c>
      <c r="F341" s="14"/>
      <c r="G341" s="6">
        <f>+SUM(E$9:$E341)-SUM(F$9:$F341)</f>
        <v>0</v>
      </c>
    </row>
    <row r="342" spans="1:7" ht="28.8" x14ac:dyDescent="0.55000000000000004">
      <c r="A342" s="12"/>
      <c r="B342" s="13"/>
      <c r="C342" s="10"/>
      <c r="D342" s="10"/>
      <c r="E342" s="7">
        <f>+$H$2+(REDA[[#This Row],[QUANTITE]]*REDA[[#This Row],[PRIX UNITAIRE]])</f>
        <v>0</v>
      </c>
      <c r="F342" s="14"/>
      <c r="G342" s="6">
        <f>+SUM(E$9:$E342)-SUM(F$9:$F342)</f>
        <v>0</v>
      </c>
    </row>
    <row r="343" spans="1:7" ht="28.8" x14ac:dyDescent="0.55000000000000004">
      <c r="A343" s="12"/>
      <c r="B343" s="13"/>
      <c r="C343" s="10"/>
      <c r="D343" s="10"/>
      <c r="E343" s="7">
        <f>+$H$2+(REDA[[#This Row],[QUANTITE]]*REDA[[#This Row],[PRIX UNITAIRE]])</f>
        <v>0</v>
      </c>
      <c r="F343" s="14"/>
      <c r="G343" s="6">
        <f>+SUM(E$9:$E343)-SUM(F$9:$F343)</f>
        <v>0</v>
      </c>
    </row>
    <row r="344" spans="1:7" ht="28.8" x14ac:dyDescent="0.55000000000000004">
      <c r="A344" s="12"/>
      <c r="B344" s="13"/>
      <c r="C344" s="10"/>
      <c r="D344" s="10"/>
      <c r="E344" s="7">
        <f>+$H$2+(REDA[[#This Row],[QUANTITE]]*REDA[[#This Row],[PRIX UNITAIRE]])</f>
        <v>0</v>
      </c>
      <c r="F344" s="14"/>
      <c r="G344" s="6">
        <f>+SUM(E$9:$E344)-SUM(F$9:$F344)</f>
        <v>0</v>
      </c>
    </row>
    <row r="345" spans="1:7" ht="28.8" x14ac:dyDescent="0.55000000000000004">
      <c r="A345" s="12"/>
      <c r="B345" s="13"/>
      <c r="C345" s="10"/>
      <c r="D345" s="10"/>
      <c r="E345" s="7">
        <f>+$H$2+(REDA[[#This Row],[QUANTITE]]*REDA[[#This Row],[PRIX UNITAIRE]])</f>
        <v>0</v>
      </c>
      <c r="F345" s="14"/>
      <c r="G345" s="6">
        <f>+SUM(E$9:$E345)-SUM(F$9:$F345)</f>
        <v>0</v>
      </c>
    </row>
    <row r="346" spans="1:7" ht="28.8" x14ac:dyDescent="0.55000000000000004">
      <c r="A346" s="12"/>
      <c r="B346" s="13"/>
      <c r="C346" s="10"/>
      <c r="D346" s="10"/>
      <c r="E346" s="7">
        <f>+$H$2+(REDA[[#This Row],[QUANTITE]]*REDA[[#This Row],[PRIX UNITAIRE]])</f>
        <v>0</v>
      </c>
      <c r="F346" s="14"/>
      <c r="G346" s="6">
        <f>+SUM(E$9:$E346)-SUM(F$9:$F346)</f>
        <v>0</v>
      </c>
    </row>
    <row r="347" spans="1:7" ht="28.8" x14ac:dyDescent="0.55000000000000004">
      <c r="A347" s="12"/>
      <c r="B347" s="13"/>
      <c r="C347" s="10"/>
      <c r="D347" s="10"/>
      <c r="E347" s="7">
        <f>+$H$2+(REDA[[#This Row],[QUANTITE]]*REDA[[#This Row],[PRIX UNITAIRE]])</f>
        <v>0</v>
      </c>
      <c r="F347" s="14"/>
      <c r="G347" s="6">
        <f>+SUM(E$9:$E347)-SUM(F$9:$F347)</f>
        <v>0</v>
      </c>
    </row>
    <row r="348" spans="1:7" ht="28.8" x14ac:dyDescent="0.55000000000000004">
      <c r="A348" s="12"/>
      <c r="B348" s="13"/>
      <c r="C348" s="10"/>
      <c r="D348" s="10"/>
      <c r="E348" s="7">
        <f>+$H$2+(REDA[[#This Row],[QUANTITE]]*REDA[[#This Row],[PRIX UNITAIRE]])</f>
        <v>0</v>
      </c>
      <c r="F348" s="14"/>
      <c r="G348" s="6">
        <f>+SUM(E$9:$E348)-SUM(F$9:$F348)</f>
        <v>0</v>
      </c>
    </row>
    <row r="349" spans="1:7" ht="28.8" x14ac:dyDescent="0.55000000000000004">
      <c r="A349" s="12"/>
      <c r="B349" s="13"/>
      <c r="C349" s="10"/>
      <c r="D349" s="10"/>
      <c r="E349" s="7">
        <f>+$H$2+(REDA[[#This Row],[QUANTITE]]*REDA[[#This Row],[PRIX UNITAIRE]])</f>
        <v>0</v>
      </c>
      <c r="F349" s="14"/>
      <c r="G349" s="6">
        <f>+SUM(E$9:$E349)-SUM(F$9:$F349)</f>
        <v>0</v>
      </c>
    </row>
    <row r="350" spans="1:7" ht="28.8" x14ac:dyDescent="0.55000000000000004">
      <c r="A350" s="12"/>
      <c r="B350" s="13"/>
      <c r="C350" s="10"/>
      <c r="D350" s="10"/>
      <c r="E350" s="7">
        <f>+$H$2+(REDA[[#This Row],[QUANTITE]]*REDA[[#This Row],[PRIX UNITAIRE]])</f>
        <v>0</v>
      </c>
      <c r="F350" s="14"/>
      <c r="G350" s="6">
        <f>+SUM(E$9:$E350)-SUM(F$9:$F350)</f>
        <v>0</v>
      </c>
    </row>
    <row r="351" spans="1:7" ht="28.8" x14ac:dyDescent="0.55000000000000004">
      <c r="A351" s="12"/>
      <c r="B351" s="13"/>
      <c r="C351" s="10"/>
      <c r="D351" s="10"/>
      <c r="E351" s="7">
        <f>+$H$2+(REDA[[#This Row],[QUANTITE]]*REDA[[#This Row],[PRIX UNITAIRE]])</f>
        <v>0</v>
      </c>
      <c r="F351" s="14"/>
      <c r="G351" s="6">
        <f>+SUM(E$9:$E351)-SUM(F$9:$F351)</f>
        <v>0</v>
      </c>
    </row>
    <row r="352" spans="1:7" ht="28.8" x14ac:dyDescent="0.55000000000000004">
      <c r="A352" s="12"/>
      <c r="B352" s="13"/>
      <c r="C352" s="10"/>
      <c r="D352" s="10"/>
      <c r="E352" s="7">
        <f>+$H$2+(REDA[[#This Row],[QUANTITE]]*REDA[[#This Row],[PRIX UNITAIRE]])</f>
        <v>0</v>
      </c>
      <c r="F352" s="14"/>
      <c r="G352" s="6">
        <f>+SUM(E$9:$E352)-SUM(F$9:$F352)</f>
        <v>0</v>
      </c>
    </row>
    <row r="353" spans="1:7" ht="28.8" x14ac:dyDescent="0.55000000000000004">
      <c r="A353" s="12"/>
      <c r="B353" s="13"/>
      <c r="C353" s="10"/>
      <c r="D353" s="10"/>
      <c r="E353" s="7">
        <f>+$H$2+(REDA[[#This Row],[QUANTITE]]*REDA[[#This Row],[PRIX UNITAIRE]])</f>
        <v>0</v>
      </c>
      <c r="F353" s="14"/>
      <c r="G353" s="6">
        <f>+SUM(E$9:$E353)-SUM(F$9:$F353)</f>
        <v>0</v>
      </c>
    </row>
    <row r="354" spans="1:7" ht="28.8" x14ac:dyDescent="0.55000000000000004">
      <c r="A354" s="12"/>
      <c r="B354" s="13"/>
      <c r="C354" s="10"/>
      <c r="D354" s="10"/>
      <c r="E354" s="7">
        <f>+$H$2+(REDA[[#This Row],[QUANTITE]]*REDA[[#This Row],[PRIX UNITAIRE]])</f>
        <v>0</v>
      </c>
      <c r="F354" s="14"/>
      <c r="G354" s="6">
        <f>+SUM(E$9:$E354)-SUM(F$9:$F354)</f>
        <v>0</v>
      </c>
    </row>
    <row r="355" spans="1:7" ht="28.8" x14ac:dyDescent="0.55000000000000004">
      <c r="A355" s="12"/>
      <c r="B355" s="13"/>
      <c r="C355" s="10"/>
      <c r="D355" s="10"/>
      <c r="E355" s="7">
        <f>+$H$2+(REDA[[#This Row],[QUANTITE]]*REDA[[#This Row],[PRIX UNITAIRE]])</f>
        <v>0</v>
      </c>
      <c r="F355" s="14"/>
      <c r="G355" s="6">
        <f>+SUM(E$9:$E355)-SUM(F$9:$F355)</f>
        <v>0</v>
      </c>
    </row>
    <row r="356" spans="1:7" ht="28.8" x14ac:dyDescent="0.55000000000000004">
      <c r="A356" s="12"/>
      <c r="B356" s="13"/>
      <c r="C356" s="10"/>
      <c r="D356" s="10"/>
      <c r="E356" s="7">
        <f>+$H$2+(REDA[[#This Row],[QUANTITE]]*REDA[[#This Row],[PRIX UNITAIRE]])</f>
        <v>0</v>
      </c>
      <c r="F356" s="14"/>
      <c r="G356" s="6">
        <f>+SUM(E$9:$E356)-SUM(F$9:$F356)</f>
        <v>0</v>
      </c>
    </row>
    <row r="357" spans="1:7" ht="28.8" x14ac:dyDescent="0.55000000000000004">
      <c r="A357" s="12"/>
      <c r="B357" s="13"/>
      <c r="C357" s="10"/>
      <c r="D357" s="10"/>
      <c r="E357" s="7">
        <f>+$H$2+(REDA[[#This Row],[QUANTITE]]*REDA[[#This Row],[PRIX UNITAIRE]])</f>
        <v>0</v>
      </c>
      <c r="F357" s="14"/>
      <c r="G357" s="6">
        <f>+SUM(E$9:$E357)-SUM(F$9:$F357)</f>
        <v>0</v>
      </c>
    </row>
    <row r="358" spans="1:7" ht="28.8" x14ac:dyDescent="0.55000000000000004">
      <c r="A358" s="12"/>
      <c r="B358" s="13"/>
      <c r="C358" s="10"/>
      <c r="D358" s="10"/>
      <c r="E358" s="7">
        <f>+$H$2+(REDA[[#This Row],[QUANTITE]]*REDA[[#This Row],[PRIX UNITAIRE]])</f>
        <v>0</v>
      </c>
      <c r="F358" s="14"/>
      <c r="G358" s="6">
        <f>+SUM(E$9:$E358)-SUM(F$9:$F358)</f>
        <v>0</v>
      </c>
    </row>
    <row r="359" spans="1:7" ht="28.8" x14ac:dyDescent="0.55000000000000004">
      <c r="A359" s="12"/>
      <c r="B359" s="13"/>
      <c r="C359" s="10"/>
      <c r="D359" s="10"/>
      <c r="E359" s="7">
        <f>+$H$2+(REDA[[#This Row],[QUANTITE]]*REDA[[#This Row],[PRIX UNITAIRE]])</f>
        <v>0</v>
      </c>
      <c r="F359" s="14"/>
      <c r="G359" s="6">
        <f>+SUM(E$9:$E359)-SUM(F$9:$F359)</f>
        <v>0</v>
      </c>
    </row>
    <row r="360" spans="1:7" ht="28.8" x14ac:dyDescent="0.55000000000000004">
      <c r="A360" s="12"/>
      <c r="B360" s="13"/>
      <c r="C360" s="10"/>
      <c r="D360" s="10"/>
      <c r="E360" s="7">
        <f>+$H$2+(REDA[[#This Row],[QUANTITE]]*REDA[[#This Row],[PRIX UNITAIRE]])</f>
        <v>0</v>
      </c>
      <c r="F360" s="14"/>
      <c r="G360" s="6">
        <f>+SUM(E$9:$E360)-SUM(F$9:$F360)</f>
        <v>0</v>
      </c>
    </row>
    <row r="361" spans="1:7" ht="28.8" x14ac:dyDescent="0.55000000000000004">
      <c r="A361" s="12"/>
      <c r="B361" s="13"/>
      <c r="C361" s="10"/>
      <c r="D361" s="10"/>
      <c r="E361" s="7">
        <f>+$H$2+(REDA[[#This Row],[QUANTITE]]*REDA[[#This Row],[PRIX UNITAIRE]])</f>
        <v>0</v>
      </c>
      <c r="F361" s="14"/>
      <c r="G361" s="6">
        <f>+SUM(E$9:$E361)-SUM(F$9:$F361)</f>
        <v>0</v>
      </c>
    </row>
    <row r="362" spans="1:7" ht="28.8" x14ac:dyDescent="0.55000000000000004">
      <c r="A362" s="12"/>
      <c r="B362" s="13"/>
      <c r="C362" s="10"/>
      <c r="D362" s="10"/>
      <c r="E362" s="7">
        <f>+$H$2+(REDA[[#This Row],[QUANTITE]]*REDA[[#This Row],[PRIX UNITAIRE]])</f>
        <v>0</v>
      </c>
      <c r="F362" s="14"/>
      <c r="G362" s="6">
        <f>+SUM(E$9:$E362)-SUM(F$9:$F362)</f>
        <v>0</v>
      </c>
    </row>
    <row r="363" spans="1:7" ht="28.8" x14ac:dyDescent="0.55000000000000004">
      <c r="A363" s="12"/>
      <c r="B363" s="13"/>
      <c r="C363" s="10"/>
      <c r="D363" s="10"/>
      <c r="E363" s="7">
        <f>+$H$2+(REDA[[#This Row],[QUANTITE]]*REDA[[#This Row],[PRIX UNITAIRE]])</f>
        <v>0</v>
      </c>
      <c r="F363" s="14"/>
      <c r="G363" s="6">
        <f>+SUM(E$9:$E363)-SUM(F$9:$F363)</f>
        <v>0</v>
      </c>
    </row>
    <row r="364" spans="1:7" ht="25.95" customHeight="1" x14ac:dyDescent="0.55000000000000004">
      <c r="A364" s="12"/>
      <c r="B364" s="13"/>
      <c r="C364" s="10"/>
      <c r="D364" s="10"/>
      <c r="E364" s="7">
        <f>+$H$2+(REDA[[#This Row],[QUANTITE]]*REDA[[#This Row],[PRIX UNITAIRE]])</f>
        <v>0</v>
      </c>
      <c r="F364" s="14"/>
      <c r="G364" s="6">
        <f>+SUM(E$9:$E364)-SUM(F$9:$F364)</f>
        <v>0</v>
      </c>
    </row>
  </sheetData>
  <sheetProtection selectLockedCells="1" autoFilter="0"/>
  <mergeCells count="1">
    <mergeCell ref="B6:C6"/>
  </mergeCells>
  <conditionalFormatting sqref="B9:B364">
    <cfRule type="expression" dxfId="115" priority="6">
      <formula>$F9</formula>
    </cfRule>
  </conditionalFormatting>
  <conditionalFormatting sqref="G4">
    <cfRule type="cellIs" dxfId="114" priority="3" operator="lessThan">
      <formula>0</formula>
    </cfRule>
    <cfRule type="cellIs" dxfId="113" priority="4" operator="greaterThan">
      <formula>0</formula>
    </cfRule>
  </conditionalFormatting>
  <dataValidations count="2">
    <dataValidation type="date" operator="greaterThan" allowBlank="1" showInputMessage="1" showErrorMessage="1" error="VEILLEZ ENTRER UNE DATE VALIDE" sqref="A9:A114 A116:A364">
      <formula1>45261</formula1>
    </dataValidation>
    <dataValidation type="date" operator="greaterThanOrEqual" allowBlank="1" showInputMessage="1" showErrorMessage="1" error="VEILLEZ ENTRER UNE DATE VALIDE" sqref="A115">
      <formula1>$I$1</formula1>
    </dataValidation>
  </dataValidations>
  <pageMargins left="0.7" right="0.7" top="0.75" bottom="0.75" header="0.3" footer="0.3"/>
  <pageSetup paperSize="9" scale="32" fitToHeight="0" orientation="portrait" r:id="rId1"/>
  <drawing r:id="rId2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/>
  <dimension ref="A1:I72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6640625" style="1" bestFit="1" customWidth="1"/>
    <col min="4" max="4" width="44.33203125" style="1" bestFit="1" customWidth="1"/>
    <col min="5" max="5" width="33.6640625" bestFit="1" customWidth="1"/>
    <col min="6" max="6" width="38.44140625" style="1" customWidth="1"/>
    <col min="7" max="7" width="31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91"/>
      <c r="B1" s="92"/>
      <c r="C1" s="92"/>
      <c r="D1" s="93"/>
      <c r="E1" s="94"/>
      <c r="F1" s="93"/>
      <c r="G1" s="95"/>
    </row>
    <row r="2" spans="1:9" ht="36" customHeight="1" thickBot="1" x14ac:dyDescent="0.65">
      <c r="A2" s="96"/>
      <c r="B2" s="31"/>
      <c r="C2" s="31"/>
      <c r="D2" s="37"/>
      <c r="E2" s="38"/>
      <c r="F2" s="38"/>
      <c r="G2" s="104"/>
      <c r="I2" s="1">
        <v>0</v>
      </c>
    </row>
    <row r="3" spans="1:9" ht="31.8" thickBot="1" x14ac:dyDescent="0.35">
      <c r="A3" s="96"/>
      <c r="B3" s="31"/>
      <c r="C3" s="31"/>
      <c r="D3" s="32" t="s">
        <v>18</v>
      </c>
      <c r="E3" s="33" t="s">
        <v>17</v>
      </c>
      <c r="F3" s="34" t="s">
        <v>8</v>
      </c>
      <c r="G3" s="35" t="s">
        <v>6</v>
      </c>
    </row>
    <row r="4" spans="1:9" ht="31.2" x14ac:dyDescent="0.6">
      <c r="A4" s="96"/>
      <c r="B4" s="31"/>
      <c r="C4" s="31"/>
      <c r="D4" s="36" t="s">
        <v>19</v>
      </c>
      <c r="E4" s="39">
        <f>+SUM(BENARDPNEU[TOTAL MONTANT])</f>
        <v>1515000</v>
      </c>
      <c r="F4" s="39">
        <f>+SUM(BENARDPNEU[VERSEMENT])</f>
        <v>0</v>
      </c>
      <c r="G4" s="97">
        <f>+E4-F4</f>
        <v>1515000</v>
      </c>
    </row>
    <row r="5" spans="1:9" ht="29.4" thickBot="1" x14ac:dyDescent="0.35">
      <c r="A5" s="98"/>
      <c r="B5" s="3" t="s">
        <v>7</v>
      </c>
      <c r="G5" s="99"/>
    </row>
    <row r="6" spans="1:9" ht="37.200000000000003" thickBot="1" x14ac:dyDescent="0.75">
      <c r="A6" s="98"/>
      <c r="B6" s="113" t="s">
        <v>193</v>
      </c>
      <c r="C6" s="114"/>
      <c r="E6" s="42"/>
      <c r="G6" s="99"/>
    </row>
    <row r="7" spans="1:9" ht="15" thickBot="1" x14ac:dyDescent="0.35">
      <c r="A7" s="100"/>
      <c r="B7" s="101"/>
      <c r="C7" s="101"/>
      <c r="D7" s="101"/>
      <c r="E7" s="102"/>
      <c r="F7" s="101"/>
      <c r="G7" s="103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46086</v>
      </c>
      <c r="B9" s="13" t="s">
        <v>198</v>
      </c>
      <c r="C9" s="10">
        <v>4</v>
      </c>
      <c r="D9" s="10">
        <v>210000</v>
      </c>
      <c r="E9" s="7">
        <f>+$I$2+(BENARDPNEU[[#This Row],[QUANTITE]]*BENARDPNEU[[#This Row],[PRIX UNITAIRE]])</f>
        <v>840000</v>
      </c>
      <c r="F9" s="21"/>
      <c r="G9" s="6">
        <f>+SUM(E$9:$E9)-SUM(F$9:$F9)</f>
        <v>840000</v>
      </c>
    </row>
    <row r="10" spans="1:9" ht="28.8" x14ac:dyDescent="0.55000000000000004">
      <c r="A10" s="12">
        <v>46086</v>
      </c>
      <c r="B10" s="13" t="s">
        <v>199</v>
      </c>
      <c r="C10" s="10">
        <v>3</v>
      </c>
      <c r="D10" s="10">
        <v>225000</v>
      </c>
      <c r="E10" s="7">
        <f>+$I$2+(BENARDPNEU[[#This Row],[QUANTITE]]*BENARDPNEU[[#This Row],[PRIX UNITAIRE]])</f>
        <v>675000</v>
      </c>
      <c r="F10" s="21"/>
      <c r="G10" s="6">
        <f>+SUM(E$9:$E10)-SUM(F$9:$F10)</f>
        <v>1515000</v>
      </c>
    </row>
    <row r="11" spans="1:9" ht="28.8" x14ac:dyDescent="0.55000000000000004">
      <c r="A11" s="12"/>
      <c r="B11" s="13"/>
      <c r="C11" s="10"/>
      <c r="D11" s="10"/>
      <c r="E11" s="7">
        <f>+$I$2+(BENARDPNEU[[#This Row],[QUANTITE]]*BENARDPNEU[[#This Row],[PRIX UNITAIRE]])</f>
        <v>0</v>
      </c>
      <c r="F11" s="14"/>
      <c r="G11" s="6">
        <f>+SUM(E$9:$E11)-SUM(F$9:$F11)</f>
        <v>1515000</v>
      </c>
    </row>
    <row r="12" spans="1:9" ht="28.8" x14ac:dyDescent="0.55000000000000004">
      <c r="A12" s="12"/>
      <c r="B12" s="13"/>
      <c r="C12" s="10"/>
      <c r="D12" s="10"/>
      <c r="E12" s="7">
        <f>+$I$2+(BENARDPNEU[[#This Row],[QUANTITE]]*BENARDPNEU[[#This Row],[PRIX UNITAIRE]])</f>
        <v>0</v>
      </c>
      <c r="F12" s="14"/>
      <c r="G12" s="6">
        <f>+SUM(E$9:$E12)-SUM(F$9:$F12)</f>
        <v>1515000</v>
      </c>
    </row>
    <row r="13" spans="1:9" ht="28.8" x14ac:dyDescent="0.55000000000000004">
      <c r="A13" s="12"/>
      <c r="B13" s="13"/>
      <c r="C13" s="10"/>
      <c r="D13" s="10"/>
      <c r="E13" s="7">
        <f>+$I$2+(BENARDPNEU[[#This Row],[QUANTITE]]*BENARDPNEU[[#This Row],[PRIX UNITAIRE]])</f>
        <v>0</v>
      </c>
      <c r="F13" s="14"/>
      <c r="G13" s="6">
        <f>+SUM(E$9:$E13)-SUM(F$9:$F13)</f>
        <v>1515000</v>
      </c>
    </row>
    <row r="14" spans="1:9" ht="28.8" x14ac:dyDescent="0.55000000000000004">
      <c r="A14" s="12"/>
      <c r="B14" s="13"/>
      <c r="C14" s="10"/>
      <c r="D14" s="10"/>
      <c r="E14" s="7">
        <f>+$I$2+(BENARDPNEU[[#This Row],[QUANTITE]]*BENARDPNEU[[#This Row],[PRIX UNITAIRE]])</f>
        <v>0</v>
      </c>
      <c r="F14" s="14"/>
      <c r="G14" s="6">
        <f>+SUM(E$9:$E14)-SUM(F$9:$F14)</f>
        <v>1515000</v>
      </c>
    </row>
    <row r="15" spans="1:9" ht="28.8" x14ac:dyDescent="0.55000000000000004">
      <c r="A15" s="12"/>
      <c r="B15" s="13"/>
      <c r="C15" s="10"/>
      <c r="D15" s="10"/>
      <c r="E15" s="7">
        <f>+$I$2+(BENARDPNEU[[#This Row],[QUANTITE]]*BENARDPNEU[[#This Row],[PRIX UNITAIRE]])</f>
        <v>0</v>
      </c>
      <c r="F15" s="14"/>
      <c r="G15" s="6">
        <f>+SUM(E$9:$E15)-SUM(F$9:$F15)</f>
        <v>1515000</v>
      </c>
    </row>
    <row r="16" spans="1:9" ht="28.8" x14ac:dyDescent="0.55000000000000004">
      <c r="A16" s="12"/>
      <c r="B16" s="13"/>
      <c r="C16" s="10"/>
      <c r="D16" s="10"/>
      <c r="E16" s="7">
        <f>+$I$2+(BENARDPNEU[[#This Row],[QUANTITE]]*BENARDPNEU[[#This Row],[PRIX UNITAIRE]])</f>
        <v>0</v>
      </c>
      <c r="F16" s="14"/>
      <c r="G16" s="6">
        <f>+SUM(E$9:$E16)-SUM(F$9:$F16)</f>
        <v>1515000</v>
      </c>
    </row>
    <row r="17" spans="1:7" ht="28.8" x14ac:dyDescent="0.55000000000000004">
      <c r="A17" s="12"/>
      <c r="B17" s="13"/>
      <c r="C17" s="10"/>
      <c r="D17" s="10"/>
      <c r="E17" s="7">
        <f>+$I$2+(BENARDPNEU[[#This Row],[QUANTITE]]*BENARDPNEU[[#This Row],[PRIX UNITAIRE]])</f>
        <v>0</v>
      </c>
      <c r="F17" s="14"/>
      <c r="G17" s="6">
        <f>+SUM(E$9:$E17)-SUM(F$9:$F17)</f>
        <v>1515000</v>
      </c>
    </row>
    <row r="18" spans="1:7" ht="28.8" x14ac:dyDescent="0.55000000000000004">
      <c r="A18" s="12"/>
      <c r="B18" s="13"/>
      <c r="C18" s="10"/>
      <c r="D18" s="10"/>
      <c r="E18" s="7">
        <f>+$I$2+(BENARDPNEU[[#This Row],[QUANTITE]]*BENARDPNEU[[#This Row],[PRIX UNITAIRE]])</f>
        <v>0</v>
      </c>
      <c r="F18" s="14"/>
      <c r="G18" s="6">
        <f>+SUM(E$9:$E18)-SUM(F$9:$F18)</f>
        <v>1515000</v>
      </c>
    </row>
    <row r="19" spans="1:7" ht="28.8" x14ac:dyDescent="0.55000000000000004">
      <c r="A19" s="12"/>
      <c r="B19" s="13"/>
      <c r="C19" s="10"/>
      <c r="D19" s="10"/>
      <c r="E19" s="7">
        <f>+$I$2+(BENARDPNEU[[#This Row],[QUANTITE]]*BENARDPNEU[[#This Row],[PRIX UNITAIRE]])</f>
        <v>0</v>
      </c>
      <c r="F19" s="14"/>
      <c r="G19" s="6">
        <f>+SUM(E$9:$E19)-SUM(F$9:$F19)</f>
        <v>1515000</v>
      </c>
    </row>
    <row r="20" spans="1:7" ht="28.8" x14ac:dyDescent="0.55000000000000004">
      <c r="A20" s="12"/>
      <c r="B20" s="13"/>
      <c r="C20" s="10"/>
      <c r="D20" s="10"/>
      <c r="E20" s="7">
        <f>+$I$2+(BENARDPNEU[[#This Row],[QUANTITE]]*BENARDPNEU[[#This Row],[PRIX UNITAIRE]])</f>
        <v>0</v>
      </c>
      <c r="F20" s="14"/>
      <c r="G20" s="6">
        <f>+SUM(E$9:$E20)-SUM(F$9:$F20)</f>
        <v>1515000</v>
      </c>
    </row>
    <row r="21" spans="1:7" ht="28.8" x14ac:dyDescent="0.55000000000000004">
      <c r="A21" s="12"/>
      <c r="B21" s="13"/>
      <c r="C21" s="10"/>
      <c r="D21" s="10"/>
      <c r="E21" s="7">
        <f>+$I$2+(BENARDPNEU[[#This Row],[QUANTITE]]*BENARDPNEU[[#This Row],[PRIX UNITAIRE]])</f>
        <v>0</v>
      </c>
      <c r="F21" s="14"/>
      <c r="G21" s="6">
        <f>+SUM(E$9:$E21)-SUM(F$9:$F21)</f>
        <v>1515000</v>
      </c>
    </row>
    <row r="22" spans="1:7" ht="28.8" x14ac:dyDescent="0.55000000000000004">
      <c r="A22" s="12"/>
      <c r="B22" s="13"/>
      <c r="C22" s="10"/>
      <c r="D22" s="10"/>
      <c r="E22" s="7">
        <f>+$I$2+(BENARDPNEU[[#This Row],[QUANTITE]]*BENARDPNEU[[#This Row],[PRIX UNITAIRE]])</f>
        <v>0</v>
      </c>
      <c r="F22" s="14"/>
      <c r="G22" s="6">
        <f>+SUM(E$9:$E22)-SUM(F$9:$F22)</f>
        <v>1515000</v>
      </c>
    </row>
    <row r="23" spans="1:7" ht="28.8" x14ac:dyDescent="0.55000000000000004">
      <c r="A23" s="12"/>
      <c r="B23" s="13"/>
      <c r="C23" s="10"/>
      <c r="D23" s="10"/>
      <c r="E23" s="7">
        <f>+$I$2+(BENARDPNEU[[#This Row],[QUANTITE]]*BENARDPNEU[[#This Row],[PRIX UNITAIRE]])</f>
        <v>0</v>
      </c>
      <c r="F23" s="14"/>
      <c r="G23" s="6">
        <f>+SUM(E$9:$E23)-SUM(F$9:$F23)</f>
        <v>1515000</v>
      </c>
    </row>
    <row r="24" spans="1:7" ht="28.8" x14ac:dyDescent="0.55000000000000004">
      <c r="A24" s="12"/>
      <c r="B24" s="13"/>
      <c r="C24" s="10"/>
      <c r="D24" s="10"/>
      <c r="E24" s="7">
        <f>+$I$2+(BENARDPNEU[[#This Row],[QUANTITE]]*BENARDPNEU[[#This Row],[PRIX UNITAIRE]])</f>
        <v>0</v>
      </c>
      <c r="F24" s="14"/>
      <c r="G24" s="6">
        <f>+SUM(E$9:$E24)-SUM(F$9:$F24)</f>
        <v>1515000</v>
      </c>
    </row>
    <row r="25" spans="1:7" ht="28.8" x14ac:dyDescent="0.55000000000000004">
      <c r="A25" s="12"/>
      <c r="B25" s="13"/>
      <c r="C25" s="10"/>
      <c r="D25" s="10"/>
      <c r="E25" s="7">
        <f>+$I$2+(BENARDPNEU[[#This Row],[QUANTITE]]*BENARDPNEU[[#This Row],[PRIX UNITAIRE]])</f>
        <v>0</v>
      </c>
      <c r="F25" s="14"/>
      <c r="G25" s="6">
        <f>+SUM(E$9:$E25)-SUM(F$9:$F25)</f>
        <v>1515000</v>
      </c>
    </row>
    <row r="26" spans="1:7" ht="28.8" x14ac:dyDescent="0.55000000000000004">
      <c r="A26" s="12"/>
      <c r="B26" s="13"/>
      <c r="C26" s="10"/>
      <c r="D26" s="10"/>
      <c r="E26" s="7">
        <f>+$I$2+(BENARDPNEU[[#This Row],[QUANTITE]]*BENARDPNEU[[#This Row],[PRIX UNITAIRE]])</f>
        <v>0</v>
      </c>
      <c r="F26" s="14"/>
      <c r="G26" s="6">
        <f>+SUM(E$9:$E26)-SUM(F$9:$F26)</f>
        <v>1515000</v>
      </c>
    </row>
    <row r="27" spans="1:7" ht="28.8" x14ac:dyDescent="0.55000000000000004">
      <c r="A27" s="12"/>
      <c r="B27" s="13"/>
      <c r="C27" s="10"/>
      <c r="D27" s="10"/>
      <c r="E27" s="7">
        <f>+$I$2+(BENARDPNEU[[#This Row],[QUANTITE]]*BENARDPNEU[[#This Row],[PRIX UNITAIRE]])</f>
        <v>0</v>
      </c>
      <c r="F27" s="14"/>
      <c r="G27" s="6">
        <f>+SUM(E$9:$E27)-SUM(F$9:$F27)</f>
        <v>1515000</v>
      </c>
    </row>
    <row r="28" spans="1:7" ht="28.8" x14ac:dyDescent="0.55000000000000004">
      <c r="A28" s="12"/>
      <c r="B28" s="13"/>
      <c r="C28" s="10"/>
      <c r="D28" s="10"/>
      <c r="E28" s="7">
        <f>+$I$2+(BENARDPNEU[[#This Row],[QUANTITE]]*BENARDPNEU[[#This Row],[PRIX UNITAIRE]])</f>
        <v>0</v>
      </c>
      <c r="F28" s="14"/>
      <c r="G28" s="6">
        <f>+SUM(E$9:$E28)-SUM(F$9:$F28)</f>
        <v>1515000</v>
      </c>
    </row>
    <row r="29" spans="1:7" ht="28.8" x14ac:dyDescent="0.55000000000000004">
      <c r="A29" s="12"/>
      <c r="B29" s="13"/>
      <c r="C29" s="10"/>
      <c r="D29" s="10"/>
      <c r="E29" s="7">
        <f>+$I$2+(BENARDPNEU[[#This Row],[QUANTITE]]*BENARDPNEU[[#This Row],[PRIX UNITAIRE]])</f>
        <v>0</v>
      </c>
      <c r="F29" s="14"/>
      <c r="G29" s="6">
        <f>+SUM(E$9:$E29)-SUM(F$9:$F29)</f>
        <v>1515000</v>
      </c>
    </row>
    <row r="30" spans="1:7" ht="28.8" x14ac:dyDescent="0.55000000000000004">
      <c r="A30" s="12"/>
      <c r="B30" s="13"/>
      <c r="C30" s="10"/>
      <c r="D30" s="10"/>
      <c r="E30" s="7">
        <f>+$I$2+(BENARDPNEU[[#This Row],[QUANTITE]]*BENARDPNEU[[#This Row],[PRIX UNITAIRE]])</f>
        <v>0</v>
      </c>
      <c r="F30" s="14"/>
      <c r="G30" s="6">
        <f>+SUM(E$9:$E30)-SUM(F$9:$F30)</f>
        <v>1515000</v>
      </c>
    </row>
    <row r="31" spans="1:7" ht="28.8" x14ac:dyDescent="0.55000000000000004">
      <c r="A31" s="12"/>
      <c r="B31" s="13"/>
      <c r="C31" s="10"/>
      <c r="D31" s="10"/>
      <c r="E31" s="7">
        <f>+$I$2+(BENARDPNEU[[#This Row],[QUANTITE]]*BENARDPNEU[[#This Row],[PRIX UNITAIRE]])</f>
        <v>0</v>
      </c>
      <c r="F31" s="14"/>
      <c r="G31" s="6">
        <f>+SUM(E$9:$E31)-SUM(F$9:$F31)</f>
        <v>1515000</v>
      </c>
    </row>
    <row r="32" spans="1:7" ht="28.8" x14ac:dyDescent="0.55000000000000004">
      <c r="A32" s="12"/>
      <c r="B32" s="13"/>
      <c r="C32" s="10"/>
      <c r="D32" s="10"/>
      <c r="E32" s="7">
        <f>+$I$2+(BENARDPNEU[[#This Row],[QUANTITE]]*BENARDPNEU[[#This Row],[PRIX UNITAIRE]])</f>
        <v>0</v>
      </c>
      <c r="F32" s="14"/>
      <c r="G32" s="6">
        <f>+SUM(E$9:$E32)-SUM(F$9:$F32)</f>
        <v>1515000</v>
      </c>
    </row>
    <row r="33" spans="1:7" ht="28.8" x14ac:dyDescent="0.55000000000000004">
      <c r="A33" s="12"/>
      <c r="B33" s="13"/>
      <c r="C33" s="10"/>
      <c r="D33" s="10"/>
      <c r="E33" s="7">
        <f>+$I$2+(BENARDPNEU[[#This Row],[QUANTITE]]*BENARDPNEU[[#This Row],[PRIX UNITAIRE]])</f>
        <v>0</v>
      </c>
      <c r="F33" s="14"/>
      <c r="G33" s="6">
        <f>+SUM(E$9:$E33)-SUM(F$9:$F33)</f>
        <v>1515000</v>
      </c>
    </row>
    <row r="34" spans="1:7" ht="28.8" x14ac:dyDescent="0.55000000000000004">
      <c r="A34" s="12"/>
      <c r="B34" s="13"/>
      <c r="C34" s="10"/>
      <c r="D34" s="10"/>
      <c r="E34" s="7">
        <f>+$I$2+(BENARDPNEU[[#This Row],[QUANTITE]]*BENARDPNEU[[#This Row],[PRIX UNITAIRE]])</f>
        <v>0</v>
      </c>
      <c r="F34" s="14"/>
      <c r="G34" s="6">
        <f>+SUM(E$9:$E34)-SUM(F$9:$F34)</f>
        <v>1515000</v>
      </c>
    </row>
    <row r="35" spans="1:7" ht="28.8" x14ac:dyDescent="0.55000000000000004">
      <c r="A35" s="12"/>
      <c r="B35" s="13"/>
      <c r="C35" s="10"/>
      <c r="D35" s="10"/>
      <c r="E35" s="7">
        <f>+$I$2+(BENARDPNEU[[#This Row],[QUANTITE]]*BENARDPNEU[[#This Row],[PRIX UNITAIRE]])</f>
        <v>0</v>
      </c>
      <c r="F35" s="14"/>
      <c r="G35" s="6">
        <f>+SUM(E$9:$E35)-SUM(F$9:$F35)</f>
        <v>1515000</v>
      </c>
    </row>
    <row r="36" spans="1:7" ht="28.8" x14ac:dyDescent="0.55000000000000004">
      <c r="A36" s="12"/>
      <c r="B36" s="13"/>
      <c r="C36" s="10"/>
      <c r="D36" s="10"/>
      <c r="E36" s="7">
        <f>+$I$2+(BENARDPNEU[[#This Row],[QUANTITE]]*BENARDPNEU[[#This Row],[PRIX UNITAIRE]])</f>
        <v>0</v>
      </c>
      <c r="F36" s="14"/>
      <c r="G36" s="6">
        <f>+SUM(E$9:$E36)-SUM(F$9:$F36)</f>
        <v>1515000</v>
      </c>
    </row>
    <row r="37" spans="1:7" ht="28.8" x14ac:dyDescent="0.55000000000000004">
      <c r="A37" s="12"/>
      <c r="B37" s="13"/>
      <c r="C37" s="10"/>
      <c r="D37" s="10"/>
      <c r="E37" s="7">
        <f>+$I$2+(BENARDPNEU[[#This Row],[QUANTITE]]*BENARDPNEU[[#This Row],[PRIX UNITAIRE]])</f>
        <v>0</v>
      </c>
      <c r="F37" s="14"/>
      <c r="G37" s="6">
        <f>+SUM(E$9:$E37)-SUM(F$9:$F37)</f>
        <v>1515000</v>
      </c>
    </row>
    <row r="38" spans="1:7" ht="28.8" x14ac:dyDescent="0.55000000000000004">
      <c r="A38" s="12"/>
      <c r="B38" s="13"/>
      <c r="C38" s="10"/>
      <c r="D38" s="10"/>
      <c r="E38" s="7">
        <f>+$I$2+(BENARDPNEU[[#This Row],[QUANTITE]]*BENARDPNEU[[#This Row],[PRIX UNITAIRE]])</f>
        <v>0</v>
      </c>
      <c r="F38" s="14"/>
      <c r="G38" s="6">
        <f>+SUM(E$9:$E38)-SUM(F$9:$F38)</f>
        <v>1515000</v>
      </c>
    </row>
    <row r="39" spans="1:7" ht="28.8" x14ac:dyDescent="0.55000000000000004">
      <c r="A39" s="12"/>
      <c r="B39" s="13"/>
      <c r="C39" s="10"/>
      <c r="D39" s="10"/>
      <c r="E39" s="7">
        <f>+$I$2+(BENARDPNEU[[#This Row],[QUANTITE]]*BENARDPNEU[[#This Row],[PRIX UNITAIRE]])</f>
        <v>0</v>
      </c>
      <c r="F39" s="14"/>
      <c r="G39" s="6">
        <f>+SUM(E$9:$E39)-SUM(F$9:$F39)</f>
        <v>1515000</v>
      </c>
    </row>
    <row r="40" spans="1:7" ht="28.8" x14ac:dyDescent="0.55000000000000004">
      <c r="A40" s="12"/>
      <c r="B40" s="13"/>
      <c r="C40" s="10"/>
      <c r="D40" s="10"/>
      <c r="E40" s="7">
        <f>+$I$2+(BENARDPNEU[[#This Row],[QUANTITE]]*BENARDPNEU[[#This Row],[PRIX UNITAIRE]])</f>
        <v>0</v>
      </c>
      <c r="F40" s="14"/>
      <c r="G40" s="6">
        <f>+SUM(E$9:$E40)-SUM(F$9:$F40)</f>
        <v>1515000</v>
      </c>
    </row>
    <row r="41" spans="1:7" ht="28.8" x14ac:dyDescent="0.55000000000000004">
      <c r="A41" s="12"/>
      <c r="B41" s="13"/>
      <c r="C41" s="10"/>
      <c r="D41" s="10"/>
      <c r="E41" s="7">
        <f>+$I$2+(BENARDPNEU[[#This Row],[QUANTITE]]*BENARDPNEU[[#This Row],[PRIX UNITAIRE]])</f>
        <v>0</v>
      </c>
      <c r="F41" s="14"/>
      <c r="G41" s="6">
        <f>+SUM(E$9:$E41)-SUM(F$9:$F41)</f>
        <v>1515000</v>
      </c>
    </row>
    <row r="42" spans="1:7" ht="28.8" x14ac:dyDescent="0.55000000000000004">
      <c r="A42" s="12"/>
      <c r="B42" s="13"/>
      <c r="C42" s="10"/>
      <c r="D42" s="10"/>
      <c r="E42" s="7">
        <f>+$I$2+(BENARDPNEU[[#This Row],[QUANTITE]]*BENARDPNEU[[#This Row],[PRIX UNITAIRE]])</f>
        <v>0</v>
      </c>
      <c r="F42" s="14"/>
      <c r="G42" s="6">
        <f>+SUM(E$9:$E42)-SUM(F$9:$F42)</f>
        <v>1515000</v>
      </c>
    </row>
    <row r="43" spans="1:7" ht="28.8" x14ac:dyDescent="0.55000000000000004">
      <c r="A43" s="12"/>
      <c r="B43" s="13"/>
      <c r="C43" s="10"/>
      <c r="D43" s="10"/>
      <c r="E43" s="7">
        <f>+$I$2+(BENARDPNEU[[#This Row],[QUANTITE]]*BENARDPNEU[[#This Row],[PRIX UNITAIRE]])</f>
        <v>0</v>
      </c>
      <c r="F43" s="14"/>
      <c r="G43" s="6">
        <f>+SUM(E$9:$E43)-SUM(F$9:$F43)</f>
        <v>1515000</v>
      </c>
    </row>
    <row r="44" spans="1:7" ht="28.8" x14ac:dyDescent="0.55000000000000004">
      <c r="A44" s="12"/>
      <c r="B44" s="13"/>
      <c r="C44" s="10"/>
      <c r="D44" s="10"/>
      <c r="E44" s="7">
        <f>+$I$2+(BENARDPNEU[[#This Row],[QUANTITE]]*BENARDPNEU[[#This Row],[PRIX UNITAIRE]])</f>
        <v>0</v>
      </c>
      <c r="F44" s="14"/>
      <c r="G44" s="6">
        <f>+SUM(E$9:$E44)-SUM(F$9:$F44)</f>
        <v>1515000</v>
      </c>
    </row>
    <row r="45" spans="1:7" ht="28.8" x14ac:dyDescent="0.55000000000000004">
      <c r="A45" s="12"/>
      <c r="B45" s="13"/>
      <c r="C45" s="10"/>
      <c r="D45" s="10"/>
      <c r="E45" s="7">
        <f>+$I$2+(BENARDPNEU[[#This Row],[QUANTITE]]*BENARDPNEU[[#This Row],[PRIX UNITAIRE]])</f>
        <v>0</v>
      </c>
      <c r="F45" s="14"/>
      <c r="G45" s="6">
        <f>+SUM(E$9:$E45)-SUM(F$9:$F45)</f>
        <v>1515000</v>
      </c>
    </row>
    <row r="46" spans="1:7" ht="28.8" x14ac:dyDescent="0.55000000000000004">
      <c r="A46" s="12"/>
      <c r="B46" s="13"/>
      <c r="C46" s="10"/>
      <c r="D46" s="10"/>
      <c r="E46" s="7">
        <f>+$I$2+(BENARDPNEU[[#This Row],[QUANTITE]]*BENARDPNEU[[#This Row],[PRIX UNITAIRE]])</f>
        <v>0</v>
      </c>
      <c r="F46" s="14"/>
      <c r="G46" s="6">
        <f>+SUM(E$9:$E46)-SUM(F$9:$F46)</f>
        <v>1515000</v>
      </c>
    </row>
    <row r="47" spans="1:7" ht="28.8" x14ac:dyDescent="0.55000000000000004">
      <c r="A47" s="12"/>
      <c r="B47" s="13"/>
      <c r="C47" s="10"/>
      <c r="D47" s="10"/>
      <c r="E47" s="7">
        <f>+$I$2+(BENARDPNEU[[#This Row],[QUANTITE]]*BENARDPNEU[[#This Row],[PRIX UNITAIRE]])</f>
        <v>0</v>
      </c>
      <c r="F47" s="14"/>
      <c r="G47" s="6">
        <f>+SUM(E$9:$E47)-SUM(F$9:$F47)</f>
        <v>1515000</v>
      </c>
    </row>
    <row r="48" spans="1:7" ht="28.8" x14ac:dyDescent="0.55000000000000004">
      <c r="A48" s="12"/>
      <c r="B48" s="13"/>
      <c r="C48" s="10"/>
      <c r="D48" s="10"/>
      <c r="E48" s="7">
        <f>+$I$2+(BENARDPNEU[[#This Row],[QUANTITE]]*BENARDPNEU[[#This Row],[PRIX UNITAIRE]])</f>
        <v>0</v>
      </c>
      <c r="F48" s="14"/>
      <c r="G48" s="6">
        <f>+SUM(E$9:$E48)-SUM(F$9:$F48)</f>
        <v>1515000</v>
      </c>
    </row>
    <row r="49" spans="1:7" ht="28.8" x14ac:dyDescent="0.55000000000000004">
      <c r="A49" s="12"/>
      <c r="B49" s="13"/>
      <c r="C49" s="10"/>
      <c r="D49" s="10"/>
      <c r="E49" s="7">
        <f>+$I$2+(BENARDPNEU[[#This Row],[QUANTITE]]*BENARDPNEU[[#This Row],[PRIX UNITAIRE]])</f>
        <v>0</v>
      </c>
      <c r="F49" s="14"/>
      <c r="G49" s="6">
        <f>+SUM(E$9:$E49)-SUM(F$9:$F49)</f>
        <v>1515000</v>
      </c>
    </row>
    <row r="50" spans="1:7" ht="28.8" x14ac:dyDescent="0.55000000000000004">
      <c r="A50" s="12"/>
      <c r="B50" s="13"/>
      <c r="C50" s="10"/>
      <c r="D50" s="10"/>
      <c r="E50" s="7">
        <f>+$I$2+(BENARDPNEU[[#This Row],[QUANTITE]]*BENARDPNEU[[#This Row],[PRIX UNITAIRE]])</f>
        <v>0</v>
      </c>
      <c r="F50" s="14"/>
      <c r="G50" s="6">
        <f>+SUM(E$9:$E50)-SUM(F$9:$F50)</f>
        <v>1515000</v>
      </c>
    </row>
    <row r="51" spans="1:7" ht="28.8" x14ac:dyDescent="0.55000000000000004">
      <c r="A51" s="12"/>
      <c r="B51" s="13"/>
      <c r="C51" s="10"/>
      <c r="D51" s="10"/>
      <c r="E51" s="7">
        <f>+$I$2+(BENARDPNEU[[#This Row],[QUANTITE]]*BENARDPNEU[[#This Row],[PRIX UNITAIRE]])</f>
        <v>0</v>
      </c>
      <c r="F51" s="14"/>
      <c r="G51" s="6">
        <f>+SUM(E$9:$E51)-SUM(F$9:$F51)</f>
        <v>1515000</v>
      </c>
    </row>
    <row r="52" spans="1:7" ht="28.8" x14ac:dyDescent="0.55000000000000004">
      <c r="A52" s="12"/>
      <c r="B52" s="13"/>
      <c r="C52" s="10"/>
      <c r="D52" s="10"/>
      <c r="E52" s="7">
        <f>+$I$2+(BENARDPNEU[[#This Row],[QUANTITE]]*BENARDPNEU[[#This Row],[PRIX UNITAIRE]])</f>
        <v>0</v>
      </c>
      <c r="F52" s="14"/>
      <c r="G52" s="6">
        <f>+SUM(E$9:$E52)-SUM(F$9:$F52)</f>
        <v>1515000</v>
      </c>
    </row>
    <row r="53" spans="1:7" ht="28.8" x14ac:dyDescent="0.55000000000000004">
      <c r="A53" s="12"/>
      <c r="B53" s="13"/>
      <c r="C53" s="10"/>
      <c r="D53" s="10"/>
      <c r="E53" s="7">
        <f>+$I$2+(BENARDPNEU[[#This Row],[QUANTITE]]*BENARDPNEU[[#This Row],[PRIX UNITAIRE]])</f>
        <v>0</v>
      </c>
      <c r="F53" s="14"/>
      <c r="G53" s="6">
        <f>+SUM(E$9:$E53)-SUM(F$9:$F53)</f>
        <v>1515000</v>
      </c>
    </row>
    <row r="54" spans="1:7" ht="28.8" x14ac:dyDescent="0.55000000000000004">
      <c r="A54" s="12"/>
      <c r="B54" s="13"/>
      <c r="C54" s="10"/>
      <c r="D54" s="10"/>
      <c r="E54" s="7">
        <f>+$I$2+(BENARDPNEU[[#This Row],[QUANTITE]]*BENARDPNEU[[#This Row],[PRIX UNITAIRE]])</f>
        <v>0</v>
      </c>
      <c r="F54" s="14"/>
      <c r="G54" s="6">
        <f>+SUM(E$9:$E54)-SUM(F$9:$F54)</f>
        <v>1515000</v>
      </c>
    </row>
    <row r="55" spans="1:7" ht="28.8" x14ac:dyDescent="0.55000000000000004">
      <c r="A55" s="12"/>
      <c r="B55" s="13"/>
      <c r="C55" s="10"/>
      <c r="D55" s="10"/>
      <c r="E55" s="7">
        <f>+$I$2+(BENARDPNEU[[#This Row],[QUANTITE]]*BENARDPNEU[[#This Row],[PRIX UNITAIRE]])</f>
        <v>0</v>
      </c>
      <c r="F55" s="14"/>
      <c r="G55" s="6">
        <f>+SUM(E$9:$E55)-SUM(F$9:$F55)</f>
        <v>1515000</v>
      </c>
    </row>
    <row r="56" spans="1:7" ht="28.8" x14ac:dyDescent="0.55000000000000004">
      <c r="A56" s="12"/>
      <c r="B56" s="13"/>
      <c r="C56" s="10"/>
      <c r="D56" s="10"/>
      <c r="E56" s="7">
        <f>+$I$2+(BENARDPNEU[[#This Row],[QUANTITE]]*BENARDPNEU[[#This Row],[PRIX UNITAIRE]])</f>
        <v>0</v>
      </c>
      <c r="F56" s="14"/>
      <c r="G56" s="6">
        <f>+SUM(E$9:$E56)-SUM(F$9:$F56)</f>
        <v>1515000</v>
      </c>
    </row>
    <row r="57" spans="1:7" ht="28.8" x14ac:dyDescent="0.55000000000000004">
      <c r="A57" s="12"/>
      <c r="B57" s="13"/>
      <c r="C57" s="10"/>
      <c r="D57" s="10"/>
      <c r="E57" s="7">
        <f>+$I$2+(BENARDPNEU[[#This Row],[QUANTITE]]*BENARDPNEU[[#This Row],[PRIX UNITAIRE]])</f>
        <v>0</v>
      </c>
      <c r="F57" s="14"/>
      <c r="G57" s="6">
        <f>+SUM(E$9:$E57)-SUM(F$9:$F57)</f>
        <v>1515000</v>
      </c>
    </row>
    <row r="58" spans="1:7" ht="28.8" x14ac:dyDescent="0.55000000000000004">
      <c r="A58" s="12"/>
      <c r="B58" s="13"/>
      <c r="C58" s="10"/>
      <c r="D58" s="10"/>
      <c r="E58" s="7">
        <f>+$I$2+(BENARDPNEU[[#This Row],[QUANTITE]]*BENARDPNEU[[#This Row],[PRIX UNITAIRE]])</f>
        <v>0</v>
      </c>
      <c r="F58" s="14"/>
      <c r="G58" s="6">
        <f>+SUM(E$9:$E58)-SUM(F$9:$F58)</f>
        <v>1515000</v>
      </c>
    </row>
    <row r="59" spans="1:7" ht="28.8" x14ac:dyDescent="0.55000000000000004">
      <c r="A59" s="12"/>
      <c r="B59" s="13"/>
      <c r="C59" s="10"/>
      <c r="D59" s="10"/>
      <c r="E59" s="7">
        <f>+$I$2+(BENARDPNEU[[#This Row],[QUANTITE]]*BENARDPNEU[[#This Row],[PRIX UNITAIRE]])</f>
        <v>0</v>
      </c>
      <c r="F59" s="14"/>
      <c r="G59" s="6">
        <f>+SUM(E$9:$E59)-SUM(F$9:$F59)</f>
        <v>1515000</v>
      </c>
    </row>
    <row r="60" spans="1:7" ht="28.8" x14ac:dyDescent="0.55000000000000004">
      <c r="A60" s="12"/>
      <c r="B60" s="13"/>
      <c r="C60" s="10"/>
      <c r="D60" s="10"/>
      <c r="E60" s="7">
        <f>+$I$2+(BENARDPNEU[[#This Row],[QUANTITE]]*BENARDPNEU[[#This Row],[PRIX UNITAIRE]])</f>
        <v>0</v>
      </c>
      <c r="F60" s="14"/>
      <c r="G60" s="6">
        <f>+SUM(E$9:$E60)-SUM(F$9:$F60)</f>
        <v>1515000</v>
      </c>
    </row>
    <row r="61" spans="1:7" ht="28.8" x14ac:dyDescent="0.55000000000000004">
      <c r="A61" s="12"/>
      <c r="B61" s="13"/>
      <c r="C61" s="10"/>
      <c r="D61" s="10"/>
      <c r="E61" s="7">
        <f>+$I$2+(BENARDPNEU[[#This Row],[QUANTITE]]*BENARDPNEU[[#This Row],[PRIX UNITAIRE]])</f>
        <v>0</v>
      </c>
      <c r="F61" s="14"/>
      <c r="G61" s="6">
        <f>+SUM(E$9:$E61)-SUM(F$9:$F61)</f>
        <v>1515000</v>
      </c>
    </row>
    <row r="62" spans="1:7" ht="28.8" x14ac:dyDescent="0.55000000000000004">
      <c r="A62" s="12"/>
      <c r="B62" s="13"/>
      <c r="C62" s="10"/>
      <c r="D62" s="10"/>
      <c r="E62" s="7">
        <f>+$I$2+(BENARDPNEU[[#This Row],[QUANTITE]]*BENARDPNEU[[#This Row],[PRIX UNITAIRE]])</f>
        <v>0</v>
      </c>
      <c r="F62" s="14"/>
      <c r="G62" s="6">
        <f>+SUM(E$9:$E62)-SUM(F$9:$F62)</f>
        <v>1515000</v>
      </c>
    </row>
    <row r="63" spans="1:7" ht="28.8" x14ac:dyDescent="0.55000000000000004">
      <c r="A63" s="12"/>
      <c r="B63" s="13"/>
      <c r="C63" s="10"/>
      <c r="D63" s="10"/>
      <c r="E63" s="7">
        <f>+$I$2+(BENARDPNEU[[#This Row],[QUANTITE]]*BENARDPNEU[[#This Row],[PRIX UNITAIRE]])</f>
        <v>0</v>
      </c>
      <c r="F63" s="14"/>
      <c r="G63" s="6">
        <f>+SUM(E$9:$E63)-SUM(F$9:$F63)</f>
        <v>1515000</v>
      </c>
    </row>
    <row r="64" spans="1:7" ht="28.8" x14ac:dyDescent="0.55000000000000004">
      <c r="A64" s="12"/>
      <c r="B64" s="13"/>
      <c r="C64" s="10"/>
      <c r="D64" s="10"/>
      <c r="E64" s="7">
        <f>+$I$2+(BENARDPNEU[[#This Row],[QUANTITE]]*BENARDPNEU[[#This Row],[PRIX UNITAIRE]])</f>
        <v>0</v>
      </c>
      <c r="F64" s="14"/>
      <c r="G64" s="6">
        <f>+SUM(E$9:$E64)-SUM(F$9:$F64)</f>
        <v>1515000</v>
      </c>
    </row>
    <row r="65" spans="1:7" ht="28.8" x14ac:dyDescent="0.55000000000000004">
      <c r="A65" s="12"/>
      <c r="B65" s="13"/>
      <c r="C65" s="10"/>
      <c r="D65" s="10"/>
      <c r="E65" s="7">
        <f>+$I$2+(BENARDPNEU[[#This Row],[QUANTITE]]*BENARDPNEU[[#This Row],[PRIX UNITAIRE]])</f>
        <v>0</v>
      </c>
      <c r="F65" s="14"/>
      <c r="G65" s="6">
        <f>+SUM(E$9:$E65)-SUM(F$9:$F65)</f>
        <v>1515000</v>
      </c>
    </row>
    <row r="66" spans="1:7" ht="28.8" x14ac:dyDescent="0.55000000000000004">
      <c r="A66" s="12"/>
      <c r="B66" s="13"/>
      <c r="C66" s="10"/>
      <c r="D66" s="10"/>
      <c r="E66" s="7">
        <f>+$I$2+(BENARDPNEU[[#This Row],[QUANTITE]]*BENARDPNEU[[#This Row],[PRIX UNITAIRE]])</f>
        <v>0</v>
      </c>
      <c r="F66" s="14"/>
      <c r="G66" s="6">
        <f>+SUM(E$9:$E66)-SUM(F$9:$F66)</f>
        <v>1515000</v>
      </c>
    </row>
    <row r="67" spans="1:7" ht="28.8" x14ac:dyDescent="0.55000000000000004">
      <c r="A67" s="12"/>
      <c r="B67" s="13"/>
      <c r="C67" s="10"/>
      <c r="D67" s="10"/>
      <c r="E67" s="7">
        <f>+$I$2+(BENARDPNEU[[#This Row],[QUANTITE]]*BENARDPNEU[[#This Row],[PRIX UNITAIRE]])</f>
        <v>0</v>
      </c>
      <c r="F67" s="14"/>
      <c r="G67" s="6">
        <f>+SUM(E$9:$E67)-SUM(F$9:$F67)</f>
        <v>1515000</v>
      </c>
    </row>
    <row r="68" spans="1:7" ht="28.8" x14ac:dyDescent="0.55000000000000004">
      <c r="A68" s="12"/>
      <c r="B68" s="13"/>
      <c r="C68" s="10"/>
      <c r="D68" s="10"/>
      <c r="E68" s="7">
        <f>+$I$2+(BENARDPNEU[[#This Row],[QUANTITE]]*BENARDPNEU[[#This Row],[PRIX UNITAIRE]])</f>
        <v>0</v>
      </c>
      <c r="F68" s="14"/>
      <c r="G68" s="6">
        <f>+SUM(E$9:$E68)-SUM(F$9:$F68)</f>
        <v>1515000</v>
      </c>
    </row>
    <row r="69" spans="1:7" ht="28.8" x14ac:dyDescent="0.55000000000000004">
      <c r="A69" s="12"/>
      <c r="B69" s="13"/>
      <c r="C69" s="10"/>
      <c r="D69" s="10"/>
      <c r="E69" s="7">
        <f>+$I$2+(BENARDPNEU[[#This Row],[QUANTITE]]*BENARDPNEU[[#This Row],[PRIX UNITAIRE]])</f>
        <v>0</v>
      </c>
      <c r="F69" s="14"/>
      <c r="G69" s="6">
        <f>+SUM(E$9:$E69)-SUM(F$9:$F69)</f>
        <v>1515000</v>
      </c>
    </row>
    <row r="70" spans="1:7" ht="28.8" x14ac:dyDescent="0.55000000000000004">
      <c r="A70" s="12"/>
      <c r="B70" s="13"/>
      <c r="C70" s="10"/>
      <c r="D70" s="10"/>
      <c r="E70" s="7">
        <f>+$I$2+(BENARDPNEU[[#This Row],[QUANTITE]]*BENARDPNEU[[#This Row],[PRIX UNITAIRE]])</f>
        <v>0</v>
      </c>
      <c r="F70" s="14"/>
      <c r="G70" s="6">
        <f>+SUM(E$9:$E70)-SUM(F$9:$F70)</f>
        <v>1515000</v>
      </c>
    </row>
    <row r="71" spans="1:7" ht="28.8" x14ac:dyDescent="0.55000000000000004">
      <c r="A71" s="12"/>
      <c r="B71" s="13"/>
      <c r="C71" s="10"/>
      <c r="D71" s="10"/>
      <c r="E71" s="7">
        <f>+$I$2+(BENARDPNEU[[#This Row],[QUANTITE]]*BENARDPNEU[[#This Row],[PRIX UNITAIRE]])</f>
        <v>0</v>
      </c>
      <c r="F71" s="14"/>
      <c r="G71" s="6">
        <f>+SUM(E$9:$E71)-SUM(F$9:$F71)</f>
        <v>1515000</v>
      </c>
    </row>
    <row r="72" spans="1:7" ht="28.8" x14ac:dyDescent="0.55000000000000004">
      <c r="A72" s="12"/>
      <c r="B72" s="13"/>
      <c r="C72" s="10"/>
      <c r="D72" s="10"/>
      <c r="E72" s="7">
        <f>+$I$2+(BENARDPNEU[[#This Row],[QUANTITE]]*BENARDPNEU[[#This Row],[PRIX UNITAIRE]])</f>
        <v>0</v>
      </c>
      <c r="F72" s="14"/>
      <c r="G72" s="6">
        <f>+SUM(E$9:$E72)-SUM(F$9:$F72)</f>
        <v>1515000</v>
      </c>
    </row>
  </sheetData>
  <sheetProtection selectLockedCells="1" autoFilter="0"/>
  <mergeCells count="1">
    <mergeCell ref="B6:C6"/>
  </mergeCells>
  <conditionalFormatting sqref="B9:B72">
    <cfRule type="expression" dxfId="96" priority="5">
      <formula>$F9</formula>
    </cfRule>
  </conditionalFormatting>
  <conditionalFormatting sqref="G4">
    <cfRule type="cellIs" dxfId="95" priority="2" operator="lessThan">
      <formula>0</formula>
    </cfRule>
    <cfRule type="cellIs" dxfId="94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Q34"/>
  <sheetViews>
    <sheetView showGridLines="0" zoomScale="50" zoomScaleNormal="50" workbookViewId="0">
      <selection sqref="A1:B2"/>
    </sheetView>
  </sheetViews>
  <sheetFormatPr baseColWidth="10" defaultColWidth="11.44140625" defaultRowHeight="14.4" x14ac:dyDescent="0.3"/>
  <cols>
    <col min="1" max="1" width="39.6640625" style="1" bestFit="1" customWidth="1"/>
    <col min="2" max="2" width="4.6640625" style="1" customWidth="1"/>
    <col min="3" max="3" width="38.6640625" style="1" bestFit="1" customWidth="1"/>
    <col min="4" max="4" width="6" style="1" customWidth="1"/>
    <col min="5" max="5" width="38.6640625" style="1" bestFit="1" customWidth="1"/>
    <col min="6" max="6" width="7.44140625" style="1" customWidth="1"/>
    <col min="7" max="7" width="41" style="1" bestFit="1" customWidth="1"/>
    <col min="8" max="8" width="5.33203125" style="1" customWidth="1"/>
    <col min="9" max="9" width="41" style="1" bestFit="1" customWidth="1"/>
    <col min="10" max="10" width="5.44140625" style="1" customWidth="1"/>
    <col min="11" max="11" width="41" style="1" bestFit="1" customWidth="1"/>
    <col min="12" max="12" width="5.6640625" style="1" customWidth="1"/>
    <col min="13" max="13" width="37.6640625" style="1" bestFit="1" customWidth="1"/>
    <col min="14" max="14" width="5.6640625" style="1" customWidth="1"/>
    <col min="15" max="15" width="37.6640625" style="1" bestFit="1" customWidth="1"/>
    <col min="16" max="16" width="5.33203125" style="1" customWidth="1"/>
    <col min="17" max="17" width="38.6640625" style="1" bestFit="1" customWidth="1"/>
    <col min="18" max="16384" width="11.44140625" style="1"/>
  </cols>
  <sheetData>
    <row r="1" spans="1:17" x14ac:dyDescent="0.3">
      <c r="A1" s="123" t="s">
        <v>20</v>
      </c>
      <c r="B1" s="124"/>
      <c r="C1" s="117">
        <f>+SUM(A11,C11,E11,G11,I11,K11,M11,O11,Q11,A16,C16,E16,G16,I16,K16,M16,O16,Q16,A22,C22,E22,G22,I22,K22,M22,O22,Q22,A28,C28,E28,G28,I28,K28,M28,O28)</f>
        <v>207471070.56</v>
      </c>
      <c r="D1" s="118"/>
      <c r="E1" s="118"/>
      <c r="F1" s="118"/>
      <c r="G1" s="119"/>
      <c r="H1" s="127" t="s">
        <v>196</v>
      </c>
      <c r="I1" s="128"/>
      <c r="J1" s="128"/>
      <c r="K1" s="128"/>
      <c r="L1" s="128"/>
      <c r="M1" s="128"/>
      <c r="N1" s="128"/>
      <c r="O1" s="128"/>
      <c r="P1" s="128"/>
      <c r="Q1" s="129"/>
    </row>
    <row r="2" spans="1:17" ht="72.599999999999994" customHeight="1" thickBot="1" x14ac:dyDescent="0.35">
      <c r="A2" s="125"/>
      <c r="B2" s="126"/>
      <c r="C2" s="120"/>
      <c r="D2" s="121"/>
      <c r="E2" s="121"/>
      <c r="F2" s="121"/>
      <c r="G2" s="122"/>
      <c r="H2" s="130"/>
      <c r="I2" s="131"/>
      <c r="J2" s="131"/>
      <c r="K2" s="131"/>
      <c r="L2" s="131"/>
      <c r="M2" s="131"/>
      <c r="N2" s="131"/>
      <c r="O2" s="131"/>
      <c r="P2" s="131"/>
      <c r="Q2" s="132"/>
    </row>
    <row r="9" spans="1:17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7" ht="3.75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7" customFormat="1" ht="45" customHeight="1" x14ac:dyDescent="0.3">
      <c r="A11" s="39">
        <f>'MAHMOUD CHAALAN'!$G$4</f>
        <v>3030000</v>
      </c>
      <c r="C11" s="39">
        <f>'MAHMOUD CHAALAN'!$G$4</f>
        <v>3030000</v>
      </c>
      <c r="E11" s="39">
        <f>'SUNSTEEL - KEVIN'!$G$4</f>
        <v>0</v>
      </c>
      <c r="G11" s="39">
        <f>'MOUSTAPHA FAWAZ'!$G$4</f>
        <v>330000</v>
      </c>
      <c r="I11" s="39">
        <f>'GEDIS '!$G$4</f>
        <v>5535000</v>
      </c>
      <c r="K11" s="39">
        <f>+'MOHAMED ZALZALE'!$G$4</f>
        <v>169171000</v>
      </c>
      <c r="M11" s="39">
        <f>'AUTO ROY '!$G$4</f>
        <v>0</v>
      </c>
      <c r="O11" s="39">
        <f>DUNLOP!$G$4</f>
        <v>11947660</v>
      </c>
      <c r="P11" s="1"/>
      <c r="Q11" s="39">
        <f>NABILCO!$G$4</f>
        <v>2615000</v>
      </c>
    </row>
    <row r="12" spans="1:17" ht="15.75" customHeigh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7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7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7" ht="22.5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7" customFormat="1" ht="45" customHeight="1" x14ac:dyDescent="0.3">
      <c r="A16" s="39">
        <f>KABALANE!$G$4</f>
        <v>2689649</v>
      </c>
      <c r="C16" s="39">
        <f>'ABASS BOUGI'!$G$4</f>
        <v>75000</v>
      </c>
      <c r="E16" s="39">
        <f>'ROULEMENT MONDIAL'!$G$4</f>
        <v>6285.5599999999977</v>
      </c>
      <c r="G16" s="39">
        <f>CACOMIAF!$G$4</f>
        <v>0</v>
      </c>
      <c r="I16" s="39">
        <f>'CFAO MOBILITY '!$G$4</f>
        <v>500055</v>
      </c>
      <c r="K16" s="39">
        <f>VICTOR!$G$4</f>
        <v>280000</v>
      </c>
      <c r="M16" s="39">
        <f>SOLO!$G$4</f>
        <v>70000</v>
      </c>
      <c r="O16" s="39">
        <f>'ABASS KANSSA'!$G$4</f>
        <v>0</v>
      </c>
      <c r="P16" s="1"/>
      <c r="Q16" s="39">
        <f>SAKO!$G$4</f>
        <v>0</v>
      </c>
    </row>
    <row r="17" spans="1:17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7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7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7" customFormat="1" x14ac:dyDescent="0.3">
      <c r="O20" s="1"/>
      <c r="P20" s="1"/>
    </row>
    <row r="21" spans="1:17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7" ht="45" customHeight="1" x14ac:dyDescent="0.3">
      <c r="A22" s="39">
        <f>'AHMAD WESLAKE'!$G$4</f>
        <v>525000</v>
      </c>
      <c r="B22"/>
      <c r="C22" s="39">
        <f>+IRA!$G$4</f>
        <v>220000</v>
      </c>
      <c r="D22"/>
      <c r="E22" s="39">
        <f>'GGN PLAQUETTE'!$G$4</f>
        <v>0</v>
      </c>
      <c r="F22"/>
      <c r="G22" s="39">
        <f>'LIQUI MOLY'!$G$4</f>
        <v>0</v>
      </c>
      <c r="H22"/>
      <c r="I22" s="39">
        <f>'AKHIL DAHER '!$G$4</f>
        <v>0</v>
      </c>
      <c r="J22"/>
      <c r="K22" s="39">
        <f>'CFAO MOBILITY '!$G$4</f>
        <v>500055</v>
      </c>
      <c r="L22"/>
      <c r="M22" s="39">
        <f>'HASSAN SALAMAN'!$G$4</f>
        <v>0</v>
      </c>
      <c r="N22"/>
      <c r="O22" s="39">
        <f>'SPRIINT-TECH - BOSCH'!$G$4</f>
        <v>2185866</v>
      </c>
      <c r="Q22" s="39">
        <f>MAHMOUD!$G$4</f>
        <v>3245500</v>
      </c>
    </row>
    <row r="23" spans="1:17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7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7" customFormat="1" x14ac:dyDescent="0.3">
      <c r="O25" s="1"/>
      <c r="P25" s="1"/>
    </row>
    <row r="26" spans="1:17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7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7" ht="45" customHeight="1" x14ac:dyDescent="0.5">
      <c r="A28" s="39">
        <f>'VINOD GRAISSE '!$G$4</f>
        <v>0</v>
      </c>
      <c r="B28"/>
      <c r="C28" s="39">
        <f>+'ABASS FARESS'!$G$4</f>
        <v>0</v>
      </c>
      <c r="D28"/>
      <c r="E28" s="39">
        <f>'EXIM-IMPEX'!$G$4</f>
        <v>0</v>
      </c>
      <c r="F28"/>
      <c r="G28" s="39">
        <f>'JOSEPH &amp; CHARBEL'!$G$4</f>
        <v>0</v>
      </c>
      <c r="H28"/>
      <c r="I28" s="39">
        <f>BAKAYOKO!$G$4</f>
        <v>0</v>
      </c>
      <c r="J28"/>
      <c r="K28" s="39">
        <f>'FAO TOLIER'!$G$4</f>
        <v>0</v>
      </c>
      <c r="L28"/>
      <c r="M28" s="39">
        <f>'BENARD PNEU'!$G$4</f>
        <v>1515000</v>
      </c>
      <c r="N28"/>
      <c r="O28" s="39">
        <f>DIVERS!$G$4</f>
        <v>0</v>
      </c>
      <c r="Q28" s="41"/>
    </row>
    <row r="29" spans="1:17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7" customFormat="1" x14ac:dyDescent="0.3"/>
    <row r="31" spans="1:17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7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ht="43.5" customHeight="1" x14ac:dyDescent="0.3">
      <c r="A34" s="39">
        <f>$G$4</f>
        <v>0</v>
      </c>
      <c r="C34" s="39">
        <f>$G$4</f>
        <v>0</v>
      </c>
      <c r="E34" s="39">
        <f>$G$4</f>
        <v>0</v>
      </c>
    </row>
  </sheetData>
  <sheetProtection selectLockedCells="1"/>
  <mergeCells count="3">
    <mergeCell ref="C1:G2"/>
    <mergeCell ref="A1:B2"/>
    <mergeCell ref="H1:Q2"/>
  </mergeCells>
  <conditionalFormatting sqref="A11">
    <cfRule type="cellIs" dxfId="77" priority="111" operator="lessThan">
      <formula>0</formula>
    </cfRule>
    <cfRule type="cellIs" dxfId="76" priority="112" operator="greaterThan">
      <formula>0</formula>
    </cfRule>
  </conditionalFormatting>
  <conditionalFormatting sqref="A16">
    <cfRule type="cellIs" dxfId="75" priority="93" operator="lessThan">
      <formula>0</formula>
    </cfRule>
    <cfRule type="cellIs" dxfId="74" priority="94" operator="greaterThan">
      <formula>0</formula>
    </cfRule>
  </conditionalFormatting>
  <conditionalFormatting sqref="A22">
    <cfRule type="cellIs" dxfId="73" priority="77" operator="lessThan">
      <formula>0</formula>
    </cfRule>
    <cfRule type="cellIs" dxfId="72" priority="78" operator="greaterThan">
      <formula>0</formula>
    </cfRule>
  </conditionalFormatting>
  <conditionalFormatting sqref="C11">
    <cfRule type="cellIs" dxfId="71" priority="107" operator="lessThan">
      <formula>0</formula>
    </cfRule>
    <cfRule type="cellIs" dxfId="70" priority="108" operator="greaterThan">
      <formula>0</formula>
    </cfRule>
  </conditionalFormatting>
  <conditionalFormatting sqref="C16">
    <cfRule type="cellIs" dxfId="69" priority="91" operator="lessThan">
      <formula>0</formula>
    </cfRule>
    <cfRule type="cellIs" dxfId="68" priority="92" operator="greaterThan">
      <formula>0</formula>
    </cfRule>
  </conditionalFormatting>
  <conditionalFormatting sqref="C22">
    <cfRule type="cellIs" dxfId="67" priority="75" operator="lessThan">
      <formula>0</formula>
    </cfRule>
    <cfRule type="cellIs" dxfId="66" priority="76" operator="greaterThan">
      <formula>0</formula>
    </cfRule>
  </conditionalFormatting>
  <conditionalFormatting sqref="C28">
    <cfRule type="cellIs" dxfId="65" priority="59" operator="lessThan">
      <formula>0</formula>
    </cfRule>
    <cfRule type="cellIs" dxfId="64" priority="60" operator="greaterThan">
      <formula>0</formula>
    </cfRule>
  </conditionalFormatting>
  <conditionalFormatting sqref="E16">
    <cfRule type="cellIs" dxfId="63" priority="89" operator="lessThan">
      <formula>0</formula>
    </cfRule>
    <cfRule type="cellIs" dxfId="62" priority="90" operator="greaterThan">
      <formula>0</formula>
    </cfRule>
  </conditionalFormatting>
  <conditionalFormatting sqref="E22">
    <cfRule type="cellIs" dxfId="61" priority="73" operator="lessThan">
      <formula>0</formula>
    </cfRule>
    <cfRule type="cellIs" dxfId="60" priority="74" operator="greaterThan">
      <formula>0</formula>
    </cfRule>
  </conditionalFormatting>
  <conditionalFormatting sqref="E28">
    <cfRule type="cellIs" dxfId="59" priority="57" operator="lessThan">
      <formula>0</formula>
    </cfRule>
    <cfRule type="cellIs" dxfId="58" priority="58" operator="greaterThan">
      <formula>0</formula>
    </cfRule>
  </conditionalFormatting>
  <conditionalFormatting sqref="G16">
    <cfRule type="cellIs" dxfId="57" priority="87" operator="lessThan">
      <formula>0</formula>
    </cfRule>
    <cfRule type="cellIs" dxfId="56" priority="88" operator="greaterThan">
      <formula>0</formula>
    </cfRule>
  </conditionalFormatting>
  <conditionalFormatting sqref="G22">
    <cfRule type="cellIs" dxfId="55" priority="71" operator="lessThan">
      <formula>0</formula>
    </cfRule>
    <cfRule type="cellIs" dxfId="54" priority="72" operator="greaterThan">
      <formula>0</formula>
    </cfRule>
  </conditionalFormatting>
  <conditionalFormatting sqref="G28">
    <cfRule type="cellIs" dxfId="53" priority="55" operator="lessThan">
      <formula>0</formula>
    </cfRule>
    <cfRule type="cellIs" dxfId="52" priority="56" operator="greaterThan">
      <formula>0</formula>
    </cfRule>
  </conditionalFormatting>
  <conditionalFormatting sqref="I11">
    <cfRule type="cellIs" dxfId="51" priority="101" operator="lessThan">
      <formula>0</formula>
    </cfRule>
    <cfRule type="cellIs" dxfId="50" priority="102" operator="greaterThan">
      <formula>0</formula>
    </cfRule>
  </conditionalFormatting>
  <conditionalFormatting sqref="I16">
    <cfRule type="cellIs" dxfId="49" priority="85" operator="lessThan">
      <formula>0</formula>
    </cfRule>
    <cfRule type="cellIs" dxfId="48" priority="86" operator="greaterThan">
      <formula>0</formula>
    </cfRule>
  </conditionalFormatting>
  <conditionalFormatting sqref="I22">
    <cfRule type="cellIs" dxfId="47" priority="69" operator="lessThan">
      <formula>0</formula>
    </cfRule>
    <cfRule type="cellIs" dxfId="46" priority="70" operator="greaterThan">
      <formula>0</formula>
    </cfRule>
  </conditionalFormatting>
  <conditionalFormatting sqref="I28">
    <cfRule type="cellIs" dxfId="45" priority="53" operator="lessThan">
      <formula>0</formula>
    </cfRule>
    <cfRule type="cellIs" dxfId="44" priority="54" operator="greaterThan">
      <formula>0</formula>
    </cfRule>
  </conditionalFormatting>
  <conditionalFormatting sqref="K11">
    <cfRule type="cellIs" dxfId="43" priority="99" operator="lessThan">
      <formula>0</formula>
    </cfRule>
    <cfRule type="cellIs" dxfId="42" priority="100" operator="greaterThan">
      <formula>0</formula>
    </cfRule>
  </conditionalFormatting>
  <conditionalFormatting sqref="K16">
    <cfRule type="cellIs" dxfId="41" priority="83" operator="lessThan">
      <formula>0</formula>
    </cfRule>
    <cfRule type="cellIs" dxfId="40" priority="84" operator="greaterThan">
      <formula>0</formula>
    </cfRule>
  </conditionalFormatting>
  <conditionalFormatting sqref="K22">
    <cfRule type="cellIs" dxfId="39" priority="67" operator="lessThan">
      <formula>0</formula>
    </cfRule>
    <cfRule type="cellIs" dxfId="38" priority="68" operator="greaterThan">
      <formula>0</formula>
    </cfRule>
  </conditionalFormatting>
  <conditionalFormatting sqref="K28">
    <cfRule type="cellIs" dxfId="37" priority="51" operator="lessThan">
      <formula>0</formula>
    </cfRule>
    <cfRule type="cellIs" dxfId="36" priority="52" operator="greaterThan">
      <formula>0</formula>
    </cfRule>
  </conditionalFormatting>
  <conditionalFormatting sqref="M11">
    <cfRule type="cellIs" dxfId="35" priority="97" operator="lessThan">
      <formula>0</formula>
    </cfRule>
    <cfRule type="cellIs" dxfId="34" priority="98" operator="greaterThan">
      <formula>0</formula>
    </cfRule>
  </conditionalFormatting>
  <conditionalFormatting sqref="M16">
    <cfRule type="cellIs" dxfId="33" priority="81" operator="lessThan">
      <formula>0</formula>
    </cfRule>
    <cfRule type="cellIs" dxfId="32" priority="82" operator="greaterThan">
      <formula>0</formula>
    </cfRule>
  </conditionalFormatting>
  <conditionalFormatting sqref="M22">
    <cfRule type="cellIs" dxfId="31" priority="65" operator="lessThan">
      <formula>0</formula>
    </cfRule>
    <cfRule type="cellIs" dxfId="30" priority="66" operator="greaterThan">
      <formula>0</formula>
    </cfRule>
  </conditionalFormatting>
  <conditionalFormatting sqref="M28">
    <cfRule type="cellIs" dxfId="29" priority="49" operator="lessThan">
      <formula>0</formula>
    </cfRule>
    <cfRule type="cellIs" dxfId="28" priority="50" operator="greaterThan">
      <formula>0</formula>
    </cfRule>
  </conditionalFormatting>
  <conditionalFormatting sqref="O11">
    <cfRule type="cellIs" dxfId="27" priority="95" operator="lessThan">
      <formula>0</formula>
    </cfRule>
    <cfRule type="cellIs" dxfId="26" priority="96" operator="greaterThan">
      <formula>0</formula>
    </cfRule>
  </conditionalFormatting>
  <conditionalFormatting sqref="O16">
    <cfRule type="cellIs" dxfId="25" priority="79" operator="lessThan">
      <formula>0</formula>
    </cfRule>
    <cfRule type="cellIs" dxfId="24" priority="80" operator="greaterThan">
      <formula>0</formula>
    </cfRule>
  </conditionalFormatting>
  <conditionalFormatting sqref="O22">
    <cfRule type="cellIs" dxfId="23" priority="63" operator="lessThan">
      <formula>0</formula>
    </cfRule>
    <cfRule type="cellIs" dxfId="22" priority="64" operator="greaterThan">
      <formula>0</formula>
    </cfRule>
  </conditionalFormatting>
  <conditionalFormatting sqref="O28">
    <cfRule type="cellIs" dxfId="21" priority="31" operator="lessThan">
      <formula>0</formula>
    </cfRule>
    <cfRule type="cellIs" dxfId="20" priority="32" operator="greaterThan">
      <formula>0</formula>
    </cfRule>
  </conditionalFormatting>
  <conditionalFormatting sqref="Q11">
    <cfRule type="cellIs" dxfId="19" priority="27" operator="lessThan">
      <formula>0</formula>
    </cfRule>
    <cfRule type="cellIs" dxfId="18" priority="28" operator="greaterThan">
      <formula>0</formula>
    </cfRule>
  </conditionalFormatting>
  <conditionalFormatting sqref="Q16">
    <cfRule type="cellIs" dxfId="17" priority="25" operator="lessThan">
      <formula>0</formula>
    </cfRule>
    <cfRule type="cellIs" dxfId="16" priority="26" operator="greaterThan">
      <formula>0</formula>
    </cfRule>
  </conditionalFormatting>
  <conditionalFormatting sqref="Q22">
    <cfRule type="cellIs" dxfId="15" priority="23" operator="lessThan">
      <formula>0</formula>
    </cfRule>
    <cfRule type="cellIs" dxfId="14" priority="24" operator="greaterThan">
      <formula>0</formula>
    </cfRule>
  </conditionalFormatting>
  <conditionalFormatting sqref="Q28">
    <cfRule type="cellIs" dxfId="13" priority="21" operator="lessThan">
      <formula>0</formula>
    </cfRule>
    <cfRule type="cellIs" dxfId="12" priority="22" operator="greaterThan">
      <formula>0</formula>
    </cfRule>
  </conditionalFormatting>
  <conditionalFormatting sqref="G11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E11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A28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34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C3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3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38</vt:i4>
      </vt:variant>
    </vt:vector>
  </HeadingPairs>
  <TitlesOfParts>
    <vt:vector size="38" baseType="lpstr">
      <vt:lpstr>TABLEAU</vt:lpstr>
      <vt:lpstr>MAHMOUD CHAALAN</vt:lpstr>
      <vt:lpstr>CHINOIS</vt:lpstr>
      <vt:lpstr>SUNSTEEL - KEVIN</vt:lpstr>
      <vt:lpstr>MOUSTAPHA FAWAZ</vt:lpstr>
      <vt:lpstr>PETIT SOLO</vt:lpstr>
      <vt:lpstr>GEDIS </vt:lpstr>
      <vt:lpstr>MOHAMED ZALZALE</vt:lpstr>
      <vt:lpstr>AUTO ROY </vt:lpstr>
      <vt:lpstr>DUNLOP</vt:lpstr>
      <vt:lpstr>NABILCO</vt:lpstr>
      <vt:lpstr>KABALANE</vt:lpstr>
      <vt:lpstr>ABASS BOUGI</vt:lpstr>
      <vt:lpstr>DIVERS</vt:lpstr>
      <vt:lpstr>ROULEMENT MONDIAL</vt:lpstr>
      <vt:lpstr>CACOMIAF</vt:lpstr>
      <vt:lpstr>HASSAN KAFARANI</vt:lpstr>
      <vt:lpstr>VICTOR</vt:lpstr>
      <vt:lpstr>SOLO</vt:lpstr>
      <vt:lpstr>ABASS KANSSA</vt:lpstr>
      <vt:lpstr>SAKO</vt:lpstr>
      <vt:lpstr>AHMAD WESLAKE</vt:lpstr>
      <vt:lpstr>IRA</vt:lpstr>
      <vt:lpstr>GGN PLAQUETTE</vt:lpstr>
      <vt:lpstr>LIQUI MOLY</vt:lpstr>
      <vt:lpstr>AKHIL DAHER </vt:lpstr>
      <vt:lpstr>CFAO MOBILITY </vt:lpstr>
      <vt:lpstr>HASSAN SALAMAN</vt:lpstr>
      <vt:lpstr>SPRIINT-TECH - BOSCH</vt:lpstr>
      <vt:lpstr>MAHMOUD</vt:lpstr>
      <vt:lpstr>VINOD GRAISSE </vt:lpstr>
      <vt:lpstr>ABASS FARESS</vt:lpstr>
      <vt:lpstr>EXIM-IMPEX</vt:lpstr>
      <vt:lpstr>JOSEPH &amp; CHARBEL</vt:lpstr>
      <vt:lpstr>BAKAYOKO</vt:lpstr>
      <vt:lpstr>FAO TOLIER</vt:lpstr>
      <vt:lpstr>BENARD PNEU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RANCIS</dc:creator>
  <cp:lastModifiedBy>Maher Fattouh</cp:lastModifiedBy>
  <cp:lastPrinted>2026-02-18T12:52:06Z</cp:lastPrinted>
  <dcterms:created xsi:type="dcterms:W3CDTF">2025-06-16T21:22:26Z</dcterms:created>
  <dcterms:modified xsi:type="dcterms:W3CDTF">2026-03-21T13:42:39Z</dcterms:modified>
</cp:coreProperties>
</file>